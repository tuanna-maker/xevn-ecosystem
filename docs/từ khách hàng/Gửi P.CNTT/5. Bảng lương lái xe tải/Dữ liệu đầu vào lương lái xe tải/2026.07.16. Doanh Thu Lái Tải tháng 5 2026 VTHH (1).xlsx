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4"/>
  </bookViews>
  <sheets>
    <sheet name="Tong hop" sheetId="3" r:id="rId1"/>
    <sheet name="trong tai" sheetId="4" r:id="rId2"/>
    <sheet name="Du an" sheetId="5" r:id="rId3"/>
    <sheet name="Lai xe" sheetId="6" r:id="rId4"/>
    <sheet name="Doanh thu" sheetId="1" r:id="rId5"/>
    <sheet name="Trừ lương" sheetId="7" r:id="rId6"/>
    <sheet name="Thu nhập khác" sheetId="9" r:id="rId7"/>
    <sheet name="Sheet1" sheetId="8" state="hidden" r:id="rId8"/>
    <sheet name="Mã NV" sheetId="2" r:id="rId9"/>
  </sheets>
  <definedNames>
    <definedName name="_xlnm._FilterDatabase" localSheetId="1" hidden="1">'trong tai'!$A$3:$F$881</definedName>
    <definedName name="_xlnm._FilterDatabase" localSheetId="2" hidden="1">'Du an'!$A$3:$F$764</definedName>
    <definedName name="_xlnm._FilterDatabase" localSheetId="3" hidden="1">'Lai xe'!$A$3:$F$839</definedName>
    <definedName name="_xlnm._FilterDatabase" localSheetId="4" hidden="1">'Doanh thu'!$A$3:$T$2511</definedName>
    <definedName name="_xlnm._FilterDatabase" localSheetId="5" hidden="1">'Trừ lương'!$A$3:$Y$156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This PC</author>
  </authors>
  <commentList>
    <comment ref="J68" authorId="0">
      <text>
        <r>
          <rPr>
            <b/>
            <sz val="9"/>
            <rFont val="Tahoma"/>
            <charset val="134"/>
          </rPr>
          <t>This PC:</t>
        </r>
        <r>
          <rPr>
            <sz val="9"/>
            <rFont val="Tahoma"/>
            <charset val="134"/>
          </rPr>
          <t xml:space="preserve">
BK Minh để BKS: 29E09603</t>
        </r>
      </text>
    </comment>
  </commentList>
</comments>
</file>

<file path=xl/sharedStrings.xml><?xml version="1.0" encoding="utf-8"?>
<sst xmlns="http://schemas.openxmlformats.org/spreadsheetml/2006/main" count="30114" uniqueCount="1473">
  <si>
    <t>Row Labels</t>
  </si>
  <si>
    <t>Mã nhân viên</t>
  </si>
  <si>
    <t>BSX</t>
  </si>
  <si>
    <t>DỰ ÁN</t>
  </si>
  <si>
    <t>Trọng Tải</t>
  </si>
  <si>
    <t>Sum of DT tính lương lái xe</t>
  </si>
  <si>
    <t>Bùi Phi Hùng</t>
  </si>
  <si>
    <t>XE01420</t>
  </si>
  <si>
    <t>29K06711</t>
  </si>
  <si>
    <t>Đại Đồng Tiến</t>
  </si>
  <si>
    <t>5.5T</t>
  </si>
  <si>
    <t>Arttek</t>
  </si>
  <si>
    <t>29E59034</t>
  </si>
  <si>
    <t>Hoàng Nam</t>
  </si>
  <si>
    <t>2T5</t>
  </si>
  <si>
    <t>Bùi Văn Đào</t>
  </si>
  <si>
    <t>XE01331</t>
  </si>
  <si>
    <t>29E08175</t>
  </si>
  <si>
    <t>Hàng ngoài</t>
  </si>
  <si>
    <t>15T</t>
  </si>
  <si>
    <t>VTP Lâm Đồng</t>
  </si>
  <si>
    <t>Hoàng Minh</t>
  </si>
  <si>
    <t>Hưng Thịnh</t>
  </si>
  <si>
    <t>TTC</t>
  </si>
  <si>
    <t>VTP Đà Nẵng</t>
  </si>
  <si>
    <t>Nguyễn Hoàng</t>
  </si>
  <si>
    <t>VTP HCM</t>
  </si>
  <si>
    <t>Đào Ngọc Ngà</t>
  </si>
  <si>
    <t>XE00991</t>
  </si>
  <si>
    <t>29E35164</t>
  </si>
  <si>
    <t>Viettel Log</t>
  </si>
  <si>
    <t>Cont 50F</t>
  </si>
  <si>
    <t>Trái cây Bích Ngân</t>
  </si>
  <si>
    <t>Thuốc lá Thăng Long</t>
  </si>
  <si>
    <t>Vận tải Á Đông</t>
  </si>
  <si>
    <t>Đào Văn Hùng</t>
  </si>
  <si>
    <t>XE01303</t>
  </si>
  <si>
    <t>29E35064</t>
  </si>
  <si>
    <t>29E12120</t>
  </si>
  <si>
    <t>Dược HG cont</t>
  </si>
  <si>
    <t>Đặng Công Đức</t>
  </si>
  <si>
    <t>XE01417</t>
  </si>
  <si>
    <t>29E44377</t>
  </si>
  <si>
    <t>7.1t</t>
  </si>
  <si>
    <t>OPL</t>
  </si>
  <si>
    <t>Thần Đèn</t>
  </si>
  <si>
    <t>Đặng Văn Thắng</t>
  </si>
  <si>
    <t>XE00900</t>
  </si>
  <si>
    <t>29G02319</t>
  </si>
  <si>
    <t>Xe đạp Thống Nhất</t>
  </si>
  <si>
    <t>6.5T</t>
  </si>
  <si>
    <t>29E12348</t>
  </si>
  <si>
    <t>29E38311</t>
  </si>
  <si>
    <t>8T</t>
  </si>
  <si>
    <t>DHL</t>
  </si>
  <si>
    <t>Đinh Mai Sơn</t>
  </si>
  <si>
    <t>XE00768</t>
  </si>
  <si>
    <t>29K13511</t>
  </si>
  <si>
    <t>VTP Aeon</t>
  </si>
  <si>
    <t>2.5T</t>
  </si>
  <si>
    <t>Đỗ Ngọc Chiến</t>
  </si>
  <si>
    <t>XE00910</t>
  </si>
  <si>
    <t>29E14214</t>
  </si>
  <si>
    <t>FTC</t>
  </si>
  <si>
    <t>Đỗ Ngọc Thông</t>
  </si>
  <si>
    <t>XE00858</t>
  </si>
  <si>
    <t>29E12412</t>
  </si>
  <si>
    <t>Đỗ Văn Nam</t>
  </si>
  <si>
    <t>XE00855</t>
  </si>
  <si>
    <t>29E12143</t>
  </si>
  <si>
    <t>Hà Nguyên Dậu</t>
  </si>
  <si>
    <t>XE00843</t>
  </si>
  <si>
    <t>29E12420</t>
  </si>
  <si>
    <t>Thái Hà</t>
  </si>
  <si>
    <t>Hoả Văn Lâm</t>
  </si>
  <si>
    <t>XE00907</t>
  </si>
  <si>
    <t>29E14310</t>
  </si>
  <si>
    <t>Hoả Văn Quyết</t>
  </si>
  <si>
    <t>XE00908</t>
  </si>
  <si>
    <t>Hoàng Đức Mạnh</t>
  </si>
  <si>
    <t>XE00777</t>
  </si>
  <si>
    <t>29G02311</t>
  </si>
  <si>
    <t>Hoàng Văn Chuyền</t>
  </si>
  <si>
    <t>XE00832</t>
  </si>
  <si>
    <t>29G02320</t>
  </si>
  <si>
    <t>Hoàng Văn Lợi</t>
  </si>
  <si>
    <t>XE01456</t>
  </si>
  <si>
    <t>29K13459</t>
  </si>
  <si>
    <t>VTP Cần Thơ</t>
  </si>
  <si>
    <t>Kiều Kim Tiến</t>
  </si>
  <si>
    <t>XE00873</t>
  </si>
  <si>
    <t>29E08413</t>
  </si>
  <si>
    <t>VTP Đồng Nai</t>
  </si>
  <si>
    <t>29H80501</t>
  </si>
  <si>
    <t>VTP 2JAW</t>
  </si>
  <si>
    <t>Lê Minh Vin</t>
  </si>
  <si>
    <t>XE01379</t>
  </si>
  <si>
    <t>29E49820</t>
  </si>
  <si>
    <t>VTP Đăklăk</t>
  </si>
  <si>
    <t xml:space="preserve"> 3T5 Lạnh </t>
  </si>
  <si>
    <t>DHG Nam</t>
  </si>
  <si>
    <t>Lê Quốc Quân</t>
  </si>
  <si>
    <t>XE01434</t>
  </si>
  <si>
    <t>29E44369</t>
  </si>
  <si>
    <t>VIC</t>
  </si>
  <si>
    <t>Lê Thanh Đang</t>
  </si>
  <si>
    <t>XE00853</t>
  </si>
  <si>
    <t>Lê Thế Xuân</t>
  </si>
  <si>
    <t>XE01102</t>
  </si>
  <si>
    <t>29K07924</t>
  </si>
  <si>
    <t>Nongshim</t>
  </si>
  <si>
    <t>SAG</t>
  </si>
  <si>
    <t>VTP HCM - Tân Thới Hiệp</t>
  </si>
  <si>
    <t>Lê Văn Giang</t>
  </si>
  <si>
    <t>XE00447</t>
  </si>
  <si>
    <t>29K06374</t>
  </si>
  <si>
    <t>Khải Long</t>
  </si>
  <si>
    <t>Lê Văn Khiêm</t>
  </si>
  <si>
    <t>XE01453</t>
  </si>
  <si>
    <t>29C37344</t>
  </si>
  <si>
    <t>Lê Xuân Tú</t>
  </si>
  <si>
    <t>XE01315</t>
  </si>
  <si>
    <t>Mã Đức Diễn</t>
  </si>
  <si>
    <t>XE01034</t>
  </si>
  <si>
    <t>29E14424</t>
  </si>
  <si>
    <t>Mai Văn Long</t>
  </si>
  <si>
    <t>XE00547</t>
  </si>
  <si>
    <t>29K06935</t>
  </si>
  <si>
    <t>Mai Văn Ngọc</t>
  </si>
  <si>
    <t>XE00953</t>
  </si>
  <si>
    <t>29K13742</t>
  </si>
  <si>
    <t>Mai Văn Toản</t>
  </si>
  <si>
    <t>XE00847</t>
  </si>
  <si>
    <t>29H73703</t>
  </si>
  <si>
    <t>29K06857</t>
  </si>
  <si>
    <t>2.5T Lạnh</t>
  </si>
  <si>
    <t>29E08058</t>
  </si>
  <si>
    <t>Nguyễn Công Binh</t>
  </si>
  <si>
    <t>XE01418</t>
  </si>
  <si>
    <t>Nguyễn Công Thức</t>
  </si>
  <si>
    <t>XE01325</t>
  </si>
  <si>
    <t>29B20543</t>
  </si>
  <si>
    <t>Gia Huy Phát</t>
  </si>
  <si>
    <t>Wareflex</t>
  </si>
  <si>
    <t>Fujitank</t>
  </si>
  <si>
    <t>Nguyễn Đức Linh</t>
  </si>
  <si>
    <t>XE01326</t>
  </si>
  <si>
    <t>Nguyễn Hữu Hưởng</t>
  </si>
  <si>
    <t>XE01304</t>
  </si>
  <si>
    <t>29G02325</t>
  </si>
  <si>
    <t>Trung Chính</t>
  </si>
  <si>
    <t>29K06820</t>
  </si>
  <si>
    <t>Nguyễn Hữu Tùng</t>
  </si>
  <si>
    <t>XE00730</t>
  </si>
  <si>
    <t>29E52540</t>
  </si>
  <si>
    <t>DHG Bắc</t>
  </si>
  <si>
    <t>Nguyễn Ngọc Ân</t>
  </si>
  <si>
    <t>XE01316</t>
  </si>
  <si>
    <t>29E00028</t>
  </si>
  <si>
    <t>Nguyễn Quốc Bình</t>
  </si>
  <si>
    <t>XE01005</t>
  </si>
  <si>
    <t>29K13905</t>
  </si>
  <si>
    <t>Nguyễn Tiến Công</t>
  </si>
  <si>
    <t>XE00779</t>
  </si>
  <si>
    <t>29B18964</t>
  </si>
  <si>
    <t>29E09530</t>
  </si>
  <si>
    <t>Nguyễn Thanh Bình</t>
  </si>
  <si>
    <t>XE00844</t>
  </si>
  <si>
    <t>Nguyễn Trọng Đạt</t>
  </si>
  <si>
    <t>XE01263</t>
  </si>
  <si>
    <t>29K06824</t>
  </si>
  <si>
    <t>Hải Lý SME</t>
  </si>
  <si>
    <t>Nguyễn Văn Chí</t>
  </si>
  <si>
    <t>XE01433</t>
  </si>
  <si>
    <t>Nguyễn Văn Luận</t>
  </si>
  <si>
    <t>XE00975</t>
  </si>
  <si>
    <t>29E12747</t>
  </si>
  <si>
    <t>29K06572</t>
  </si>
  <si>
    <t>Nguyễn Văn Mạnh</t>
  </si>
  <si>
    <t>XE00952</t>
  </si>
  <si>
    <t>29E12333</t>
  </si>
  <si>
    <t>Nguyễn Văn Toàn</t>
  </si>
  <si>
    <t>XE01281</t>
  </si>
  <si>
    <t>Phạm Ngọc Cần</t>
  </si>
  <si>
    <t>XE00894</t>
  </si>
  <si>
    <t>Phạm Quốc Toàn</t>
  </si>
  <si>
    <t>XE00854</t>
  </si>
  <si>
    <t>Phạm Tuấn Sơn</t>
  </si>
  <si>
    <t>XE01064</t>
  </si>
  <si>
    <t>Phạm Thái Nhân</t>
  </si>
  <si>
    <t>XE00891</t>
  </si>
  <si>
    <t>29K13697</t>
  </si>
  <si>
    <t>Phạm Thanh Tuấn</t>
  </si>
  <si>
    <t>XE01335</t>
  </si>
  <si>
    <t>AK FOOD</t>
  </si>
  <si>
    <t>Phạm Văn Hải A</t>
  </si>
  <si>
    <t>XE00449</t>
  </si>
  <si>
    <t>29K13754</t>
  </si>
  <si>
    <t>Phạm Văn Khâm</t>
  </si>
  <si>
    <t>XE00865</t>
  </si>
  <si>
    <t>29E12436</t>
  </si>
  <si>
    <t>Phạm Văn Phố</t>
  </si>
  <si>
    <t>XE01308</t>
  </si>
  <si>
    <t>Phạm Văn Thưởng</t>
  </si>
  <si>
    <t>XE01149</t>
  </si>
  <si>
    <t>29E38128</t>
  </si>
  <si>
    <t>Phan Văn Thành</t>
  </si>
  <si>
    <t>XE00934</t>
  </si>
  <si>
    <t>29E12073</t>
  </si>
  <si>
    <t>Tạ Quốc Vương</t>
  </si>
  <si>
    <t>XE01098</t>
  </si>
  <si>
    <t>29E44326</t>
  </si>
  <si>
    <t>Trần Trung Kiên</t>
  </si>
  <si>
    <t>XE00977</t>
  </si>
  <si>
    <t>29E49680</t>
  </si>
  <si>
    <t xml:space="preserve">2T5 Lạnh </t>
  </si>
  <si>
    <t>DHG lẻ</t>
  </si>
  <si>
    <t>Trần Văn Cương</t>
  </si>
  <si>
    <t>XE01004</t>
  </si>
  <si>
    <t>Trần Xuân Trường</t>
  </si>
  <si>
    <t>XE00499</t>
  </si>
  <si>
    <t>Trịnh Cao Phong</t>
  </si>
  <si>
    <t>XE01283</t>
  </si>
  <si>
    <t>29E54261</t>
  </si>
  <si>
    <t>Ghép hàng nhanh</t>
  </si>
  <si>
    <t>Trịnh Văn Lực</t>
  </si>
  <si>
    <t>XE01164</t>
  </si>
  <si>
    <t>Hoà Phát</t>
  </si>
  <si>
    <t>Trương Cẩm Thành</t>
  </si>
  <si>
    <t>XE01390</t>
  </si>
  <si>
    <t>29E09603</t>
  </si>
  <si>
    <t>VTP Quảng Ngãi</t>
  </si>
  <si>
    <t>Vũ Ngọc Thường</t>
  </si>
  <si>
    <t>XE00893</t>
  </si>
  <si>
    <t>29E35397</t>
  </si>
  <si>
    <t>Vũ Thế An</t>
  </si>
  <si>
    <t>XE01305</t>
  </si>
  <si>
    <t>Vũ Văn Quân</t>
  </si>
  <si>
    <t>XE00985</t>
  </si>
  <si>
    <t>Vũ Văn Tỉnh</t>
  </si>
  <si>
    <t>XE01021</t>
  </si>
  <si>
    <t>Trần Quang Trung</t>
  </si>
  <si>
    <t>XE01443</t>
  </si>
  <si>
    <t>Trần Xuân Quảng</t>
  </si>
  <si>
    <t>XE01444</t>
  </si>
  <si>
    <t>Trần Hữu Khánh</t>
  </si>
  <si>
    <t>XE01470</t>
  </si>
  <si>
    <t>Bảo Hoàng</t>
  </si>
  <si>
    <t>Nông sản Vĩnh Long</t>
  </si>
  <si>
    <t>29E08426</t>
  </si>
  <si>
    <t>Nguyễn Bá Bảo</t>
  </si>
  <si>
    <t>XE01469</t>
  </si>
  <si>
    <t>(blank)</t>
  </si>
  <si>
    <t>Nhâm Văn Cương</t>
  </si>
  <si>
    <t>XE00171</t>
  </si>
  <si>
    <t>29K06725</t>
  </si>
  <si>
    <t>CPN</t>
  </si>
  <si>
    <t>3.5T</t>
  </si>
  <si>
    <t>Trần Văn Phú</t>
  </si>
  <si>
    <t>XE00842</t>
  </si>
  <si>
    <t>29G02346</t>
  </si>
  <si>
    <t>1.5T</t>
  </si>
  <si>
    <t>29H74340</t>
  </si>
  <si>
    <t>29G02330</t>
  </si>
  <si>
    <t>Lê Anh Tuấn</t>
  </si>
  <si>
    <t>XE01678</t>
  </si>
  <si>
    <t>29E54212</t>
  </si>
  <si>
    <t>Thanh Thủy</t>
  </si>
  <si>
    <t>Huỳnh Lê Trần Long</t>
  </si>
  <si>
    <t>XE01506</t>
  </si>
  <si>
    <t>29E12047</t>
  </si>
  <si>
    <t>Đặng Tuân</t>
  </si>
  <si>
    <t>XE01507</t>
  </si>
  <si>
    <t>Trần Phúc Đạt</t>
  </si>
  <si>
    <t>XE01527</t>
  </si>
  <si>
    <t>29E38331</t>
  </si>
  <si>
    <t>29G02349</t>
  </si>
  <si>
    <t>Lê Văn Hoàng</t>
  </si>
  <si>
    <t>XE01534</t>
  </si>
  <si>
    <t>Trần Đình Mẫn</t>
  </si>
  <si>
    <t>XE01530</t>
  </si>
  <si>
    <t>Phan Tấn Thành</t>
  </si>
  <si>
    <t>XE01532</t>
  </si>
  <si>
    <t>29E12401</t>
  </si>
  <si>
    <t>Võ Minh Liệp</t>
  </si>
  <si>
    <t>XE01543</t>
  </si>
  <si>
    <t>29H70193</t>
  </si>
  <si>
    <t>KTA</t>
  </si>
  <si>
    <t>Bùi Duy Hiếu</t>
  </si>
  <si>
    <t>XE01563</t>
  </si>
  <si>
    <t>29E38126</t>
  </si>
  <si>
    <t>Nguyễn Khánh Phú</t>
  </si>
  <si>
    <t>XE01552</t>
  </si>
  <si>
    <t>29E38345</t>
  </si>
  <si>
    <t>Mai Tấn Toàn</t>
  </si>
  <si>
    <t>XE01551</t>
  </si>
  <si>
    <t>Lê Thanh Sơn</t>
  </si>
  <si>
    <t>XE01541</t>
  </si>
  <si>
    <t>Cao Tuấn Anh</t>
  </si>
  <si>
    <t>XE01590</t>
  </si>
  <si>
    <t>29E38159</t>
  </si>
  <si>
    <t>Cao Phong Anh</t>
  </si>
  <si>
    <t>XE01591</t>
  </si>
  <si>
    <t>Nguyễn Thanh Nhân</t>
  </si>
  <si>
    <t>XE01574</t>
  </si>
  <si>
    <t>Nguyễn Minh Trọng</t>
  </si>
  <si>
    <t>XE01599</t>
  </si>
  <si>
    <t>Nguyễn Duy Tuấn</t>
  </si>
  <si>
    <t>XE01548</t>
  </si>
  <si>
    <t>Zhong Cun</t>
  </si>
  <si>
    <t>Ngô Hoàng Vũ</t>
  </si>
  <si>
    <t>XE01549</t>
  </si>
  <si>
    <t>Nguyễn Văn Chiến</t>
  </si>
  <si>
    <t>XE01582</t>
  </si>
  <si>
    <t>Nguyễn Văn Thắng</t>
  </si>
  <si>
    <t>XE01583</t>
  </si>
  <si>
    <t>Nguyễn Đức Toàn</t>
  </si>
  <si>
    <t>XE01600</t>
  </si>
  <si>
    <t>Hồ Khang Vĩ</t>
  </si>
  <si>
    <t>XE01597</t>
  </si>
  <si>
    <t>29E47562</t>
  </si>
  <si>
    <t>Trần Bá Lương</t>
  </si>
  <si>
    <t>XE01537</t>
  </si>
  <si>
    <t>29K13582</t>
  </si>
  <si>
    <t>Trần Phi Hùng</t>
  </si>
  <si>
    <t>XE01620</t>
  </si>
  <si>
    <t>29E61173</t>
  </si>
  <si>
    <t>Nguyễn Ngọc Tịnh</t>
  </si>
  <si>
    <t>XE01539</t>
  </si>
  <si>
    <t>Võ Văn Trỗi</t>
  </si>
  <si>
    <t>XE01609</t>
  </si>
  <si>
    <t>Huỳnh Tấn Huynh</t>
  </si>
  <si>
    <t>XE01540</t>
  </si>
  <si>
    <t>Huỳnh Xuân Nhân</t>
  </si>
  <si>
    <t>XE01671</t>
  </si>
  <si>
    <t>Lý Hồng Ngà</t>
  </si>
  <si>
    <t>XE01622</t>
  </si>
  <si>
    <t>Cao Hoài Tiên</t>
  </si>
  <si>
    <t>XE01477</t>
  </si>
  <si>
    <t>Bùi Ngọc Ninh</t>
  </si>
  <si>
    <t>XE01670</t>
  </si>
  <si>
    <t>Nguyễn Doãn Quang</t>
  </si>
  <si>
    <t>XE01645</t>
  </si>
  <si>
    <t>Nguyễn Hữu Tuấn</t>
  </si>
  <si>
    <t>XE01615</t>
  </si>
  <si>
    <t>29E61253</t>
  </si>
  <si>
    <t>Dược GMP EU</t>
  </si>
  <si>
    <t>Phạm Trung Kiên</t>
  </si>
  <si>
    <t>XE01653</t>
  </si>
  <si>
    <t>Đỗ Văn Cường</t>
  </si>
  <si>
    <t>XE01672</t>
  </si>
  <si>
    <t>Nguyễn Xuân Lợi</t>
  </si>
  <si>
    <t>XE01642</t>
  </si>
  <si>
    <t>29K02514</t>
  </si>
  <si>
    <t>Nguyễn Thanh Lâm</t>
  </si>
  <si>
    <t>XE01644</t>
  </si>
  <si>
    <t>Ngô Công Định</t>
  </si>
  <si>
    <t>XE01616</t>
  </si>
  <si>
    <t>29K06949</t>
  </si>
  <si>
    <t>Nguyễn Việt Hùng</t>
  </si>
  <si>
    <t>XE01639</t>
  </si>
  <si>
    <t>Nguyễn Duy Trung</t>
  </si>
  <si>
    <t>XE01641</t>
  </si>
  <si>
    <t>Đinh Văn Phấn</t>
  </si>
  <si>
    <t>Phạm Ngọc Ẩn</t>
  </si>
  <si>
    <t>XE01690</t>
  </si>
  <si>
    <t>Trần Xuân Thỏa</t>
  </si>
  <si>
    <t>XE00909</t>
  </si>
  <si>
    <t>Hỏa Văn Lâm</t>
  </si>
  <si>
    <t>Hỏa Văn Quyết</t>
  </si>
  <si>
    <t>Trần Phong Vũ</t>
  </si>
  <si>
    <t>Nguyễn Viết Vinh</t>
  </si>
  <si>
    <t>XE01698</t>
  </si>
  <si>
    <t>Nguyễn Mạnh Trường</t>
  </si>
  <si>
    <t>XE01694</t>
  </si>
  <si>
    <t>Trần Phước Tùng</t>
  </si>
  <si>
    <t>XE01695</t>
  </si>
  <si>
    <t>Bùi Xuân Bằng</t>
  </si>
  <si>
    <t>XE01666</t>
  </si>
  <si>
    <t>29E59750</t>
  </si>
  <si>
    <t>Ninja</t>
  </si>
  <si>
    <t>29E59664</t>
  </si>
  <si>
    <t>Huỳnh Y Bảo</t>
  </si>
  <si>
    <t>XE01685</t>
  </si>
  <si>
    <t>29G02314</t>
  </si>
  <si>
    <t>Nguyễn Duy Kha</t>
  </si>
  <si>
    <t>XE01714</t>
  </si>
  <si>
    <t>Phạm Văn Trường</t>
  </si>
  <si>
    <t>Nguyễn Phước Sang</t>
  </si>
  <si>
    <t>XE01710</t>
  </si>
  <si>
    <t>Ứng Chánh Sang</t>
  </si>
  <si>
    <t>XE01665</t>
  </si>
  <si>
    <t>29E48524</t>
  </si>
  <si>
    <t>Lái xe vendor</t>
  </si>
  <si>
    <t>60H33681</t>
  </si>
  <si>
    <t>20G00154</t>
  </si>
  <si>
    <t>29H79260</t>
  </si>
  <si>
    <t>29E26651</t>
  </si>
  <si>
    <t>29K11345</t>
  </si>
  <si>
    <t>Nguyễn Tuấn Anh-tuyến chính</t>
  </si>
  <si>
    <t>XE01679</t>
  </si>
  <si>
    <t>Nguyễn Tuấn Anh-trung chuyển</t>
  </si>
  <si>
    <t>XE01466</t>
  </si>
  <si>
    <t>29H84991</t>
  </si>
  <si>
    <t>Grand Total</t>
  </si>
  <si>
    <t>Lái xe</t>
  </si>
  <si>
    <t>Lái xe vendor Total</t>
  </si>
  <si>
    <t xml:space="preserve"> Sum</t>
  </si>
  <si>
    <t>Lê Minh Vin Total</t>
  </si>
  <si>
    <t>Nguyễn Hữu Tùng Total</t>
  </si>
  <si>
    <t xml:space="preserve"> 3T5 Lạnh  Sum</t>
  </si>
  <si>
    <t>Trần Văn Phú Total</t>
  </si>
  <si>
    <t>Huỳnh Y Bảo Total</t>
  </si>
  <si>
    <t>1.5T Sum</t>
  </si>
  <si>
    <t>Bùi Văn Đào Total</t>
  </si>
  <si>
    <t>Kiều Kim Tiến Total</t>
  </si>
  <si>
    <t>Lê Thế Xuân Total</t>
  </si>
  <si>
    <t>Lê Xuân Tú Total</t>
  </si>
  <si>
    <t>Nguyễn Tiến Công Total</t>
  </si>
  <si>
    <t>Phan Văn Thành Total</t>
  </si>
  <si>
    <t>Trần Xuân Trường Total</t>
  </si>
  <si>
    <t>Trương Cẩm Thành Total</t>
  </si>
  <si>
    <t>Trần Hữu Khánh Total</t>
  </si>
  <si>
    <t>Nguyễn Bá Bảo Total</t>
  </si>
  <si>
    <t>Huỳnh Lê Trần Long Total</t>
  </si>
  <si>
    <t>Đặng Tuân Total</t>
  </si>
  <si>
    <t>Phan Tấn Thành Total</t>
  </si>
  <si>
    <t>Cao Hoài Tiên Total</t>
  </si>
  <si>
    <t>Bùi Ngọc Ninh Total</t>
  </si>
  <si>
    <t>Nguyễn Doãn Quang Total</t>
  </si>
  <si>
    <t>Nguyễn Hữu Tuấn Total</t>
  </si>
  <si>
    <t>Đỗ Văn Cường Total</t>
  </si>
  <si>
    <t>Phạm Ngọc Ẩn Total</t>
  </si>
  <si>
    <t>Trần Phong Vũ Total</t>
  </si>
  <si>
    <t>Nguyễn Mạnh Trường Total</t>
  </si>
  <si>
    <t>Trần Phước Tùng Total</t>
  </si>
  <si>
    <t>Nguyễn Phước Sang Total</t>
  </si>
  <si>
    <t>15T Sum</t>
  </si>
  <si>
    <t>Đinh Mai Sơn Total</t>
  </si>
  <si>
    <t>Mai Văn Toản Total</t>
  </si>
  <si>
    <t>Trần Bá Lương Total</t>
  </si>
  <si>
    <t>Phạm Trung Kiên Total</t>
  </si>
  <si>
    <t>2.5T Sum</t>
  </si>
  <si>
    <t>Nguyễn Văn Luận Total</t>
  </si>
  <si>
    <t>Ngô Công Định Total</t>
  </si>
  <si>
    <t>Nguyễn Việt Hùng Total</t>
  </si>
  <si>
    <t>2.5T Lạnh Sum</t>
  </si>
  <si>
    <t>Trần Trung Kiên Total</t>
  </si>
  <si>
    <t>Hồ Khang Vĩ Total</t>
  </si>
  <si>
    <t>Nguyễn Xuân Lợi Total</t>
  </si>
  <si>
    <t>Ứng Chánh Sang Total</t>
  </si>
  <si>
    <t>2T5 Lạnh  Sum</t>
  </si>
  <si>
    <t>Nhâm Văn Cương Total</t>
  </si>
  <si>
    <t>Nguyễn Tuấn Anh-trung chuyển Total</t>
  </si>
  <si>
    <t>3.5T Sum</t>
  </si>
  <si>
    <t>Bùi Phi Hùng Total</t>
  </si>
  <si>
    <t>5.5T Sum</t>
  </si>
  <si>
    <t>Đặng Văn Thắng Total</t>
  </si>
  <si>
    <t>Hoàng Đức Mạnh Total</t>
  </si>
  <si>
    <t>Hoàng Văn Chuyền Total</t>
  </si>
  <si>
    <t>Mai Văn Ngọc Total</t>
  </si>
  <si>
    <t>Trần Văn Cương Total</t>
  </si>
  <si>
    <t>Trần Phi Hùng Total</t>
  </si>
  <si>
    <t>Nguyễn Duy Trung Total</t>
  </si>
  <si>
    <t>6.5T Sum</t>
  </si>
  <si>
    <t>Đặng Công Đức Total</t>
  </si>
  <si>
    <t>Lê Quốc Quân Total</t>
  </si>
  <si>
    <t>Nguyễn Công Binh Total</t>
  </si>
  <si>
    <t>Nguyễn Công Thức Total</t>
  </si>
  <si>
    <t>Nguyễn Đức Linh Total</t>
  </si>
  <si>
    <t>Nguyễn Văn Chí Total</t>
  </si>
  <si>
    <t>Nguyễn Văn Toàn Total</t>
  </si>
  <si>
    <t>Tạ Quốc Vương Total</t>
  </si>
  <si>
    <t>Trịnh Cao Phong Total</t>
  </si>
  <si>
    <t>Lê Anh Tuấn Total</t>
  </si>
  <si>
    <t>Lê Thanh Sơn Total</t>
  </si>
  <si>
    <t>Nguyễn Duy Tuấn Total</t>
  </si>
  <si>
    <t>Ngô Hoàng Vũ Total</t>
  </si>
  <si>
    <t>Nguyễn Đức Toàn Total</t>
  </si>
  <si>
    <t>Huỳnh Xuân Nhân Total</t>
  </si>
  <si>
    <t>Nguyễn Duy Kha Total</t>
  </si>
  <si>
    <t>Nguyễn Tuấn Anh-tuyến chính Total</t>
  </si>
  <si>
    <t>7.1t Sum</t>
  </si>
  <si>
    <t>Hoàng Văn Lợi Total</t>
  </si>
  <si>
    <t>Lê Văn Giang Total</t>
  </si>
  <si>
    <t>Lê Văn Khiêm Total</t>
  </si>
  <si>
    <t>Mai Văn Long Total</t>
  </si>
  <si>
    <t>Nguyễn Hữu Hưởng Total</t>
  </si>
  <si>
    <t>Nguyễn Ngọc Ân Total</t>
  </si>
  <si>
    <t>Nguyễn Quốc Bình Total</t>
  </si>
  <si>
    <t>Nguyễn Trọng Đạt Total</t>
  </si>
  <si>
    <t>Phạm Thái Nhân Total</t>
  </si>
  <si>
    <t>Phạm Thanh Tuấn Total</t>
  </si>
  <si>
    <t>Phạm Văn Hải A Total</t>
  </si>
  <si>
    <t>Phạm Văn Thưởng Total</t>
  </si>
  <si>
    <t>Trịnh Văn Lực Total</t>
  </si>
  <si>
    <t>Vũ Thế An Total</t>
  </si>
  <si>
    <t>Trần Phúc Đạt Total</t>
  </si>
  <si>
    <t>Lê Văn Hoàng Total</t>
  </si>
  <si>
    <t>Trần Đình Mẫn Total</t>
  </si>
  <si>
    <t>Võ Minh Liệp Total</t>
  </si>
  <si>
    <t>Bùi Duy Hiếu Total</t>
  </si>
  <si>
    <t>Huỳnh Tấn Huynh Total</t>
  </si>
  <si>
    <t>Nguyễn Khánh Phú Total</t>
  </si>
  <si>
    <t>Mai Tấn Toàn Total</t>
  </si>
  <si>
    <t>Cao Tuấn Anh Total</t>
  </si>
  <si>
    <t>Cao Phong Anh Total</t>
  </si>
  <si>
    <t>Nguyễn Thanh Nhân Total</t>
  </si>
  <si>
    <t>Nguyễn Minh Trọng Total</t>
  </si>
  <si>
    <t>Nguyễn Văn Chiến Total</t>
  </si>
  <si>
    <t>Nguyễn Văn Thắng Total</t>
  </si>
  <si>
    <t>Võ Văn Trỗi Total</t>
  </si>
  <si>
    <t>Lý Hồng Ngà Total</t>
  </si>
  <si>
    <t>Nguyễn Thanh Lâm Total</t>
  </si>
  <si>
    <t>Đinh Văn Phấn Total</t>
  </si>
  <si>
    <t>Nguyễn Viết Vinh Total</t>
  </si>
  <si>
    <t>Phạm Văn Trường Total</t>
  </si>
  <si>
    <t>8T Sum</t>
  </si>
  <si>
    <t>Đào Ngọc Ngà Total</t>
  </si>
  <si>
    <t>Đào Văn Hùng Total</t>
  </si>
  <si>
    <t>Đỗ Ngọc Chiến Total</t>
  </si>
  <si>
    <t>Đỗ Ngọc Thông Total</t>
  </si>
  <si>
    <t>Đỗ Văn Nam Total</t>
  </si>
  <si>
    <t>Hà Nguyên Dậu Total</t>
  </si>
  <si>
    <t>Hoả Văn Lâm Total</t>
  </si>
  <si>
    <t>Hoả Văn Quyết Total</t>
  </si>
  <si>
    <t>Lê Thanh Đang Total</t>
  </si>
  <si>
    <t>Mã Đức Diễn Total</t>
  </si>
  <si>
    <t>Nguyễn Thanh Bình Total</t>
  </si>
  <si>
    <t>Nguyễn Văn Mạnh Total</t>
  </si>
  <si>
    <t>Phạm Ngọc Cần Total</t>
  </si>
  <si>
    <t>Phạm Quốc Toàn Total</t>
  </si>
  <si>
    <t>Phạm Tuấn Sơn Total</t>
  </si>
  <si>
    <t>Phạm Văn Khâm Total</t>
  </si>
  <si>
    <t>Phạm Văn Phố Total</t>
  </si>
  <si>
    <t>Vũ Ngọc Thường Total</t>
  </si>
  <si>
    <t>Vũ Văn Quân Total</t>
  </si>
  <si>
    <t>Vũ Văn Tỉnh Total</t>
  </si>
  <si>
    <t>Trần Quang Trung Total</t>
  </si>
  <si>
    <t>Trần Xuân Quảng Total</t>
  </si>
  <si>
    <t>Nguyễn Ngọc Tịnh Total</t>
  </si>
  <si>
    <t>Trần Xuân Thỏa Total</t>
  </si>
  <si>
    <t>Hỏa Văn Lâm Total</t>
  </si>
  <si>
    <t>Hỏa Văn Quyết Total</t>
  </si>
  <si>
    <t>Cont 50F Sum</t>
  </si>
  <si>
    <t>(blank) Total</t>
  </si>
  <si>
    <t>(blank) Sum</t>
  </si>
  <si>
    <t>Bùi Xuân Bằng Total</t>
  </si>
  <si>
    <t>2T5 Sum</t>
  </si>
  <si>
    <t>Đại Đồng Tiến Sum</t>
  </si>
  <si>
    <t>Hàng ngoài Sum</t>
  </si>
  <si>
    <t>Hoàng Nam Sum</t>
  </si>
  <si>
    <t>Khải Long Sum</t>
  </si>
  <si>
    <t>VTP Lâm Đồng Sum</t>
  </si>
  <si>
    <t>Hoàng Minh Sum</t>
  </si>
  <si>
    <t>CPN Sum</t>
  </si>
  <si>
    <t>Xe đạp Thống Nhất Sum</t>
  </si>
  <si>
    <t>AK FOOD Sum</t>
  </si>
  <si>
    <t>OPL Sum</t>
  </si>
  <si>
    <t>VTP 2JAW Sum</t>
  </si>
  <si>
    <t>Ghép hàng nhanh Sum</t>
  </si>
  <si>
    <t>Hưng Thịnh Sum</t>
  </si>
  <si>
    <t>TTC Sum</t>
  </si>
  <si>
    <t>VTP Đà Nẵng Sum</t>
  </si>
  <si>
    <t>Gia Huy Phát Sum</t>
  </si>
  <si>
    <t>Nongshim Sum</t>
  </si>
  <si>
    <t>Viettel Log Sum</t>
  </si>
  <si>
    <t>Wareflex Sum</t>
  </si>
  <si>
    <t>Fujitank Sum</t>
  </si>
  <si>
    <t>Nguyễn Hoàng Sum</t>
  </si>
  <si>
    <t>KTA Sum</t>
  </si>
  <si>
    <t>VTP HCM Sum</t>
  </si>
  <si>
    <t>Bảo Hoàng Sum</t>
  </si>
  <si>
    <t>Dược GMP EU Sum</t>
  </si>
  <si>
    <t>Dược HG cont Sum</t>
  </si>
  <si>
    <t>FTC Sum</t>
  </si>
  <si>
    <t>Zhong Cun Sum</t>
  </si>
  <si>
    <t>Hải Lý SME Sum</t>
  </si>
  <si>
    <t>SAG Sum</t>
  </si>
  <si>
    <t>Arttek Sum</t>
  </si>
  <si>
    <t>VTP Quảng Ngãi Sum</t>
  </si>
  <si>
    <t>Thanh Thủy Sum</t>
  </si>
  <si>
    <t>Hoà Phát Sum</t>
  </si>
  <si>
    <t>Thái Hà Sum</t>
  </si>
  <si>
    <t>Nông sản Vĩnh Long Sum</t>
  </si>
  <si>
    <t>Ninja Sum</t>
  </si>
  <si>
    <t>Thần Đèn Sum</t>
  </si>
  <si>
    <t>Trung Chính Sum</t>
  </si>
  <si>
    <t>Trái cây Bích Ngân Sum</t>
  </si>
  <si>
    <t>VTP Cần Thơ Sum</t>
  </si>
  <si>
    <t>VTP HCM - Tân Thới Hiệp Sum</t>
  </si>
  <si>
    <t>VTP Đăklăk Sum</t>
  </si>
  <si>
    <t>VTP Đồng Nai Sum</t>
  </si>
  <si>
    <t>DHG Bắc Sum</t>
  </si>
  <si>
    <t>DHG Nam Sum</t>
  </si>
  <si>
    <t>DHG lẻ Sum</t>
  </si>
  <si>
    <t>Thuốc lá Thăng Long Sum</t>
  </si>
  <si>
    <t>VTP Aeon Sum</t>
  </si>
  <si>
    <t>Vận tải Á Đông Sum</t>
  </si>
  <si>
    <t>DHL Sum</t>
  </si>
  <si>
    <t>VIC Sum</t>
  </si>
  <si>
    <t>Bùi Phi Hùng Sum</t>
  </si>
  <si>
    <t>Bùi Văn Đào Sum</t>
  </si>
  <si>
    <t>Đào Ngọc Ngà Sum</t>
  </si>
  <si>
    <t>Đào Văn Hùng Sum</t>
  </si>
  <si>
    <t>Đặng Công Đức Sum</t>
  </si>
  <si>
    <t>Đặng Văn Thắng Sum</t>
  </si>
  <si>
    <t>Đinh Mai Sơn Sum</t>
  </si>
  <si>
    <t>Đỗ Ngọc Chiến Sum</t>
  </si>
  <si>
    <t>Đỗ Ngọc Thông Sum</t>
  </si>
  <si>
    <t>Đỗ Văn Nam Sum</t>
  </si>
  <si>
    <t>Hà Nguyên Dậu Sum</t>
  </si>
  <si>
    <t>Hoả Văn Lâm Sum</t>
  </si>
  <si>
    <t>Hoả Văn Quyết Sum</t>
  </si>
  <si>
    <t>Hoàng Đức Mạnh Sum</t>
  </si>
  <si>
    <t>Hoàng Văn Chuyền Sum</t>
  </si>
  <si>
    <t>Hoàng Văn Lợi Sum</t>
  </si>
  <si>
    <t>Kiều Kim Tiến Sum</t>
  </si>
  <si>
    <t>Lê Minh Vin Sum</t>
  </si>
  <si>
    <t>Lê Quốc Quân Sum</t>
  </si>
  <si>
    <t>Lê Thanh Đang Sum</t>
  </si>
  <si>
    <t>Lê Thế Xuân Sum</t>
  </si>
  <si>
    <t>Lê Văn Giang Sum</t>
  </si>
  <si>
    <t>Lê Văn Khiêm Sum</t>
  </si>
  <si>
    <t>Lê Xuân Tú Sum</t>
  </si>
  <si>
    <t>Mã Đức Diễn Sum</t>
  </si>
  <si>
    <t>Mai Văn Long Sum</t>
  </si>
  <si>
    <t>Mai Văn Ngọc Sum</t>
  </si>
  <si>
    <t>Mai Văn Toản Sum</t>
  </si>
  <si>
    <t>Nguyễn Công Binh Sum</t>
  </si>
  <si>
    <t>Nguyễn Công Thức Sum</t>
  </si>
  <si>
    <t>Nguyễn Đức Linh Sum</t>
  </si>
  <si>
    <t>Nguyễn Hữu Hưởng Sum</t>
  </si>
  <si>
    <t>Nguyễn Hữu Tùng Sum</t>
  </si>
  <si>
    <t>Nguyễn Ngọc Ân Sum</t>
  </si>
  <si>
    <t>Nguyễn Quốc Bình Sum</t>
  </si>
  <si>
    <t>Nguyễn Tiến Công Sum</t>
  </si>
  <si>
    <t>Nguyễn Thanh Bình Sum</t>
  </si>
  <si>
    <t>Nguyễn Trọng Đạt Sum</t>
  </si>
  <si>
    <t>Nguyễn Văn Chí Sum</t>
  </si>
  <si>
    <t>Nguyễn Văn Luận Sum</t>
  </si>
  <si>
    <t>Nguyễn Văn Mạnh Sum</t>
  </si>
  <si>
    <t>Nguyễn Văn Toàn Sum</t>
  </si>
  <si>
    <t>Phạm Ngọc Cần Sum</t>
  </si>
  <si>
    <t>Phạm Quốc Toàn Sum</t>
  </si>
  <si>
    <t>Phạm Tuấn Sơn Sum</t>
  </si>
  <si>
    <t>Phạm Thái Nhân Sum</t>
  </si>
  <si>
    <t>Phạm Thanh Tuấn Sum</t>
  </si>
  <si>
    <t>Phạm Văn Hải A Sum</t>
  </si>
  <si>
    <t>Phạm Văn Khâm Sum</t>
  </si>
  <si>
    <t>Phạm Văn Phố Sum</t>
  </si>
  <si>
    <t>Phạm Văn Thưởng Sum</t>
  </si>
  <si>
    <t>Phan Văn Thành Sum</t>
  </si>
  <si>
    <t>Tạ Quốc Vương Sum</t>
  </si>
  <si>
    <t>Trần Trung Kiên Sum</t>
  </si>
  <si>
    <t>Trần Văn Cương Sum</t>
  </si>
  <si>
    <t>Trần Xuân Trường Sum</t>
  </si>
  <si>
    <t>Trịnh Cao Phong Sum</t>
  </si>
  <si>
    <t>Trịnh Văn Lực Sum</t>
  </si>
  <si>
    <t>Trương Cẩm Thành Sum</t>
  </si>
  <si>
    <t>Vũ Ngọc Thường Sum</t>
  </si>
  <si>
    <t>Vũ Thế An Sum</t>
  </si>
  <si>
    <t>Vũ Văn Quân Sum</t>
  </si>
  <si>
    <t>Vũ Văn Tỉnh Sum</t>
  </si>
  <si>
    <t>Trần Quang Trung Sum</t>
  </si>
  <si>
    <t>Trần Xuân Quảng Sum</t>
  </si>
  <si>
    <t>Trần Hữu Khánh Sum</t>
  </si>
  <si>
    <t>Nguyễn Bá Bảo Sum</t>
  </si>
  <si>
    <t>Nhâm Văn Cương Sum</t>
  </si>
  <si>
    <t>Trần Văn Phú Sum</t>
  </si>
  <si>
    <t>Lê Anh Tuấn Sum</t>
  </si>
  <si>
    <t>Huỳnh Lê Trần Long Sum</t>
  </si>
  <si>
    <t>Đặng Tuân Sum</t>
  </si>
  <si>
    <t>Trần Phúc Đạt Sum</t>
  </si>
  <si>
    <t>Lê Văn Hoàng Sum</t>
  </si>
  <si>
    <t>Trần Đình Mẫn Sum</t>
  </si>
  <si>
    <t>Phan Tấn Thành Sum</t>
  </si>
  <si>
    <t>Võ Minh Liệp Sum</t>
  </si>
  <si>
    <t>Bùi Duy Hiếu Sum</t>
  </si>
  <si>
    <t>Huỳnh Tấn Huynh Sum</t>
  </si>
  <si>
    <t>Nguyễn Khánh Phú Sum</t>
  </si>
  <si>
    <t>Mai Tấn Toàn Sum</t>
  </si>
  <si>
    <t>Lê Thanh Sơn Sum</t>
  </si>
  <si>
    <t>Cao Tuấn Anh Sum</t>
  </si>
  <si>
    <t>Cao Phong Anh Sum</t>
  </si>
  <si>
    <t>Nguyễn Thanh Nhân Sum</t>
  </si>
  <si>
    <t>Nguyễn Minh Trọng Sum</t>
  </si>
  <si>
    <t>Nguyễn Duy Tuấn Sum</t>
  </si>
  <si>
    <t>Ngô Hoàng Vũ Sum</t>
  </si>
  <si>
    <t>Nguyễn Văn Chiến Sum</t>
  </si>
  <si>
    <t>Nguyễn Văn Thắng Sum</t>
  </si>
  <si>
    <t>Nguyễn Đức Toàn Sum</t>
  </si>
  <si>
    <t>Hồ Khang Vĩ Sum</t>
  </si>
  <si>
    <t>Trần Bá Lương Sum</t>
  </si>
  <si>
    <t>Trần Phi Hùng Sum</t>
  </si>
  <si>
    <t>Nguyễn Ngọc Tịnh Sum</t>
  </si>
  <si>
    <t>Võ Văn Trỗi Sum</t>
  </si>
  <si>
    <t>Huỳnh Xuân Nhân Sum</t>
  </si>
  <si>
    <t>Lý Hồng Ngà Sum</t>
  </si>
  <si>
    <t>Cao Hoài Tiên Sum</t>
  </si>
  <si>
    <t>Bùi Ngọc Ninh Sum</t>
  </si>
  <si>
    <t>Nguyễn Doãn Quang Sum</t>
  </si>
  <si>
    <t>Nguyễn Hữu Tuấn Sum</t>
  </si>
  <si>
    <t>Phạm Trung Kiên Sum</t>
  </si>
  <si>
    <t>Đỗ Văn Cường Sum</t>
  </si>
  <si>
    <t>Nguyễn Xuân Lợi Sum</t>
  </si>
  <si>
    <t>Nguyễn Thanh Lâm Sum</t>
  </si>
  <si>
    <t>Ngô Công Định Sum</t>
  </si>
  <si>
    <t>Nguyễn Việt Hùng Sum</t>
  </si>
  <si>
    <t>Nguyễn Duy Trung Sum</t>
  </si>
  <si>
    <t>Đinh Văn Phấn Sum</t>
  </si>
  <si>
    <t>Phạm Ngọc Ẩn Sum</t>
  </si>
  <si>
    <t>Trần Xuân Thỏa Sum</t>
  </si>
  <si>
    <t>Hỏa Văn Lâm Sum</t>
  </si>
  <si>
    <t>Hỏa Văn Quyết Sum</t>
  </si>
  <si>
    <t>Trần Phong Vũ Sum</t>
  </si>
  <si>
    <t>Nguyễn Viết Vinh Sum</t>
  </si>
  <si>
    <t>Nguyễn Mạnh Trường Sum</t>
  </si>
  <si>
    <t>Trần Phước Tùng Sum</t>
  </si>
  <si>
    <t>Bùi Xuân Bằng Sum</t>
  </si>
  <si>
    <t>Huỳnh Y Bảo Sum</t>
  </si>
  <si>
    <t>Nguyễn Duy Kha Sum</t>
  </si>
  <si>
    <t>Phạm Văn Trường Sum</t>
  </si>
  <si>
    <t>Nguyễn Phước Sang Sum</t>
  </si>
  <si>
    <t>Ứng Chánh Sang Sum</t>
  </si>
  <si>
    <t>Lái xe vendor Sum</t>
  </si>
  <si>
    <t>Nguyễn Tuấn Anh-tuyến chính Sum</t>
  </si>
  <si>
    <t>Nguyễn Tuấn Anh-trung chuyển Sum</t>
  </si>
  <si>
    <t>BẢNG TỔNG HỢP DOANH THU CHI TIẾT CÁC DỰ ÁN T5.2026_P.VTHH</t>
  </si>
  <si>
    <t>Hệ số</t>
  </si>
  <si>
    <t>STT</t>
  </si>
  <si>
    <t>Ngày đi</t>
  </si>
  <si>
    <t>Ngày về</t>
  </si>
  <si>
    <t>KH CỤ THỂ</t>
  </si>
  <si>
    <t>Tuyến Vận chuyển</t>
  </si>
  <si>
    <t>Điểm lấy hàng</t>
  </si>
  <si>
    <t>Điểm giao hàng</t>
  </si>
  <si>
    <t>NVT</t>
  </si>
  <si>
    <t>Doanh thu trước thuế (gồm toàn bộ CP)</t>
  </si>
  <si>
    <t>Chi phí (bốc xếp, sang tải…)</t>
  </si>
  <si>
    <t>DT bao gồm CP xăng dầu</t>
  </si>
  <si>
    <t>DT tính lương lái xe</t>
  </si>
  <si>
    <t>Ghi chú</t>
  </si>
  <si>
    <t>Chiết khấu</t>
  </si>
  <si>
    <t>Tuyến chính</t>
  </si>
  <si>
    <t>Hồ Chí Minh</t>
  </si>
  <si>
    <t xml:space="preserve">Hà Nội </t>
  </si>
  <si>
    <t>XEVN</t>
  </si>
  <si>
    <t>Trung chuyển</t>
  </si>
  <si>
    <t>Bảo Hoàng (KD Đức)</t>
  </si>
  <si>
    <t>Hà Nội</t>
  </si>
  <si>
    <t>Đà Nẵng + Hồ Chí Minh</t>
  </si>
  <si>
    <t>Hô Chí Minh</t>
  </si>
  <si>
    <t>Quảng Trị</t>
  </si>
  <si>
    <t>Hưng Yên</t>
  </si>
  <si>
    <t>Cần Thơ</t>
  </si>
  <si>
    <t>Nghệ An + Hưng Yên</t>
  </si>
  <si>
    <t xml:space="preserve">hưng Yên </t>
  </si>
  <si>
    <t xml:space="preserve">Hưng Yên </t>
  </si>
  <si>
    <t>Hải Phòng</t>
  </si>
  <si>
    <t>Gia Lai</t>
  </si>
  <si>
    <t>Hải Dương</t>
  </si>
  <si>
    <t xml:space="preserve">Bình Dương </t>
  </si>
  <si>
    <t xml:space="preserve">Đà nẵng </t>
  </si>
  <si>
    <t>Đồng Nai - Bình Định</t>
  </si>
  <si>
    <t>Huế</t>
  </si>
  <si>
    <t>Đăk Nông</t>
  </si>
  <si>
    <t>Bắc Ninh</t>
  </si>
  <si>
    <t>Đồng Nai</t>
  </si>
  <si>
    <t>Đà Nẵng</t>
  </si>
  <si>
    <t>Bình Dương</t>
  </si>
  <si>
    <t xml:space="preserve">Bắc Ninh </t>
  </si>
  <si>
    <t>Tây Ninh</t>
  </si>
  <si>
    <t xml:space="preserve">Tây Ninh </t>
  </si>
  <si>
    <t>Ninh Bình</t>
  </si>
  <si>
    <t>Đăklăk</t>
  </si>
  <si>
    <t xml:space="preserve">Ninh Bình </t>
  </si>
  <si>
    <t>Thanh Hóa</t>
  </si>
  <si>
    <t>Nha Trang</t>
  </si>
  <si>
    <t xml:space="preserve">Thanh Hóa </t>
  </si>
  <si>
    <t xml:space="preserve">Huế </t>
  </si>
  <si>
    <t>sửa Nguyễn Văn Toàn thành Lê Quốc Quân</t>
  </si>
  <si>
    <t>J&amp;T</t>
  </si>
  <si>
    <t>Quảng Bình</t>
  </si>
  <si>
    <t>Quảng Trị + Quảng Bình</t>
  </si>
  <si>
    <t>Long An</t>
  </si>
  <si>
    <t xml:space="preserve">Huế   </t>
  </si>
  <si>
    <t>Nội Bài</t>
  </si>
  <si>
    <t xml:space="preserve">Cần Thơ </t>
  </si>
  <si>
    <t>Sửa Phan Văn Thành thành Phan Tấn Thành</t>
  </si>
  <si>
    <t>KonTum + Gia Lai + Đăk Nông</t>
  </si>
  <si>
    <t>Kiên Giang</t>
  </si>
  <si>
    <t>Hà Tĩnh</t>
  </si>
  <si>
    <t>An Giang</t>
  </si>
  <si>
    <t>Long Hậu</t>
  </si>
  <si>
    <t>Trảng Bom</t>
  </si>
  <si>
    <t>Sóng Thần</t>
  </si>
  <si>
    <t xml:space="preserve">Quảng Bình </t>
  </si>
  <si>
    <t>Bãi Hoàng Minh</t>
  </si>
  <si>
    <t>Huế + Quảng Trị</t>
  </si>
  <si>
    <t xml:space="preserve">Vinh </t>
  </si>
  <si>
    <t xml:space="preserve">Quảng Trị </t>
  </si>
  <si>
    <t xml:space="preserve">Thái Bình </t>
  </si>
  <si>
    <t>BHX Thốt Nốt</t>
  </si>
  <si>
    <t>Nghệ An</t>
  </si>
  <si>
    <t>Phú Thọ</t>
  </si>
  <si>
    <t>Winmart Bắc Ninh</t>
  </si>
  <si>
    <t>Winmart Tiên Sơn Bắc Ninh</t>
  </si>
  <si>
    <t>BHX Châu Thành A</t>
  </si>
  <si>
    <t>Quy Nhơn</t>
  </si>
  <si>
    <t>Ngọc Hồi</t>
  </si>
  <si>
    <t>Thái Bình</t>
  </si>
  <si>
    <t xml:space="preserve">Hải Phòng </t>
  </si>
  <si>
    <t>114 Trung Liệt</t>
  </si>
  <si>
    <t>Kho An Sương</t>
  </si>
  <si>
    <t xml:space="preserve">Phú Thọ </t>
  </si>
  <si>
    <t>VẬN HÀNH HCM</t>
  </si>
  <si>
    <t>bổ sung</t>
  </si>
  <si>
    <t>Vỹ</t>
  </si>
  <si>
    <t>xong</t>
  </si>
  <si>
    <t>Thái Nguyên</t>
  </si>
  <si>
    <t>VH HCM</t>
  </si>
  <si>
    <t>Lâm Đồng</t>
  </si>
  <si>
    <t>Bình Định</t>
  </si>
  <si>
    <t>Vận hành HCM</t>
  </si>
  <si>
    <t>Hà Nam</t>
  </si>
  <si>
    <t>Kho đèn</t>
  </si>
  <si>
    <t>Quảng Nam</t>
  </si>
  <si>
    <t>VH Dũng</t>
  </si>
  <si>
    <t>Vũ</t>
  </si>
  <si>
    <t>Tiền Giang</t>
  </si>
  <si>
    <t xml:space="preserve">Vỹ </t>
  </si>
  <si>
    <t xml:space="preserve">Thái Nguyên </t>
  </si>
  <si>
    <t xml:space="preserve">Hà Nam </t>
  </si>
  <si>
    <t>huỷ</t>
  </si>
  <si>
    <t>VH HCM (gấu)</t>
  </si>
  <si>
    <t>Quảng Ngãi</t>
  </si>
  <si>
    <t>Lai Châu</t>
  </si>
  <si>
    <t>Bình Tân</t>
  </si>
  <si>
    <t>Kinh doanh HCM Đức</t>
  </si>
  <si>
    <t xml:space="preserve">Hưng yên </t>
  </si>
  <si>
    <t>Tân Bình</t>
  </si>
  <si>
    <t>Kho sĩ Bảo Hà</t>
  </si>
  <si>
    <t>Lê Đức Thọ</t>
  </si>
  <si>
    <t>Vận hành Vỹ</t>
  </si>
  <si>
    <t xml:space="preserve">Đà Nẵng </t>
  </si>
  <si>
    <t>Ngã tư Ga</t>
  </si>
  <si>
    <t>Hồ Chí Minh - Phú Yên</t>
  </si>
  <si>
    <t xml:space="preserve">Vũ </t>
  </si>
  <si>
    <t>Khuê</t>
  </si>
  <si>
    <t>Quận 12</t>
  </si>
  <si>
    <t>Quận 7</t>
  </si>
  <si>
    <t>QNI _HNI (Bích Hậu)</t>
  </si>
  <si>
    <t>Bình Phước</t>
  </si>
  <si>
    <t xml:space="preserve">Nghệ An </t>
  </si>
  <si>
    <t xml:space="preserve">Khánh hòa </t>
  </si>
  <si>
    <t>KD Đức</t>
  </si>
  <si>
    <t>Nghệ An - Bắc Ninh</t>
  </si>
  <si>
    <t xml:space="preserve">Đồng Nai </t>
  </si>
  <si>
    <t>Vĩnh Long</t>
  </si>
  <si>
    <t>Chị Thảo SG</t>
  </si>
  <si>
    <t>Quận 2</t>
  </si>
  <si>
    <t>Vũng Tàu</t>
  </si>
  <si>
    <t>Sửa Trần Hữu Khánh thành Bùi Văn Đào</t>
  </si>
  <si>
    <t>Sửa Nguyễn Bá Bảo thành Nguyễn Doãn Quang</t>
  </si>
  <si>
    <t xml:space="preserve"> Vũng Tàu</t>
  </si>
  <si>
    <t>Quảng Ngãi + Hồ Chí Minh</t>
  </si>
  <si>
    <t>Bình Dương + Hồ Chí Minh</t>
  </si>
  <si>
    <t>Đồng Anh</t>
  </si>
  <si>
    <t>Gia Lâm</t>
  </si>
  <si>
    <t>Oanh Lê</t>
  </si>
  <si>
    <t xml:space="preserve">Cát Lái </t>
  </si>
  <si>
    <t xml:space="preserve">Long An </t>
  </si>
  <si>
    <t>Cát Lái</t>
  </si>
  <si>
    <t>Đồng Nai - Hải Phòng</t>
  </si>
  <si>
    <t xml:space="preserve">VH HCM </t>
  </si>
  <si>
    <t>Vĩnh Phúc</t>
  </si>
  <si>
    <t>Cao Bằng</t>
  </si>
  <si>
    <t>20/05/2026</t>
  </si>
  <si>
    <t>21/05/2026</t>
  </si>
  <si>
    <t xml:space="preserve">Nghệ An  </t>
  </si>
  <si>
    <t>VT Trung Chính</t>
  </si>
  <si>
    <t>Tân Thanh</t>
  </si>
  <si>
    <t xml:space="preserve">Tân Thanh </t>
  </si>
  <si>
    <t>Bến Tre</t>
  </si>
  <si>
    <t xml:space="preserve">Lào Cai </t>
  </si>
  <si>
    <t>Bình Thuận</t>
  </si>
  <si>
    <t>Nam Định</t>
  </si>
  <si>
    <t>Thủ Đức</t>
  </si>
  <si>
    <t>Lâm Như HG</t>
  </si>
  <si>
    <t>KCN Long Giang</t>
  </si>
  <si>
    <t>Hải Phòng + Hưng Yên</t>
  </si>
  <si>
    <t>Gia Lai núi</t>
  </si>
  <si>
    <t>Quang Dũng</t>
  </si>
  <si>
    <t>Phương Lâm</t>
  </si>
  <si>
    <t>Thủy</t>
  </si>
  <si>
    <t>Hàng robot</t>
  </si>
  <si>
    <t>TTTM Aeon Mall, khu A, khu đô thị An, An Cựu, Huế</t>
  </si>
  <si>
    <t>số 6, Lô 1F-06, Tầng 1 Trung Tâm Thương Mại Lotte Mart Đà Nẵng, Nại Nam, P, Hòa Cường, Đà Nẵng</t>
  </si>
  <si>
    <t> Lô 27 Nguyễn Thị Định, Nguyễn Văn Cừ, Quy Nhơn Nam, Gia Lai</t>
  </si>
  <si>
    <t>112 Lê Hồng Phong, Phường Lê Lợi, Thành phố Quy Nhơn, Gia Lai</t>
  </si>
  <si>
    <t>32B Cao Thắng, Thanh Hóa</t>
  </si>
  <si>
    <t>Gian hàng 21, TTTM Hanoi Centre, Toà Nam, 175 P. Nguyễn Thái Học, Cửa Nam, Hà Nội</t>
  </si>
  <si>
    <t>Số 4 Chính Kinh, Thanh Xuân, Hà Nội</t>
  </si>
  <si>
    <t>Vincom Mega Mall Ocean Park, Hà Nội</t>
  </si>
  <si>
    <t>339 Hồng Hà, Cốc Lếu, Lào Cai</t>
  </si>
  <si>
    <t>BH01, Tầng 1 Vinhomes Imperia, Hùng Vương, Hải Phòng</t>
  </si>
  <si>
    <t>Aeon Mall, 10 Võ Nguyên Giáp, Hải Phòng</t>
  </si>
  <si>
    <t>Căn BH01-06 KĐT Vinhome Imperia, Hải Phòng</t>
  </si>
  <si>
    <t>158 Lê Thánh Tông, Hồng Gai, Quảng Ninh</t>
  </si>
  <si>
    <t>53 Quang Trung, TP Pleiku, Gia Lai</t>
  </si>
  <si>
    <t xml:space="preserve">Hà Tĩnh </t>
  </si>
  <si>
    <t>Anh Khoa</t>
  </si>
  <si>
    <t xml:space="preserve">Hồ Chí Minh </t>
  </si>
  <si>
    <t xml:space="preserve">Tân Phú Trung </t>
  </si>
  <si>
    <t>Phú Yên + Đà Nẵng</t>
  </si>
  <si>
    <t>Bình Chánh</t>
  </si>
  <si>
    <t>Củ Chi</t>
  </si>
  <si>
    <t xml:space="preserve">Củ Chi </t>
  </si>
  <si>
    <t>Toà nhà Hiraki, 59 Phương Liệt , Hà Nội</t>
  </si>
  <si>
    <t xml:space="preserve">Quận 9 </t>
  </si>
  <si>
    <t>Lê Giang</t>
  </si>
  <si>
    <t>KCN CHÂU ĐỨC</t>
  </si>
  <si>
    <t>HCM</t>
  </si>
  <si>
    <t>Richard Bùi (O10)</t>
  </si>
  <si>
    <t>Nguyễn Văn Linh</t>
  </si>
  <si>
    <t>Hồng Hà</t>
  </si>
  <si>
    <t>Phan Thiết</t>
  </si>
  <si>
    <t>Quyên</t>
  </si>
  <si>
    <t>Nguyễn Văn Linh (xuất cty ngoài)</t>
  </si>
  <si>
    <t>VTP Lâm Đồng (Richard Bùi)</t>
  </si>
  <si>
    <t xml:space="preserve">Đăk Nông </t>
  </si>
  <si>
    <t xml:space="preserve">Tây ninh </t>
  </si>
  <si>
    <t xml:space="preserve">Hải Dương </t>
  </si>
  <si>
    <t>Tuyên Quang</t>
  </si>
  <si>
    <t>VTP Đà Nẵng (Tâm)</t>
  </si>
  <si>
    <t>Tân Phú</t>
  </si>
  <si>
    <t xml:space="preserve">Bắc Giang </t>
  </si>
  <si>
    <t>Bắc Giang</t>
  </si>
  <si>
    <t xml:space="preserve">Nam Định   </t>
  </si>
  <si>
    <t>Đồng Nai + Tây Ninh</t>
  </si>
  <si>
    <t xml:space="preserve">Đăklăk </t>
  </si>
  <si>
    <t xml:space="preserve">Nhơn Trạch </t>
  </si>
  <si>
    <t>Nghĩa</t>
  </si>
  <si>
    <t>Đức Tài</t>
  </si>
  <si>
    <t>Hòa Bình</t>
  </si>
  <si>
    <t>Thúy Minh</t>
  </si>
  <si>
    <t>Hà Nam + Hưng Yên</t>
  </si>
  <si>
    <t>Quảng Ninh</t>
  </si>
  <si>
    <t>Lạng Sơn</t>
  </si>
  <si>
    <t>TP Hồ Chí Minh</t>
  </si>
  <si>
    <t>Hồ Chí Minh - Đồng Nai</t>
  </si>
  <si>
    <t>Mộc Bài Tây Ninh</t>
  </si>
  <si>
    <t>Chi Ma</t>
  </si>
  <si>
    <t>Hồ Chí Minh + Tây Ninh</t>
  </si>
  <si>
    <t>Hồ Chí Minh + Bến Tre</t>
  </si>
  <si>
    <t>Hồ Chí Minh  + Tây Ninh</t>
  </si>
  <si>
    <t>bắc ninh</t>
  </si>
  <si>
    <t>Huế+đà nẵng+HCM</t>
  </si>
  <si>
    <t xml:space="preserve">Móng Cái </t>
  </si>
  <si>
    <t>Sóng Thân</t>
  </si>
  <si>
    <t>Phú Mỹ</t>
  </si>
  <si>
    <t xml:space="preserve">Hải Dương    </t>
  </si>
  <si>
    <t>Kho quận 12</t>
  </si>
  <si>
    <t>Bắc Từ Liêm, Hà Nội</t>
  </si>
  <si>
    <t>Hải Phòng (Hải Dương cũ) + Hải Phòng</t>
  </si>
  <si>
    <t>Hà Nội + Bắc Ninh + Bắc Ninh (Bắc Giang cũ)</t>
  </si>
  <si>
    <t>Phú Thọ + Tuyên Quang</t>
  </si>
  <si>
    <t>Ninh Bình (Hà Nam cũ) + Ninh Bình (Nam Định cũ)</t>
  </si>
  <si>
    <t>Bắc Ninh + Bắc Ninh (Bắc Giang cũ)</t>
  </si>
  <si>
    <t>Ninh Bình + Ninh Bình (Nam Định cũ)</t>
  </si>
  <si>
    <t>Ninh Bình (Hà Nam cũ) + Ninh Bình</t>
  </si>
  <si>
    <t>Bắc Ninh (Bắc Giang cũ)</t>
  </si>
  <si>
    <t>Hưng Yên + Hưng Yên (Thái Bình cũ)</t>
  </si>
  <si>
    <t>Phú Thọ (Hoà Bình cũ ) + Ninh Bình (Hà Nam cũ)</t>
  </si>
  <si>
    <t>Phú Thọ (Hoà Bình cũ)</t>
  </si>
  <si>
    <t>Phú Thọ (Vĩnh Phúc cũ)</t>
  </si>
  <si>
    <t>Hưng Yên (Thái Bình cũ)</t>
  </si>
  <si>
    <t>Ninh Bình (Nam Định cũ)</t>
  </si>
  <si>
    <t>Hải Phòng (Hải Dương cũ)</t>
  </si>
  <si>
    <t>Hà Đông - Hà Nội</t>
  </si>
  <si>
    <t>Thanh Oai - Hà Nội</t>
  </si>
  <si>
    <t>Thường Tín - Hà Nội</t>
  </si>
  <si>
    <t>Phú Thọ (Vĩnh Phúc cũ) + Phú Thọ</t>
  </si>
  <si>
    <t>Bình Định - Nha Trang</t>
  </si>
  <si>
    <t>Tuyến nhánh</t>
  </si>
  <si>
    <t>Nam Định + Thái Bình</t>
  </si>
  <si>
    <t>Hải Dương + Hải Phòng</t>
  </si>
  <si>
    <t>Nam Định cũ (NInh Bình địa danh mới)</t>
  </si>
  <si>
    <t>Số 30 Đinh Núp, CG HN</t>
  </si>
  <si>
    <t>Thái Bình Cũ (Hưng Yên địa danh mới)</t>
  </si>
  <si>
    <t>Ninh Bình + Thanh Hóa</t>
  </si>
  <si>
    <t>Thủ đô Hà Nội</t>
  </si>
  <si>
    <t>Ninh Bình + Hưng Yên</t>
  </si>
  <si>
    <t>Kho Tân Tạo -HCM</t>
  </si>
  <si>
    <t>Phường Bà Rịa, HCM</t>
  </si>
  <si>
    <t>Bình Thuận cũ (Lâm Đồng)</t>
  </si>
  <si>
    <t>Khánh Hòa</t>
  </si>
  <si>
    <t>Đắk Lắk</t>
  </si>
  <si>
    <t>Bình Dương cũ (Hồ Chí Minh)</t>
  </si>
  <si>
    <t>Long An (Tây Ninh)</t>
  </si>
  <si>
    <t>Kho TT Miền Bắc-KCN Yên Mỹ, Hưng Yên</t>
  </si>
  <si>
    <t>Văn Giang, Hưng Yên</t>
  </si>
  <si>
    <t>Phường Hải Dương - Hải Phòng</t>
  </si>
  <si>
    <t>Phường Dương Kinh - Hải Phòng</t>
  </si>
  <si>
    <t>Phường Kiến An - Hải Phòng</t>
  </si>
  <si>
    <t>Phường Uông Bí - Quảng Ninh</t>
  </si>
  <si>
    <t>Phường Phù Vân - Ninh Bình</t>
  </si>
  <si>
    <t>Phường Kinh Bắc - Bắc Ninh</t>
  </si>
  <si>
    <t>Phường Vũ Ninh - Bắc Ninh</t>
  </si>
  <si>
    <t>Phường Chũ - Bắc Ninh</t>
  </si>
  <si>
    <t>Phường Thái Bình - Hưng Yên</t>
  </si>
  <si>
    <t>Phường Hạ Long - Quảng Ninh</t>
  </si>
  <si>
    <t>Phường Cao Xanh - Quảng Ninh</t>
  </si>
  <si>
    <t>Phường Hồng Gai - Quảng Ninh</t>
  </si>
  <si>
    <t>Phường Móng Cái 1 - Quảng Ninh</t>
  </si>
  <si>
    <t>Phường Cẩm Phả - Quảng Ninh</t>
  </si>
  <si>
    <t>Phường Lê Thanh Nghị - Hải Phòng</t>
  </si>
  <si>
    <t>Phường Hưng Đạo - Hải Phòng</t>
  </si>
  <si>
    <t>Phường Thành Đông - Hải Phòng</t>
  </si>
  <si>
    <t>Xã Nam Sách - Hải Phòng</t>
  </si>
  <si>
    <t>Phường Nhị Chiểu - Hải Phòng</t>
  </si>
  <si>
    <t>Phường Hồng Bàng - Hải Phòng</t>
  </si>
  <si>
    <t>Phường Phủ Lý - Ninh Bình</t>
  </si>
  <si>
    <t>Phường Bắc Giang - Bắc Ninh</t>
  </si>
  <si>
    <t>Phường Hoa Lư - Ninh Bình</t>
  </si>
  <si>
    <t>Phường Vinh Hưng - Nghệ An</t>
  </si>
  <si>
    <t>Phường Vinh Phú - Nghệ An</t>
  </si>
  <si>
    <t>Phường Hàm Rồng - Thanh Hóa</t>
  </si>
  <si>
    <t>Xã Hữu Lũng - Lạng Sơn</t>
  </si>
  <si>
    <t>Phường Đông Kinh - Lạng Sơn</t>
  </si>
  <si>
    <t>Xã Chi Lăng  - Lạng Sơn</t>
  </si>
  <si>
    <t>Phường Nam Định - Ninh Bình</t>
  </si>
  <si>
    <t>Xã Sơn Động - Bắc Ninh</t>
  </si>
  <si>
    <t>Kho Bình Dương - Tp Hồ Chí Minh</t>
  </si>
  <si>
    <t>Phường Phố Hiến - Hưng Yên</t>
  </si>
  <si>
    <t>Phường Trần Lãm - Hưng Yên</t>
  </si>
  <si>
    <t>Xã Như Quỳnh - Hưng Yên</t>
  </si>
  <si>
    <t>Phường Thanh Liễu - Bắc Ninh</t>
  </si>
  <si>
    <t>Phường Vị Khê - Ninh Bình</t>
  </si>
  <si>
    <t>Phường Cẩm Lệ - Đà Nẵng</t>
  </si>
  <si>
    <t>Phường Quan Triều - Thái Nguyên</t>
  </si>
  <si>
    <t>Phường Nguyệt Viên - Thanh Hóa</t>
  </si>
  <si>
    <t>Phường Hạc Thành - Thanh Hóa</t>
  </si>
  <si>
    <t>TLTL Bình Dương, 609 Lê Hồng Phong, KP. 3, P. Phú Hòa, TP. Thủ Dầu Một, BD</t>
  </si>
  <si>
    <t>Số 48 đường Văn Cao, phường Năng Tĩnh, TP.Nam Định, Tỉnh Nam Định</t>
  </si>
  <si>
    <t>Số 253 Đường Lương Thế Vinh, ph­ường Cửa Bắc, TP.Nam Định, tỉnh Nam Định</t>
  </si>
  <si>
    <t>Tổ 18, khu 7, phường Cao Xanh, TP. Hạ Long, T. Quảng Ninh</t>
  </si>
  <si>
    <t>Số 36, ngõ 2, phố Kim Hoàn, tổ 15, khu 1, phường Bạch Đằng, TP.Hạ Long, tỉnh Quảng Ninh</t>
  </si>
  <si>
    <t>Phố Trần Quốc Toản, tổ 14, khu 2, Phường Hòa Lạc, TP.Móng Cái, Tỉnh Quảng Ninh</t>
  </si>
  <si>
    <t>Số nhà 19, ngõ 2, đường Trần Khánh Dư, tổ 22, Phường Tiền Phong, TP Thái Bình, tỉnh Thái Bình</t>
  </si>
  <si>
    <t>Số 168 Nguyễn Thị Minh Khai, tổ 14, phường Bồ Xuyên, TP.Thái Bình, tỉnh Thái Bình</t>
  </si>
  <si>
    <t>Số 453, phố Lý Thường Kiệt, phường Trần Lãm, TP.Thái Bình, tỉnh Thái Bình</t>
  </si>
  <si>
    <t>Số nhà 84, phố Trần Thái Tông, phường Bồ Xuyên, TP.Thái Bình, tỉnh Thái Bình</t>
  </si>
  <si>
    <t>Số 82 đường Bắc Sơn, thị trấn Hữu Lũng, huyện Hữu Lũng, tỉnh Lạng Sơn</t>
  </si>
  <si>
    <t>Số 55 Cai Kinh, Khu trung tâm, thị trấn Đồng Mỏ, Huyện Chi Lăng, Lạng Sơn</t>
  </si>
  <si>
    <t>Cụm công nghiệp Dĩnh Kế, phường Dĩnh Kế, Thành phố Bắc Giang, tỉnh Bắc Giang</t>
  </si>
  <si>
    <t>Số 42 Lương Văn Chi, phường Hoàng Văn Thụ, TP.Lạng Sơn, tỉnh Lạng Sơn</t>
  </si>
  <si>
    <t>Số 58-60 đường Lý Thái Tổ, phường Trần Phú, TP.Bắc Giang, tỉnh Bắc Giang</t>
  </si>
  <si>
    <t>Số 61, phố Phạm Hồng Thái, phường Quang Trung, TP.Hải Dương, tỉnh Hải Dương</t>
  </si>
  <si>
    <t>Số nhà 31, P Trần Bình Trọng, P Trần Phú, TP Hải Dương</t>
  </si>
  <si>
    <t>Số 24, phố Nguyễn Du, phường Trần Hưng Đạo, TP. Hải Dương, tỉnh Hải Dương</t>
  </si>
  <si>
    <t>Số 23 Quang Trung, phường Trần Phú, TP. Bắc Giang, Bắc Giang</t>
  </si>
  <si>
    <t>Khu Đồng Khê, thị trấn Nam Sách, huyện Nam Sách, tỉnh Hải Dương</t>
  </si>
  <si>
    <t>Số 1168 Nguyễn Bình Khiêm, P Đông Hải 2, Q Hải An, Thành Phố Hải Phòng</t>
  </si>
  <si>
    <t>TLTL KCN Thạch Thất, TT. Quốc Oai, Quốc Oai, Hà Nội</t>
  </si>
  <si>
    <t>Số 196 đường Lê Công Thanh, phường Liêm Chính, TP Phủ Lý, Tỉnh Hà Nam</t>
  </si>
  <si>
    <t>Số 69 đường Phạm Ngọc Thạch, phường Liêm Chính, TP. Phủ Lý, tỉnh Hà Nam</t>
  </si>
  <si>
    <t>Đường 1A, phường Hai Bà Trưng, TP. Phủ Lý, tỉnh Hà Nam</t>
  </si>
  <si>
    <t>Chợ đường cái Văn Lâm, Hưng Yên, gầm cầu đi bộ ngang qua đường cao tốc</t>
  </si>
  <si>
    <t>Khu Bích Nhôi 1, P. Minh Tân, Thị xã Kinh Môn, Hải Dương</t>
  </si>
  <si>
    <t>Tổ 25A, P Quang Trung, TP Uông Bí, Tỉnh Quảng Ninh</t>
  </si>
  <si>
    <t>Số 53 Nguyễn Trãi, P Lê Lợi, TP Hưng Yên, Tỉnh Hưng Yên</t>
  </si>
  <si>
    <t>Phố 150 P Chi Lăng, P Nguyễn Trãi , TP Hải Dương, Tỉnh Hải Dương</t>
  </si>
  <si>
    <t>Nguyễn Bỉnh Khiêm, Hải Phòng</t>
  </si>
  <si>
    <t>Số 60C Phan Bội Châu, Phường Hoàng Văn Thụ, Quận Hồng Bàng, TP Hải Phòng</t>
  </si>
  <si>
    <t>AEON NORTH RDC</t>
  </si>
  <si>
    <t>Maxvalu LINH ĐÀM</t>
  </si>
  <si>
    <t>Maxvalu LĨNH NAM</t>
  </si>
  <si>
    <t>Maxvalu SYMPHONY</t>
  </si>
  <si>
    <t>Maxvalu LOTUS</t>
  </si>
  <si>
    <t>Maxvalu HORIZON</t>
  </si>
  <si>
    <t>Maxvalu KOSMO</t>
  </si>
  <si>
    <t>Maxvalu CIPUTRA</t>
  </si>
  <si>
    <t>Maxvalu FIVE STAR</t>
  </si>
  <si>
    <t>Maxvalu ROYAL CITY</t>
  </si>
  <si>
    <t>NAM TRUNG YÊN</t>
  </si>
  <si>
    <t>Maxvalu THE FIVE</t>
  </si>
  <si>
    <t>Maxvalu ECOPARK 3</t>
  </si>
  <si>
    <t>Maxvalu ECOPARK</t>
  </si>
  <si>
    <t>Maxvalu ZENPARK</t>
  </si>
  <si>
    <t>Maxvalu WESTBAY</t>
  </si>
  <si>
    <t>OCEAN PARK MASTERI</t>
  </si>
  <si>
    <t>Maxvalu HAWAII</t>
  </si>
  <si>
    <t>Maxvalu SAPPHIRE</t>
  </si>
  <si>
    <t>Maxvalu OCEANPARK</t>
  </si>
  <si>
    <t>Maxvalu LANDMARK</t>
  </si>
  <si>
    <t>Maxvalu SKY OASIS</t>
  </si>
  <si>
    <t>HAVENPARK</t>
  </si>
  <si>
    <t>Maxvalu LACASTA</t>
  </si>
  <si>
    <t>Maxvalu HYUNDAI</t>
  </si>
  <si>
    <t>Maxvalu RIVERSIDE</t>
  </si>
  <si>
    <t>Maxvalu SMART CITY</t>
  </si>
  <si>
    <t>Maxvalu WEST POINT</t>
  </si>
  <si>
    <t>Maxvalu THĂNG LONG</t>
  </si>
  <si>
    <t xml:space="preserve">xe đi giao hàng rớt gia vị </t>
  </si>
  <si>
    <t>AEON THE NINE</t>
  </si>
  <si>
    <t xml:space="preserve"> </t>
  </si>
  <si>
    <t>CENTRAL KITCHEN</t>
  </si>
  <si>
    <t>Maxvalu SUNSHINE CITY</t>
  </si>
  <si>
    <t>THU TOTE</t>
  </si>
  <si>
    <t>Maxvalu PARK HILL</t>
  </si>
  <si>
    <t>Tâm</t>
  </si>
  <si>
    <t>vũ văn quân</t>
  </si>
  <si>
    <t>Kim Tuyến</t>
  </si>
  <si>
    <t xml:space="preserve">Bến Cát </t>
  </si>
  <si>
    <t xml:space="preserve">Gia Lai   </t>
  </si>
  <si>
    <t>Bình Dương - Huế</t>
  </si>
  <si>
    <t>Thanh Hóa + Hải Dương</t>
  </si>
  <si>
    <t>Bến Cát - Hà Nội</t>
  </si>
  <si>
    <t xml:space="preserve">Thanh hóa </t>
  </si>
  <si>
    <t>Bến Cát - Bắc Ninh</t>
  </si>
  <si>
    <t>Bến Cát</t>
  </si>
  <si>
    <t xml:space="preserve">Ngọc Hồi </t>
  </si>
  <si>
    <t>Kim Mã</t>
  </si>
  <si>
    <t>Cà Mau</t>
  </si>
  <si>
    <t xml:space="preserve">Quảng Nam </t>
  </si>
  <si>
    <t>Shimada VSIP</t>
  </si>
  <si>
    <t>Vsip 2</t>
  </si>
  <si>
    <t>Vsip 1 + Bến Cát</t>
  </si>
  <si>
    <t>KCN Vsip Bắc Ninh</t>
  </si>
  <si>
    <t>KCN Yên Mỹ, Hưng Yên</t>
  </si>
  <si>
    <t>VHC 980 Cảng Bạch Đằng, HN</t>
  </si>
  <si>
    <t>KCN Hạp Lĩnh, Bắc Ninh</t>
  </si>
  <si>
    <t>Cảng Khuyến Lương</t>
  </si>
  <si>
    <t>Bảng trừ lương tháng 05/2026</t>
  </si>
  <si>
    <t>Ngày</t>
  </si>
  <si>
    <t xml:space="preserve">Lộ trình </t>
  </si>
  <si>
    <t>Tem xe</t>
  </si>
  <si>
    <t>Tên lái</t>
  </si>
  <si>
    <t>BKS</t>
  </si>
  <si>
    <t>Nhân viên bị trừ lương</t>
  </si>
  <si>
    <t>Bộ Phận</t>
  </si>
  <si>
    <t>Trừ lương</t>
  </si>
  <si>
    <t>Lý do</t>
  </si>
  <si>
    <t>Tháng 5</t>
  </si>
  <si>
    <t>theo định mức tiêu hao dầu</t>
  </si>
  <si>
    <t>,</t>
  </si>
  <si>
    <t xml:space="preserve">Hoàng Văn Lợi </t>
  </si>
  <si>
    <t>HÀ NỘI (LONG BIÊN) - GIA LAI - ĐẮK LẮK</t>
  </si>
  <si>
    <t>JBGX26033000091</t>
  </si>
  <si>
    <t>Nguyễn Văn Chiến -Nguyễn Văn Thắng</t>
  </si>
  <si>
    <t>Thiếu Thao Tác App</t>
  </si>
  <si>
    <t>HÀ NỘI đến ĐẮK LẮK</t>
  </si>
  <si>
    <t>DBGX26040100842</t>
  </si>
  <si>
    <t xml:space="preserve">Trần Đình Mẫn -Huỳnh Tuấn Huynh </t>
  </si>
  <si>
    <t>HÀ NỘI đến HỒ CHÍ MINH</t>
  </si>
  <si>
    <t>JBGX26040300113</t>
  </si>
  <si>
    <t>Trần Xuân Thoả-Đỗ Ngọc Chiến</t>
  </si>
  <si>
    <t>Trần Xuân Thoả</t>
  </si>
  <si>
    <t>CẦN THƠ đến HÀ NỘI</t>
  </si>
  <si>
    <t>DKGX26040500817</t>
  </si>
  <si>
    <t>Phạm Văn Khâm-Vũ Văn Quân</t>
  </si>
  <si>
    <t>HÀ NỘI đến HỒ CHÍ MINH (GW5)</t>
  </si>
  <si>
    <t>DKGX26040700593</t>
  </si>
  <si>
    <t xml:space="preserve">Nguyễn Thành Quang-Bùi Tiến Hưng </t>
  </si>
  <si>
    <t>Nguyễn Thành Quang</t>
  </si>
  <si>
    <t>HÀ NỘI đến BÌNH DƯƠNG</t>
  </si>
  <si>
    <t>DBGX26040801062</t>
  </si>
  <si>
    <t>Trương Cẩm Thành-Trần Thanh Đạt</t>
  </si>
  <si>
    <t>Trương Cẩm Thành</t>
  </si>
  <si>
    <t>DKGX26041100471</t>
  </si>
  <si>
    <t>Cao Hoài Tiên -Bùi Ngọc Ninh</t>
  </si>
  <si>
    <t>HỒ CHÍ MINH (GW5) đến HÀ NỘI</t>
  </si>
  <si>
    <t>DKGX26041200602</t>
  </si>
  <si>
    <t xml:space="preserve">Nguyễn Văn Toàn-Lê Văn Khiêm </t>
  </si>
  <si>
    <t>Bùi Tiến Hưng</t>
  </si>
  <si>
    <t>Trần Thanh Đạt</t>
  </si>
  <si>
    <t>HÀ NỘI - ĐẮK LẮK-ĐẮK LẮK</t>
  </si>
  <si>
    <t>DBGX26033101331</t>
  </si>
  <si>
    <t>Trịnh Cao Phong-Lê Thanh Sơn</t>
  </si>
  <si>
    <t>Phạt Vi Phạm Thời Hiệu</t>
  </si>
  <si>
    <t>HÀ NỘI-ĐẮK LẮK</t>
  </si>
  <si>
    <t>DBGX26040401242</t>
  </si>
  <si>
    <t xml:space="preserve">Lê Quốc Quân-Nguyễn Văn Chí </t>
  </si>
  <si>
    <t>HÀ NỘI (LONG BIÊN)-GIA LAI - ĐẮK LẮK</t>
  </si>
  <si>
    <t>DBGX26040700640</t>
  </si>
  <si>
    <t xml:space="preserve">Cao Tuấn Anh -Cao Phong Anh </t>
  </si>
  <si>
    <t>CẦN THƠ-HÀ NỘI</t>
  </si>
  <si>
    <t>DKGX26040700916</t>
  </si>
  <si>
    <t>Hoả Văn Lâm-Hoả Văn Quyết</t>
  </si>
  <si>
    <t>DBGX26040900660</t>
  </si>
  <si>
    <t>TỔNG</t>
  </si>
  <si>
    <t>Bảng thu nhập khác theo định mức dầu tháng 05/2026</t>
  </si>
  <si>
    <t xml:space="preserve">Nhân viên </t>
  </si>
  <si>
    <t>Cộng thu nhập</t>
  </si>
  <si>
    <t>Mã NV</t>
  </si>
  <si>
    <t>Tuyến</t>
  </si>
  <si>
    <t>Ngày sinh</t>
  </si>
  <si>
    <t>Tuổi</t>
  </si>
  <si>
    <t>Giới tính</t>
  </si>
  <si>
    <t>THÔNG TIN XE</t>
  </si>
  <si>
    <t>Lê Đình Ngũ</t>
  </si>
  <si>
    <t>XE00979</t>
  </si>
  <si>
    <t>Nam</t>
  </si>
  <si>
    <t>Xe (BKS)</t>
  </si>
  <si>
    <t>Tải trọng</t>
  </si>
  <si>
    <t>29E18964</t>
  </si>
  <si>
    <t>Nguyễn Trọng Tấn</t>
  </si>
  <si>
    <t>XE00615</t>
  </si>
  <si>
    <t>Nguyễn Danh Lâm</t>
  </si>
  <si>
    <t>XE00866</t>
  </si>
  <si>
    <t>Phan Lưu Trường</t>
  </si>
  <si>
    <t>XE00567</t>
  </si>
  <si>
    <t>Phạm Công Tài</t>
  </si>
  <si>
    <t>XE00848</t>
  </si>
  <si>
    <t>Nguyễn Đình Đặng</t>
  </si>
  <si>
    <t>XE00958</t>
  </si>
  <si>
    <t>Nguyễn Khương</t>
  </si>
  <si>
    <t>XE00935</t>
  </si>
  <si>
    <t>Nguyễn Thế Anh</t>
  </si>
  <si>
    <t>XE01006</t>
  </si>
  <si>
    <t>Hoàng Gia Sùng</t>
  </si>
  <si>
    <t>XE00867</t>
  </si>
  <si>
    <t>Nguyễn Văn Tứ</t>
  </si>
  <si>
    <t>XE01003</t>
  </si>
  <si>
    <t>Vương Văn Ty</t>
  </si>
  <si>
    <t>XE00961</t>
  </si>
  <si>
    <t>Lý Văn Thành</t>
  </si>
  <si>
    <t>XE00957</t>
  </si>
  <si>
    <t>Nguyễn Văn Sang</t>
  </si>
  <si>
    <t>XE00704</t>
  </si>
  <si>
    <t>Nguyễn Hữu Sang</t>
  </si>
  <si>
    <t>XE00996</t>
  </si>
  <si>
    <t>Nguyễn Đức Long</t>
  </si>
  <si>
    <t>XE00883</t>
  </si>
  <si>
    <t>Nguyễn Văn Hạnh</t>
  </si>
  <si>
    <t>XE00882</t>
  </si>
  <si>
    <t>Bùi Văn Quang</t>
  </si>
  <si>
    <t>XE01100</t>
  </si>
  <si>
    <t>Nguyễn Văn Bắc</t>
  </si>
  <si>
    <t>XE01106</t>
  </si>
  <si>
    <t>Nguyễn Văn Việt</t>
  </si>
  <si>
    <t>XE01099</t>
  </si>
  <si>
    <t>Vũ Hồng Nam</t>
  </si>
  <si>
    <t>XE00788</t>
  </si>
  <si>
    <t>Phan Lưu Sơn</t>
  </si>
  <si>
    <t>XE00831</t>
  </si>
  <si>
    <t>Phạm Văn Duy</t>
  </si>
  <si>
    <t>XE00830</t>
  </si>
  <si>
    <t>29E12410</t>
  </si>
  <si>
    <t>Nguyễn Văn Quy</t>
  </si>
  <si>
    <t>XE01007</t>
  </si>
  <si>
    <t>Đặng Ngọc Lâm</t>
  </si>
  <si>
    <t>XE00835</t>
  </si>
  <si>
    <t>Võ Hồng Thủy</t>
  </si>
  <si>
    <t>XE00850</t>
  </si>
  <si>
    <t>Đỗ Văn An</t>
  </si>
  <si>
    <t>XE00995</t>
  </si>
  <si>
    <t>Tuyến chính - Cont</t>
  </si>
  <si>
    <t>Vũ Văn Quang</t>
  </si>
  <si>
    <t>XE00897</t>
  </si>
  <si>
    <t>Hoàng Minh Thịnh</t>
  </si>
  <si>
    <t>XE00705</t>
  </si>
  <si>
    <t>Lê Mạnh Cường</t>
  </si>
  <si>
    <t>XE00671</t>
  </si>
  <si>
    <t>Phạm Hồng Thái</t>
  </si>
  <si>
    <t>XE00817</t>
  </si>
  <si>
    <t>Lê Văn Tuyền</t>
  </si>
  <si>
    <t>XE00895</t>
  </si>
  <si>
    <t>Nguyễn Minh Hiếu</t>
  </si>
  <si>
    <t>XE00701</t>
  </si>
  <si>
    <t>Trần Văn Thanh B</t>
  </si>
  <si>
    <t>XE00818</t>
  </si>
  <si>
    <t>Trần Văn Cao</t>
  </si>
  <si>
    <t>XE01112</t>
  </si>
  <si>
    <t>Trịnh Đức Trọng</t>
  </si>
  <si>
    <t>XE01151</t>
  </si>
  <si>
    <t>Tuyến chính - CPN</t>
  </si>
  <si>
    <t>Vũ Văn Quân B</t>
  </si>
  <si>
    <t>XE01175</t>
  </si>
  <si>
    <t>29K05088</t>
  </si>
  <si>
    <t>1T</t>
  </si>
  <si>
    <t>Ngô Văn Lợi</t>
  </si>
  <si>
    <t>XE01183</t>
  </si>
  <si>
    <t>Chu Phú Thao</t>
  </si>
  <si>
    <t>XE01186</t>
  </si>
  <si>
    <t>Nguyễn Đức Dương</t>
  </si>
  <si>
    <t>XE01198</t>
  </si>
  <si>
    <t>Bùi Văn Khánh</t>
  </si>
  <si>
    <t>XE01199</t>
  </si>
  <si>
    <t>Phùng Hải Đăng</t>
  </si>
  <si>
    <t>XE01205</t>
  </si>
  <si>
    <t>29H46401</t>
  </si>
  <si>
    <t>Nguyễn Đức Mạnh</t>
  </si>
  <si>
    <t>XE01212</t>
  </si>
  <si>
    <t>29K12715</t>
  </si>
  <si>
    <t>Xe tai nạn</t>
  </si>
  <si>
    <t>Lê Văn Đông</t>
  </si>
  <si>
    <t>XE01215</t>
  </si>
  <si>
    <t>Nguyễn Thừa Vinh</t>
  </si>
  <si>
    <t>XE01244</t>
  </si>
  <si>
    <t>PS T11.2025</t>
  </si>
  <si>
    <t>Trần Công Vương</t>
  </si>
  <si>
    <t>XE01245</t>
  </si>
  <si>
    <t>Cao Văn Dương</t>
  </si>
  <si>
    <t>XE01246</t>
  </si>
  <si>
    <t>Nguyễn Văn Trung</t>
  </si>
  <si>
    <t>XE01250</t>
  </si>
  <si>
    <t>Vũ Văn Tường</t>
  </si>
  <si>
    <t>XE01247</t>
  </si>
  <si>
    <t>Lại Hợp Huấn</t>
  </si>
  <si>
    <t>XE00862</t>
  </si>
  <si>
    <t>Nguyễn Văn Quý</t>
  </si>
  <si>
    <t>XE01276</t>
  </si>
  <si>
    <t>Đặng Thành Lai</t>
  </si>
  <si>
    <t>XE01280</t>
  </si>
  <si>
    <t>Lê Huy Hùng</t>
  </si>
  <si>
    <t>XE01284</t>
  </si>
  <si>
    <t>Nguyễn Hữu Thuỳ</t>
  </si>
  <si>
    <t>XE01294</t>
  </si>
  <si>
    <t>Trương Vĩnh Nhật</t>
  </si>
  <si>
    <t>XE01295</t>
  </si>
  <si>
    <t>29E44329</t>
  </si>
  <si>
    <t>Trần Bảo Bình</t>
  </si>
  <si>
    <t>XE01296</t>
  </si>
  <si>
    <t>29E54217</t>
  </si>
  <si>
    <t>Lê Ngọc Dương</t>
  </si>
  <si>
    <t>XE01312</t>
  </si>
  <si>
    <t>29E60682</t>
  </si>
  <si>
    <t>Hui Ngọc Vũ</t>
  </si>
  <si>
    <t>XE01265</t>
  </si>
  <si>
    <t>Nguyễn Nhật Tú</t>
  </si>
  <si>
    <t>XE01317</t>
  </si>
  <si>
    <t>29E59350</t>
  </si>
  <si>
    <t>Trần Văn Hà</t>
  </si>
  <si>
    <t>XE01328</t>
  </si>
  <si>
    <t>Nguyễn Như Sơn</t>
  </si>
  <si>
    <t>XE01332</t>
  </si>
  <si>
    <t>Nguyễn Văn Tuấn</t>
  </si>
  <si>
    <t>XE01336</t>
  </si>
  <si>
    <t>Nguyễn Ánh Sang</t>
  </si>
  <si>
    <t>XE01337</t>
  </si>
  <si>
    <t>Nguyễn Quang Can</t>
  </si>
  <si>
    <t>XE01340</t>
  </si>
  <si>
    <t>Hồ Sỹ Luân</t>
  </si>
  <si>
    <t>XE01341</t>
  </si>
  <si>
    <t>Từ Phạm Quốc Điệp</t>
  </si>
  <si>
    <t>XE01360</t>
  </si>
  <si>
    <t>Võ Đặng Anh Thông</t>
  </si>
  <si>
    <t>XE01361</t>
  </si>
  <si>
    <t>Lê Văn Hùng</t>
  </si>
  <si>
    <t>XE01068</t>
  </si>
  <si>
    <t>Huỳnh Trọng Trung</t>
  </si>
  <si>
    <t>XE01264</t>
  </si>
  <si>
    <t>Dương Văn Hoan</t>
  </si>
  <si>
    <t>XE00864</t>
  </si>
  <si>
    <t>Đỗ Phi Hùng</t>
  </si>
  <si>
    <t>XE00789</t>
  </si>
  <si>
    <t>Nguyễn Hữu Thùy</t>
  </si>
  <si>
    <t>Nguyễn Quang Hòa</t>
  </si>
  <si>
    <t>XE01373</t>
  </si>
  <si>
    <t>Nguyễn Văn Vinh</t>
  </si>
  <si>
    <t>XE01374</t>
  </si>
  <si>
    <t>Phan Thanh Tòng</t>
  </si>
  <si>
    <t>XE01372</t>
  </si>
  <si>
    <t>Nguyễn Văn Vũ</t>
  </si>
  <si>
    <t>XE01381</t>
  </si>
  <si>
    <t>Lâm Đình Hải</t>
  </si>
  <si>
    <t>XE01254</t>
  </si>
  <si>
    <t>Nguyễn Thanh Hiển</t>
  </si>
  <si>
    <t>XE01398</t>
  </si>
  <si>
    <t>Hồ Sĩ Luân</t>
  </si>
  <si>
    <t>XE01389</t>
  </si>
  <si>
    <t>Nguyễn Công Bình</t>
  </si>
  <si>
    <t>Lê Văn Tàu</t>
  </si>
  <si>
    <t>XE01425</t>
  </si>
  <si>
    <t>Phạm Ngọc Hưng</t>
  </si>
  <si>
    <t>XE01424</t>
  </si>
  <si>
    <t xml:space="preserve">Lê Văn Giang </t>
  </si>
  <si>
    <t>Nguyễn Văn Quý</t>
  </si>
  <si>
    <t>Chu Phú Thao</t>
  </si>
  <si>
    <t>Nguyễn Trần Đạo</t>
  </si>
  <si>
    <t>XE01448</t>
  </si>
  <si>
    <t>Phạm Ngọc Sơn</t>
  </si>
  <si>
    <t>XE01449</t>
  </si>
  <si>
    <t>Ngô Nguyên Khang</t>
  </si>
  <si>
    <t>XE01440</t>
  </si>
  <si>
    <t>Nguyễn Thành Quang</t>
  </si>
  <si>
    <t>Trịnh Công Hưng</t>
  </si>
  <si>
    <t>XE01401</t>
  </si>
  <si>
    <t>Vi Trọng Quý</t>
  </si>
  <si>
    <t>XE01156</t>
  </si>
  <si>
    <t>Đỗ Văn An</t>
  </si>
  <si>
    <t>Bùi Đức Minh</t>
  </si>
  <si>
    <t>XE01266</t>
  </si>
  <si>
    <t>Trần Trung Kiên</t>
  </si>
  <si>
    <t>Nguyễn Đình Hiệp</t>
  </si>
  <si>
    <t>XE01500</t>
  </si>
  <si>
    <t>Cù Huy Bình</t>
  </si>
  <si>
    <t>XE01501</t>
  </si>
  <si>
    <t>Trương Ngọc Hạnh</t>
  </si>
  <si>
    <t>XE01458</t>
  </si>
  <si>
    <t>Nguyễn Tuấn Chiến</t>
  </si>
  <si>
    <t>XE01460</t>
  </si>
  <si>
    <t>Nguyễn Hùng Anh</t>
  </si>
  <si>
    <t>XE01459</t>
  </si>
  <si>
    <t>Phan Quốc Dương</t>
  </si>
  <si>
    <t>XE01493</t>
  </si>
  <si>
    <t>Võ Thành Đại</t>
  </si>
  <si>
    <t>XE01492</t>
  </si>
  <si>
    <t>XE01490</t>
  </si>
  <si>
    <t>Trần Hữu Đạt</t>
  </si>
  <si>
    <t>XE01489</t>
  </si>
  <si>
    <t>Nguyễn Huy</t>
  </si>
  <si>
    <t>XE01478</t>
  </si>
  <si>
    <t>Nguyễn Quốc Vỹ</t>
  </si>
  <si>
    <t>XE01201</t>
  </si>
  <si>
    <t>Trần Văn Phết</t>
  </si>
  <si>
    <t>XE01529</t>
  </si>
  <si>
    <t>Đặng Quang Đạt</t>
  </si>
  <si>
    <t>XE01508</t>
  </si>
  <si>
    <t>Nguyễn Văn Huy</t>
  </si>
  <si>
    <t>XE01509</t>
  </si>
  <si>
    <t>Trần Văn Thanh</t>
  </si>
  <si>
    <t>Nguyễn Hoàng Long</t>
  </si>
  <si>
    <t>XE01505</t>
  </si>
  <si>
    <t>Nguyễn Đình Mến</t>
  </si>
  <si>
    <t>XE01528</t>
  </si>
  <si>
    <t>Huỳnh Văn Thảo</t>
  </si>
  <si>
    <t>XE01518</t>
  </si>
  <si>
    <t>Võ Ngọc Tuấn</t>
  </si>
  <si>
    <t>XE01525</t>
  </si>
  <si>
    <t>Nguyễn Bá Khương</t>
  </si>
  <si>
    <t>XE01535</t>
  </si>
  <si>
    <t>Nguyễn Anh Tùng</t>
  </si>
  <si>
    <t>XE01531</t>
  </si>
  <si>
    <t>Lê Văn Thắng</t>
  </si>
  <si>
    <t>XE01533</t>
  </si>
  <si>
    <t>Trương Hồng Pha</t>
  </si>
  <si>
    <t>XE01542</t>
  </si>
  <si>
    <t>Bùi Thái Sang</t>
  </si>
  <si>
    <t>XE01564</t>
  </si>
  <si>
    <t>XE01588</t>
  </si>
  <si>
    <t>Trần Văn Linh</t>
  </si>
  <si>
    <t>XE01573</t>
  </si>
  <si>
    <t>Châu Hồng Khải</t>
  </si>
  <si>
    <t>XE01613</t>
  </si>
  <si>
    <t>Nguyễn Xuân Toàn</t>
  </si>
  <si>
    <t>XE01603</t>
  </si>
  <si>
    <t>Đặng Hữu Giang</t>
  </si>
  <si>
    <t>XE01602</t>
  </si>
  <si>
    <t>Nguyễn Khắc Vũ Em</t>
  </si>
  <si>
    <t>XE01566</t>
  </si>
  <si>
    <t>Lê Văn Dũng</t>
  </si>
  <si>
    <t>XE01565</t>
  </si>
  <si>
    <t>Nguyễn Phú Khánh</t>
  </si>
  <si>
    <t>XE01550</t>
  </si>
  <si>
    <t>Vũ Đình Tuấn</t>
  </si>
  <si>
    <t>XE00066</t>
  </si>
  <si>
    <t>Nguyễn Công Lộc</t>
  </si>
  <si>
    <t>XE01577</t>
  </si>
  <si>
    <t>Giang Kiến Hưng</t>
  </si>
  <si>
    <t>XE01580</t>
  </si>
  <si>
    <t>Lê Trung Hoàng Bảo Ngọc</t>
  </si>
  <si>
    <t>XE01607</t>
  </si>
  <si>
    <t>Phạm Thanh Tâm</t>
  </si>
  <si>
    <t>XE01604</t>
  </si>
  <si>
    <t>Nguyễn Xuân Toàn</t>
  </si>
  <si>
    <t>Nguyễn Trần Trọng Khang</t>
  </si>
  <si>
    <t>XE01365</t>
  </si>
  <si>
    <t>Võ Long Vũ</t>
  </si>
  <si>
    <t>XE01217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</si>
</sst>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-* #,##0\ _₫_-;\-* #,##0\ _₫_-;_-* &quot;-&quot;??\ _₫_-;_-@"/>
    <numFmt numFmtId="181" formatCode="_(* #,##0_);_(* \(#,##0\);_(* &quot;-&quot;??_);_(@_)"/>
    <numFmt numFmtId="182" formatCode="[$-10488]dd/mm/yyyy;@"/>
  </numFmts>
  <fonts count="44">
    <font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Arial"/>
      <charset val="134"/>
    </font>
    <font>
      <sz val="12"/>
      <name val="Times New Roman"/>
      <charset val="134"/>
    </font>
    <font>
      <b/>
      <sz val="18"/>
      <color theme="1"/>
      <name val="Times New Roman"/>
      <charset val="134"/>
    </font>
    <font>
      <sz val="18"/>
      <color theme="1"/>
      <name val="Times New Roman"/>
      <charset val="134"/>
    </font>
    <font>
      <sz val="11"/>
      <color theme="1"/>
      <name val="Calibri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</font>
    <font>
      <sz val="12"/>
      <color theme="1"/>
      <name val="Times New Roman"/>
      <charset val="134"/>
    </font>
    <font>
      <sz val="12"/>
      <color theme="1"/>
      <name val="Calibri"/>
      <charset val="134"/>
    </font>
    <font>
      <b/>
      <sz val="12"/>
      <color theme="1"/>
      <name val="Times New Roman"/>
      <charset val="134"/>
    </font>
    <font>
      <b/>
      <sz val="12"/>
      <color theme="1"/>
      <name val="Calibri"/>
      <charset val="134"/>
    </font>
    <font>
      <sz val="11"/>
      <name val="Calibri"/>
      <charset val="134"/>
      <scheme val="minor"/>
    </font>
    <font>
      <sz val="12"/>
      <name val="Calibri"/>
      <charset val="134"/>
    </font>
    <font>
      <b/>
      <sz val="13"/>
      <name val="Times New Roman"/>
      <charset val="134"/>
    </font>
    <font>
      <sz val="13"/>
      <name val="Times New Roman"/>
      <charset val="134"/>
    </font>
    <font>
      <sz val="13"/>
      <color rgb="FFFF0000"/>
      <name val="Times New Roman"/>
      <charset val="134"/>
    </font>
    <font>
      <sz val="13"/>
      <color theme="1"/>
      <name val="Times New Roman"/>
      <charset val="134"/>
    </font>
    <font>
      <sz val="13"/>
      <color indexed="8"/>
      <name val="Times New Roman"/>
      <charset val="134"/>
    </font>
    <font>
      <sz val="12"/>
      <color indexed="8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63"/>
      <scheme val="minor"/>
    </font>
    <font>
      <b/>
      <sz val="9"/>
      <name val="Tahoma"/>
      <charset val="134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FF00B050"/>
        <bgColor rgb="FF00B050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9" borderId="10" applyNumberFormat="0" applyAlignment="0" applyProtection="0">
      <alignment vertical="center"/>
    </xf>
    <xf numFmtId="0" fontId="31" fillId="10" borderId="11" applyNumberFormat="0" applyAlignment="0" applyProtection="0">
      <alignment vertical="center"/>
    </xf>
    <xf numFmtId="0" fontId="32" fillId="10" borderId="10" applyNumberFormat="0" applyAlignment="0" applyProtection="0">
      <alignment vertical="center"/>
    </xf>
    <xf numFmtId="0" fontId="33" fillId="11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1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58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1" fontId="3" fillId="0" borderId="2" xfId="0" applyNumberFormat="1" applyFont="1" applyBorder="1" applyAlignment="1">
      <alignment wrapText="1"/>
    </xf>
    <xf numFmtId="11" fontId="4" fillId="3" borderId="1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80" fontId="8" fillId="5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9" fillId="0" borderId="0" xfId="0" applyFont="1"/>
    <xf numFmtId="58" fontId="10" fillId="0" borderId="3" xfId="0" applyNumberFormat="1" applyFont="1" applyBorder="1"/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181" fontId="10" fillId="0" borderId="3" xfId="0" applyNumberFormat="1" applyFont="1" applyBorder="1"/>
    <xf numFmtId="0" fontId="11" fillId="0" borderId="0" xfId="0" applyFont="1"/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181" fontId="13" fillId="6" borderId="3" xfId="0" applyNumberFormat="1" applyFont="1" applyFill="1" applyBorder="1" applyAlignment="1">
      <alignment vertical="center"/>
    </xf>
    <xf numFmtId="0" fontId="13" fillId="6" borderId="3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4" fillId="0" borderId="3" xfId="0" applyFont="1" applyBorder="1"/>
    <xf numFmtId="11" fontId="4" fillId="0" borderId="3" xfId="0" applyNumberFormat="1" applyFont="1" applyBorder="1"/>
    <xf numFmtId="181" fontId="4" fillId="0" borderId="3" xfId="0" applyNumberFormat="1" applyFont="1" applyBorder="1"/>
    <xf numFmtId="0" fontId="15" fillId="0" borderId="0" xfId="0" applyFont="1"/>
    <xf numFmtId="0" fontId="11" fillId="0" borderId="3" xfId="0" applyFont="1" applyBorder="1"/>
    <xf numFmtId="0" fontId="16" fillId="0" borderId="0" xfId="0" applyFont="1" applyAlignment="1">
      <alignment horizontal="right" vertical="center"/>
    </xf>
    <xf numFmtId="0" fontId="17" fillId="0" borderId="0" xfId="0" applyFont="1" applyAlignment="1">
      <alignment horizontal="right" wrapText="1"/>
    </xf>
    <xf numFmtId="0" fontId="18" fillId="0" borderId="0" xfId="0" applyFont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58" fontId="17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181" fontId="17" fillId="0" borderId="1" xfId="1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 wrapText="1"/>
    </xf>
    <xf numFmtId="0" fontId="17" fillId="0" borderId="0" xfId="0" applyFont="1" applyAlignment="1">
      <alignment horizontal="center"/>
    </xf>
    <xf numFmtId="181" fontId="17" fillId="0" borderId="0" xfId="1" applyNumberFormat="1" applyFont="1" applyFill="1" applyBorder="1" applyAlignment="1">
      <alignment horizontal="right" vertical="center" wrapText="1"/>
    </xf>
    <xf numFmtId="0" fontId="17" fillId="7" borderId="0" xfId="0" applyFont="1" applyFill="1" applyAlignment="1">
      <alignment horizontal="right" vertical="center" wrapText="1"/>
    </xf>
    <xf numFmtId="0" fontId="17" fillId="7" borderId="0" xfId="0" applyFont="1" applyFill="1" applyAlignment="1">
      <alignment horizontal="center" vertical="center" wrapText="1"/>
    </xf>
    <xf numFmtId="58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81" fontId="16" fillId="0" borderId="0" xfId="1" applyNumberFormat="1" applyFont="1" applyFill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 wrapText="1"/>
    </xf>
    <xf numFmtId="58" fontId="16" fillId="0" borderId="1" xfId="0" applyNumberFormat="1" applyFont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81" fontId="16" fillId="0" borderId="1" xfId="1" applyNumberFormat="1" applyFont="1" applyFill="1" applyBorder="1" applyAlignment="1">
      <alignment horizontal="right" vertical="center" wrapText="1"/>
    </xf>
    <xf numFmtId="0" fontId="19" fillId="0" borderId="1" xfId="0" applyFont="1" applyBorder="1" applyAlignment="1">
      <alignment horizontal="right" vertical="center"/>
    </xf>
    <xf numFmtId="58" fontId="20" fillId="0" borderId="1" xfId="0" applyNumberFormat="1" applyFont="1" applyBorder="1"/>
    <xf numFmtId="182" fontId="17" fillId="0" borderId="1" xfId="0" applyNumberFormat="1" applyFont="1" applyBorder="1" applyAlignment="1">
      <alignment horizontal="right" vertical="center"/>
    </xf>
    <xf numFmtId="0" fontId="20" fillId="0" borderId="1" xfId="0" applyFont="1" applyBorder="1"/>
    <xf numFmtId="3" fontId="20" fillId="0" borderId="1" xfId="0" applyNumberFormat="1" applyFont="1" applyBorder="1"/>
    <xf numFmtId="181" fontId="17" fillId="0" borderId="1" xfId="1" applyNumberFormat="1" applyFont="1" applyFill="1" applyBorder="1" applyAlignment="1">
      <alignment horizontal="right" vertical="center" wrapText="1"/>
    </xf>
    <xf numFmtId="181" fontId="17" fillId="0" borderId="1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 wrapText="1"/>
    </xf>
    <xf numFmtId="0" fontId="21" fillId="2" borderId="1" xfId="0" applyFont="1" applyFill="1" applyBorder="1" applyAlignment="1">
      <alignment horizontal="left"/>
    </xf>
    <xf numFmtId="0" fontId="20" fillId="2" borderId="1" xfId="0" applyFont="1" applyFill="1" applyBorder="1"/>
    <xf numFmtId="0" fontId="17" fillId="0" borderId="1" xfId="0" applyFont="1" applyBorder="1" applyAlignment="1">
      <alignment horizontal="left" vertical="center"/>
    </xf>
    <xf numFmtId="181" fontId="17" fillId="0" borderId="1" xfId="1" applyNumberFormat="1" applyFont="1" applyFill="1" applyBorder="1" applyAlignment="1">
      <alignment horizontal="left" vertical="center"/>
    </xf>
    <xf numFmtId="0" fontId="17" fillId="0" borderId="1" xfId="0" applyFont="1" applyBorder="1" applyAlignment="1">
      <alignment horizontal="right" wrapText="1"/>
    </xf>
    <xf numFmtId="181" fontId="17" fillId="0" borderId="1" xfId="1" applyNumberFormat="1" applyFont="1" applyFill="1" applyBorder="1" applyAlignment="1">
      <alignment horizontal="right" wrapText="1"/>
    </xf>
    <xf numFmtId="11" fontId="20" fillId="0" borderId="1" xfId="0" applyNumberFormat="1" applyFont="1" applyBorder="1"/>
    <xf numFmtId="0" fontId="18" fillId="0" borderId="1" xfId="0" applyFont="1" applyBorder="1" applyAlignment="1">
      <alignment horizontal="right" vertical="center"/>
    </xf>
    <xf numFmtId="58" fontId="18" fillId="0" borderId="1" xfId="0" applyNumberFormat="1" applyFont="1" applyBorder="1"/>
    <xf numFmtId="182" fontId="18" fillId="0" borderId="1" xfId="0" applyNumberFormat="1" applyFont="1" applyBorder="1" applyAlignment="1">
      <alignment horizontal="right" vertical="center"/>
    </xf>
    <xf numFmtId="0" fontId="18" fillId="0" borderId="1" xfId="0" applyFont="1" applyBorder="1"/>
    <xf numFmtId="3" fontId="18" fillId="0" borderId="1" xfId="0" applyNumberFormat="1" applyFont="1" applyBorder="1"/>
    <xf numFmtId="181" fontId="18" fillId="0" borderId="1" xfId="1" applyNumberFormat="1" applyFont="1" applyFill="1" applyBorder="1" applyAlignment="1">
      <alignment horizontal="right" vertical="center" wrapText="1"/>
    </xf>
    <xf numFmtId="181" fontId="18" fillId="0" borderId="1" xfId="0" applyNumberFormat="1" applyFont="1" applyBorder="1" applyAlignment="1">
      <alignment horizontal="right" vertical="center" wrapText="1"/>
    </xf>
    <xf numFmtId="0" fontId="18" fillId="0" borderId="1" xfId="0" applyFont="1" applyBorder="1" applyAlignment="1">
      <alignment horizontal="center" vertical="center" wrapText="1"/>
    </xf>
    <xf numFmtId="181" fontId="18" fillId="0" borderId="1" xfId="1" applyNumberFormat="1" applyFont="1" applyFill="1" applyBorder="1" applyAlignment="1">
      <alignment horizontal="right" vertical="center"/>
    </xf>
    <xf numFmtId="182" fontId="17" fillId="0" borderId="1" xfId="0" applyNumberFormat="1" applyFont="1" applyBorder="1" applyAlignment="1">
      <alignment horizontal="right" vertical="center" wrapText="1"/>
    </xf>
    <xf numFmtId="0" fontId="0" fillId="0" borderId="1" xfId="0" applyFill="1" applyBorder="1"/>
    <xf numFmtId="181" fontId="0" fillId="0" borderId="1" xfId="0" applyNumberFormat="1" applyBorder="1"/>
    <xf numFmtId="181" fontId="0" fillId="0" borderId="1" xfId="0" applyNumberFormat="1" applyFill="1" applyBorder="1"/>
    <xf numFmtId="0" fontId="0" fillId="0" borderId="1" xfId="0" applyBorder="1" applyAlignment="1">
      <alignment horizontal="left"/>
    </xf>
    <xf numFmtId="0" fontId="10" fillId="0" borderId="3" xfId="0" applyFont="1" applyBorder="1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6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strike val="1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19.5896527778" refreshedBy="Administrator" recordCount="2509">
  <cacheSource type="worksheet">
    <worksheetSource ref="A3:Q2899" sheet="Doanh thu"/>
  </cacheSource>
  <cacheFields count="17">
    <cacheField name="STT" numFmtId="0">
      <sharedItems containsString="0" containsBlank="1" containsNumber="1" containsInteger="1" minValue="0" maxValue="2471" count="247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m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</sharedItems>
    </cacheField>
    <cacheField name="Ngày đi" numFmtId="58">
      <sharedItems containsBlank="1" containsDate="1" containsMixedTypes="1" count="45">
        <d v="2026-05-12T00:00:00"/>
        <d v="2026-05-14T00:00:00"/>
        <d v="2026-05-18T00:00:00"/>
        <d v="2026-05-21T00:00:00"/>
        <d v="2026-05-25T00:00:00"/>
        <d v="2026-05-13T00:00:00"/>
        <d v="2026-05-05T00:00:00"/>
        <d v="2026-05-11T00:00:00"/>
        <d v="2026-05-19T00:00:00"/>
        <d v="2026-05-22T00:00:00"/>
        <d v="2026-05-27T00:00:00"/>
        <d v="2026-05-28T00:00:00"/>
        <d v="2026-05-16T00:00:00"/>
        <d v="2026-05-02T00:00:00"/>
        <d v="2026-05-04T00:00:00"/>
        <d v="2026-05-06T00:00:00"/>
        <d v="2026-05-08T00:00:00"/>
        <d v="2026-05-15T00:00:00"/>
        <d v="2026-05-17T00:00:00"/>
        <d v="2026-04-24T00:00:00"/>
        <d v="2026-04-29T00:00:00"/>
        <d v="2026-04-30T00:00:00"/>
        <d v="2026-05-01T00:00:00"/>
        <d v="2026-05-03T00:00:00"/>
        <d v="2026-05-07T00:00:00"/>
        <d v="2026-05-09T00:00:00"/>
        <d v="2026-05-10T00:00:00"/>
        <d v="2026-05-20T00:00:00"/>
        <d v="2026-05-23T00:00:00"/>
        <d v="2026-05-24T00:00:00"/>
        <d v="2026-05-26T00:00:00"/>
        <d v="2026-05-30T00:00:00"/>
        <d v="2026-04-08T00:00:00"/>
        <d v="2026-04-11T00:00:00"/>
        <d v="2026-05-29T00:00:00"/>
        <d v="2026-04-28T00:00:00"/>
        <s v="20/05/2026"/>
        <s v="21/05/2026"/>
        <d v="2025-05-14T00:00:00"/>
        <d v="2026-05-31T00:00:00"/>
        <d v="2026-04-26T00:00:00"/>
        <d v="2026-04-27T00:00:00"/>
        <d v="2025-05-11T00:00:00"/>
        <m/>
        <d v="2026-04-25T00:00:00"/>
      </sharedItems>
    </cacheField>
    <cacheField name="Ngày về" numFmtId="0">
      <sharedItems containsString="0" containsBlank="1" containsNonDate="0" count="1">
        <m/>
      </sharedItems>
    </cacheField>
    <cacheField name="DỰ ÁN" numFmtId="0">
      <sharedItems containsBlank="1" count="53">
        <s v="AK FOOD"/>
        <s v="Bảo Hoàng"/>
        <s v="Dược GMP EU"/>
        <s v="Dược HG cont"/>
        <s v="FTC"/>
        <s v="Fujitank"/>
        <s v="Ghép hàng nhanh"/>
        <s v="Gia Huy Phát"/>
        <s v="Hoàng Minh"/>
        <s v="Hoàng Nam"/>
        <s v="Hàng ngoài"/>
        <s v="Zhong Cun"/>
        <s v="Nguyễn Hoàng"/>
        <s v="Hải Lý SME"/>
        <s v="SAG"/>
        <s v="Arttek"/>
        <s v="VTP Quảng Ngãi"/>
        <s v="Thanh Thủy"/>
        <s v="Hoà Phát"/>
        <s v="Thái Hà"/>
        <s v="Nông sản Vĩnh Long"/>
        <s v="Hưng Thịnh"/>
        <s v="Khải Long"/>
        <s v="Ninja"/>
        <s v="Nongshim"/>
        <s v="OPL"/>
        <s v="TTC"/>
        <s v="Thần Đèn"/>
        <s v="Trung Chính"/>
        <s v="Trái cây Bích Ngân"/>
        <s v="VTP 2JAW"/>
        <s v="VTP Cần Thơ"/>
        <s v="VTP HCM"/>
        <s v="VTP HCM - Tân Thới Hiệp"/>
        <s v="VTP Lâm Đồng"/>
        <s v="VTP Đà Nẵng"/>
        <s v="VTP Đăklăk"/>
        <s v="VTP Đồng Nai"/>
        <s v="Viettel Log"/>
        <s v="Wareflex"/>
        <s v="Xe đạp Thống Nhất"/>
        <s v="Đại Đồng Tiến"/>
        <s v="DHG Bắc"/>
        <s v="DHG Nam"/>
        <s v="DHG lẻ"/>
        <s v="Thuốc lá Thăng Long"/>
        <s v="VTP Aeon"/>
        <s v="CPN"/>
        <s v="Vận tải Á Đông"/>
        <s v="KTA"/>
        <s v="DHL"/>
        <s v="VIC"/>
        <m/>
      </sharedItems>
    </cacheField>
    <cacheField name="KH CỤ THỂ" numFmtId="0">
      <sharedItems containsBlank="1" count="89">
        <s v="AK FOOD"/>
        <s v="Bảo Hoàng (KD Đức)"/>
        <s v="Bảo Hoàng"/>
        <s v="Dược GMP EU"/>
        <s v="Dược HG cont"/>
        <s v="FTC"/>
        <s v="Fujitank"/>
        <s v="Ghép hàng nhanh"/>
        <s v="Gia Huy Phát"/>
        <s v="Hoàng Minh"/>
        <s v="J&amp;T"/>
        <s v="Hoàng Nam"/>
        <s v="VẬN HÀNH HCM"/>
        <s v="Vỹ"/>
        <s v="VH HCM"/>
        <s v="Zhong Cun"/>
        <s v="Vận hành HCM"/>
        <s v="Kho đèn"/>
        <s v="Hàng ngoài"/>
        <s v="VH Dũng"/>
        <s v="Vũ"/>
        <s v="Nguyễn Hoàng"/>
        <s v="Vỹ "/>
        <s v="Hải Lý SME"/>
        <s v="VH HCM (gấu)"/>
        <s v="SAG"/>
        <s v="Arttek"/>
        <s v="Kinh doanh HCM Đức"/>
        <s v="Kho sĩ Bảo Hà"/>
        <s v="Vận hành Vỹ"/>
        <s v="Vũ "/>
        <s v="Khuê"/>
        <s v="QNI _HNI (Bích Hậu)"/>
        <s v="Thanh Thủy"/>
        <s v="KD Đức"/>
        <s v="Thái Hà"/>
        <s v="Nông sản Vĩnh Long"/>
        <s v="Chị Thảo SG"/>
        <s v="Hưng Thịnh"/>
        <s v="Khải Long"/>
        <s v="Ninja"/>
        <s v="Nongshim"/>
        <s v="OPL"/>
        <s v="TTC"/>
        <s v="VH HCM "/>
        <s v="Thần Đèn"/>
        <s v="Trung Chính"/>
        <s v="VT Trung Chính"/>
        <s v="Trái cây Bích Ngân"/>
        <s v="VTP 2JAW"/>
        <s v="Lâm Như HG"/>
        <s v="Quang Dũng"/>
        <s v="Phương Lâm"/>
        <s v="Thủy"/>
        <s v="Hàng robot"/>
        <s v="Anh Khoa"/>
        <s v="Lê Giang"/>
        <s v="Richard Bùi (O10)"/>
        <s v="Nguyễn Văn Linh"/>
        <s v="Hồng Hà"/>
        <s v="Quyên"/>
        <s v="Nguyễn Văn Linh (xuất cty ngoài)"/>
        <s v="VTP Lâm Đồng (Richard Bùi)"/>
        <s v="VTP Lâm Đồng"/>
        <s v="VTP Đà Nẵng"/>
        <s v="VTP Đà Nẵng (Tâm)"/>
        <s v="VTP Đăklăk"/>
        <s v="VTP Đồng Nai"/>
        <s v="Nghĩa"/>
        <s v="Đức Tài"/>
        <s v="Thúy Minh"/>
        <s v="Viettel Log"/>
        <s v="Wareflex"/>
        <s v="Xe đạp Thống Nhất"/>
        <s v="Đại Đồng Tiến"/>
        <s v="DHG Bắc"/>
        <s v="DHG Nam"/>
        <s v="DHG lẻ"/>
        <s v="Thuốc lá Thăng Long"/>
        <s v="VTP Aeon"/>
        <s v=" "/>
        <s v="CPN"/>
        <s v="Vận tải Á Đông"/>
        <s v="Tâm"/>
        <s v="KTA"/>
        <s v="Kim Tuyến"/>
        <s v="DHL"/>
        <s v="VIC"/>
        <m/>
      </sharedItems>
    </cacheField>
    <cacheField name="Tuyến Vận chuyển" numFmtId="0">
      <sharedItems containsBlank="1" count="4">
        <s v="Tuyến chính"/>
        <s v="Trung chuyển"/>
        <m/>
        <s v="Tuyến nhánh"/>
      </sharedItems>
    </cacheField>
    <cacheField name="Điểm lấy hàng" numFmtId="0">
      <sharedItems containsBlank="1" count="101">
        <s v="Hồ Chí Minh"/>
        <s v="Hà Nội"/>
        <s v="Cần Thơ"/>
        <s v="Hải Phòng"/>
        <s v="Hải Dương"/>
        <s v="Đồng Nai - Bình Định"/>
        <s v="Đăk Nông"/>
        <s v="Gia Lai"/>
        <s v="Đồng Nai"/>
        <s v="Bình Dương"/>
        <s v="Tây Ninh"/>
        <s v="Bắc Ninh"/>
        <s v="Tây Ninh "/>
        <s v="Ninh Bình"/>
        <s v="Ninh Bình "/>
        <s v="Thanh Hóa"/>
        <s v="Hưng Yên"/>
        <s v="Thanh Hóa "/>
        <s v="Hà Nội "/>
        <s v="Quảng Trị"/>
        <s v="Hà Tĩnh"/>
        <s v="Quảng Bình"/>
        <s v="Trảng Bom"/>
        <s v="Sóng Thần"/>
        <s v="Bình Dương "/>
        <s v="Ngọc Hồi"/>
        <s v="Kho An Sương"/>
        <s v="Lâm Đồng"/>
        <s v="Bình Định"/>
        <s v="Hà Nam"/>
        <s v="Quảng Nam"/>
        <s v="Tiền Giang"/>
        <s v="Quảng Ngãi"/>
        <s v="Đăklăk"/>
        <s v="Lai Châu"/>
        <s v="Bình Tân"/>
        <s v="Tân Bình"/>
        <s v="Lê Đức Thọ"/>
        <s v="Đà Nẵng "/>
        <s v="Ngã tư Ga"/>
        <s v="Hồ Chí Minh - Phú Yên"/>
        <s v="Quận 12"/>
        <s v="Bình Phước"/>
        <s v="Khánh hòa "/>
        <s v="Đà Nẵng"/>
        <s v="Thái Nguyên"/>
        <s v="Nghệ An "/>
        <s v="Đồng Nai "/>
        <s v="Huế"/>
        <s v="Vĩnh Long"/>
        <s v="Quận 2"/>
        <s v=" Vũng Tàu"/>
        <s v="Đồng Anh"/>
        <s v="Gia Lâm"/>
        <s v="Long An"/>
        <s v="Long An "/>
        <s v="Đồng Nai - Hải Phòng"/>
        <s v="Bến Tre"/>
        <s v="Thủ Đức"/>
        <s v="KCN Long Giang"/>
        <s v="Vũng Tàu"/>
        <s v="Thái Bình"/>
        <s v="Hồ Chí Minh "/>
        <s v="Tân Phú Trung "/>
        <s v="Bình Chánh"/>
        <s v="Củ Chi"/>
        <s v="Củ Chi "/>
        <s v="Quận 9 "/>
        <s v="KCN CHÂU ĐỨC"/>
        <s v="Phan Thiết"/>
        <s v="Đăk Nông "/>
        <s v="Tân Phú"/>
        <s v="Đăklăk "/>
        <s v="Nhơn Trạch "/>
        <s v="Quảng Ninh"/>
        <s v="Lạng Sơn"/>
        <s v="TP Hồ Chí Minh"/>
        <s v="Tân Thanh "/>
        <s v="Chi Ma"/>
        <s v="Móng Cái "/>
        <s v="Sóng Thân"/>
        <s v="Phú Mỹ"/>
        <s v="Quảng Trị "/>
        <s v="Kho quận 12"/>
        <s v="Bắc Từ Liêm, Hà Nội"/>
        <s v="Kho Tân Tạo -HCM"/>
        <s v="Kho TT Miền Bắc-KCN Yên Mỹ, Hưng Yên"/>
        <s v="AEON NORTH RDC"/>
        <m/>
        <s v="Nghệ An"/>
        <s v="Bến Cát "/>
        <s v="Bình Dương - Huế"/>
        <s v="Bến Cát - Hà Nội"/>
        <s v="Bến Cát - Bắc Ninh"/>
        <s v="Bến Cát"/>
        <s v="Shimada VSIP"/>
        <s v="Vsip 2"/>
        <s v="Vsip 1 + Bến Cát"/>
        <s v="KCN Vsip Bắc Ninh"/>
        <s v="KCN Hạp Lĩnh, Bắc Ninh"/>
        <s v="Phú Thọ"/>
      </sharedItems>
    </cacheField>
    <cacheField name="Điểm giao hàng" numFmtId="0">
      <sharedItems containsBlank="1" count="269">
        <s v="Hà Nội "/>
        <s v="Đà Nẵng + Hồ Chí Minh"/>
        <s v="Hô Chí Minh"/>
        <s v="Quảng Trị"/>
        <s v="Hưng Yên"/>
        <s v="Nghệ An + Hưng Yên"/>
        <s v="hưng Yên "/>
        <s v="Gia Lai"/>
        <s v="Hồ Chí Minh"/>
        <s v="Bình Dương "/>
        <s v="Đà nẵng "/>
        <s v="Huế"/>
        <s v="Bắc Ninh"/>
        <s v="Đà Nẵng"/>
        <s v="Bắc Ninh "/>
        <s v="Đăklăk"/>
        <s v="Đồng Nai"/>
        <s v="Cần Thơ"/>
        <s v="Nha Trang"/>
        <s v="Huế "/>
        <s v="Quảng Bình"/>
        <s v="Quảng Trị + Quảng Bình"/>
        <s v="Long An"/>
        <s v="Huế   "/>
        <s v="Nội Bài"/>
        <s v="Cần Thơ "/>
        <s v="KonTum + Gia Lai + Đăk Nông"/>
        <s v="Kiên Giang"/>
        <s v="An Giang"/>
        <s v="Hải Phòng"/>
        <s v="Bình Dương"/>
        <s v="Long Hậu"/>
        <s v="Quảng Bình "/>
        <s v="Bãi Hoàng Minh"/>
        <s v="Tây Ninh"/>
        <s v="Huế + Quảng Trị"/>
        <s v="Vinh "/>
        <s v="Thanh Hóa"/>
        <s v="Ninh Bình"/>
        <s v="Quảng Trị "/>
        <s v="Thái Bình "/>
        <s v="BHX Thốt Nốt"/>
        <s v="Nghệ An"/>
        <s v="Phú Thọ"/>
        <s v="Winmart Bắc Ninh"/>
        <s v="Winmart Tiên Sơn Bắc Ninh"/>
        <s v="BHX Châu Thành A"/>
        <s v="Thanh Hóa "/>
        <s v="Quy Nhơn"/>
        <s v="Ninh Bình "/>
        <s v="Hà Nội"/>
        <s v="Thái Bình"/>
        <s v="Hải Phòng "/>
        <s v="114 Trung Liệt"/>
        <s v="Phú Thọ "/>
        <s v="Thái Nguyên"/>
        <s v="Hà Tĩnh"/>
        <s v="Thái Nguyên "/>
        <s v="Hà Nam "/>
        <s v="Quảng Ngãi"/>
        <s v="Quận 7"/>
        <s v="Nghệ An "/>
        <s v="Nghệ An - Bắc Ninh"/>
        <s v="Hải Dương"/>
        <s v="Vũng Tàu"/>
        <s v="Quảng Ngãi + Hồ Chí Minh"/>
        <s v="Bình Dương + Hồ Chí Minh"/>
        <s v="Cát Lái "/>
        <s v="Cát Lái"/>
        <s v="Vĩnh Phúc"/>
        <s v="Cao Bằng"/>
        <s v="Nghệ An  "/>
        <s v="Tân Thanh"/>
        <s v="Tân Thanh "/>
        <s v="Lào Cai "/>
        <s v="Bình Thuận"/>
        <s v="Nam Định"/>
        <s v="Hải Phòng + Hưng Yên"/>
        <s v="Gia Lai núi"/>
        <s v="TTTM Aeon Mall, khu A, khu đô thị An, An Cựu, Huế"/>
        <s v="số 6, Lô 1F-06, Tầng 1 Trung Tâm Thương Mại Lotte Mart Đà Nẵng, Nại Nam, P, Hòa Cường, Đà Nẵng"/>
        <s v=" Lô 27 Nguyễn Thị Định, Nguyễn Văn Cừ, Quy Nhơn Nam, Gia Lai"/>
        <s v="112 Lê Hồng Phong, Phường Lê Lợi, Thành phố Quy Nhơn, Gia Lai"/>
        <s v="32B Cao Thắng, Thanh Hóa"/>
        <s v="Gian hàng 21, TTTM Hanoi Centre, Toà Nam, 175 P. Nguyễn Thái Học, Cửa Nam, Hà Nội"/>
        <s v="Số 4 Chính Kinh, Thanh Xuân, Hà Nội"/>
        <s v="Vincom Mega Mall Ocean Park, Hà Nội"/>
        <s v="339 Hồng Hà, Cốc Lếu, Lào Cai"/>
        <s v="BH01, Tầng 1 Vinhomes Imperia, Hùng Vương, Hải Phòng"/>
        <s v="Aeon Mall, 10 Võ Nguyên Giáp, Hải Phòng"/>
        <s v="Căn BH01-06 KĐT Vinhome Imperia, Hải Phòng"/>
        <s v="158 Lê Thánh Tông, Hồng Gai, Quảng Ninh"/>
        <s v="53 Quang Trung, TP Pleiku, Gia Lai"/>
        <s v="Hà Tĩnh "/>
        <s v="Phú Yên + Đà Nẵng"/>
        <s v="Toà nhà Hiraki, 59 Phương Liệt , Hà Nội"/>
        <s v="HCM"/>
        <s v="Lâm Đồng"/>
        <s v="Hải Dương "/>
        <s v="Tuyên Quang"/>
        <s v="Bắc Giang "/>
        <s v="Bắc Giang"/>
        <s v="Nam Định   "/>
        <s v="Đồng Nai + Tây Ninh"/>
        <s v="Hòa Bình"/>
        <s v="Hà Nam + Hưng Yên"/>
        <s v="Hồ Chí Minh - Đồng Nai"/>
        <s v="Mộc Bài Tây Ninh"/>
        <s v="Hồ Chí Minh + Tây Ninh"/>
        <s v="Hồ Chí Minh + Bến Tre"/>
        <s v="Hồ Chí Minh  + Tây Ninh"/>
        <s v="Huế+đà nẵng+HCM"/>
        <s v="Hải Dương    "/>
        <s v="Hải Phòng (Hải Dương cũ) + Hải Phòng"/>
        <s v="Hà Nội + Bắc Ninh + Bắc Ninh (Bắc Giang cũ)"/>
        <s v="Phú Thọ + Tuyên Quang"/>
        <s v="Ninh Bình (Hà Nam cũ) + Ninh Bình (Nam Định cũ)"/>
        <s v="Bắc Ninh + Bắc Ninh (Bắc Giang cũ)"/>
        <s v="Ninh Bình + Ninh Bình (Nam Định cũ)"/>
        <s v="Ninh Bình (Hà Nam cũ) + Ninh Bình"/>
        <s v="Bắc Ninh (Bắc Giang cũ)"/>
        <s v="Hưng Yên + Hưng Yên (Thái Bình cũ)"/>
        <s v="Phú Thọ (Hoà Bình cũ ) + Ninh Bình (Hà Nam cũ)"/>
        <s v="Phú Thọ (Hoà Bình cũ)"/>
        <s v="Phú Thọ (Vĩnh Phúc cũ)"/>
        <s v="Hưng Yên (Thái Bình cũ)"/>
        <s v="Ninh Bình (Nam Định cũ)"/>
        <s v="Hải Phòng (Hải Dương cũ)"/>
        <s v="Hà Đông - Hà Nội"/>
        <s v="Thanh Oai - Hà Nội"/>
        <s v="Thường Tín - Hà Nội"/>
        <s v="Phú Thọ (Vĩnh Phúc cũ) + Phú Thọ"/>
        <s v="Bình Định - Nha Trang"/>
        <s v="Nam Định + Thái Bình"/>
        <s v="Hải Dương + Hải Phòng"/>
        <s v="Nam Định cũ (NInh Bình địa danh mới)"/>
        <s v="Số 30 Đinh Núp, CG HN"/>
        <s v="Thái Bình Cũ (Hưng Yên địa danh mới)"/>
        <s v="Ninh Bình + Thanh Hóa"/>
        <s v="Thủ đô Hà Nội"/>
        <s v="Ninh Bình + Hưng Yên"/>
        <s v="Phường Bà Rịa, HCM"/>
        <s v="Bình Thuận cũ (Lâm Đồng)"/>
        <s v="Khánh Hòa"/>
        <s v="Đắk Lắk"/>
        <s v="Bình Dương cũ (Hồ Chí Minh)"/>
        <s v="Long An (Tây Ninh)"/>
        <s v="Văn Giang, Hưng Yên"/>
        <s v="Phường Hải Dương - Hải Phòng"/>
        <s v="Phường Dương Kinh - Hải Phòng"/>
        <s v="Phường Kiến An - Hải Phòng"/>
        <s v="Phường Uông Bí - Quảng Ninh"/>
        <s v="Phường Phù Vân - Ninh Bình"/>
        <s v="Phường Kinh Bắc - Bắc Ninh"/>
        <s v="Phường Vũ Ninh - Bắc Ninh"/>
        <s v="Phường Chũ - Bắc Ninh"/>
        <s v="Phường Thái Bình - Hưng Yên"/>
        <s v="Phường Hạ Long - Quảng Ninh"/>
        <s v="Phường Cao Xanh - Quảng Ninh"/>
        <s v="Phường Hồng Gai - Quảng Ninh"/>
        <s v="Phường Móng Cái 1 - Quảng Ninh"/>
        <s v="Phường Cẩm Phả - Quảng Ninh"/>
        <s v="Phường Lê Thanh Nghị - Hải Phòng"/>
        <s v="Phường Hưng Đạo - Hải Phòng"/>
        <s v="Phường Thành Đông - Hải Phòng"/>
        <s v="Xã Nam Sách - Hải Phòng"/>
        <s v="Phường Nhị Chiểu - Hải Phòng"/>
        <s v="Phường Hồng Bàng - Hải Phòng"/>
        <s v="Phường Phủ Lý - Ninh Bình"/>
        <s v="Phường Bắc Giang - Bắc Ninh"/>
        <s v="Phường Hoa Lư - Ninh Bình"/>
        <s v="Phường Vinh Hưng - Nghệ An"/>
        <s v="Phường Vinh Phú - Nghệ An"/>
        <s v="Phường Hàm Rồng - Thanh Hóa"/>
        <s v="Xã Hữu Lũng - Lạng Sơn"/>
        <s v="Phường Đông Kinh - Lạng Sơn"/>
        <s v="Xã Chi Lăng  - Lạng Sơn"/>
        <s v="Phường Nam Định - Ninh Bình"/>
        <s v="Xã Sơn Động - Bắc Ninh"/>
        <s v="Kho Bình Dương - Tp Hồ Chí Minh"/>
        <s v="Phường Phố Hiến - Hưng Yên"/>
        <s v="Phường Trần Lãm - Hưng Yên"/>
        <s v="Xã Như Quỳnh - Hưng Yên"/>
        <s v="Phường Thanh Liễu - Bắc Ninh"/>
        <s v="Phường Vị Khê - Ninh Bình"/>
        <s v="Phường Cẩm Lệ - Đà Nẵng"/>
        <s v="Phường Quan Triều - Thái Nguyên"/>
        <s v="Phường Nguyệt Viên - Thanh Hóa"/>
        <s v="Phường Hạc Thành - Thanh Hóa"/>
        <s v="TLTL Bình Dương, 609 Lê Hồng Phong, KP. 3, P. Phú Hòa, TP. Thủ Dầu Một, BD"/>
        <s v="Số 48 đường Văn Cao, phường Năng Tĩnh, TP.Nam Định, Tỉnh Nam Định"/>
        <s v="Số 253 Đường Lương Thế Vinh, ph­ường Cửa Bắc, TP.Nam Định, tỉnh Nam Định"/>
        <s v="Tổ 18, khu 7, phường Cao Xanh, TP. Hạ Long, T. Quảng Ninh"/>
        <s v="Số 36, ngõ 2, phố Kim Hoàn, tổ 15, khu 1, phường Bạch Đằng, TP.Hạ Long, tỉnh Quảng Ninh"/>
        <s v="Phố Trần Quốc Toản, tổ 14, khu 2, Phường Hòa Lạc, TP.Móng Cái, Tỉnh Quảng Ninh"/>
        <s v="Số nhà 19, ngõ 2, đường Trần Khánh Dư, tổ 22, Phường Tiền Phong, TP Thái Bình, tỉnh Thái Bình"/>
        <s v="Số 168 Nguyễn Thị Minh Khai, tổ 14, phường Bồ Xuyên, TP.Thái Bình, tỉnh Thái Bình"/>
        <s v="Số 453, phố Lý Thường Kiệt, phường Trần Lãm, TP.Thái Bình, tỉnh Thái Bình"/>
        <s v="Số nhà 84, phố Trần Thái Tông, phường Bồ Xuyên, TP.Thái Bình, tỉnh Thái Bình"/>
        <s v="Số 82 đường Bắc Sơn, thị trấn Hữu Lũng, huyện Hữu Lũng, tỉnh Lạng Sơn"/>
        <s v="Số 55 Cai Kinh, Khu trung tâm, thị trấn Đồng Mỏ, Huyện Chi Lăng, Lạng Sơn"/>
        <s v="Cụm công nghiệp Dĩnh Kế, phường Dĩnh Kế, Thành phố Bắc Giang, tỉnh Bắc Giang"/>
        <s v="Số 42 Lương Văn Chi, phường Hoàng Văn Thụ, TP.Lạng Sơn, tỉnh Lạng Sơn"/>
        <s v="Số 58-60 đường Lý Thái Tổ, phường Trần Phú, TP.Bắc Giang, tỉnh Bắc Giang"/>
        <s v="Số 61, phố Phạm Hồng Thái, phường Quang Trung, TP.Hải Dương, tỉnh Hải Dương"/>
        <s v="Số nhà 31, P Trần Bình Trọng, P Trần Phú, TP Hải Dương"/>
        <s v="Số 24, phố Nguyễn Du, phường Trần Hưng Đạo, TP. Hải Dương, tỉnh Hải Dương"/>
        <s v="Số 23 Quang Trung, phường Trần Phú, TP. Bắc Giang, Bắc Giang"/>
        <s v="Khu Đồng Khê, thị trấn Nam Sách, huyện Nam Sách, tỉnh Hải Dương"/>
        <s v="Số 1168 Nguyễn Bình Khiêm, P Đông Hải 2, Q Hải An, Thành Phố Hải Phòng"/>
        <s v="TLTL KCN Thạch Thất, TT. Quốc Oai, Quốc Oai, Hà Nội"/>
        <s v="Số 196 đường Lê Công Thanh, phường Liêm Chính, TP Phủ Lý, Tỉnh Hà Nam"/>
        <s v="Số 69 đường Phạm Ngọc Thạch, phường Liêm Chính, TP. Phủ Lý, tỉnh Hà Nam"/>
        <s v="Đường 1A, phường Hai Bà Trưng, TP. Phủ Lý, tỉnh Hà Nam"/>
        <s v="Chợ đường cái Văn Lâm, Hưng Yên, gầm cầu đi bộ ngang qua đường cao tốc"/>
        <s v="Khu Bích Nhôi 1, P. Minh Tân, Thị xã Kinh Môn, Hải Dương"/>
        <s v="Tổ 25A, P Quang Trung, TP Uông Bí, Tỉnh Quảng Ninh"/>
        <s v="Số 53 Nguyễn Trãi, P Lê Lợi, TP Hưng Yên, Tỉnh Hưng Yên"/>
        <s v="Phố 150 P Chi Lăng, P Nguyễn Trãi , TP Hải Dương, Tỉnh Hải Dương"/>
        <s v="Nguyễn Bỉnh Khiêm, Hải Phòng"/>
        <s v="Số 60C Phan Bội Châu, Phường Hoàng Văn Thụ, Quận Hồng Bàng, TP Hải Phòng"/>
        <s v="Maxvalu LINH ĐÀM"/>
        <s v="Maxvalu LĨNH NAM"/>
        <s v="Maxvalu SYMPHONY"/>
        <s v="Maxvalu LOTUS"/>
        <s v="Maxvalu HORIZON"/>
        <s v="Maxvalu KOSMO"/>
        <s v="Maxvalu CIPUTRA"/>
        <s v="Maxvalu FIVE STAR"/>
        <s v="Maxvalu ROYAL CITY"/>
        <s v="NAM TRUNG YÊN"/>
        <s v="Maxvalu THE FIVE"/>
        <s v="Maxvalu ECOPARK 3"/>
        <s v="Maxvalu ECOPARK"/>
        <s v="Maxvalu ZENPARK"/>
        <s v="Maxvalu WESTBAY"/>
        <s v="OCEAN PARK MASTERI"/>
        <s v="Maxvalu HAWAII"/>
        <s v="Maxvalu SAPPHIRE"/>
        <s v="Maxvalu OCEANPARK"/>
        <s v="Maxvalu LANDMARK"/>
        <s v="Maxvalu SKY OASIS"/>
        <s v="HAVENPARK"/>
        <s v="Maxvalu LACASTA"/>
        <s v="Maxvalu HYUNDAI"/>
        <s v="Maxvalu RIVERSIDE"/>
        <s v="Maxvalu SMART CITY"/>
        <s v="Maxvalu WEST POINT"/>
        <s v="Maxvalu THĂNG LONG"/>
        <s v="xe đi giao hàng rớt gia vị "/>
        <s v="AEON THE NINE"/>
        <s v="CENTRAL KITCHEN"/>
        <s v="Maxvalu SUNSHINE CITY"/>
        <s v="THU TOTE"/>
        <s v="Maxvalu PARK HILL"/>
        <m/>
        <s v="TP Hồ Chí Minh"/>
        <s v="Phan Thiết"/>
        <s v="Gia Lai   "/>
        <s v="Thanh Hóa + Hải Dương"/>
        <s v="Ngọc Hồi "/>
        <s v="Kim Mã"/>
        <s v="Cà Mau"/>
        <s v="Bến Tre"/>
        <s v="Quảng Nam "/>
        <s v="Hà Nam"/>
        <s v="KCN Yên Mỹ, Hưng Yên"/>
        <s v="VHC 980 Cảng Bạch Đằng, HN"/>
        <s v="Cảng Khuyến Lương"/>
      </sharedItems>
    </cacheField>
    <cacheField name="BSX" numFmtId="0">
      <sharedItems containsBlank="1" count="85">
        <s v="29E12747"/>
        <s v="29K13582"/>
        <s v="29H70193"/>
        <s v="29C37344"/>
        <s v="29E08413"/>
        <s v="29E61253"/>
        <s v="29E14214"/>
        <s v="29E12333"/>
        <s v="29E35397"/>
        <s v="29E14310"/>
        <s v="29E12143"/>
        <s v="29E12120"/>
        <s v="29H80501"/>
        <s v="29B20543"/>
        <s v="29E54261"/>
        <s v="29K06824"/>
        <s v="29E38128"/>
        <s v="29E09603"/>
        <s v="29E44326"/>
        <s v="29E38159"/>
        <s v="29E38331"/>
        <s v="29E08175"/>
        <s v="29K07924"/>
        <s v="29E38126"/>
        <s v="29K13459"/>
        <s v="29E12073"/>
        <s v="29E08426"/>
        <s v="29K13905"/>
        <s v="29K06820"/>
        <s v="29E44369"/>
        <s v="29E12047"/>
        <s v="29G02349"/>
        <s v="29E38345"/>
        <s v="29E44377"/>
        <s v="29E12401"/>
        <s v="29E00028"/>
        <s v="29G02325"/>
        <s v="29E54212"/>
        <s v="29E59750"/>
        <s v="29E59034"/>
        <s v="29K06572"/>
        <s v="29E49680"/>
        <s v="29E35064"/>
        <s v="29K06711"/>
        <s v="29K06949"/>
        <s v="29E12436"/>
        <s v="29E59664"/>
        <s v="29E12420"/>
        <s v="29K06935"/>
        <s v="29K06374"/>
        <s v="29E38311"/>
        <s v="60H33681"/>
        <s v="20G00154"/>
        <s v="29G02314"/>
        <s v="29H79260"/>
        <s v="29E26651"/>
        <s v="29K11345"/>
        <s v="29E35164"/>
        <s v="29E12412"/>
        <s v="29E14424"/>
        <s v="29E49820"/>
        <s v="29K02514"/>
        <s v="29E48524"/>
        <s v="29E47562"/>
        <s v="29K06857"/>
        <s v="29E12348"/>
        <s v="29G02320"/>
        <s v="29E08058"/>
        <s v="29B18964"/>
        <s v="29G02311"/>
        <s v="29G02319"/>
        <s v="29H73703"/>
        <s v="29K13754"/>
        <s v="29K13742"/>
        <s v="29E52540"/>
        <s v="29K13697"/>
        <s v="29E09530"/>
        <s v="29E61173"/>
        <s v="29H84991"/>
        <s v="29K13511"/>
        <s v="29K06725"/>
        <s v="29G02330"/>
        <s v="29G02346"/>
        <s v="29H74340"/>
        <m/>
      </sharedItems>
    </cacheField>
    <cacheField name="Lái xe" numFmtId="0">
      <sharedItems containsBlank="1" count="135">
        <s v="Phạm Thanh Tuấn"/>
        <s v="Nguyễn Thanh Lâm"/>
        <s v="Trần Bá Lương"/>
        <s v="Võ Minh Liệp"/>
        <s v="Lý Hồng Ngà"/>
        <s v="Phan Tấn Thành"/>
        <s v="Đinh Văn Phấn"/>
        <s v="Trần Hữu Khánh"/>
        <s v="Phạm Ngọc Ẩn"/>
        <s v="Nguyễn Hữu Tuấn"/>
        <s v="Trần Xuân Thỏa"/>
        <s v="Đỗ Ngọc Chiến"/>
        <s v="Phạm Văn Phố"/>
        <s v="Nguyễn Văn Mạnh"/>
        <s v="Vũ Văn Tỉnh"/>
        <s v="Vũ Ngọc Thường"/>
        <s v="Hỏa Văn Lâm"/>
        <s v="Hỏa Văn Quyết"/>
        <s v="Đỗ Văn Nam"/>
        <s v="Phạm Ngọc Cần"/>
        <s v="Lê Thanh Đang"/>
        <s v="Đào Văn Hùng"/>
        <s v="Nguyễn Duy Tuấn"/>
        <s v="Ngô Hoàng Vũ"/>
        <s v="Nguyễn Đức Linh"/>
        <s v="Nguyễn Công Thức"/>
        <s v="Trịnh Cao Phong"/>
        <s v="Lê Thanh Sơn"/>
        <s v="Nguyễn Trọng Đạt"/>
        <s v="Phạm Văn Thưởng"/>
        <s v="Nguyễn Văn Chiến"/>
        <s v="Nguyễn Văn Thắng"/>
        <s v="Trương Cẩm Thành"/>
        <s v="Trần Phong Vũ"/>
        <s v="Tạ Quốc Vương"/>
        <s v="Nguyễn Đức Toàn"/>
        <s v="Cao Tuấn Anh"/>
        <s v="Cao Phong Anh"/>
        <s v="Trần Phúc Đạt"/>
        <s v="Nguyễn Thanh Nhân"/>
        <s v="Bùi Văn Đào"/>
        <s v="Nguyễn Doãn Quang"/>
        <s v="Lê Thế Xuân"/>
        <s v="Lê Xuân Tú"/>
        <s v="Bùi Duy Hiếu"/>
        <s v="Võ Văn Trỗi"/>
        <s v="Hoàng Văn Lợi"/>
        <s v="Nguyễn Minh Trọng"/>
        <s v="Trần Xuân Trường"/>
        <s v="Phan Văn Thành"/>
        <s v="Nguyễn Bá Bảo"/>
        <s v="Nguyễn Quốc Bình"/>
        <s v="Trịnh Văn Lực"/>
        <s v="Nguyễn Hữu Hưởng"/>
        <s v="Vũ Thế An"/>
        <s v="Nguyễn Văn Chí"/>
        <s v="Lê Quốc Quân"/>
        <s v="Huỳnh Lê Trần Long"/>
        <s v="Đặng Tuân"/>
        <s v="Kiều Kim Tiến"/>
        <s v="Đỗ Văn Cường"/>
        <s v="Mai Tấn Toàn"/>
        <s v="Nguyễn Khánh Phú"/>
        <s v="Đặng Công Đức"/>
        <s v="Huỳnh Xuân Nhân"/>
        <s v="Nguyễn Văn Toàn"/>
        <s v="Cao Hoài Tiên"/>
        <s v="Bùi Ngọc Ninh"/>
        <s v="Nguyễn Ngọc Ân"/>
        <s v="Lê Văn Hoàng"/>
        <s v="Lê Anh Tuấn"/>
        <s v="Nguyễn Tuấn Anh-tuyến chính"/>
        <s v="Nguyễn Viết Vinh"/>
        <s v="Nguyễn Mạnh Trường"/>
        <s v="Trần Phước Tùng"/>
        <s v="Bùi Xuân Bằng"/>
        <s v="Bùi Phi Hùng"/>
        <s v="Nguyễn Văn Luận"/>
        <s v="Trần Trung Kiên"/>
        <s v="Nguyễn Công Binh"/>
        <s v="Trần Quang Trung"/>
        <s v="Trần Xuân Quảng"/>
        <s v="Ngô Công Định"/>
        <s v="Phạm Văn Khâm"/>
        <s v="Vũ Văn Quân"/>
        <s v="Nguyễn Thanh Bình"/>
        <s v="Hà Nguyên Dậu"/>
        <s v="Mai Văn Long"/>
        <s v="Lê Văn Giang"/>
        <s v="Mai Văn Toản"/>
        <s v="Nguyễn Tiến Công"/>
        <s v="Lái xe vendor"/>
        <s v="Huỳnh Y Bảo"/>
        <s v="Đào Ngọc Ngà"/>
        <s v="Phạm Quốc Toàn"/>
        <s v="Đỗ Ngọc Thông"/>
        <s v="Nguyễn Ngọc Tịnh"/>
        <s v="Phạm Tuấn Sơn"/>
        <s v="Mã Đức Diễn"/>
        <s v="Lê Văn Khiêm"/>
        <s v="Nguyễn Phước Sang"/>
        <s v="Lê Minh Vin"/>
        <s v="Nguyễn Xuân Lợi"/>
        <s v="Ứng Chánh Sang"/>
        <s v="Hồ Khang Vĩ"/>
        <s v="Trần Đình Mẫn"/>
        <s v="Huỳnh Tấn Huynh"/>
        <s v="Nguyễn Việt Hùng"/>
        <s v="Đặng Văn Thắng"/>
        <s v="Hoàng Văn Chuyền"/>
        <s v="Nguyễn Duy Trung"/>
        <s v="Mai Văn Ngọc"/>
        <s v="Trần Văn Cương"/>
        <s v="Trần Phi Hùng"/>
        <s v="Hoàng Đức Mạnh"/>
        <s v="Phạm Trung Kiên"/>
        <s v="Phạm Văn Hải A"/>
        <s v="Nguyễn Hữu Tùng"/>
        <s v="Phạm Thái Nhân"/>
        <s v="Nguyễn Tuấn Anh-trung chuyển"/>
        <s v="Hoả Văn Lâm"/>
        <s v="Hoả Văn Quyết"/>
        <s v="Đinh Mai Sơn"/>
        <s v="Nhâm Văn Cương"/>
        <s v="Trần Văn Phú"/>
        <s v="Nguyễn Duy Kha"/>
        <s v="Phạm Văn Trường"/>
        <m/>
        <s v="Nguyễn Tuấn Anh" u="1"/>
        <s v="Trần Tiên Nhân" u="1"/>
        <s v="Lê Thế Chung" u="1"/>
        <s v="Cao Văn Hạ" u="1"/>
        <s v="Lê Thái Bình" u="1"/>
        <s v="Lưu Thế Tưởng" u="1"/>
        <s v="Nguyễn Quốc Chiến" u="1"/>
      </sharedItems>
    </cacheField>
    <cacheField name="NVT" numFmtId="0">
      <sharedItems containsBlank="1" count="3">
        <s v="XEVN"/>
        <s v="Oanh Lê"/>
        <m/>
      </sharedItems>
    </cacheField>
    <cacheField name="Doanh thu trước thuế (gồm toàn bộ CP)" numFmtId="0">
      <sharedItems containsString="0" containsBlank="1" containsNumber="1" minValue="0" maxValue="146625000" count="1111">
        <n v="3467300"/>
        <n v="1733650"/>
        <n v="1000000"/>
        <n v="1750000"/>
        <n v="1200000"/>
        <n v="1199968"/>
        <n v="33341000"/>
        <n v="31878000"/>
        <n v="9600000"/>
        <n v="12050000"/>
        <n v="10050000"/>
        <n v="10000000"/>
        <n v="5000000"/>
        <n v="6000000"/>
        <n v="6378000"/>
        <n v="6893500"/>
        <n v="6280500"/>
        <n v="1680000"/>
        <n v="11444400"/>
        <n v="8991000"/>
        <n v="8580000"/>
        <n v="9126500"/>
        <n v="5250000"/>
        <n v="9000000"/>
        <n v="8800000"/>
        <n v="6800000"/>
        <n v="750000"/>
        <n v="13150000"/>
        <n v="9750000"/>
        <n v="9650000"/>
        <n v="9027778"/>
        <n v="11000000"/>
        <n v="12500000"/>
        <n v="7750000"/>
        <n v="9388889"/>
        <n v="7500000"/>
        <n v="12250000"/>
        <n v="10500000"/>
        <n v="12000000"/>
        <n v="2000000"/>
        <n v="10185185"/>
        <n v="13500000"/>
        <n v="9500000"/>
        <n v="11750000"/>
        <n v="13000000"/>
        <n v="10592592.5"/>
        <n v="2750000"/>
        <n v="3000000"/>
        <n v="11500000"/>
        <n v="2500000"/>
        <n v="1842500"/>
        <n v="1375000"/>
        <n v="2425000"/>
        <n v="1575000"/>
        <n v="3400000"/>
        <n v="2712500"/>
        <n v="3940000"/>
        <n v="3572500"/>
        <n v="1925000"/>
        <n v="2138500"/>
        <n v="2102000"/>
        <n v="1051000"/>
        <n v="3700000"/>
        <n v="935000"/>
        <n v="1760000"/>
        <n v="1474000"/>
        <n v="737000"/>
        <n v="2806457.5"/>
        <n v="825000"/>
        <n v="1265000"/>
        <n v="1540000"/>
        <n v="770000"/>
        <n v="2505800"/>
        <n v="1252900"/>
        <n v="1897500"/>
        <n v="990000"/>
        <n v="1180000"/>
        <n v="590000"/>
        <n v="1745000"/>
        <n v="880000"/>
        <n v="852000"/>
        <n v="426000"/>
        <n v="5567500"/>
        <n v="2783750"/>
        <n v="2270000"/>
        <n v="1390000"/>
        <n v="1430000"/>
        <n v="1320000"/>
        <n v="1030000"/>
        <n v="1475000"/>
        <n v="6200000"/>
        <n v="1350000"/>
        <n v="1500000"/>
        <n v="1144000"/>
        <n v="572000"/>
        <n v="200000"/>
        <n v="100000"/>
        <n v="6500000"/>
        <n v="2600000"/>
        <n v="250000"/>
        <n v="720000"/>
        <n v="360000"/>
        <n v="500000"/>
        <n v="600000"/>
        <n v="475000"/>
        <n v="3500000"/>
        <n v="900000"/>
        <n v="2250000"/>
        <n v="1250000"/>
        <n v="10250000"/>
        <n v="350000"/>
        <n v="1600000"/>
        <n v="150000"/>
        <n v="8500000"/>
        <n v="13750000"/>
        <n v="5500000"/>
        <n v="29000000"/>
        <n v="22500000"/>
        <n v="9850000"/>
        <n v="6637500"/>
        <n v="5675000"/>
        <n v="5050000"/>
        <n v="7250000"/>
        <n v="2200000"/>
        <n v="1736695"/>
        <n v="1302644"/>
        <n v="651322"/>
        <n v="840000"/>
        <n v="420000"/>
        <n v="1050000"/>
        <n v="4981004.375"/>
        <n v="3493779.375"/>
        <n v="5701828.75"/>
        <n v="1098875"/>
        <n v="2277613.125"/>
        <n v="2352200.5"/>
        <n v="2264850"/>
        <n v="3881250"/>
        <n v="2861400"/>
        <n v="683550"/>
        <n v="814050"/>
        <n v="807500"/>
        <n v="3136500"/>
        <n v="1550000"/>
        <n v="18000000"/>
        <n v="7000000"/>
        <n v="51500000"/>
        <n v="50000000"/>
        <n v="37500000"/>
        <n v="49500000"/>
        <n v="37000000"/>
        <n v="300000"/>
        <n v="2850000"/>
        <n v="800000"/>
        <n v="4000000"/>
        <n v="2800000"/>
        <n v="3750000"/>
        <n v="3250000"/>
        <n v="1300000"/>
        <n v="650000"/>
        <n v="1900000"/>
        <n v="2325000"/>
        <n v="14800000"/>
        <n v="3375000"/>
        <n v="3300000"/>
        <n v="3150000"/>
        <n v="9420000"/>
        <n v="775000"/>
        <n v="1800000"/>
        <n v="4500000"/>
        <n v="5510700"/>
        <n v="450000"/>
        <n v="1400000"/>
        <n v="2100000"/>
        <n v="1100000"/>
        <n v="1778000"/>
        <n v="3950000"/>
        <n v="1278000"/>
        <n v="700000"/>
        <n v="2030000"/>
        <n v="1120000"/>
        <n v="896000"/>
        <n v="448000"/>
        <n v="2450000"/>
        <n v="2625000"/>
        <n v="3325000"/>
        <n v="4250000"/>
        <n v="8760000"/>
        <n v="560000"/>
        <n v="15000000"/>
        <n v="23500000"/>
        <n v="26000000"/>
        <n v="850000"/>
        <n v="3703849"/>
        <n v="2295023"/>
        <n v="5075694"/>
        <n v="1561752"/>
        <n v="4181032"/>
        <n v="2472774"/>
        <n v="2635868"/>
        <n v="3431173"/>
        <n v="3363004"/>
        <n v="3513942"/>
        <n v="4837093"/>
        <n v="3544788"/>
        <n v="3231959"/>
        <n v="1650000"/>
        <n v="2590422"/>
        <n v="3385727"/>
        <n v="4499154"/>
        <n v="3317558"/>
        <n v="1795117"/>
        <n v="3726572"/>
        <n v="2749483"/>
        <n v="2476807"/>
        <n v="3249389"/>
        <n v="3499342"/>
        <n v="2032698"/>
        <n v="3427178"/>
        <n v="2819830"/>
        <n v="2320937"/>
        <n v="2363192"/>
        <n v="2125718"/>
        <n v="3226666"/>
        <n v="3976525"/>
        <n v="5521689"/>
        <n v="4476431"/>
        <n v="6294271"/>
        <n v="1496679"/>
        <n v="2150000"/>
        <n v="2408638"/>
        <n v="4186363"/>
        <n v="4403273"/>
        <n v="3999248"/>
        <n v="1060000"/>
        <n v="960000"/>
        <n v="3135774"/>
        <n v="3396093"/>
        <n v="3067605"/>
        <n v="8861970"/>
        <n v="5544412"/>
        <n v="4090140"/>
        <n v="760000"/>
        <n v="7839435"/>
        <n v="3453896"/>
        <n v="3272112"/>
        <n v="2885821"/>
        <n v="5089952"/>
        <n v="7248637"/>
        <n v="6642000"/>
        <n v="5184000"/>
        <n v="2788000"/>
        <n v="2490000"/>
        <n v="2123000"/>
        <n v="1898000"/>
        <n v="1482000"/>
        <n v="1365000"/>
        <n v="1873000"/>
        <n v="1720000"/>
        <n v="1423000"/>
        <n v="3380000"/>
        <n v="1957000"/>
        <n v="1245000"/>
        <n v="2313000"/>
        <n v="3024000"/>
        <n v="2253000"/>
        <n v="2076000"/>
        <n v="1779000"/>
        <n v="2016000"/>
        <n v="3498000"/>
        <n v="2765000"/>
        <n v="3074000"/>
        <n v="7711000"/>
        <n v="6009000"/>
        <n v="1947000"/>
        <n v="1299000"/>
        <n v="1649000"/>
        <n v="3883000"/>
        <n v="2468000"/>
        <n v="705000"/>
        <n v="3290000"/>
        <n v="990698"/>
        <n v="336600"/>
        <n v="1329570"/>
        <n v="259000"/>
        <n v="2312500"/>
        <n v="102422"/>
        <n v="2344600"/>
        <n v="33189"/>
        <n v="1300650"/>
        <n v="387504"/>
        <n v="1022210"/>
        <n v="156420"/>
        <n v="1738000"/>
        <n v="717794"/>
        <n v="1270478"/>
        <n v="738650"/>
        <n v="567981"/>
        <n v="44154"/>
        <n v="1906650"/>
        <n v="1703943"/>
        <n v="82195"/>
        <n v="4593250"/>
        <n v="790492"/>
        <n v="4166750"/>
        <n v="1156250"/>
        <n v="401698"/>
        <n v="88350"/>
        <n v="1443050"/>
        <n v="311355"/>
        <n v="2187900"/>
        <n v="700910"/>
        <n v="183768"/>
        <n v="124868"/>
        <n v="2179300"/>
        <n v="359290"/>
        <n v="200277"/>
        <n v="1851300"/>
        <n v="1775565"/>
        <n v="173994"/>
        <n v="1604200"/>
        <n v="462750"/>
        <n v="961085"/>
        <n v="32560"/>
        <n v="2523400"/>
        <n v="347991"/>
        <n v="5362875"/>
        <n v="1477770"/>
        <n v="1364760"/>
        <n v="2809800"/>
        <n v="4014000"/>
        <n v="2037105"/>
        <n v="1627677"/>
        <n v="1194165"/>
        <n v="886187"/>
        <n v="4295700"/>
        <n v="1504357"/>
        <n v="1878855"/>
        <n v="3790640"/>
        <n v="18702000"/>
        <n v="19693206"/>
        <n v="1071530"/>
        <n v="789052"/>
        <n v="138120"/>
        <n v="2014250"/>
        <n v="1113700"/>
        <n v="324542"/>
        <n v="2653100"/>
        <n v="188496"/>
        <n v="1683000"/>
        <n v="604197"/>
        <n v="2524500"/>
        <n v="79550"/>
        <n v="31820"/>
        <n v="252450"/>
        <n v="839150"/>
        <n v="1505108"/>
        <n v="651750"/>
        <n v="1390400"/>
        <n v="315704"/>
        <n v="1089650"/>
        <n v="289788"/>
        <n v="2532700"/>
        <n v="4804820"/>
        <n v="453530"/>
        <n v="649638"/>
        <n v="68423"/>
        <n v="1129625"/>
        <n v="58900"/>
        <n v="33660"/>
        <n v="358800"/>
        <n v="13455"/>
        <n v="897000"/>
        <n v="136648"/>
        <n v="1884800"/>
        <n v="3534000"/>
        <n v="44850"/>
        <n v="8970"/>
        <n v="11780"/>
        <n v="35340"/>
        <n v="419796"/>
        <n v="1063524"/>
        <n v="1783452"/>
        <n v="223354"/>
        <n v="2591400"/>
        <n v="441750"/>
        <n v="400520"/>
        <n v="1266350"/>
        <n v="179056"/>
        <n v="2272050"/>
        <n v="420750"/>
        <n v="1412037"/>
        <n v="3197700"/>
        <n v="905157"/>
        <n v="1404900"/>
        <n v="865017"/>
        <n v="1204200"/>
        <n v="728541"/>
        <n v="765900"/>
        <n v="2960000"/>
        <n v="721443"/>
        <n v="3571500"/>
        <n v="455840"/>
        <n v="2442000"/>
        <n v="1332648"/>
        <n v="11510"/>
        <n v="23020"/>
        <n v="50490"/>
        <n v="776886"/>
        <n v="545732"/>
        <n v="399740"/>
        <n v="1216600"/>
        <n v="752554"/>
        <n v="851620"/>
        <n v="763344"/>
        <n v="1227476"/>
        <n v="2120400"/>
        <n v="2827200"/>
        <n v="429970"/>
        <n v="185000"/>
        <n v="1202500"/>
        <n v="2308050"/>
        <n v="413442"/>
        <n v="1103850"/>
        <n v="21528"/>
        <n v="238257"/>
        <n v="1956700"/>
        <n v="1140747"/>
        <n v="4375250"/>
        <n v="62271"/>
        <n v="785961"/>
        <n v="1009800"/>
        <n v="710745"/>
        <n v="4109750"/>
        <n v="17380"/>
        <n v="40140"/>
        <n v="60210"/>
        <n v="483500"/>
        <n v="20983644"/>
        <n v="136846"/>
        <n v="903700"/>
        <n v="1591000"/>
        <n v="1514632"/>
        <n v="4534350"/>
        <n v="334110"/>
        <n v="389795"/>
        <n v="239408"/>
        <n v="1151000"/>
        <n v="392491"/>
        <n v="920800"/>
        <n v="893360"/>
        <n v="1113885"/>
        <n v="2508750"/>
        <n v="104842"/>
        <n v="671460"/>
        <n v="138006"/>
        <n v="16830"/>
        <n v="986238"/>
        <n v="12910"/>
        <n v="17180"/>
        <n v="20070"/>
        <n v="23560"/>
        <n v="889824"/>
        <n v="104890"/>
        <n v="2097800"/>
        <n v="243320"/>
        <n v="1651100"/>
        <n v="56804"/>
        <n v="1000525"/>
        <n v="710050"/>
        <n v="787545"/>
        <n v="3197910"/>
        <n v="25245"/>
        <n v="2103750"/>
        <n v="84150"/>
        <n v="301050"/>
        <n v="24680"/>
        <n v="17670"/>
        <n v="43586"/>
        <n v="1178000"/>
        <n v="49358"/>
        <n v="1767000"/>
        <n v="3769600"/>
        <n v="29450"/>
        <n v="368714"/>
        <n v="201650"/>
        <n v="2867500"/>
        <n v="100980"/>
        <n v="2692800"/>
        <n v="8415"/>
        <n v="1767150"/>
        <n v="812835"/>
        <n v="1304550"/>
        <n v="154765"/>
        <n v="4523900"/>
        <n v="864422"/>
        <n v="3977500"/>
        <n v="660265"/>
        <n v="373885"/>
        <n v="728222"/>
        <n v="60830"/>
        <n v="1086250"/>
        <n v="897"/>
        <n v="34086"/>
        <n v="1233375"/>
        <n v="368667"/>
        <n v="100350"/>
        <n v="1505250"/>
        <n v="46250"/>
        <n v="145050"/>
        <n v="3626250"/>
        <n v="241750"/>
        <n v="4835000"/>
        <n v="32275"/>
        <n v="86900"/>
        <n v="650012"/>
        <n v="782100"/>
        <n v="580754"/>
        <n v="439394"/>
        <n v="456580"/>
        <n v="851185"/>
        <n v="3102450"/>
        <n v="1344690"/>
        <n v="1806300"/>
        <n v="551925"/>
        <n v="903150"/>
        <n v="48675"/>
        <n v="57550"/>
        <n v="1208550"/>
        <n v="281995"/>
        <n v="656070"/>
        <n v="311921"/>
        <n v="1093450"/>
        <n v="1053675"/>
        <n v="2207700"/>
        <n v="9475000"/>
        <n v="4485"/>
        <n v="281061"/>
        <n v="1346400"/>
        <n v="21947"/>
        <n v="70680"/>
        <n v="1384150"/>
        <n v="276012"/>
        <n v="154250"/>
        <n v="83424"/>
        <n v="345420"/>
        <n v="3030000"/>
        <n v="96252"/>
        <n v="38730"/>
        <n v="1542500"/>
        <n v="173800"/>
        <n v="92550"/>
        <n v="2036100"/>
        <n v="604580"/>
        <n v="843230"/>
        <n v="3659300"/>
        <n v="240840"/>
        <n v="1756125"/>
        <n v="4409475"/>
        <n v="565440"/>
        <n v="20631"/>
        <n v="1435200"/>
        <n v="370461"/>
        <n v="68145"/>
        <n v="2239050"/>
        <n v="114762"/>
        <n v="104280"/>
        <n v="608300"/>
        <n v="95590"/>
        <n v="64790"/>
        <n v="353400"/>
        <n v="832500"/>
        <n v="2451250"/>
        <n v="1387500"/>
        <n v="832905"/>
        <n v="383341"/>
        <n v="4642950"/>
        <n v="946645"/>
        <n v="671402"/>
        <n v="198814"/>
        <n v="2776500"/>
        <n v="135740"/>
        <n v="370200"/>
        <n v="301257"/>
        <n v="82467"/>
        <n v="2440350"/>
        <n v="20834028"/>
        <n v="5250300"/>
        <n v="453435"/>
        <n v="1655775"/>
        <n v="4714125"/>
        <n v="818598"/>
        <n v="2276780"/>
        <n v="881166"/>
        <n v="3211200"/>
        <n v="2085612"/>
        <n v="3341655"/>
        <n v="1651685"/>
        <n v="2488680"/>
        <n v="531855"/>
        <n v="729182"/>
        <n v="1756426"/>
        <n v="1796450"/>
        <n v="3843972"/>
        <n v="2691000"/>
        <n v="1755982"/>
        <n v="1416470"/>
        <n v="3335550"/>
        <n v="1097350"/>
        <n v="500650"/>
        <n v="2364615"/>
        <n v="6127000"/>
        <n v="1442331"/>
        <n v="4440000"/>
        <n v="4661630"/>
        <n v="658189"/>
        <n v="338948"/>
        <n v="256181"/>
        <n v="382301"/>
        <n v="386243"/>
        <n v="413831"/>
        <n v="441420"/>
        <n v="394125"/>
        <n v="236475"/>
        <n v="271946"/>
        <n v="252240"/>
        <n v="484774"/>
        <n v="457185"/>
        <n v="378360"/>
        <n v="354713"/>
        <n v="244358"/>
        <n v="181298"/>
        <n v="70943"/>
        <n v="228593"/>
        <n v="563599"/>
        <n v="512363"/>
        <n v="342889"/>
        <n v="327124"/>
        <n v="161591"/>
        <n v="571481"/>
        <n v="240416"/>
        <n v="532069"/>
        <n v="697601"/>
        <n v="851310"/>
        <n v="162905"/>
        <n v="157650"/>
        <n v="204945"/>
        <n v="197063"/>
        <n v="189180"/>
        <n v="593815"/>
        <n v="554403"/>
        <n v="312673"/>
        <n v="289025"/>
        <n v="139258"/>
        <n v="155023"/>
        <n v="115610"/>
        <n v="165533"/>
        <n v="199690"/>
        <n v="123493"/>
        <n v="246985"/>
        <n v="81453"/>
        <n v="307418"/>
        <n v="294280"/>
        <n v="409890"/>
        <n v="493970"/>
        <n v="349458"/>
        <n v="549148"/>
        <n v="404635"/>
        <n v="415145"/>
        <n v="388870"/>
        <n v="375733"/>
        <n v="578050"/>
        <n v="296908"/>
        <n v="212828"/>
        <n v="346830"/>
        <n v="323183"/>
        <n v="218083"/>
        <n v="273260"/>
        <n v="152395"/>
        <n v="233848"/>
        <n v="438793"/>
        <n v="283770"/>
        <n v="380988"/>
        <n v="183925"/>
        <n v="436165"/>
        <n v="486088"/>
        <n v="373105"/>
        <n v="304790"/>
        <n v="78825"/>
        <n v="987940"/>
        <n v="370478"/>
        <n v="362595"/>
        <n v="291653"/>
        <n v="260123"/>
        <n v="430910"/>
        <n v="286398"/>
        <n v="257495"/>
        <n v="344203"/>
        <n v="352085"/>
        <n v="648993"/>
        <n v="84080"/>
        <n v="278515"/>
        <n v="191808"/>
        <n v="249613"/>
        <n v="186553"/>
        <n v="194435"/>
        <n v="220710"/>
        <n v="239103"/>
        <n v="317928"/>
        <n v="365223"/>
        <n v="231220"/>
        <n v="281143"/>
        <n v="168160"/>
        <n v="91963"/>
        <n v="207573"/>
        <n v="99845"/>
        <n v="176043"/>
        <n v="299535"/>
        <n v="160278"/>
        <n v="320555"/>
        <n v="265378"/>
        <n v="128748"/>
        <n v="270633"/>
        <n v="210200"/>
        <n v="126120"/>
        <n v="136630"/>
        <n v="97218"/>
        <n v="310045"/>
        <n v="341575"/>
        <n v="1061510"/>
        <n v="207960"/>
        <n v="226157"/>
        <n v="278147"/>
        <n v="189764"/>
        <n v="236555"/>
        <n v="210560"/>
        <n v="187164"/>
        <n v="220958"/>
        <n v="140373"/>
        <n v="223557"/>
        <n v="280746"/>
        <n v="150771"/>
        <n v="129975"/>
        <n v="218358"/>
        <n v="57189"/>
        <n v="111779"/>
        <n v="335336"/>
        <n v="392525"/>
        <n v="171567"/>
        <n v="168968"/>
        <n v="67587"/>
        <n v="192363"/>
        <n v="259950"/>
        <n v="252152"/>
        <n v="176766"/>
        <n v="163769"/>
        <n v="738258"/>
        <n v="262550"/>
        <n v="202761"/>
        <n v="298943"/>
        <n v="205361"/>
        <n v="337935"/>
        <n v="179366"/>
        <n v="116978"/>
        <n v="358731"/>
        <n v="249552"/>
        <n v="233955"/>
        <n v="135174"/>
        <n v="142973"/>
        <n v="376928"/>
        <n v="213159"/>
        <n v="309341"/>
        <n v="301542"/>
        <n v="241754"/>
        <n v="343134"/>
        <n v="1104788"/>
        <n v="569291"/>
        <n v="340535"/>
        <n v="267749"/>
        <n v="366530"/>
        <n v="408122"/>
        <n v="402923"/>
        <n v="421119"/>
        <n v="532898"/>
        <n v="379527"/>
        <n v="382127"/>
        <n v="428918"/>
        <n v="538097"/>
        <n v="288545"/>
        <n v="574490"/>
        <n v="592686"/>
        <n v="322338"/>
        <n v="350933"/>
        <n v="353532"/>
        <n v="530298"/>
        <n v="231356"/>
        <n v="447114"/>
        <n v="701865"/>
        <n v="1154178"/>
        <n v="982611"/>
        <n v="332736"/>
        <n v="327537"/>
        <n v="317139"/>
        <n v="239154"/>
        <n v="244353"/>
        <n v="434117"/>
        <n v="285945"/>
        <n v="145572"/>
        <n v="405522"/>
        <n v="363930"/>
        <n v="1050198"/>
        <n v="496505"/>
        <n v="727860"/>
        <n v="270348"/>
        <n v="194963"/>
        <n v="153371"/>
        <n v="166368"/>
        <n v="371729"/>
        <n v="161169"/>
        <n v="106580"/>
        <n v="246953"/>
        <n v="579689"/>
        <n v="319739"/>
        <n v="174167"/>
        <n v="283346"/>
        <n v="101381"/>
        <n v="90983"/>
        <n v="124776"/>
        <n v="93582"/>
        <n v="103980"/>
        <n v="119577"/>
        <n v="41592"/>
        <n v="88383"/>
        <n v="122177"/>
        <n v="295089"/>
        <n v="346859"/>
        <n v="276970"/>
        <n v="266616"/>
        <n v="225200"/>
        <n v="188961"/>
        <n v="323563"/>
        <n v="416749"/>
        <n v="207080"/>
        <n v="51770"/>
        <n v="251085"/>
        <n v="232965"/>
        <n v="204492"/>
        <n v="199315"/>
        <n v="194138"/>
        <n v="150133"/>
        <n v="271793"/>
        <n v="315797"/>
        <n v="214846"/>
        <n v="186372"/>
        <n v="300266"/>
        <n v="222611"/>
        <n v="253673"/>
        <n v="134602"/>
        <n v="170841"/>
        <n v="359802"/>
        <n v="310620"/>
        <n v="121660"/>
        <n v="1056108"/>
        <n v="385687"/>
        <n v="398629"/>
        <n v="292501"/>
        <n v="240731"/>
        <n v="561705"/>
        <n v="230377"/>
        <n v="243319"/>
        <n v="155310"/>
        <n v="297678"/>
        <n v="235554"/>
        <n v="289912"/>
        <n v="160487"/>
        <n v="284735"/>
        <n v="261439"/>
        <n v="176018"/>
        <n v="331328"/>
        <n v="191549"/>
        <n v="33651"/>
        <n v="339094"/>
        <n v="217434"/>
        <n v="248496"/>
        <n v="142368"/>
        <n v="302855"/>
        <n v="308032"/>
        <n v="473696"/>
        <n v="502169"/>
        <n v="499581"/>
        <n v="491815"/>
        <n v="546174"/>
        <n v="362390"/>
        <n v="305443"/>
        <n v="735134"/>
        <n v="768785"/>
        <n v="429691"/>
        <n v="452988"/>
        <n v="157899"/>
        <n v="69890"/>
        <n v="507346"/>
        <n v="618652"/>
        <n v="318386"/>
        <n v="419337"/>
        <n v="476284"/>
        <n v="494404"/>
        <n v="460753"/>
        <n v="326151"/>
        <n v="424514"/>
        <n v="390864"/>
        <n v="582413"/>
        <n v="445222"/>
        <n v="698895"/>
        <n v="320974"/>
        <n v="1107878"/>
        <n v="258850"/>
        <n v="238142"/>
        <n v="137191"/>
        <n v="163076"/>
        <n v="196726"/>
        <n v="264027"/>
        <n v="113894"/>
        <n v="349448"/>
        <n v="227788"/>
        <n v="212257"/>
        <n v="388275"/>
        <n v="116483"/>
        <n v="287324"/>
        <n v="152722"/>
        <n v="279558"/>
        <n v="328740"/>
        <n v="147545"/>
        <n v="168253"/>
        <n v="269204"/>
        <n v="165664"/>
        <n v="173430"/>
        <n v="82832"/>
        <n v="256262"/>
        <n v="1071206"/>
        <n v="254544"/>
        <n v="198863"/>
        <n v="615148"/>
        <n v="312877"/>
        <n v="262499"/>
        <n v="355301"/>
        <n v="336741"/>
        <n v="246590"/>
        <n v="169696"/>
        <n v="228029"/>
        <n v="230681"/>
        <n v="405680"/>
        <n v="347347"/>
        <n v="392422"/>
        <n v="212120"/>
        <n v="442801"/>
        <n v="251893"/>
        <n v="334089"/>
        <n v="214772"/>
        <n v="196211"/>
        <n v="222726"/>
        <n v="257196"/>
        <n v="365907"/>
        <n v="124621"/>
        <n v="193560"/>
        <n v="174999"/>
        <n v="121969"/>
        <n v="185605"/>
        <n v="172348"/>
        <n v="238635"/>
        <n v="289014"/>
        <n v="273105"/>
        <n v="267802"/>
        <n v="114015"/>
        <n v="159090"/>
        <n v="167045"/>
        <n v="241287"/>
        <n v="373862"/>
        <n v="220075"/>
        <n v="182954"/>
        <n v="135227"/>
        <n v="103409"/>
        <n v="233332"/>
        <n v="315529"/>
        <n v="957192"/>
        <n v="697345"/>
        <n v="307574"/>
        <n v="349998"/>
        <n v="243938"/>
        <n v="296968"/>
        <n v="201514"/>
        <n v="177651"/>
        <n v="283711"/>
        <n v="344695"/>
        <n v="249241"/>
        <n v="153787"/>
        <n v="225378"/>
        <n v="546209"/>
        <n v="217423"/>
        <n v="259847"/>
        <n v="432195"/>
        <n v="585982"/>
        <n v="551512"/>
        <n v="535603"/>
        <n v="474619"/>
        <n v="418937"/>
        <n v="570073"/>
        <n v="326135"/>
        <n v="506437"/>
        <n v="421589"/>
        <n v="424240"/>
        <n v="320832"/>
        <n v="503785"/>
        <n v="660224"/>
        <n v="517043"/>
        <n v="456058"/>
        <n v="450755"/>
        <n v="543558"/>
        <n v="400377"/>
        <n v="426892"/>
        <n v="445452"/>
        <n v="498482"/>
        <n v="511740"/>
        <n v="146625000"/>
        <n v="4550000"/>
        <n v="13156000"/>
        <n v="84483000"/>
        <n v="543557.5"/>
        <n v="164393"/>
        <n v="241286.5"/>
        <n v="251892.5"/>
        <n v="177650.5"/>
        <n v="235983.5"/>
        <n v="204165.5"/>
        <n v="143181"/>
        <n v="124620.5"/>
        <n v="862118"/>
        <n v="384467.5"/>
        <n v="485224.5"/>
        <n v="477270"/>
        <n v="678784"/>
        <n v="373861.5"/>
        <n v="283710.5"/>
        <n v="286362"/>
        <n v="389770.5"/>
        <n v="225377.5"/>
        <n v="434846"/>
        <n v="429543"/>
        <n v="270453"/>
        <n v="206817"/>
        <n v="326134.5"/>
        <n v="426891.5"/>
        <n v="342043.5"/>
        <n v="304922.5"/>
        <n v="363255.5"/>
        <n v="360604"/>
        <n v="442800.5"/>
        <n v="601890.5"/>
        <n v="188256.5"/>
        <n v="182953.5"/>
        <n v="357952.5"/>
        <n v="829923.5"/>
        <n v="760980.5"/>
        <n v="1450370.5"/>
        <n v="281059"/>
        <n v="92802.5"/>
        <n v="257195.5"/>
        <n v="320831.5"/>
        <n v="262498.5"/>
        <n v="90151"/>
        <n v="190908"/>
        <n v="161741.5"/>
        <n v="74242"/>
        <n v="127272"/>
        <n v="289013.5"/>
        <n v="331437.5"/>
        <n v="151135.5"/>
        <n v="538254.5"/>
        <n v="180302"/>
        <n v="29166.5"/>
        <n v="98105.5"/>
        <n v="405679.5"/>
        <n v="119317.5"/>
        <n v="347346.5"/>
        <n v="267801.5"/>
        <n v="76893.5"/>
        <n v="111363"/>
        <n v="469315.5"/>
        <n v="371210"/>
        <n v="291665"/>
        <n v="34469.5"/>
        <n v="82196.5"/>
        <n v="591284.5"/>
        <n v="71590.5"/>
        <n v="440149"/>
        <n v="129923.5"/>
        <n v="148484"/>
        <n v="114014.5"/>
        <n v="220074.5"/>
        <n v="26515"/>
        <n v="100757"/>
        <n v="493179"/>
        <n v="79545"/>
        <n v="167044.5"/>
        <n v="18560.5"/>
        <n v="8000000"/>
        <n v="6750000"/>
        <n v="3678000"/>
        <n v="4478000"/>
        <n v="3650000"/>
        <n v="20500000"/>
        <m/>
      </sharedItems>
    </cacheField>
    <cacheField name="Chi phí (bốc xếp, sang tải…)" numFmtId="0">
      <sharedItems containsString="0" containsBlank="1" containsNumber="1" containsInteger="1" minValue="0" maxValue="11250000" count="35">
        <n v="120000"/>
        <n v="60000"/>
        <n v="0"/>
        <n v="1900000"/>
        <n v="100000"/>
        <n v="50000"/>
        <n v="150000"/>
        <n v="3000000"/>
        <n v="500000"/>
        <n v="200000"/>
        <n v="400000"/>
        <n v="210000"/>
        <n v="300000"/>
        <n v="213500"/>
        <m/>
        <n v="80000"/>
        <n v="40000"/>
        <n v="370000"/>
        <n v="30000"/>
        <n v="20000"/>
        <n v="125000"/>
        <n v="82000"/>
        <n v="68000"/>
        <n v="102500"/>
        <n v="1000000"/>
        <n v="1500000"/>
        <n v="250000"/>
        <n v="11250000"/>
        <n v="10775000"/>
        <n v="10950000"/>
        <n v="10850000"/>
        <n v="540000"/>
        <n v="600000"/>
        <n v="1400000"/>
        <n v="850000"/>
      </sharedItems>
    </cacheField>
    <cacheField name="DT bao gồm CP xăng dầu" numFmtId="181">
      <sharedItems containsString="0" containsBlank="1" containsNumber="1" minValue="-1000000" maxValue="146625000" count="1111">
        <n v="3347300"/>
        <n v="1673650"/>
        <n v="1000000"/>
        <n v="1750000"/>
        <n v="1200000"/>
        <n v="1199968"/>
        <n v="31441000"/>
        <n v="29978000"/>
        <n v="9500000"/>
        <n v="12000000"/>
        <n v="10000000"/>
        <n v="9950000"/>
        <n v="5000000"/>
        <n v="6000000"/>
        <n v="6378000"/>
        <n v="6893500"/>
        <n v="6280500"/>
        <n v="1680000"/>
        <n v="11444400"/>
        <n v="8991000"/>
        <n v="8580000"/>
        <n v="9126500"/>
        <n v="5250000"/>
        <n v="9000000"/>
        <n v="8800000"/>
        <n v="6800000"/>
        <n v="750000"/>
        <n v="13150000"/>
        <n v="9750000"/>
        <n v="9650000"/>
        <n v="9027778"/>
        <n v="11000000"/>
        <n v="12350000"/>
        <n v="7750000"/>
        <n v="9388889"/>
        <n v="12500000"/>
        <n v="7500000"/>
        <n v="12250000"/>
        <n v="10500000"/>
        <n v="11850000"/>
        <n v="-1000000"/>
        <n v="10185185"/>
        <n v="13500000"/>
        <n v="11750000"/>
        <n v="13000000"/>
        <n v="10592592.5"/>
        <n v="2750000"/>
        <n v="3000000"/>
        <n v="11500000"/>
        <n v="2500000"/>
        <n v="1842500"/>
        <n v="1375000"/>
        <n v="1925000"/>
        <n v="2502500"/>
        <n v="3740000"/>
        <n v="3272500"/>
        <n v="2002000"/>
        <n v="1001000"/>
        <n v="3500000"/>
        <n v="935000"/>
        <n v="1760000"/>
        <n v="1474000"/>
        <n v="737000"/>
        <n v="2806457.5"/>
        <n v="825000"/>
        <n v="1265000"/>
        <n v="1540000"/>
        <n v="770000"/>
        <n v="2505800"/>
        <n v="1252900"/>
        <n v="1897500"/>
        <n v="990000"/>
        <n v="1100000"/>
        <n v="550000"/>
        <n v="880000"/>
        <n v="792000"/>
        <n v="396000"/>
        <n v="5527500"/>
        <n v="2763750"/>
        <n v="1870000"/>
        <n v="1430000"/>
        <n v="1320000"/>
        <n v="1293000"/>
        <n v="1362000"/>
        <n v="948000"/>
        <n v="1393000"/>
        <n v="6200000"/>
        <n v="1350000"/>
        <n v="1500000"/>
        <n v="1144000"/>
        <n v="572000"/>
        <n v="200000"/>
        <n v="100000"/>
        <n v="6500000"/>
        <n v="2600000"/>
        <n v="250000"/>
        <n v="720000"/>
        <n v="360000"/>
        <n v="2000000"/>
        <n v="500000"/>
        <n v="600000"/>
        <n v="475000"/>
        <n v="900000"/>
        <n v="2250000"/>
        <n v="1250000"/>
        <n v="10250000"/>
        <n v="350000"/>
        <n v="2397500"/>
        <n v="1532000"/>
        <n v="82000"/>
        <n v="8500000"/>
        <n v="13750000"/>
        <n v="5500000"/>
        <n v="29000000"/>
        <n v="21000000"/>
        <n v="9850000"/>
        <n v="6637500"/>
        <n v="5675000"/>
        <n v="5050000"/>
        <n v="7250000"/>
        <n v="2200000"/>
        <n v="1600000"/>
        <n v="1736695"/>
        <n v="1302644"/>
        <n v="651322"/>
        <n v="840000"/>
        <n v="420000"/>
        <n v="1050000"/>
        <n v="4981004.375"/>
        <n v="3493779.375"/>
        <n v="5701828.75"/>
        <n v="1098875"/>
        <n v="2277613.125"/>
        <n v="2352200.5"/>
        <n v="2264850"/>
        <n v="3881250"/>
        <n v="2861400"/>
        <n v="683550"/>
        <n v="814050"/>
        <n v="807500"/>
        <n v="2886500"/>
        <n v="1550000"/>
        <n v="18000000"/>
        <n v="7000000"/>
        <n v="40250000"/>
        <n v="39225000"/>
        <n v="39050000"/>
        <n v="37500000"/>
        <n v="38550000"/>
        <n v="38750000"/>
        <n v="38650000"/>
        <n v="37000000"/>
        <n v="300000"/>
        <n v="2850000"/>
        <n v="800000"/>
        <n v="4000000"/>
        <n v="2800000"/>
        <n v="3750000"/>
        <n v="3250000"/>
        <n v="1300000"/>
        <n v="650000"/>
        <n v="1900000"/>
        <n v="2325000"/>
        <n v="14800000"/>
        <n v="3375000"/>
        <n v="3300000"/>
        <n v="3150000"/>
        <n v="9420000"/>
        <n v="775000"/>
        <n v="1800000"/>
        <n v="4500000"/>
        <n v="5510700"/>
        <n v="450000"/>
        <n v="1400000"/>
        <n v="2100000"/>
        <n v="1778000"/>
        <n v="3950000"/>
        <n v="1278000"/>
        <n v="700000"/>
        <n v="2030000"/>
        <n v="1120000"/>
        <n v="896000"/>
        <n v="448000"/>
        <n v="2450000"/>
        <n v="2625000"/>
        <n v="3325000"/>
        <n v="4250000"/>
        <n v="8760000"/>
        <n v="560000"/>
        <n v="15000000"/>
        <n v="23500000"/>
        <n v="25500000"/>
        <n v="850000"/>
        <n v="3703849"/>
        <n v="2295023"/>
        <n v="5075694"/>
        <n v="1561752"/>
        <n v="4181032"/>
        <n v="2472774"/>
        <n v="2635868"/>
        <n v="3431173"/>
        <n v="3363004"/>
        <n v="3513942"/>
        <n v="4837093"/>
        <n v="3544788"/>
        <n v="3231959"/>
        <n v="1650000"/>
        <n v="2590422"/>
        <n v="3385727"/>
        <n v="4499154"/>
        <n v="3317558"/>
        <n v="1795117"/>
        <n v="3726572"/>
        <n v="2749483"/>
        <n v="2476807"/>
        <n v="3249389"/>
        <n v="3499342"/>
        <n v="2032698"/>
        <n v="3427178"/>
        <n v="2819830"/>
        <n v="2320937"/>
        <n v="2363192"/>
        <n v="2125718"/>
        <n v="3226666"/>
        <n v="3976525"/>
        <n v="5521689"/>
        <n v="4476431"/>
        <n v="6294271"/>
        <n v="1496679"/>
        <n v="2150000"/>
        <n v="2408638"/>
        <n v="4186363"/>
        <n v="4403273"/>
        <n v="3999248"/>
        <n v="1060000"/>
        <n v="910000"/>
        <n v="3135774"/>
        <n v="3396093"/>
        <n v="3067605"/>
        <n v="8861970"/>
        <n v="5544412"/>
        <n v="4090140"/>
        <n v="760000"/>
        <n v="7839435"/>
        <n v="3453896"/>
        <n v="3272112"/>
        <n v="2885821"/>
        <n v="5089952"/>
        <n v="7248637"/>
        <n v="6642000"/>
        <n v="4644000"/>
        <n v="2788000"/>
        <n v="2490000"/>
        <n v="2123000"/>
        <n v="1898000"/>
        <n v="1482000"/>
        <n v="1365000"/>
        <n v="1873000"/>
        <n v="1720000"/>
        <n v="1423000"/>
        <n v="3380000"/>
        <n v="1957000"/>
        <n v="1245000"/>
        <n v="2313000"/>
        <n v="3024000"/>
        <n v="2253000"/>
        <n v="2076000"/>
        <n v="1779000"/>
        <n v="2016000"/>
        <n v="3498000"/>
        <n v="2765000"/>
        <n v="3074000"/>
        <n v="7711000"/>
        <n v="6009000"/>
        <n v="1947000"/>
        <n v="1299000"/>
        <n v="1649000"/>
        <n v="3883000"/>
        <n v="2468000"/>
        <n v="705000"/>
        <n v="3290000"/>
        <n v="990698"/>
        <n v="336600"/>
        <n v="1329570"/>
        <n v="259000"/>
        <n v="2312500"/>
        <n v="102422"/>
        <n v="2344600"/>
        <n v="33189"/>
        <n v="1300650"/>
        <n v="387504"/>
        <n v="1022210"/>
        <n v="156420"/>
        <n v="1738000"/>
        <n v="717794"/>
        <n v="1270478"/>
        <n v="738650"/>
        <n v="567981"/>
        <n v="44154"/>
        <n v="1906650"/>
        <n v="1703943"/>
        <n v="82195"/>
        <n v="4593250"/>
        <n v="790492"/>
        <n v="4166750"/>
        <n v="1156250"/>
        <n v="401698"/>
        <n v="88350"/>
        <n v="1443050"/>
        <n v="311355"/>
        <n v="2187900"/>
        <n v="700910"/>
        <n v="183768"/>
        <n v="124868"/>
        <n v="2179300"/>
        <n v="359290"/>
        <n v="200277"/>
        <n v="1851300"/>
        <n v="1775565"/>
        <n v="173994"/>
        <n v="1604200"/>
        <n v="462750"/>
        <n v="961085"/>
        <n v="32560"/>
        <n v="2523400"/>
        <n v="347991"/>
        <n v="5362875"/>
        <n v="1477770"/>
        <n v="1364760"/>
        <n v="2809800"/>
        <n v="4014000"/>
        <n v="2037105"/>
        <n v="1627677"/>
        <n v="1194165"/>
        <n v="886187"/>
        <n v="4295700"/>
        <n v="1504357"/>
        <n v="1878855"/>
        <n v="3790640"/>
        <n v="18702000"/>
        <n v="19693206"/>
        <n v="1071530"/>
        <n v="789052"/>
        <n v="138120"/>
        <n v="2014250"/>
        <n v="1113700"/>
        <n v="324542"/>
        <n v="2653100"/>
        <n v="188496"/>
        <n v="1683000"/>
        <n v="604197"/>
        <n v="2524500"/>
        <n v="79550"/>
        <n v="31820"/>
        <n v="252450"/>
        <n v="839150"/>
        <n v="1505108"/>
        <n v="651750"/>
        <n v="1390400"/>
        <n v="315704"/>
        <n v="1089650"/>
        <n v="289788"/>
        <n v="2532700"/>
        <n v="4804820"/>
        <n v="453530"/>
        <n v="649638"/>
        <n v="68423"/>
        <n v="1129625"/>
        <n v="58900"/>
        <n v="33660"/>
        <n v="358800"/>
        <n v="13455"/>
        <n v="897000"/>
        <n v="136648"/>
        <n v="1884800"/>
        <n v="3534000"/>
        <n v="44850"/>
        <n v="8970"/>
        <n v="11780"/>
        <n v="35340"/>
        <n v="419796"/>
        <n v="1063524"/>
        <n v="1783452"/>
        <n v="223354"/>
        <n v="2591400"/>
        <n v="441750"/>
        <n v="400520"/>
        <n v="1266350"/>
        <n v="179056"/>
        <n v="2272050"/>
        <n v="420750"/>
        <n v="1412037"/>
        <n v="3197700"/>
        <n v="905157"/>
        <n v="1404900"/>
        <n v="865017"/>
        <n v="1204200"/>
        <n v="728541"/>
        <n v="765900"/>
        <n v="2960000"/>
        <n v="721443"/>
        <n v="3571500"/>
        <n v="455840"/>
        <n v="2442000"/>
        <n v="1332648"/>
        <n v="11510"/>
        <n v="23020"/>
        <n v="50490"/>
        <n v="776886"/>
        <n v="545732"/>
        <n v="399740"/>
        <n v="1216600"/>
        <n v="752554"/>
        <n v="851620"/>
        <n v="763344"/>
        <n v="1227476"/>
        <n v="2120400"/>
        <n v="2827200"/>
        <n v="429970"/>
        <n v="185000"/>
        <n v="1202500"/>
        <n v="2308050"/>
        <n v="413442"/>
        <n v="1103850"/>
        <n v="21528"/>
        <n v="238257"/>
        <n v="1956700"/>
        <n v="1140747"/>
        <n v="4375250"/>
        <n v="62271"/>
        <n v="785961"/>
        <n v="1009800"/>
        <n v="710745"/>
        <n v="4109750"/>
        <n v="17380"/>
        <n v="40140"/>
        <n v="60210"/>
        <n v="483500"/>
        <n v="20983644"/>
        <n v="136846"/>
        <n v="903700"/>
        <n v="1591000"/>
        <n v="1514632"/>
        <n v="4534350"/>
        <n v="334110"/>
        <n v="389795"/>
        <n v="239408"/>
        <n v="1151000"/>
        <n v="392491"/>
        <n v="920800"/>
        <n v="893360"/>
        <n v="1113885"/>
        <n v="2508750"/>
        <n v="104842"/>
        <n v="671460"/>
        <n v="138006"/>
        <n v="16830"/>
        <n v="986238"/>
        <n v="12910"/>
        <n v="17180"/>
        <n v="20070"/>
        <n v="23560"/>
        <n v="889824"/>
        <n v="104890"/>
        <n v="2097800"/>
        <n v="243320"/>
        <n v="1651100"/>
        <n v="56804"/>
        <n v="1000525"/>
        <n v="710050"/>
        <n v="787545"/>
        <n v="3197910"/>
        <n v="25245"/>
        <n v="2103750"/>
        <n v="84150"/>
        <n v="301050"/>
        <n v="24680"/>
        <n v="17670"/>
        <n v="43586"/>
        <n v="1178000"/>
        <n v="49358"/>
        <n v="1767000"/>
        <n v="3769600"/>
        <n v="29450"/>
        <n v="368714"/>
        <n v="201650"/>
        <n v="2867500"/>
        <n v="100980"/>
        <n v="2692800"/>
        <n v="8415"/>
        <n v="1767150"/>
        <n v="812835"/>
        <n v="1304550"/>
        <n v="154765"/>
        <n v="4523900"/>
        <n v="864422"/>
        <n v="3977500"/>
        <n v="660265"/>
        <n v="373885"/>
        <n v="728222"/>
        <n v="60830"/>
        <n v="1086250"/>
        <n v="897"/>
        <n v="34086"/>
        <n v="1233375"/>
        <n v="368667"/>
        <n v="100350"/>
        <n v="1505250"/>
        <n v="46250"/>
        <n v="145050"/>
        <n v="3626250"/>
        <n v="241750"/>
        <n v="4835000"/>
        <n v="32275"/>
        <n v="86900"/>
        <n v="650012"/>
        <n v="782100"/>
        <n v="580754"/>
        <n v="439394"/>
        <n v="456580"/>
        <n v="851185"/>
        <n v="3102450"/>
        <n v="1344690"/>
        <n v="1806300"/>
        <n v="551925"/>
        <n v="903150"/>
        <n v="48675"/>
        <n v="57550"/>
        <n v="1208550"/>
        <n v="281995"/>
        <n v="656070"/>
        <n v="311921"/>
        <n v="1093450"/>
        <n v="1053675"/>
        <n v="2207700"/>
        <n v="9475000"/>
        <n v="4485"/>
        <n v="281061"/>
        <n v="1346400"/>
        <n v="21947"/>
        <n v="70680"/>
        <n v="1384150"/>
        <n v="276012"/>
        <n v="154250"/>
        <n v="83424"/>
        <n v="345420"/>
        <n v="3030000"/>
        <n v="96252"/>
        <n v="38730"/>
        <n v="1542500"/>
        <n v="173800"/>
        <n v="92550"/>
        <n v="2036100"/>
        <n v="604580"/>
        <n v="843230"/>
        <n v="3659300"/>
        <n v="240840"/>
        <n v="1756125"/>
        <n v="4409475"/>
        <n v="565440"/>
        <n v="20631"/>
        <n v="1435200"/>
        <n v="370461"/>
        <n v="68145"/>
        <n v="2239050"/>
        <n v="114762"/>
        <n v="104280"/>
        <n v="608300"/>
        <n v="95590"/>
        <n v="64790"/>
        <n v="353400"/>
        <n v="832500"/>
        <n v="2451250"/>
        <n v="1387500"/>
        <n v="832905"/>
        <n v="383341"/>
        <n v="4642950"/>
        <n v="946645"/>
        <n v="671402"/>
        <n v="198814"/>
        <n v="2776500"/>
        <n v="135740"/>
        <n v="370200"/>
        <n v="301257"/>
        <n v="82467"/>
        <n v="2440350"/>
        <n v="20834028"/>
        <n v="5250300"/>
        <n v="453435"/>
        <n v="1655775"/>
        <n v="4714125"/>
        <n v="818598"/>
        <n v="2276780"/>
        <n v="881166"/>
        <n v="3211200"/>
        <n v="2085612"/>
        <n v="3341655"/>
        <n v="1651685"/>
        <n v="2488680"/>
        <n v="531855"/>
        <n v="729182"/>
        <n v="1756426"/>
        <n v="1796450"/>
        <n v="3843972"/>
        <n v="2691000"/>
        <n v="1755982"/>
        <n v="1416470"/>
        <n v="3335550"/>
        <n v="1097350"/>
        <n v="500650"/>
        <n v="2364615"/>
        <n v="6127000"/>
        <n v="1442331"/>
        <n v="4440000"/>
        <n v="4661630"/>
        <n v="658189"/>
        <n v="338948"/>
        <n v="256181"/>
        <n v="382301"/>
        <n v="386243"/>
        <n v="413831"/>
        <n v="441420"/>
        <n v="394125"/>
        <n v="236475"/>
        <n v="271946"/>
        <n v="252240"/>
        <n v="484774"/>
        <n v="457185"/>
        <n v="378360"/>
        <n v="354713"/>
        <n v="244358"/>
        <n v="181298"/>
        <n v="70943"/>
        <n v="228593"/>
        <n v="563599"/>
        <n v="512363"/>
        <n v="342889"/>
        <n v="327124"/>
        <n v="161591"/>
        <n v="571481"/>
        <n v="240416"/>
        <n v="532069"/>
        <n v="697601"/>
        <n v="851310"/>
        <n v="162905"/>
        <n v="157650"/>
        <n v="204945"/>
        <n v="197063"/>
        <n v="189180"/>
        <n v="593815"/>
        <n v="554403"/>
        <n v="312673"/>
        <n v="289025"/>
        <n v="139258"/>
        <n v="155023"/>
        <n v="115610"/>
        <n v="165533"/>
        <n v="199690"/>
        <n v="123493"/>
        <n v="246985"/>
        <n v="81453"/>
        <n v="307418"/>
        <n v="294280"/>
        <n v="409890"/>
        <n v="493970"/>
        <n v="349458"/>
        <n v="549148"/>
        <n v="404635"/>
        <n v="415145"/>
        <n v="388870"/>
        <n v="375733"/>
        <n v="578050"/>
        <n v="296908"/>
        <n v="212828"/>
        <n v="346830"/>
        <n v="323183"/>
        <n v="218083"/>
        <n v="273260"/>
        <n v="152395"/>
        <n v="233848"/>
        <n v="438793"/>
        <n v="283770"/>
        <n v="380988"/>
        <n v="183925"/>
        <n v="436165"/>
        <n v="486088"/>
        <n v="373105"/>
        <n v="304790"/>
        <n v="78825"/>
        <n v="987940"/>
        <n v="370478"/>
        <n v="362595"/>
        <n v="291653"/>
        <n v="260123"/>
        <n v="430910"/>
        <n v="286398"/>
        <n v="257495"/>
        <n v="344203"/>
        <n v="352085"/>
        <n v="648993"/>
        <n v="84080"/>
        <n v="278515"/>
        <n v="191808"/>
        <n v="249613"/>
        <n v="186553"/>
        <n v="194435"/>
        <n v="220710"/>
        <n v="239103"/>
        <n v="317928"/>
        <n v="365223"/>
        <n v="231220"/>
        <n v="281143"/>
        <n v="168160"/>
        <n v="91963"/>
        <n v="207573"/>
        <n v="99845"/>
        <n v="176043"/>
        <n v="299535"/>
        <n v="160278"/>
        <n v="320555"/>
        <n v="265378"/>
        <n v="128748"/>
        <n v="270633"/>
        <n v="210200"/>
        <n v="126120"/>
        <n v="136630"/>
        <n v="97218"/>
        <n v="310045"/>
        <n v="341575"/>
        <n v="1061510"/>
        <n v="207960"/>
        <n v="226157"/>
        <n v="278147"/>
        <n v="189764"/>
        <n v="236555"/>
        <n v="210560"/>
        <n v="187164"/>
        <n v="220958"/>
        <n v="140373"/>
        <n v="223557"/>
        <n v="280746"/>
        <n v="150771"/>
        <n v="129975"/>
        <n v="218358"/>
        <n v="57189"/>
        <n v="111779"/>
        <n v="335336"/>
        <n v="392525"/>
        <n v="171567"/>
        <n v="168968"/>
        <n v="67587"/>
        <n v="192363"/>
        <n v="259950"/>
        <n v="252152"/>
        <n v="176766"/>
        <n v="163769"/>
        <n v="738258"/>
        <n v="262550"/>
        <n v="202761"/>
        <n v="298943"/>
        <n v="205361"/>
        <n v="337935"/>
        <n v="179366"/>
        <n v="116978"/>
        <n v="358731"/>
        <n v="249552"/>
        <n v="233955"/>
        <n v="135174"/>
        <n v="142973"/>
        <n v="376928"/>
        <n v="213159"/>
        <n v="309341"/>
        <n v="301542"/>
        <n v="241754"/>
        <n v="343134"/>
        <n v="1104788"/>
        <n v="569291"/>
        <n v="340535"/>
        <n v="267749"/>
        <n v="366530"/>
        <n v="408122"/>
        <n v="402923"/>
        <n v="421119"/>
        <n v="532898"/>
        <n v="379527"/>
        <n v="382127"/>
        <n v="428918"/>
        <n v="538097"/>
        <n v="288545"/>
        <n v="574490"/>
        <n v="592686"/>
        <n v="322338"/>
        <n v="350933"/>
        <n v="353532"/>
        <n v="530298"/>
        <n v="231356"/>
        <n v="447114"/>
        <n v="701865"/>
        <n v="1154178"/>
        <n v="982611"/>
        <n v="332736"/>
        <n v="327537"/>
        <n v="317139"/>
        <n v="239154"/>
        <n v="244353"/>
        <n v="434117"/>
        <n v="285945"/>
        <n v="145572"/>
        <n v="405522"/>
        <n v="363930"/>
        <n v="1050198"/>
        <n v="496505"/>
        <n v="727860"/>
        <n v="270348"/>
        <n v="194963"/>
        <n v="153371"/>
        <n v="166368"/>
        <n v="371729"/>
        <n v="161169"/>
        <n v="106580"/>
        <n v="246953"/>
        <n v="579689"/>
        <n v="319739"/>
        <n v="174167"/>
        <n v="283346"/>
        <n v="101381"/>
        <n v="90983"/>
        <n v="124776"/>
        <n v="93582"/>
        <n v="103980"/>
        <n v="119577"/>
        <n v="41592"/>
        <n v="88383"/>
        <n v="122177"/>
        <n v="295089"/>
        <n v="346859"/>
        <n v="276970"/>
        <n v="266616"/>
        <n v="225200"/>
        <n v="188961"/>
        <n v="323563"/>
        <n v="416749"/>
        <n v="207080"/>
        <n v="51770"/>
        <n v="251085"/>
        <n v="232965"/>
        <n v="204492"/>
        <n v="199315"/>
        <n v="194138"/>
        <n v="150133"/>
        <n v="271793"/>
        <n v="315797"/>
        <n v="214846"/>
        <n v="186372"/>
        <n v="300266"/>
        <n v="222611"/>
        <n v="253673"/>
        <n v="134602"/>
        <n v="170841"/>
        <n v="359802"/>
        <n v="310620"/>
        <n v="121660"/>
        <n v="1056108"/>
        <n v="385687"/>
        <n v="398629"/>
        <n v="292501"/>
        <n v="240731"/>
        <n v="561705"/>
        <n v="230377"/>
        <n v="243319"/>
        <n v="155310"/>
        <n v="297678"/>
        <n v="235554"/>
        <n v="289912"/>
        <n v="160487"/>
        <n v="284735"/>
        <n v="261439"/>
        <n v="176018"/>
        <n v="331328"/>
        <n v="191549"/>
        <n v="33651"/>
        <n v="339094"/>
        <n v="217434"/>
        <n v="248496"/>
        <n v="142368"/>
        <n v="302855"/>
        <n v="308032"/>
        <n v="473696"/>
        <n v="502169"/>
        <n v="499581"/>
        <n v="491815"/>
        <n v="546174"/>
        <n v="362390"/>
        <n v="305443"/>
        <n v="735134"/>
        <n v="768785"/>
        <n v="429691"/>
        <n v="452988"/>
        <n v="157899"/>
        <n v="69890"/>
        <n v="507346"/>
        <n v="618652"/>
        <n v="318386"/>
        <n v="419337"/>
        <n v="476284"/>
        <n v="494404"/>
        <n v="460753"/>
        <n v="326151"/>
        <n v="424514"/>
        <n v="390864"/>
        <n v="582413"/>
        <n v="445222"/>
        <n v="698895"/>
        <n v="320974"/>
        <n v="1107878"/>
        <n v="258850"/>
        <n v="238142"/>
        <n v="137191"/>
        <n v="163076"/>
        <n v="196726"/>
        <n v="264027"/>
        <n v="113894"/>
        <n v="349448"/>
        <n v="227788"/>
        <n v="212257"/>
        <n v="388275"/>
        <n v="116483"/>
        <n v="287324"/>
        <n v="152722"/>
        <n v="279558"/>
        <n v="328740"/>
        <n v="147545"/>
        <n v="168253"/>
        <n v="269204"/>
        <n v="165664"/>
        <n v="173430"/>
        <n v="82832"/>
        <n v="256262"/>
        <n v="1071206"/>
        <n v="254544"/>
        <n v="198863"/>
        <n v="615148"/>
        <n v="312877"/>
        <n v="262499"/>
        <n v="355301"/>
        <n v="336741"/>
        <n v="246590"/>
        <n v="169696"/>
        <n v="228029"/>
        <n v="230681"/>
        <n v="405680"/>
        <n v="347347"/>
        <n v="392422"/>
        <n v="212120"/>
        <n v="442801"/>
        <n v="251893"/>
        <n v="334089"/>
        <n v="214772"/>
        <n v="196211"/>
        <n v="222726"/>
        <n v="257196"/>
        <n v="365907"/>
        <n v="124621"/>
        <n v="193560"/>
        <n v="174999"/>
        <n v="121969"/>
        <n v="185605"/>
        <n v="172348"/>
        <n v="238635"/>
        <n v="289014"/>
        <n v="273105"/>
        <n v="267802"/>
        <n v="114015"/>
        <n v="159090"/>
        <n v="167045"/>
        <n v="241287"/>
        <n v="373862"/>
        <n v="220075"/>
        <n v="182954"/>
        <n v="135227"/>
        <n v="103409"/>
        <n v="233332"/>
        <n v="315529"/>
        <n v="957192"/>
        <n v="697345"/>
        <n v="307574"/>
        <n v="349998"/>
        <n v="243938"/>
        <n v="296968"/>
        <n v="201514"/>
        <n v="177651"/>
        <n v="283711"/>
        <n v="344695"/>
        <n v="249241"/>
        <n v="153787"/>
        <n v="225378"/>
        <n v="546209"/>
        <n v="217423"/>
        <n v="259847"/>
        <n v="432195"/>
        <n v="585982"/>
        <n v="551512"/>
        <n v="535603"/>
        <n v="474619"/>
        <n v="418937"/>
        <n v="570073"/>
        <n v="326135"/>
        <n v="506437"/>
        <n v="421589"/>
        <n v="424240"/>
        <n v="320832"/>
        <n v="503785"/>
        <n v="660224"/>
        <n v="517043"/>
        <n v="456058"/>
        <n v="450755"/>
        <n v="543558"/>
        <n v="400377"/>
        <n v="426892"/>
        <n v="445452"/>
        <n v="498482"/>
        <n v="511740"/>
        <n v="146625000"/>
        <n v="4550000"/>
        <n v="13156000"/>
        <n v="84483000"/>
        <n v="543557.5"/>
        <n v="164393"/>
        <n v="241286.5"/>
        <n v="251892.5"/>
        <n v="177650.5"/>
        <n v="235983.5"/>
        <n v="204165.5"/>
        <n v="143181"/>
        <n v="124620.5"/>
        <n v="862118"/>
        <n v="384467.5"/>
        <n v="485224.5"/>
        <n v="477270"/>
        <n v="678784"/>
        <n v="373861.5"/>
        <n v="283710.5"/>
        <n v="286362"/>
        <n v="389770.5"/>
        <n v="225377.5"/>
        <n v="434846"/>
        <n v="429543"/>
        <n v="270453"/>
        <n v="206817"/>
        <n v="326134.5"/>
        <n v="426891.5"/>
        <n v="342043.5"/>
        <n v="304922.5"/>
        <n v="363255.5"/>
        <n v="360604"/>
        <n v="442800.5"/>
        <n v="601890.5"/>
        <n v="188256.5"/>
        <n v="182953.5"/>
        <n v="357952.5"/>
        <n v="829923.5"/>
        <n v="760980.5"/>
        <n v="1450370.5"/>
        <n v="281059"/>
        <n v="92802.5"/>
        <n v="257195.5"/>
        <n v="320831.5"/>
        <n v="262498.5"/>
        <n v="90151"/>
        <n v="190908"/>
        <n v="161741.5"/>
        <n v="74242"/>
        <n v="127272"/>
        <n v="289013.5"/>
        <n v="331437.5"/>
        <n v="151135.5"/>
        <n v="538254.5"/>
        <n v="180302"/>
        <n v="29166.5"/>
        <n v="98105.5"/>
        <n v="405679.5"/>
        <n v="119317.5"/>
        <n v="347346.5"/>
        <n v="267801.5"/>
        <n v="76893.5"/>
        <n v="111363"/>
        <n v="469315.5"/>
        <n v="371210"/>
        <n v="291665"/>
        <n v="34469.5"/>
        <n v="82196.5"/>
        <n v="591284.5"/>
        <n v="71590.5"/>
        <n v="440149"/>
        <n v="129923.5"/>
        <n v="148484"/>
        <n v="114014.5"/>
        <n v="220074.5"/>
        <n v="26515"/>
        <n v="100757"/>
        <n v="493179"/>
        <n v="79545"/>
        <n v="167044.5"/>
        <n v="18560.5"/>
        <n v="8000000"/>
        <n v="6750000"/>
        <n v="3078000"/>
        <n v="2897500"/>
        <n v="3647500"/>
        <n v="20500000"/>
        <m/>
      </sharedItems>
    </cacheField>
    <cacheField name="DT tính lương lái xe" numFmtId="0">
      <sharedItems containsString="0" containsBlank="1" containsNumber="1" minValue="-1000000" maxValue="146625000" count="1111">
        <n v="3347300"/>
        <n v="1673650"/>
        <n v="1000000"/>
        <n v="1750000"/>
        <n v="1200000"/>
        <n v="1199968"/>
        <n v="31441000"/>
        <n v="29978000"/>
        <n v="9500000"/>
        <n v="12000000"/>
        <n v="10000000"/>
        <n v="9950000"/>
        <n v="5000000"/>
        <n v="6000000"/>
        <n v="6378000"/>
        <n v="6893500"/>
        <n v="6280500"/>
        <n v="1680000"/>
        <n v="11444400"/>
        <n v="8991000"/>
        <n v="8580000"/>
        <n v="9126500"/>
        <n v="5250000"/>
        <n v="9000000"/>
        <n v="8800000"/>
        <n v="6800000"/>
        <n v="750000"/>
        <n v="13150000"/>
        <n v="9750000"/>
        <n v="9650000"/>
        <n v="9027778"/>
        <n v="11000000"/>
        <n v="12350000"/>
        <n v="7750000"/>
        <n v="9388889"/>
        <n v="12500000"/>
        <n v="7500000"/>
        <n v="12250000"/>
        <n v="10500000"/>
        <n v="11850000"/>
        <n v="-1000000"/>
        <n v="10185185"/>
        <n v="13500000"/>
        <n v="11750000"/>
        <n v="13000000"/>
        <n v="10592592.5"/>
        <n v="2750000"/>
        <n v="3000000"/>
        <n v="11500000"/>
        <n v="2500000"/>
        <n v="1842500"/>
        <n v="1375000"/>
        <n v="1925000"/>
        <n v="2502500"/>
        <n v="3740000"/>
        <n v="3272500"/>
        <n v="2002000"/>
        <n v="1001000"/>
        <n v="3500000"/>
        <n v="935000"/>
        <n v="1760000"/>
        <n v="1474000"/>
        <n v="737000"/>
        <n v="2806457.5"/>
        <n v="825000"/>
        <n v="1265000"/>
        <n v="1540000"/>
        <n v="770000"/>
        <n v="2505800"/>
        <n v="1252900"/>
        <n v="1897500"/>
        <n v="990000"/>
        <n v="1100000"/>
        <n v="550000"/>
        <n v="880000"/>
        <n v="792000"/>
        <n v="396000"/>
        <n v="5527500"/>
        <n v="2763750"/>
        <n v="1870000"/>
        <n v="1430000"/>
        <n v="1320000"/>
        <n v="1293000"/>
        <n v="1362000"/>
        <n v="948000"/>
        <n v="1393000"/>
        <n v="6200000"/>
        <n v="1350000"/>
        <n v="1500000"/>
        <n v="1144000"/>
        <n v="572000"/>
        <n v="200000"/>
        <n v="100000"/>
        <n v="6500000"/>
        <n v="2600000"/>
        <n v="250000"/>
        <n v="720000"/>
        <n v="360000"/>
        <n v="2000000"/>
        <n v="500000"/>
        <n v="600000"/>
        <n v="475000"/>
        <n v="900000"/>
        <n v="2250000"/>
        <n v="1250000"/>
        <n v="10250000"/>
        <n v="350000"/>
        <n v="2397500"/>
        <n v="1532000"/>
        <n v="82000"/>
        <n v="8500000"/>
        <n v="13750000"/>
        <n v="5500000"/>
        <n v="29000000"/>
        <n v="21000000"/>
        <n v="9850000"/>
        <n v="6637500"/>
        <n v="5675000"/>
        <n v="5050000"/>
        <n v="7250000"/>
        <n v="2200000"/>
        <n v="1600000"/>
        <n v="1736695"/>
        <n v="1302644"/>
        <n v="651322"/>
        <n v="840000"/>
        <n v="420000"/>
        <n v="1050000"/>
        <n v="4981004.375"/>
        <n v="3493779.375"/>
        <n v="5701828.75"/>
        <n v="1098875"/>
        <n v="2277613.125"/>
        <n v="2352200.5"/>
        <n v="2264850"/>
        <n v="3881250"/>
        <n v="2861400"/>
        <n v="683550"/>
        <n v="814050"/>
        <n v="807500"/>
        <n v="2886500"/>
        <n v="1550000"/>
        <n v="18000000"/>
        <n v="7000000"/>
        <n v="40250000"/>
        <n v="39225000"/>
        <n v="39050000"/>
        <n v="37500000"/>
        <n v="38550000"/>
        <n v="38750000"/>
        <n v="38650000"/>
        <n v="37000000"/>
        <n v="300000"/>
        <n v="2850000"/>
        <n v="800000"/>
        <n v="4000000"/>
        <n v="2800000"/>
        <n v="3750000"/>
        <n v="3250000"/>
        <n v="1300000"/>
        <n v="650000"/>
        <n v="1900000"/>
        <n v="2325000"/>
        <n v="14800000"/>
        <n v="3375000"/>
        <n v="3300000"/>
        <n v="3150000"/>
        <n v="9420000"/>
        <n v="775000"/>
        <n v="1800000"/>
        <n v="4500000"/>
        <n v="5510700"/>
        <n v="450000"/>
        <n v="1400000"/>
        <n v="2100000"/>
        <n v="1778000"/>
        <n v="3950000"/>
        <n v="1278000"/>
        <n v="700000"/>
        <n v="2030000"/>
        <n v="1120000"/>
        <n v="896000"/>
        <n v="448000"/>
        <n v="2450000"/>
        <n v="2625000"/>
        <n v="3325000"/>
        <n v="4250000"/>
        <n v="8760000"/>
        <n v="560000"/>
        <n v="15000000"/>
        <n v="23500000"/>
        <n v="25500000"/>
        <n v="850000"/>
        <n v="3703849"/>
        <n v="2295023"/>
        <n v="5075694"/>
        <n v="1561752"/>
        <n v="4181032"/>
        <n v="2472774"/>
        <n v="2635868"/>
        <n v="3431173"/>
        <n v="3363004"/>
        <n v="3513942"/>
        <n v="4837093"/>
        <n v="3544788"/>
        <n v="3231959"/>
        <n v="1650000"/>
        <n v="2590422"/>
        <n v="3385727"/>
        <n v="4499154"/>
        <n v="3317558"/>
        <n v="1795117"/>
        <n v="3726572"/>
        <n v="2749483"/>
        <n v="2476807"/>
        <n v="3249389"/>
        <n v="3499342"/>
        <n v="2032698"/>
        <n v="3427178"/>
        <n v="2819830"/>
        <n v="2320937"/>
        <n v="2363192"/>
        <n v="2125718"/>
        <n v="3226666"/>
        <n v="3976525"/>
        <n v="5521689"/>
        <n v="4476431"/>
        <n v="6294271"/>
        <n v="1496679"/>
        <n v="2150000"/>
        <n v="2408638"/>
        <n v="4186363"/>
        <n v="4403273"/>
        <n v="3999248"/>
        <n v="1060000"/>
        <n v="910000"/>
        <n v="3135774"/>
        <n v="3396093"/>
        <n v="3067605"/>
        <n v="8861970"/>
        <n v="5544412"/>
        <n v="4090140"/>
        <n v="760000"/>
        <n v="7839435"/>
        <n v="3453896"/>
        <n v="3272112"/>
        <n v="2885821"/>
        <n v="5089952"/>
        <n v="7248637"/>
        <n v="6642000"/>
        <n v="4644000"/>
        <n v="2788000"/>
        <n v="2490000"/>
        <n v="2123000"/>
        <n v="1898000"/>
        <n v="1482000"/>
        <n v="1365000"/>
        <n v="1873000"/>
        <n v="1720000"/>
        <n v="1423000"/>
        <n v="3380000"/>
        <n v="1957000"/>
        <n v="1245000"/>
        <n v="2313000"/>
        <n v="3024000"/>
        <n v="2253000"/>
        <n v="2076000"/>
        <n v="1779000"/>
        <n v="2016000"/>
        <n v="3498000"/>
        <n v="2765000"/>
        <n v="3074000"/>
        <n v="7711000"/>
        <n v="6009000"/>
        <n v="1947000"/>
        <n v="1299000"/>
        <n v="1649000"/>
        <n v="3883000"/>
        <n v="2468000"/>
        <n v="705000"/>
        <n v="3290000"/>
        <n v="990698"/>
        <n v="336600"/>
        <n v="1329570"/>
        <n v="259000"/>
        <n v="2312500"/>
        <n v="102422"/>
        <n v="2344600"/>
        <n v="33189"/>
        <n v="1300650"/>
        <n v="387504"/>
        <n v="1022210"/>
        <n v="156420"/>
        <n v="1738000"/>
        <n v="717794"/>
        <n v="1270478"/>
        <n v="738650"/>
        <n v="567981"/>
        <n v="44154"/>
        <n v="1906650"/>
        <n v="1703943"/>
        <n v="82195"/>
        <n v="4593250"/>
        <n v="790492"/>
        <n v="4166750"/>
        <n v="1156250"/>
        <n v="401698"/>
        <n v="88350"/>
        <n v="1443050"/>
        <n v="311355"/>
        <n v="2187900"/>
        <n v="700910"/>
        <n v="183768"/>
        <n v="124868"/>
        <n v="2179300"/>
        <n v="359290"/>
        <n v="200277"/>
        <n v="1851300"/>
        <n v="1775565"/>
        <n v="173994"/>
        <n v="1604200"/>
        <n v="462750"/>
        <n v="961085"/>
        <n v="32560"/>
        <n v="2523400"/>
        <n v="347991"/>
        <n v="5362875"/>
        <n v="1477770"/>
        <n v="1364760"/>
        <n v="2809800"/>
        <n v="4014000"/>
        <n v="2037105"/>
        <n v="1627677"/>
        <n v="1194165"/>
        <n v="886187"/>
        <n v="4295700"/>
        <n v="1504357"/>
        <n v="1878855"/>
        <n v="3790640"/>
        <n v="18702000"/>
        <n v="19693206"/>
        <n v="1071530"/>
        <n v="789052"/>
        <n v="138120"/>
        <n v="2014250"/>
        <n v="1113700"/>
        <n v="324542"/>
        <n v="2653100"/>
        <n v="188496"/>
        <n v="1683000"/>
        <n v="604197"/>
        <n v="2524500"/>
        <n v="79550"/>
        <n v="31820"/>
        <n v="252450"/>
        <n v="839150"/>
        <n v="1505108"/>
        <n v="651750"/>
        <n v="1390400"/>
        <n v="315704"/>
        <n v="1089650"/>
        <n v="289788"/>
        <n v="2532700"/>
        <n v="4804820"/>
        <n v="453530"/>
        <n v="649638"/>
        <n v="68423"/>
        <n v="1129625"/>
        <n v="58900"/>
        <n v="33660"/>
        <n v="358800"/>
        <n v="13455"/>
        <n v="897000"/>
        <n v="136648"/>
        <n v="1884800"/>
        <n v="3534000"/>
        <n v="44850"/>
        <n v="8970"/>
        <n v="11780"/>
        <n v="35340"/>
        <n v="419796"/>
        <n v="1063524"/>
        <n v="1783452"/>
        <n v="223354"/>
        <n v="2591400"/>
        <n v="441750"/>
        <n v="400520"/>
        <n v="1266350"/>
        <n v="179056"/>
        <n v="2272050"/>
        <n v="420750"/>
        <n v="1412037"/>
        <n v="3197700"/>
        <n v="905157"/>
        <n v="1404900"/>
        <n v="865017"/>
        <n v="1204200"/>
        <n v="728541"/>
        <n v="765900"/>
        <n v="2960000"/>
        <n v="721443"/>
        <n v="3571500"/>
        <n v="455840"/>
        <n v="2442000"/>
        <n v="1332648"/>
        <n v="11510"/>
        <n v="23020"/>
        <n v="50490"/>
        <n v="776886"/>
        <n v="545732"/>
        <n v="399740"/>
        <n v="1216600"/>
        <n v="752554"/>
        <n v="851620"/>
        <n v="763344"/>
        <n v="1227476"/>
        <n v="2120400"/>
        <n v="2827200"/>
        <n v="429970"/>
        <n v="185000"/>
        <n v="1202500"/>
        <n v="2308050"/>
        <n v="413442"/>
        <n v="1103850"/>
        <n v="21528"/>
        <n v="238257"/>
        <n v="1956700"/>
        <n v="1140747"/>
        <n v="4375250"/>
        <n v="62271"/>
        <n v="785961"/>
        <n v="1009800"/>
        <n v="710745"/>
        <n v="4109750"/>
        <n v="17380"/>
        <n v="40140"/>
        <n v="60210"/>
        <n v="483500"/>
        <n v="20983644"/>
        <n v="136846"/>
        <n v="903700"/>
        <n v="1591000"/>
        <n v="1514632"/>
        <n v="4534350"/>
        <n v="334110"/>
        <n v="389795"/>
        <n v="239408"/>
        <n v="1151000"/>
        <n v="392491"/>
        <n v="920800"/>
        <n v="893360"/>
        <n v="1113885"/>
        <n v="2508750"/>
        <n v="104842"/>
        <n v="671460"/>
        <n v="138006"/>
        <n v="16830"/>
        <n v="986238"/>
        <n v="12910"/>
        <n v="17180"/>
        <n v="20070"/>
        <n v="23560"/>
        <n v="889824"/>
        <n v="104890"/>
        <n v="2097800"/>
        <n v="243320"/>
        <n v="1651100"/>
        <n v="56804"/>
        <n v="1000525"/>
        <n v="710050"/>
        <n v="787545"/>
        <n v="3197910"/>
        <n v="25245"/>
        <n v="2103750"/>
        <n v="84150"/>
        <n v="301050"/>
        <n v="24680"/>
        <n v="17670"/>
        <n v="43586"/>
        <n v="1178000"/>
        <n v="49358"/>
        <n v="1767000"/>
        <n v="3769600"/>
        <n v="29450"/>
        <n v="368714"/>
        <n v="201650"/>
        <n v="2867500"/>
        <n v="100980"/>
        <n v="2692800"/>
        <n v="8415"/>
        <n v="1767150"/>
        <n v="812835"/>
        <n v="1304550"/>
        <n v="154765"/>
        <n v="4523900"/>
        <n v="864422"/>
        <n v="3977500"/>
        <n v="660265"/>
        <n v="373885"/>
        <n v="728222"/>
        <n v="60830"/>
        <n v="1086250"/>
        <n v="897"/>
        <n v="34086"/>
        <n v="1233375"/>
        <n v="368667"/>
        <n v="100350"/>
        <n v="1505250"/>
        <n v="46250"/>
        <n v="145050"/>
        <n v="3626250"/>
        <n v="241750"/>
        <n v="4835000"/>
        <n v="32275"/>
        <n v="86900"/>
        <n v="650012"/>
        <n v="782100"/>
        <n v="580754"/>
        <n v="439394"/>
        <n v="456580"/>
        <n v="851185"/>
        <n v="3102450"/>
        <n v="1344690"/>
        <n v="1806300"/>
        <n v="551925"/>
        <n v="903150"/>
        <n v="48675"/>
        <n v="57550"/>
        <n v="1208550"/>
        <n v="281995"/>
        <n v="656070"/>
        <n v="311921"/>
        <n v="1093450"/>
        <n v="1053675"/>
        <n v="2207700"/>
        <n v="9475000"/>
        <n v="4485"/>
        <n v="281061"/>
        <n v="1346400"/>
        <n v="21947"/>
        <n v="70680"/>
        <n v="1384150"/>
        <n v="276012"/>
        <n v="154250"/>
        <n v="83424"/>
        <n v="345420"/>
        <n v="3030000"/>
        <n v="96252"/>
        <n v="38730"/>
        <n v="1542500"/>
        <n v="173800"/>
        <n v="92550"/>
        <n v="2036100"/>
        <n v="604580"/>
        <n v="843230"/>
        <n v="3659300"/>
        <n v="240840"/>
        <n v="1756125"/>
        <n v="4409475"/>
        <n v="565440"/>
        <n v="20631"/>
        <n v="1435200"/>
        <n v="370461"/>
        <n v="68145"/>
        <n v="2239050"/>
        <n v="114762"/>
        <n v="104280"/>
        <n v="608300"/>
        <n v="95590"/>
        <n v="64790"/>
        <n v="353400"/>
        <n v="832500"/>
        <n v="2451250"/>
        <n v="1387500"/>
        <n v="832905"/>
        <n v="383341"/>
        <n v="4642950"/>
        <n v="946645"/>
        <n v="671402"/>
        <n v="198814"/>
        <n v="2776500"/>
        <n v="135740"/>
        <n v="370200"/>
        <n v="301257"/>
        <n v="82467"/>
        <n v="2440350"/>
        <n v="20834028"/>
        <n v="5250300"/>
        <n v="453435"/>
        <n v="1655775"/>
        <n v="4714125"/>
        <n v="818598"/>
        <n v="2276780"/>
        <n v="881166"/>
        <n v="3211200"/>
        <n v="2085612"/>
        <n v="3341655"/>
        <n v="1651685"/>
        <n v="2488680"/>
        <n v="531855"/>
        <n v="729182"/>
        <n v="1756426"/>
        <n v="1796450"/>
        <n v="3843972"/>
        <n v="2691000"/>
        <n v="1755982"/>
        <n v="1416470"/>
        <n v="3335550"/>
        <n v="1097350"/>
        <n v="500650"/>
        <n v="2364615"/>
        <n v="6127000"/>
        <n v="1442331"/>
        <n v="4440000"/>
        <n v="4661630"/>
        <n v="658189"/>
        <n v="338948"/>
        <n v="256181"/>
        <n v="382301"/>
        <n v="386243"/>
        <n v="413831"/>
        <n v="441420"/>
        <n v="394125"/>
        <n v="236475"/>
        <n v="271946"/>
        <n v="252240"/>
        <n v="484774"/>
        <n v="457185"/>
        <n v="378360"/>
        <n v="354713"/>
        <n v="244358"/>
        <n v="181298"/>
        <n v="70943"/>
        <n v="228593"/>
        <n v="563599"/>
        <n v="512363"/>
        <n v="342889"/>
        <n v="327124"/>
        <n v="161591"/>
        <n v="571481"/>
        <n v="240416"/>
        <n v="532069"/>
        <n v="697601"/>
        <n v="851310"/>
        <n v="162905"/>
        <n v="157650"/>
        <n v="204945"/>
        <n v="197063"/>
        <n v="189180"/>
        <n v="593815"/>
        <n v="554403"/>
        <n v="312673"/>
        <n v="289025"/>
        <n v="139258"/>
        <n v="155023"/>
        <n v="115610"/>
        <n v="165533"/>
        <n v="199690"/>
        <n v="123493"/>
        <n v="246985"/>
        <n v="81453"/>
        <n v="307418"/>
        <n v="294280"/>
        <n v="409890"/>
        <n v="493970"/>
        <n v="349458"/>
        <n v="549148"/>
        <n v="404635"/>
        <n v="415145"/>
        <n v="388870"/>
        <n v="375733"/>
        <n v="578050"/>
        <n v="296908"/>
        <n v="212828"/>
        <n v="346830"/>
        <n v="323183"/>
        <n v="218083"/>
        <n v="273260"/>
        <n v="152395"/>
        <n v="233848"/>
        <n v="438793"/>
        <n v="283770"/>
        <n v="380988"/>
        <n v="183925"/>
        <n v="436165"/>
        <n v="486088"/>
        <n v="373105"/>
        <n v="304790"/>
        <n v="78825"/>
        <n v="987940"/>
        <n v="370478"/>
        <n v="362595"/>
        <n v="291653"/>
        <n v="260123"/>
        <n v="430910"/>
        <n v="286398"/>
        <n v="257495"/>
        <n v="344203"/>
        <n v="352085"/>
        <n v="648993"/>
        <n v="84080"/>
        <n v="278515"/>
        <n v="191808"/>
        <n v="249613"/>
        <n v="186553"/>
        <n v="194435"/>
        <n v="220710"/>
        <n v="239103"/>
        <n v="317928"/>
        <n v="365223"/>
        <n v="231220"/>
        <n v="281143"/>
        <n v="168160"/>
        <n v="91963"/>
        <n v="207573"/>
        <n v="99845"/>
        <n v="176043"/>
        <n v="299535"/>
        <n v="160278"/>
        <n v="320555"/>
        <n v="265378"/>
        <n v="128748"/>
        <n v="270633"/>
        <n v="210200"/>
        <n v="126120"/>
        <n v="136630"/>
        <n v="97218"/>
        <n v="310045"/>
        <n v="341575"/>
        <n v="1061510"/>
        <n v="207960"/>
        <n v="226157"/>
        <n v="278147"/>
        <n v="189764"/>
        <n v="236555"/>
        <n v="210560"/>
        <n v="187164"/>
        <n v="220958"/>
        <n v="140373"/>
        <n v="223557"/>
        <n v="280746"/>
        <n v="150771"/>
        <n v="129975"/>
        <n v="218358"/>
        <n v="57189"/>
        <n v="111779"/>
        <n v="335336"/>
        <n v="392525"/>
        <n v="171567"/>
        <n v="168968"/>
        <n v="67587"/>
        <n v="192363"/>
        <n v="259950"/>
        <n v="252152"/>
        <n v="176766"/>
        <n v="163769"/>
        <n v="738258"/>
        <n v="262550"/>
        <n v="202761"/>
        <n v="298943"/>
        <n v="205361"/>
        <n v="337935"/>
        <n v="179366"/>
        <n v="116978"/>
        <n v="358731"/>
        <n v="249552"/>
        <n v="233955"/>
        <n v="135174"/>
        <n v="142973"/>
        <n v="376928"/>
        <n v="213159"/>
        <n v="309341"/>
        <n v="301542"/>
        <n v="241754"/>
        <n v="343134"/>
        <n v="1104788"/>
        <n v="569291"/>
        <n v="340535"/>
        <n v="267749"/>
        <n v="366530"/>
        <n v="408122"/>
        <n v="402923"/>
        <n v="421119"/>
        <n v="532898"/>
        <n v="379527"/>
        <n v="382127"/>
        <n v="428918"/>
        <n v="538097"/>
        <n v="288545"/>
        <n v="574490"/>
        <n v="592686"/>
        <n v="322338"/>
        <n v="350933"/>
        <n v="353532"/>
        <n v="530298"/>
        <n v="231356"/>
        <n v="447114"/>
        <n v="701865"/>
        <n v="1154178"/>
        <n v="982611"/>
        <n v="332736"/>
        <n v="327537"/>
        <n v="317139"/>
        <n v="239154"/>
        <n v="244353"/>
        <n v="434117"/>
        <n v="285945"/>
        <n v="145572"/>
        <n v="405522"/>
        <n v="363930"/>
        <n v="1050198"/>
        <n v="496505"/>
        <n v="727860"/>
        <n v="270348"/>
        <n v="194963"/>
        <n v="153371"/>
        <n v="166368"/>
        <n v="371729"/>
        <n v="161169"/>
        <n v="106580"/>
        <n v="246953"/>
        <n v="579689"/>
        <n v="319739"/>
        <n v="174167"/>
        <n v="283346"/>
        <n v="101381"/>
        <n v="90983"/>
        <n v="124776"/>
        <n v="93582"/>
        <n v="103980"/>
        <n v="119577"/>
        <n v="41592"/>
        <n v="88383"/>
        <n v="122177"/>
        <n v="295089"/>
        <n v="346859"/>
        <n v="276970"/>
        <n v="266616"/>
        <n v="225200"/>
        <n v="188961"/>
        <n v="323563"/>
        <n v="416749"/>
        <n v="207080"/>
        <n v="51770"/>
        <n v="251085"/>
        <n v="232965"/>
        <n v="204492"/>
        <n v="199315"/>
        <n v="194138"/>
        <n v="150133"/>
        <n v="271793"/>
        <n v="315797"/>
        <n v="214846"/>
        <n v="186372"/>
        <n v="300266"/>
        <n v="222611"/>
        <n v="253673"/>
        <n v="134602"/>
        <n v="170841"/>
        <n v="359802"/>
        <n v="310620"/>
        <n v="121660"/>
        <n v="1056108"/>
        <n v="385687"/>
        <n v="398629"/>
        <n v="292501"/>
        <n v="240731"/>
        <n v="561705"/>
        <n v="230377"/>
        <n v="243319"/>
        <n v="155310"/>
        <n v="297678"/>
        <n v="235554"/>
        <n v="289912"/>
        <n v="160487"/>
        <n v="284735"/>
        <n v="261439"/>
        <n v="176018"/>
        <n v="331328"/>
        <n v="191549"/>
        <n v="33651"/>
        <n v="339094"/>
        <n v="217434"/>
        <n v="248496"/>
        <n v="142368"/>
        <n v="302855"/>
        <n v="308032"/>
        <n v="473696"/>
        <n v="502169"/>
        <n v="499581"/>
        <n v="491815"/>
        <n v="546174"/>
        <n v="362390"/>
        <n v="305443"/>
        <n v="735134"/>
        <n v="768785"/>
        <n v="429691"/>
        <n v="452988"/>
        <n v="157899"/>
        <n v="69890"/>
        <n v="507346"/>
        <n v="618652"/>
        <n v="318386"/>
        <n v="419337"/>
        <n v="476284"/>
        <n v="494404"/>
        <n v="460753"/>
        <n v="326151"/>
        <n v="424514"/>
        <n v="390864"/>
        <n v="582413"/>
        <n v="445222"/>
        <n v="698895"/>
        <n v="320974"/>
        <n v="1107878"/>
        <n v="258850"/>
        <n v="238142"/>
        <n v="137191"/>
        <n v="163076"/>
        <n v="196726"/>
        <n v="264027"/>
        <n v="113894"/>
        <n v="349448"/>
        <n v="227788"/>
        <n v="212257"/>
        <n v="388275"/>
        <n v="116483"/>
        <n v="287324"/>
        <n v="152722"/>
        <n v="279558"/>
        <n v="328740"/>
        <n v="147545"/>
        <n v="168253"/>
        <n v="269204"/>
        <n v="165664"/>
        <n v="173430"/>
        <n v="82832"/>
        <n v="256262"/>
        <n v="1071206"/>
        <n v="254544"/>
        <n v="198863"/>
        <n v="615148"/>
        <n v="312877"/>
        <n v="262499"/>
        <n v="355301"/>
        <n v="336741"/>
        <n v="246590"/>
        <n v="169696"/>
        <n v="228029"/>
        <n v="230681"/>
        <n v="405680"/>
        <n v="347347"/>
        <n v="392422"/>
        <n v="212120"/>
        <n v="442801"/>
        <n v="251893"/>
        <n v="334089"/>
        <n v="214772"/>
        <n v="196211"/>
        <n v="222726"/>
        <n v="257196"/>
        <n v="365907"/>
        <n v="124621"/>
        <n v="193560"/>
        <n v="174999"/>
        <n v="121969"/>
        <n v="185605"/>
        <n v="172348"/>
        <n v="238635"/>
        <n v="289014"/>
        <n v="273105"/>
        <n v="267802"/>
        <n v="114015"/>
        <n v="159090"/>
        <n v="167045"/>
        <n v="241287"/>
        <n v="373862"/>
        <n v="220075"/>
        <n v="182954"/>
        <n v="135227"/>
        <n v="103409"/>
        <n v="233332"/>
        <n v="315529"/>
        <n v="957192"/>
        <n v="697345"/>
        <n v="307574"/>
        <n v="349998"/>
        <n v="243938"/>
        <n v="296968"/>
        <n v="201514"/>
        <n v="177651"/>
        <n v="283711"/>
        <n v="344695"/>
        <n v="249241"/>
        <n v="153787"/>
        <n v="225378"/>
        <n v="546209"/>
        <n v="217423"/>
        <n v="259847"/>
        <n v="432195"/>
        <n v="585982"/>
        <n v="551512"/>
        <n v="535603"/>
        <n v="474619"/>
        <n v="418937"/>
        <n v="570073"/>
        <n v="326135"/>
        <n v="506437"/>
        <n v="421589"/>
        <n v="424240"/>
        <n v="320832"/>
        <n v="503785"/>
        <n v="660224"/>
        <n v="517043"/>
        <n v="456058"/>
        <n v="450755"/>
        <n v="543558"/>
        <n v="400377"/>
        <n v="426892"/>
        <n v="445452"/>
        <n v="498482"/>
        <n v="511740"/>
        <n v="146625000"/>
        <n v="4550000"/>
        <n v="13156000"/>
        <n v="84483000"/>
        <n v="543557.5"/>
        <n v="164393"/>
        <n v="241286.5"/>
        <n v="251892.5"/>
        <n v="177650.5"/>
        <n v="235983.5"/>
        <n v="204165.5"/>
        <n v="143181"/>
        <n v="124620.5"/>
        <n v="862118"/>
        <n v="384467.5"/>
        <n v="485224.5"/>
        <n v="477270"/>
        <n v="678784"/>
        <n v="373861.5"/>
        <n v="283710.5"/>
        <n v="286362"/>
        <n v="389770.5"/>
        <n v="225377.5"/>
        <n v="434846"/>
        <n v="429543"/>
        <n v="270453"/>
        <n v="206817"/>
        <n v="326134.5"/>
        <n v="426891.5"/>
        <n v="342043.5"/>
        <n v="304922.5"/>
        <n v="363255.5"/>
        <n v="360604"/>
        <n v="442800.5"/>
        <n v="601890.5"/>
        <n v="188256.5"/>
        <n v="182953.5"/>
        <n v="357952.5"/>
        <n v="829923.5"/>
        <n v="760980.5"/>
        <n v="1450370.5"/>
        <n v="281059"/>
        <n v="92802.5"/>
        <n v="257195.5"/>
        <n v="320831.5"/>
        <n v="262498.5"/>
        <n v="90151"/>
        <n v="190908"/>
        <n v="161741.5"/>
        <n v="74242"/>
        <n v="127272"/>
        <n v="289013.5"/>
        <n v="331437.5"/>
        <n v="151135.5"/>
        <n v="538254.5"/>
        <n v="180302"/>
        <n v="29166.5"/>
        <n v="98105.5"/>
        <n v="405679.5"/>
        <n v="119317.5"/>
        <n v="347346.5"/>
        <n v="267801.5"/>
        <n v="76893.5"/>
        <n v="111363"/>
        <n v="469315.5"/>
        <n v="371210"/>
        <n v="291665"/>
        <n v="34469.5"/>
        <n v="82196.5"/>
        <n v="591284.5"/>
        <n v="71590.5"/>
        <n v="440149"/>
        <n v="129923.5"/>
        <n v="148484"/>
        <n v="114014.5"/>
        <n v="220074.5"/>
        <n v="26515"/>
        <n v="100757"/>
        <n v="493179"/>
        <n v="79545"/>
        <n v="167044.5"/>
        <n v="18560.5"/>
        <n v="8000000"/>
        <n v="6750000"/>
        <n v="3078000"/>
        <n v="2897500"/>
        <n v="3647500"/>
        <n v="20500000"/>
        <m/>
      </sharedItems>
    </cacheField>
    <cacheField name="Mã nhân viên" numFmtId="0">
      <sharedItems containsBlank="1" count="125">
        <s v="XE01335"/>
        <s v="XE01644"/>
        <s v="XE01537"/>
        <s v="XE01543"/>
        <s v="XE01622"/>
        <s v="XE01532"/>
        <s v=""/>
        <s v="XE01470"/>
        <s v="XE01690"/>
        <s v="XE01615"/>
        <s v="XE00909"/>
        <s v="XE00910"/>
        <s v="XE01308"/>
        <s v="XE00952"/>
        <s v="XE01021"/>
        <s v="XE00893"/>
        <s v="XE00907"/>
        <s v="XE00908"/>
        <s v="XE00855"/>
        <s v="XE00894"/>
        <s v="XE00853"/>
        <s v="XE01303"/>
        <s v="XE01548"/>
        <s v="XE01549"/>
        <s v="XE01326"/>
        <s v="XE01325"/>
        <s v="XE01283"/>
        <s v="XE01541"/>
        <s v="XE01263"/>
        <s v="XE01149"/>
        <s v="XE01582"/>
        <s v="XE01583"/>
        <s v="XE01390"/>
        <s v="XE01098"/>
        <s v="XE01600"/>
        <s v="XE01590"/>
        <s v="XE01591"/>
        <s v="XE01527"/>
        <s v="XE01574"/>
        <s v="XE01331"/>
        <s v="XE01645"/>
        <s v="XE01102"/>
        <s v="XE01315"/>
        <s v="XE01563"/>
        <s v="XE01609"/>
        <s v="XE01456"/>
        <s v="XE01599"/>
        <s v="XE00499"/>
        <s v="XE00934"/>
        <s v="XE01469"/>
        <s v="XE01005"/>
        <s v="XE01164"/>
        <s v="XE01304"/>
        <s v="XE01305"/>
        <s v="XE01433"/>
        <s v="XE01434"/>
        <s v="XE01506"/>
        <s v="XE01507"/>
        <s v="XE00873"/>
        <s v="XE01672"/>
        <s v="XE01551"/>
        <s v="XE01552"/>
        <s v="XE01417"/>
        <s v="XE01671"/>
        <s v="XE01281"/>
        <s v="XE01477"/>
        <s v="XE01670"/>
        <s v="XE01316"/>
        <s v="XE01534"/>
        <s v="XE01678"/>
        <s v="XE01679"/>
        <s v="XE01698"/>
        <s v="XE01694"/>
        <s v="XE01695"/>
        <s v="XE01666"/>
        <s v="XE01420"/>
        <s v="XE00975"/>
        <s v="XE00977"/>
        <s v="XE01418"/>
        <s v="XE01443"/>
        <s v="XE01444"/>
        <s v="XE01616"/>
        <s v="XE00865"/>
        <s v="XE00985"/>
        <s v="XE00844"/>
        <s v="XE00843"/>
        <s v="XE00547"/>
        <s v="XE00447"/>
        <s v="XE00847"/>
        <s v="XE00779"/>
        <s v="XE01685"/>
        <s v="XE00991"/>
        <s v="XE00854"/>
        <s v="XE00858"/>
        <s v="XE01539"/>
        <s v="XE01064"/>
        <s v="XE01034"/>
        <s v="XE01453"/>
        <s v="XE01710"/>
        <s v="XE01379"/>
        <s v="XE01642"/>
        <s v="XE01665"/>
        <s v="XE01597"/>
        <s v="XE01530"/>
        <s v="XE01540"/>
        <s v="XE01639"/>
        <s v="XE00900"/>
        <s v="XE00832"/>
        <s v="XE01641"/>
        <s v="XE00953"/>
        <s v="XE01004"/>
        <s v="XE01620"/>
        <s v="XE00777"/>
        <s v="XE01653"/>
        <s v="XE00449"/>
        <s v="XE00730"/>
        <s v="XE00891"/>
        <s v="XE01466"/>
        <s v="XE00768"/>
        <s v="XE00171"/>
        <s v="XE00842"/>
        <s v="XE01714"/>
        <m/>
        <s v="XE01651" u="1"/>
        <s v="XE01504" u="1"/>
      </sharedItems>
    </cacheField>
    <cacheField name="Trọng Tải" numFmtId="0">
      <sharedItems containsBlank="1" count="26">
        <s v="8T"/>
        <s v="2.5T"/>
        <s v="15T"/>
        <s v="2T5"/>
        <s v="Cont 50F"/>
        <s v="7.1t"/>
        <s v="2.5T Lạnh"/>
        <s v="2T5 Lạnh "/>
        <s v="5.5T"/>
        <s v=""/>
        <s v="1.5T"/>
        <s v=" 3T5 Lạnh "/>
        <s v="6.5T"/>
        <s v="3.5T"/>
        <m/>
        <s v="2.5T " u="1"/>
        <s v="2.4T" u="1"/>
        <s v="1.9T" u="1"/>
        <s v="85T" u="1"/>
        <s v="56.5T" u="1"/>
        <s v="48.5T" u="1"/>
        <s v="35T" u="1"/>
        <s v="51.9T" u="1"/>
        <s v="51.8T" u="1"/>
        <s v="13.7T" u="1"/>
        <s v="34T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9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1"/>
    <x v="0"/>
    <x v="0"/>
    <x v="0"/>
    <x v="0"/>
    <x v="0"/>
    <x v="1"/>
    <x v="0"/>
  </r>
  <r>
    <x v="2"/>
    <x v="1"/>
    <x v="0"/>
    <x v="0"/>
    <x v="0"/>
    <x v="1"/>
    <x v="0"/>
    <x v="0"/>
    <x v="1"/>
    <x v="2"/>
    <x v="0"/>
    <x v="1"/>
    <x v="1"/>
    <x v="1"/>
    <x v="1"/>
    <x v="2"/>
    <x v="1"/>
  </r>
  <r>
    <x v="3"/>
    <x v="2"/>
    <x v="0"/>
    <x v="1"/>
    <x v="1"/>
    <x v="0"/>
    <x v="1"/>
    <x v="1"/>
    <x v="2"/>
    <x v="3"/>
    <x v="0"/>
    <x v="2"/>
    <x v="2"/>
    <x v="2"/>
    <x v="2"/>
    <x v="3"/>
    <x v="0"/>
  </r>
  <r>
    <x v="4"/>
    <x v="2"/>
    <x v="0"/>
    <x v="1"/>
    <x v="1"/>
    <x v="0"/>
    <x v="1"/>
    <x v="1"/>
    <x v="2"/>
    <x v="4"/>
    <x v="0"/>
    <x v="2"/>
    <x v="2"/>
    <x v="2"/>
    <x v="2"/>
    <x v="4"/>
    <x v="0"/>
  </r>
  <r>
    <x v="5"/>
    <x v="3"/>
    <x v="0"/>
    <x v="1"/>
    <x v="2"/>
    <x v="0"/>
    <x v="1"/>
    <x v="2"/>
    <x v="3"/>
    <x v="5"/>
    <x v="0"/>
    <x v="3"/>
    <x v="2"/>
    <x v="3"/>
    <x v="3"/>
    <x v="5"/>
    <x v="0"/>
  </r>
  <r>
    <x v="6"/>
    <x v="3"/>
    <x v="0"/>
    <x v="1"/>
    <x v="2"/>
    <x v="0"/>
    <x v="1"/>
    <x v="2"/>
    <x v="3"/>
    <x v="6"/>
    <x v="0"/>
    <x v="3"/>
    <x v="2"/>
    <x v="3"/>
    <x v="3"/>
    <x v="6"/>
    <x v="0"/>
  </r>
  <r>
    <x v="7"/>
    <x v="4"/>
    <x v="0"/>
    <x v="1"/>
    <x v="2"/>
    <x v="0"/>
    <x v="1"/>
    <x v="3"/>
    <x v="4"/>
    <x v="7"/>
    <x v="0"/>
    <x v="4"/>
    <x v="2"/>
    <x v="4"/>
    <x v="4"/>
    <x v="7"/>
    <x v="2"/>
  </r>
  <r>
    <x v="8"/>
    <x v="4"/>
    <x v="0"/>
    <x v="1"/>
    <x v="2"/>
    <x v="0"/>
    <x v="1"/>
    <x v="3"/>
    <x v="4"/>
    <x v="8"/>
    <x v="0"/>
    <x v="4"/>
    <x v="2"/>
    <x v="4"/>
    <x v="4"/>
    <x v="8"/>
    <x v="2"/>
  </r>
  <r>
    <x v="9"/>
    <x v="5"/>
    <x v="0"/>
    <x v="2"/>
    <x v="3"/>
    <x v="0"/>
    <x v="1"/>
    <x v="4"/>
    <x v="5"/>
    <x v="9"/>
    <x v="0"/>
    <x v="5"/>
    <x v="2"/>
    <x v="5"/>
    <x v="5"/>
    <x v="9"/>
    <x v="3"/>
  </r>
  <r>
    <x v="10"/>
    <x v="6"/>
    <x v="0"/>
    <x v="3"/>
    <x v="4"/>
    <x v="0"/>
    <x v="2"/>
    <x v="5"/>
    <x v="6"/>
    <x v="10"/>
    <x v="0"/>
    <x v="6"/>
    <x v="3"/>
    <x v="6"/>
    <x v="6"/>
    <x v="10"/>
    <x v="4"/>
  </r>
  <r>
    <x v="11"/>
    <x v="6"/>
    <x v="0"/>
    <x v="3"/>
    <x v="4"/>
    <x v="0"/>
    <x v="2"/>
    <x v="5"/>
    <x v="6"/>
    <x v="11"/>
    <x v="0"/>
    <x v="6"/>
    <x v="3"/>
    <x v="6"/>
    <x v="6"/>
    <x v="11"/>
    <x v="4"/>
  </r>
  <r>
    <x v="12"/>
    <x v="7"/>
    <x v="0"/>
    <x v="3"/>
    <x v="4"/>
    <x v="0"/>
    <x v="2"/>
    <x v="5"/>
    <x v="7"/>
    <x v="12"/>
    <x v="0"/>
    <x v="6"/>
    <x v="3"/>
    <x v="6"/>
    <x v="6"/>
    <x v="12"/>
    <x v="4"/>
  </r>
  <r>
    <x v="13"/>
    <x v="7"/>
    <x v="0"/>
    <x v="3"/>
    <x v="4"/>
    <x v="0"/>
    <x v="2"/>
    <x v="5"/>
    <x v="7"/>
    <x v="13"/>
    <x v="0"/>
    <x v="6"/>
    <x v="3"/>
    <x v="6"/>
    <x v="6"/>
    <x v="13"/>
    <x v="4"/>
  </r>
  <r>
    <x v="14"/>
    <x v="5"/>
    <x v="0"/>
    <x v="3"/>
    <x v="4"/>
    <x v="0"/>
    <x v="2"/>
    <x v="5"/>
    <x v="8"/>
    <x v="14"/>
    <x v="0"/>
    <x v="6"/>
    <x v="3"/>
    <x v="6"/>
    <x v="6"/>
    <x v="14"/>
    <x v="4"/>
  </r>
  <r>
    <x v="15"/>
    <x v="5"/>
    <x v="0"/>
    <x v="3"/>
    <x v="4"/>
    <x v="0"/>
    <x v="2"/>
    <x v="5"/>
    <x v="8"/>
    <x v="15"/>
    <x v="0"/>
    <x v="6"/>
    <x v="3"/>
    <x v="6"/>
    <x v="6"/>
    <x v="15"/>
    <x v="4"/>
  </r>
  <r>
    <x v="16"/>
    <x v="8"/>
    <x v="0"/>
    <x v="3"/>
    <x v="4"/>
    <x v="0"/>
    <x v="2"/>
    <x v="6"/>
    <x v="9"/>
    <x v="16"/>
    <x v="0"/>
    <x v="7"/>
    <x v="3"/>
    <x v="7"/>
    <x v="7"/>
    <x v="16"/>
    <x v="4"/>
  </r>
  <r>
    <x v="17"/>
    <x v="8"/>
    <x v="0"/>
    <x v="3"/>
    <x v="4"/>
    <x v="0"/>
    <x v="2"/>
    <x v="6"/>
    <x v="9"/>
    <x v="17"/>
    <x v="0"/>
    <x v="7"/>
    <x v="3"/>
    <x v="7"/>
    <x v="7"/>
    <x v="17"/>
    <x v="4"/>
  </r>
  <r>
    <x v="18"/>
    <x v="9"/>
    <x v="0"/>
    <x v="3"/>
    <x v="4"/>
    <x v="0"/>
    <x v="2"/>
    <x v="5"/>
    <x v="10"/>
    <x v="18"/>
    <x v="0"/>
    <x v="6"/>
    <x v="3"/>
    <x v="6"/>
    <x v="6"/>
    <x v="18"/>
    <x v="4"/>
  </r>
  <r>
    <x v="19"/>
    <x v="9"/>
    <x v="0"/>
    <x v="3"/>
    <x v="4"/>
    <x v="0"/>
    <x v="2"/>
    <x v="5"/>
    <x v="10"/>
    <x v="19"/>
    <x v="0"/>
    <x v="6"/>
    <x v="3"/>
    <x v="6"/>
    <x v="6"/>
    <x v="19"/>
    <x v="4"/>
  </r>
  <r>
    <x v="20"/>
    <x v="4"/>
    <x v="0"/>
    <x v="3"/>
    <x v="4"/>
    <x v="0"/>
    <x v="2"/>
    <x v="6"/>
    <x v="6"/>
    <x v="10"/>
    <x v="0"/>
    <x v="7"/>
    <x v="3"/>
    <x v="7"/>
    <x v="7"/>
    <x v="10"/>
    <x v="4"/>
  </r>
  <r>
    <x v="21"/>
    <x v="4"/>
    <x v="0"/>
    <x v="3"/>
    <x v="4"/>
    <x v="0"/>
    <x v="2"/>
    <x v="6"/>
    <x v="6"/>
    <x v="11"/>
    <x v="0"/>
    <x v="7"/>
    <x v="3"/>
    <x v="7"/>
    <x v="7"/>
    <x v="11"/>
    <x v="4"/>
  </r>
  <r>
    <x v="22"/>
    <x v="10"/>
    <x v="0"/>
    <x v="3"/>
    <x v="4"/>
    <x v="0"/>
    <x v="2"/>
    <x v="5"/>
    <x v="8"/>
    <x v="14"/>
    <x v="0"/>
    <x v="6"/>
    <x v="3"/>
    <x v="6"/>
    <x v="6"/>
    <x v="14"/>
    <x v="4"/>
  </r>
  <r>
    <x v="23"/>
    <x v="10"/>
    <x v="0"/>
    <x v="3"/>
    <x v="4"/>
    <x v="0"/>
    <x v="2"/>
    <x v="5"/>
    <x v="8"/>
    <x v="15"/>
    <x v="0"/>
    <x v="6"/>
    <x v="3"/>
    <x v="6"/>
    <x v="6"/>
    <x v="15"/>
    <x v="4"/>
  </r>
  <r>
    <x v="24"/>
    <x v="11"/>
    <x v="0"/>
    <x v="3"/>
    <x v="4"/>
    <x v="0"/>
    <x v="2"/>
    <x v="4"/>
    <x v="11"/>
    <x v="20"/>
    <x v="0"/>
    <x v="7"/>
    <x v="3"/>
    <x v="7"/>
    <x v="7"/>
    <x v="20"/>
    <x v="4"/>
  </r>
  <r>
    <x v="25"/>
    <x v="11"/>
    <x v="0"/>
    <x v="3"/>
    <x v="4"/>
    <x v="0"/>
    <x v="2"/>
    <x v="4"/>
    <x v="11"/>
    <x v="21"/>
    <x v="0"/>
    <x v="7"/>
    <x v="3"/>
    <x v="7"/>
    <x v="7"/>
    <x v="21"/>
    <x v="4"/>
  </r>
  <r>
    <x v="26"/>
    <x v="5"/>
    <x v="0"/>
    <x v="4"/>
    <x v="5"/>
    <x v="0"/>
    <x v="3"/>
    <x v="7"/>
    <x v="12"/>
    <x v="22"/>
    <x v="0"/>
    <x v="8"/>
    <x v="4"/>
    <x v="8"/>
    <x v="8"/>
    <x v="22"/>
    <x v="5"/>
  </r>
  <r>
    <x v="27"/>
    <x v="5"/>
    <x v="0"/>
    <x v="4"/>
    <x v="5"/>
    <x v="0"/>
    <x v="3"/>
    <x v="7"/>
    <x v="12"/>
    <x v="23"/>
    <x v="0"/>
    <x v="8"/>
    <x v="4"/>
    <x v="8"/>
    <x v="8"/>
    <x v="23"/>
    <x v="5"/>
  </r>
  <r>
    <x v="28"/>
    <x v="8"/>
    <x v="0"/>
    <x v="4"/>
    <x v="5"/>
    <x v="0"/>
    <x v="4"/>
    <x v="8"/>
    <x v="10"/>
    <x v="18"/>
    <x v="0"/>
    <x v="9"/>
    <x v="5"/>
    <x v="9"/>
    <x v="9"/>
    <x v="18"/>
    <x v="4"/>
  </r>
  <r>
    <x v="29"/>
    <x v="8"/>
    <x v="0"/>
    <x v="4"/>
    <x v="5"/>
    <x v="0"/>
    <x v="4"/>
    <x v="8"/>
    <x v="10"/>
    <x v="19"/>
    <x v="0"/>
    <x v="9"/>
    <x v="5"/>
    <x v="9"/>
    <x v="9"/>
    <x v="19"/>
    <x v="4"/>
  </r>
  <r>
    <x v="30"/>
    <x v="9"/>
    <x v="0"/>
    <x v="4"/>
    <x v="5"/>
    <x v="0"/>
    <x v="4"/>
    <x v="8"/>
    <x v="8"/>
    <x v="14"/>
    <x v="0"/>
    <x v="10"/>
    <x v="5"/>
    <x v="10"/>
    <x v="10"/>
    <x v="14"/>
    <x v="4"/>
  </r>
  <r>
    <x v="31"/>
    <x v="9"/>
    <x v="0"/>
    <x v="4"/>
    <x v="5"/>
    <x v="0"/>
    <x v="4"/>
    <x v="8"/>
    <x v="8"/>
    <x v="15"/>
    <x v="0"/>
    <x v="10"/>
    <x v="5"/>
    <x v="10"/>
    <x v="10"/>
    <x v="15"/>
    <x v="4"/>
  </r>
  <r>
    <x v="32"/>
    <x v="10"/>
    <x v="0"/>
    <x v="4"/>
    <x v="5"/>
    <x v="0"/>
    <x v="4"/>
    <x v="9"/>
    <x v="6"/>
    <x v="10"/>
    <x v="0"/>
    <x v="11"/>
    <x v="5"/>
    <x v="11"/>
    <x v="11"/>
    <x v="10"/>
    <x v="4"/>
  </r>
  <r>
    <x v="33"/>
    <x v="10"/>
    <x v="0"/>
    <x v="4"/>
    <x v="5"/>
    <x v="0"/>
    <x v="4"/>
    <x v="9"/>
    <x v="6"/>
    <x v="11"/>
    <x v="0"/>
    <x v="11"/>
    <x v="5"/>
    <x v="11"/>
    <x v="11"/>
    <x v="11"/>
    <x v="4"/>
  </r>
  <r>
    <x v="34"/>
    <x v="12"/>
    <x v="0"/>
    <x v="5"/>
    <x v="6"/>
    <x v="0"/>
    <x v="0"/>
    <x v="10"/>
    <x v="13"/>
    <x v="24"/>
    <x v="0"/>
    <x v="12"/>
    <x v="2"/>
    <x v="12"/>
    <x v="12"/>
    <x v="24"/>
    <x v="5"/>
  </r>
  <r>
    <x v="35"/>
    <x v="12"/>
    <x v="0"/>
    <x v="5"/>
    <x v="6"/>
    <x v="0"/>
    <x v="0"/>
    <x v="10"/>
    <x v="13"/>
    <x v="25"/>
    <x v="0"/>
    <x v="12"/>
    <x v="2"/>
    <x v="12"/>
    <x v="12"/>
    <x v="25"/>
    <x v="5"/>
  </r>
  <r>
    <x v="36"/>
    <x v="1"/>
    <x v="0"/>
    <x v="6"/>
    <x v="7"/>
    <x v="0"/>
    <x v="5"/>
    <x v="11"/>
    <x v="14"/>
    <x v="26"/>
    <x v="0"/>
    <x v="13"/>
    <x v="2"/>
    <x v="13"/>
    <x v="13"/>
    <x v="26"/>
    <x v="5"/>
  </r>
  <r>
    <x v="37"/>
    <x v="1"/>
    <x v="0"/>
    <x v="6"/>
    <x v="7"/>
    <x v="0"/>
    <x v="5"/>
    <x v="11"/>
    <x v="14"/>
    <x v="27"/>
    <x v="0"/>
    <x v="13"/>
    <x v="2"/>
    <x v="13"/>
    <x v="13"/>
    <x v="27"/>
    <x v="5"/>
  </r>
  <r>
    <x v="38"/>
    <x v="13"/>
    <x v="0"/>
    <x v="7"/>
    <x v="8"/>
    <x v="0"/>
    <x v="6"/>
    <x v="12"/>
    <x v="15"/>
    <x v="28"/>
    <x v="0"/>
    <x v="14"/>
    <x v="2"/>
    <x v="14"/>
    <x v="14"/>
    <x v="28"/>
    <x v="0"/>
  </r>
  <r>
    <x v="39"/>
    <x v="13"/>
    <x v="0"/>
    <x v="7"/>
    <x v="8"/>
    <x v="0"/>
    <x v="6"/>
    <x v="12"/>
    <x v="15"/>
    <x v="29"/>
    <x v="0"/>
    <x v="14"/>
    <x v="2"/>
    <x v="14"/>
    <x v="14"/>
    <x v="29"/>
    <x v="0"/>
  </r>
  <r>
    <x v="40"/>
    <x v="13"/>
    <x v="0"/>
    <x v="7"/>
    <x v="8"/>
    <x v="0"/>
    <x v="7"/>
    <x v="12"/>
    <x v="3"/>
    <x v="22"/>
    <x v="0"/>
    <x v="15"/>
    <x v="2"/>
    <x v="15"/>
    <x v="15"/>
    <x v="22"/>
    <x v="0"/>
  </r>
  <r>
    <x v="41"/>
    <x v="13"/>
    <x v="0"/>
    <x v="7"/>
    <x v="8"/>
    <x v="0"/>
    <x v="7"/>
    <x v="12"/>
    <x v="3"/>
    <x v="23"/>
    <x v="0"/>
    <x v="15"/>
    <x v="2"/>
    <x v="15"/>
    <x v="15"/>
    <x v="23"/>
    <x v="0"/>
  </r>
  <r>
    <x v="42"/>
    <x v="13"/>
    <x v="0"/>
    <x v="7"/>
    <x v="8"/>
    <x v="0"/>
    <x v="7"/>
    <x v="12"/>
    <x v="14"/>
    <x v="26"/>
    <x v="0"/>
    <x v="16"/>
    <x v="2"/>
    <x v="16"/>
    <x v="16"/>
    <x v="26"/>
    <x v="5"/>
  </r>
  <r>
    <x v="43"/>
    <x v="13"/>
    <x v="0"/>
    <x v="7"/>
    <x v="8"/>
    <x v="0"/>
    <x v="7"/>
    <x v="12"/>
    <x v="14"/>
    <x v="27"/>
    <x v="0"/>
    <x v="16"/>
    <x v="2"/>
    <x v="16"/>
    <x v="16"/>
    <x v="27"/>
    <x v="5"/>
  </r>
  <r>
    <x v="44"/>
    <x v="13"/>
    <x v="0"/>
    <x v="7"/>
    <x v="8"/>
    <x v="0"/>
    <x v="8"/>
    <x v="13"/>
    <x v="16"/>
    <x v="30"/>
    <x v="0"/>
    <x v="17"/>
    <x v="2"/>
    <x v="17"/>
    <x v="17"/>
    <x v="30"/>
    <x v="0"/>
  </r>
  <r>
    <x v="45"/>
    <x v="13"/>
    <x v="0"/>
    <x v="7"/>
    <x v="8"/>
    <x v="0"/>
    <x v="8"/>
    <x v="13"/>
    <x v="16"/>
    <x v="31"/>
    <x v="0"/>
    <x v="17"/>
    <x v="2"/>
    <x v="17"/>
    <x v="17"/>
    <x v="31"/>
    <x v="0"/>
  </r>
  <r>
    <x v="46"/>
    <x v="14"/>
    <x v="0"/>
    <x v="7"/>
    <x v="8"/>
    <x v="0"/>
    <x v="9"/>
    <x v="12"/>
    <x v="17"/>
    <x v="32"/>
    <x v="0"/>
    <x v="18"/>
    <x v="2"/>
    <x v="18"/>
    <x v="18"/>
    <x v="32"/>
    <x v="2"/>
  </r>
  <r>
    <x v="47"/>
    <x v="14"/>
    <x v="0"/>
    <x v="7"/>
    <x v="8"/>
    <x v="0"/>
    <x v="9"/>
    <x v="12"/>
    <x v="17"/>
    <x v="33"/>
    <x v="0"/>
    <x v="18"/>
    <x v="2"/>
    <x v="18"/>
    <x v="18"/>
    <x v="6"/>
    <x v="2"/>
  </r>
  <r>
    <x v="48"/>
    <x v="15"/>
    <x v="0"/>
    <x v="7"/>
    <x v="8"/>
    <x v="0"/>
    <x v="9"/>
    <x v="14"/>
    <x v="13"/>
    <x v="24"/>
    <x v="0"/>
    <x v="19"/>
    <x v="2"/>
    <x v="19"/>
    <x v="19"/>
    <x v="24"/>
    <x v="5"/>
  </r>
  <r>
    <x v="49"/>
    <x v="15"/>
    <x v="0"/>
    <x v="7"/>
    <x v="8"/>
    <x v="0"/>
    <x v="9"/>
    <x v="14"/>
    <x v="13"/>
    <x v="25"/>
    <x v="0"/>
    <x v="19"/>
    <x v="2"/>
    <x v="19"/>
    <x v="19"/>
    <x v="25"/>
    <x v="5"/>
  </r>
  <r>
    <x v="50"/>
    <x v="16"/>
    <x v="0"/>
    <x v="7"/>
    <x v="8"/>
    <x v="0"/>
    <x v="10"/>
    <x v="12"/>
    <x v="16"/>
    <x v="30"/>
    <x v="0"/>
    <x v="20"/>
    <x v="2"/>
    <x v="20"/>
    <x v="20"/>
    <x v="30"/>
    <x v="0"/>
  </r>
  <r>
    <x v="51"/>
    <x v="16"/>
    <x v="0"/>
    <x v="7"/>
    <x v="8"/>
    <x v="0"/>
    <x v="10"/>
    <x v="12"/>
    <x v="16"/>
    <x v="31"/>
    <x v="0"/>
    <x v="20"/>
    <x v="2"/>
    <x v="20"/>
    <x v="20"/>
    <x v="31"/>
    <x v="0"/>
  </r>
  <r>
    <x v="52"/>
    <x v="7"/>
    <x v="0"/>
    <x v="7"/>
    <x v="8"/>
    <x v="0"/>
    <x v="9"/>
    <x v="12"/>
    <x v="13"/>
    <x v="24"/>
    <x v="0"/>
    <x v="21"/>
    <x v="2"/>
    <x v="21"/>
    <x v="21"/>
    <x v="24"/>
    <x v="5"/>
  </r>
  <r>
    <x v="53"/>
    <x v="7"/>
    <x v="0"/>
    <x v="7"/>
    <x v="8"/>
    <x v="0"/>
    <x v="9"/>
    <x v="12"/>
    <x v="13"/>
    <x v="25"/>
    <x v="0"/>
    <x v="21"/>
    <x v="2"/>
    <x v="21"/>
    <x v="21"/>
    <x v="25"/>
    <x v="5"/>
  </r>
  <r>
    <x v="54"/>
    <x v="7"/>
    <x v="0"/>
    <x v="7"/>
    <x v="8"/>
    <x v="0"/>
    <x v="7"/>
    <x v="12"/>
    <x v="18"/>
    <x v="34"/>
    <x v="0"/>
    <x v="22"/>
    <x v="2"/>
    <x v="22"/>
    <x v="22"/>
    <x v="33"/>
    <x v="5"/>
  </r>
  <r>
    <x v="55"/>
    <x v="7"/>
    <x v="0"/>
    <x v="7"/>
    <x v="8"/>
    <x v="0"/>
    <x v="7"/>
    <x v="12"/>
    <x v="18"/>
    <x v="35"/>
    <x v="0"/>
    <x v="22"/>
    <x v="2"/>
    <x v="22"/>
    <x v="22"/>
    <x v="34"/>
    <x v="5"/>
  </r>
  <r>
    <x v="56"/>
    <x v="17"/>
    <x v="0"/>
    <x v="7"/>
    <x v="8"/>
    <x v="0"/>
    <x v="11"/>
    <x v="7"/>
    <x v="19"/>
    <x v="36"/>
    <x v="0"/>
    <x v="23"/>
    <x v="2"/>
    <x v="23"/>
    <x v="23"/>
    <x v="35"/>
    <x v="0"/>
  </r>
  <r>
    <x v="57"/>
    <x v="17"/>
    <x v="0"/>
    <x v="7"/>
    <x v="8"/>
    <x v="0"/>
    <x v="11"/>
    <x v="7"/>
    <x v="19"/>
    <x v="37"/>
    <x v="0"/>
    <x v="23"/>
    <x v="2"/>
    <x v="23"/>
    <x v="23"/>
    <x v="36"/>
    <x v="0"/>
  </r>
  <r>
    <x v="58"/>
    <x v="17"/>
    <x v="0"/>
    <x v="7"/>
    <x v="8"/>
    <x v="0"/>
    <x v="10"/>
    <x v="12"/>
    <x v="20"/>
    <x v="38"/>
    <x v="0"/>
    <x v="24"/>
    <x v="2"/>
    <x v="24"/>
    <x v="24"/>
    <x v="37"/>
    <x v="0"/>
  </r>
  <r>
    <x v="59"/>
    <x v="17"/>
    <x v="0"/>
    <x v="7"/>
    <x v="8"/>
    <x v="0"/>
    <x v="10"/>
    <x v="12"/>
    <x v="20"/>
    <x v="39"/>
    <x v="0"/>
    <x v="24"/>
    <x v="2"/>
    <x v="24"/>
    <x v="24"/>
    <x v="38"/>
    <x v="0"/>
  </r>
  <r>
    <x v="60"/>
    <x v="18"/>
    <x v="0"/>
    <x v="7"/>
    <x v="8"/>
    <x v="0"/>
    <x v="7"/>
    <x v="14"/>
    <x v="19"/>
    <x v="36"/>
    <x v="0"/>
    <x v="25"/>
    <x v="2"/>
    <x v="25"/>
    <x v="25"/>
    <x v="35"/>
    <x v="0"/>
  </r>
  <r>
    <x v="61"/>
    <x v="18"/>
    <x v="0"/>
    <x v="7"/>
    <x v="8"/>
    <x v="0"/>
    <x v="7"/>
    <x v="14"/>
    <x v="19"/>
    <x v="37"/>
    <x v="0"/>
    <x v="25"/>
    <x v="2"/>
    <x v="25"/>
    <x v="25"/>
    <x v="36"/>
    <x v="0"/>
  </r>
  <r>
    <x v="62"/>
    <x v="2"/>
    <x v="0"/>
    <x v="7"/>
    <x v="8"/>
    <x v="0"/>
    <x v="11"/>
    <x v="13"/>
    <x v="2"/>
    <x v="3"/>
    <x v="0"/>
    <x v="26"/>
    <x v="2"/>
    <x v="26"/>
    <x v="26"/>
    <x v="3"/>
    <x v="0"/>
  </r>
  <r>
    <x v="63"/>
    <x v="2"/>
    <x v="0"/>
    <x v="7"/>
    <x v="8"/>
    <x v="0"/>
    <x v="11"/>
    <x v="13"/>
    <x v="2"/>
    <x v="4"/>
    <x v="0"/>
    <x v="26"/>
    <x v="2"/>
    <x v="26"/>
    <x v="26"/>
    <x v="4"/>
    <x v="0"/>
  </r>
  <r>
    <x v="64"/>
    <x v="3"/>
    <x v="0"/>
    <x v="7"/>
    <x v="8"/>
    <x v="0"/>
    <x v="12"/>
    <x v="14"/>
    <x v="20"/>
    <x v="38"/>
    <x v="0"/>
    <x v="20"/>
    <x v="2"/>
    <x v="20"/>
    <x v="20"/>
    <x v="37"/>
    <x v="0"/>
  </r>
  <r>
    <x v="65"/>
    <x v="3"/>
    <x v="0"/>
    <x v="7"/>
    <x v="8"/>
    <x v="0"/>
    <x v="12"/>
    <x v="14"/>
    <x v="20"/>
    <x v="39"/>
    <x v="0"/>
    <x v="20"/>
    <x v="2"/>
    <x v="20"/>
    <x v="20"/>
    <x v="38"/>
    <x v="0"/>
  </r>
  <r>
    <x v="66"/>
    <x v="19"/>
    <x v="0"/>
    <x v="8"/>
    <x v="9"/>
    <x v="0"/>
    <x v="9"/>
    <x v="3"/>
    <x v="21"/>
    <x v="40"/>
    <x v="0"/>
    <x v="27"/>
    <x v="2"/>
    <x v="27"/>
    <x v="27"/>
    <x v="39"/>
    <x v="2"/>
  </r>
  <r>
    <x v="67"/>
    <x v="19"/>
    <x v="0"/>
    <x v="8"/>
    <x v="9"/>
    <x v="0"/>
    <x v="9"/>
    <x v="3"/>
    <x v="21"/>
    <x v="41"/>
    <x v="0"/>
    <x v="27"/>
    <x v="2"/>
    <x v="27"/>
    <x v="27"/>
    <x v="40"/>
    <x v="2"/>
  </r>
  <r>
    <x v="68"/>
    <x v="20"/>
    <x v="0"/>
    <x v="8"/>
    <x v="9"/>
    <x v="0"/>
    <x v="1"/>
    <x v="8"/>
    <x v="15"/>
    <x v="28"/>
    <x v="0"/>
    <x v="28"/>
    <x v="2"/>
    <x v="28"/>
    <x v="28"/>
    <x v="28"/>
    <x v="0"/>
  </r>
  <r>
    <x v="69"/>
    <x v="20"/>
    <x v="0"/>
    <x v="8"/>
    <x v="9"/>
    <x v="0"/>
    <x v="1"/>
    <x v="8"/>
    <x v="15"/>
    <x v="29"/>
    <x v="0"/>
    <x v="28"/>
    <x v="2"/>
    <x v="28"/>
    <x v="28"/>
    <x v="29"/>
    <x v="0"/>
  </r>
  <r>
    <x v="70"/>
    <x v="21"/>
    <x v="0"/>
    <x v="8"/>
    <x v="9"/>
    <x v="0"/>
    <x v="13"/>
    <x v="15"/>
    <x v="3"/>
    <x v="22"/>
    <x v="0"/>
    <x v="29"/>
    <x v="2"/>
    <x v="29"/>
    <x v="29"/>
    <x v="22"/>
    <x v="0"/>
  </r>
  <r>
    <x v="71"/>
    <x v="21"/>
    <x v="0"/>
    <x v="8"/>
    <x v="9"/>
    <x v="0"/>
    <x v="13"/>
    <x v="15"/>
    <x v="3"/>
    <x v="23"/>
    <x v="0"/>
    <x v="29"/>
    <x v="2"/>
    <x v="29"/>
    <x v="29"/>
    <x v="23"/>
    <x v="0"/>
  </r>
  <r>
    <x v="72"/>
    <x v="21"/>
    <x v="0"/>
    <x v="8"/>
    <x v="9"/>
    <x v="0"/>
    <x v="14"/>
    <x v="16"/>
    <x v="22"/>
    <x v="42"/>
    <x v="0"/>
    <x v="30"/>
    <x v="2"/>
    <x v="30"/>
    <x v="30"/>
    <x v="41"/>
    <x v="2"/>
  </r>
  <r>
    <x v="73"/>
    <x v="21"/>
    <x v="0"/>
    <x v="8"/>
    <x v="9"/>
    <x v="0"/>
    <x v="14"/>
    <x v="16"/>
    <x v="22"/>
    <x v="43"/>
    <x v="0"/>
    <x v="30"/>
    <x v="2"/>
    <x v="30"/>
    <x v="30"/>
    <x v="42"/>
    <x v="2"/>
  </r>
  <r>
    <x v="74"/>
    <x v="21"/>
    <x v="0"/>
    <x v="8"/>
    <x v="9"/>
    <x v="0"/>
    <x v="1"/>
    <x v="8"/>
    <x v="23"/>
    <x v="44"/>
    <x v="0"/>
    <x v="28"/>
    <x v="2"/>
    <x v="28"/>
    <x v="28"/>
    <x v="43"/>
    <x v="0"/>
  </r>
  <r>
    <x v="75"/>
    <x v="21"/>
    <x v="0"/>
    <x v="8"/>
    <x v="9"/>
    <x v="0"/>
    <x v="1"/>
    <x v="8"/>
    <x v="23"/>
    <x v="45"/>
    <x v="0"/>
    <x v="28"/>
    <x v="2"/>
    <x v="28"/>
    <x v="28"/>
    <x v="44"/>
    <x v="0"/>
  </r>
  <r>
    <x v="76"/>
    <x v="22"/>
    <x v="0"/>
    <x v="8"/>
    <x v="9"/>
    <x v="0"/>
    <x v="1"/>
    <x v="17"/>
    <x v="24"/>
    <x v="46"/>
    <x v="0"/>
    <x v="31"/>
    <x v="2"/>
    <x v="31"/>
    <x v="31"/>
    <x v="45"/>
    <x v="0"/>
  </r>
  <r>
    <x v="77"/>
    <x v="22"/>
    <x v="0"/>
    <x v="8"/>
    <x v="9"/>
    <x v="0"/>
    <x v="1"/>
    <x v="17"/>
    <x v="24"/>
    <x v="47"/>
    <x v="0"/>
    <x v="31"/>
    <x v="2"/>
    <x v="31"/>
    <x v="31"/>
    <x v="46"/>
    <x v="0"/>
  </r>
  <r>
    <x v="78"/>
    <x v="22"/>
    <x v="0"/>
    <x v="8"/>
    <x v="9"/>
    <x v="0"/>
    <x v="13"/>
    <x v="16"/>
    <x v="25"/>
    <x v="48"/>
    <x v="0"/>
    <x v="28"/>
    <x v="2"/>
    <x v="28"/>
    <x v="28"/>
    <x v="47"/>
    <x v="2"/>
  </r>
  <r>
    <x v="79"/>
    <x v="22"/>
    <x v="0"/>
    <x v="8"/>
    <x v="9"/>
    <x v="0"/>
    <x v="13"/>
    <x v="16"/>
    <x v="25"/>
    <x v="49"/>
    <x v="0"/>
    <x v="28"/>
    <x v="2"/>
    <x v="28"/>
    <x v="28"/>
    <x v="48"/>
    <x v="2"/>
  </r>
  <r>
    <x v="80"/>
    <x v="22"/>
    <x v="0"/>
    <x v="8"/>
    <x v="9"/>
    <x v="0"/>
    <x v="13"/>
    <x v="15"/>
    <x v="26"/>
    <x v="7"/>
    <x v="0"/>
    <x v="28"/>
    <x v="2"/>
    <x v="28"/>
    <x v="28"/>
    <x v="7"/>
    <x v="2"/>
  </r>
  <r>
    <x v="81"/>
    <x v="22"/>
    <x v="0"/>
    <x v="8"/>
    <x v="9"/>
    <x v="0"/>
    <x v="13"/>
    <x v="15"/>
    <x v="26"/>
    <x v="50"/>
    <x v="0"/>
    <x v="28"/>
    <x v="2"/>
    <x v="28"/>
    <x v="28"/>
    <x v="49"/>
    <x v="2"/>
  </r>
  <r>
    <x v="82"/>
    <x v="13"/>
    <x v="0"/>
    <x v="8"/>
    <x v="9"/>
    <x v="0"/>
    <x v="1"/>
    <x v="17"/>
    <x v="27"/>
    <x v="51"/>
    <x v="0"/>
    <x v="31"/>
    <x v="2"/>
    <x v="31"/>
    <x v="31"/>
    <x v="50"/>
    <x v="0"/>
  </r>
  <r>
    <x v="83"/>
    <x v="13"/>
    <x v="0"/>
    <x v="8"/>
    <x v="9"/>
    <x v="0"/>
    <x v="1"/>
    <x v="17"/>
    <x v="27"/>
    <x v="52"/>
    <x v="0"/>
    <x v="31"/>
    <x v="2"/>
    <x v="31"/>
    <x v="31"/>
    <x v="51"/>
    <x v="0"/>
  </r>
  <r>
    <x v="84"/>
    <x v="13"/>
    <x v="0"/>
    <x v="8"/>
    <x v="9"/>
    <x v="0"/>
    <x v="15"/>
    <x v="8"/>
    <x v="18"/>
    <x v="34"/>
    <x v="0"/>
    <x v="28"/>
    <x v="2"/>
    <x v="28"/>
    <x v="28"/>
    <x v="33"/>
    <x v="5"/>
  </r>
  <r>
    <x v="85"/>
    <x v="13"/>
    <x v="0"/>
    <x v="8"/>
    <x v="9"/>
    <x v="0"/>
    <x v="15"/>
    <x v="8"/>
    <x v="18"/>
    <x v="35"/>
    <x v="0"/>
    <x v="28"/>
    <x v="2"/>
    <x v="28"/>
    <x v="28"/>
    <x v="34"/>
    <x v="5"/>
  </r>
  <r>
    <x v="86"/>
    <x v="13"/>
    <x v="0"/>
    <x v="8"/>
    <x v="9"/>
    <x v="0"/>
    <x v="16"/>
    <x v="18"/>
    <x v="17"/>
    <x v="32"/>
    <x v="0"/>
    <x v="30"/>
    <x v="2"/>
    <x v="30"/>
    <x v="30"/>
    <x v="32"/>
    <x v="2"/>
  </r>
  <r>
    <x v="87"/>
    <x v="13"/>
    <x v="0"/>
    <x v="8"/>
    <x v="9"/>
    <x v="0"/>
    <x v="16"/>
    <x v="18"/>
    <x v="17"/>
    <x v="33"/>
    <x v="0"/>
    <x v="30"/>
    <x v="2"/>
    <x v="30"/>
    <x v="30"/>
    <x v="6"/>
    <x v="2"/>
  </r>
  <r>
    <x v="88"/>
    <x v="23"/>
    <x v="0"/>
    <x v="8"/>
    <x v="9"/>
    <x v="0"/>
    <x v="17"/>
    <x v="8"/>
    <x v="0"/>
    <x v="0"/>
    <x v="0"/>
    <x v="28"/>
    <x v="2"/>
    <x v="28"/>
    <x v="28"/>
    <x v="0"/>
    <x v="0"/>
  </r>
  <r>
    <x v="89"/>
    <x v="23"/>
    <x v="0"/>
    <x v="8"/>
    <x v="9"/>
    <x v="0"/>
    <x v="17"/>
    <x v="8"/>
    <x v="0"/>
    <x v="1"/>
    <x v="0"/>
    <x v="28"/>
    <x v="2"/>
    <x v="28"/>
    <x v="28"/>
    <x v="1"/>
    <x v="0"/>
  </r>
  <r>
    <x v="90"/>
    <x v="23"/>
    <x v="0"/>
    <x v="8"/>
    <x v="9"/>
    <x v="0"/>
    <x v="1"/>
    <x v="17"/>
    <x v="28"/>
    <x v="53"/>
    <x v="0"/>
    <x v="31"/>
    <x v="2"/>
    <x v="31"/>
    <x v="31"/>
    <x v="52"/>
    <x v="0"/>
  </r>
  <r>
    <x v="91"/>
    <x v="23"/>
    <x v="0"/>
    <x v="8"/>
    <x v="9"/>
    <x v="0"/>
    <x v="1"/>
    <x v="17"/>
    <x v="28"/>
    <x v="54"/>
    <x v="0"/>
    <x v="31"/>
    <x v="2"/>
    <x v="31"/>
    <x v="31"/>
    <x v="53"/>
    <x v="0"/>
  </r>
  <r>
    <x v="92"/>
    <x v="23"/>
    <x v="0"/>
    <x v="8"/>
    <x v="9"/>
    <x v="0"/>
    <x v="9"/>
    <x v="19"/>
    <x v="22"/>
    <x v="42"/>
    <x v="0"/>
    <x v="32"/>
    <x v="6"/>
    <x v="32"/>
    <x v="32"/>
    <x v="41"/>
    <x v="2"/>
  </r>
  <r>
    <x v="93"/>
    <x v="23"/>
    <x v="0"/>
    <x v="8"/>
    <x v="9"/>
    <x v="0"/>
    <x v="9"/>
    <x v="19"/>
    <x v="22"/>
    <x v="43"/>
    <x v="0"/>
    <x v="32"/>
    <x v="6"/>
    <x v="32"/>
    <x v="32"/>
    <x v="42"/>
    <x v="2"/>
  </r>
  <r>
    <x v="94"/>
    <x v="14"/>
    <x v="0"/>
    <x v="8"/>
    <x v="9"/>
    <x v="0"/>
    <x v="1"/>
    <x v="17"/>
    <x v="29"/>
    <x v="55"/>
    <x v="0"/>
    <x v="31"/>
    <x v="2"/>
    <x v="31"/>
    <x v="31"/>
    <x v="54"/>
    <x v="5"/>
  </r>
  <r>
    <x v="95"/>
    <x v="14"/>
    <x v="0"/>
    <x v="8"/>
    <x v="9"/>
    <x v="0"/>
    <x v="1"/>
    <x v="17"/>
    <x v="29"/>
    <x v="56"/>
    <x v="0"/>
    <x v="31"/>
    <x v="2"/>
    <x v="31"/>
    <x v="31"/>
    <x v="55"/>
    <x v="5"/>
  </r>
  <r>
    <x v="96"/>
    <x v="14"/>
    <x v="0"/>
    <x v="8"/>
    <x v="9"/>
    <x v="0"/>
    <x v="1"/>
    <x v="17"/>
    <x v="2"/>
    <x v="3"/>
    <x v="0"/>
    <x v="31"/>
    <x v="2"/>
    <x v="31"/>
    <x v="31"/>
    <x v="3"/>
    <x v="0"/>
  </r>
  <r>
    <x v="97"/>
    <x v="14"/>
    <x v="0"/>
    <x v="8"/>
    <x v="9"/>
    <x v="0"/>
    <x v="1"/>
    <x v="17"/>
    <x v="2"/>
    <x v="4"/>
    <x v="0"/>
    <x v="31"/>
    <x v="2"/>
    <x v="31"/>
    <x v="31"/>
    <x v="4"/>
    <x v="0"/>
  </r>
  <r>
    <x v="98"/>
    <x v="6"/>
    <x v="0"/>
    <x v="8"/>
    <x v="9"/>
    <x v="0"/>
    <x v="1"/>
    <x v="17"/>
    <x v="30"/>
    <x v="57"/>
    <x v="0"/>
    <x v="31"/>
    <x v="2"/>
    <x v="31"/>
    <x v="31"/>
    <x v="56"/>
    <x v="2"/>
  </r>
  <r>
    <x v="99"/>
    <x v="6"/>
    <x v="0"/>
    <x v="8"/>
    <x v="9"/>
    <x v="0"/>
    <x v="1"/>
    <x v="17"/>
    <x v="30"/>
    <x v="58"/>
    <x v="0"/>
    <x v="31"/>
    <x v="2"/>
    <x v="31"/>
    <x v="31"/>
    <x v="57"/>
    <x v="2"/>
  </r>
  <r>
    <x v="100"/>
    <x v="6"/>
    <x v="0"/>
    <x v="8"/>
    <x v="9"/>
    <x v="0"/>
    <x v="17"/>
    <x v="8"/>
    <x v="14"/>
    <x v="26"/>
    <x v="0"/>
    <x v="28"/>
    <x v="2"/>
    <x v="28"/>
    <x v="28"/>
    <x v="26"/>
    <x v="5"/>
  </r>
  <r>
    <x v="101"/>
    <x v="6"/>
    <x v="0"/>
    <x v="8"/>
    <x v="9"/>
    <x v="0"/>
    <x v="17"/>
    <x v="8"/>
    <x v="14"/>
    <x v="27"/>
    <x v="0"/>
    <x v="28"/>
    <x v="2"/>
    <x v="28"/>
    <x v="28"/>
    <x v="27"/>
    <x v="5"/>
  </r>
  <r>
    <x v="102"/>
    <x v="6"/>
    <x v="0"/>
    <x v="8"/>
    <x v="10"/>
    <x v="0"/>
    <x v="0"/>
    <x v="20"/>
    <x v="24"/>
    <x v="46"/>
    <x v="0"/>
    <x v="33"/>
    <x v="2"/>
    <x v="33"/>
    <x v="33"/>
    <x v="45"/>
    <x v="0"/>
  </r>
  <r>
    <x v="103"/>
    <x v="6"/>
    <x v="0"/>
    <x v="8"/>
    <x v="10"/>
    <x v="0"/>
    <x v="0"/>
    <x v="20"/>
    <x v="24"/>
    <x v="47"/>
    <x v="0"/>
    <x v="33"/>
    <x v="2"/>
    <x v="33"/>
    <x v="33"/>
    <x v="46"/>
    <x v="0"/>
  </r>
  <r>
    <x v="104"/>
    <x v="15"/>
    <x v="0"/>
    <x v="8"/>
    <x v="9"/>
    <x v="0"/>
    <x v="18"/>
    <x v="17"/>
    <x v="12"/>
    <x v="59"/>
    <x v="0"/>
    <x v="31"/>
    <x v="2"/>
    <x v="31"/>
    <x v="31"/>
    <x v="58"/>
    <x v="5"/>
  </r>
  <r>
    <x v="105"/>
    <x v="15"/>
    <x v="0"/>
    <x v="8"/>
    <x v="9"/>
    <x v="0"/>
    <x v="18"/>
    <x v="17"/>
    <x v="12"/>
    <x v="60"/>
    <x v="0"/>
    <x v="31"/>
    <x v="2"/>
    <x v="31"/>
    <x v="31"/>
    <x v="59"/>
    <x v="5"/>
  </r>
  <r>
    <x v="106"/>
    <x v="15"/>
    <x v="0"/>
    <x v="8"/>
    <x v="9"/>
    <x v="0"/>
    <x v="13"/>
    <x v="16"/>
    <x v="31"/>
    <x v="38"/>
    <x v="0"/>
    <x v="34"/>
    <x v="2"/>
    <x v="34"/>
    <x v="34"/>
    <x v="37"/>
    <x v="0"/>
  </r>
  <r>
    <x v="107"/>
    <x v="15"/>
    <x v="0"/>
    <x v="8"/>
    <x v="9"/>
    <x v="0"/>
    <x v="13"/>
    <x v="16"/>
    <x v="31"/>
    <x v="39"/>
    <x v="0"/>
    <x v="34"/>
    <x v="2"/>
    <x v="34"/>
    <x v="34"/>
    <x v="38"/>
    <x v="0"/>
  </r>
  <r>
    <x v="108"/>
    <x v="15"/>
    <x v="0"/>
    <x v="8"/>
    <x v="9"/>
    <x v="0"/>
    <x v="0"/>
    <x v="21"/>
    <x v="26"/>
    <x v="7"/>
    <x v="0"/>
    <x v="32"/>
    <x v="2"/>
    <x v="35"/>
    <x v="35"/>
    <x v="7"/>
    <x v="2"/>
  </r>
  <r>
    <x v="109"/>
    <x v="15"/>
    <x v="0"/>
    <x v="8"/>
    <x v="9"/>
    <x v="0"/>
    <x v="0"/>
    <x v="21"/>
    <x v="26"/>
    <x v="50"/>
    <x v="0"/>
    <x v="32"/>
    <x v="2"/>
    <x v="35"/>
    <x v="35"/>
    <x v="49"/>
    <x v="2"/>
  </r>
  <r>
    <x v="110"/>
    <x v="15"/>
    <x v="0"/>
    <x v="8"/>
    <x v="9"/>
    <x v="0"/>
    <x v="0"/>
    <x v="13"/>
    <x v="0"/>
    <x v="0"/>
    <x v="0"/>
    <x v="35"/>
    <x v="2"/>
    <x v="36"/>
    <x v="36"/>
    <x v="0"/>
    <x v="0"/>
  </r>
  <r>
    <x v="111"/>
    <x v="15"/>
    <x v="0"/>
    <x v="8"/>
    <x v="9"/>
    <x v="0"/>
    <x v="0"/>
    <x v="13"/>
    <x v="0"/>
    <x v="1"/>
    <x v="0"/>
    <x v="35"/>
    <x v="2"/>
    <x v="36"/>
    <x v="36"/>
    <x v="1"/>
    <x v="0"/>
  </r>
  <r>
    <x v="112"/>
    <x v="24"/>
    <x v="0"/>
    <x v="8"/>
    <x v="9"/>
    <x v="0"/>
    <x v="1"/>
    <x v="9"/>
    <x v="22"/>
    <x v="42"/>
    <x v="0"/>
    <x v="36"/>
    <x v="2"/>
    <x v="37"/>
    <x v="37"/>
    <x v="41"/>
    <x v="2"/>
  </r>
  <r>
    <x v="113"/>
    <x v="24"/>
    <x v="0"/>
    <x v="8"/>
    <x v="9"/>
    <x v="0"/>
    <x v="1"/>
    <x v="9"/>
    <x v="22"/>
    <x v="43"/>
    <x v="0"/>
    <x v="36"/>
    <x v="2"/>
    <x v="37"/>
    <x v="37"/>
    <x v="42"/>
    <x v="2"/>
  </r>
  <r>
    <x v="114"/>
    <x v="24"/>
    <x v="0"/>
    <x v="8"/>
    <x v="9"/>
    <x v="0"/>
    <x v="1"/>
    <x v="17"/>
    <x v="32"/>
    <x v="61"/>
    <x v="0"/>
    <x v="31"/>
    <x v="2"/>
    <x v="31"/>
    <x v="31"/>
    <x v="60"/>
    <x v="0"/>
  </r>
  <r>
    <x v="115"/>
    <x v="24"/>
    <x v="0"/>
    <x v="8"/>
    <x v="9"/>
    <x v="0"/>
    <x v="1"/>
    <x v="17"/>
    <x v="32"/>
    <x v="62"/>
    <x v="0"/>
    <x v="31"/>
    <x v="2"/>
    <x v="31"/>
    <x v="31"/>
    <x v="61"/>
    <x v="0"/>
  </r>
  <r>
    <x v="116"/>
    <x v="24"/>
    <x v="0"/>
    <x v="8"/>
    <x v="9"/>
    <x v="0"/>
    <x v="1"/>
    <x v="22"/>
    <x v="33"/>
    <x v="63"/>
    <x v="0"/>
    <x v="37"/>
    <x v="2"/>
    <x v="38"/>
    <x v="38"/>
    <x v="62"/>
    <x v="5"/>
  </r>
  <r>
    <x v="117"/>
    <x v="24"/>
    <x v="0"/>
    <x v="8"/>
    <x v="9"/>
    <x v="0"/>
    <x v="1"/>
    <x v="22"/>
    <x v="33"/>
    <x v="64"/>
    <x v="0"/>
    <x v="37"/>
    <x v="2"/>
    <x v="38"/>
    <x v="38"/>
    <x v="63"/>
    <x v="5"/>
  </r>
  <r>
    <x v="118"/>
    <x v="24"/>
    <x v="0"/>
    <x v="8"/>
    <x v="9"/>
    <x v="0"/>
    <x v="9"/>
    <x v="3"/>
    <x v="25"/>
    <x v="48"/>
    <x v="0"/>
    <x v="36"/>
    <x v="2"/>
    <x v="37"/>
    <x v="37"/>
    <x v="47"/>
    <x v="2"/>
  </r>
  <r>
    <x v="119"/>
    <x v="24"/>
    <x v="0"/>
    <x v="8"/>
    <x v="9"/>
    <x v="0"/>
    <x v="9"/>
    <x v="3"/>
    <x v="25"/>
    <x v="49"/>
    <x v="0"/>
    <x v="36"/>
    <x v="2"/>
    <x v="37"/>
    <x v="37"/>
    <x v="48"/>
    <x v="2"/>
  </r>
  <r>
    <x v="120"/>
    <x v="24"/>
    <x v="0"/>
    <x v="8"/>
    <x v="9"/>
    <x v="0"/>
    <x v="9"/>
    <x v="23"/>
    <x v="19"/>
    <x v="36"/>
    <x v="0"/>
    <x v="38"/>
    <x v="6"/>
    <x v="39"/>
    <x v="39"/>
    <x v="35"/>
    <x v="0"/>
  </r>
  <r>
    <x v="121"/>
    <x v="24"/>
    <x v="0"/>
    <x v="8"/>
    <x v="9"/>
    <x v="0"/>
    <x v="9"/>
    <x v="23"/>
    <x v="19"/>
    <x v="37"/>
    <x v="0"/>
    <x v="38"/>
    <x v="6"/>
    <x v="39"/>
    <x v="39"/>
    <x v="36"/>
    <x v="0"/>
  </r>
  <r>
    <x v="122"/>
    <x v="24"/>
    <x v="0"/>
    <x v="8"/>
    <x v="9"/>
    <x v="0"/>
    <x v="19"/>
    <x v="24"/>
    <x v="24"/>
    <x v="46"/>
    <x v="0"/>
    <x v="39"/>
    <x v="7"/>
    <x v="40"/>
    <x v="40"/>
    <x v="45"/>
    <x v="0"/>
  </r>
  <r>
    <x v="123"/>
    <x v="24"/>
    <x v="0"/>
    <x v="8"/>
    <x v="9"/>
    <x v="0"/>
    <x v="19"/>
    <x v="24"/>
    <x v="24"/>
    <x v="47"/>
    <x v="0"/>
    <x v="39"/>
    <x v="7"/>
    <x v="40"/>
    <x v="40"/>
    <x v="46"/>
    <x v="0"/>
  </r>
  <r>
    <x v="124"/>
    <x v="16"/>
    <x v="0"/>
    <x v="8"/>
    <x v="9"/>
    <x v="0"/>
    <x v="1"/>
    <x v="25"/>
    <x v="24"/>
    <x v="46"/>
    <x v="0"/>
    <x v="31"/>
    <x v="2"/>
    <x v="31"/>
    <x v="31"/>
    <x v="45"/>
    <x v="0"/>
  </r>
  <r>
    <x v="125"/>
    <x v="16"/>
    <x v="0"/>
    <x v="8"/>
    <x v="9"/>
    <x v="0"/>
    <x v="1"/>
    <x v="25"/>
    <x v="24"/>
    <x v="47"/>
    <x v="0"/>
    <x v="31"/>
    <x v="2"/>
    <x v="31"/>
    <x v="31"/>
    <x v="46"/>
    <x v="0"/>
  </r>
  <r>
    <x v="126"/>
    <x v="16"/>
    <x v="0"/>
    <x v="8"/>
    <x v="9"/>
    <x v="0"/>
    <x v="1"/>
    <x v="17"/>
    <x v="17"/>
    <x v="32"/>
    <x v="0"/>
    <x v="40"/>
    <x v="2"/>
    <x v="41"/>
    <x v="41"/>
    <x v="32"/>
    <x v="2"/>
  </r>
  <r>
    <x v="127"/>
    <x v="16"/>
    <x v="0"/>
    <x v="8"/>
    <x v="9"/>
    <x v="0"/>
    <x v="1"/>
    <x v="17"/>
    <x v="17"/>
    <x v="5"/>
    <x v="0"/>
    <x v="40"/>
    <x v="2"/>
    <x v="41"/>
    <x v="41"/>
    <x v="5"/>
    <x v="2"/>
  </r>
  <r>
    <x v="128"/>
    <x v="16"/>
    <x v="0"/>
    <x v="8"/>
    <x v="9"/>
    <x v="0"/>
    <x v="1"/>
    <x v="26"/>
    <x v="18"/>
    <x v="34"/>
    <x v="0"/>
    <x v="11"/>
    <x v="2"/>
    <x v="10"/>
    <x v="10"/>
    <x v="33"/>
    <x v="5"/>
  </r>
  <r>
    <x v="129"/>
    <x v="16"/>
    <x v="0"/>
    <x v="8"/>
    <x v="9"/>
    <x v="0"/>
    <x v="1"/>
    <x v="26"/>
    <x v="18"/>
    <x v="35"/>
    <x v="0"/>
    <x v="11"/>
    <x v="2"/>
    <x v="10"/>
    <x v="10"/>
    <x v="34"/>
    <x v="5"/>
  </r>
  <r>
    <x v="130"/>
    <x v="25"/>
    <x v="0"/>
    <x v="8"/>
    <x v="9"/>
    <x v="0"/>
    <x v="1"/>
    <x v="27"/>
    <x v="29"/>
    <x v="55"/>
    <x v="0"/>
    <x v="41"/>
    <x v="2"/>
    <x v="42"/>
    <x v="42"/>
    <x v="54"/>
    <x v="5"/>
  </r>
  <r>
    <x v="131"/>
    <x v="25"/>
    <x v="0"/>
    <x v="8"/>
    <x v="9"/>
    <x v="0"/>
    <x v="1"/>
    <x v="27"/>
    <x v="29"/>
    <x v="65"/>
    <x v="0"/>
    <x v="41"/>
    <x v="2"/>
    <x v="42"/>
    <x v="42"/>
    <x v="64"/>
    <x v="5"/>
  </r>
  <r>
    <x v="132"/>
    <x v="25"/>
    <x v="0"/>
    <x v="8"/>
    <x v="9"/>
    <x v="0"/>
    <x v="1"/>
    <x v="17"/>
    <x v="0"/>
    <x v="0"/>
    <x v="0"/>
    <x v="31"/>
    <x v="2"/>
    <x v="31"/>
    <x v="31"/>
    <x v="0"/>
    <x v="0"/>
  </r>
  <r>
    <x v="133"/>
    <x v="25"/>
    <x v="0"/>
    <x v="8"/>
    <x v="9"/>
    <x v="0"/>
    <x v="1"/>
    <x v="17"/>
    <x v="0"/>
    <x v="1"/>
    <x v="0"/>
    <x v="31"/>
    <x v="2"/>
    <x v="31"/>
    <x v="31"/>
    <x v="1"/>
    <x v="0"/>
  </r>
  <r>
    <x v="134"/>
    <x v="25"/>
    <x v="0"/>
    <x v="8"/>
    <x v="9"/>
    <x v="0"/>
    <x v="20"/>
    <x v="8"/>
    <x v="19"/>
    <x v="36"/>
    <x v="0"/>
    <x v="42"/>
    <x v="2"/>
    <x v="8"/>
    <x v="8"/>
    <x v="35"/>
    <x v="0"/>
  </r>
  <r>
    <x v="135"/>
    <x v="25"/>
    <x v="0"/>
    <x v="8"/>
    <x v="9"/>
    <x v="0"/>
    <x v="20"/>
    <x v="8"/>
    <x v="19"/>
    <x v="37"/>
    <x v="0"/>
    <x v="42"/>
    <x v="2"/>
    <x v="8"/>
    <x v="8"/>
    <x v="36"/>
    <x v="0"/>
  </r>
  <r>
    <x v="136"/>
    <x v="26"/>
    <x v="0"/>
    <x v="8"/>
    <x v="9"/>
    <x v="0"/>
    <x v="1"/>
    <x v="17"/>
    <x v="2"/>
    <x v="3"/>
    <x v="0"/>
    <x v="31"/>
    <x v="2"/>
    <x v="31"/>
    <x v="31"/>
    <x v="3"/>
    <x v="0"/>
  </r>
  <r>
    <x v="137"/>
    <x v="26"/>
    <x v="0"/>
    <x v="8"/>
    <x v="9"/>
    <x v="0"/>
    <x v="1"/>
    <x v="17"/>
    <x v="2"/>
    <x v="4"/>
    <x v="0"/>
    <x v="31"/>
    <x v="2"/>
    <x v="31"/>
    <x v="31"/>
    <x v="4"/>
    <x v="0"/>
  </r>
  <r>
    <x v="138"/>
    <x v="7"/>
    <x v="0"/>
    <x v="8"/>
    <x v="9"/>
    <x v="0"/>
    <x v="1"/>
    <x v="28"/>
    <x v="32"/>
    <x v="61"/>
    <x v="0"/>
    <x v="43"/>
    <x v="2"/>
    <x v="43"/>
    <x v="43"/>
    <x v="60"/>
    <x v="0"/>
  </r>
  <r>
    <x v="139"/>
    <x v="7"/>
    <x v="0"/>
    <x v="8"/>
    <x v="9"/>
    <x v="0"/>
    <x v="1"/>
    <x v="28"/>
    <x v="32"/>
    <x v="62"/>
    <x v="0"/>
    <x v="43"/>
    <x v="2"/>
    <x v="43"/>
    <x v="43"/>
    <x v="61"/>
    <x v="0"/>
  </r>
  <r>
    <x v="140"/>
    <x v="7"/>
    <x v="0"/>
    <x v="8"/>
    <x v="9"/>
    <x v="0"/>
    <x v="15"/>
    <x v="8"/>
    <x v="34"/>
    <x v="66"/>
    <x v="0"/>
    <x v="28"/>
    <x v="2"/>
    <x v="28"/>
    <x v="28"/>
    <x v="65"/>
    <x v="2"/>
  </r>
  <r>
    <x v="141"/>
    <x v="7"/>
    <x v="0"/>
    <x v="8"/>
    <x v="9"/>
    <x v="0"/>
    <x v="15"/>
    <x v="8"/>
    <x v="34"/>
    <x v="67"/>
    <x v="0"/>
    <x v="28"/>
    <x v="2"/>
    <x v="28"/>
    <x v="28"/>
    <x v="66"/>
    <x v="2"/>
  </r>
  <r>
    <x v="142"/>
    <x v="7"/>
    <x v="0"/>
    <x v="8"/>
    <x v="9"/>
    <x v="0"/>
    <x v="1"/>
    <x v="17"/>
    <x v="16"/>
    <x v="30"/>
    <x v="0"/>
    <x v="31"/>
    <x v="2"/>
    <x v="31"/>
    <x v="31"/>
    <x v="30"/>
    <x v="0"/>
  </r>
  <r>
    <x v="143"/>
    <x v="7"/>
    <x v="0"/>
    <x v="8"/>
    <x v="9"/>
    <x v="0"/>
    <x v="1"/>
    <x v="17"/>
    <x v="16"/>
    <x v="31"/>
    <x v="0"/>
    <x v="31"/>
    <x v="2"/>
    <x v="31"/>
    <x v="31"/>
    <x v="31"/>
    <x v="0"/>
  </r>
  <r>
    <x v="144"/>
    <x v="7"/>
    <x v="0"/>
    <x v="8"/>
    <x v="9"/>
    <x v="0"/>
    <x v="9"/>
    <x v="21"/>
    <x v="17"/>
    <x v="32"/>
    <x v="0"/>
    <x v="32"/>
    <x v="2"/>
    <x v="35"/>
    <x v="35"/>
    <x v="32"/>
    <x v="2"/>
  </r>
  <r>
    <x v="145"/>
    <x v="7"/>
    <x v="0"/>
    <x v="8"/>
    <x v="9"/>
    <x v="0"/>
    <x v="9"/>
    <x v="21"/>
    <x v="17"/>
    <x v="8"/>
    <x v="0"/>
    <x v="32"/>
    <x v="2"/>
    <x v="35"/>
    <x v="35"/>
    <x v="8"/>
    <x v="2"/>
  </r>
  <r>
    <x v="146"/>
    <x v="0"/>
    <x v="0"/>
    <x v="8"/>
    <x v="9"/>
    <x v="0"/>
    <x v="15"/>
    <x v="8"/>
    <x v="22"/>
    <x v="42"/>
    <x v="0"/>
    <x v="30"/>
    <x v="2"/>
    <x v="30"/>
    <x v="30"/>
    <x v="41"/>
    <x v="2"/>
  </r>
  <r>
    <x v="147"/>
    <x v="0"/>
    <x v="0"/>
    <x v="8"/>
    <x v="9"/>
    <x v="0"/>
    <x v="15"/>
    <x v="8"/>
    <x v="22"/>
    <x v="43"/>
    <x v="0"/>
    <x v="30"/>
    <x v="2"/>
    <x v="30"/>
    <x v="30"/>
    <x v="42"/>
    <x v="2"/>
  </r>
  <r>
    <x v="148"/>
    <x v="0"/>
    <x v="0"/>
    <x v="8"/>
    <x v="9"/>
    <x v="0"/>
    <x v="1"/>
    <x v="17"/>
    <x v="15"/>
    <x v="28"/>
    <x v="0"/>
    <x v="31"/>
    <x v="2"/>
    <x v="31"/>
    <x v="31"/>
    <x v="28"/>
    <x v="0"/>
  </r>
  <r>
    <x v="149"/>
    <x v="0"/>
    <x v="0"/>
    <x v="8"/>
    <x v="9"/>
    <x v="0"/>
    <x v="1"/>
    <x v="17"/>
    <x v="15"/>
    <x v="29"/>
    <x v="0"/>
    <x v="31"/>
    <x v="2"/>
    <x v="31"/>
    <x v="31"/>
    <x v="29"/>
    <x v="0"/>
  </r>
  <r>
    <x v="150"/>
    <x v="0"/>
    <x v="0"/>
    <x v="8"/>
    <x v="9"/>
    <x v="0"/>
    <x v="1"/>
    <x v="27"/>
    <x v="35"/>
    <x v="68"/>
    <x v="0"/>
    <x v="41"/>
    <x v="2"/>
    <x v="42"/>
    <x v="42"/>
    <x v="67"/>
    <x v="0"/>
  </r>
  <r>
    <x v="151"/>
    <x v="0"/>
    <x v="0"/>
    <x v="8"/>
    <x v="9"/>
    <x v="0"/>
    <x v="1"/>
    <x v="27"/>
    <x v="35"/>
    <x v="69"/>
    <x v="0"/>
    <x v="41"/>
    <x v="2"/>
    <x v="42"/>
    <x v="42"/>
    <x v="68"/>
    <x v="0"/>
  </r>
  <r>
    <x v="152"/>
    <x v="0"/>
    <x v="0"/>
    <x v="8"/>
    <x v="9"/>
    <x v="0"/>
    <x v="1"/>
    <x v="8"/>
    <x v="14"/>
    <x v="26"/>
    <x v="0"/>
    <x v="28"/>
    <x v="2"/>
    <x v="28"/>
    <x v="28"/>
    <x v="26"/>
    <x v="5"/>
  </r>
  <r>
    <x v="153"/>
    <x v="0"/>
    <x v="0"/>
    <x v="8"/>
    <x v="9"/>
    <x v="0"/>
    <x v="1"/>
    <x v="8"/>
    <x v="14"/>
    <x v="27"/>
    <x v="0"/>
    <x v="28"/>
    <x v="2"/>
    <x v="28"/>
    <x v="28"/>
    <x v="27"/>
    <x v="5"/>
  </r>
  <r>
    <x v="154"/>
    <x v="0"/>
    <x v="0"/>
    <x v="8"/>
    <x v="9"/>
    <x v="0"/>
    <x v="0"/>
    <x v="0"/>
    <x v="26"/>
    <x v="7"/>
    <x v="0"/>
    <x v="44"/>
    <x v="2"/>
    <x v="44"/>
    <x v="44"/>
    <x v="7"/>
    <x v="2"/>
  </r>
  <r>
    <x v="155"/>
    <x v="0"/>
    <x v="0"/>
    <x v="8"/>
    <x v="9"/>
    <x v="0"/>
    <x v="0"/>
    <x v="0"/>
    <x v="26"/>
    <x v="50"/>
    <x v="0"/>
    <x v="44"/>
    <x v="2"/>
    <x v="44"/>
    <x v="44"/>
    <x v="49"/>
    <x v="2"/>
  </r>
  <r>
    <x v="156"/>
    <x v="0"/>
    <x v="0"/>
    <x v="8"/>
    <x v="9"/>
    <x v="0"/>
    <x v="9"/>
    <x v="3"/>
    <x v="19"/>
    <x v="36"/>
    <x v="0"/>
    <x v="36"/>
    <x v="2"/>
    <x v="37"/>
    <x v="37"/>
    <x v="35"/>
    <x v="0"/>
  </r>
  <r>
    <x v="157"/>
    <x v="0"/>
    <x v="0"/>
    <x v="8"/>
    <x v="9"/>
    <x v="0"/>
    <x v="9"/>
    <x v="3"/>
    <x v="19"/>
    <x v="37"/>
    <x v="0"/>
    <x v="36"/>
    <x v="2"/>
    <x v="37"/>
    <x v="37"/>
    <x v="36"/>
    <x v="0"/>
  </r>
  <r>
    <x v="158"/>
    <x v="5"/>
    <x v="0"/>
    <x v="8"/>
    <x v="9"/>
    <x v="0"/>
    <x v="15"/>
    <x v="8"/>
    <x v="17"/>
    <x v="32"/>
    <x v="0"/>
    <x v="30"/>
    <x v="2"/>
    <x v="30"/>
    <x v="30"/>
    <x v="32"/>
    <x v="2"/>
  </r>
  <r>
    <x v="159"/>
    <x v="5"/>
    <x v="0"/>
    <x v="8"/>
    <x v="9"/>
    <x v="0"/>
    <x v="15"/>
    <x v="8"/>
    <x v="17"/>
    <x v="8"/>
    <x v="0"/>
    <x v="30"/>
    <x v="2"/>
    <x v="30"/>
    <x v="30"/>
    <x v="8"/>
    <x v="2"/>
  </r>
  <r>
    <x v="160"/>
    <x v="5"/>
    <x v="0"/>
    <x v="8"/>
    <x v="9"/>
    <x v="0"/>
    <x v="1"/>
    <x v="27"/>
    <x v="18"/>
    <x v="34"/>
    <x v="0"/>
    <x v="41"/>
    <x v="2"/>
    <x v="42"/>
    <x v="42"/>
    <x v="33"/>
    <x v="5"/>
  </r>
  <r>
    <x v="161"/>
    <x v="5"/>
    <x v="0"/>
    <x v="8"/>
    <x v="9"/>
    <x v="0"/>
    <x v="1"/>
    <x v="27"/>
    <x v="18"/>
    <x v="35"/>
    <x v="0"/>
    <x v="41"/>
    <x v="2"/>
    <x v="42"/>
    <x v="42"/>
    <x v="34"/>
    <x v="5"/>
  </r>
  <r>
    <x v="162"/>
    <x v="5"/>
    <x v="0"/>
    <x v="8"/>
    <x v="9"/>
    <x v="0"/>
    <x v="1"/>
    <x v="17"/>
    <x v="31"/>
    <x v="38"/>
    <x v="0"/>
    <x v="45"/>
    <x v="2"/>
    <x v="45"/>
    <x v="45"/>
    <x v="37"/>
    <x v="0"/>
  </r>
  <r>
    <x v="163"/>
    <x v="5"/>
    <x v="0"/>
    <x v="8"/>
    <x v="9"/>
    <x v="0"/>
    <x v="1"/>
    <x v="17"/>
    <x v="31"/>
    <x v="39"/>
    <x v="0"/>
    <x v="45"/>
    <x v="2"/>
    <x v="45"/>
    <x v="45"/>
    <x v="38"/>
    <x v="0"/>
  </r>
  <r>
    <x v="164"/>
    <x v="1"/>
    <x v="0"/>
    <x v="8"/>
    <x v="9"/>
    <x v="0"/>
    <x v="15"/>
    <x v="8"/>
    <x v="13"/>
    <x v="24"/>
    <x v="0"/>
    <x v="28"/>
    <x v="2"/>
    <x v="28"/>
    <x v="28"/>
    <x v="24"/>
    <x v="5"/>
  </r>
  <r>
    <x v="165"/>
    <x v="1"/>
    <x v="0"/>
    <x v="8"/>
    <x v="9"/>
    <x v="0"/>
    <x v="15"/>
    <x v="8"/>
    <x v="13"/>
    <x v="25"/>
    <x v="0"/>
    <x v="28"/>
    <x v="2"/>
    <x v="28"/>
    <x v="28"/>
    <x v="25"/>
    <x v="5"/>
  </r>
  <r>
    <x v="166"/>
    <x v="1"/>
    <x v="0"/>
    <x v="8"/>
    <x v="9"/>
    <x v="0"/>
    <x v="1"/>
    <x v="17"/>
    <x v="36"/>
    <x v="53"/>
    <x v="0"/>
    <x v="45"/>
    <x v="2"/>
    <x v="45"/>
    <x v="45"/>
    <x v="52"/>
    <x v="0"/>
  </r>
  <r>
    <x v="167"/>
    <x v="1"/>
    <x v="0"/>
    <x v="8"/>
    <x v="9"/>
    <x v="0"/>
    <x v="1"/>
    <x v="17"/>
    <x v="36"/>
    <x v="54"/>
    <x v="0"/>
    <x v="45"/>
    <x v="2"/>
    <x v="45"/>
    <x v="45"/>
    <x v="53"/>
    <x v="0"/>
  </r>
  <r>
    <x v="168"/>
    <x v="1"/>
    <x v="0"/>
    <x v="8"/>
    <x v="9"/>
    <x v="0"/>
    <x v="21"/>
    <x v="29"/>
    <x v="19"/>
    <x v="36"/>
    <x v="0"/>
    <x v="46"/>
    <x v="2"/>
    <x v="46"/>
    <x v="46"/>
    <x v="35"/>
    <x v="0"/>
  </r>
  <r>
    <x v="169"/>
    <x v="1"/>
    <x v="0"/>
    <x v="8"/>
    <x v="9"/>
    <x v="0"/>
    <x v="21"/>
    <x v="29"/>
    <x v="19"/>
    <x v="37"/>
    <x v="0"/>
    <x v="46"/>
    <x v="2"/>
    <x v="46"/>
    <x v="46"/>
    <x v="36"/>
    <x v="0"/>
  </r>
  <r>
    <x v="170"/>
    <x v="17"/>
    <x v="0"/>
    <x v="8"/>
    <x v="9"/>
    <x v="0"/>
    <x v="15"/>
    <x v="8"/>
    <x v="4"/>
    <x v="59"/>
    <x v="0"/>
    <x v="28"/>
    <x v="2"/>
    <x v="28"/>
    <x v="28"/>
    <x v="58"/>
    <x v="2"/>
  </r>
  <r>
    <x v="171"/>
    <x v="17"/>
    <x v="0"/>
    <x v="8"/>
    <x v="9"/>
    <x v="0"/>
    <x v="15"/>
    <x v="8"/>
    <x v="4"/>
    <x v="60"/>
    <x v="0"/>
    <x v="28"/>
    <x v="2"/>
    <x v="28"/>
    <x v="28"/>
    <x v="59"/>
    <x v="2"/>
  </r>
  <r>
    <x v="172"/>
    <x v="17"/>
    <x v="0"/>
    <x v="8"/>
    <x v="9"/>
    <x v="0"/>
    <x v="1"/>
    <x v="17"/>
    <x v="23"/>
    <x v="44"/>
    <x v="0"/>
    <x v="31"/>
    <x v="2"/>
    <x v="31"/>
    <x v="31"/>
    <x v="43"/>
    <x v="0"/>
  </r>
  <r>
    <x v="173"/>
    <x v="17"/>
    <x v="0"/>
    <x v="8"/>
    <x v="9"/>
    <x v="0"/>
    <x v="1"/>
    <x v="17"/>
    <x v="23"/>
    <x v="45"/>
    <x v="0"/>
    <x v="31"/>
    <x v="2"/>
    <x v="31"/>
    <x v="31"/>
    <x v="44"/>
    <x v="0"/>
  </r>
  <r>
    <x v="174"/>
    <x v="12"/>
    <x v="0"/>
    <x v="8"/>
    <x v="9"/>
    <x v="0"/>
    <x v="1"/>
    <x v="17"/>
    <x v="24"/>
    <x v="46"/>
    <x v="0"/>
    <x v="31"/>
    <x v="2"/>
    <x v="31"/>
    <x v="31"/>
    <x v="45"/>
    <x v="0"/>
  </r>
  <r>
    <x v="175"/>
    <x v="12"/>
    <x v="0"/>
    <x v="8"/>
    <x v="9"/>
    <x v="0"/>
    <x v="1"/>
    <x v="17"/>
    <x v="24"/>
    <x v="47"/>
    <x v="0"/>
    <x v="31"/>
    <x v="2"/>
    <x v="31"/>
    <x v="31"/>
    <x v="46"/>
    <x v="0"/>
  </r>
  <r>
    <x v="176"/>
    <x v="18"/>
    <x v="0"/>
    <x v="8"/>
    <x v="9"/>
    <x v="0"/>
    <x v="1"/>
    <x v="17"/>
    <x v="33"/>
    <x v="63"/>
    <x v="0"/>
    <x v="31"/>
    <x v="2"/>
    <x v="31"/>
    <x v="31"/>
    <x v="62"/>
    <x v="5"/>
  </r>
  <r>
    <x v="177"/>
    <x v="18"/>
    <x v="0"/>
    <x v="8"/>
    <x v="9"/>
    <x v="0"/>
    <x v="1"/>
    <x v="17"/>
    <x v="33"/>
    <x v="64"/>
    <x v="0"/>
    <x v="31"/>
    <x v="2"/>
    <x v="31"/>
    <x v="31"/>
    <x v="63"/>
    <x v="5"/>
  </r>
  <r>
    <x v="178"/>
    <x v="18"/>
    <x v="0"/>
    <x v="8"/>
    <x v="9"/>
    <x v="0"/>
    <x v="15"/>
    <x v="8"/>
    <x v="29"/>
    <x v="55"/>
    <x v="0"/>
    <x v="28"/>
    <x v="2"/>
    <x v="28"/>
    <x v="28"/>
    <x v="54"/>
    <x v="5"/>
  </r>
  <r>
    <x v="179"/>
    <x v="18"/>
    <x v="0"/>
    <x v="8"/>
    <x v="9"/>
    <x v="0"/>
    <x v="15"/>
    <x v="8"/>
    <x v="29"/>
    <x v="65"/>
    <x v="0"/>
    <x v="28"/>
    <x v="2"/>
    <x v="28"/>
    <x v="28"/>
    <x v="64"/>
    <x v="5"/>
  </r>
  <r>
    <x v="180"/>
    <x v="2"/>
    <x v="0"/>
    <x v="8"/>
    <x v="9"/>
    <x v="0"/>
    <x v="11"/>
    <x v="30"/>
    <x v="21"/>
    <x v="40"/>
    <x v="0"/>
    <x v="38"/>
    <x v="2"/>
    <x v="9"/>
    <x v="9"/>
    <x v="39"/>
    <x v="2"/>
  </r>
  <r>
    <x v="181"/>
    <x v="2"/>
    <x v="0"/>
    <x v="8"/>
    <x v="9"/>
    <x v="0"/>
    <x v="11"/>
    <x v="30"/>
    <x v="21"/>
    <x v="41"/>
    <x v="0"/>
    <x v="38"/>
    <x v="2"/>
    <x v="9"/>
    <x v="9"/>
    <x v="40"/>
    <x v="2"/>
  </r>
  <r>
    <x v="182"/>
    <x v="2"/>
    <x v="0"/>
    <x v="8"/>
    <x v="9"/>
    <x v="0"/>
    <x v="15"/>
    <x v="8"/>
    <x v="37"/>
    <x v="70"/>
    <x v="0"/>
    <x v="28"/>
    <x v="2"/>
    <x v="28"/>
    <x v="28"/>
    <x v="69"/>
    <x v="5"/>
  </r>
  <r>
    <x v="183"/>
    <x v="2"/>
    <x v="0"/>
    <x v="8"/>
    <x v="9"/>
    <x v="0"/>
    <x v="15"/>
    <x v="8"/>
    <x v="37"/>
    <x v="71"/>
    <x v="0"/>
    <x v="28"/>
    <x v="2"/>
    <x v="28"/>
    <x v="28"/>
    <x v="70"/>
    <x v="5"/>
  </r>
  <r>
    <x v="184"/>
    <x v="2"/>
    <x v="0"/>
    <x v="8"/>
    <x v="9"/>
    <x v="0"/>
    <x v="1"/>
    <x v="17"/>
    <x v="14"/>
    <x v="26"/>
    <x v="0"/>
    <x v="31"/>
    <x v="2"/>
    <x v="31"/>
    <x v="31"/>
    <x v="26"/>
    <x v="5"/>
  </r>
  <r>
    <x v="185"/>
    <x v="2"/>
    <x v="0"/>
    <x v="8"/>
    <x v="9"/>
    <x v="0"/>
    <x v="1"/>
    <x v="17"/>
    <x v="14"/>
    <x v="27"/>
    <x v="0"/>
    <x v="31"/>
    <x v="2"/>
    <x v="31"/>
    <x v="31"/>
    <x v="27"/>
    <x v="5"/>
  </r>
  <r>
    <x v="186"/>
    <x v="2"/>
    <x v="0"/>
    <x v="8"/>
    <x v="9"/>
    <x v="0"/>
    <x v="1"/>
    <x v="31"/>
    <x v="12"/>
    <x v="22"/>
    <x v="0"/>
    <x v="28"/>
    <x v="2"/>
    <x v="28"/>
    <x v="28"/>
    <x v="22"/>
    <x v="5"/>
  </r>
  <r>
    <x v="187"/>
    <x v="2"/>
    <x v="0"/>
    <x v="8"/>
    <x v="9"/>
    <x v="0"/>
    <x v="1"/>
    <x v="31"/>
    <x v="12"/>
    <x v="23"/>
    <x v="0"/>
    <x v="28"/>
    <x v="2"/>
    <x v="28"/>
    <x v="28"/>
    <x v="23"/>
    <x v="5"/>
  </r>
  <r>
    <x v="188"/>
    <x v="2"/>
    <x v="0"/>
    <x v="8"/>
    <x v="9"/>
    <x v="0"/>
    <x v="22"/>
    <x v="0"/>
    <x v="23"/>
    <x v="44"/>
    <x v="0"/>
    <x v="47"/>
    <x v="2"/>
    <x v="47"/>
    <x v="47"/>
    <x v="43"/>
    <x v="0"/>
  </r>
  <r>
    <x v="189"/>
    <x v="2"/>
    <x v="0"/>
    <x v="8"/>
    <x v="9"/>
    <x v="0"/>
    <x v="22"/>
    <x v="0"/>
    <x v="23"/>
    <x v="45"/>
    <x v="0"/>
    <x v="47"/>
    <x v="2"/>
    <x v="47"/>
    <x v="47"/>
    <x v="44"/>
    <x v="0"/>
  </r>
  <r>
    <x v="190"/>
    <x v="8"/>
    <x v="0"/>
    <x v="8"/>
    <x v="9"/>
    <x v="0"/>
    <x v="1"/>
    <x v="17"/>
    <x v="27"/>
    <x v="52"/>
    <x v="0"/>
    <x v="48"/>
    <x v="2"/>
    <x v="48"/>
    <x v="48"/>
    <x v="51"/>
    <x v="0"/>
  </r>
  <r>
    <x v="191"/>
    <x v="8"/>
    <x v="0"/>
    <x v="8"/>
    <x v="9"/>
    <x v="0"/>
    <x v="1"/>
    <x v="17"/>
    <x v="27"/>
    <x v="72"/>
    <x v="0"/>
    <x v="48"/>
    <x v="2"/>
    <x v="48"/>
    <x v="48"/>
    <x v="71"/>
    <x v="0"/>
  </r>
  <r>
    <x v="192"/>
    <x v="8"/>
    <x v="0"/>
    <x v="8"/>
    <x v="9"/>
    <x v="0"/>
    <x v="1"/>
    <x v="17"/>
    <x v="20"/>
    <x v="38"/>
    <x v="0"/>
    <x v="28"/>
    <x v="2"/>
    <x v="28"/>
    <x v="28"/>
    <x v="37"/>
    <x v="0"/>
  </r>
  <r>
    <x v="193"/>
    <x v="8"/>
    <x v="0"/>
    <x v="8"/>
    <x v="9"/>
    <x v="0"/>
    <x v="1"/>
    <x v="17"/>
    <x v="20"/>
    <x v="39"/>
    <x v="0"/>
    <x v="28"/>
    <x v="2"/>
    <x v="28"/>
    <x v="28"/>
    <x v="38"/>
    <x v="0"/>
  </r>
  <r>
    <x v="194"/>
    <x v="8"/>
    <x v="0"/>
    <x v="8"/>
    <x v="9"/>
    <x v="0"/>
    <x v="23"/>
    <x v="20"/>
    <x v="34"/>
    <x v="66"/>
    <x v="0"/>
    <x v="32"/>
    <x v="2"/>
    <x v="35"/>
    <x v="35"/>
    <x v="65"/>
    <x v="2"/>
  </r>
  <r>
    <x v="195"/>
    <x v="8"/>
    <x v="0"/>
    <x v="8"/>
    <x v="9"/>
    <x v="0"/>
    <x v="23"/>
    <x v="20"/>
    <x v="34"/>
    <x v="67"/>
    <x v="0"/>
    <x v="32"/>
    <x v="2"/>
    <x v="35"/>
    <x v="35"/>
    <x v="66"/>
    <x v="2"/>
  </r>
  <r>
    <x v="196"/>
    <x v="27"/>
    <x v="0"/>
    <x v="8"/>
    <x v="9"/>
    <x v="0"/>
    <x v="1"/>
    <x v="17"/>
    <x v="16"/>
    <x v="30"/>
    <x v="0"/>
    <x v="31"/>
    <x v="2"/>
    <x v="31"/>
    <x v="31"/>
    <x v="30"/>
    <x v="0"/>
  </r>
  <r>
    <x v="197"/>
    <x v="27"/>
    <x v="0"/>
    <x v="8"/>
    <x v="9"/>
    <x v="0"/>
    <x v="1"/>
    <x v="17"/>
    <x v="16"/>
    <x v="31"/>
    <x v="0"/>
    <x v="31"/>
    <x v="2"/>
    <x v="31"/>
    <x v="31"/>
    <x v="31"/>
    <x v="0"/>
  </r>
  <r>
    <x v="198"/>
    <x v="27"/>
    <x v="0"/>
    <x v="8"/>
    <x v="9"/>
    <x v="0"/>
    <x v="15"/>
    <x v="8"/>
    <x v="22"/>
    <x v="42"/>
    <x v="0"/>
    <x v="30"/>
    <x v="2"/>
    <x v="30"/>
    <x v="30"/>
    <x v="41"/>
    <x v="2"/>
  </r>
  <r>
    <x v="199"/>
    <x v="27"/>
    <x v="0"/>
    <x v="8"/>
    <x v="9"/>
    <x v="0"/>
    <x v="15"/>
    <x v="8"/>
    <x v="22"/>
    <x v="43"/>
    <x v="0"/>
    <x v="30"/>
    <x v="2"/>
    <x v="30"/>
    <x v="30"/>
    <x v="42"/>
    <x v="2"/>
  </r>
  <r>
    <x v="200"/>
    <x v="3"/>
    <x v="0"/>
    <x v="8"/>
    <x v="9"/>
    <x v="0"/>
    <x v="1"/>
    <x v="30"/>
    <x v="3"/>
    <x v="5"/>
    <x v="0"/>
    <x v="2"/>
    <x v="2"/>
    <x v="2"/>
    <x v="2"/>
    <x v="5"/>
    <x v="0"/>
  </r>
  <r>
    <x v="201"/>
    <x v="3"/>
    <x v="0"/>
    <x v="8"/>
    <x v="9"/>
    <x v="0"/>
    <x v="1"/>
    <x v="30"/>
    <x v="3"/>
    <x v="6"/>
    <x v="0"/>
    <x v="2"/>
    <x v="2"/>
    <x v="2"/>
    <x v="2"/>
    <x v="6"/>
    <x v="0"/>
  </r>
  <r>
    <x v="202"/>
    <x v="3"/>
    <x v="0"/>
    <x v="8"/>
    <x v="9"/>
    <x v="0"/>
    <x v="1"/>
    <x v="17"/>
    <x v="19"/>
    <x v="36"/>
    <x v="0"/>
    <x v="31"/>
    <x v="2"/>
    <x v="31"/>
    <x v="31"/>
    <x v="35"/>
    <x v="0"/>
  </r>
  <r>
    <x v="203"/>
    <x v="3"/>
    <x v="0"/>
    <x v="8"/>
    <x v="9"/>
    <x v="0"/>
    <x v="1"/>
    <x v="17"/>
    <x v="19"/>
    <x v="37"/>
    <x v="0"/>
    <x v="31"/>
    <x v="2"/>
    <x v="31"/>
    <x v="31"/>
    <x v="36"/>
    <x v="0"/>
  </r>
  <r>
    <x v="204"/>
    <x v="3"/>
    <x v="0"/>
    <x v="8"/>
    <x v="9"/>
    <x v="0"/>
    <x v="1"/>
    <x v="17"/>
    <x v="15"/>
    <x v="28"/>
    <x v="0"/>
    <x v="31"/>
    <x v="2"/>
    <x v="31"/>
    <x v="31"/>
    <x v="28"/>
    <x v="0"/>
  </r>
  <r>
    <x v="205"/>
    <x v="3"/>
    <x v="0"/>
    <x v="8"/>
    <x v="9"/>
    <x v="0"/>
    <x v="1"/>
    <x v="17"/>
    <x v="15"/>
    <x v="29"/>
    <x v="0"/>
    <x v="31"/>
    <x v="2"/>
    <x v="31"/>
    <x v="31"/>
    <x v="29"/>
    <x v="0"/>
  </r>
  <r>
    <x v="206"/>
    <x v="3"/>
    <x v="0"/>
    <x v="8"/>
    <x v="9"/>
    <x v="0"/>
    <x v="15"/>
    <x v="8"/>
    <x v="17"/>
    <x v="32"/>
    <x v="0"/>
    <x v="30"/>
    <x v="2"/>
    <x v="30"/>
    <x v="30"/>
    <x v="32"/>
    <x v="2"/>
  </r>
  <r>
    <x v="207"/>
    <x v="3"/>
    <x v="0"/>
    <x v="8"/>
    <x v="9"/>
    <x v="0"/>
    <x v="15"/>
    <x v="8"/>
    <x v="17"/>
    <x v="8"/>
    <x v="0"/>
    <x v="30"/>
    <x v="2"/>
    <x v="30"/>
    <x v="30"/>
    <x v="8"/>
    <x v="2"/>
  </r>
  <r>
    <x v="208"/>
    <x v="3"/>
    <x v="0"/>
    <x v="8"/>
    <x v="9"/>
    <x v="0"/>
    <x v="24"/>
    <x v="32"/>
    <x v="25"/>
    <x v="73"/>
    <x v="0"/>
    <x v="32"/>
    <x v="2"/>
    <x v="35"/>
    <x v="35"/>
    <x v="72"/>
    <x v="2"/>
  </r>
  <r>
    <x v="209"/>
    <x v="3"/>
    <x v="0"/>
    <x v="8"/>
    <x v="9"/>
    <x v="0"/>
    <x v="24"/>
    <x v="32"/>
    <x v="25"/>
    <x v="74"/>
    <x v="0"/>
    <x v="32"/>
    <x v="2"/>
    <x v="35"/>
    <x v="35"/>
    <x v="73"/>
    <x v="2"/>
  </r>
  <r>
    <x v="210"/>
    <x v="9"/>
    <x v="0"/>
    <x v="8"/>
    <x v="9"/>
    <x v="0"/>
    <x v="1"/>
    <x v="17"/>
    <x v="24"/>
    <x v="46"/>
    <x v="0"/>
    <x v="31"/>
    <x v="2"/>
    <x v="31"/>
    <x v="31"/>
    <x v="45"/>
    <x v="0"/>
  </r>
  <r>
    <x v="211"/>
    <x v="9"/>
    <x v="0"/>
    <x v="8"/>
    <x v="9"/>
    <x v="0"/>
    <x v="1"/>
    <x v="17"/>
    <x v="24"/>
    <x v="47"/>
    <x v="0"/>
    <x v="31"/>
    <x v="2"/>
    <x v="31"/>
    <x v="31"/>
    <x v="46"/>
    <x v="0"/>
  </r>
  <r>
    <x v="212"/>
    <x v="9"/>
    <x v="0"/>
    <x v="8"/>
    <x v="9"/>
    <x v="0"/>
    <x v="15"/>
    <x v="8"/>
    <x v="33"/>
    <x v="63"/>
    <x v="0"/>
    <x v="28"/>
    <x v="2"/>
    <x v="28"/>
    <x v="28"/>
    <x v="62"/>
    <x v="5"/>
  </r>
  <r>
    <x v="213"/>
    <x v="9"/>
    <x v="0"/>
    <x v="8"/>
    <x v="9"/>
    <x v="0"/>
    <x v="15"/>
    <x v="8"/>
    <x v="33"/>
    <x v="64"/>
    <x v="0"/>
    <x v="28"/>
    <x v="2"/>
    <x v="28"/>
    <x v="28"/>
    <x v="63"/>
    <x v="5"/>
  </r>
  <r>
    <x v="214"/>
    <x v="28"/>
    <x v="0"/>
    <x v="8"/>
    <x v="9"/>
    <x v="0"/>
    <x v="1"/>
    <x v="8"/>
    <x v="34"/>
    <x v="66"/>
    <x v="0"/>
    <x v="28"/>
    <x v="2"/>
    <x v="28"/>
    <x v="28"/>
    <x v="65"/>
    <x v="2"/>
  </r>
  <r>
    <x v="215"/>
    <x v="28"/>
    <x v="0"/>
    <x v="8"/>
    <x v="9"/>
    <x v="0"/>
    <x v="1"/>
    <x v="8"/>
    <x v="34"/>
    <x v="67"/>
    <x v="0"/>
    <x v="28"/>
    <x v="2"/>
    <x v="28"/>
    <x v="28"/>
    <x v="66"/>
    <x v="2"/>
  </r>
  <r>
    <x v="216"/>
    <x v="28"/>
    <x v="0"/>
    <x v="8"/>
    <x v="9"/>
    <x v="0"/>
    <x v="1"/>
    <x v="17"/>
    <x v="36"/>
    <x v="53"/>
    <x v="0"/>
    <x v="45"/>
    <x v="2"/>
    <x v="45"/>
    <x v="45"/>
    <x v="52"/>
    <x v="0"/>
  </r>
  <r>
    <x v="217"/>
    <x v="28"/>
    <x v="0"/>
    <x v="8"/>
    <x v="9"/>
    <x v="0"/>
    <x v="1"/>
    <x v="17"/>
    <x v="36"/>
    <x v="54"/>
    <x v="0"/>
    <x v="45"/>
    <x v="2"/>
    <x v="45"/>
    <x v="45"/>
    <x v="53"/>
    <x v="0"/>
  </r>
  <r>
    <x v="218"/>
    <x v="28"/>
    <x v="0"/>
    <x v="8"/>
    <x v="9"/>
    <x v="0"/>
    <x v="1"/>
    <x v="17"/>
    <x v="37"/>
    <x v="70"/>
    <x v="0"/>
    <x v="31"/>
    <x v="2"/>
    <x v="31"/>
    <x v="31"/>
    <x v="69"/>
    <x v="5"/>
  </r>
  <r>
    <x v="219"/>
    <x v="28"/>
    <x v="0"/>
    <x v="8"/>
    <x v="9"/>
    <x v="0"/>
    <x v="1"/>
    <x v="17"/>
    <x v="37"/>
    <x v="71"/>
    <x v="0"/>
    <x v="31"/>
    <x v="2"/>
    <x v="31"/>
    <x v="31"/>
    <x v="70"/>
    <x v="5"/>
  </r>
  <r>
    <x v="220"/>
    <x v="29"/>
    <x v="0"/>
    <x v="8"/>
    <x v="9"/>
    <x v="0"/>
    <x v="8"/>
    <x v="33"/>
    <x v="15"/>
    <x v="28"/>
    <x v="0"/>
    <x v="49"/>
    <x v="2"/>
    <x v="49"/>
    <x v="49"/>
    <x v="28"/>
    <x v="0"/>
  </r>
  <r>
    <x v="221"/>
    <x v="29"/>
    <x v="0"/>
    <x v="8"/>
    <x v="9"/>
    <x v="0"/>
    <x v="8"/>
    <x v="33"/>
    <x v="15"/>
    <x v="29"/>
    <x v="0"/>
    <x v="49"/>
    <x v="2"/>
    <x v="49"/>
    <x v="49"/>
    <x v="29"/>
    <x v="0"/>
  </r>
  <r>
    <x v="222"/>
    <x v="29"/>
    <x v="0"/>
    <x v="8"/>
    <x v="9"/>
    <x v="0"/>
    <x v="1"/>
    <x v="17"/>
    <x v="20"/>
    <x v="38"/>
    <x v="0"/>
    <x v="31"/>
    <x v="2"/>
    <x v="31"/>
    <x v="31"/>
    <x v="37"/>
    <x v="0"/>
  </r>
  <r>
    <x v="223"/>
    <x v="29"/>
    <x v="0"/>
    <x v="8"/>
    <x v="9"/>
    <x v="0"/>
    <x v="1"/>
    <x v="17"/>
    <x v="20"/>
    <x v="39"/>
    <x v="0"/>
    <x v="31"/>
    <x v="2"/>
    <x v="31"/>
    <x v="31"/>
    <x v="38"/>
    <x v="0"/>
  </r>
  <r>
    <x v="224"/>
    <x v="29"/>
    <x v="0"/>
    <x v="8"/>
    <x v="9"/>
    <x v="0"/>
    <x v="15"/>
    <x v="8"/>
    <x v="30"/>
    <x v="57"/>
    <x v="0"/>
    <x v="28"/>
    <x v="2"/>
    <x v="28"/>
    <x v="28"/>
    <x v="56"/>
    <x v="2"/>
  </r>
  <r>
    <x v="225"/>
    <x v="29"/>
    <x v="0"/>
    <x v="8"/>
    <x v="9"/>
    <x v="0"/>
    <x v="15"/>
    <x v="8"/>
    <x v="30"/>
    <x v="58"/>
    <x v="0"/>
    <x v="28"/>
    <x v="2"/>
    <x v="28"/>
    <x v="28"/>
    <x v="57"/>
    <x v="2"/>
  </r>
  <r>
    <x v="226"/>
    <x v="4"/>
    <x v="0"/>
    <x v="8"/>
    <x v="9"/>
    <x v="0"/>
    <x v="1"/>
    <x v="17"/>
    <x v="27"/>
    <x v="52"/>
    <x v="0"/>
    <x v="31"/>
    <x v="2"/>
    <x v="31"/>
    <x v="31"/>
    <x v="51"/>
    <x v="0"/>
  </r>
  <r>
    <x v="227"/>
    <x v="4"/>
    <x v="0"/>
    <x v="8"/>
    <x v="9"/>
    <x v="0"/>
    <x v="1"/>
    <x v="17"/>
    <x v="27"/>
    <x v="72"/>
    <x v="0"/>
    <x v="31"/>
    <x v="2"/>
    <x v="31"/>
    <x v="31"/>
    <x v="71"/>
    <x v="0"/>
  </r>
  <r>
    <x v="228"/>
    <x v="30"/>
    <x v="0"/>
    <x v="8"/>
    <x v="9"/>
    <x v="0"/>
    <x v="1"/>
    <x v="17"/>
    <x v="29"/>
    <x v="65"/>
    <x v="0"/>
    <x v="31"/>
    <x v="2"/>
    <x v="31"/>
    <x v="31"/>
    <x v="64"/>
    <x v="5"/>
  </r>
  <r>
    <x v="229"/>
    <x v="30"/>
    <x v="0"/>
    <x v="8"/>
    <x v="9"/>
    <x v="0"/>
    <x v="1"/>
    <x v="17"/>
    <x v="29"/>
    <x v="55"/>
    <x v="0"/>
    <x v="31"/>
    <x v="2"/>
    <x v="31"/>
    <x v="31"/>
    <x v="54"/>
    <x v="5"/>
  </r>
  <r>
    <x v="230"/>
    <x v="10"/>
    <x v="0"/>
    <x v="8"/>
    <x v="9"/>
    <x v="0"/>
    <x v="1"/>
    <x v="34"/>
    <x v="0"/>
    <x v="0"/>
    <x v="0"/>
    <x v="28"/>
    <x v="2"/>
    <x v="28"/>
    <x v="28"/>
    <x v="0"/>
    <x v="0"/>
  </r>
  <r>
    <x v="231"/>
    <x v="10"/>
    <x v="0"/>
    <x v="8"/>
    <x v="9"/>
    <x v="0"/>
    <x v="1"/>
    <x v="34"/>
    <x v="0"/>
    <x v="1"/>
    <x v="0"/>
    <x v="28"/>
    <x v="2"/>
    <x v="28"/>
    <x v="28"/>
    <x v="1"/>
    <x v="0"/>
  </r>
  <r>
    <x v="232"/>
    <x v="10"/>
    <x v="0"/>
    <x v="8"/>
    <x v="9"/>
    <x v="0"/>
    <x v="9"/>
    <x v="35"/>
    <x v="32"/>
    <x v="61"/>
    <x v="0"/>
    <x v="36"/>
    <x v="2"/>
    <x v="37"/>
    <x v="37"/>
    <x v="60"/>
    <x v="0"/>
  </r>
  <r>
    <x v="233"/>
    <x v="10"/>
    <x v="0"/>
    <x v="8"/>
    <x v="9"/>
    <x v="0"/>
    <x v="9"/>
    <x v="35"/>
    <x v="32"/>
    <x v="62"/>
    <x v="0"/>
    <x v="36"/>
    <x v="2"/>
    <x v="37"/>
    <x v="37"/>
    <x v="61"/>
    <x v="0"/>
  </r>
  <r>
    <x v="234"/>
    <x v="10"/>
    <x v="0"/>
    <x v="8"/>
    <x v="9"/>
    <x v="0"/>
    <x v="15"/>
    <x v="8"/>
    <x v="22"/>
    <x v="42"/>
    <x v="0"/>
    <x v="30"/>
    <x v="2"/>
    <x v="30"/>
    <x v="30"/>
    <x v="41"/>
    <x v="2"/>
  </r>
  <r>
    <x v="235"/>
    <x v="10"/>
    <x v="0"/>
    <x v="8"/>
    <x v="9"/>
    <x v="0"/>
    <x v="15"/>
    <x v="8"/>
    <x v="22"/>
    <x v="43"/>
    <x v="0"/>
    <x v="30"/>
    <x v="2"/>
    <x v="30"/>
    <x v="30"/>
    <x v="42"/>
    <x v="2"/>
  </r>
  <r>
    <x v="236"/>
    <x v="10"/>
    <x v="0"/>
    <x v="8"/>
    <x v="9"/>
    <x v="0"/>
    <x v="1"/>
    <x v="17"/>
    <x v="15"/>
    <x v="28"/>
    <x v="0"/>
    <x v="31"/>
    <x v="2"/>
    <x v="31"/>
    <x v="31"/>
    <x v="28"/>
    <x v="0"/>
  </r>
  <r>
    <x v="237"/>
    <x v="10"/>
    <x v="0"/>
    <x v="8"/>
    <x v="9"/>
    <x v="0"/>
    <x v="1"/>
    <x v="17"/>
    <x v="15"/>
    <x v="30"/>
    <x v="0"/>
    <x v="31"/>
    <x v="2"/>
    <x v="31"/>
    <x v="31"/>
    <x v="30"/>
    <x v="0"/>
  </r>
  <r>
    <x v="238"/>
    <x v="15"/>
    <x v="0"/>
    <x v="9"/>
    <x v="11"/>
    <x v="0"/>
    <x v="0"/>
    <x v="36"/>
    <x v="21"/>
    <x v="40"/>
    <x v="0"/>
    <x v="50"/>
    <x v="2"/>
    <x v="50"/>
    <x v="50"/>
    <x v="39"/>
    <x v="2"/>
  </r>
  <r>
    <x v="239"/>
    <x v="15"/>
    <x v="0"/>
    <x v="9"/>
    <x v="11"/>
    <x v="0"/>
    <x v="0"/>
    <x v="36"/>
    <x v="21"/>
    <x v="41"/>
    <x v="0"/>
    <x v="50"/>
    <x v="2"/>
    <x v="50"/>
    <x v="50"/>
    <x v="40"/>
    <x v="2"/>
  </r>
  <r>
    <x v="240"/>
    <x v="15"/>
    <x v="0"/>
    <x v="9"/>
    <x v="11"/>
    <x v="0"/>
    <x v="0"/>
    <x v="37"/>
    <x v="21"/>
    <x v="40"/>
    <x v="0"/>
    <x v="50"/>
    <x v="2"/>
    <x v="50"/>
    <x v="50"/>
    <x v="39"/>
    <x v="2"/>
  </r>
  <r>
    <x v="241"/>
    <x v="15"/>
    <x v="0"/>
    <x v="9"/>
    <x v="11"/>
    <x v="0"/>
    <x v="0"/>
    <x v="37"/>
    <x v="21"/>
    <x v="41"/>
    <x v="0"/>
    <x v="50"/>
    <x v="2"/>
    <x v="50"/>
    <x v="50"/>
    <x v="40"/>
    <x v="2"/>
  </r>
  <r>
    <x v="242"/>
    <x v="15"/>
    <x v="0"/>
    <x v="9"/>
    <x v="11"/>
    <x v="0"/>
    <x v="0"/>
    <x v="38"/>
    <x v="21"/>
    <x v="40"/>
    <x v="0"/>
    <x v="51"/>
    <x v="2"/>
    <x v="51"/>
    <x v="51"/>
    <x v="39"/>
    <x v="2"/>
  </r>
  <r>
    <x v="243"/>
    <x v="15"/>
    <x v="0"/>
    <x v="9"/>
    <x v="11"/>
    <x v="0"/>
    <x v="0"/>
    <x v="38"/>
    <x v="21"/>
    <x v="41"/>
    <x v="0"/>
    <x v="51"/>
    <x v="2"/>
    <x v="51"/>
    <x v="51"/>
    <x v="40"/>
    <x v="2"/>
  </r>
  <r>
    <x v="244"/>
    <x v="15"/>
    <x v="0"/>
    <x v="9"/>
    <x v="11"/>
    <x v="0"/>
    <x v="0"/>
    <x v="39"/>
    <x v="29"/>
    <x v="56"/>
    <x v="0"/>
    <x v="52"/>
    <x v="8"/>
    <x v="52"/>
    <x v="52"/>
    <x v="55"/>
    <x v="5"/>
  </r>
  <r>
    <x v="245"/>
    <x v="15"/>
    <x v="0"/>
    <x v="9"/>
    <x v="11"/>
    <x v="0"/>
    <x v="0"/>
    <x v="39"/>
    <x v="29"/>
    <x v="55"/>
    <x v="0"/>
    <x v="52"/>
    <x v="8"/>
    <x v="52"/>
    <x v="52"/>
    <x v="54"/>
    <x v="5"/>
  </r>
  <r>
    <x v="246"/>
    <x v="15"/>
    <x v="0"/>
    <x v="9"/>
    <x v="11"/>
    <x v="0"/>
    <x v="0"/>
    <x v="40"/>
    <x v="29"/>
    <x v="56"/>
    <x v="0"/>
    <x v="53"/>
    <x v="9"/>
    <x v="51"/>
    <x v="51"/>
    <x v="55"/>
    <x v="5"/>
  </r>
  <r>
    <x v="247"/>
    <x v="15"/>
    <x v="0"/>
    <x v="9"/>
    <x v="11"/>
    <x v="0"/>
    <x v="0"/>
    <x v="40"/>
    <x v="29"/>
    <x v="55"/>
    <x v="0"/>
    <x v="53"/>
    <x v="9"/>
    <x v="51"/>
    <x v="51"/>
    <x v="54"/>
    <x v="5"/>
  </r>
  <r>
    <x v="248"/>
    <x v="16"/>
    <x v="0"/>
    <x v="9"/>
    <x v="11"/>
    <x v="0"/>
    <x v="0"/>
    <x v="41"/>
    <x v="38"/>
    <x v="75"/>
    <x v="0"/>
    <x v="54"/>
    <x v="10"/>
    <x v="47"/>
    <x v="47"/>
    <x v="74"/>
    <x v="3"/>
  </r>
  <r>
    <x v="249"/>
    <x v="25"/>
    <x v="0"/>
    <x v="9"/>
    <x v="11"/>
    <x v="0"/>
    <x v="0"/>
    <x v="42"/>
    <x v="3"/>
    <x v="22"/>
    <x v="0"/>
    <x v="55"/>
    <x v="11"/>
    <x v="53"/>
    <x v="53"/>
    <x v="22"/>
    <x v="0"/>
  </r>
  <r>
    <x v="250"/>
    <x v="25"/>
    <x v="0"/>
    <x v="9"/>
    <x v="11"/>
    <x v="0"/>
    <x v="0"/>
    <x v="42"/>
    <x v="3"/>
    <x v="23"/>
    <x v="0"/>
    <x v="55"/>
    <x v="11"/>
    <x v="53"/>
    <x v="53"/>
    <x v="23"/>
    <x v="0"/>
  </r>
  <r>
    <x v="251"/>
    <x v="25"/>
    <x v="0"/>
    <x v="9"/>
    <x v="11"/>
    <x v="0"/>
    <x v="0"/>
    <x v="4"/>
    <x v="32"/>
    <x v="61"/>
    <x v="0"/>
    <x v="56"/>
    <x v="9"/>
    <x v="54"/>
    <x v="54"/>
    <x v="60"/>
    <x v="0"/>
  </r>
  <r>
    <x v="252"/>
    <x v="25"/>
    <x v="0"/>
    <x v="9"/>
    <x v="11"/>
    <x v="0"/>
    <x v="0"/>
    <x v="4"/>
    <x v="32"/>
    <x v="62"/>
    <x v="0"/>
    <x v="56"/>
    <x v="9"/>
    <x v="54"/>
    <x v="54"/>
    <x v="61"/>
    <x v="0"/>
  </r>
  <r>
    <x v="253"/>
    <x v="25"/>
    <x v="0"/>
    <x v="9"/>
    <x v="11"/>
    <x v="0"/>
    <x v="0"/>
    <x v="43"/>
    <x v="32"/>
    <x v="61"/>
    <x v="0"/>
    <x v="57"/>
    <x v="12"/>
    <x v="55"/>
    <x v="55"/>
    <x v="60"/>
    <x v="0"/>
  </r>
  <r>
    <x v="254"/>
    <x v="25"/>
    <x v="0"/>
    <x v="9"/>
    <x v="11"/>
    <x v="0"/>
    <x v="0"/>
    <x v="43"/>
    <x v="32"/>
    <x v="62"/>
    <x v="0"/>
    <x v="57"/>
    <x v="12"/>
    <x v="55"/>
    <x v="55"/>
    <x v="61"/>
    <x v="0"/>
  </r>
  <r>
    <x v="255"/>
    <x v="25"/>
    <x v="0"/>
    <x v="9"/>
    <x v="11"/>
    <x v="0"/>
    <x v="0"/>
    <x v="44"/>
    <x v="12"/>
    <x v="59"/>
    <x v="0"/>
    <x v="58"/>
    <x v="2"/>
    <x v="52"/>
    <x v="52"/>
    <x v="58"/>
    <x v="5"/>
  </r>
  <r>
    <x v="256"/>
    <x v="25"/>
    <x v="0"/>
    <x v="9"/>
    <x v="11"/>
    <x v="0"/>
    <x v="0"/>
    <x v="44"/>
    <x v="12"/>
    <x v="60"/>
    <x v="0"/>
    <x v="58"/>
    <x v="2"/>
    <x v="52"/>
    <x v="52"/>
    <x v="59"/>
    <x v="5"/>
  </r>
  <r>
    <x v="257"/>
    <x v="25"/>
    <x v="0"/>
    <x v="9"/>
    <x v="11"/>
    <x v="0"/>
    <x v="0"/>
    <x v="45"/>
    <x v="12"/>
    <x v="59"/>
    <x v="0"/>
    <x v="59"/>
    <x v="13"/>
    <x v="52"/>
    <x v="52"/>
    <x v="58"/>
    <x v="5"/>
  </r>
  <r>
    <x v="258"/>
    <x v="25"/>
    <x v="0"/>
    <x v="9"/>
    <x v="11"/>
    <x v="0"/>
    <x v="0"/>
    <x v="45"/>
    <x v="12"/>
    <x v="60"/>
    <x v="0"/>
    <x v="59"/>
    <x v="13"/>
    <x v="52"/>
    <x v="52"/>
    <x v="59"/>
    <x v="5"/>
  </r>
  <r>
    <x v="259"/>
    <x v="25"/>
    <x v="0"/>
    <x v="9"/>
    <x v="11"/>
    <x v="0"/>
    <x v="0"/>
    <x v="29"/>
    <x v="12"/>
    <x v="59"/>
    <x v="0"/>
    <x v="60"/>
    <x v="4"/>
    <x v="56"/>
    <x v="56"/>
    <x v="58"/>
    <x v="5"/>
  </r>
  <r>
    <x v="260"/>
    <x v="25"/>
    <x v="0"/>
    <x v="9"/>
    <x v="11"/>
    <x v="0"/>
    <x v="0"/>
    <x v="29"/>
    <x v="12"/>
    <x v="60"/>
    <x v="0"/>
    <x v="60"/>
    <x v="4"/>
    <x v="56"/>
    <x v="56"/>
    <x v="59"/>
    <x v="5"/>
  </r>
  <r>
    <x v="261"/>
    <x v="7"/>
    <x v="0"/>
    <x v="9"/>
    <x v="11"/>
    <x v="0"/>
    <x v="0"/>
    <x v="29"/>
    <x v="5"/>
    <x v="9"/>
    <x v="0"/>
    <x v="61"/>
    <x v="5"/>
    <x v="57"/>
    <x v="57"/>
    <x v="9"/>
    <x v="3"/>
  </r>
  <r>
    <x v="262"/>
    <x v="25"/>
    <x v="0"/>
    <x v="9"/>
    <x v="11"/>
    <x v="0"/>
    <x v="0"/>
    <x v="46"/>
    <x v="39"/>
    <x v="76"/>
    <x v="0"/>
    <x v="62"/>
    <x v="9"/>
    <x v="58"/>
    <x v="58"/>
    <x v="75"/>
    <x v="3"/>
  </r>
  <r>
    <x v="263"/>
    <x v="0"/>
    <x v="0"/>
    <x v="9"/>
    <x v="11"/>
    <x v="0"/>
    <x v="0"/>
    <x v="38"/>
    <x v="28"/>
    <x v="53"/>
    <x v="0"/>
    <x v="63"/>
    <x v="2"/>
    <x v="59"/>
    <x v="59"/>
    <x v="52"/>
    <x v="0"/>
  </r>
  <r>
    <x v="264"/>
    <x v="0"/>
    <x v="0"/>
    <x v="9"/>
    <x v="11"/>
    <x v="0"/>
    <x v="0"/>
    <x v="38"/>
    <x v="28"/>
    <x v="54"/>
    <x v="0"/>
    <x v="63"/>
    <x v="2"/>
    <x v="59"/>
    <x v="59"/>
    <x v="53"/>
    <x v="0"/>
  </r>
  <r>
    <x v="265"/>
    <x v="0"/>
    <x v="0"/>
    <x v="9"/>
    <x v="11"/>
    <x v="0"/>
    <x v="0"/>
    <x v="3"/>
    <x v="0"/>
    <x v="0"/>
    <x v="0"/>
    <x v="63"/>
    <x v="2"/>
    <x v="59"/>
    <x v="59"/>
    <x v="0"/>
    <x v="0"/>
  </r>
  <r>
    <x v="266"/>
    <x v="0"/>
    <x v="0"/>
    <x v="9"/>
    <x v="11"/>
    <x v="0"/>
    <x v="0"/>
    <x v="3"/>
    <x v="0"/>
    <x v="1"/>
    <x v="0"/>
    <x v="63"/>
    <x v="2"/>
    <x v="59"/>
    <x v="59"/>
    <x v="1"/>
    <x v="0"/>
  </r>
  <r>
    <x v="267"/>
    <x v="0"/>
    <x v="0"/>
    <x v="9"/>
    <x v="11"/>
    <x v="0"/>
    <x v="0"/>
    <x v="47"/>
    <x v="0"/>
    <x v="0"/>
    <x v="0"/>
    <x v="50"/>
    <x v="2"/>
    <x v="50"/>
    <x v="50"/>
    <x v="0"/>
    <x v="0"/>
  </r>
  <r>
    <x v="268"/>
    <x v="0"/>
    <x v="0"/>
    <x v="9"/>
    <x v="11"/>
    <x v="0"/>
    <x v="0"/>
    <x v="47"/>
    <x v="0"/>
    <x v="1"/>
    <x v="0"/>
    <x v="50"/>
    <x v="2"/>
    <x v="50"/>
    <x v="50"/>
    <x v="1"/>
    <x v="0"/>
  </r>
  <r>
    <x v="269"/>
    <x v="0"/>
    <x v="0"/>
    <x v="9"/>
    <x v="11"/>
    <x v="0"/>
    <x v="0"/>
    <x v="48"/>
    <x v="23"/>
    <x v="44"/>
    <x v="0"/>
    <x v="64"/>
    <x v="2"/>
    <x v="60"/>
    <x v="60"/>
    <x v="43"/>
    <x v="0"/>
  </r>
  <r>
    <x v="270"/>
    <x v="0"/>
    <x v="0"/>
    <x v="9"/>
    <x v="11"/>
    <x v="0"/>
    <x v="0"/>
    <x v="48"/>
    <x v="23"/>
    <x v="45"/>
    <x v="0"/>
    <x v="64"/>
    <x v="2"/>
    <x v="60"/>
    <x v="60"/>
    <x v="44"/>
    <x v="0"/>
  </r>
  <r>
    <x v="271"/>
    <x v="0"/>
    <x v="0"/>
    <x v="9"/>
    <x v="11"/>
    <x v="0"/>
    <x v="0"/>
    <x v="36"/>
    <x v="23"/>
    <x v="44"/>
    <x v="0"/>
    <x v="65"/>
    <x v="2"/>
    <x v="61"/>
    <x v="61"/>
    <x v="43"/>
    <x v="0"/>
  </r>
  <r>
    <x v="272"/>
    <x v="0"/>
    <x v="0"/>
    <x v="9"/>
    <x v="11"/>
    <x v="0"/>
    <x v="0"/>
    <x v="36"/>
    <x v="23"/>
    <x v="45"/>
    <x v="0"/>
    <x v="65"/>
    <x v="2"/>
    <x v="61"/>
    <x v="61"/>
    <x v="44"/>
    <x v="0"/>
  </r>
  <r>
    <x v="273"/>
    <x v="1"/>
    <x v="0"/>
    <x v="9"/>
    <x v="11"/>
    <x v="1"/>
    <x v="0"/>
    <x v="36"/>
    <x v="40"/>
    <x v="77"/>
    <x v="0"/>
    <x v="66"/>
    <x v="14"/>
    <x v="62"/>
    <x v="62"/>
    <x v="76"/>
    <x v="6"/>
  </r>
  <r>
    <x v="274"/>
    <x v="1"/>
    <x v="0"/>
    <x v="9"/>
    <x v="11"/>
    <x v="0"/>
    <x v="0"/>
    <x v="15"/>
    <x v="29"/>
    <x v="55"/>
    <x v="0"/>
    <x v="67"/>
    <x v="2"/>
    <x v="63"/>
    <x v="63"/>
    <x v="54"/>
    <x v="5"/>
  </r>
  <r>
    <x v="275"/>
    <x v="1"/>
    <x v="0"/>
    <x v="9"/>
    <x v="11"/>
    <x v="0"/>
    <x v="0"/>
    <x v="15"/>
    <x v="29"/>
    <x v="65"/>
    <x v="0"/>
    <x v="67"/>
    <x v="2"/>
    <x v="63"/>
    <x v="63"/>
    <x v="64"/>
    <x v="5"/>
  </r>
  <r>
    <x v="276"/>
    <x v="1"/>
    <x v="0"/>
    <x v="9"/>
    <x v="11"/>
    <x v="0"/>
    <x v="0"/>
    <x v="13"/>
    <x v="29"/>
    <x v="55"/>
    <x v="0"/>
    <x v="68"/>
    <x v="2"/>
    <x v="64"/>
    <x v="64"/>
    <x v="54"/>
    <x v="5"/>
  </r>
  <r>
    <x v="277"/>
    <x v="1"/>
    <x v="0"/>
    <x v="9"/>
    <x v="11"/>
    <x v="0"/>
    <x v="0"/>
    <x v="13"/>
    <x v="29"/>
    <x v="65"/>
    <x v="0"/>
    <x v="68"/>
    <x v="2"/>
    <x v="64"/>
    <x v="64"/>
    <x v="64"/>
    <x v="5"/>
  </r>
  <r>
    <x v="278"/>
    <x v="1"/>
    <x v="0"/>
    <x v="9"/>
    <x v="11"/>
    <x v="0"/>
    <x v="0"/>
    <x v="13"/>
    <x v="29"/>
    <x v="55"/>
    <x v="0"/>
    <x v="69"/>
    <x v="2"/>
    <x v="65"/>
    <x v="65"/>
    <x v="54"/>
    <x v="5"/>
  </r>
  <r>
    <x v="279"/>
    <x v="1"/>
    <x v="0"/>
    <x v="9"/>
    <x v="11"/>
    <x v="0"/>
    <x v="0"/>
    <x v="13"/>
    <x v="29"/>
    <x v="65"/>
    <x v="0"/>
    <x v="69"/>
    <x v="2"/>
    <x v="65"/>
    <x v="65"/>
    <x v="64"/>
    <x v="5"/>
  </r>
  <r>
    <x v="280"/>
    <x v="17"/>
    <x v="0"/>
    <x v="9"/>
    <x v="11"/>
    <x v="0"/>
    <x v="0"/>
    <x v="45"/>
    <x v="15"/>
    <x v="28"/>
    <x v="0"/>
    <x v="70"/>
    <x v="2"/>
    <x v="66"/>
    <x v="66"/>
    <x v="28"/>
    <x v="0"/>
  </r>
  <r>
    <x v="281"/>
    <x v="17"/>
    <x v="0"/>
    <x v="9"/>
    <x v="11"/>
    <x v="0"/>
    <x v="0"/>
    <x v="45"/>
    <x v="15"/>
    <x v="29"/>
    <x v="0"/>
    <x v="70"/>
    <x v="2"/>
    <x v="66"/>
    <x v="66"/>
    <x v="29"/>
    <x v="0"/>
  </r>
  <r>
    <x v="282"/>
    <x v="18"/>
    <x v="0"/>
    <x v="9"/>
    <x v="11"/>
    <x v="1"/>
    <x v="25"/>
    <x v="12"/>
    <x v="1"/>
    <x v="2"/>
    <x v="0"/>
    <x v="71"/>
    <x v="14"/>
    <x v="67"/>
    <x v="67"/>
    <x v="2"/>
    <x v="1"/>
  </r>
  <r>
    <x v="283"/>
    <x v="17"/>
    <x v="0"/>
    <x v="9"/>
    <x v="11"/>
    <x v="0"/>
    <x v="0"/>
    <x v="44"/>
    <x v="15"/>
    <x v="28"/>
    <x v="0"/>
    <x v="70"/>
    <x v="2"/>
    <x v="66"/>
    <x v="66"/>
    <x v="28"/>
    <x v="0"/>
  </r>
  <r>
    <x v="284"/>
    <x v="17"/>
    <x v="0"/>
    <x v="9"/>
    <x v="11"/>
    <x v="0"/>
    <x v="0"/>
    <x v="44"/>
    <x v="15"/>
    <x v="29"/>
    <x v="0"/>
    <x v="70"/>
    <x v="2"/>
    <x v="66"/>
    <x v="66"/>
    <x v="29"/>
    <x v="0"/>
  </r>
  <r>
    <x v="285"/>
    <x v="18"/>
    <x v="0"/>
    <x v="9"/>
    <x v="11"/>
    <x v="1"/>
    <x v="25"/>
    <x v="12"/>
    <x v="1"/>
    <x v="2"/>
    <x v="0"/>
    <x v="71"/>
    <x v="14"/>
    <x v="67"/>
    <x v="67"/>
    <x v="2"/>
    <x v="1"/>
  </r>
  <r>
    <x v="286"/>
    <x v="17"/>
    <x v="0"/>
    <x v="9"/>
    <x v="11"/>
    <x v="0"/>
    <x v="0"/>
    <x v="40"/>
    <x v="15"/>
    <x v="28"/>
    <x v="0"/>
    <x v="63"/>
    <x v="2"/>
    <x v="59"/>
    <x v="59"/>
    <x v="28"/>
    <x v="0"/>
  </r>
  <r>
    <x v="287"/>
    <x v="17"/>
    <x v="0"/>
    <x v="9"/>
    <x v="11"/>
    <x v="0"/>
    <x v="0"/>
    <x v="40"/>
    <x v="15"/>
    <x v="29"/>
    <x v="0"/>
    <x v="63"/>
    <x v="2"/>
    <x v="59"/>
    <x v="59"/>
    <x v="29"/>
    <x v="0"/>
  </r>
  <r>
    <x v="288"/>
    <x v="17"/>
    <x v="0"/>
    <x v="9"/>
    <x v="11"/>
    <x v="0"/>
    <x v="0"/>
    <x v="13"/>
    <x v="15"/>
    <x v="28"/>
    <x v="0"/>
    <x v="69"/>
    <x v="2"/>
    <x v="65"/>
    <x v="65"/>
    <x v="28"/>
    <x v="0"/>
  </r>
  <r>
    <x v="289"/>
    <x v="17"/>
    <x v="0"/>
    <x v="9"/>
    <x v="11"/>
    <x v="0"/>
    <x v="0"/>
    <x v="13"/>
    <x v="15"/>
    <x v="29"/>
    <x v="0"/>
    <x v="69"/>
    <x v="2"/>
    <x v="65"/>
    <x v="65"/>
    <x v="29"/>
    <x v="0"/>
  </r>
  <r>
    <x v="290"/>
    <x v="17"/>
    <x v="0"/>
    <x v="9"/>
    <x v="11"/>
    <x v="0"/>
    <x v="0"/>
    <x v="23"/>
    <x v="35"/>
    <x v="68"/>
    <x v="0"/>
    <x v="50"/>
    <x v="2"/>
    <x v="50"/>
    <x v="50"/>
    <x v="67"/>
    <x v="0"/>
  </r>
  <r>
    <x v="291"/>
    <x v="17"/>
    <x v="0"/>
    <x v="9"/>
    <x v="11"/>
    <x v="0"/>
    <x v="0"/>
    <x v="23"/>
    <x v="35"/>
    <x v="69"/>
    <x v="0"/>
    <x v="50"/>
    <x v="2"/>
    <x v="50"/>
    <x v="50"/>
    <x v="68"/>
    <x v="0"/>
  </r>
  <r>
    <x v="292"/>
    <x v="12"/>
    <x v="0"/>
    <x v="9"/>
    <x v="11"/>
    <x v="0"/>
    <x v="0"/>
    <x v="49"/>
    <x v="17"/>
    <x v="32"/>
    <x v="0"/>
    <x v="63"/>
    <x v="2"/>
    <x v="59"/>
    <x v="59"/>
    <x v="32"/>
    <x v="2"/>
  </r>
  <r>
    <x v="293"/>
    <x v="12"/>
    <x v="0"/>
    <x v="9"/>
    <x v="11"/>
    <x v="0"/>
    <x v="0"/>
    <x v="49"/>
    <x v="17"/>
    <x v="8"/>
    <x v="0"/>
    <x v="63"/>
    <x v="2"/>
    <x v="59"/>
    <x v="59"/>
    <x v="8"/>
    <x v="2"/>
  </r>
  <r>
    <x v="294"/>
    <x v="12"/>
    <x v="0"/>
    <x v="9"/>
    <x v="11"/>
    <x v="0"/>
    <x v="0"/>
    <x v="0"/>
    <x v="13"/>
    <x v="24"/>
    <x v="0"/>
    <x v="72"/>
    <x v="2"/>
    <x v="68"/>
    <x v="68"/>
    <x v="24"/>
    <x v="5"/>
  </r>
  <r>
    <x v="295"/>
    <x v="12"/>
    <x v="0"/>
    <x v="9"/>
    <x v="11"/>
    <x v="0"/>
    <x v="0"/>
    <x v="0"/>
    <x v="13"/>
    <x v="25"/>
    <x v="0"/>
    <x v="72"/>
    <x v="2"/>
    <x v="68"/>
    <x v="68"/>
    <x v="25"/>
    <x v="5"/>
  </r>
  <r>
    <x v="296"/>
    <x v="8"/>
    <x v="0"/>
    <x v="9"/>
    <x v="11"/>
    <x v="1"/>
    <x v="25"/>
    <x v="50"/>
    <x v="1"/>
    <x v="2"/>
    <x v="0"/>
    <x v="73"/>
    <x v="14"/>
    <x v="69"/>
    <x v="69"/>
    <x v="2"/>
    <x v="1"/>
  </r>
  <r>
    <x v="297"/>
    <x v="8"/>
    <x v="0"/>
    <x v="9"/>
    <x v="11"/>
    <x v="0"/>
    <x v="0"/>
    <x v="51"/>
    <x v="0"/>
    <x v="0"/>
    <x v="0"/>
    <x v="74"/>
    <x v="2"/>
    <x v="70"/>
    <x v="70"/>
    <x v="0"/>
    <x v="0"/>
  </r>
  <r>
    <x v="298"/>
    <x v="8"/>
    <x v="0"/>
    <x v="9"/>
    <x v="11"/>
    <x v="0"/>
    <x v="0"/>
    <x v="51"/>
    <x v="0"/>
    <x v="1"/>
    <x v="0"/>
    <x v="74"/>
    <x v="2"/>
    <x v="70"/>
    <x v="70"/>
    <x v="1"/>
    <x v="0"/>
  </r>
  <r>
    <x v="299"/>
    <x v="8"/>
    <x v="0"/>
    <x v="9"/>
    <x v="11"/>
    <x v="0"/>
    <x v="0"/>
    <x v="14"/>
    <x v="0"/>
    <x v="0"/>
    <x v="0"/>
    <x v="75"/>
    <x v="2"/>
    <x v="71"/>
    <x v="71"/>
    <x v="0"/>
    <x v="0"/>
  </r>
  <r>
    <x v="300"/>
    <x v="8"/>
    <x v="0"/>
    <x v="9"/>
    <x v="11"/>
    <x v="0"/>
    <x v="0"/>
    <x v="14"/>
    <x v="0"/>
    <x v="1"/>
    <x v="0"/>
    <x v="75"/>
    <x v="2"/>
    <x v="71"/>
    <x v="71"/>
    <x v="1"/>
    <x v="0"/>
  </r>
  <r>
    <x v="301"/>
    <x v="8"/>
    <x v="0"/>
    <x v="9"/>
    <x v="11"/>
    <x v="0"/>
    <x v="0"/>
    <x v="6"/>
    <x v="0"/>
    <x v="0"/>
    <x v="0"/>
    <x v="76"/>
    <x v="15"/>
    <x v="72"/>
    <x v="72"/>
    <x v="0"/>
    <x v="0"/>
  </r>
  <r>
    <x v="302"/>
    <x v="8"/>
    <x v="0"/>
    <x v="9"/>
    <x v="11"/>
    <x v="0"/>
    <x v="0"/>
    <x v="6"/>
    <x v="0"/>
    <x v="1"/>
    <x v="0"/>
    <x v="76"/>
    <x v="15"/>
    <x v="72"/>
    <x v="72"/>
    <x v="1"/>
    <x v="0"/>
  </r>
  <r>
    <x v="303"/>
    <x v="9"/>
    <x v="0"/>
    <x v="9"/>
    <x v="11"/>
    <x v="1"/>
    <x v="25"/>
    <x v="4"/>
    <x v="41"/>
    <x v="78"/>
    <x v="0"/>
    <x v="77"/>
    <x v="16"/>
    <x v="73"/>
    <x v="73"/>
    <x v="77"/>
    <x v="7"/>
  </r>
  <r>
    <x v="304"/>
    <x v="8"/>
    <x v="0"/>
    <x v="9"/>
    <x v="11"/>
    <x v="0"/>
    <x v="0"/>
    <x v="14"/>
    <x v="0"/>
    <x v="0"/>
    <x v="0"/>
    <x v="78"/>
    <x v="17"/>
    <x v="51"/>
    <x v="51"/>
    <x v="0"/>
    <x v="0"/>
  </r>
  <r>
    <x v="305"/>
    <x v="8"/>
    <x v="0"/>
    <x v="9"/>
    <x v="11"/>
    <x v="0"/>
    <x v="0"/>
    <x v="14"/>
    <x v="0"/>
    <x v="1"/>
    <x v="0"/>
    <x v="78"/>
    <x v="17"/>
    <x v="51"/>
    <x v="51"/>
    <x v="1"/>
    <x v="0"/>
  </r>
  <r>
    <x v="306"/>
    <x v="27"/>
    <x v="0"/>
    <x v="9"/>
    <x v="11"/>
    <x v="0"/>
    <x v="0"/>
    <x v="37"/>
    <x v="37"/>
    <x v="70"/>
    <x v="0"/>
    <x v="79"/>
    <x v="2"/>
    <x v="74"/>
    <x v="74"/>
    <x v="69"/>
    <x v="5"/>
  </r>
  <r>
    <x v="307"/>
    <x v="27"/>
    <x v="0"/>
    <x v="9"/>
    <x v="11"/>
    <x v="0"/>
    <x v="0"/>
    <x v="37"/>
    <x v="37"/>
    <x v="71"/>
    <x v="0"/>
    <x v="79"/>
    <x v="2"/>
    <x v="74"/>
    <x v="74"/>
    <x v="70"/>
    <x v="5"/>
  </r>
  <r>
    <x v="308"/>
    <x v="27"/>
    <x v="0"/>
    <x v="9"/>
    <x v="11"/>
    <x v="0"/>
    <x v="0"/>
    <x v="0"/>
    <x v="21"/>
    <x v="40"/>
    <x v="0"/>
    <x v="74"/>
    <x v="2"/>
    <x v="70"/>
    <x v="70"/>
    <x v="39"/>
    <x v="2"/>
  </r>
  <r>
    <x v="309"/>
    <x v="27"/>
    <x v="0"/>
    <x v="9"/>
    <x v="11"/>
    <x v="0"/>
    <x v="0"/>
    <x v="0"/>
    <x v="21"/>
    <x v="41"/>
    <x v="0"/>
    <x v="74"/>
    <x v="2"/>
    <x v="70"/>
    <x v="70"/>
    <x v="40"/>
    <x v="2"/>
  </r>
  <r>
    <x v="310"/>
    <x v="27"/>
    <x v="0"/>
    <x v="9"/>
    <x v="11"/>
    <x v="0"/>
    <x v="0"/>
    <x v="36"/>
    <x v="12"/>
    <x v="22"/>
    <x v="0"/>
    <x v="50"/>
    <x v="2"/>
    <x v="50"/>
    <x v="50"/>
    <x v="22"/>
    <x v="5"/>
  </r>
  <r>
    <x v="311"/>
    <x v="27"/>
    <x v="0"/>
    <x v="9"/>
    <x v="11"/>
    <x v="0"/>
    <x v="0"/>
    <x v="36"/>
    <x v="12"/>
    <x v="23"/>
    <x v="0"/>
    <x v="50"/>
    <x v="2"/>
    <x v="50"/>
    <x v="50"/>
    <x v="23"/>
    <x v="5"/>
  </r>
  <r>
    <x v="312"/>
    <x v="27"/>
    <x v="0"/>
    <x v="9"/>
    <x v="11"/>
    <x v="0"/>
    <x v="0"/>
    <x v="52"/>
    <x v="12"/>
    <x v="22"/>
    <x v="0"/>
    <x v="80"/>
    <x v="1"/>
    <x v="75"/>
    <x v="75"/>
    <x v="22"/>
    <x v="5"/>
  </r>
  <r>
    <x v="313"/>
    <x v="27"/>
    <x v="0"/>
    <x v="9"/>
    <x v="11"/>
    <x v="0"/>
    <x v="0"/>
    <x v="52"/>
    <x v="12"/>
    <x v="23"/>
    <x v="0"/>
    <x v="80"/>
    <x v="1"/>
    <x v="75"/>
    <x v="75"/>
    <x v="23"/>
    <x v="5"/>
  </r>
  <r>
    <x v="314"/>
    <x v="9"/>
    <x v="0"/>
    <x v="9"/>
    <x v="11"/>
    <x v="1"/>
    <x v="25"/>
    <x v="29"/>
    <x v="1"/>
    <x v="2"/>
    <x v="0"/>
    <x v="81"/>
    <x v="18"/>
    <x v="76"/>
    <x v="76"/>
    <x v="2"/>
    <x v="1"/>
  </r>
  <r>
    <x v="315"/>
    <x v="3"/>
    <x v="0"/>
    <x v="9"/>
    <x v="11"/>
    <x v="0"/>
    <x v="0"/>
    <x v="0"/>
    <x v="29"/>
    <x v="65"/>
    <x v="0"/>
    <x v="82"/>
    <x v="16"/>
    <x v="77"/>
    <x v="77"/>
    <x v="64"/>
    <x v="5"/>
  </r>
  <r>
    <x v="316"/>
    <x v="3"/>
    <x v="0"/>
    <x v="9"/>
    <x v="11"/>
    <x v="0"/>
    <x v="0"/>
    <x v="0"/>
    <x v="29"/>
    <x v="55"/>
    <x v="0"/>
    <x v="82"/>
    <x v="16"/>
    <x v="77"/>
    <x v="77"/>
    <x v="54"/>
    <x v="5"/>
  </r>
  <r>
    <x v="317"/>
    <x v="4"/>
    <x v="0"/>
    <x v="9"/>
    <x v="11"/>
    <x v="1"/>
    <x v="25"/>
    <x v="53"/>
    <x v="1"/>
    <x v="2"/>
    <x v="0"/>
    <x v="83"/>
    <x v="19"/>
    <x v="78"/>
    <x v="78"/>
    <x v="2"/>
    <x v="1"/>
  </r>
  <r>
    <x v="318"/>
    <x v="3"/>
    <x v="0"/>
    <x v="9"/>
    <x v="11"/>
    <x v="0"/>
    <x v="0"/>
    <x v="32"/>
    <x v="29"/>
    <x v="65"/>
    <x v="0"/>
    <x v="84"/>
    <x v="10"/>
    <x v="79"/>
    <x v="79"/>
    <x v="64"/>
    <x v="5"/>
  </r>
  <r>
    <x v="319"/>
    <x v="3"/>
    <x v="0"/>
    <x v="9"/>
    <x v="11"/>
    <x v="0"/>
    <x v="0"/>
    <x v="32"/>
    <x v="29"/>
    <x v="55"/>
    <x v="0"/>
    <x v="84"/>
    <x v="10"/>
    <x v="79"/>
    <x v="79"/>
    <x v="54"/>
    <x v="5"/>
  </r>
  <r>
    <x v="320"/>
    <x v="3"/>
    <x v="0"/>
    <x v="9"/>
    <x v="11"/>
    <x v="0"/>
    <x v="0"/>
    <x v="49"/>
    <x v="29"/>
    <x v="65"/>
    <x v="0"/>
    <x v="63"/>
    <x v="2"/>
    <x v="59"/>
    <x v="59"/>
    <x v="64"/>
    <x v="5"/>
  </r>
  <r>
    <x v="321"/>
    <x v="3"/>
    <x v="0"/>
    <x v="9"/>
    <x v="11"/>
    <x v="0"/>
    <x v="0"/>
    <x v="49"/>
    <x v="29"/>
    <x v="55"/>
    <x v="0"/>
    <x v="63"/>
    <x v="2"/>
    <x v="59"/>
    <x v="59"/>
    <x v="54"/>
    <x v="5"/>
  </r>
  <r>
    <x v="322"/>
    <x v="3"/>
    <x v="0"/>
    <x v="9"/>
    <x v="11"/>
    <x v="0"/>
    <x v="0"/>
    <x v="13"/>
    <x v="29"/>
    <x v="65"/>
    <x v="0"/>
    <x v="85"/>
    <x v="20"/>
    <x v="65"/>
    <x v="65"/>
    <x v="64"/>
    <x v="5"/>
  </r>
  <r>
    <x v="323"/>
    <x v="3"/>
    <x v="0"/>
    <x v="9"/>
    <x v="11"/>
    <x v="0"/>
    <x v="0"/>
    <x v="13"/>
    <x v="29"/>
    <x v="55"/>
    <x v="0"/>
    <x v="85"/>
    <x v="20"/>
    <x v="65"/>
    <x v="65"/>
    <x v="54"/>
    <x v="5"/>
  </r>
  <r>
    <x v="324"/>
    <x v="28"/>
    <x v="0"/>
    <x v="9"/>
    <x v="11"/>
    <x v="0"/>
    <x v="26"/>
    <x v="51"/>
    <x v="16"/>
    <x v="30"/>
    <x v="0"/>
    <x v="74"/>
    <x v="2"/>
    <x v="70"/>
    <x v="70"/>
    <x v="30"/>
    <x v="0"/>
  </r>
  <r>
    <x v="325"/>
    <x v="28"/>
    <x v="0"/>
    <x v="9"/>
    <x v="11"/>
    <x v="0"/>
    <x v="26"/>
    <x v="51"/>
    <x v="16"/>
    <x v="31"/>
    <x v="0"/>
    <x v="74"/>
    <x v="2"/>
    <x v="70"/>
    <x v="70"/>
    <x v="31"/>
    <x v="0"/>
  </r>
  <r>
    <x v="326"/>
    <x v="30"/>
    <x v="0"/>
    <x v="9"/>
    <x v="11"/>
    <x v="0"/>
    <x v="0"/>
    <x v="54"/>
    <x v="19"/>
    <x v="36"/>
    <x v="0"/>
    <x v="86"/>
    <x v="2"/>
    <x v="80"/>
    <x v="80"/>
    <x v="35"/>
    <x v="0"/>
  </r>
  <r>
    <x v="327"/>
    <x v="30"/>
    <x v="0"/>
    <x v="9"/>
    <x v="11"/>
    <x v="0"/>
    <x v="0"/>
    <x v="54"/>
    <x v="19"/>
    <x v="37"/>
    <x v="0"/>
    <x v="86"/>
    <x v="2"/>
    <x v="80"/>
    <x v="80"/>
    <x v="36"/>
    <x v="0"/>
  </r>
  <r>
    <x v="328"/>
    <x v="30"/>
    <x v="0"/>
    <x v="9"/>
    <x v="11"/>
    <x v="0"/>
    <x v="0"/>
    <x v="12"/>
    <x v="19"/>
    <x v="36"/>
    <x v="0"/>
    <x v="75"/>
    <x v="2"/>
    <x v="71"/>
    <x v="71"/>
    <x v="35"/>
    <x v="0"/>
  </r>
  <r>
    <x v="329"/>
    <x v="30"/>
    <x v="0"/>
    <x v="9"/>
    <x v="11"/>
    <x v="0"/>
    <x v="0"/>
    <x v="12"/>
    <x v="19"/>
    <x v="37"/>
    <x v="0"/>
    <x v="75"/>
    <x v="2"/>
    <x v="71"/>
    <x v="71"/>
    <x v="36"/>
    <x v="0"/>
  </r>
  <r>
    <x v="330"/>
    <x v="30"/>
    <x v="0"/>
    <x v="9"/>
    <x v="11"/>
    <x v="0"/>
    <x v="0"/>
    <x v="37"/>
    <x v="19"/>
    <x v="36"/>
    <x v="0"/>
    <x v="87"/>
    <x v="2"/>
    <x v="81"/>
    <x v="81"/>
    <x v="35"/>
    <x v="0"/>
  </r>
  <r>
    <x v="331"/>
    <x v="30"/>
    <x v="0"/>
    <x v="9"/>
    <x v="11"/>
    <x v="0"/>
    <x v="0"/>
    <x v="37"/>
    <x v="19"/>
    <x v="37"/>
    <x v="0"/>
    <x v="87"/>
    <x v="2"/>
    <x v="81"/>
    <x v="81"/>
    <x v="36"/>
    <x v="0"/>
  </r>
  <r>
    <x v="332"/>
    <x v="11"/>
    <x v="0"/>
    <x v="9"/>
    <x v="11"/>
    <x v="0"/>
    <x v="0"/>
    <x v="12"/>
    <x v="25"/>
    <x v="48"/>
    <x v="0"/>
    <x v="51"/>
    <x v="21"/>
    <x v="82"/>
    <x v="82"/>
    <x v="47"/>
    <x v="2"/>
  </r>
  <r>
    <x v="333"/>
    <x v="11"/>
    <x v="0"/>
    <x v="9"/>
    <x v="11"/>
    <x v="0"/>
    <x v="0"/>
    <x v="12"/>
    <x v="25"/>
    <x v="73"/>
    <x v="0"/>
    <x v="51"/>
    <x v="21"/>
    <x v="82"/>
    <x v="82"/>
    <x v="72"/>
    <x v="2"/>
  </r>
  <r>
    <x v="334"/>
    <x v="11"/>
    <x v="0"/>
    <x v="9"/>
    <x v="11"/>
    <x v="0"/>
    <x v="0"/>
    <x v="12"/>
    <x v="25"/>
    <x v="48"/>
    <x v="0"/>
    <x v="51"/>
    <x v="21"/>
    <x v="82"/>
    <x v="82"/>
    <x v="47"/>
    <x v="2"/>
  </r>
  <r>
    <x v="335"/>
    <x v="11"/>
    <x v="0"/>
    <x v="9"/>
    <x v="11"/>
    <x v="0"/>
    <x v="0"/>
    <x v="12"/>
    <x v="25"/>
    <x v="73"/>
    <x v="0"/>
    <x v="51"/>
    <x v="21"/>
    <x v="82"/>
    <x v="82"/>
    <x v="72"/>
    <x v="2"/>
  </r>
  <r>
    <x v="336"/>
    <x v="11"/>
    <x v="0"/>
    <x v="9"/>
    <x v="11"/>
    <x v="0"/>
    <x v="0"/>
    <x v="29"/>
    <x v="27"/>
    <x v="52"/>
    <x v="0"/>
    <x v="86"/>
    <x v="22"/>
    <x v="83"/>
    <x v="83"/>
    <x v="51"/>
    <x v="0"/>
  </r>
  <r>
    <x v="337"/>
    <x v="11"/>
    <x v="0"/>
    <x v="9"/>
    <x v="11"/>
    <x v="0"/>
    <x v="0"/>
    <x v="29"/>
    <x v="27"/>
    <x v="72"/>
    <x v="0"/>
    <x v="86"/>
    <x v="22"/>
    <x v="83"/>
    <x v="83"/>
    <x v="71"/>
    <x v="0"/>
  </r>
  <r>
    <x v="338"/>
    <x v="11"/>
    <x v="0"/>
    <x v="9"/>
    <x v="11"/>
    <x v="0"/>
    <x v="0"/>
    <x v="54"/>
    <x v="23"/>
    <x v="44"/>
    <x v="0"/>
    <x v="88"/>
    <x v="21"/>
    <x v="84"/>
    <x v="84"/>
    <x v="43"/>
    <x v="0"/>
  </r>
  <r>
    <x v="339"/>
    <x v="11"/>
    <x v="0"/>
    <x v="9"/>
    <x v="11"/>
    <x v="0"/>
    <x v="0"/>
    <x v="54"/>
    <x v="23"/>
    <x v="45"/>
    <x v="0"/>
    <x v="88"/>
    <x v="21"/>
    <x v="84"/>
    <x v="84"/>
    <x v="44"/>
    <x v="0"/>
  </r>
  <r>
    <x v="340"/>
    <x v="11"/>
    <x v="0"/>
    <x v="9"/>
    <x v="11"/>
    <x v="0"/>
    <x v="0"/>
    <x v="4"/>
    <x v="23"/>
    <x v="44"/>
    <x v="0"/>
    <x v="89"/>
    <x v="21"/>
    <x v="85"/>
    <x v="85"/>
    <x v="43"/>
    <x v="0"/>
  </r>
  <r>
    <x v="341"/>
    <x v="11"/>
    <x v="0"/>
    <x v="9"/>
    <x v="11"/>
    <x v="0"/>
    <x v="0"/>
    <x v="4"/>
    <x v="23"/>
    <x v="45"/>
    <x v="0"/>
    <x v="89"/>
    <x v="21"/>
    <x v="85"/>
    <x v="85"/>
    <x v="44"/>
    <x v="0"/>
  </r>
  <r>
    <x v="342"/>
    <x v="20"/>
    <x v="0"/>
    <x v="10"/>
    <x v="12"/>
    <x v="0"/>
    <x v="1"/>
    <x v="8"/>
    <x v="35"/>
    <x v="68"/>
    <x v="0"/>
    <x v="42"/>
    <x v="14"/>
    <x v="8"/>
    <x v="8"/>
    <x v="67"/>
    <x v="0"/>
  </r>
  <r>
    <x v="343"/>
    <x v="20"/>
    <x v="0"/>
    <x v="10"/>
    <x v="12"/>
    <x v="0"/>
    <x v="1"/>
    <x v="8"/>
    <x v="35"/>
    <x v="69"/>
    <x v="0"/>
    <x v="42"/>
    <x v="14"/>
    <x v="8"/>
    <x v="8"/>
    <x v="68"/>
    <x v="0"/>
  </r>
  <r>
    <x v="344"/>
    <x v="20"/>
    <x v="0"/>
    <x v="10"/>
    <x v="13"/>
    <x v="0"/>
    <x v="11"/>
    <x v="18"/>
    <x v="13"/>
    <x v="24"/>
    <x v="0"/>
    <x v="23"/>
    <x v="14"/>
    <x v="23"/>
    <x v="23"/>
    <x v="24"/>
    <x v="5"/>
  </r>
  <r>
    <x v="345"/>
    <x v="20"/>
    <x v="0"/>
    <x v="10"/>
    <x v="13"/>
    <x v="0"/>
    <x v="11"/>
    <x v="18"/>
    <x v="13"/>
    <x v="25"/>
    <x v="0"/>
    <x v="23"/>
    <x v="14"/>
    <x v="23"/>
    <x v="23"/>
    <x v="25"/>
    <x v="5"/>
  </r>
  <r>
    <x v="346"/>
    <x v="20"/>
    <x v="0"/>
    <x v="10"/>
    <x v="13"/>
    <x v="0"/>
    <x v="11"/>
    <x v="18"/>
    <x v="19"/>
    <x v="36"/>
    <x v="0"/>
    <x v="23"/>
    <x v="14"/>
    <x v="23"/>
    <x v="23"/>
    <x v="35"/>
    <x v="0"/>
  </r>
  <r>
    <x v="347"/>
    <x v="20"/>
    <x v="0"/>
    <x v="10"/>
    <x v="13"/>
    <x v="0"/>
    <x v="11"/>
    <x v="18"/>
    <x v="19"/>
    <x v="37"/>
    <x v="0"/>
    <x v="23"/>
    <x v="14"/>
    <x v="23"/>
    <x v="23"/>
    <x v="36"/>
    <x v="0"/>
  </r>
  <r>
    <x v="348"/>
    <x v="13"/>
    <x v="0"/>
    <x v="10"/>
    <x v="13"/>
    <x v="0"/>
    <x v="9"/>
    <x v="55"/>
    <x v="16"/>
    <x v="30"/>
    <x v="0"/>
    <x v="13"/>
    <x v="2"/>
    <x v="13"/>
    <x v="13"/>
    <x v="30"/>
    <x v="0"/>
  </r>
  <r>
    <x v="349"/>
    <x v="13"/>
    <x v="0"/>
    <x v="10"/>
    <x v="13"/>
    <x v="0"/>
    <x v="9"/>
    <x v="55"/>
    <x v="16"/>
    <x v="31"/>
    <x v="0"/>
    <x v="13"/>
    <x v="2"/>
    <x v="13"/>
    <x v="13"/>
    <x v="31"/>
    <x v="0"/>
  </r>
  <r>
    <x v="350"/>
    <x v="23"/>
    <x v="0"/>
    <x v="10"/>
    <x v="14"/>
    <x v="0"/>
    <x v="27"/>
    <x v="16"/>
    <x v="17"/>
    <x v="32"/>
    <x v="0"/>
    <x v="2"/>
    <x v="2"/>
    <x v="2"/>
    <x v="2"/>
    <x v="32"/>
    <x v="2"/>
  </r>
  <r>
    <x v="351"/>
    <x v="23"/>
    <x v="0"/>
    <x v="10"/>
    <x v="14"/>
    <x v="0"/>
    <x v="27"/>
    <x v="16"/>
    <x v="17"/>
    <x v="33"/>
    <x v="0"/>
    <x v="2"/>
    <x v="2"/>
    <x v="2"/>
    <x v="2"/>
    <x v="6"/>
    <x v="2"/>
  </r>
  <r>
    <x v="352"/>
    <x v="23"/>
    <x v="0"/>
    <x v="10"/>
    <x v="14"/>
    <x v="0"/>
    <x v="28"/>
    <x v="16"/>
    <x v="33"/>
    <x v="63"/>
    <x v="0"/>
    <x v="2"/>
    <x v="2"/>
    <x v="2"/>
    <x v="2"/>
    <x v="62"/>
    <x v="5"/>
  </r>
  <r>
    <x v="353"/>
    <x v="23"/>
    <x v="0"/>
    <x v="10"/>
    <x v="14"/>
    <x v="0"/>
    <x v="28"/>
    <x v="16"/>
    <x v="33"/>
    <x v="64"/>
    <x v="0"/>
    <x v="2"/>
    <x v="2"/>
    <x v="2"/>
    <x v="2"/>
    <x v="63"/>
    <x v="5"/>
  </r>
  <r>
    <x v="354"/>
    <x v="14"/>
    <x v="0"/>
    <x v="10"/>
    <x v="14"/>
    <x v="0"/>
    <x v="8"/>
    <x v="50"/>
    <x v="33"/>
    <x v="63"/>
    <x v="0"/>
    <x v="42"/>
    <x v="2"/>
    <x v="8"/>
    <x v="8"/>
    <x v="62"/>
    <x v="5"/>
  </r>
  <r>
    <x v="355"/>
    <x v="14"/>
    <x v="0"/>
    <x v="10"/>
    <x v="14"/>
    <x v="0"/>
    <x v="8"/>
    <x v="50"/>
    <x v="33"/>
    <x v="64"/>
    <x v="0"/>
    <x v="42"/>
    <x v="2"/>
    <x v="8"/>
    <x v="8"/>
    <x v="63"/>
    <x v="5"/>
  </r>
  <r>
    <x v="356"/>
    <x v="14"/>
    <x v="0"/>
    <x v="10"/>
    <x v="14"/>
    <x v="0"/>
    <x v="0"/>
    <x v="56"/>
    <x v="32"/>
    <x v="61"/>
    <x v="0"/>
    <x v="12"/>
    <x v="2"/>
    <x v="12"/>
    <x v="12"/>
    <x v="60"/>
    <x v="0"/>
  </r>
  <r>
    <x v="357"/>
    <x v="14"/>
    <x v="0"/>
    <x v="10"/>
    <x v="14"/>
    <x v="0"/>
    <x v="0"/>
    <x v="56"/>
    <x v="32"/>
    <x v="62"/>
    <x v="0"/>
    <x v="12"/>
    <x v="2"/>
    <x v="12"/>
    <x v="12"/>
    <x v="61"/>
    <x v="0"/>
  </r>
  <r>
    <x v="358"/>
    <x v="6"/>
    <x v="0"/>
    <x v="11"/>
    <x v="15"/>
    <x v="0"/>
    <x v="11"/>
    <x v="16"/>
    <x v="3"/>
    <x v="22"/>
    <x v="0"/>
    <x v="38"/>
    <x v="2"/>
    <x v="9"/>
    <x v="9"/>
    <x v="22"/>
    <x v="0"/>
  </r>
  <r>
    <x v="359"/>
    <x v="6"/>
    <x v="0"/>
    <x v="11"/>
    <x v="15"/>
    <x v="0"/>
    <x v="11"/>
    <x v="16"/>
    <x v="3"/>
    <x v="23"/>
    <x v="0"/>
    <x v="38"/>
    <x v="2"/>
    <x v="9"/>
    <x v="9"/>
    <x v="23"/>
    <x v="0"/>
  </r>
  <r>
    <x v="360"/>
    <x v="6"/>
    <x v="0"/>
    <x v="10"/>
    <x v="16"/>
    <x v="0"/>
    <x v="1"/>
    <x v="8"/>
    <x v="16"/>
    <x v="30"/>
    <x v="0"/>
    <x v="90"/>
    <x v="2"/>
    <x v="86"/>
    <x v="86"/>
    <x v="30"/>
    <x v="0"/>
  </r>
  <r>
    <x v="361"/>
    <x v="6"/>
    <x v="0"/>
    <x v="10"/>
    <x v="16"/>
    <x v="0"/>
    <x v="1"/>
    <x v="8"/>
    <x v="16"/>
    <x v="31"/>
    <x v="0"/>
    <x v="90"/>
    <x v="2"/>
    <x v="86"/>
    <x v="86"/>
    <x v="31"/>
    <x v="0"/>
  </r>
  <r>
    <x v="362"/>
    <x v="6"/>
    <x v="0"/>
    <x v="10"/>
    <x v="16"/>
    <x v="0"/>
    <x v="29"/>
    <x v="30"/>
    <x v="16"/>
    <x v="30"/>
    <x v="0"/>
    <x v="91"/>
    <x v="2"/>
    <x v="87"/>
    <x v="87"/>
    <x v="30"/>
    <x v="0"/>
  </r>
  <r>
    <x v="363"/>
    <x v="6"/>
    <x v="0"/>
    <x v="10"/>
    <x v="16"/>
    <x v="0"/>
    <x v="29"/>
    <x v="30"/>
    <x v="16"/>
    <x v="31"/>
    <x v="0"/>
    <x v="91"/>
    <x v="2"/>
    <x v="87"/>
    <x v="87"/>
    <x v="31"/>
    <x v="0"/>
  </r>
  <r>
    <x v="364"/>
    <x v="6"/>
    <x v="0"/>
    <x v="10"/>
    <x v="17"/>
    <x v="0"/>
    <x v="15"/>
    <x v="8"/>
    <x v="16"/>
    <x v="30"/>
    <x v="0"/>
    <x v="92"/>
    <x v="2"/>
    <x v="88"/>
    <x v="88"/>
    <x v="30"/>
    <x v="0"/>
  </r>
  <r>
    <x v="365"/>
    <x v="6"/>
    <x v="0"/>
    <x v="10"/>
    <x v="17"/>
    <x v="0"/>
    <x v="15"/>
    <x v="8"/>
    <x v="16"/>
    <x v="31"/>
    <x v="0"/>
    <x v="92"/>
    <x v="2"/>
    <x v="88"/>
    <x v="88"/>
    <x v="31"/>
    <x v="0"/>
  </r>
  <r>
    <x v="366"/>
    <x v="6"/>
    <x v="0"/>
    <x v="10"/>
    <x v="13"/>
    <x v="0"/>
    <x v="1"/>
    <x v="30"/>
    <x v="16"/>
    <x v="30"/>
    <x v="0"/>
    <x v="26"/>
    <x v="2"/>
    <x v="26"/>
    <x v="26"/>
    <x v="30"/>
    <x v="0"/>
  </r>
  <r>
    <x v="367"/>
    <x v="6"/>
    <x v="0"/>
    <x v="10"/>
    <x v="13"/>
    <x v="0"/>
    <x v="1"/>
    <x v="30"/>
    <x v="16"/>
    <x v="31"/>
    <x v="0"/>
    <x v="26"/>
    <x v="2"/>
    <x v="26"/>
    <x v="26"/>
    <x v="31"/>
    <x v="0"/>
  </r>
  <r>
    <x v="368"/>
    <x v="6"/>
    <x v="0"/>
    <x v="10"/>
    <x v="18"/>
    <x v="0"/>
    <x v="30"/>
    <x v="37"/>
    <x v="31"/>
    <x v="38"/>
    <x v="0"/>
    <x v="92"/>
    <x v="2"/>
    <x v="88"/>
    <x v="88"/>
    <x v="37"/>
    <x v="0"/>
  </r>
  <r>
    <x v="369"/>
    <x v="6"/>
    <x v="0"/>
    <x v="10"/>
    <x v="18"/>
    <x v="0"/>
    <x v="30"/>
    <x v="37"/>
    <x v="31"/>
    <x v="39"/>
    <x v="0"/>
    <x v="92"/>
    <x v="2"/>
    <x v="88"/>
    <x v="88"/>
    <x v="38"/>
    <x v="0"/>
  </r>
  <r>
    <x v="370"/>
    <x v="15"/>
    <x v="0"/>
    <x v="10"/>
    <x v="19"/>
    <x v="0"/>
    <x v="13"/>
    <x v="8"/>
    <x v="8"/>
    <x v="14"/>
    <x v="0"/>
    <x v="32"/>
    <x v="2"/>
    <x v="35"/>
    <x v="35"/>
    <x v="14"/>
    <x v="4"/>
  </r>
  <r>
    <x v="371"/>
    <x v="15"/>
    <x v="0"/>
    <x v="10"/>
    <x v="19"/>
    <x v="0"/>
    <x v="13"/>
    <x v="8"/>
    <x v="8"/>
    <x v="15"/>
    <x v="0"/>
    <x v="32"/>
    <x v="2"/>
    <x v="35"/>
    <x v="35"/>
    <x v="15"/>
    <x v="4"/>
  </r>
  <r>
    <x v="372"/>
    <x v="15"/>
    <x v="0"/>
    <x v="10"/>
    <x v="20"/>
    <x v="0"/>
    <x v="31"/>
    <x v="0"/>
    <x v="34"/>
    <x v="66"/>
    <x v="0"/>
    <x v="37"/>
    <x v="2"/>
    <x v="38"/>
    <x v="38"/>
    <x v="65"/>
    <x v="2"/>
  </r>
  <r>
    <x v="373"/>
    <x v="15"/>
    <x v="0"/>
    <x v="10"/>
    <x v="20"/>
    <x v="0"/>
    <x v="31"/>
    <x v="0"/>
    <x v="34"/>
    <x v="67"/>
    <x v="0"/>
    <x v="37"/>
    <x v="2"/>
    <x v="38"/>
    <x v="38"/>
    <x v="66"/>
    <x v="2"/>
  </r>
  <r>
    <x v="374"/>
    <x v="15"/>
    <x v="0"/>
    <x v="12"/>
    <x v="21"/>
    <x v="0"/>
    <x v="0"/>
    <x v="50"/>
    <x v="21"/>
    <x v="40"/>
    <x v="0"/>
    <x v="93"/>
    <x v="2"/>
    <x v="89"/>
    <x v="89"/>
    <x v="39"/>
    <x v="2"/>
  </r>
  <r>
    <x v="375"/>
    <x v="15"/>
    <x v="0"/>
    <x v="12"/>
    <x v="21"/>
    <x v="0"/>
    <x v="0"/>
    <x v="50"/>
    <x v="21"/>
    <x v="41"/>
    <x v="0"/>
    <x v="93"/>
    <x v="2"/>
    <x v="89"/>
    <x v="89"/>
    <x v="40"/>
    <x v="2"/>
  </r>
  <r>
    <x v="376"/>
    <x v="15"/>
    <x v="0"/>
    <x v="12"/>
    <x v="21"/>
    <x v="1"/>
    <x v="0"/>
    <x v="50"/>
    <x v="41"/>
    <x v="78"/>
    <x v="0"/>
    <x v="94"/>
    <x v="14"/>
    <x v="90"/>
    <x v="90"/>
    <x v="77"/>
    <x v="7"/>
  </r>
  <r>
    <x v="377"/>
    <x v="15"/>
    <x v="0"/>
    <x v="10"/>
    <x v="22"/>
    <x v="0"/>
    <x v="0"/>
    <x v="0"/>
    <x v="29"/>
    <x v="56"/>
    <x v="0"/>
    <x v="26"/>
    <x v="2"/>
    <x v="26"/>
    <x v="26"/>
    <x v="55"/>
    <x v="5"/>
  </r>
  <r>
    <x v="378"/>
    <x v="15"/>
    <x v="0"/>
    <x v="10"/>
    <x v="22"/>
    <x v="0"/>
    <x v="0"/>
    <x v="0"/>
    <x v="29"/>
    <x v="55"/>
    <x v="0"/>
    <x v="26"/>
    <x v="2"/>
    <x v="26"/>
    <x v="26"/>
    <x v="54"/>
    <x v="5"/>
  </r>
  <r>
    <x v="379"/>
    <x v="15"/>
    <x v="0"/>
    <x v="10"/>
    <x v="20"/>
    <x v="0"/>
    <x v="0"/>
    <x v="57"/>
    <x v="29"/>
    <x v="56"/>
    <x v="0"/>
    <x v="2"/>
    <x v="2"/>
    <x v="2"/>
    <x v="2"/>
    <x v="55"/>
    <x v="5"/>
  </r>
  <r>
    <x v="380"/>
    <x v="15"/>
    <x v="0"/>
    <x v="10"/>
    <x v="20"/>
    <x v="0"/>
    <x v="0"/>
    <x v="57"/>
    <x v="29"/>
    <x v="55"/>
    <x v="0"/>
    <x v="2"/>
    <x v="2"/>
    <x v="2"/>
    <x v="2"/>
    <x v="54"/>
    <x v="5"/>
  </r>
  <r>
    <x v="381"/>
    <x v="15"/>
    <x v="0"/>
    <x v="10"/>
    <x v="20"/>
    <x v="0"/>
    <x v="0"/>
    <x v="0"/>
    <x v="29"/>
    <x v="56"/>
    <x v="0"/>
    <x v="95"/>
    <x v="2"/>
    <x v="91"/>
    <x v="91"/>
    <x v="55"/>
    <x v="5"/>
  </r>
  <r>
    <x v="382"/>
    <x v="15"/>
    <x v="0"/>
    <x v="10"/>
    <x v="20"/>
    <x v="0"/>
    <x v="0"/>
    <x v="0"/>
    <x v="29"/>
    <x v="55"/>
    <x v="0"/>
    <x v="95"/>
    <x v="2"/>
    <x v="91"/>
    <x v="91"/>
    <x v="54"/>
    <x v="5"/>
  </r>
  <r>
    <x v="383"/>
    <x v="16"/>
    <x v="0"/>
    <x v="10"/>
    <x v="20"/>
    <x v="1"/>
    <x v="0"/>
    <x v="0"/>
    <x v="5"/>
    <x v="9"/>
    <x v="0"/>
    <x v="96"/>
    <x v="14"/>
    <x v="92"/>
    <x v="92"/>
    <x v="9"/>
    <x v="3"/>
  </r>
  <r>
    <x v="384"/>
    <x v="24"/>
    <x v="0"/>
    <x v="13"/>
    <x v="23"/>
    <x v="0"/>
    <x v="0"/>
    <x v="58"/>
    <x v="15"/>
    <x v="28"/>
    <x v="0"/>
    <x v="97"/>
    <x v="2"/>
    <x v="93"/>
    <x v="93"/>
    <x v="28"/>
    <x v="0"/>
  </r>
  <r>
    <x v="385"/>
    <x v="24"/>
    <x v="0"/>
    <x v="13"/>
    <x v="23"/>
    <x v="0"/>
    <x v="0"/>
    <x v="58"/>
    <x v="15"/>
    <x v="29"/>
    <x v="0"/>
    <x v="97"/>
    <x v="2"/>
    <x v="93"/>
    <x v="93"/>
    <x v="29"/>
    <x v="0"/>
  </r>
  <r>
    <x v="386"/>
    <x v="24"/>
    <x v="0"/>
    <x v="10"/>
    <x v="13"/>
    <x v="0"/>
    <x v="9"/>
    <x v="55"/>
    <x v="2"/>
    <x v="3"/>
    <x v="0"/>
    <x v="49"/>
    <x v="2"/>
    <x v="49"/>
    <x v="49"/>
    <x v="3"/>
    <x v="0"/>
  </r>
  <r>
    <x v="387"/>
    <x v="24"/>
    <x v="0"/>
    <x v="10"/>
    <x v="13"/>
    <x v="0"/>
    <x v="9"/>
    <x v="55"/>
    <x v="2"/>
    <x v="4"/>
    <x v="0"/>
    <x v="49"/>
    <x v="2"/>
    <x v="49"/>
    <x v="49"/>
    <x v="4"/>
    <x v="0"/>
  </r>
  <r>
    <x v="388"/>
    <x v="24"/>
    <x v="0"/>
    <x v="10"/>
    <x v="13"/>
    <x v="0"/>
    <x v="0"/>
    <x v="12"/>
    <x v="14"/>
    <x v="26"/>
    <x v="0"/>
    <x v="12"/>
    <x v="14"/>
    <x v="12"/>
    <x v="12"/>
    <x v="26"/>
    <x v="5"/>
  </r>
  <r>
    <x v="389"/>
    <x v="24"/>
    <x v="0"/>
    <x v="10"/>
    <x v="13"/>
    <x v="0"/>
    <x v="0"/>
    <x v="12"/>
    <x v="14"/>
    <x v="27"/>
    <x v="0"/>
    <x v="12"/>
    <x v="14"/>
    <x v="12"/>
    <x v="12"/>
    <x v="27"/>
    <x v="5"/>
  </r>
  <r>
    <x v="390"/>
    <x v="22"/>
    <x v="0"/>
    <x v="10"/>
    <x v="12"/>
    <x v="0"/>
    <x v="8"/>
    <x v="50"/>
    <x v="33"/>
    <x v="63"/>
    <x v="0"/>
    <x v="42"/>
    <x v="14"/>
    <x v="8"/>
    <x v="8"/>
    <x v="62"/>
    <x v="5"/>
  </r>
  <r>
    <x v="391"/>
    <x v="22"/>
    <x v="0"/>
    <x v="10"/>
    <x v="12"/>
    <x v="0"/>
    <x v="8"/>
    <x v="50"/>
    <x v="33"/>
    <x v="79"/>
    <x v="0"/>
    <x v="42"/>
    <x v="14"/>
    <x v="8"/>
    <x v="8"/>
    <x v="78"/>
    <x v="5"/>
  </r>
  <r>
    <x v="392"/>
    <x v="25"/>
    <x v="0"/>
    <x v="10"/>
    <x v="12"/>
    <x v="0"/>
    <x v="8"/>
    <x v="50"/>
    <x v="33"/>
    <x v="63"/>
    <x v="0"/>
    <x v="42"/>
    <x v="14"/>
    <x v="8"/>
    <x v="8"/>
    <x v="62"/>
    <x v="5"/>
  </r>
  <r>
    <x v="393"/>
    <x v="25"/>
    <x v="0"/>
    <x v="10"/>
    <x v="12"/>
    <x v="0"/>
    <x v="8"/>
    <x v="50"/>
    <x v="33"/>
    <x v="64"/>
    <x v="0"/>
    <x v="42"/>
    <x v="14"/>
    <x v="8"/>
    <x v="8"/>
    <x v="63"/>
    <x v="5"/>
  </r>
  <r>
    <x v="394"/>
    <x v="25"/>
    <x v="0"/>
    <x v="10"/>
    <x v="24"/>
    <x v="0"/>
    <x v="9"/>
    <x v="55"/>
    <x v="3"/>
    <x v="22"/>
    <x v="0"/>
    <x v="35"/>
    <x v="2"/>
    <x v="36"/>
    <x v="36"/>
    <x v="22"/>
    <x v="0"/>
  </r>
  <r>
    <x v="395"/>
    <x v="25"/>
    <x v="0"/>
    <x v="10"/>
    <x v="24"/>
    <x v="0"/>
    <x v="9"/>
    <x v="55"/>
    <x v="3"/>
    <x v="23"/>
    <x v="0"/>
    <x v="35"/>
    <x v="2"/>
    <x v="36"/>
    <x v="36"/>
    <x v="23"/>
    <x v="0"/>
  </r>
  <r>
    <x v="396"/>
    <x v="25"/>
    <x v="0"/>
    <x v="14"/>
    <x v="25"/>
    <x v="0"/>
    <x v="0"/>
    <x v="59"/>
    <x v="22"/>
    <x v="42"/>
    <x v="0"/>
    <x v="98"/>
    <x v="2"/>
    <x v="94"/>
    <x v="94"/>
    <x v="41"/>
    <x v="2"/>
  </r>
  <r>
    <x v="397"/>
    <x v="25"/>
    <x v="0"/>
    <x v="14"/>
    <x v="25"/>
    <x v="0"/>
    <x v="0"/>
    <x v="59"/>
    <x v="22"/>
    <x v="43"/>
    <x v="0"/>
    <x v="98"/>
    <x v="2"/>
    <x v="94"/>
    <x v="94"/>
    <x v="42"/>
    <x v="2"/>
  </r>
  <r>
    <x v="398"/>
    <x v="25"/>
    <x v="0"/>
    <x v="10"/>
    <x v="18"/>
    <x v="0"/>
    <x v="19"/>
    <x v="6"/>
    <x v="25"/>
    <x v="48"/>
    <x v="0"/>
    <x v="2"/>
    <x v="2"/>
    <x v="2"/>
    <x v="2"/>
    <x v="47"/>
    <x v="2"/>
  </r>
  <r>
    <x v="399"/>
    <x v="25"/>
    <x v="0"/>
    <x v="10"/>
    <x v="18"/>
    <x v="0"/>
    <x v="19"/>
    <x v="6"/>
    <x v="25"/>
    <x v="49"/>
    <x v="0"/>
    <x v="2"/>
    <x v="2"/>
    <x v="2"/>
    <x v="2"/>
    <x v="48"/>
    <x v="2"/>
  </r>
  <r>
    <x v="400"/>
    <x v="26"/>
    <x v="0"/>
    <x v="10"/>
    <x v="14"/>
    <x v="0"/>
    <x v="32"/>
    <x v="50"/>
    <x v="35"/>
    <x v="68"/>
    <x v="0"/>
    <x v="92"/>
    <x v="2"/>
    <x v="88"/>
    <x v="88"/>
    <x v="67"/>
    <x v="0"/>
  </r>
  <r>
    <x v="401"/>
    <x v="26"/>
    <x v="0"/>
    <x v="10"/>
    <x v="14"/>
    <x v="0"/>
    <x v="32"/>
    <x v="50"/>
    <x v="35"/>
    <x v="69"/>
    <x v="0"/>
    <x v="92"/>
    <x v="2"/>
    <x v="88"/>
    <x v="88"/>
    <x v="68"/>
    <x v="0"/>
  </r>
  <r>
    <x v="402"/>
    <x v="7"/>
    <x v="0"/>
    <x v="10"/>
    <x v="14"/>
    <x v="0"/>
    <x v="31"/>
    <x v="50"/>
    <x v="30"/>
    <x v="57"/>
    <x v="0"/>
    <x v="31"/>
    <x v="2"/>
    <x v="31"/>
    <x v="31"/>
    <x v="56"/>
    <x v="2"/>
  </r>
  <r>
    <x v="403"/>
    <x v="7"/>
    <x v="0"/>
    <x v="10"/>
    <x v="14"/>
    <x v="0"/>
    <x v="31"/>
    <x v="50"/>
    <x v="30"/>
    <x v="58"/>
    <x v="0"/>
    <x v="31"/>
    <x v="2"/>
    <x v="31"/>
    <x v="31"/>
    <x v="57"/>
    <x v="2"/>
  </r>
  <r>
    <x v="404"/>
    <x v="7"/>
    <x v="0"/>
    <x v="10"/>
    <x v="14"/>
    <x v="0"/>
    <x v="33"/>
    <x v="55"/>
    <x v="18"/>
    <x v="34"/>
    <x v="0"/>
    <x v="92"/>
    <x v="2"/>
    <x v="88"/>
    <x v="88"/>
    <x v="33"/>
    <x v="5"/>
  </r>
  <r>
    <x v="405"/>
    <x v="7"/>
    <x v="0"/>
    <x v="10"/>
    <x v="14"/>
    <x v="0"/>
    <x v="33"/>
    <x v="55"/>
    <x v="18"/>
    <x v="35"/>
    <x v="0"/>
    <x v="92"/>
    <x v="2"/>
    <x v="88"/>
    <x v="88"/>
    <x v="34"/>
    <x v="5"/>
  </r>
  <r>
    <x v="406"/>
    <x v="0"/>
    <x v="0"/>
    <x v="10"/>
    <x v="14"/>
    <x v="0"/>
    <x v="1"/>
    <x v="8"/>
    <x v="37"/>
    <x v="70"/>
    <x v="0"/>
    <x v="47"/>
    <x v="2"/>
    <x v="47"/>
    <x v="47"/>
    <x v="69"/>
    <x v="5"/>
  </r>
  <r>
    <x v="407"/>
    <x v="0"/>
    <x v="0"/>
    <x v="10"/>
    <x v="14"/>
    <x v="0"/>
    <x v="1"/>
    <x v="8"/>
    <x v="37"/>
    <x v="71"/>
    <x v="0"/>
    <x v="47"/>
    <x v="2"/>
    <x v="47"/>
    <x v="47"/>
    <x v="70"/>
    <x v="5"/>
  </r>
  <r>
    <x v="408"/>
    <x v="0"/>
    <x v="0"/>
    <x v="10"/>
    <x v="14"/>
    <x v="0"/>
    <x v="15"/>
    <x v="8"/>
    <x v="37"/>
    <x v="70"/>
    <x v="0"/>
    <x v="49"/>
    <x v="2"/>
    <x v="49"/>
    <x v="49"/>
    <x v="69"/>
    <x v="5"/>
  </r>
  <r>
    <x v="409"/>
    <x v="0"/>
    <x v="0"/>
    <x v="10"/>
    <x v="14"/>
    <x v="0"/>
    <x v="15"/>
    <x v="8"/>
    <x v="37"/>
    <x v="71"/>
    <x v="0"/>
    <x v="49"/>
    <x v="2"/>
    <x v="49"/>
    <x v="49"/>
    <x v="70"/>
    <x v="5"/>
  </r>
  <r>
    <x v="410"/>
    <x v="0"/>
    <x v="0"/>
    <x v="10"/>
    <x v="20"/>
    <x v="0"/>
    <x v="8"/>
    <x v="50"/>
    <x v="37"/>
    <x v="70"/>
    <x v="0"/>
    <x v="99"/>
    <x v="2"/>
    <x v="95"/>
    <x v="95"/>
    <x v="69"/>
    <x v="5"/>
  </r>
  <r>
    <x v="411"/>
    <x v="0"/>
    <x v="0"/>
    <x v="10"/>
    <x v="20"/>
    <x v="0"/>
    <x v="8"/>
    <x v="50"/>
    <x v="37"/>
    <x v="71"/>
    <x v="0"/>
    <x v="99"/>
    <x v="2"/>
    <x v="95"/>
    <x v="95"/>
    <x v="70"/>
    <x v="5"/>
  </r>
  <r>
    <x v="412"/>
    <x v="0"/>
    <x v="0"/>
    <x v="10"/>
    <x v="20"/>
    <x v="0"/>
    <x v="34"/>
    <x v="8"/>
    <x v="21"/>
    <x v="40"/>
    <x v="0"/>
    <x v="38"/>
    <x v="2"/>
    <x v="9"/>
    <x v="9"/>
    <x v="39"/>
    <x v="2"/>
  </r>
  <r>
    <x v="413"/>
    <x v="0"/>
    <x v="0"/>
    <x v="10"/>
    <x v="20"/>
    <x v="0"/>
    <x v="34"/>
    <x v="8"/>
    <x v="21"/>
    <x v="41"/>
    <x v="0"/>
    <x v="38"/>
    <x v="2"/>
    <x v="9"/>
    <x v="9"/>
    <x v="40"/>
    <x v="2"/>
  </r>
  <r>
    <x v="414"/>
    <x v="0"/>
    <x v="0"/>
    <x v="10"/>
    <x v="14"/>
    <x v="0"/>
    <x v="0"/>
    <x v="50"/>
    <x v="28"/>
    <x v="53"/>
    <x v="0"/>
    <x v="92"/>
    <x v="2"/>
    <x v="88"/>
    <x v="88"/>
    <x v="52"/>
    <x v="0"/>
  </r>
  <r>
    <x v="415"/>
    <x v="0"/>
    <x v="0"/>
    <x v="10"/>
    <x v="14"/>
    <x v="0"/>
    <x v="0"/>
    <x v="50"/>
    <x v="28"/>
    <x v="54"/>
    <x v="0"/>
    <x v="92"/>
    <x v="2"/>
    <x v="88"/>
    <x v="88"/>
    <x v="53"/>
    <x v="0"/>
  </r>
  <r>
    <x v="416"/>
    <x v="0"/>
    <x v="0"/>
    <x v="10"/>
    <x v="14"/>
    <x v="0"/>
    <x v="26"/>
    <x v="0"/>
    <x v="28"/>
    <x v="53"/>
    <x v="0"/>
    <x v="100"/>
    <x v="2"/>
    <x v="96"/>
    <x v="96"/>
    <x v="52"/>
    <x v="0"/>
  </r>
  <r>
    <x v="417"/>
    <x v="0"/>
    <x v="0"/>
    <x v="10"/>
    <x v="14"/>
    <x v="0"/>
    <x v="26"/>
    <x v="0"/>
    <x v="28"/>
    <x v="54"/>
    <x v="0"/>
    <x v="100"/>
    <x v="2"/>
    <x v="96"/>
    <x v="96"/>
    <x v="53"/>
    <x v="0"/>
  </r>
  <r>
    <x v="418"/>
    <x v="1"/>
    <x v="0"/>
    <x v="10"/>
    <x v="14"/>
    <x v="1"/>
    <x v="25"/>
    <x v="50"/>
    <x v="1"/>
    <x v="2"/>
    <x v="0"/>
    <x v="101"/>
    <x v="14"/>
    <x v="97"/>
    <x v="97"/>
    <x v="2"/>
    <x v="1"/>
  </r>
  <r>
    <x v="419"/>
    <x v="5"/>
    <x v="0"/>
    <x v="10"/>
    <x v="14"/>
    <x v="0"/>
    <x v="11"/>
    <x v="16"/>
    <x v="42"/>
    <x v="80"/>
    <x v="0"/>
    <x v="35"/>
    <x v="2"/>
    <x v="36"/>
    <x v="36"/>
    <x v="79"/>
    <x v="4"/>
  </r>
  <r>
    <x v="420"/>
    <x v="5"/>
    <x v="0"/>
    <x v="10"/>
    <x v="14"/>
    <x v="0"/>
    <x v="11"/>
    <x v="16"/>
    <x v="42"/>
    <x v="81"/>
    <x v="0"/>
    <x v="35"/>
    <x v="2"/>
    <x v="36"/>
    <x v="36"/>
    <x v="80"/>
    <x v="4"/>
  </r>
  <r>
    <x v="421"/>
    <x v="5"/>
    <x v="0"/>
    <x v="15"/>
    <x v="26"/>
    <x v="0"/>
    <x v="35"/>
    <x v="22"/>
    <x v="43"/>
    <x v="76"/>
    <x v="0"/>
    <x v="39"/>
    <x v="2"/>
    <x v="98"/>
    <x v="98"/>
    <x v="75"/>
    <x v="8"/>
  </r>
  <r>
    <x v="422"/>
    <x v="5"/>
    <x v="0"/>
    <x v="10"/>
    <x v="27"/>
    <x v="0"/>
    <x v="0"/>
    <x v="6"/>
    <x v="32"/>
    <x v="61"/>
    <x v="0"/>
    <x v="2"/>
    <x v="2"/>
    <x v="2"/>
    <x v="2"/>
    <x v="60"/>
    <x v="0"/>
  </r>
  <r>
    <x v="423"/>
    <x v="5"/>
    <x v="0"/>
    <x v="10"/>
    <x v="27"/>
    <x v="0"/>
    <x v="0"/>
    <x v="6"/>
    <x v="32"/>
    <x v="62"/>
    <x v="0"/>
    <x v="2"/>
    <x v="2"/>
    <x v="2"/>
    <x v="2"/>
    <x v="61"/>
    <x v="0"/>
  </r>
  <r>
    <x v="424"/>
    <x v="17"/>
    <x v="0"/>
    <x v="10"/>
    <x v="27"/>
    <x v="1"/>
    <x v="25"/>
    <x v="4"/>
    <x v="44"/>
    <x v="82"/>
    <x v="0"/>
    <x v="102"/>
    <x v="14"/>
    <x v="99"/>
    <x v="99"/>
    <x v="81"/>
    <x v="6"/>
  </r>
  <r>
    <x v="425"/>
    <x v="5"/>
    <x v="0"/>
    <x v="13"/>
    <x v="23"/>
    <x v="0"/>
    <x v="36"/>
    <x v="58"/>
    <x v="32"/>
    <x v="61"/>
    <x v="0"/>
    <x v="4"/>
    <x v="14"/>
    <x v="4"/>
    <x v="4"/>
    <x v="60"/>
    <x v="0"/>
  </r>
  <r>
    <x v="426"/>
    <x v="5"/>
    <x v="0"/>
    <x v="13"/>
    <x v="23"/>
    <x v="0"/>
    <x v="36"/>
    <x v="58"/>
    <x v="32"/>
    <x v="62"/>
    <x v="0"/>
    <x v="4"/>
    <x v="14"/>
    <x v="4"/>
    <x v="4"/>
    <x v="61"/>
    <x v="0"/>
  </r>
  <r>
    <x v="427"/>
    <x v="17"/>
    <x v="0"/>
    <x v="13"/>
    <x v="23"/>
    <x v="1"/>
    <x v="25"/>
    <x v="58"/>
    <x v="40"/>
    <x v="77"/>
    <x v="0"/>
    <x v="103"/>
    <x v="14"/>
    <x v="100"/>
    <x v="100"/>
    <x v="76"/>
    <x v="6"/>
  </r>
  <r>
    <x v="428"/>
    <x v="5"/>
    <x v="0"/>
    <x v="10"/>
    <x v="28"/>
    <x v="0"/>
    <x v="37"/>
    <x v="55"/>
    <x v="32"/>
    <x v="61"/>
    <x v="0"/>
    <x v="4"/>
    <x v="2"/>
    <x v="4"/>
    <x v="4"/>
    <x v="60"/>
    <x v="0"/>
  </r>
  <r>
    <x v="429"/>
    <x v="5"/>
    <x v="0"/>
    <x v="10"/>
    <x v="28"/>
    <x v="0"/>
    <x v="37"/>
    <x v="55"/>
    <x v="32"/>
    <x v="62"/>
    <x v="0"/>
    <x v="4"/>
    <x v="2"/>
    <x v="4"/>
    <x v="4"/>
    <x v="61"/>
    <x v="0"/>
  </r>
  <r>
    <x v="430"/>
    <x v="5"/>
    <x v="0"/>
    <x v="10"/>
    <x v="28"/>
    <x v="1"/>
    <x v="25"/>
    <x v="55"/>
    <x v="41"/>
    <x v="78"/>
    <x v="0"/>
    <x v="103"/>
    <x v="14"/>
    <x v="100"/>
    <x v="100"/>
    <x v="77"/>
    <x v="7"/>
  </r>
  <r>
    <x v="431"/>
    <x v="5"/>
    <x v="0"/>
    <x v="10"/>
    <x v="29"/>
    <x v="0"/>
    <x v="0"/>
    <x v="50"/>
    <x v="24"/>
    <x v="46"/>
    <x v="0"/>
    <x v="46"/>
    <x v="14"/>
    <x v="46"/>
    <x v="46"/>
    <x v="45"/>
    <x v="0"/>
  </r>
  <r>
    <x v="432"/>
    <x v="5"/>
    <x v="0"/>
    <x v="10"/>
    <x v="29"/>
    <x v="0"/>
    <x v="0"/>
    <x v="50"/>
    <x v="24"/>
    <x v="47"/>
    <x v="0"/>
    <x v="46"/>
    <x v="14"/>
    <x v="46"/>
    <x v="46"/>
    <x v="46"/>
    <x v="0"/>
  </r>
  <r>
    <x v="433"/>
    <x v="17"/>
    <x v="0"/>
    <x v="10"/>
    <x v="18"/>
    <x v="0"/>
    <x v="27"/>
    <x v="50"/>
    <x v="33"/>
    <x v="63"/>
    <x v="0"/>
    <x v="42"/>
    <x v="2"/>
    <x v="8"/>
    <x v="8"/>
    <x v="62"/>
    <x v="5"/>
  </r>
  <r>
    <x v="434"/>
    <x v="17"/>
    <x v="0"/>
    <x v="10"/>
    <x v="18"/>
    <x v="0"/>
    <x v="27"/>
    <x v="50"/>
    <x v="33"/>
    <x v="64"/>
    <x v="0"/>
    <x v="42"/>
    <x v="2"/>
    <x v="8"/>
    <x v="8"/>
    <x v="63"/>
    <x v="5"/>
  </r>
  <r>
    <x v="435"/>
    <x v="2"/>
    <x v="0"/>
    <x v="10"/>
    <x v="20"/>
    <x v="0"/>
    <x v="13"/>
    <x v="34"/>
    <x v="2"/>
    <x v="3"/>
    <x v="0"/>
    <x v="39"/>
    <x v="2"/>
    <x v="98"/>
    <x v="98"/>
    <x v="3"/>
    <x v="0"/>
  </r>
  <r>
    <x v="436"/>
    <x v="2"/>
    <x v="0"/>
    <x v="10"/>
    <x v="20"/>
    <x v="0"/>
    <x v="13"/>
    <x v="34"/>
    <x v="2"/>
    <x v="4"/>
    <x v="0"/>
    <x v="39"/>
    <x v="2"/>
    <x v="98"/>
    <x v="98"/>
    <x v="4"/>
    <x v="0"/>
  </r>
  <r>
    <x v="437"/>
    <x v="2"/>
    <x v="0"/>
    <x v="10"/>
    <x v="20"/>
    <x v="0"/>
    <x v="38"/>
    <x v="16"/>
    <x v="2"/>
    <x v="3"/>
    <x v="0"/>
    <x v="104"/>
    <x v="2"/>
    <x v="101"/>
    <x v="101"/>
    <x v="3"/>
    <x v="0"/>
  </r>
  <r>
    <x v="438"/>
    <x v="2"/>
    <x v="0"/>
    <x v="10"/>
    <x v="20"/>
    <x v="0"/>
    <x v="38"/>
    <x v="16"/>
    <x v="2"/>
    <x v="4"/>
    <x v="0"/>
    <x v="104"/>
    <x v="2"/>
    <x v="101"/>
    <x v="101"/>
    <x v="4"/>
    <x v="0"/>
  </r>
  <r>
    <x v="439"/>
    <x v="2"/>
    <x v="0"/>
    <x v="10"/>
    <x v="20"/>
    <x v="0"/>
    <x v="1"/>
    <x v="30"/>
    <x v="2"/>
    <x v="3"/>
    <x v="0"/>
    <x v="26"/>
    <x v="2"/>
    <x v="26"/>
    <x v="26"/>
    <x v="3"/>
    <x v="0"/>
  </r>
  <r>
    <x v="440"/>
    <x v="2"/>
    <x v="0"/>
    <x v="10"/>
    <x v="20"/>
    <x v="0"/>
    <x v="1"/>
    <x v="30"/>
    <x v="2"/>
    <x v="4"/>
    <x v="0"/>
    <x v="26"/>
    <x v="2"/>
    <x v="26"/>
    <x v="26"/>
    <x v="4"/>
    <x v="0"/>
  </r>
  <r>
    <x v="441"/>
    <x v="2"/>
    <x v="0"/>
    <x v="10"/>
    <x v="20"/>
    <x v="0"/>
    <x v="15"/>
    <x v="8"/>
    <x v="2"/>
    <x v="3"/>
    <x v="0"/>
    <x v="92"/>
    <x v="2"/>
    <x v="88"/>
    <x v="88"/>
    <x v="3"/>
    <x v="0"/>
  </r>
  <r>
    <x v="442"/>
    <x v="2"/>
    <x v="0"/>
    <x v="10"/>
    <x v="20"/>
    <x v="0"/>
    <x v="15"/>
    <x v="8"/>
    <x v="2"/>
    <x v="4"/>
    <x v="0"/>
    <x v="92"/>
    <x v="2"/>
    <x v="88"/>
    <x v="88"/>
    <x v="4"/>
    <x v="0"/>
  </r>
  <r>
    <x v="443"/>
    <x v="8"/>
    <x v="0"/>
    <x v="10"/>
    <x v="18"/>
    <x v="0"/>
    <x v="13"/>
    <x v="8"/>
    <x v="45"/>
    <x v="83"/>
    <x v="0"/>
    <x v="11"/>
    <x v="2"/>
    <x v="10"/>
    <x v="10"/>
    <x v="82"/>
    <x v="4"/>
  </r>
  <r>
    <x v="444"/>
    <x v="8"/>
    <x v="0"/>
    <x v="10"/>
    <x v="18"/>
    <x v="0"/>
    <x v="13"/>
    <x v="8"/>
    <x v="45"/>
    <x v="84"/>
    <x v="0"/>
    <x v="11"/>
    <x v="2"/>
    <x v="10"/>
    <x v="10"/>
    <x v="83"/>
    <x v="4"/>
  </r>
  <r>
    <x v="445"/>
    <x v="8"/>
    <x v="0"/>
    <x v="10"/>
    <x v="14"/>
    <x v="0"/>
    <x v="0"/>
    <x v="37"/>
    <x v="0"/>
    <x v="0"/>
    <x v="0"/>
    <x v="49"/>
    <x v="2"/>
    <x v="49"/>
    <x v="49"/>
    <x v="0"/>
    <x v="0"/>
  </r>
  <r>
    <x v="446"/>
    <x v="8"/>
    <x v="0"/>
    <x v="10"/>
    <x v="14"/>
    <x v="0"/>
    <x v="0"/>
    <x v="37"/>
    <x v="0"/>
    <x v="1"/>
    <x v="0"/>
    <x v="49"/>
    <x v="2"/>
    <x v="49"/>
    <x v="49"/>
    <x v="1"/>
    <x v="0"/>
  </r>
  <r>
    <x v="447"/>
    <x v="27"/>
    <x v="0"/>
    <x v="10"/>
    <x v="20"/>
    <x v="0"/>
    <x v="39"/>
    <x v="42"/>
    <x v="30"/>
    <x v="57"/>
    <x v="0"/>
    <x v="13"/>
    <x v="2"/>
    <x v="13"/>
    <x v="13"/>
    <x v="56"/>
    <x v="2"/>
  </r>
  <r>
    <x v="448"/>
    <x v="27"/>
    <x v="0"/>
    <x v="10"/>
    <x v="20"/>
    <x v="0"/>
    <x v="39"/>
    <x v="42"/>
    <x v="30"/>
    <x v="58"/>
    <x v="0"/>
    <x v="13"/>
    <x v="2"/>
    <x v="13"/>
    <x v="13"/>
    <x v="57"/>
    <x v="2"/>
  </r>
  <r>
    <x v="449"/>
    <x v="27"/>
    <x v="0"/>
    <x v="10"/>
    <x v="20"/>
    <x v="0"/>
    <x v="40"/>
    <x v="13"/>
    <x v="30"/>
    <x v="57"/>
    <x v="0"/>
    <x v="92"/>
    <x v="2"/>
    <x v="88"/>
    <x v="88"/>
    <x v="56"/>
    <x v="2"/>
  </r>
  <r>
    <x v="450"/>
    <x v="27"/>
    <x v="0"/>
    <x v="10"/>
    <x v="20"/>
    <x v="0"/>
    <x v="40"/>
    <x v="13"/>
    <x v="30"/>
    <x v="58"/>
    <x v="0"/>
    <x v="92"/>
    <x v="2"/>
    <x v="88"/>
    <x v="88"/>
    <x v="57"/>
    <x v="2"/>
  </r>
  <r>
    <x v="451"/>
    <x v="3"/>
    <x v="0"/>
    <x v="10"/>
    <x v="13"/>
    <x v="0"/>
    <x v="11"/>
    <x v="30"/>
    <x v="3"/>
    <x v="5"/>
    <x v="0"/>
    <x v="39"/>
    <x v="2"/>
    <x v="98"/>
    <x v="98"/>
    <x v="5"/>
    <x v="0"/>
  </r>
  <r>
    <x v="452"/>
    <x v="3"/>
    <x v="0"/>
    <x v="10"/>
    <x v="13"/>
    <x v="0"/>
    <x v="11"/>
    <x v="30"/>
    <x v="3"/>
    <x v="6"/>
    <x v="0"/>
    <x v="39"/>
    <x v="2"/>
    <x v="98"/>
    <x v="98"/>
    <x v="6"/>
    <x v="0"/>
  </r>
  <r>
    <x v="453"/>
    <x v="3"/>
    <x v="0"/>
    <x v="10"/>
    <x v="30"/>
    <x v="0"/>
    <x v="15"/>
    <x v="8"/>
    <x v="13"/>
    <x v="24"/>
    <x v="0"/>
    <x v="105"/>
    <x v="2"/>
    <x v="58"/>
    <x v="58"/>
    <x v="24"/>
    <x v="5"/>
  </r>
  <r>
    <x v="454"/>
    <x v="3"/>
    <x v="0"/>
    <x v="10"/>
    <x v="30"/>
    <x v="0"/>
    <x v="15"/>
    <x v="8"/>
    <x v="13"/>
    <x v="25"/>
    <x v="0"/>
    <x v="105"/>
    <x v="2"/>
    <x v="58"/>
    <x v="58"/>
    <x v="25"/>
    <x v="5"/>
  </r>
  <r>
    <x v="455"/>
    <x v="3"/>
    <x v="0"/>
    <x v="10"/>
    <x v="30"/>
    <x v="0"/>
    <x v="1"/>
    <x v="9"/>
    <x v="35"/>
    <x v="68"/>
    <x v="0"/>
    <x v="42"/>
    <x v="2"/>
    <x v="8"/>
    <x v="8"/>
    <x v="67"/>
    <x v="0"/>
  </r>
  <r>
    <x v="456"/>
    <x v="3"/>
    <x v="0"/>
    <x v="10"/>
    <x v="30"/>
    <x v="0"/>
    <x v="1"/>
    <x v="9"/>
    <x v="35"/>
    <x v="69"/>
    <x v="0"/>
    <x v="42"/>
    <x v="2"/>
    <x v="8"/>
    <x v="8"/>
    <x v="68"/>
    <x v="0"/>
  </r>
  <r>
    <x v="457"/>
    <x v="3"/>
    <x v="0"/>
    <x v="10"/>
    <x v="31"/>
    <x v="0"/>
    <x v="41"/>
    <x v="60"/>
    <x v="46"/>
    <x v="75"/>
    <x v="0"/>
    <x v="106"/>
    <x v="2"/>
    <x v="102"/>
    <x v="102"/>
    <x v="74"/>
    <x v="3"/>
  </r>
  <r>
    <x v="458"/>
    <x v="9"/>
    <x v="0"/>
    <x v="10"/>
    <x v="13"/>
    <x v="0"/>
    <x v="29"/>
    <x v="30"/>
    <x v="32"/>
    <x v="61"/>
    <x v="0"/>
    <x v="92"/>
    <x v="2"/>
    <x v="88"/>
    <x v="88"/>
    <x v="60"/>
    <x v="0"/>
  </r>
  <r>
    <x v="459"/>
    <x v="9"/>
    <x v="0"/>
    <x v="10"/>
    <x v="13"/>
    <x v="0"/>
    <x v="29"/>
    <x v="30"/>
    <x v="32"/>
    <x v="62"/>
    <x v="0"/>
    <x v="92"/>
    <x v="2"/>
    <x v="88"/>
    <x v="88"/>
    <x v="61"/>
    <x v="0"/>
  </r>
  <r>
    <x v="460"/>
    <x v="28"/>
    <x v="0"/>
    <x v="10"/>
    <x v="20"/>
    <x v="0"/>
    <x v="24"/>
    <x v="19"/>
    <x v="16"/>
    <x v="30"/>
    <x v="0"/>
    <x v="103"/>
    <x v="2"/>
    <x v="100"/>
    <x v="100"/>
    <x v="30"/>
    <x v="0"/>
  </r>
  <r>
    <x v="461"/>
    <x v="28"/>
    <x v="0"/>
    <x v="10"/>
    <x v="20"/>
    <x v="0"/>
    <x v="24"/>
    <x v="19"/>
    <x v="16"/>
    <x v="31"/>
    <x v="0"/>
    <x v="103"/>
    <x v="2"/>
    <x v="100"/>
    <x v="100"/>
    <x v="31"/>
    <x v="0"/>
  </r>
  <r>
    <x v="462"/>
    <x v="28"/>
    <x v="0"/>
    <x v="16"/>
    <x v="32"/>
    <x v="0"/>
    <x v="42"/>
    <x v="49"/>
    <x v="17"/>
    <x v="32"/>
    <x v="0"/>
    <x v="2"/>
    <x v="2"/>
    <x v="2"/>
    <x v="2"/>
    <x v="32"/>
    <x v="2"/>
  </r>
  <r>
    <x v="463"/>
    <x v="28"/>
    <x v="0"/>
    <x v="16"/>
    <x v="32"/>
    <x v="0"/>
    <x v="42"/>
    <x v="49"/>
    <x v="17"/>
    <x v="8"/>
    <x v="0"/>
    <x v="2"/>
    <x v="2"/>
    <x v="2"/>
    <x v="2"/>
    <x v="8"/>
    <x v="2"/>
  </r>
  <r>
    <x v="464"/>
    <x v="28"/>
    <x v="0"/>
    <x v="10"/>
    <x v="13"/>
    <x v="0"/>
    <x v="24"/>
    <x v="61"/>
    <x v="13"/>
    <x v="24"/>
    <x v="0"/>
    <x v="107"/>
    <x v="2"/>
    <x v="103"/>
    <x v="103"/>
    <x v="24"/>
    <x v="5"/>
  </r>
  <r>
    <x v="465"/>
    <x v="28"/>
    <x v="0"/>
    <x v="10"/>
    <x v="13"/>
    <x v="0"/>
    <x v="24"/>
    <x v="61"/>
    <x v="13"/>
    <x v="25"/>
    <x v="0"/>
    <x v="107"/>
    <x v="2"/>
    <x v="103"/>
    <x v="103"/>
    <x v="25"/>
    <x v="5"/>
  </r>
  <r>
    <x v="466"/>
    <x v="4"/>
    <x v="0"/>
    <x v="10"/>
    <x v="20"/>
    <x v="0"/>
    <x v="1"/>
    <x v="30"/>
    <x v="4"/>
    <x v="7"/>
    <x v="0"/>
    <x v="108"/>
    <x v="2"/>
    <x v="104"/>
    <x v="104"/>
    <x v="7"/>
    <x v="2"/>
  </r>
  <r>
    <x v="467"/>
    <x v="4"/>
    <x v="0"/>
    <x v="10"/>
    <x v="20"/>
    <x v="0"/>
    <x v="1"/>
    <x v="30"/>
    <x v="4"/>
    <x v="8"/>
    <x v="0"/>
    <x v="108"/>
    <x v="2"/>
    <x v="104"/>
    <x v="104"/>
    <x v="8"/>
    <x v="2"/>
  </r>
  <r>
    <x v="468"/>
    <x v="4"/>
    <x v="0"/>
    <x v="10"/>
    <x v="13"/>
    <x v="0"/>
    <x v="1"/>
    <x v="16"/>
    <x v="4"/>
    <x v="7"/>
    <x v="0"/>
    <x v="39"/>
    <x v="2"/>
    <x v="98"/>
    <x v="98"/>
    <x v="7"/>
    <x v="2"/>
  </r>
  <r>
    <x v="469"/>
    <x v="4"/>
    <x v="0"/>
    <x v="10"/>
    <x v="13"/>
    <x v="0"/>
    <x v="1"/>
    <x v="16"/>
    <x v="4"/>
    <x v="8"/>
    <x v="0"/>
    <x v="39"/>
    <x v="2"/>
    <x v="98"/>
    <x v="98"/>
    <x v="8"/>
    <x v="2"/>
  </r>
  <r>
    <x v="470"/>
    <x v="4"/>
    <x v="0"/>
    <x v="10"/>
    <x v="13"/>
    <x v="0"/>
    <x v="11"/>
    <x v="16"/>
    <x v="4"/>
    <x v="7"/>
    <x v="0"/>
    <x v="92"/>
    <x v="2"/>
    <x v="88"/>
    <x v="88"/>
    <x v="7"/>
    <x v="2"/>
  </r>
  <r>
    <x v="471"/>
    <x v="4"/>
    <x v="0"/>
    <x v="10"/>
    <x v="13"/>
    <x v="0"/>
    <x v="11"/>
    <x v="16"/>
    <x v="4"/>
    <x v="8"/>
    <x v="0"/>
    <x v="92"/>
    <x v="2"/>
    <x v="88"/>
    <x v="88"/>
    <x v="8"/>
    <x v="2"/>
  </r>
  <r>
    <x v="472"/>
    <x v="4"/>
    <x v="0"/>
    <x v="10"/>
    <x v="20"/>
    <x v="0"/>
    <x v="43"/>
    <x v="0"/>
    <x v="33"/>
    <x v="63"/>
    <x v="0"/>
    <x v="42"/>
    <x v="2"/>
    <x v="8"/>
    <x v="8"/>
    <x v="62"/>
    <x v="5"/>
  </r>
  <r>
    <x v="473"/>
    <x v="4"/>
    <x v="0"/>
    <x v="10"/>
    <x v="20"/>
    <x v="0"/>
    <x v="43"/>
    <x v="0"/>
    <x v="33"/>
    <x v="64"/>
    <x v="0"/>
    <x v="42"/>
    <x v="2"/>
    <x v="8"/>
    <x v="8"/>
    <x v="63"/>
    <x v="5"/>
  </r>
  <r>
    <x v="474"/>
    <x v="4"/>
    <x v="0"/>
    <x v="10"/>
    <x v="29"/>
    <x v="0"/>
    <x v="4"/>
    <x v="16"/>
    <x v="4"/>
    <x v="7"/>
    <x v="0"/>
    <x v="105"/>
    <x v="14"/>
    <x v="58"/>
    <x v="58"/>
    <x v="7"/>
    <x v="2"/>
  </r>
  <r>
    <x v="475"/>
    <x v="4"/>
    <x v="0"/>
    <x v="10"/>
    <x v="29"/>
    <x v="0"/>
    <x v="4"/>
    <x v="16"/>
    <x v="4"/>
    <x v="8"/>
    <x v="0"/>
    <x v="105"/>
    <x v="14"/>
    <x v="58"/>
    <x v="58"/>
    <x v="8"/>
    <x v="2"/>
  </r>
  <r>
    <x v="476"/>
    <x v="30"/>
    <x v="0"/>
    <x v="10"/>
    <x v="20"/>
    <x v="0"/>
    <x v="1"/>
    <x v="8"/>
    <x v="25"/>
    <x v="48"/>
    <x v="0"/>
    <x v="109"/>
    <x v="2"/>
    <x v="105"/>
    <x v="105"/>
    <x v="47"/>
    <x v="2"/>
  </r>
  <r>
    <x v="477"/>
    <x v="30"/>
    <x v="0"/>
    <x v="10"/>
    <x v="20"/>
    <x v="0"/>
    <x v="1"/>
    <x v="8"/>
    <x v="25"/>
    <x v="73"/>
    <x v="0"/>
    <x v="109"/>
    <x v="2"/>
    <x v="105"/>
    <x v="105"/>
    <x v="72"/>
    <x v="2"/>
  </r>
  <r>
    <x v="478"/>
    <x v="30"/>
    <x v="0"/>
    <x v="10"/>
    <x v="18"/>
    <x v="0"/>
    <x v="0"/>
    <x v="37"/>
    <x v="19"/>
    <x v="36"/>
    <x v="0"/>
    <x v="110"/>
    <x v="2"/>
    <x v="106"/>
    <x v="106"/>
    <x v="35"/>
    <x v="0"/>
  </r>
  <r>
    <x v="479"/>
    <x v="30"/>
    <x v="0"/>
    <x v="10"/>
    <x v="18"/>
    <x v="0"/>
    <x v="0"/>
    <x v="37"/>
    <x v="19"/>
    <x v="37"/>
    <x v="0"/>
    <x v="110"/>
    <x v="2"/>
    <x v="106"/>
    <x v="106"/>
    <x v="36"/>
    <x v="0"/>
  </r>
  <r>
    <x v="480"/>
    <x v="10"/>
    <x v="0"/>
    <x v="17"/>
    <x v="33"/>
    <x v="0"/>
    <x v="44"/>
    <x v="56"/>
    <x v="37"/>
    <x v="70"/>
    <x v="0"/>
    <x v="39"/>
    <x v="2"/>
    <x v="98"/>
    <x v="98"/>
    <x v="69"/>
    <x v="5"/>
  </r>
  <r>
    <x v="481"/>
    <x v="10"/>
    <x v="0"/>
    <x v="17"/>
    <x v="33"/>
    <x v="0"/>
    <x v="44"/>
    <x v="56"/>
    <x v="37"/>
    <x v="71"/>
    <x v="0"/>
    <x v="39"/>
    <x v="2"/>
    <x v="98"/>
    <x v="98"/>
    <x v="70"/>
    <x v="5"/>
  </r>
  <r>
    <x v="482"/>
    <x v="10"/>
    <x v="0"/>
    <x v="10"/>
    <x v="29"/>
    <x v="0"/>
    <x v="0"/>
    <x v="40"/>
    <x v="20"/>
    <x v="38"/>
    <x v="0"/>
    <x v="92"/>
    <x v="14"/>
    <x v="88"/>
    <x v="88"/>
    <x v="37"/>
    <x v="0"/>
  </r>
  <r>
    <x v="483"/>
    <x v="10"/>
    <x v="0"/>
    <x v="10"/>
    <x v="29"/>
    <x v="0"/>
    <x v="0"/>
    <x v="40"/>
    <x v="20"/>
    <x v="39"/>
    <x v="0"/>
    <x v="92"/>
    <x v="14"/>
    <x v="88"/>
    <x v="88"/>
    <x v="38"/>
    <x v="0"/>
  </r>
  <r>
    <x v="484"/>
    <x v="11"/>
    <x v="0"/>
    <x v="10"/>
    <x v="20"/>
    <x v="0"/>
    <x v="45"/>
    <x v="30"/>
    <x v="21"/>
    <x v="40"/>
    <x v="0"/>
    <x v="49"/>
    <x v="23"/>
    <x v="107"/>
    <x v="107"/>
    <x v="39"/>
    <x v="2"/>
  </r>
  <r>
    <x v="485"/>
    <x v="11"/>
    <x v="0"/>
    <x v="10"/>
    <x v="20"/>
    <x v="0"/>
    <x v="45"/>
    <x v="30"/>
    <x v="21"/>
    <x v="41"/>
    <x v="0"/>
    <x v="49"/>
    <x v="23"/>
    <x v="107"/>
    <x v="107"/>
    <x v="40"/>
    <x v="2"/>
  </r>
  <r>
    <x v="486"/>
    <x v="11"/>
    <x v="0"/>
    <x v="10"/>
    <x v="13"/>
    <x v="0"/>
    <x v="46"/>
    <x v="30"/>
    <x v="21"/>
    <x v="40"/>
    <x v="0"/>
    <x v="26"/>
    <x v="2"/>
    <x v="26"/>
    <x v="26"/>
    <x v="39"/>
    <x v="2"/>
  </r>
  <r>
    <x v="487"/>
    <x v="11"/>
    <x v="0"/>
    <x v="10"/>
    <x v="13"/>
    <x v="0"/>
    <x v="46"/>
    <x v="30"/>
    <x v="21"/>
    <x v="41"/>
    <x v="0"/>
    <x v="26"/>
    <x v="2"/>
    <x v="26"/>
    <x v="26"/>
    <x v="40"/>
    <x v="2"/>
  </r>
  <r>
    <x v="488"/>
    <x v="11"/>
    <x v="0"/>
    <x v="18"/>
    <x v="34"/>
    <x v="0"/>
    <x v="44"/>
    <x v="62"/>
    <x v="27"/>
    <x v="52"/>
    <x v="0"/>
    <x v="111"/>
    <x v="22"/>
    <x v="108"/>
    <x v="108"/>
    <x v="51"/>
    <x v="0"/>
  </r>
  <r>
    <x v="489"/>
    <x v="11"/>
    <x v="0"/>
    <x v="18"/>
    <x v="34"/>
    <x v="0"/>
    <x v="44"/>
    <x v="62"/>
    <x v="27"/>
    <x v="72"/>
    <x v="0"/>
    <x v="111"/>
    <x v="22"/>
    <x v="108"/>
    <x v="108"/>
    <x v="71"/>
    <x v="0"/>
  </r>
  <r>
    <x v="490"/>
    <x v="11"/>
    <x v="0"/>
    <x v="10"/>
    <x v="13"/>
    <x v="0"/>
    <x v="47"/>
    <x v="40"/>
    <x v="27"/>
    <x v="52"/>
    <x v="0"/>
    <x v="112"/>
    <x v="22"/>
    <x v="109"/>
    <x v="109"/>
    <x v="51"/>
    <x v="0"/>
  </r>
  <r>
    <x v="491"/>
    <x v="11"/>
    <x v="0"/>
    <x v="10"/>
    <x v="13"/>
    <x v="0"/>
    <x v="47"/>
    <x v="40"/>
    <x v="27"/>
    <x v="72"/>
    <x v="0"/>
    <x v="112"/>
    <x v="22"/>
    <x v="109"/>
    <x v="109"/>
    <x v="71"/>
    <x v="0"/>
  </r>
  <r>
    <x v="492"/>
    <x v="11"/>
    <x v="0"/>
    <x v="10"/>
    <x v="19"/>
    <x v="0"/>
    <x v="1"/>
    <x v="11"/>
    <x v="47"/>
    <x v="85"/>
    <x v="0"/>
    <x v="113"/>
    <x v="2"/>
    <x v="110"/>
    <x v="110"/>
    <x v="84"/>
    <x v="4"/>
  </r>
  <r>
    <x v="493"/>
    <x v="11"/>
    <x v="0"/>
    <x v="10"/>
    <x v="19"/>
    <x v="0"/>
    <x v="1"/>
    <x v="11"/>
    <x v="47"/>
    <x v="86"/>
    <x v="0"/>
    <x v="113"/>
    <x v="2"/>
    <x v="110"/>
    <x v="110"/>
    <x v="85"/>
    <x v="4"/>
  </r>
  <r>
    <x v="494"/>
    <x v="31"/>
    <x v="0"/>
    <x v="19"/>
    <x v="35"/>
    <x v="0"/>
    <x v="48"/>
    <x v="30"/>
    <x v="47"/>
    <x v="85"/>
    <x v="0"/>
    <x v="23"/>
    <x v="2"/>
    <x v="23"/>
    <x v="23"/>
    <x v="84"/>
    <x v="4"/>
  </r>
  <r>
    <x v="495"/>
    <x v="31"/>
    <x v="0"/>
    <x v="19"/>
    <x v="35"/>
    <x v="0"/>
    <x v="48"/>
    <x v="30"/>
    <x v="47"/>
    <x v="86"/>
    <x v="0"/>
    <x v="23"/>
    <x v="2"/>
    <x v="23"/>
    <x v="23"/>
    <x v="85"/>
    <x v="4"/>
  </r>
  <r>
    <x v="496"/>
    <x v="31"/>
    <x v="0"/>
    <x v="20"/>
    <x v="36"/>
    <x v="0"/>
    <x v="49"/>
    <x v="63"/>
    <x v="4"/>
    <x v="7"/>
    <x v="0"/>
    <x v="114"/>
    <x v="2"/>
    <x v="111"/>
    <x v="111"/>
    <x v="7"/>
    <x v="2"/>
  </r>
  <r>
    <x v="497"/>
    <x v="31"/>
    <x v="0"/>
    <x v="20"/>
    <x v="36"/>
    <x v="0"/>
    <x v="49"/>
    <x v="63"/>
    <x v="4"/>
    <x v="8"/>
    <x v="0"/>
    <x v="114"/>
    <x v="2"/>
    <x v="111"/>
    <x v="111"/>
    <x v="8"/>
    <x v="2"/>
  </r>
  <r>
    <x v="498"/>
    <x v="31"/>
    <x v="0"/>
    <x v="10"/>
    <x v="37"/>
    <x v="0"/>
    <x v="50"/>
    <x v="29"/>
    <x v="4"/>
    <x v="7"/>
    <x v="0"/>
    <x v="12"/>
    <x v="2"/>
    <x v="12"/>
    <x v="12"/>
    <x v="7"/>
    <x v="2"/>
  </r>
  <r>
    <x v="499"/>
    <x v="31"/>
    <x v="0"/>
    <x v="10"/>
    <x v="37"/>
    <x v="0"/>
    <x v="50"/>
    <x v="29"/>
    <x v="4"/>
    <x v="8"/>
    <x v="0"/>
    <x v="12"/>
    <x v="2"/>
    <x v="12"/>
    <x v="12"/>
    <x v="8"/>
    <x v="2"/>
  </r>
  <r>
    <x v="500"/>
    <x v="32"/>
    <x v="0"/>
    <x v="21"/>
    <x v="38"/>
    <x v="0"/>
    <x v="0"/>
    <x v="14"/>
    <x v="26"/>
    <x v="7"/>
    <x v="0"/>
    <x v="49"/>
    <x v="2"/>
    <x v="49"/>
    <x v="49"/>
    <x v="7"/>
    <x v="2"/>
  </r>
  <r>
    <x v="501"/>
    <x v="32"/>
    <x v="0"/>
    <x v="21"/>
    <x v="38"/>
    <x v="0"/>
    <x v="0"/>
    <x v="14"/>
    <x v="26"/>
    <x v="50"/>
    <x v="0"/>
    <x v="49"/>
    <x v="2"/>
    <x v="49"/>
    <x v="49"/>
    <x v="49"/>
    <x v="2"/>
  </r>
  <r>
    <x v="502"/>
    <x v="33"/>
    <x v="0"/>
    <x v="21"/>
    <x v="38"/>
    <x v="0"/>
    <x v="4"/>
    <x v="64"/>
    <x v="21"/>
    <x v="40"/>
    <x v="0"/>
    <x v="115"/>
    <x v="2"/>
    <x v="112"/>
    <x v="112"/>
    <x v="39"/>
    <x v="2"/>
  </r>
  <r>
    <x v="503"/>
    <x v="33"/>
    <x v="0"/>
    <x v="21"/>
    <x v="38"/>
    <x v="0"/>
    <x v="4"/>
    <x v="64"/>
    <x v="21"/>
    <x v="41"/>
    <x v="0"/>
    <x v="115"/>
    <x v="2"/>
    <x v="112"/>
    <x v="112"/>
    <x v="40"/>
    <x v="2"/>
  </r>
  <r>
    <x v="504"/>
    <x v="20"/>
    <x v="0"/>
    <x v="21"/>
    <x v="38"/>
    <x v="0"/>
    <x v="1"/>
    <x v="30"/>
    <x v="16"/>
    <x v="30"/>
    <x v="0"/>
    <x v="42"/>
    <x v="2"/>
    <x v="8"/>
    <x v="8"/>
    <x v="30"/>
    <x v="0"/>
  </r>
  <r>
    <x v="505"/>
    <x v="20"/>
    <x v="0"/>
    <x v="21"/>
    <x v="38"/>
    <x v="0"/>
    <x v="1"/>
    <x v="30"/>
    <x v="16"/>
    <x v="31"/>
    <x v="0"/>
    <x v="42"/>
    <x v="2"/>
    <x v="8"/>
    <x v="8"/>
    <x v="31"/>
    <x v="0"/>
  </r>
  <r>
    <x v="506"/>
    <x v="21"/>
    <x v="0"/>
    <x v="21"/>
    <x v="38"/>
    <x v="0"/>
    <x v="1"/>
    <x v="8"/>
    <x v="34"/>
    <x v="66"/>
    <x v="0"/>
    <x v="11"/>
    <x v="2"/>
    <x v="10"/>
    <x v="10"/>
    <x v="65"/>
    <x v="2"/>
  </r>
  <r>
    <x v="507"/>
    <x v="21"/>
    <x v="0"/>
    <x v="21"/>
    <x v="38"/>
    <x v="0"/>
    <x v="1"/>
    <x v="8"/>
    <x v="34"/>
    <x v="67"/>
    <x v="0"/>
    <x v="11"/>
    <x v="2"/>
    <x v="10"/>
    <x v="10"/>
    <x v="66"/>
    <x v="2"/>
  </r>
  <r>
    <x v="508"/>
    <x v="13"/>
    <x v="0"/>
    <x v="21"/>
    <x v="38"/>
    <x v="0"/>
    <x v="16"/>
    <x v="8"/>
    <x v="21"/>
    <x v="40"/>
    <x v="0"/>
    <x v="44"/>
    <x v="2"/>
    <x v="44"/>
    <x v="44"/>
    <x v="39"/>
    <x v="2"/>
  </r>
  <r>
    <x v="509"/>
    <x v="13"/>
    <x v="0"/>
    <x v="21"/>
    <x v="38"/>
    <x v="0"/>
    <x v="16"/>
    <x v="8"/>
    <x v="21"/>
    <x v="41"/>
    <x v="0"/>
    <x v="44"/>
    <x v="2"/>
    <x v="44"/>
    <x v="44"/>
    <x v="40"/>
    <x v="2"/>
  </r>
  <r>
    <x v="510"/>
    <x v="14"/>
    <x v="0"/>
    <x v="21"/>
    <x v="38"/>
    <x v="0"/>
    <x v="1"/>
    <x v="8"/>
    <x v="15"/>
    <x v="28"/>
    <x v="0"/>
    <x v="28"/>
    <x v="2"/>
    <x v="28"/>
    <x v="28"/>
    <x v="28"/>
    <x v="0"/>
  </r>
  <r>
    <x v="511"/>
    <x v="14"/>
    <x v="0"/>
    <x v="21"/>
    <x v="38"/>
    <x v="0"/>
    <x v="1"/>
    <x v="8"/>
    <x v="15"/>
    <x v="29"/>
    <x v="0"/>
    <x v="28"/>
    <x v="2"/>
    <x v="28"/>
    <x v="28"/>
    <x v="29"/>
    <x v="0"/>
  </r>
  <r>
    <x v="512"/>
    <x v="15"/>
    <x v="0"/>
    <x v="21"/>
    <x v="38"/>
    <x v="0"/>
    <x v="0"/>
    <x v="0"/>
    <x v="21"/>
    <x v="40"/>
    <x v="0"/>
    <x v="49"/>
    <x v="2"/>
    <x v="49"/>
    <x v="49"/>
    <x v="39"/>
    <x v="2"/>
  </r>
  <r>
    <x v="513"/>
    <x v="15"/>
    <x v="0"/>
    <x v="21"/>
    <x v="38"/>
    <x v="0"/>
    <x v="0"/>
    <x v="0"/>
    <x v="21"/>
    <x v="41"/>
    <x v="0"/>
    <x v="49"/>
    <x v="2"/>
    <x v="49"/>
    <x v="49"/>
    <x v="40"/>
    <x v="2"/>
  </r>
  <r>
    <x v="514"/>
    <x v="16"/>
    <x v="0"/>
    <x v="21"/>
    <x v="38"/>
    <x v="0"/>
    <x v="1"/>
    <x v="8"/>
    <x v="23"/>
    <x v="44"/>
    <x v="0"/>
    <x v="37"/>
    <x v="2"/>
    <x v="38"/>
    <x v="38"/>
    <x v="43"/>
    <x v="0"/>
  </r>
  <r>
    <x v="515"/>
    <x v="16"/>
    <x v="0"/>
    <x v="21"/>
    <x v="38"/>
    <x v="0"/>
    <x v="1"/>
    <x v="8"/>
    <x v="23"/>
    <x v="45"/>
    <x v="0"/>
    <x v="37"/>
    <x v="2"/>
    <x v="38"/>
    <x v="38"/>
    <x v="44"/>
    <x v="0"/>
  </r>
  <r>
    <x v="516"/>
    <x v="25"/>
    <x v="0"/>
    <x v="21"/>
    <x v="38"/>
    <x v="0"/>
    <x v="1"/>
    <x v="16"/>
    <x v="26"/>
    <x v="7"/>
    <x v="0"/>
    <x v="44"/>
    <x v="2"/>
    <x v="44"/>
    <x v="44"/>
    <x v="7"/>
    <x v="2"/>
  </r>
  <r>
    <x v="517"/>
    <x v="25"/>
    <x v="0"/>
    <x v="21"/>
    <x v="38"/>
    <x v="0"/>
    <x v="1"/>
    <x v="16"/>
    <x v="26"/>
    <x v="50"/>
    <x v="0"/>
    <x v="44"/>
    <x v="2"/>
    <x v="44"/>
    <x v="44"/>
    <x v="49"/>
    <x v="2"/>
  </r>
  <r>
    <x v="518"/>
    <x v="7"/>
    <x v="0"/>
    <x v="21"/>
    <x v="38"/>
    <x v="0"/>
    <x v="18"/>
    <x v="8"/>
    <x v="27"/>
    <x v="51"/>
    <x v="0"/>
    <x v="37"/>
    <x v="2"/>
    <x v="38"/>
    <x v="38"/>
    <x v="50"/>
    <x v="0"/>
  </r>
  <r>
    <x v="519"/>
    <x v="7"/>
    <x v="0"/>
    <x v="21"/>
    <x v="38"/>
    <x v="0"/>
    <x v="18"/>
    <x v="8"/>
    <x v="27"/>
    <x v="52"/>
    <x v="0"/>
    <x v="37"/>
    <x v="2"/>
    <x v="38"/>
    <x v="38"/>
    <x v="51"/>
    <x v="0"/>
  </r>
  <r>
    <x v="520"/>
    <x v="0"/>
    <x v="0"/>
    <x v="21"/>
    <x v="38"/>
    <x v="0"/>
    <x v="3"/>
    <x v="8"/>
    <x v="37"/>
    <x v="70"/>
    <x v="0"/>
    <x v="12"/>
    <x v="2"/>
    <x v="12"/>
    <x v="12"/>
    <x v="69"/>
    <x v="5"/>
  </r>
  <r>
    <x v="521"/>
    <x v="0"/>
    <x v="0"/>
    <x v="21"/>
    <x v="38"/>
    <x v="0"/>
    <x v="3"/>
    <x v="8"/>
    <x v="37"/>
    <x v="71"/>
    <x v="0"/>
    <x v="12"/>
    <x v="2"/>
    <x v="12"/>
    <x v="12"/>
    <x v="70"/>
    <x v="5"/>
  </r>
  <r>
    <x v="522"/>
    <x v="0"/>
    <x v="0"/>
    <x v="21"/>
    <x v="38"/>
    <x v="0"/>
    <x v="51"/>
    <x v="50"/>
    <x v="23"/>
    <x v="44"/>
    <x v="0"/>
    <x v="39"/>
    <x v="2"/>
    <x v="98"/>
    <x v="98"/>
    <x v="43"/>
    <x v="0"/>
  </r>
  <r>
    <x v="523"/>
    <x v="0"/>
    <x v="0"/>
    <x v="21"/>
    <x v="38"/>
    <x v="0"/>
    <x v="51"/>
    <x v="50"/>
    <x v="23"/>
    <x v="45"/>
    <x v="0"/>
    <x v="39"/>
    <x v="2"/>
    <x v="98"/>
    <x v="98"/>
    <x v="44"/>
    <x v="0"/>
  </r>
  <r>
    <x v="524"/>
    <x v="5"/>
    <x v="0"/>
    <x v="21"/>
    <x v="38"/>
    <x v="0"/>
    <x v="1"/>
    <x v="8"/>
    <x v="33"/>
    <x v="63"/>
    <x v="0"/>
    <x v="28"/>
    <x v="2"/>
    <x v="28"/>
    <x v="28"/>
    <x v="62"/>
    <x v="5"/>
  </r>
  <r>
    <x v="525"/>
    <x v="5"/>
    <x v="0"/>
    <x v="21"/>
    <x v="38"/>
    <x v="0"/>
    <x v="1"/>
    <x v="8"/>
    <x v="33"/>
    <x v="64"/>
    <x v="0"/>
    <x v="28"/>
    <x v="2"/>
    <x v="28"/>
    <x v="28"/>
    <x v="63"/>
    <x v="5"/>
  </r>
  <r>
    <x v="526"/>
    <x v="17"/>
    <x v="0"/>
    <x v="21"/>
    <x v="38"/>
    <x v="0"/>
    <x v="1"/>
    <x v="65"/>
    <x v="30"/>
    <x v="57"/>
    <x v="0"/>
    <x v="32"/>
    <x v="2"/>
    <x v="35"/>
    <x v="35"/>
    <x v="56"/>
    <x v="2"/>
  </r>
  <r>
    <x v="527"/>
    <x v="17"/>
    <x v="0"/>
    <x v="21"/>
    <x v="38"/>
    <x v="0"/>
    <x v="1"/>
    <x v="65"/>
    <x v="30"/>
    <x v="58"/>
    <x v="0"/>
    <x v="32"/>
    <x v="2"/>
    <x v="35"/>
    <x v="35"/>
    <x v="57"/>
    <x v="2"/>
  </r>
  <r>
    <x v="528"/>
    <x v="17"/>
    <x v="0"/>
    <x v="21"/>
    <x v="38"/>
    <x v="0"/>
    <x v="1"/>
    <x v="8"/>
    <x v="32"/>
    <x v="61"/>
    <x v="0"/>
    <x v="37"/>
    <x v="2"/>
    <x v="38"/>
    <x v="38"/>
    <x v="60"/>
    <x v="0"/>
  </r>
  <r>
    <x v="529"/>
    <x v="17"/>
    <x v="0"/>
    <x v="21"/>
    <x v="38"/>
    <x v="0"/>
    <x v="1"/>
    <x v="8"/>
    <x v="32"/>
    <x v="62"/>
    <x v="0"/>
    <x v="37"/>
    <x v="2"/>
    <x v="38"/>
    <x v="38"/>
    <x v="61"/>
    <x v="0"/>
  </r>
  <r>
    <x v="530"/>
    <x v="3"/>
    <x v="0"/>
    <x v="21"/>
    <x v="38"/>
    <x v="0"/>
    <x v="1"/>
    <x v="66"/>
    <x v="13"/>
    <x v="24"/>
    <x v="0"/>
    <x v="11"/>
    <x v="2"/>
    <x v="10"/>
    <x v="10"/>
    <x v="24"/>
    <x v="5"/>
  </r>
  <r>
    <x v="531"/>
    <x v="3"/>
    <x v="0"/>
    <x v="21"/>
    <x v="38"/>
    <x v="0"/>
    <x v="1"/>
    <x v="66"/>
    <x v="13"/>
    <x v="25"/>
    <x v="0"/>
    <x v="11"/>
    <x v="2"/>
    <x v="10"/>
    <x v="10"/>
    <x v="25"/>
    <x v="5"/>
  </r>
  <r>
    <x v="532"/>
    <x v="9"/>
    <x v="0"/>
    <x v="21"/>
    <x v="38"/>
    <x v="0"/>
    <x v="52"/>
    <x v="34"/>
    <x v="11"/>
    <x v="20"/>
    <x v="0"/>
    <x v="116"/>
    <x v="2"/>
    <x v="113"/>
    <x v="113"/>
    <x v="20"/>
    <x v="4"/>
  </r>
  <r>
    <x v="533"/>
    <x v="6"/>
    <x v="0"/>
    <x v="22"/>
    <x v="39"/>
    <x v="0"/>
    <x v="53"/>
    <x v="24"/>
    <x v="48"/>
    <x v="87"/>
    <x v="0"/>
    <x v="47"/>
    <x v="2"/>
    <x v="47"/>
    <x v="47"/>
    <x v="86"/>
    <x v="0"/>
  </r>
  <r>
    <x v="534"/>
    <x v="25"/>
    <x v="0"/>
    <x v="22"/>
    <x v="39"/>
    <x v="0"/>
    <x v="53"/>
    <x v="24"/>
    <x v="49"/>
    <x v="88"/>
    <x v="0"/>
    <x v="47"/>
    <x v="2"/>
    <x v="47"/>
    <x v="47"/>
    <x v="87"/>
    <x v="0"/>
  </r>
  <r>
    <x v="535"/>
    <x v="5"/>
    <x v="0"/>
    <x v="22"/>
    <x v="39"/>
    <x v="0"/>
    <x v="53"/>
    <x v="24"/>
    <x v="50"/>
    <x v="89"/>
    <x v="0"/>
    <x v="47"/>
    <x v="2"/>
    <x v="47"/>
    <x v="47"/>
    <x v="88"/>
    <x v="0"/>
  </r>
  <r>
    <x v="536"/>
    <x v="27"/>
    <x v="0"/>
    <x v="22"/>
    <x v="39"/>
    <x v="0"/>
    <x v="53"/>
    <x v="24"/>
    <x v="48"/>
    <x v="87"/>
    <x v="0"/>
    <x v="47"/>
    <x v="2"/>
    <x v="47"/>
    <x v="47"/>
    <x v="86"/>
    <x v="0"/>
  </r>
  <r>
    <x v="537"/>
    <x v="28"/>
    <x v="0"/>
    <x v="22"/>
    <x v="39"/>
    <x v="0"/>
    <x v="53"/>
    <x v="24"/>
    <x v="49"/>
    <x v="88"/>
    <x v="0"/>
    <x v="47"/>
    <x v="24"/>
    <x v="98"/>
    <x v="98"/>
    <x v="87"/>
    <x v="0"/>
  </r>
  <r>
    <x v="538"/>
    <x v="28"/>
    <x v="0"/>
    <x v="22"/>
    <x v="39"/>
    <x v="0"/>
    <x v="53"/>
    <x v="24"/>
    <x v="50"/>
    <x v="90"/>
    <x v="0"/>
    <x v="47"/>
    <x v="8"/>
    <x v="49"/>
    <x v="49"/>
    <x v="89"/>
    <x v="0"/>
  </r>
  <r>
    <x v="539"/>
    <x v="34"/>
    <x v="0"/>
    <x v="22"/>
    <x v="39"/>
    <x v="0"/>
    <x v="53"/>
    <x v="24"/>
    <x v="49"/>
    <x v="88"/>
    <x v="0"/>
    <x v="47"/>
    <x v="2"/>
    <x v="47"/>
    <x v="47"/>
    <x v="87"/>
    <x v="0"/>
  </r>
  <r>
    <x v="540"/>
    <x v="1"/>
    <x v="0"/>
    <x v="23"/>
    <x v="40"/>
    <x v="0"/>
    <x v="9"/>
    <x v="30"/>
    <x v="38"/>
    <x v="75"/>
    <x v="0"/>
    <x v="106"/>
    <x v="2"/>
    <x v="102"/>
    <x v="102"/>
    <x v="74"/>
    <x v="3"/>
  </r>
  <r>
    <x v="541"/>
    <x v="11"/>
    <x v="0"/>
    <x v="23"/>
    <x v="40"/>
    <x v="0"/>
    <x v="9"/>
    <x v="29"/>
    <x v="51"/>
    <x v="91"/>
    <x v="1"/>
    <x v="117"/>
    <x v="25"/>
    <x v="114"/>
    <x v="114"/>
    <x v="6"/>
    <x v="9"/>
  </r>
  <r>
    <x v="542"/>
    <x v="11"/>
    <x v="0"/>
    <x v="23"/>
    <x v="40"/>
    <x v="0"/>
    <x v="9"/>
    <x v="29"/>
    <x v="52"/>
    <x v="91"/>
    <x v="1"/>
    <x v="117"/>
    <x v="25"/>
    <x v="114"/>
    <x v="114"/>
    <x v="6"/>
    <x v="9"/>
  </r>
  <r>
    <x v="543"/>
    <x v="24"/>
    <x v="0"/>
    <x v="24"/>
    <x v="41"/>
    <x v="0"/>
    <x v="0"/>
    <x v="50"/>
    <x v="14"/>
    <x v="26"/>
    <x v="0"/>
    <x v="118"/>
    <x v="2"/>
    <x v="115"/>
    <x v="115"/>
    <x v="26"/>
    <x v="5"/>
  </r>
  <r>
    <x v="544"/>
    <x v="24"/>
    <x v="0"/>
    <x v="24"/>
    <x v="41"/>
    <x v="0"/>
    <x v="0"/>
    <x v="50"/>
    <x v="14"/>
    <x v="27"/>
    <x v="0"/>
    <x v="118"/>
    <x v="2"/>
    <x v="115"/>
    <x v="115"/>
    <x v="27"/>
    <x v="5"/>
  </r>
  <r>
    <x v="545"/>
    <x v="25"/>
    <x v="0"/>
    <x v="24"/>
    <x v="41"/>
    <x v="0"/>
    <x v="9"/>
    <x v="50"/>
    <x v="22"/>
    <x v="42"/>
    <x v="0"/>
    <x v="119"/>
    <x v="2"/>
    <x v="116"/>
    <x v="116"/>
    <x v="41"/>
    <x v="2"/>
  </r>
  <r>
    <x v="546"/>
    <x v="25"/>
    <x v="0"/>
    <x v="24"/>
    <x v="41"/>
    <x v="0"/>
    <x v="9"/>
    <x v="50"/>
    <x v="22"/>
    <x v="43"/>
    <x v="0"/>
    <x v="119"/>
    <x v="2"/>
    <x v="116"/>
    <x v="116"/>
    <x v="42"/>
    <x v="2"/>
  </r>
  <r>
    <x v="547"/>
    <x v="1"/>
    <x v="0"/>
    <x v="24"/>
    <x v="41"/>
    <x v="0"/>
    <x v="0"/>
    <x v="50"/>
    <x v="14"/>
    <x v="26"/>
    <x v="0"/>
    <x v="120"/>
    <x v="2"/>
    <x v="117"/>
    <x v="117"/>
    <x v="26"/>
    <x v="5"/>
  </r>
  <r>
    <x v="548"/>
    <x v="1"/>
    <x v="0"/>
    <x v="24"/>
    <x v="41"/>
    <x v="0"/>
    <x v="0"/>
    <x v="50"/>
    <x v="14"/>
    <x v="27"/>
    <x v="0"/>
    <x v="120"/>
    <x v="2"/>
    <x v="117"/>
    <x v="117"/>
    <x v="27"/>
    <x v="5"/>
  </r>
  <r>
    <x v="549"/>
    <x v="9"/>
    <x v="0"/>
    <x v="24"/>
    <x v="41"/>
    <x v="0"/>
    <x v="9"/>
    <x v="0"/>
    <x v="14"/>
    <x v="26"/>
    <x v="0"/>
    <x v="121"/>
    <x v="2"/>
    <x v="118"/>
    <x v="118"/>
    <x v="26"/>
    <x v="5"/>
  </r>
  <r>
    <x v="550"/>
    <x v="9"/>
    <x v="0"/>
    <x v="24"/>
    <x v="41"/>
    <x v="0"/>
    <x v="9"/>
    <x v="0"/>
    <x v="14"/>
    <x v="27"/>
    <x v="0"/>
    <x v="121"/>
    <x v="2"/>
    <x v="118"/>
    <x v="118"/>
    <x v="27"/>
    <x v="5"/>
  </r>
  <r>
    <x v="551"/>
    <x v="14"/>
    <x v="0"/>
    <x v="25"/>
    <x v="42"/>
    <x v="0"/>
    <x v="10"/>
    <x v="59"/>
    <x v="23"/>
    <x v="44"/>
    <x v="0"/>
    <x v="122"/>
    <x v="2"/>
    <x v="119"/>
    <x v="119"/>
    <x v="43"/>
    <x v="0"/>
  </r>
  <r>
    <x v="552"/>
    <x v="14"/>
    <x v="0"/>
    <x v="25"/>
    <x v="42"/>
    <x v="0"/>
    <x v="10"/>
    <x v="59"/>
    <x v="23"/>
    <x v="45"/>
    <x v="0"/>
    <x v="122"/>
    <x v="2"/>
    <x v="119"/>
    <x v="119"/>
    <x v="44"/>
    <x v="0"/>
  </r>
  <r>
    <x v="553"/>
    <x v="15"/>
    <x v="0"/>
    <x v="25"/>
    <x v="42"/>
    <x v="0"/>
    <x v="10"/>
    <x v="59"/>
    <x v="18"/>
    <x v="34"/>
    <x v="0"/>
    <x v="122"/>
    <x v="2"/>
    <x v="119"/>
    <x v="119"/>
    <x v="33"/>
    <x v="5"/>
  </r>
  <r>
    <x v="554"/>
    <x v="15"/>
    <x v="0"/>
    <x v="25"/>
    <x v="42"/>
    <x v="0"/>
    <x v="10"/>
    <x v="59"/>
    <x v="18"/>
    <x v="35"/>
    <x v="0"/>
    <x v="122"/>
    <x v="2"/>
    <x v="119"/>
    <x v="119"/>
    <x v="34"/>
    <x v="5"/>
  </r>
  <r>
    <x v="555"/>
    <x v="24"/>
    <x v="0"/>
    <x v="25"/>
    <x v="42"/>
    <x v="0"/>
    <x v="54"/>
    <x v="59"/>
    <x v="35"/>
    <x v="68"/>
    <x v="0"/>
    <x v="33"/>
    <x v="2"/>
    <x v="33"/>
    <x v="33"/>
    <x v="67"/>
    <x v="0"/>
  </r>
  <r>
    <x v="556"/>
    <x v="24"/>
    <x v="0"/>
    <x v="25"/>
    <x v="42"/>
    <x v="0"/>
    <x v="54"/>
    <x v="59"/>
    <x v="35"/>
    <x v="69"/>
    <x v="0"/>
    <x v="33"/>
    <x v="2"/>
    <x v="33"/>
    <x v="33"/>
    <x v="68"/>
    <x v="0"/>
  </r>
  <r>
    <x v="557"/>
    <x v="0"/>
    <x v="0"/>
    <x v="25"/>
    <x v="42"/>
    <x v="0"/>
    <x v="10"/>
    <x v="67"/>
    <x v="38"/>
    <x v="75"/>
    <x v="0"/>
    <x v="123"/>
    <x v="2"/>
    <x v="120"/>
    <x v="120"/>
    <x v="74"/>
    <x v="3"/>
  </r>
  <r>
    <x v="558"/>
    <x v="0"/>
    <x v="0"/>
    <x v="25"/>
    <x v="42"/>
    <x v="0"/>
    <x v="10"/>
    <x v="67"/>
    <x v="53"/>
    <x v="92"/>
    <x v="0"/>
    <x v="123"/>
    <x v="2"/>
    <x v="120"/>
    <x v="120"/>
    <x v="90"/>
    <x v="10"/>
  </r>
  <r>
    <x v="559"/>
    <x v="5"/>
    <x v="0"/>
    <x v="25"/>
    <x v="42"/>
    <x v="0"/>
    <x v="0"/>
    <x v="59"/>
    <x v="27"/>
    <x v="51"/>
    <x v="0"/>
    <x v="122"/>
    <x v="2"/>
    <x v="119"/>
    <x v="119"/>
    <x v="50"/>
    <x v="0"/>
  </r>
  <r>
    <x v="560"/>
    <x v="5"/>
    <x v="0"/>
    <x v="25"/>
    <x v="42"/>
    <x v="0"/>
    <x v="0"/>
    <x v="59"/>
    <x v="27"/>
    <x v="52"/>
    <x v="0"/>
    <x v="122"/>
    <x v="2"/>
    <x v="119"/>
    <x v="119"/>
    <x v="51"/>
    <x v="0"/>
  </r>
  <r>
    <x v="561"/>
    <x v="17"/>
    <x v="0"/>
    <x v="25"/>
    <x v="42"/>
    <x v="0"/>
    <x v="9"/>
    <x v="67"/>
    <x v="38"/>
    <x v="75"/>
    <x v="0"/>
    <x v="111"/>
    <x v="2"/>
    <x v="121"/>
    <x v="121"/>
    <x v="74"/>
    <x v="3"/>
  </r>
  <r>
    <x v="562"/>
    <x v="2"/>
    <x v="0"/>
    <x v="25"/>
    <x v="42"/>
    <x v="0"/>
    <x v="55"/>
    <x v="59"/>
    <x v="24"/>
    <x v="46"/>
    <x v="0"/>
    <x v="122"/>
    <x v="2"/>
    <x v="119"/>
    <x v="119"/>
    <x v="45"/>
    <x v="0"/>
  </r>
  <r>
    <x v="563"/>
    <x v="2"/>
    <x v="0"/>
    <x v="25"/>
    <x v="42"/>
    <x v="0"/>
    <x v="55"/>
    <x v="59"/>
    <x v="24"/>
    <x v="47"/>
    <x v="0"/>
    <x v="122"/>
    <x v="2"/>
    <x v="119"/>
    <x v="119"/>
    <x v="46"/>
    <x v="0"/>
  </r>
  <r>
    <x v="564"/>
    <x v="8"/>
    <x v="0"/>
    <x v="25"/>
    <x v="42"/>
    <x v="0"/>
    <x v="55"/>
    <x v="59"/>
    <x v="33"/>
    <x v="63"/>
    <x v="0"/>
    <x v="122"/>
    <x v="2"/>
    <x v="119"/>
    <x v="119"/>
    <x v="62"/>
    <x v="5"/>
  </r>
  <r>
    <x v="565"/>
    <x v="8"/>
    <x v="0"/>
    <x v="25"/>
    <x v="42"/>
    <x v="0"/>
    <x v="55"/>
    <x v="59"/>
    <x v="33"/>
    <x v="64"/>
    <x v="0"/>
    <x v="122"/>
    <x v="2"/>
    <x v="119"/>
    <x v="119"/>
    <x v="63"/>
    <x v="5"/>
  </r>
  <r>
    <x v="566"/>
    <x v="27"/>
    <x v="0"/>
    <x v="25"/>
    <x v="42"/>
    <x v="0"/>
    <x v="42"/>
    <x v="68"/>
    <x v="25"/>
    <x v="73"/>
    <x v="0"/>
    <x v="3"/>
    <x v="2"/>
    <x v="3"/>
    <x v="3"/>
    <x v="72"/>
    <x v="2"/>
  </r>
  <r>
    <x v="567"/>
    <x v="27"/>
    <x v="0"/>
    <x v="25"/>
    <x v="42"/>
    <x v="0"/>
    <x v="42"/>
    <x v="68"/>
    <x v="25"/>
    <x v="74"/>
    <x v="0"/>
    <x v="3"/>
    <x v="2"/>
    <x v="3"/>
    <x v="3"/>
    <x v="73"/>
    <x v="2"/>
  </r>
  <r>
    <x v="568"/>
    <x v="4"/>
    <x v="0"/>
    <x v="25"/>
    <x v="42"/>
    <x v="0"/>
    <x v="12"/>
    <x v="59"/>
    <x v="54"/>
    <x v="91"/>
    <x v="1"/>
    <x v="122"/>
    <x v="2"/>
    <x v="119"/>
    <x v="119"/>
    <x v="6"/>
    <x v="9"/>
  </r>
  <r>
    <x v="569"/>
    <x v="4"/>
    <x v="0"/>
    <x v="25"/>
    <x v="42"/>
    <x v="0"/>
    <x v="12"/>
    <x v="59"/>
    <x v="54"/>
    <x v="91"/>
    <x v="1"/>
    <x v="122"/>
    <x v="2"/>
    <x v="119"/>
    <x v="119"/>
    <x v="6"/>
    <x v="9"/>
  </r>
  <r>
    <x v="570"/>
    <x v="30"/>
    <x v="0"/>
    <x v="25"/>
    <x v="42"/>
    <x v="0"/>
    <x v="10"/>
    <x v="59"/>
    <x v="37"/>
    <x v="70"/>
    <x v="0"/>
    <x v="122"/>
    <x v="2"/>
    <x v="119"/>
    <x v="119"/>
    <x v="69"/>
    <x v="5"/>
  </r>
  <r>
    <x v="571"/>
    <x v="30"/>
    <x v="0"/>
    <x v="25"/>
    <x v="42"/>
    <x v="0"/>
    <x v="10"/>
    <x v="59"/>
    <x v="37"/>
    <x v="71"/>
    <x v="0"/>
    <x v="122"/>
    <x v="2"/>
    <x v="119"/>
    <x v="119"/>
    <x v="70"/>
    <x v="5"/>
  </r>
  <r>
    <x v="572"/>
    <x v="35"/>
    <x v="0"/>
    <x v="26"/>
    <x v="43"/>
    <x v="0"/>
    <x v="8"/>
    <x v="29"/>
    <x v="30"/>
    <x v="57"/>
    <x v="0"/>
    <x v="124"/>
    <x v="14"/>
    <x v="122"/>
    <x v="122"/>
    <x v="56"/>
    <x v="2"/>
  </r>
  <r>
    <x v="573"/>
    <x v="35"/>
    <x v="0"/>
    <x v="26"/>
    <x v="43"/>
    <x v="0"/>
    <x v="8"/>
    <x v="29"/>
    <x v="30"/>
    <x v="58"/>
    <x v="0"/>
    <x v="124"/>
    <x v="14"/>
    <x v="122"/>
    <x v="122"/>
    <x v="57"/>
    <x v="2"/>
  </r>
  <r>
    <x v="574"/>
    <x v="14"/>
    <x v="0"/>
    <x v="26"/>
    <x v="43"/>
    <x v="0"/>
    <x v="8"/>
    <x v="52"/>
    <x v="32"/>
    <x v="61"/>
    <x v="0"/>
    <x v="125"/>
    <x v="14"/>
    <x v="123"/>
    <x v="123"/>
    <x v="60"/>
    <x v="0"/>
  </r>
  <r>
    <x v="575"/>
    <x v="14"/>
    <x v="0"/>
    <x v="26"/>
    <x v="43"/>
    <x v="0"/>
    <x v="8"/>
    <x v="52"/>
    <x v="32"/>
    <x v="62"/>
    <x v="0"/>
    <x v="125"/>
    <x v="14"/>
    <x v="123"/>
    <x v="123"/>
    <x v="61"/>
    <x v="0"/>
  </r>
  <r>
    <x v="576"/>
    <x v="14"/>
    <x v="0"/>
    <x v="26"/>
    <x v="43"/>
    <x v="1"/>
    <x v="8"/>
    <x v="52"/>
    <x v="1"/>
    <x v="2"/>
    <x v="0"/>
    <x v="126"/>
    <x v="14"/>
    <x v="124"/>
    <x v="124"/>
    <x v="2"/>
    <x v="1"/>
  </r>
  <r>
    <x v="577"/>
    <x v="14"/>
    <x v="0"/>
    <x v="26"/>
    <x v="43"/>
    <x v="0"/>
    <x v="8"/>
    <x v="63"/>
    <x v="32"/>
    <x v="61"/>
    <x v="0"/>
    <x v="127"/>
    <x v="14"/>
    <x v="125"/>
    <x v="125"/>
    <x v="60"/>
    <x v="0"/>
  </r>
  <r>
    <x v="578"/>
    <x v="14"/>
    <x v="0"/>
    <x v="26"/>
    <x v="43"/>
    <x v="0"/>
    <x v="8"/>
    <x v="63"/>
    <x v="32"/>
    <x v="62"/>
    <x v="0"/>
    <x v="127"/>
    <x v="14"/>
    <x v="125"/>
    <x v="125"/>
    <x v="61"/>
    <x v="0"/>
  </r>
  <r>
    <x v="579"/>
    <x v="15"/>
    <x v="0"/>
    <x v="26"/>
    <x v="43"/>
    <x v="1"/>
    <x v="8"/>
    <x v="63"/>
    <x v="1"/>
    <x v="2"/>
    <x v="0"/>
    <x v="128"/>
    <x v="14"/>
    <x v="126"/>
    <x v="126"/>
    <x v="2"/>
    <x v="1"/>
  </r>
  <r>
    <x v="580"/>
    <x v="15"/>
    <x v="0"/>
    <x v="26"/>
    <x v="43"/>
    <x v="0"/>
    <x v="8"/>
    <x v="29"/>
    <x v="21"/>
    <x v="40"/>
    <x v="0"/>
    <x v="129"/>
    <x v="14"/>
    <x v="127"/>
    <x v="127"/>
    <x v="39"/>
    <x v="2"/>
  </r>
  <r>
    <x v="581"/>
    <x v="15"/>
    <x v="0"/>
    <x v="26"/>
    <x v="43"/>
    <x v="0"/>
    <x v="8"/>
    <x v="29"/>
    <x v="21"/>
    <x v="41"/>
    <x v="0"/>
    <x v="129"/>
    <x v="14"/>
    <x v="127"/>
    <x v="127"/>
    <x v="40"/>
    <x v="2"/>
  </r>
  <r>
    <x v="582"/>
    <x v="25"/>
    <x v="0"/>
    <x v="26"/>
    <x v="43"/>
    <x v="0"/>
    <x v="56"/>
    <x v="58"/>
    <x v="32"/>
    <x v="61"/>
    <x v="0"/>
    <x v="130"/>
    <x v="14"/>
    <x v="128"/>
    <x v="128"/>
    <x v="60"/>
    <x v="0"/>
  </r>
  <r>
    <x v="583"/>
    <x v="25"/>
    <x v="0"/>
    <x v="26"/>
    <x v="43"/>
    <x v="0"/>
    <x v="56"/>
    <x v="58"/>
    <x v="32"/>
    <x v="62"/>
    <x v="0"/>
    <x v="130"/>
    <x v="14"/>
    <x v="128"/>
    <x v="128"/>
    <x v="61"/>
    <x v="0"/>
  </r>
  <r>
    <x v="584"/>
    <x v="0"/>
    <x v="0"/>
    <x v="26"/>
    <x v="43"/>
    <x v="0"/>
    <x v="8"/>
    <x v="29"/>
    <x v="28"/>
    <x v="53"/>
    <x v="0"/>
    <x v="131"/>
    <x v="14"/>
    <x v="129"/>
    <x v="129"/>
    <x v="52"/>
    <x v="0"/>
  </r>
  <r>
    <x v="585"/>
    <x v="0"/>
    <x v="0"/>
    <x v="26"/>
    <x v="43"/>
    <x v="0"/>
    <x v="8"/>
    <x v="29"/>
    <x v="28"/>
    <x v="54"/>
    <x v="0"/>
    <x v="131"/>
    <x v="14"/>
    <x v="129"/>
    <x v="129"/>
    <x v="53"/>
    <x v="0"/>
  </r>
  <r>
    <x v="586"/>
    <x v="0"/>
    <x v="0"/>
    <x v="26"/>
    <x v="43"/>
    <x v="0"/>
    <x v="8"/>
    <x v="43"/>
    <x v="0"/>
    <x v="0"/>
    <x v="0"/>
    <x v="132"/>
    <x v="14"/>
    <x v="130"/>
    <x v="130"/>
    <x v="0"/>
    <x v="0"/>
  </r>
  <r>
    <x v="587"/>
    <x v="0"/>
    <x v="0"/>
    <x v="26"/>
    <x v="43"/>
    <x v="0"/>
    <x v="8"/>
    <x v="43"/>
    <x v="0"/>
    <x v="1"/>
    <x v="0"/>
    <x v="132"/>
    <x v="14"/>
    <x v="130"/>
    <x v="130"/>
    <x v="1"/>
    <x v="0"/>
  </r>
  <r>
    <x v="588"/>
    <x v="1"/>
    <x v="0"/>
    <x v="26"/>
    <x v="43"/>
    <x v="0"/>
    <x v="8"/>
    <x v="37"/>
    <x v="2"/>
    <x v="3"/>
    <x v="0"/>
    <x v="12"/>
    <x v="14"/>
    <x v="12"/>
    <x v="12"/>
    <x v="3"/>
    <x v="0"/>
  </r>
  <r>
    <x v="589"/>
    <x v="1"/>
    <x v="0"/>
    <x v="26"/>
    <x v="43"/>
    <x v="0"/>
    <x v="8"/>
    <x v="37"/>
    <x v="2"/>
    <x v="4"/>
    <x v="0"/>
    <x v="12"/>
    <x v="14"/>
    <x v="12"/>
    <x v="12"/>
    <x v="4"/>
    <x v="0"/>
  </r>
  <r>
    <x v="590"/>
    <x v="17"/>
    <x v="0"/>
    <x v="26"/>
    <x v="43"/>
    <x v="0"/>
    <x v="8"/>
    <x v="29"/>
    <x v="16"/>
    <x v="30"/>
    <x v="0"/>
    <x v="12"/>
    <x v="14"/>
    <x v="12"/>
    <x v="12"/>
    <x v="30"/>
    <x v="0"/>
  </r>
  <r>
    <x v="591"/>
    <x v="17"/>
    <x v="0"/>
    <x v="26"/>
    <x v="43"/>
    <x v="0"/>
    <x v="8"/>
    <x v="29"/>
    <x v="16"/>
    <x v="31"/>
    <x v="0"/>
    <x v="12"/>
    <x v="14"/>
    <x v="12"/>
    <x v="12"/>
    <x v="31"/>
    <x v="0"/>
  </r>
  <r>
    <x v="592"/>
    <x v="17"/>
    <x v="0"/>
    <x v="26"/>
    <x v="43"/>
    <x v="0"/>
    <x v="8"/>
    <x v="63"/>
    <x v="15"/>
    <x v="28"/>
    <x v="0"/>
    <x v="133"/>
    <x v="14"/>
    <x v="131"/>
    <x v="131"/>
    <x v="28"/>
    <x v="0"/>
  </r>
  <r>
    <x v="593"/>
    <x v="17"/>
    <x v="0"/>
    <x v="26"/>
    <x v="43"/>
    <x v="0"/>
    <x v="8"/>
    <x v="63"/>
    <x v="15"/>
    <x v="29"/>
    <x v="0"/>
    <x v="133"/>
    <x v="14"/>
    <x v="131"/>
    <x v="131"/>
    <x v="29"/>
    <x v="0"/>
  </r>
  <r>
    <x v="594"/>
    <x v="12"/>
    <x v="0"/>
    <x v="26"/>
    <x v="43"/>
    <x v="0"/>
    <x v="8"/>
    <x v="52"/>
    <x v="13"/>
    <x v="24"/>
    <x v="0"/>
    <x v="134"/>
    <x v="14"/>
    <x v="132"/>
    <x v="132"/>
    <x v="24"/>
    <x v="5"/>
  </r>
  <r>
    <x v="595"/>
    <x v="12"/>
    <x v="0"/>
    <x v="26"/>
    <x v="43"/>
    <x v="0"/>
    <x v="8"/>
    <x v="52"/>
    <x v="13"/>
    <x v="25"/>
    <x v="0"/>
    <x v="134"/>
    <x v="14"/>
    <x v="132"/>
    <x v="132"/>
    <x v="25"/>
    <x v="5"/>
  </r>
  <r>
    <x v="596"/>
    <x v="29"/>
    <x v="0"/>
    <x v="19"/>
    <x v="35"/>
    <x v="0"/>
    <x v="48"/>
    <x v="30"/>
    <x v="7"/>
    <x v="12"/>
    <x v="0"/>
    <x v="23"/>
    <x v="2"/>
    <x v="23"/>
    <x v="23"/>
    <x v="12"/>
    <x v="4"/>
  </r>
  <r>
    <x v="597"/>
    <x v="29"/>
    <x v="0"/>
    <x v="19"/>
    <x v="35"/>
    <x v="0"/>
    <x v="48"/>
    <x v="30"/>
    <x v="7"/>
    <x v="13"/>
    <x v="0"/>
    <x v="23"/>
    <x v="2"/>
    <x v="23"/>
    <x v="23"/>
    <x v="13"/>
    <x v="4"/>
  </r>
  <r>
    <x v="598"/>
    <x v="15"/>
    <x v="0"/>
    <x v="27"/>
    <x v="44"/>
    <x v="0"/>
    <x v="38"/>
    <x v="69"/>
    <x v="23"/>
    <x v="44"/>
    <x v="0"/>
    <x v="135"/>
    <x v="2"/>
    <x v="133"/>
    <x v="133"/>
    <x v="43"/>
    <x v="0"/>
  </r>
  <r>
    <x v="599"/>
    <x v="15"/>
    <x v="0"/>
    <x v="27"/>
    <x v="44"/>
    <x v="0"/>
    <x v="38"/>
    <x v="69"/>
    <x v="23"/>
    <x v="45"/>
    <x v="0"/>
    <x v="135"/>
    <x v="2"/>
    <x v="133"/>
    <x v="133"/>
    <x v="44"/>
    <x v="0"/>
  </r>
  <r>
    <x v="600"/>
    <x v="16"/>
    <x v="0"/>
    <x v="27"/>
    <x v="45"/>
    <x v="0"/>
    <x v="38"/>
    <x v="50"/>
    <x v="27"/>
    <x v="51"/>
    <x v="0"/>
    <x v="136"/>
    <x v="2"/>
    <x v="134"/>
    <x v="134"/>
    <x v="50"/>
    <x v="0"/>
  </r>
  <r>
    <x v="601"/>
    <x v="16"/>
    <x v="0"/>
    <x v="27"/>
    <x v="45"/>
    <x v="0"/>
    <x v="38"/>
    <x v="50"/>
    <x v="27"/>
    <x v="52"/>
    <x v="0"/>
    <x v="136"/>
    <x v="2"/>
    <x v="134"/>
    <x v="134"/>
    <x v="51"/>
    <x v="0"/>
  </r>
  <r>
    <x v="602"/>
    <x v="17"/>
    <x v="0"/>
    <x v="27"/>
    <x v="45"/>
    <x v="0"/>
    <x v="38"/>
    <x v="70"/>
    <x v="27"/>
    <x v="51"/>
    <x v="0"/>
    <x v="137"/>
    <x v="2"/>
    <x v="135"/>
    <x v="135"/>
    <x v="50"/>
    <x v="0"/>
  </r>
  <r>
    <x v="603"/>
    <x v="17"/>
    <x v="0"/>
    <x v="27"/>
    <x v="45"/>
    <x v="0"/>
    <x v="38"/>
    <x v="70"/>
    <x v="27"/>
    <x v="52"/>
    <x v="0"/>
    <x v="137"/>
    <x v="2"/>
    <x v="135"/>
    <x v="135"/>
    <x v="51"/>
    <x v="0"/>
  </r>
  <r>
    <x v="604"/>
    <x v="36"/>
    <x v="0"/>
    <x v="27"/>
    <x v="45"/>
    <x v="0"/>
    <x v="38"/>
    <x v="29"/>
    <x v="24"/>
    <x v="46"/>
    <x v="0"/>
    <x v="138"/>
    <x v="14"/>
    <x v="136"/>
    <x v="136"/>
    <x v="45"/>
    <x v="0"/>
  </r>
  <r>
    <x v="605"/>
    <x v="36"/>
    <x v="0"/>
    <x v="27"/>
    <x v="45"/>
    <x v="0"/>
    <x v="38"/>
    <x v="29"/>
    <x v="24"/>
    <x v="47"/>
    <x v="0"/>
    <x v="138"/>
    <x v="14"/>
    <x v="136"/>
    <x v="136"/>
    <x v="46"/>
    <x v="0"/>
  </r>
  <r>
    <x v="606"/>
    <x v="37"/>
    <x v="0"/>
    <x v="27"/>
    <x v="45"/>
    <x v="0"/>
    <x v="38"/>
    <x v="3"/>
    <x v="33"/>
    <x v="63"/>
    <x v="0"/>
    <x v="139"/>
    <x v="14"/>
    <x v="137"/>
    <x v="137"/>
    <x v="62"/>
    <x v="5"/>
  </r>
  <r>
    <x v="607"/>
    <x v="37"/>
    <x v="0"/>
    <x v="27"/>
    <x v="45"/>
    <x v="0"/>
    <x v="38"/>
    <x v="3"/>
    <x v="33"/>
    <x v="64"/>
    <x v="0"/>
    <x v="139"/>
    <x v="14"/>
    <x v="137"/>
    <x v="137"/>
    <x v="63"/>
    <x v="5"/>
  </r>
  <r>
    <x v="608"/>
    <x v="37"/>
    <x v="0"/>
    <x v="27"/>
    <x v="45"/>
    <x v="0"/>
    <x v="38"/>
    <x v="42"/>
    <x v="33"/>
    <x v="63"/>
    <x v="0"/>
    <x v="140"/>
    <x v="14"/>
    <x v="138"/>
    <x v="138"/>
    <x v="62"/>
    <x v="5"/>
  </r>
  <r>
    <x v="609"/>
    <x v="37"/>
    <x v="0"/>
    <x v="27"/>
    <x v="45"/>
    <x v="0"/>
    <x v="38"/>
    <x v="42"/>
    <x v="33"/>
    <x v="64"/>
    <x v="0"/>
    <x v="140"/>
    <x v="14"/>
    <x v="138"/>
    <x v="138"/>
    <x v="63"/>
    <x v="5"/>
  </r>
  <r>
    <x v="610"/>
    <x v="0"/>
    <x v="0"/>
    <x v="28"/>
    <x v="46"/>
    <x v="0"/>
    <x v="11"/>
    <x v="71"/>
    <x v="37"/>
    <x v="70"/>
    <x v="0"/>
    <x v="141"/>
    <x v="2"/>
    <x v="139"/>
    <x v="139"/>
    <x v="69"/>
    <x v="5"/>
  </r>
  <r>
    <x v="611"/>
    <x v="0"/>
    <x v="0"/>
    <x v="28"/>
    <x v="46"/>
    <x v="0"/>
    <x v="11"/>
    <x v="71"/>
    <x v="37"/>
    <x v="71"/>
    <x v="0"/>
    <x v="141"/>
    <x v="2"/>
    <x v="139"/>
    <x v="139"/>
    <x v="70"/>
    <x v="5"/>
  </r>
  <r>
    <x v="612"/>
    <x v="0"/>
    <x v="0"/>
    <x v="28"/>
    <x v="46"/>
    <x v="0"/>
    <x v="11"/>
    <x v="42"/>
    <x v="37"/>
    <x v="70"/>
    <x v="0"/>
    <x v="2"/>
    <x v="2"/>
    <x v="2"/>
    <x v="2"/>
    <x v="69"/>
    <x v="5"/>
  </r>
  <r>
    <x v="613"/>
    <x v="0"/>
    <x v="0"/>
    <x v="28"/>
    <x v="46"/>
    <x v="0"/>
    <x v="11"/>
    <x v="42"/>
    <x v="37"/>
    <x v="71"/>
    <x v="0"/>
    <x v="2"/>
    <x v="2"/>
    <x v="2"/>
    <x v="2"/>
    <x v="70"/>
    <x v="5"/>
  </r>
  <r>
    <x v="614"/>
    <x v="5"/>
    <x v="0"/>
    <x v="28"/>
    <x v="46"/>
    <x v="0"/>
    <x v="11"/>
    <x v="13"/>
    <x v="42"/>
    <x v="80"/>
    <x v="0"/>
    <x v="2"/>
    <x v="2"/>
    <x v="2"/>
    <x v="2"/>
    <x v="79"/>
    <x v="4"/>
  </r>
  <r>
    <x v="615"/>
    <x v="5"/>
    <x v="0"/>
    <x v="28"/>
    <x v="46"/>
    <x v="0"/>
    <x v="11"/>
    <x v="13"/>
    <x v="42"/>
    <x v="81"/>
    <x v="0"/>
    <x v="2"/>
    <x v="2"/>
    <x v="2"/>
    <x v="2"/>
    <x v="80"/>
    <x v="4"/>
  </r>
  <r>
    <x v="616"/>
    <x v="12"/>
    <x v="0"/>
    <x v="28"/>
    <x v="46"/>
    <x v="0"/>
    <x v="8"/>
    <x v="37"/>
    <x v="36"/>
    <x v="53"/>
    <x v="0"/>
    <x v="142"/>
    <x v="26"/>
    <x v="140"/>
    <x v="140"/>
    <x v="52"/>
    <x v="0"/>
  </r>
  <r>
    <x v="617"/>
    <x v="12"/>
    <x v="0"/>
    <x v="28"/>
    <x v="46"/>
    <x v="0"/>
    <x v="8"/>
    <x v="37"/>
    <x v="36"/>
    <x v="54"/>
    <x v="0"/>
    <x v="142"/>
    <x v="26"/>
    <x v="140"/>
    <x v="140"/>
    <x v="53"/>
    <x v="0"/>
  </r>
  <r>
    <x v="618"/>
    <x v="12"/>
    <x v="0"/>
    <x v="28"/>
    <x v="46"/>
    <x v="0"/>
    <x v="8"/>
    <x v="55"/>
    <x v="36"/>
    <x v="53"/>
    <x v="0"/>
    <x v="143"/>
    <x v="2"/>
    <x v="141"/>
    <x v="141"/>
    <x v="52"/>
    <x v="0"/>
  </r>
  <r>
    <x v="619"/>
    <x v="12"/>
    <x v="0"/>
    <x v="28"/>
    <x v="46"/>
    <x v="0"/>
    <x v="8"/>
    <x v="55"/>
    <x v="36"/>
    <x v="54"/>
    <x v="0"/>
    <x v="143"/>
    <x v="2"/>
    <x v="141"/>
    <x v="141"/>
    <x v="53"/>
    <x v="0"/>
  </r>
  <r>
    <x v="620"/>
    <x v="12"/>
    <x v="0"/>
    <x v="28"/>
    <x v="46"/>
    <x v="0"/>
    <x v="8"/>
    <x v="49"/>
    <x v="55"/>
    <x v="91"/>
    <x v="1"/>
    <x v="144"/>
    <x v="14"/>
    <x v="142"/>
    <x v="142"/>
    <x v="6"/>
    <x v="9"/>
  </r>
  <r>
    <x v="621"/>
    <x v="12"/>
    <x v="0"/>
    <x v="28"/>
    <x v="46"/>
    <x v="0"/>
    <x v="8"/>
    <x v="29"/>
    <x v="56"/>
    <x v="91"/>
    <x v="1"/>
    <x v="144"/>
    <x v="14"/>
    <x v="142"/>
    <x v="142"/>
    <x v="6"/>
    <x v="9"/>
  </r>
  <r>
    <x v="622"/>
    <x v="9"/>
    <x v="0"/>
    <x v="28"/>
    <x v="47"/>
    <x v="0"/>
    <x v="11"/>
    <x v="3"/>
    <x v="32"/>
    <x v="61"/>
    <x v="0"/>
    <x v="145"/>
    <x v="2"/>
    <x v="143"/>
    <x v="143"/>
    <x v="60"/>
    <x v="0"/>
  </r>
  <r>
    <x v="623"/>
    <x v="9"/>
    <x v="0"/>
    <x v="28"/>
    <x v="47"/>
    <x v="0"/>
    <x v="11"/>
    <x v="3"/>
    <x v="32"/>
    <x v="62"/>
    <x v="0"/>
    <x v="145"/>
    <x v="2"/>
    <x v="143"/>
    <x v="143"/>
    <x v="61"/>
    <x v="0"/>
  </r>
  <r>
    <x v="624"/>
    <x v="7"/>
    <x v="0"/>
    <x v="29"/>
    <x v="48"/>
    <x v="0"/>
    <x v="54"/>
    <x v="72"/>
    <x v="57"/>
    <x v="93"/>
    <x v="0"/>
    <x v="146"/>
    <x v="27"/>
    <x v="144"/>
    <x v="144"/>
    <x v="91"/>
    <x v="4"/>
  </r>
  <r>
    <x v="625"/>
    <x v="7"/>
    <x v="0"/>
    <x v="29"/>
    <x v="48"/>
    <x v="0"/>
    <x v="54"/>
    <x v="72"/>
    <x v="57"/>
    <x v="94"/>
    <x v="0"/>
    <x v="146"/>
    <x v="27"/>
    <x v="144"/>
    <x v="144"/>
    <x v="92"/>
    <x v="4"/>
  </r>
  <r>
    <x v="626"/>
    <x v="17"/>
    <x v="0"/>
    <x v="29"/>
    <x v="48"/>
    <x v="0"/>
    <x v="54"/>
    <x v="73"/>
    <x v="11"/>
    <x v="20"/>
    <x v="0"/>
    <x v="147"/>
    <x v="28"/>
    <x v="145"/>
    <x v="145"/>
    <x v="20"/>
    <x v="4"/>
  </r>
  <r>
    <x v="627"/>
    <x v="17"/>
    <x v="0"/>
    <x v="29"/>
    <x v="48"/>
    <x v="0"/>
    <x v="54"/>
    <x v="73"/>
    <x v="11"/>
    <x v="21"/>
    <x v="0"/>
    <x v="147"/>
    <x v="28"/>
    <x v="145"/>
    <x v="145"/>
    <x v="21"/>
    <x v="4"/>
  </r>
  <r>
    <x v="628"/>
    <x v="12"/>
    <x v="0"/>
    <x v="29"/>
    <x v="48"/>
    <x v="0"/>
    <x v="54"/>
    <x v="73"/>
    <x v="42"/>
    <x v="80"/>
    <x v="0"/>
    <x v="147"/>
    <x v="29"/>
    <x v="146"/>
    <x v="146"/>
    <x v="79"/>
    <x v="4"/>
  </r>
  <r>
    <x v="629"/>
    <x v="12"/>
    <x v="0"/>
    <x v="29"/>
    <x v="48"/>
    <x v="0"/>
    <x v="54"/>
    <x v="73"/>
    <x v="42"/>
    <x v="81"/>
    <x v="0"/>
    <x v="147"/>
    <x v="29"/>
    <x v="146"/>
    <x v="146"/>
    <x v="80"/>
    <x v="4"/>
  </r>
  <r>
    <x v="630"/>
    <x v="18"/>
    <x v="0"/>
    <x v="29"/>
    <x v="48"/>
    <x v="0"/>
    <x v="54"/>
    <x v="72"/>
    <x v="58"/>
    <x v="95"/>
    <x v="0"/>
    <x v="147"/>
    <x v="29"/>
    <x v="146"/>
    <x v="146"/>
    <x v="93"/>
    <x v="4"/>
  </r>
  <r>
    <x v="631"/>
    <x v="18"/>
    <x v="0"/>
    <x v="29"/>
    <x v="48"/>
    <x v="0"/>
    <x v="54"/>
    <x v="72"/>
    <x v="58"/>
    <x v="96"/>
    <x v="0"/>
    <x v="147"/>
    <x v="29"/>
    <x v="146"/>
    <x v="146"/>
    <x v="94"/>
    <x v="4"/>
  </r>
  <r>
    <x v="632"/>
    <x v="27"/>
    <x v="0"/>
    <x v="29"/>
    <x v="48"/>
    <x v="0"/>
    <x v="57"/>
    <x v="74"/>
    <x v="59"/>
    <x v="97"/>
    <x v="0"/>
    <x v="148"/>
    <x v="2"/>
    <x v="147"/>
    <x v="147"/>
    <x v="95"/>
    <x v="4"/>
  </r>
  <r>
    <x v="633"/>
    <x v="27"/>
    <x v="0"/>
    <x v="29"/>
    <x v="48"/>
    <x v="0"/>
    <x v="57"/>
    <x v="74"/>
    <x v="59"/>
    <x v="98"/>
    <x v="0"/>
    <x v="148"/>
    <x v="2"/>
    <x v="147"/>
    <x v="147"/>
    <x v="96"/>
    <x v="4"/>
  </r>
  <r>
    <x v="634"/>
    <x v="9"/>
    <x v="0"/>
    <x v="29"/>
    <x v="48"/>
    <x v="0"/>
    <x v="55"/>
    <x v="72"/>
    <x v="47"/>
    <x v="85"/>
    <x v="0"/>
    <x v="149"/>
    <x v="29"/>
    <x v="148"/>
    <x v="148"/>
    <x v="84"/>
    <x v="4"/>
  </r>
  <r>
    <x v="635"/>
    <x v="9"/>
    <x v="0"/>
    <x v="29"/>
    <x v="48"/>
    <x v="0"/>
    <x v="55"/>
    <x v="72"/>
    <x v="47"/>
    <x v="86"/>
    <x v="0"/>
    <x v="149"/>
    <x v="29"/>
    <x v="148"/>
    <x v="148"/>
    <x v="85"/>
    <x v="4"/>
  </r>
  <r>
    <x v="636"/>
    <x v="9"/>
    <x v="0"/>
    <x v="29"/>
    <x v="48"/>
    <x v="0"/>
    <x v="55"/>
    <x v="72"/>
    <x v="57"/>
    <x v="93"/>
    <x v="0"/>
    <x v="147"/>
    <x v="27"/>
    <x v="149"/>
    <x v="149"/>
    <x v="91"/>
    <x v="4"/>
  </r>
  <r>
    <x v="637"/>
    <x v="9"/>
    <x v="0"/>
    <x v="29"/>
    <x v="48"/>
    <x v="0"/>
    <x v="55"/>
    <x v="72"/>
    <x v="57"/>
    <x v="94"/>
    <x v="0"/>
    <x v="147"/>
    <x v="27"/>
    <x v="149"/>
    <x v="149"/>
    <x v="92"/>
    <x v="4"/>
  </r>
  <r>
    <x v="638"/>
    <x v="28"/>
    <x v="0"/>
    <x v="29"/>
    <x v="48"/>
    <x v="0"/>
    <x v="54"/>
    <x v="72"/>
    <x v="45"/>
    <x v="83"/>
    <x v="0"/>
    <x v="149"/>
    <x v="30"/>
    <x v="150"/>
    <x v="150"/>
    <x v="82"/>
    <x v="4"/>
  </r>
  <r>
    <x v="639"/>
    <x v="28"/>
    <x v="0"/>
    <x v="29"/>
    <x v="48"/>
    <x v="0"/>
    <x v="54"/>
    <x v="72"/>
    <x v="45"/>
    <x v="84"/>
    <x v="0"/>
    <x v="149"/>
    <x v="30"/>
    <x v="150"/>
    <x v="150"/>
    <x v="83"/>
    <x v="4"/>
  </r>
  <r>
    <x v="640"/>
    <x v="10"/>
    <x v="0"/>
    <x v="29"/>
    <x v="48"/>
    <x v="0"/>
    <x v="57"/>
    <x v="74"/>
    <x v="7"/>
    <x v="13"/>
    <x v="0"/>
    <x v="150"/>
    <x v="2"/>
    <x v="151"/>
    <x v="151"/>
    <x v="13"/>
    <x v="4"/>
  </r>
  <r>
    <x v="641"/>
    <x v="10"/>
    <x v="0"/>
    <x v="29"/>
    <x v="48"/>
    <x v="0"/>
    <x v="57"/>
    <x v="74"/>
    <x v="7"/>
    <x v="12"/>
    <x v="0"/>
    <x v="150"/>
    <x v="2"/>
    <x v="151"/>
    <x v="151"/>
    <x v="12"/>
    <x v="4"/>
  </r>
  <r>
    <x v="642"/>
    <x v="25"/>
    <x v="0"/>
    <x v="30"/>
    <x v="49"/>
    <x v="0"/>
    <x v="0"/>
    <x v="38"/>
    <x v="3"/>
    <x v="22"/>
    <x v="0"/>
    <x v="108"/>
    <x v="2"/>
    <x v="104"/>
    <x v="104"/>
    <x v="22"/>
    <x v="0"/>
  </r>
  <r>
    <x v="643"/>
    <x v="25"/>
    <x v="0"/>
    <x v="30"/>
    <x v="49"/>
    <x v="0"/>
    <x v="0"/>
    <x v="38"/>
    <x v="3"/>
    <x v="23"/>
    <x v="0"/>
    <x v="108"/>
    <x v="2"/>
    <x v="104"/>
    <x v="104"/>
    <x v="23"/>
    <x v="0"/>
  </r>
  <r>
    <x v="644"/>
    <x v="25"/>
    <x v="0"/>
    <x v="30"/>
    <x v="49"/>
    <x v="0"/>
    <x v="9"/>
    <x v="75"/>
    <x v="12"/>
    <x v="59"/>
    <x v="0"/>
    <x v="2"/>
    <x v="2"/>
    <x v="2"/>
    <x v="2"/>
    <x v="58"/>
    <x v="5"/>
  </r>
  <r>
    <x v="645"/>
    <x v="25"/>
    <x v="0"/>
    <x v="30"/>
    <x v="49"/>
    <x v="0"/>
    <x v="9"/>
    <x v="75"/>
    <x v="12"/>
    <x v="60"/>
    <x v="0"/>
    <x v="2"/>
    <x v="2"/>
    <x v="2"/>
    <x v="2"/>
    <x v="59"/>
    <x v="5"/>
  </r>
  <r>
    <x v="646"/>
    <x v="0"/>
    <x v="0"/>
    <x v="30"/>
    <x v="49"/>
    <x v="0"/>
    <x v="0"/>
    <x v="6"/>
    <x v="28"/>
    <x v="53"/>
    <x v="0"/>
    <x v="4"/>
    <x v="2"/>
    <x v="4"/>
    <x v="4"/>
    <x v="52"/>
    <x v="0"/>
  </r>
  <r>
    <x v="647"/>
    <x v="0"/>
    <x v="0"/>
    <x v="30"/>
    <x v="49"/>
    <x v="0"/>
    <x v="0"/>
    <x v="6"/>
    <x v="28"/>
    <x v="54"/>
    <x v="0"/>
    <x v="4"/>
    <x v="2"/>
    <x v="4"/>
    <x v="4"/>
    <x v="53"/>
    <x v="0"/>
  </r>
  <r>
    <x v="648"/>
    <x v="1"/>
    <x v="0"/>
    <x v="30"/>
    <x v="49"/>
    <x v="1"/>
    <x v="25"/>
    <x v="4"/>
    <x v="44"/>
    <x v="82"/>
    <x v="0"/>
    <x v="103"/>
    <x v="14"/>
    <x v="100"/>
    <x v="100"/>
    <x v="81"/>
    <x v="6"/>
  </r>
  <r>
    <x v="649"/>
    <x v="0"/>
    <x v="0"/>
    <x v="30"/>
    <x v="49"/>
    <x v="0"/>
    <x v="0"/>
    <x v="29"/>
    <x v="0"/>
    <x v="0"/>
    <x v="0"/>
    <x v="103"/>
    <x v="2"/>
    <x v="100"/>
    <x v="100"/>
    <x v="0"/>
    <x v="0"/>
  </r>
  <r>
    <x v="650"/>
    <x v="0"/>
    <x v="0"/>
    <x v="30"/>
    <x v="49"/>
    <x v="0"/>
    <x v="0"/>
    <x v="29"/>
    <x v="0"/>
    <x v="1"/>
    <x v="0"/>
    <x v="103"/>
    <x v="2"/>
    <x v="100"/>
    <x v="100"/>
    <x v="1"/>
    <x v="0"/>
  </r>
  <r>
    <x v="651"/>
    <x v="1"/>
    <x v="0"/>
    <x v="30"/>
    <x v="49"/>
    <x v="1"/>
    <x v="0"/>
    <x v="29"/>
    <x v="44"/>
    <x v="82"/>
    <x v="0"/>
    <x v="151"/>
    <x v="14"/>
    <x v="152"/>
    <x v="152"/>
    <x v="81"/>
    <x v="6"/>
  </r>
  <r>
    <x v="652"/>
    <x v="1"/>
    <x v="0"/>
    <x v="30"/>
    <x v="49"/>
    <x v="0"/>
    <x v="0"/>
    <x v="15"/>
    <x v="29"/>
    <x v="55"/>
    <x v="0"/>
    <x v="152"/>
    <x v="2"/>
    <x v="153"/>
    <x v="153"/>
    <x v="54"/>
    <x v="5"/>
  </r>
  <r>
    <x v="653"/>
    <x v="1"/>
    <x v="0"/>
    <x v="30"/>
    <x v="49"/>
    <x v="0"/>
    <x v="0"/>
    <x v="15"/>
    <x v="29"/>
    <x v="65"/>
    <x v="0"/>
    <x v="152"/>
    <x v="2"/>
    <x v="153"/>
    <x v="153"/>
    <x v="64"/>
    <x v="5"/>
  </r>
  <r>
    <x v="654"/>
    <x v="17"/>
    <x v="0"/>
    <x v="30"/>
    <x v="49"/>
    <x v="0"/>
    <x v="0"/>
    <x v="59"/>
    <x v="37"/>
    <x v="70"/>
    <x v="0"/>
    <x v="3"/>
    <x v="2"/>
    <x v="3"/>
    <x v="3"/>
    <x v="69"/>
    <x v="5"/>
  </r>
  <r>
    <x v="655"/>
    <x v="17"/>
    <x v="0"/>
    <x v="30"/>
    <x v="49"/>
    <x v="0"/>
    <x v="0"/>
    <x v="59"/>
    <x v="37"/>
    <x v="71"/>
    <x v="0"/>
    <x v="3"/>
    <x v="2"/>
    <x v="3"/>
    <x v="3"/>
    <x v="70"/>
    <x v="5"/>
  </r>
  <r>
    <x v="656"/>
    <x v="17"/>
    <x v="0"/>
    <x v="30"/>
    <x v="49"/>
    <x v="0"/>
    <x v="0"/>
    <x v="76"/>
    <x v="35"/>
    <x v="68"/>
    <x v="0"/>
    <x v="3"/>
    <x v="2"/>
    <x v="3"/>
    <x v="3"/>
    <x v="67"/>
    <x v="0"/>
  </r>
  <r>
    <x v="657"/>
    <x v="17"/>
    <x v="0"/>
    <x v="30"/>
    <x v="49"/>
    <x v="0"/>
    <x v="0"/>
    <x v="76"/>
    <x v="35"/>
    <x v="69"/>
    <x v="0"/>
    <x v="3"/>
    <x v="2"/>
    <x v="3"/>
    <x v="3"/>
    <x v="68"/>
    <x v="0"/>
  </r>
  <r>
    <x v="658"/>
    <x v="17"/>
    <x v="0"/>
    <x v="30"/>
    <x v="49"/>
    <x v="0"/>
    <x v="0"/>
    <x v="6"/>
    <x v="35"/>
    <x v="68"/>
    <x v="0"/>
    <x v="102"/>
    <x v="2"/>
    <x v="99"/>
    <x v="99"/>
    <x v="67"/>
    <x v="0"/>
  </r>
  <r>
    <x v="659"/>
    <x v="17"/>
    <x v="0"/>
    <x v="30"/>
    <x v="49"/>
    <x v="0"/>
    <x v="0"/>
    <x v="6"/>
    <x v="35"/>
    <x v="69"/>
    <x v="0"/>
    <x v="102"/>
    <x v="2"/>
    <x v="99"/>
    <x v="99"/>
    <x v="68"/>
    <x v="0"/>
  </r>
  <r>
    <x v="660"/>
    <x v="17"/>
    <x v="0"/>
    <x v="30"/>
    <x v="49"/>
    <x v="0"/>
    <x v="0"/>
    <x v="50"/>
    <x v="35"/>
    <x v="68"/>
    <x v="0"/>
    <x v="105"/>
    <x v="2"/>
    <x v="58"/>
    <x v="58"/>
    <x v="67"/>
    <x v="0"/>
  </r>
  <r>
    <x v="661"/>
    <x v="17"/>
    <x v="0"/>
    <x v="30"/>
    <x v="49"/>
    <x v="0"/>
    <x v="0"/>
    <x v="50"/>
    <x v="35"/>
    <x v="69"/>
    <x v="0"/>
    <x v="105"/>
    <x v="2"/>
    <x v="58"/>
    <x v="58"/>
    <x v="68"/>
    <x v="0"/>
  </r>
  <r>
    <x v="662"/>
    <x v="2"/>
    <x v="0"/>
    <x v="30"/>
    <x v="49"/>
    <x v="0"/>
    <x v="58"/>
    <x v="52"/>
    <x v="23"/>
    <x v="44"/>
    <x v="0"/>
    <x v="111"/>
    <x v="2"/>
    <x v="121"/>
    <x v="121"/>
    <x v="43"/>
    <x v="0"/>
  </r>
  <r>
    <x v="663"/>
    <x v="2"/>
    <x v="0"/>
    <x v="30"/>
    <x v="49"/>
    <x v="0"/>
    <x v="58"/>
    <x v="52"/>
    <x v="23"/>
    <x v="45"/>
    <x v="0"/>
    <x v="111"/>
    <x v="2"/>
    <x v="121"/>
    <x v="121"/>
    <x v="44"/>
    <x v="0"/>
  </r>
  <r>
    <x v="664"/>
    <x v="9"/>
    <x v="0"/>
    <x v="30"/>
    <x v="49"/>
    <x v="1"/>
    <x v="25"/>
    <x v="29"/>
    <x v="1"/>
    <x v="2"/>
    <x v="0"/>
    <x v="153"/>
    <x v="14"/>
    <x v="154"/>
    <x v="154"/>
    <x v="2"/>
    <x v="1"/>
  </r>
  <r>
    <x v="665"/>
    <x v="8"/>
    <x v="0"/>
    <x v="30"/>
    <x v="49"/>
    <x v="0"/>
    <x v="8"/>
    <x v="0"/>
    <x v="0"/>
    <x v="0"/>
    <x v="0"/>
    <x v="108"/>
    <x v="2"/>
    <x v="104"/>
    <x v="104"/>
    <x v="0"/>
    <x v="0"/>
  </r>
  <r>
    <x v="666"/>
    <x v="8"/>
    <x v="0"/>
    <x v="30"/>
    <x v="49"/>
    <x v="0"/>
    <x v="8"/>
    <x v="0"/>
    <x v="0"/>
    <x v="1"/>
    <x v="0"/>
    <x v="108"/>
    <x v="2"/>
    <x v="104"/>
    <x v="104"/>
    <x v="1"/>
    <x v="0"/>
  </r>
  <r>
    <x v="667"/>
    <x v="4"/>
    <x v="0"/>
    <x v="31"/>
    <x v="50"/>
    <x v="0"/>
    <x v="59"/>
    <x v="77"/>
    <x v="24"/>
    <x v="46"/>
    <x v="0"/>
    <x v="31"/>
    <x v="2"/>
    <x v="31"/>
    <x v="31"/>
    <x v="45"/>
    <x v="0"/>
  </r>
  <r>
    <x v="668"/>
    <x v="4"/>
    <x v="0"/>
    <x v="31"/>
    <x v="50"/>
    <x v="0"/>
    <x v="59"/>
    <x v="77"/>
    <x v="24"/>
    <x v="47"/>
    <x v="0"/>
    <x v="31"/>
    <x v="2"/>
    <x v="31"/>
    <x v="31"/>
    <x v="46"/>
    <x v="0"/>
  </r>
  <r>
    <x v="669"/>
    <x v="10"/>
    <x v="0"/>
    <x v="31"/>
    <x v="50"/>
    <x v="0"/>
    <x v="2"/>
    <x v="78"/>
    <x v="20"/>
    <x v="38"/>
    <x v="0"/>
    <x v="154"/>
    <x v="2"/>
    <x v="155"/>
    <x v="155"/>
    <x v="37"/>
    <x v="0"/>
  </r>
  <r>
    <x v="670"/>
    <x v="10"/>
    <x v="0"/>
    <x v="31"/>
    <x v="50"/>
    <x v="0"/>
    <x v="2"/>
    <x v="78"/>
    <x v="20"/>
    <x v="39"/>
    <x v="0"/>
    <x v="154"/>
    <x v="2"/>
    <x v="155"/>
    <x v="155"/>
    <x v="38"/>
    <x v="0"/>
  </r>
  <r>
    <x v="671"/>
    <x v="20"/>
    <x v="0"/>
    <x v="32"/>
    <x v="51"/>
    <x v="0"/>
    <x v="0"/>
    <x v="13"/>
    <x v="33"/>
    <x v="63"/>
    <x v="0"/>
    <x v="35"/>
    <x v="2"/>
    <x v="36"/>
    <x v="36"/>
    <x v="62"/>
    <x v="5"/>
  </r>
  <r>
    <x v="672"/>
    <x v="20"/>
    <x v="0"/>
    <x v="32"/>
    <x v="51"/>
    <x v="0"/>
    <x v="0"/>
    <x v="13"/>
    <x v="33"/>
    <x v="64"/>
    <x v="0"/>
    <x v="35"/>
    <x v="2"/>
    <x v="36"/>
    <x v="36"/>
    <x v="63"/>
    <x v="5"/>
  </r>
  <r>
    <x v="673"/>
    <x v="20"/>
    <x v="0"/>
    <x v="32"/>
    <x v="51"/>
    <x v="0"/>
    <x v="0"/>
    <x v="42"/>
    <x v="0"/>
    <x v="0"/>
    <x v="0"/>
    <x v="39"/>
    <x v="2"/>
    <x v="98"/>
    <x v="98"/>
    <x v="0"/>
    <x v="0"/>
  </r>
  <r>
    <x v="674"/>
    <x v="20"/>
    <x v="0"/>
    <x v="32"/>
    <x v="51"/>
    <x v="0"/>
    <x v="0"/>
    <x v="42"/>
    <x v="0"/>
    <x v="1"/>
    <x v="0"/>
    <x v="39"/>
    <x v="2"/>
    <x v="98"/>
    <x v="98"/>
    <x v="1"/>
    <x v="0"/>
  </r>
  <r>
    <x v="675"/>
    <x v="20"/>
    <x v="0"/>
    <x v="32"/>
    <x v="51"/>
    <x v="0"/>
    <x v="0"/>
    <x v="13"/>
    <x v="0"/>
    <x v="0"/>
    <x v="0"/>
    <x v="155"/>
    <x v="2"/>
    <x v="156"/>
    <x v="156"/>
    <x v="0"/>
    <x v="0"/>
  </r>
  <r>
    <x v="676"/>
    <x v="20"/>
    <x v="0"/>
    <x v="32"/>
    <x v="51"/>
    <x v="0"/>
    <x v="0"/>
    <x v="13"/>
    <x v="0"/>
    <x v="1"/>
    <x v="0"/>
    <x v="155"/>
    <x v="2"/>
    <x v="156"/>
    <x v="156"/>
    <x v="1"/>
    <x v="0"/>
  </r>
  <r>
    <x v="677"/>
    <x v="20"/>
    <x v="0"/>
    <x v="32"/>
    <x v="51"/>
    <x v="0"/>
    <x v="0"/>
    <x v="18"/>
    <x v="0"/>
    <x v="0"/>
    <x v="0"/>
    <x v="3"/>
    <x v="2"/>
    <x v="3"/>
    <x v="3"/>
    <x v="0"/>
    <x v="0"/>
  </r>
  <r>
    <x v="678"/>
    <x v="20"/>
    <x v="0"/>
    <x v="32"/>
    <x v="51"/>
    <x v="0"/>
    <x v="0"/>
    <x v="18"/>
    <x v="0"/>
    <x v="1"/>
    <x v="0"/>
    <x v="3"/>
    <x v="2"/>
    <x v="3"/>
    <x v="3"/>
    <x v="1"/>
    <x v="0"/>
  </r>
  <r>
    <x v="679"/>
    <x v="15"/>
    <x v="0"/>
    <x v="32"/>
    <x v="51"/>
    <x v="0"/>
    <x v="0"/>
    <x v="42"/>
    <x v="21"/>
    <x v="40"/>
    <x v="0"/>
    <x v="106"/>
    <x v="2"/>
    <x v="102"/>
    <x v="102"/>
    <x v="39"/>
    <x v="2"/>
  </r>
  <r>
    <x v="680"/>
    <x v="15"/>
    <x v="0"/>
    <x v="32"/>
    <x v="51"/>
    <x v="0"/>
    <x v="0"/>
    <x v="42"/>
    <x v="21"/>
    <x v="41"/>
    <x v="0"/>
    <x v="106"/>
    <x v="2"/>
    <x v="102"/>
    <x v="102"/>
    <x v="40"/>
    <x v="2"/>
  </r>
  <r>
    <x v="681"/>
    <x v="15"/>
    <x v="0"/>
    <x v="32"/>
    <x v="52"/>
    <x v="0"/>
    <x v="0"/>
    <x v="13"/>
    <x v="21"/>
    <x v="40"/>
    <x v="0"/>
    <x v="156"/>
    <x v="2"/>
    <x v="157"/>
    <x v="157"/>
    <x v="39"/>
    <x v="2"/>
  </r>
  <r>
    <x v="682"/>
    <x v="15"/>
    <x v="0"/>
    <x v="32"/>
    <x v="52"/>
    <x v="0"/>
    <x v="0"/>
    <x v="13"/>
    <x v="21"/>
    <x v="41"/>
    <x v="0"/>
    <x v="156"/>
    <x v="2"/>
    <x v="157"/>
    <x v="157"/>
    <x v="40"/>
    <x v="2"/>
  </r>
  <r>
    <x v="683"/>
    <x v="15"/>
    <x v="0"/>
    <x v="32"/>
    <x v="53"/>
    <x v="0"/>
    <x v="0"/>
    <x v="4"/>
    <x v="29"/>
    <x v="56"/>
    <x v="0"/>
    <x v="107"/>
    <x v="2"/>
    <x v="103"/>
    <x v="103"/>
    <x v="55"/>
    <x v="5"/>
  </r>
  <r>
    <x v="684"/>
    <x v="15"/>
    <x v="0"/>
    <x v="32"/>
    <x v="53"/>
    <x v="0"/>
    <x v="0"/>
    <x v="4"/>
    <x v="29"/>
    <x v="55"/>
    <x v="0"/>
    <x v="107"/>
    <x v="2"/>
    <x v="103"/>
    <x v="103"/>
    <x v="54"/>
    <x v="5"/>
  </r>
  <r>
    <x v="685"/>
    <x v="25"/>
    <x v="0"/>
    <x v="32"/>
    <x v="52"/>
    <x v="0"/>
    <x v="60"/>
    <x v="59"/>
    <x v="12"/>
    <x v="59"/>
    <x v="0"/>
    <x v="157"/>
    <x v="2"/>
    <x v="158"/>
    <x v="158"/>
    <x v="58"/>
    <x v="5"/>
  </r>
  <r>
    <x v="686"/>
    <x v="25"/>
    <x v="0"/>
    <x v="32"/>
    <x v="52"/>
    <x v="0"/>
    <x v="60"/>
    <x v="59"/>
    <x v="12"/>
    <x v="60"/>
    <x v="0"/>
    <x v="157"/>
    <x v="2"/>
    <x v="158"/>
    <x v="158"/>
    <x v="59"/>
    <x v="5"/>
  </r>
  <r>
    <x v="687"/>
    <x v="25"/>
    <x v="0"/>
    <x v="32"/>
    <x v="52"/>
    <x v="0"/>
    <x v="60"/>
    <x v="42"/>
    <x v="12"/>
    <x v="59"/>
    <x v="0"/>
    <x v="92"/>
    <x v="2"/>
    <x v="88"/>
    <x v="88"/>
    <x v="58"/>
    <x v="5"/>
  </r>
  <r>
    <x v="688"/>
    <x v="25"/>
    <x v="0"/>
    <x v="32"/>
    <x v="52"/>
    <x v="0"/>
    <x v="60"/>
    <x v="42"/>
    <x v="12"/>
    <x v="60"/>
    <x v="0"/>
    <x v="92"/>
    <x v="2"/>
    <x v="88"/>
    <x v="88"/>
    <x v="59"/>
    <x v="5"/>
  </r>
  <r>
    <x v="689"/>
    <x v="25"/>
    <x v="0"/>
    <x v="33"/>
    <x v="54"/>
    <x v="0"/>
    <x v="0"/>
    <x v="79"/>
    <x v="3"/>
    <x v="22"/>
    <x v="0"/>
    <x v="26"/>
    <x v="2"/>
    <x v="26"/>
    <x v="26"/>
    <x v="22"/>
    <x v="0"/>
  </r>
  <r>
    <x v="690"/>
    <x v="25"/>
    <x v="0"/>
    <x v="33"/>
    <x v="54"/>
    <x v="0"/>
    <x v="0"/>
    <x v="79"/>
    <x v="3"/>
    <x v="23"/>
    <x v="0"/>
    <x v="26"/>
    <x v="2"/>
    <x v="26"/>
    <x v="26"/>
    <x v="23"/>
    <x v="0"/>
  </r>
  <r>
    <x v="691"/>
    <x v="25"/>
    <x v="0"/>
    <x v="33"/>
    <x v="54"/>
    <x v="0"/>
    <x v="0"/>
    <x v="80"/>
    <x v="32"/>
    <x v="61"/>
    <x v="0"/>
    <x v="26"/>
    <x v="2"/>
    <x v="26"/>
    <x v="26"/>
    <x v="60"/>
    <x v="0"/>
  </r>
  <r>
    <x v="692"/>
    <x v="25"/>
    <x v="0"/>
    <x v="33"/>
    <x v="54"/>
    <x v="0"/>
    <x v="0"/>
    <x v="80"/>
    <x v="32"/>
    <x v="62"/>
    <x v="0"/>
    <x v="26"/>
    <x v="2"/>
    <x v="26"/>
    <x v="26"/>
    <x v="61"/>
    <x v="0"/>
  </r>
  <r>
    <x v="693"/>
    <x v="25"/>
    <x v="0"/>
    <x v="33"/>
    <x v="54"/>
    <x v="0"/>
    <x v="0"/>
    <x v="81"/>
    <x v="32"/>
    <x v="61"/>
    <x v="0"/>
    <x v="26"/>
    <x v="2"/>
    <x v="26"/>
    <x v="26"/>
    <x v="60"/>
    <x v="0"/>
  </r>
  <r>
    <x v="694"/>
    <x v="25"/>
    <x v="0"/>
    <x v="33"/>
    <x v="54"/>
    <x v="0"/>
    <x v="0"/>
    <x v="81"/>
    <x v="32"/>
    <x v="62"/>
    <x v="0"/>
    <x v="26"/>
    <x v="2"/>
    <x v="26"/>
    <x v="26"/>
    <x v="61"/>
    <x v="0"/>
  </r>
  <r>
    <x v="695"/>
    <x v="25"/>
    <x v="0"/>
    <x v="33"/>
    <x v="54"/>
    <x v="0"/>
    <x v="0"/>
    <x v="82"/>
    <x v="32"/>
    <x v="61"/>
    <x v="0"/>
    <x v="26"/>
    <x v="2"/>
    <x v="26"/>
    <x v="26"/>
    <x v="60"/>
    <x v="0"/>
  </r>
  <r>
    <x v="696"/>
    <x v="25"/>
    <x v="0"/>
    <x v="33"/>
    <x v="54"/>
    <x v="0"/>
    <x v="0"/>
    <x v="82"/>
    <x v="32"/>
    <x v="62"/>
    <x v="0"/>
    <x v="26"/>
    <x v="2"/>
    <x v="26"/>
    <x v="26"/>
    <x v="61"/>
    <x v="0"/>
  </r>
  <r>
    <x v="697"/>
    <x v="25"/>
    <x v="0"/>
    <x v="33"/>
    <x v="54"/>
    <x v="0"/>
    <x v="0"/>
    <x v="83"/>
    <x v="22"/>
    <x v="42"/>
    <x v="0"/>
    <x v="26"/>
    <x v="2"/>
    <x v="26"/>
    <x v="26"/>
    <x v="41"/>
    <x v="2"/>
  </r>
  <r>
    <x v="698"/>
    <x v="25"/>
    <x v="0"/>
    <x v="33"/>
    <x v="54"/>
    <x v="0"/>
    <x v="0"/>
    <x v="83"/>
    <x v="22"/>
    <x v="43"/>
    <x v="0"/>
    <x v="26"/>
    <x v="2"/>
    <x v="26"/>
    <x v="26"/>
    <x v="42"/>
    <x v="2"/>
  </r>
  <r>
    <x v="699"/>
    <x v="25"/>
    <x v="0"/>
    <x v="33"/>
    <x v="54"/>
    <x v="0"/>
    <x v="0"/>
    <x v="84"/>
    <x v="22"/>
    <x v="42"/>
    <x v="0"/>
    <x v="26"/>
    <x v="2"/>
    <x v="26"/>
    <x v="26"/>
    <x v="41"/>
    <x v="2"/>
  </r>
  <r>
    <x v="700"/>
    <x v="25"/>
    <x v="0"/>
    <x v="33"/>
    <x v="54"/>
    <x v="0"/>
    <x v="0"/>
    <x v="84"/>
    <x v="22"/>
    <x v="43"/>
    <x v="0"/>
    <x v="26"/>
    <x v="2"/>
    <x v="26"/>
    <x v="26"/>
    <x v="42"/>
    <x v="2"/>
  </r>
  <r>
    <x v="701"/>
    <x v="25"/>
    <x v="0"/>
    <x v="33"/>
    <x v="54"/>
    <x v="0"/>
    <x v="0"/>
    <x v="85"/>
    <x v="22"/>
    <x v="42"/>
    <x v="0"/>
    <x v="26"/>
    <x v="2"/>
    <x v="26"/>
    <x v="26"/>
    <x v="41"/>
    <x v="2"/>
  </r>
  <r>
    <x v="702"/>
    <x v="25"/>
    <x v="0"/>
    <x v="33"/>
    <x v="54"/>
    <x v="0"/>
    <x v="0"/>
    <x v="85"/>
    <x v="22"/>
    <x v="43"/>
    <x v="0"/>
    <x v="26"/>
    <x v="2"/>
    <x v="26"/>
    <x v="26"/>
    <x v="42"/>
    <x v="2"/>
  </r>
  <r>
    <x v="703"/>
    <x v="25"/>
    <x v="0"/>
    <x v="33"/>
    <x v="54"/>
    <x v="0"/>
    <x v="0"/>
    <x v="86"/>
    <x v="22"/>
    <x v="42"/>
    <x v="0"/>
    <x v="26"/>
    <x v="2"/>
    <x v="26"/>
    <x v="26"/>
    <x v="41"/>
    <x v="2"/>
  </r>
  <r>
    <x v="704"/>
    <x v="25"/>
    <x v="0"/>
    <x v="33"/>
    <x v="54"/>
    <x v="0"/>
    <x v="0"/>
    <x v="86"/>
    <x v="22"/>
    <x v="43"/>
    <x v="0"/>
    <x v="26"/>
    <x v="2"/>
    <x v="26"/>
    <x v="26"/>
    <x v="42"/>
    <x v="2"/>
  </r>
  <r>
    <x v="705"/>
    <x v="25"/>
    <x v="0"/>
    <x v="33"/>
    <x v="54"/>
    <x v="0"/>
    <x v="0"/>
    <x v="87"/>
    <x v="22"/>
    <x v="42"/>
    <x v="0"/>
    <x v="26"/>
    <x v="2"/>
    <x v="26"/>
    <x v="26"/>
    <x v="41"/>
    <x v="2"/>
  </r>
  <r>
    <x v="706"/>
    <x v="25"/>
    <x v="0"/>
    <x v="33"/>
    <x v="54"/>
    <x v="0"/>
    <x v="0"/>
    <x v="87"/>
    <x v="22"/>
    <x v="43"/>
    <x v="0"/>
    <x v="26"/>
    <x v="2"/>
    <x v="26"/>
    <x v="26"/>
    <x v="42"/>
    <x v="2"/>
  </r>
  <r>
    <x v="707"/>
    <x v="25"/>
    <x v="0"/>
    <x v="33"/>
    <x v="54"/>
    <x v="0"/>
    <x v="0"/>
    <x v="88"/>
    <x v="22"/>
    <x v="42"/>
    <x v="0"/>
    <x v="26"/>
    <x v="2"/>
    <x v="26"/>
    <x v="26"/>
    <x v="41"/>
    <x v="2"/>
  </r>
  <r>
    <x v="708"/>
    <x v="25"/>
    <x v="0"/>
    <x v="33"/>
    <x v="54"/>
    <x v="0"/>
    <x v="0"/>
    <x v="88"/>
    <x v="22"/>
    <x v="43"/>
    <x v="0"/>
    <x v="26"/>
    <x v="2"/>
    <x v="26"/>
    <x v="26"/>
    <x v="42"/>
    <x v="2"/>
  </r>
  <r>
    <x v="709"/>
    <x v="25"/>
    <x v="0"/>
    <x v="33"/>
    <x v="54"/>
    <x v="0"/>
    <x v="0"/>
    <x v="89"/>
    <x v="22"/>
    <x v="42"/>
    <x v="0"/>
    <x v="103"/>
    <x v="2"/>
    <x v="100"/>
    <x v="100"/>
    <x v="41"/>
    <x v="2"/>
  </r>
  <r>
    <x v="710"/>
    <x v="25"/>
    <x v="0"/>
    <x v="33"/>
    <x v="54"/>
    <x v="0"/>
    <x v="0"/>
    <x v="89"/>
    <x v="22"/>
    <x v="43"/>
    <x v="0"/>
    <x v="103"/>
    <x v="2"/>
    <x v="100"/>
    <x v="100"/>
    <x v="42"/>
    <x v="2"/>
  </r>
  <r>
    <x v="711"/>
    <x v="7"/>
    <x v="0"/>
    <x v="33"/>
    <x v="54"/>
    <x v="1"/>
    <x v="0"/>
    <x v="89"/>
    <x v="5"/>
    <x v="9"/>
    <x v="0"/>
    <x v="151"/>
    <x v="14"/>
    <x v="152"/>
    <x v="152"/>
    <x v="9"/>
    <x v="3"/>
  </r>
  <r>
    <x v="712"/>
    <x v="25"/>
    <x v="0"/>
    <x v="33"/>
    <x v="54"/>
    <x v="0"/>
    <x v="0"/>
    <x v="90"/>
    <x v="22"/>
    <x v="42"/>
    <x v="0"/>
    <x v="103"/>
    <x v="2"/>
    <x v="100"/>
    <x v="100"/>
    <x v="41"/>
    <x v="2"/>
  </r>
  <r>
    <x v="713"/>
    <x v="25"/>
    <x v="0"/>
    <x v="33"/>
    <x v="54"/>
    <x v="0"/>
    <x v="0"/>
    <x v="90"/>
    <x v="22"/>
    <x v="43"/>
    <x v="0"/>
    <x v="103"/>
    <x v="2"/>
    <x v="100"/>
    <x v="100"/>
    <x v="42"/>
    <x v="2"/>
  </r>
  <r>
    <x v="714"/>
    <x v="7"/>
    <x v="0"/>
    <x v="33"/>
    <x v="54"/>
    <x v="1"/>
    <x v="0"/>
    <x v="90"/>
    <x v="5"/>
    <x v="9"/>
    <x v="0"/>
    <x v="151"/>
    <x v="14"/>
    <x v="152"/>
    <x v="152"/>
    <x v="9"/>
    <x v="3"/>
  </r>
  <r>
    <x v="715"/>
    <x v="25"/>
    <x v="0"/>
    <x v="33"/>
    <x v="54"/>
    <x v="0"/>
    <x v="0"/>
    <x v="91"/>
    <x v="22"/>
    <x v="42"/>
    <x v="0"/>
    <x v="103"/>
    <x v="2"/>
    <x v="100"/>
    <x v="100"/>
    <x v="41"/>
    <x v="2"/>
  </r>
  <r>
    <x v="716"/>
    <x v="25"/>
    <x v="0"/>
    <x v="33"/>
    <x v="54"/>
    <x v="0"/>
    <x v="0"/>
    <x v="91"/>
    <x v="22"/>
    <x v="43"/>
    <x v="0"/>
    <x v="103"/>
    <x v="2"/>
    <x v="100"/>
    <x v="100"/>
    <x v="42"/>
    <x v="2"/>
  </r>
  <r>
    <x v="717"/>
    <x v="7"/>
    <x v="0"/>
    <x v="33"/>
    <x v="54"/>
    <x v="1"/>
    <x v="0"/>
    <x v="91"/>
    <x v="1"/>
    <x v="2"/>
    <x v="0"/>
    <x v="151"/>
    <x v="14"/>
    <x v="152"/>
    <x v="152"/>
    <x v="2"/>
    <x v="1"/>
  </r>
  <r>
    <x v="718"/>
    <x v="25"/>
    <x v="0"/>
    <x v="33"/>
    <x v="54"/>
    <x v="0"/>
    <x v="0"/>
    <x v="92"/>
    <x v="22"/>
    <x v="42"/>
    <x v="0"/>
    <x v="26"/>
    <x v="2"/>
    <x v="26"/>
    <x v="26"/>
    <x v="41"/>
    <x v="2"/>
  </r>
  <r>
    <x v="719"/>
    <x v="25"/>
    <x v="0"/>
    <x v="33"/>
    <x v="54"/>
    <x v="0"/>
    <x v="0"/>
    <x v="92"/>
    <x v="22"/>
    <x v="43"/>
    <x v="0"/>
    <x v="26"/>
    <x v="2"/>
    <x v="26"/>
    <x v="26"/>
    <x v="42"/>
    <x v="2"/>
  </r>
  <r>
    <x v="720"/>
    <x v="0"/>
    <x v="0"/>
    <x v="32"/>
    <x v="53"/>
    <x v="0"/>
    <x v="61"/>
    <x v="8"/>
    <x v="37"/>
    <x v="70"/>
    <x v="0"/>
    <x v="108"/>
    <x v="2"/>
    <x v="104"/>
    <x v="104"/>
    <x v="69"/>
    <x v="5"/>
  </r>
  <r>
    <x v="721"/>
    <x v="0"/>
    <x v="0"/>
    <x v="32"/>
    <x v="53"/>
    <x v="0"/>
    <x v="61"/>
    <x v="8"/>
    <x v="37"/>
    <x v="71"/>
    <x v="0"/>
    <x v="108"/>
    <x v="2"/>
    <x v="104"/>
    <x v="104"/>
    <x v="70"/>
    <x v="5"/>
  </r>
  <r>
    <x v="722"/>
    <x v="0"/>
    <x v="0"/>
    <x v="32"/>
    <x v="52"/>
    <x v="0"/>
    <x v="0"/>
    <x v="12"/>
    <x v="28"/>
    <x v="53"/>
    <x v="0"/>
    <x v="13"/>
    <x v="2"/>
    <x v="13"/>
    <x v="13"/>
    <x v="52"/>
    <x v="0"/>
  </r>
  <r>
    <x v="723"/>
    <x v="0"/>
    <x v="0"/>
    <x v="32"/>
    <x v="52"/>
    <x v="0"/>
    <x v="0"/>
    <x v="12"/>
    <x v="28"/>
    <x v="54"/>
    <x v="0"/>
    <x v="13"/>
    <x v="2"/>
    <x v="13"/>
    <x v="13"/>
    <x v="53"/>
    <x v="0"/>
  </r>
  <r>
    <x v="724"/>
    <x v="0"/>
    <x v="0"/>
    <x v="32"/>
    <x v="53"/>
    <x v="0"/>
    <x v="0"/>
    <x v="42"/>
    <x v="0"/>
    <x v="0"/>
    <x v="0"/>
    <x v="158"/>
    <x v="2"/>
    <x v="159"/>
    <x v="159"/>
    <x v="0"/>
    <x v="0"/>
  </r>
  <r>
    <x v="725"/>
    <x v="0"/>
    <x v="0"/>
    <x v="32"/>
    <x v="53"/>
    <x v="0"/>
    <x v="0"/>
    <x v="42"/>
    <x v="0"/>
    <x v="1"/>
    <x v="0"/>
    <x v="158"/>
    <x v="2"/>
    <x v="159"/>
    <x v="159"/>
    <x v="1"/>
    <x v="0"/>
  </r>
  <r>
    <x v="726"/>
    <x v="38"/>
    <x v="0"/>
    <x v="32"/>
    <x v="53"/>
    <x v="1"/>
    <x v="0"/>
    <x v="42"/>
    <x v="0"/>
    <x v="77"/>
    <x v="0"/>
    <x v="159"/>
    <x v="14"/>
    <x v="160"/>
    <x v="160"/>
    <x v="76"/>
    <x v="0"/>
  </r>
  <r>
    <x v="727"/>
    <x v="0"/>
    <x v="0"/>
    <x v="32"/>
    <x v="51"/>
    <x v="0"/>
    <x v="0"/>
    <x v="76"/>
    <x v="23"/>
    <x v="44"/>
    <x v="0"/>
    <x v="160"/>
    <x v="2"/>
    <x v="161"/>
    <x v="161"/>
    <x v="43"/>
    <x v="0"/>
  </r>
  <r>
    <x v="728"/>
    <x v="0"/>
    <x v="0"/>
    <x v="32"/>
    <x v="51"/>
    <x v="0"/>
    <x v="0"/>
    <x v="76"/>
    <x v="23"/>
    <x v="45"/>
    <x v="0"/>
    <x v="160"/>
    <x v="2"/>
    <x v="161"/>
    <x v="161"/>
    <x v="44"/>
    <x v="0"/>
  </r>
  <r>
    <x v="729"/>
    <x v="1"/>
    <x v="0"/>
    <x v="32"/>
    <x v="51"/>
    <x v="0"/>
    <x v="0"/>
    <x v="13"/>
    <x v="29"/>
    <x v="55"/>
    <x v="0"/>
    <x v="107"/>
    <x v="2"/>
    <x v="103"/>
    <x v="103"/>
    <x v="54"/>
    <x v="5"/>
  </r>
  <r>
    <x v="730"/>
    <x v="1"/>
    <x v="0"/>
    <x v="32"/>
    <x v="51"/>
    <x v="0"/>
    <x v="0"/>
    <x v="13"/>
    <x v="29"/>
    <x v="65"/>
    <x v="0"/>
    <x v="107"/>
    <x v="2"/>
    <x v="103"/>
    <x v="103"/>
    <x v="64"/>
    <x v="5"/>
  </r>
  <r>
    <x v="731"/>
    <x v="17"/>
    <x v="0"/>
    <x v="32"/>
    <x v="52"/>
    <x v="0"/>
    <x v="0"/>
    <x v="13"/>
    <x v="37"/>
    <x v="70"/>
    <x v="0"/>
    <x v="161"/>
    <x v="2"/>
    <x v="162"/>
    <x v="162"/>
    <x v="69"/>
    <x v="5"/>
  </r>
  <r>
    <x v="732"/>
    <x v="17"/>
    <x v="0"/>
    <x v="32"/>
    <x v="52"/>
    <x v="0"/>
    <x v="0"/>
    <x v="13"/>
    <x v="37"/>
    <x v="71"/>
    <x v="0"/>
    <x v="161"/>
    <x v="2"/>
    <x v="162"/>
    <x v="162"/>
    <x v="70"/>
    <x v="5"/>
  </r>
  <r>
    <x v="733"/>
    <x v="17"/>
    <x v="0"/>
    <x v="32"/>
    <x v="53"/>
    <x v="0"/>
    <x v="0"/>
    <x v="12"/>
    <x v="35"/>
    <x v="68"/>
    <x v="0"/>
    <x v="49"/>
    <x v="2"/>
    <x v="49"/>
    <x v="49"/>
    <x v="67"/>
    <x v="0"/>
  </r>
  <r>
    <x v="734"/>
    <x v="17"/>
    <x v="0"/>
    <x v="32"/>
    <x v="53"/>
    <x v="0"/>
    <x v="0"/>
    <x v="12"/>
    <x v="35"/>
    <x v="69"/>
    <x v="0"/>
    <x v="49"/>
    <x v="2"/>
    <x v="49"/>
    <x v="49"/>
    <x v="68"/>
    <x v="0"/>
  </r>
  <r>
    <x v="735"/>
    <x v="17"/>
    <x v="0"/>
    <x v="32"/>
    <x v="52"/>
    <x v="0"/>
    <x v="0"/>
    <x v="93"/>
    <x v="21"/>
    <x v="40"/>
    <x v="0"/>
    <x v="162"/>
    <x v="2"/>
    <x v="163"/>
    <x v="163"/>
    <x v="39"/>
    <x v="2"/>
  </r>
  <r>
    <x v="736"/>
    <x v="17"/>
    <x v="0"/>
    <x v="32"/>
    <x v="52"/>
    <x v="0"/>
    <x v="0"/>
    <x v="93"/>
    <x v="21"/>
    <x v="41"/>
    <x v="0"/>
    <x v="162"/>
    <x v="2"/>
    <x v="163"/>
    <x v="163"/>
    <x v="40"/>
    <x v="2"/>
  </r>
  <r>
    <x v="737"/>
    <x v="12"/>
    <x v="0"/>
    <x v="32"/>
    <x v="55"/>
    <x v="0"/>
    <x v="1"/>
    <x v="8"/>
    <x v="0"/>
    <x v="0"/>
    <x v="0"/>
    <x v="11"/>
    <x v="2"/>
    <x v="10"/>
    <x v="10"/>
    <x v="0"/>
    <x v="0"/>
  </r>
  <r>
    <x v="738"/>
    <x v="12"/>
    <x v="0"/>
    <x v="32"/>
    <x v="55"/>
    <x v="0"/>
    <x v="1"/>
    <x v="8"/>
    <x v="0"/>
    <x v="1"/>
    <x v="0"/>
    <x v="11"/>
    <x v="2"/>
    <x v="10"/>
    <x v="10"/>
    <x v="1"/>
    <x v="0"/>
  </r>
  <r>
    <x v="739"/>
    <x v="8"/>
    <x v="0"/>
    <x v="32"/>
    <x v="53"/>
    <x v="0"/>
    <x v="62"/>
    <x v="14"/>
    <x v="4"/>
    <x v="59"/>
    <x v="0"/>
    <x v="163"/>
    <x v="2"/>
    <x v="164"/>
    <x v="164"/>
    <x v="58"/>
    <x v="2"/>
  </r>
  <r>
    <x v="740"/>
    <x v="8"/>
    <x v="0"/>
    <x v="32"/>
    <x v="53"/>
    <x v="0"/>
    <x v="62"/>
    <x v="14"/>
    <x v="4"/>
    <x v="60"/>
    <x v="0"/>
    <x v="163"/>
    <x v="2"/>
    <x v="164"/>
    <x v="164"/>
    <x v="59"/>
    <x v="2"/>
  </r>
  <r>
    <x v="741"/>
    <x v="8"/>
    <x v="0"/>
    <x v="32"/>
    <x v="52"/>
    <x v="0"/>
    <x v="0"/>
    <x v="0"/>
    <x v="4"/>
    <x v="59"/>
    <x v="0"/>
    <x v="164"/>
    <x v="2"/>
    <x v="165"/>
    <x v="165"/>
    <x v="58"/>
    <x v="2"/>
  </r>
  <r>
    <x v="742"/>
    <x v="8"/>
    <x v="0"/>
    <x v="32"/>
    <x v="52"/>
    <x v="0"/>
    <x v="0"/>
    <x v="0"/>
    <x v="4"/>
    <x v="60"/>
    <x v="0"/>
    <x v="164"/>
    <x v="2"/>
    <x v="165"/>
    <x v="165"/>
    <x v="59"/>
    <x v="2"/>
  </r>
  <r>
    <x v="743"/>
    <x v="8"/>
    <x v="0"/>
    <x v="32"/>
    <x v="51"/>
    <x v="0"/>
    <x v="0"/>
    <x v="0"/>
    <x v="38"/>
    <x v="75"/>
    <x v="0"/>
    <x v="165"/>
    <x v="2"/>
    <x v="166"/>
    <x v="166"/>
    <x v="74"/>
    <x v="3"/>
  </r>
  <r>
    <x v="744"/>
    <x v="27"/>
    <x v="0"/>
    <x v="32"/>
    <x v="51"/>
    <x v="0"/>
    <x v="26"/>
    <x v="0"/>
    <x v="30"/>
    <x v="57"/>
    <x v="0"/>
    <x v="35"/>
    <x v="2"/>
    <x v="36"/>
    <x v="36"/>
    <x v="56"/>
    <x v="2"/>
  </r>
  <r>
    <x v="745"/>
    <x v="27"/>
    <x v="0"/>
    <x v="32"/>
    <x v="51"/>
    <x v="0"/>
    <x v="26"/>
    <x v="0"/>
    <x v="30"/>
    <x v="58"/>
    <x v="0"/>
    <x v="35"/>
    <x v="2"/>
    <x v="36"/>
    <x v="36"/>
    <x v="57"/>
    <x v="2"/>
  </r>
  <r>
    <x v="746"/>
    <x v="27"/>
    <x v="0"/>
    <x v="32"/>
    <x v="52"/>
    <x v="0"/>
    <x v="63"/>
    <x v="94"/>
    <x v="21"/>
    <x v="40"/>
    <x v="0"/>
    <x v="166"/>
    <x v="2"/>
    <x v="167"/>
    <x v="167"/>
    <x v="39"/>
    <x v="2"/>
  </r>
  <r>
    <x v="747"/>
    <x v="27"/>
    <x v="0"/>
    <x v="32"/>
    <x v="52"/>
    <x v="0"/>
    <x v="63"/>
    <x v="94"/>
    <x v="21"/>
    <x v="41"/>
    <x v="0"/>
    <x v="166"/>
    <x v="2"/>
    <x v="167"/>
    <x v="167"/>
    <x v="40"/>
    <x v="2"/>
  </r>
  <r>
    <x v="748"/>
    <x v="9"/>
    <x v="0"/>
    <x v="32"/>
    <x v="53"/>
    <x v="0"/>
    <x v="64"/>
    <x v="6"/>
    <x v="14"/>
    <x v="26"/>
    <x v="0"/>
    <x v="105"/>
    <x v="2"/>
    <x v="58"/>
    <x v="58"/>
    <x v="26"/>
    <x v="5"/>
  </r>
  <r>
    <x v="749"/>
    <x v="9"/>
    <x v="0"/>
    <x v="32"/>
    <x v="53"/>
    <x v="0"/>
    <x v="64"/>
    <x v="6"/>
    <x v="14"/>
    <x v="27"/>
    <x v="0"/>
    <x v="105"/>
    <x v="2"/>
    <x v="58"/>
    <x v="58"/>
    <x v="27"/>
    <x v="5"/>
  </r>
  <r>
    <x v="750"/>
    <x v="9"/>
    <x v="0"/>
    <x v="32"/>
    <x v="52"/>
    <x v="0"/>
    <x v="0"/>
    <x v="13"/>
    <x v="22"/>
    <x v="42"/>
    <x v="0"/>
    <x v="167"/>
    <x v="2"/>
    <x v="168"/>
    <x v="168"/>
    <x v="41"/>
    <x v="2"/>
  </r>
  <r>
    <x v="751"/>
    <x v="9"/>
    <x v="0"/>
    <x v="32"/>
    <x v="52"/>
    <x v="0"/>
    <x v="0"/>
    <x v="13"/>
    <x v="22"/>
    <x v="43"/>
    <x v="0"/>
    <x v="167"/>
    <x v="2"/>
    <x v="168"/>
    <x v="168"/>
    <x v="42"/>
    <x v="2"/>
  </r>
  <r>
    <x v="752"/>
    <x v="9"/>
    <x v="0"/>
    <x v="32"/>
    <x v="55"/>
    <x v="0"/>
    <x v="0"/>
    <x v="12"/>
    <x v="2"/>
    <x v="3"/>
    <x v="0"/>
    <x v="156"/>
    <x v="2"/>
    <x v="157"/>
    <x v="157"/>
    <x v="3"/>
    <x v="0"/>
  </r>
  <r>
    <x v="753"/>
    <x v="9"/>
    <x v="0"/>
    <x v="32"/>
    <x v="55"/>
    <x v="0"/>
    <x v="0"/>
    <x v="12"/>
    <x v="2"/>
    <x v="4"/>
    <x v="0"/>
    <x v="156"/>
    <x v="2"/>
    <x v="157"/>
    <x v="157"/>
    <x v="4"/>
    <x v="0"/>
  </r>
  <r>
    <x v="754"/>
    <x v="9"/>
    <x v="0"/>
    <x v="32"/>
    <x v="52"/>
    <x v="0"/>
    <x v="0"/>
    <x v="0"/>
    <x v="2"/>
    <x v="3"/>
    <x v="0"/>
    <x v="168"/>
    <x v="2"/>
    <x v="169"/>
    <x v="169"/>
    <x v="3"/>
    <x v="0"/>
  </r>
  <r>
    <x v="755"/>
    <x v="9"/>
    <x v="0"/>
    <x v="32"/>
    <x v="52"/>
    <x v="0"/>
    <x v="0"/>
    <x v="0"/>
    <x v="2"/>
    <x v="4"/>
    <x v="0"/>
    <x v="168"/>
    <x v="2"/>
    <x v="169"/>
    <x v="169"/>
    <x v="4"/>
    <x v="0"/>
  </r>
  <r>
    <x v="756"/>
    <x v="28"/>
    <x v="0"/>
    <x v="32"/>
    <x v="52"/>
    <x v="0"/>
    <x v="65"/>
    <x v="28"/>
    <x v="43"/>
    <x v="92"/>
    <x v="0"/>
    <x v="169"/>
    <x v="2"/>
    <x v="170"/>
    <x v="170"/>
    <x v="90"/>
    <x v="8"/>
  </r>
  <r>
    <x v="757"/>
    <x v="28"/>
    <x v="0"/>
    <x v="32"/>
    <x v="55"/>
    <x v="0"/>
    <x v="8"/>
    <x v="0"/>
    <x v="13"/>
    <x v="24"/>
    <x v="0"/>
    <x v="47"/>
    <x v="2"/>
    <x v="47"/>
    <x v="47"/>
    <x v="24"/>
    <x v="5"/>
  </r>
  <r>
    <x v="758"/>
    <x v="28"/>
    <x v="0"/>
    <x v="32"/>
    <x v="55"/>
    <x v="0"/>
    <x v="8"/>
    <x v="0"/>
    <x v="13"/>
    <x v="25"/>
    <x v="0"/>
    <x v="47"/>
    <x v="2"/>
    <x v="47"/>
    <x v="47"/>
    <x v="25"/>
    <x v="5"/>
  </r>
  <r>
    <x v="759"/>
    <x v="10"/>
    <x v="0"/>
    <x v="32"/>
    <x v="52"/>
    <x v="0"/>
    <x v="66"/>
    <x v="0"/>
    <x v="30"/>
    <x v="57"/>
    <x v="0"/>
    <x v="170"/>
    <x v="2"/>
    <x v="171"/>
    <x v="171"/>
    <x v="56"/>
    <x v="2"/>
  </r>
  <r>
    <x v="760"/>
    <x v="10"/>
    <x v="0"/>
    <x v="32"/>
    <x v="52"/>
    <x v="0"/>
    <x v="66"/>
    <x v="0"/>
    <x v="30"/>
    <x v="58"/>
    <x v="0"/>
    <x v="170"/>
    <x v="2"/>
    <x v="171"/>
    <x v="171"/>
    <x v="57"/>
    <x v="2"/>
  </r>
  <r>
    <x v="761"/>
    <x v="10"/>
    <x v="0"/>
    <x v="32"/>
    <x v="52"/>
    <x v="0"/>
    <x v="66"/>
    <x v="0"/>
    <x v="30"/>
    <x v="57"/>
    <x v="0"/>
    <x v="106"/>
    <x v="2"/>
    <x v="102"/>
    <x v="102"/>
    <x v="56"/>
    <x v="2"/>
  </r>
  <r>
    <x v="762"/>
    <x v="10"/>
    <x v="0"/>
    <x v="32"/>
    <x v="52"/>
    <x v="0"/>
    <x v="66"/>
    <x v="0"/>
    <x v="30"/>
    <x v="58"/>
    <x v="0"/>
    <x v="106"/>
    <x v="2"/>
    <x v="102"/>
    <x v="102"/>
    <x v="57"/>
    <x v="2"/>
  </r>
  <r>
    <x v="763"/>
    <x v="31"/>
    <x v="0"/>
    <x v="32"/>
    <x v="52"/>
    <x v="1"/>
    <x v="25"/>
    <x v="95"/>
    <x v="44"/>
    <x v="82"/>
    <x v="0"/>
    <x v="171"/>
    <x v="14"/>
    <x v="172"/>
    <x v="172"/>
    <x v="81"/>
    <x v="6"/>
  </r>
  <r>
    <x v="764"/>
    <x v="10"/>
    <x v="0"/>
    <x v="32"/>
    <x v="52"/>
    <x v="0"/>
    <x v="41"/>
    <x v="38"/>
    <x v="18"/>
    <x v="34"/>
    <x v="0"/>
    <x v="172"/>
    <x v="2"/>
    <x v="173"/>
    <x v="173"/>
    <x v="33"/>
    <x v="5"/>
  </r>
  <r>
    <x v="765"/>
    <x v="10"/>
    <x v="0"/>
    <x v="32"/>
    <x v="52"/>
    <x v="0"/>
    <x v="41"/>
    <x v="38"/>
    <x v="18"/>
    <x v="35"/>
    <x v="0"/>
    <x v="172"/>
    <x v="2"/>
    <x v="173"/>
    <x v="173"/>
    <x v="34"/>
    <x v="5"/>
  </r>
  <r>
    <x v="766"/>
    <x v="10"/>
    <x v="0"/>
    <x v="32"/>
    <x v="52"/>
    <x v="0"/>
    <x v="67"/>
    <x v="12"/>
    <x v="20"/>
    <x v="38"/>
    <x v="0"/>
    <x v="173"/>
    <x v="2"/>
    <x v="174"/>
    <x v="174"/>
    <x v="37"/>
    <x v="0"/>
  </r>
  <r>
    <x v="767"/>
    <x v="10"/>
    <x v="0"/>
    <x v="32"/>
    <x v="52"/>
    <x v="0"/>
    <x v="67"/>
    <x v="12"/>
    <x v="20"/>
    <x v="39"/>
    <x v="0"/>
    <x v="173"/>
    <x v="2"/>
    <x v="174"/>
    <x v="174"/>
    <x v="38"/>
    <x v="0"/>
  </r>
  <r>
    <x v="768"/>
    <x v="9"/>
    <x v="0"/>
    <x v="32"/>
    <x v="56"/>
    <x v="2"/>
    <x v="68"/>
    <x v="96"/>
    <x v="46"/>
    <x v="75"/>
    <x v="0"/>
    <x v="39"/>
    <x v="14"/>
    <x v="98"/>
    <x v="98"/>
    <x v="74"/>
    <x v="3"/>
  </r>
  <r>
    <x v="769"/>
    <x v="39"/>
    <x v="0"/>
    <x v="32"/>
    <x v="56"/>
    <x v="0"/>
    <x v="32"/>
    <x v="64"/>
    <x v="3"/>
    <x v="99"/>
    <x v="0"/>
    <x v="11"/>
    <x v="2"/>
    <x v="10"/>
    <x v="10"/>
    <x v="97"/>
    <x v="0"/>
  </r>
  <r>
    <x v="770"/>
    <x v="15"/>
    <x v="0"/>
    <x v="34"/>
    <x v="57"/>
    <x v="0"/>
    <x v="0"/>
    <x v="59"/>
    <x v="21"/>
    <x v="40"/>
    <x v="0"/>
    <x v="174"/>
    <x v="2"/>
    <x v="72"/>
    <x v="72"/>
    <x v="39"/>
    <x v="2"/>
  </r>
  <r>
    <x v="771"/>
    <x v="15"/>
    <x v="0"/>
    <x v="34"/>
    <x v="57"/>
    <x v="0"/>
    <x v="0"/>
    <x v="59"/>
    <x v="21"/>
    <x v="41"/>
    <x v="0"/>
    <x v="174"/>
    <x v="2"/>
    <x v="72"/>
    <x v="72"/>
    <x v="40"/>
    <x v="2"/>
  </r>
  <r>
    <x v="772"/>
    <x v="15"/>
    <x v="0"/>
    <x v="34"/>
    <x v="58"/>
    <x v="0"/>
    <x v="1"/>
    <x v="97"/>
    <x v="21"/>
    <x v="40"/>
    <x v="0"/>
    <x v="175"/>
    <x v="2"/>
    <x v="175"/>
    <x v="175"/>
    <x v="39"/>
    <x v="2"/>
  </r>
  <r>
    <x v="773"/>
    <x v="15"/>
    <x v="0"/>
    <x v="34"/>
    <x v="58"/>
    <x v="0"/>
    <x v="1"/>
    <x v="97"/>
    <x v="21"/>
    <x v="41"/>
    <x v="0"/>
    <x v="175"/>
    <x v="2"/>
    <x v="175"/>
    <x v="175"/>
    <x v="40"/>
    <x v="2"/>
  </r>
  <r>
    <x v="774"/>
    <x v="24"/>
    <x v="0"/>
    <x v="34"/>
    <x v="59"/>
    <x v="0"/>
    <x v="69"/>
    <x v="13"/>
    <x v="15"/>
    <x v="28"/>
    <x v="0"/>
    <x v="39"/>
    <x v="2"/>
    <x v="98"/>
    <x v="98"/>
    <x v="28"/>
    <x v="0"/>
  </r>
  <r>
    <x v="775"/>
    <x v="24"/>
    <x v="0"/>
    <x v="34"/>
    <x v="59"/>
    <x v="0"/>
    <x v="69"/>
    <x v="13"/>
    <x v="15"/>
    <x v="29"/>
    <x v="0"/>
    <x v="39"/>
    <x v="2"/>
    <x v="98"/>
    <x v="98"/>
    <x v="29"/>
    <x v="0"/>
  </r>
  <r>
    <x v="776"/>
    <x v="18"/>
    <x v="0"/>
    <x v="34"/>
    <x v="60"/>
    <x v="0"/>
    <x v="27"/>
    <x v="0"/>
    <x v="33"/>
    <x v="63"/>
    <x v="0"/>
    <x v="103"/>
    <x v="2"/>
    <x v="100"/>
    <x v="100"/>
    <x v="62"/>
    <x v="5"/>
  </r>
  <r>
    <x v="777"/>
    <x v="18"/>
    <x v="0"/>
    <x v="34"/>
    <x v="60"/>
    <x v="0"/>
    <x v="27"/>
    <x v="0"/>
    <x v="33"/>
    <x v="64"/>
    <x v="0"/>
    <x v="103"/>
    <x v="2"/>
    <x v="100"/>
    <x v="100"/>
    <x v="63"/>
    <x v="5"/>
  </r>
  <r>
    <x v="778"/>
    <x v="2"/>
    <x v="0"/>
    <x v="34"/>
    <x v="58"/>
    <x v="0"/>
    <x v="4"/>
    <x v="75"/>
    <x v="2"/>
    <x v="3"/>
    <x v="0"/>
    <x v="176"/>
    <x v="2"/>
    <x v="176"/>
    <x v="176"/>
    <x v="3"/>
    <x v="0"/>
  </r>
  <r>
    <x v="779"/>
    <x v="2"/>
    <x v="0"/>
    <x v="34"/>
    <x v="58"/>
    <x v="0"/>
    <x v="4"/>
    <x v="75"/>
    <x v="2"/>
    <x v="4"/>
    <x v="0"/>
    <x v="176"/>
    <x v="2"/>
    <x v="176"/>
    <x v="176"/>
    <x v="4"/>
    <x v="0"/>
  </r>
  <r>
    <x v="780"/>
    <x v="17"/>
    <x v="0"/>
    <x v="34"/>
    <x v="61"/>
    <x v="0"/>
    <x v="1"/>
    <x v="97"/>
    <x v="21"/>
    <x v="40"/>
    <x v="0"/>
    <x v="177"/>
    <x v="14"/>
    <x v="177"/>
    <x v="177"/>
    <x v="39"/>
    <x v="2"/>
  </r>
  <r>
    <x v="781"/>
    <x v="17"/>
    <x v="0"/>
    <x v="34"/>
    <x v="61"/>
    <x v="0"/>
    <x v="1"/>
    <x v="97"/>
    <x v="21"/>
    <x v="41"/>
    <x v="0"/>
    <x v="177"/>
    <x v="14"/>
    <x v="177"/>
    <x v="177"/>
    <x v="40"/>
    <x v="2"/>
  </r>
  <r>
    <x v="782"/>
    <x v="3"/>
    <x v="0"/>
    <x v="34"/>
    <x v="62"/>
    <x v="0"/>
    <x v="0"/>
    <x v="59"/>
    <x v="29"/>
    <x v="65"/>
    <x v="0"/>
    <x v="92"/>
    <x v="2"/>
    <x v="88"/>
    <x v="88"/>
    <x v="64"/>
    <x v="5"/>
  </r>
  <r>
    <x v="783"/>
    <x v="3"/>
    <x v="0"/>
    <x v="34"/>
    <x v="62"/>
    <x v="0"/>
    <x v="0"/>
    <x v="59"/>
    <x v="29"/>
    <x v="55"/>
    <x v="0"/>
    <x v="92"/>
    <x v="2"/>
    <x v="88"/>
    <x v="88"/>
    <x v="54"/>
    <x v="5"/>
  </r>
  <r>
    <x v="784"/>
    <x v="4"/>
    <x v="0"/>
    <x v="34"/>
    <x v="63"/>
    <x v="0"/>
    <x v="70"/>
    <x v="39"/>
    <x v="34"/>
    <x v="5"/>
    <x v="0"/>
    <x v="108"/>
    <x v="2"/>
    <x v="104"/>
    <x v="104"/>
    <x v="5"/>
    <x v="2"/>
  </r>
  <r>
    <x v="785"/>
    <x v="4"/>
    <x v="0"/>
    <x v="34"/>
    <x v="63"/>
    <x v="0"/>
    <x v="70"/>
    <x v="39"/>
    <x v="34"/>
    <x v="100"/>
    <x v="0"/>
    <x v="108"/>
    <x v="2"/>
    <x v="104"/>
    <x v="104"/>
    <x v="98"/>
    <x v="2"/>
  </r>
  <r>
    <x v="786"/>
    <x v="11"/>
    <x v="0"/>
    <x v="34"/>
    <x v="57"/>
    <x v="0"/>
    <x v="32"/>
    <x v="8"/>
    <x v="12"/>
    <x v="22"/>
    <x v="0"/>
    <x v="102"/>
    <x v="2"/>
    <x v="99"/>
    <x v="99"/>
    <x v="22"/>
    <x v="5"/>
  </r>
  <r>
    <x v="787"/>
    <x v="11"/>
    <x v="0"/>
    <x v="34"/>
    <x v="57"/>
    <x v="0"/>
    <x v="32"/>
    <x v="8"/>
    <x v="12"/>
    <x v="23"/>
    <x v="0"/>
    <x v="102"/>
    <x v="2"/>
    <x v="99"/>
    <x v="99"/>
    <x v="23"/>
    <x v="5"/>
  </r>
  <r>
    <x v="788"/>
    <x v="13"/>
    <x v="0"/>
    <x v="35"/>
    <x v="64"/>
    <x v="0"/>
    <x v="38"/>
    <x v="30"/>
    <x v="6"/>
    <x v="10"/>
    <x v="0"/>
    <x v="13"/>
    <x v="2"/>
    <x v="13"/>
    <x v="13"/>
    <x v="10"/>
    <x v="4"/>
  </r>
  <r>
    <x v="789"/>
    <x v="13"/>
    <x v="0"/>
    <x v="35"/>
    <x v="64"/>
    <x v="0"/>
    <x v="38"/>
    <x v="30"/>
    <x v="6"/>
    <x v="11"/>
    <x v="0"/>
    <x v="13"/>
    <x v="2"/>
    <x v="13"/>
    <x v="13"/>
    <x v="11"/>
    <x v="4"/>
  </r>
  <r>
    <x v="790"/>
    <x v="13"/>
    <x v="0"/>
    <x v="35"/>
    <x v="64"/>
    <x v="0"/>
    <x v="10"/>
    <x v="4"/>
    <x v="30"/>
    <x v="57"/>
    <x v="0"/>
    <x v="48"/>
    <x v="2"/>
    <x v="48"/>
    <x v="48"/>
    <x v="56"/>
    <x v="2"/>
  </r>
  <r>
    <x v="791"/>
    <x v="13"/>
    <x v="0"/>
    <x v="35"/>
    <x v="64"/>
    <x v="0"/>
    <x v="10"/>
    <x v="4"/>
    <x v="30"/>
    <x v="58"/>
    <x v="0"/>
    <x v="48"/>
    <x v="2"/>
    <x v="48"/>
    <x v="48"/>
    <x v="57"/>
    <x v="2"/>
  </r>
  <r>
    <x v="792"/>
    <x v="13"/>
    <x v="0"/>
    <x v="35"/>
    <x v="64"/>
    <x v="0"/>
    <x v="8"/>
    <x v="12"/>
    <x v="30"/>
    <x v="57"/>
    <x v="0"/>
    <x v="178"/>
    <x v="2"/>
    <x v="178"/>
    <x v="178"/>
    <x v="56"/>
    <x v="2"/>
  </r>
  <r>
    <x v="793"/>
    <x v="13"/>
    <x v="0"/>
    <x v="35"/>
    <x v="64"/>
    <x v="0"/>
    <x v="8"/>
    <x v="12"/>
    <x v="30"/>
    <x v="58"/>
    <x v="0"/>
    <x v="178"/>
    <x v="2"/>
    <x v="178"/>
    <x v="178"/>
    <x v="57"/>
    <x v="2"/>
  </r>
  <r>
    <x v="794"/>
    <x v="13"/>
    <x v="0"/>
    <x v="35"/>
    <x v="64"/>
    <x v="0"/>
    <x v="8"/>
    <x v="43"/>
    <x v="0"/>
    <x v="0"/>
    <x v="0"/>
    <x v="179"/>
    <x v="2"/>
    <x v="179"/>
    <x v="179"/>
    <x v="0"/>
    <x v="0"/>
  </r>
  <r>
    <x v="795"/>
    <x v="13"/>
    <x v="0"/>
    <x v="35"/>
    <x v="64"/>
    <x v="0"/>
    <x v="8"/>
    <x v="43"/>
    <x v="0"/>
    <x v="1"/>
    <x v="0"/>
    <x v="179"/>
    <x v="2"/>
    <x v="179"/>
    <x v="179"/>
    <x v="1"/>
    <x v="0"/>
  </r>
  <r>
    <x v="796"/>
    <x v="23"/>
    <x v="0"/>
    <x v="35"/>
    <x v="64"/>
    <x v="1"/>
    <x v="8"/>
    <x v="12"/>
    <x v="5"/>
    <x v="9"/>
    <x v="0"/>
    <x v="110"/>
    <x v="14"/>
    <x v="106"/>
    <x v="106"/>
    <x v="9"/>
    <x v="3"/>
  </r>
  <r>
    <x v="797"/>
    <x v="13"/>
    <x v="0"/>
    <x v="35"/>
    <x v="64"/>
    <x v="0"/>
    <x v="0"/>
    <x v="55"/>
    <x v="30"/>
    <x v="57"/>
    <x v="0"/>
    <x v="180"/>
    <x v="2"/>
    <x v="180"/>
    <x v="180"/>
    <x v="56"/>
    <x v="2"/>
  </r>
  <r>
    <x v="798"/>
    <x v="13"/>
    <x v="0"/>
    <x v="35"/>
    <x v="64"/>
    <x v="0"/>
    <x v="0"/>
    <x v="55"/>
    <x v="30"/>
    <x v="58"/>
    <x v="0"/>
    <x v="180"/>
    <x v="2"/>
    <x v="180"/>
    <x v="180"/>
    <x v="57"/>
    <x v="2"/>
  </r>
  <r>
    <x v="799"/>
    <x v="15"/>
    <x v="0"/>
    <x v="35"/>
    <x v="64"/>
    <x v="0"/>
    <x v="9"/>
    <x v="55"/>
    <x v="21"/>
    <x v="40"/>
    <x v="0"/>
    <x v="181"/>
    <x v="2"/>
    <x v="181"/>
    <x v="181"/>
    <x v="39"/>
    <x v="2"/>
  </r>
  <r>
    <x v="800"/>
    <x v="15"/>
    <x v="0"/>
    <x v="35"/>
    <x v="64"/>
    <x v="0"/>
    <x v="9"/>
    <x v="55"/>
    <x v="21"/>
    <x v="41"/>
    <x v="0"/>
    <x v="181"/>
    <x v="2"/>
    <x v="181"/>
    <x v="181"/>
    <x v="40"/>
    <x v="2"/>
  </r>
  <r>
    <x v="801"/>
    <x v="16"/>
    <x v="0"/>
    <x v="35"/>
    <x v="64"/>
    <x v="1"/>
    <x v="9"/>
    <x v="55"/>
    <x v="5"/>
    <x v="9"/>
    <x v="0"/>
    <x v="182"/>
    <x v="14"/>
    <x v="182"/>
    <x v="182"/>
    <x v="9"/>
    <x v="3"/>
  </r>
  <r>
    <x v="802"/>
    <x v="24"/>
    <x v="0"/>
    <x v="35"/>
    <x v="64"/>
    <x v="0"/>
    <x v="12"/>
    <x v="6"/>
    <x v="15"/>
    <x v="28"/>
    <x v="0"/>
    <x v="165"/>
    <x v="2"/>
    <x v="166"/>
    <x v="166"/>
    <x v="28"/>
    <x v="0"/>
  </r>
  <r>
    <x v="803"/>
    <x v="24"/>
    <x v="0"/>
    <x v="35"/>
    <x v="64"/>
    <x v="0"/>
    <x v="12"/>
    <x v="6"/>
    <x v="15"/>
    <x v="29"/>
    <x v="0"/>
    <x v="165"/>
    <x v="2"/>
    <x v="166"/>
    <x v="166"/>
    <x v="29"/>
    <x v="0"/>
  </r>
  <r>
    <x v="804"/>
    <x v="24"/>
    <x v="0"/>
    <x v="35"/>
    <x v="64"/>
    <x v="0"/>
    <x v="8"/>
    <x v="14"/>
    <x v="15"/>
    <x v="28"/>
    <x v="0"/>
    <x v="2"/>
    <x v="2"/>
    <x v="2"/>
    <x v="2"/>
    <x v="28"/>
    <x v="0"/>
  </r>
  <r>
    <x v="805"/>
    <x v="24"/>
    <x v="0"/>
    <x v="35"/>
    <x v="64"/>
    <x v="0"/>
    <x v="8"/>
    <x v="14"/>
    <x v="15"/>
    <x v="29"/>
    <x v="0"/>
    <x v="2"/>
    <x v="2"/>
    <x v="2"/>
    <x v="2"/>
    <x v="29"/>
    <x v="0"/>
  </r>
  <r>
    <x v="806"/>
    <x v="26"/>
    <x v="0"/>
    <x v="35"/>
    <x v="64"/>
    <x v="1"/>
    <x v="8"/>
    <x v="14"/>
    <x v="5"/>
    <x v="9"/>
    <x v="0"/>
    <x v="102"/>
    <x v="14"/>
    <x v="99"/>
    <x v="99"/>
    <x v="9"/>
    <x v="3"/>
  </r>
  <r>
    <x v="807"/>
    <x v="24"/>
    <x v="0"/>
    <x v="35"/>
    <x v="64"/>
    <x v="0"/>
    <x v="12"/>
    <x v="43"/>
    <x v="15"/>
    <x v="28"/>
    <x v="0"/>
    <x v="110"/>
    <x v="2"/>
    <x v="106"/>
    <x v="106"/>
    <x v="28"/>
    <x v="0"/>
  </r>
  <r>
    <x v="808"/>
    <x v="24"/>
    <x v="0"/>
    <x v="35"/>
    <x v="64"/>
    <x v="0"/>
    <x v="12"/>
    <x v="43"/>
    <x v="15"/>
    <x v="29"/>
    <x v="0"/>
    <x v="110"/>
    <x v="2"/>
    <x v="106"/>
    <x v="106"/>
    <x v="29"/>
    <x v="0"/>
  </r>
  <r>
    <x v="809"/>
    <x v="25"/>
    <x v="0"/>
    <x v="35"/>
    <x v="64"/>
    <x v="0"/>
    <x v="0"/>
    <x v="43"/>
    <x v="31"/>
    <x v="38"/>
    <x v="0"/>
    <x v="183"/>
    <x v="2"/>
    <x v="183"/>
    <x v="183"/>
    <x v="37"/>
    <x v="0"/>
  </r>
  <r>
    <x v="810"/>
    <x v="25"/>
    <x v="0"/>
    <x v="35"/>
    <x v="64"/>
    <x v="0"/>
    <x v="0"/>
    <x v="43"/>
    <x v="31"/>
    <x v="39"/>
    <x v="0"/>
    <x v="183"/>
    <x v="2"/>
    <x v="183"/>
    <x v="183"/>
    <x v="38"/>
    <x v="0"/>
  </r>
  <r>
    <x v="811"/>
    <x v="25"/>
    <x v="0"/>
    <x v="35"/>
    <x v="64"/>
    <x v="0"/>
    <x v="0"/>
    <x v="63"/>
    <x v="31"/>
    <x v="38"/>
    <x v="0"/>
    <x v="42"/>
    <x v="2"/>
    <x v="8"/>
    <x v="8"/>
    <x v="37"/>
    <x v="0"/>
  </r>
  <r>
    <x v="812"/>
    <x v="25"/>
    <x v="0"/>
    <x v="35"/>
    <x v="64"/>
    <x v="0"/>
    <x v="0"/>
    <x v="63"/>
    <x v="31"/>
    <x v="39"/>
    <x v="0"/>
    <x v="42"/>
    <x v="2"/>
    <x v="8"/>
    <x v="8"/>
    <x v="38"/>
    <x v="0"/>
  </r>
  <r>
    <x v="813"/>
    <x v="5"/>
    <x v="0"/>
    <x v="35"/>
    <x v="64"/>
    <x v="0"/>
    <x v="10"/>
    <x v="98"/>
    <x v="24"/>
    <x v="46"/>
    <x v="0"/>
    <x v="23"/>
    <x v="2"/>
    <x v="23"/>
    <x v="23"/>
    <x v="45"/>
    <x v="0"/>
  </r>
  <r>
    <x v="814"/>
    <x v="5"/>
    <x v="0"/>
    <x v="35"/>
    <x v="64"/>
    <x v="0"/>
    <x v="10"/>
    <x v="98"/>
    <x v="24"/>
    <x v="47"/>
    <x v="0"/>
    <x v="23"/>
    <x v="2"/>
    <x v="23"/>
    <x v="23"/>
    <x v="46"/>
    <x v="0"/>
  </r>
  <r>
    <x v="815"/>
    <x v="1"/>
    <x v="0"/>
    <x v="35"/>
    <x v="64"/>
    <x v="0"/>
    <x v="0"/>
    <x v="29"/>
    <x v="2"/>
    <x v="3"/>
    <x v="0"/>
    <x v="47"/>
    <x v="2"/>
    <x v="47"/>
    <x v="47"/>
    <x v="3"/>
    <x v="0"/>
  </r>
  <r>
    <x v="816"/>
    <x v="1"/>
    <x v="0"/>
    <x v="35"/>
    <x v="64"/>
    <x v="0"/>
    <x v="0"/>
    <x v="29"/>
    <x v="2"/>
    <x v="4"/>
    <x v="0"/>
    <x v="47"/>
    <x v="2"/>
    <x v="47"/>
    <x v="47"/>
    <x v="4"/>
    <x v="0"/>
  </r>
  <r>
    <x v="817"/>
    <x v="1"/>
    <x v="0"/>
    <x v="35"/>
    <x v="64"/>
    <x v="0"/>
    <x v="10"/>
    <x v="29"/>
    <x v="22"/>
    <x v="42"/>
    <x v="0"/>
    <x v="145"/>
    <x v="2"/>
    <x v="143"/>
    <x v="143"/>
    <x v="41"/>
    <x v="2"/>
  </r>
  <r>
    <x v="818"/>
    <x v="1"/>
    <x v="0"/>
    <x v="35"/>
    <x v="64"/>
    <x v="0"/>
    <x v="10"/>
    <x v="29"/>
    <x v="22"/>
    <x v="43"/>
    <x v="0"/>
    <x v="145"/>
    <x v="2"/>
    <x v="143"/>
    <x v="143"/>
    <x v="42"/>
    <x v="2"/>
  </r>
  <r>
    <x v="819"/>
    <x v="17"/>
    <x v="0"/>
    <x v="35"/>
    <x v="64"/>
    <x v="0"/>
    <x v="42"/>
    <x v="42"/>
    <x v="37"/>
    <x v="70"/>
    <x v="0"/>
    <x v="23"/>
    <x v="2"/>
    <x v="23"/>
    <x v="23"/>
    <x v="69"/>
    <x v="5"/>
  </r>
  <r>
    <x v="820"/>
    <x v="17"/>
    <x v="0"/>
    <x v="35"/>
    <x v="64"/>
    <x v="0"/>
    <x v="42"/>
    <x v="42"/>
    <x v="37"/>
    <x v="71"/>
    <x v="0"/>
    <x v="23"/>
    <x v="2"/>
    <x v="23"/>
    <x v="23"/>
    <x v="70"/>
    <x v="5"/>
  </r>
  <r>
    <x v="821"/>
    <x v="17"/>
    <x v="0"/>
    <x v="35"/>
    <x v="64"/>
    <x v="0"/>
    <x v="10"/>
    <x v="99"/>
    <x v="16"/>
    <x v="30"/>
    <x v="0"/>
    <x v="184"/>
    <x v="2"/>
    <x v="184"/>
    <x v="184"/>
    <x v="30"/>
    <x v="0"/>
  </r>
  <r>
    <x v="822"/>
    <x v="17"/>
    <x v="0"/>
    <x v="35"/>
    <x v="64"/>
    <x v="0"/>
    <x v="10"/>
    <x v="99"/>
    <x v="16"/>
    <x v="31"/>
    <x v="0"/>
    <x v="184"/>
    <x v="2"/>
    <x v="184"/>
    <x v="184"/>
    <x v="31"/>
    <x v="0"/>
  </r>
  <r>
    <x v="823"/>
    <x v="12"/>
    <x v="0"/>
    <x v="35"/>
    <x v="65"/>
    <x v="0"/>
    <x v="28"/>
    <x v="52"/>
    <x v="12"/>
    <x v="22"/>
    <x v="0"/>
    <x v="185"/>
    <x v="2"/>
    <x v="185"/>
    <x v="185"/>
    <x v="22"/>
    <x v="5"/>
  </r>
  <r>
    <x v="824"/>
    <x v="12"/>
    <x v="0"/>
    <x v="35"/>
    <x v="65"/>
    <x v="0"/>
    <x v="28"/>
    <x v="52"/>
    <x v="12"/>
    <x v="23"/>
    <x v="0"/>
    <x v="185"/>
    <x v="2"/>
    <x v="185"/>
    <x v="185"/>
    <x v="23"/>
    <x v="5"/>
  </r>
  <r>
    <x v="825"/>
    <x v="12"/>
    <x v="0"/>
    <x v="35"/>
    <x v="64"/>
    <x v="0"/>
    <x v="71"/>
    <x v="100"/>
    <x v="31"/>
    <x v="5"/>
    <x v="0"/>
    <x v="23"/>
    <x v="2"/>
    <x v="23"/>
    <x v="23"/>
    <x v="5"/>
    <x v="0"/>
  </r>
  <r>
    <x v="826"/>
    <x v="12"/>
    <x v="0"/>
    <x v="35"/>
    <x v="64"/>
    <x v="0"/>
    <x v="71"/>
    <x v="100"/>
    <x v="31"/>
    <x v="6"/>
    <x v="0"/>
    <x v="23"/>
    <x v="2"/>
    <x v="23"/>
    <x v="23"/>
    <x v="6"/>
    <x v="0"/>
  </r>
  <r>
    <x v="827"/>
    <x v="12"/>
    <x v="0"/>
    <x v="35"/>
    <x v="64"/>
    <x v="0"/>
    <x v="71"/>
    <x v="100"/>
    <x v="18"/>
    <x v="34"/>
    <x v="0"/>
    <x v="169"/>
    <x v="2"/>
    <x v="170"/>
    <x v="170"/>
    <x v="33"/>
    <x v="5"/>
  </r>
  <r>
    <x v="828"/>
    <x v="12"/>
    <x v="0"/>
    <x v="35"/>
    <x v="64"/>
    <x v="0"/>
    <x v="71"/>
    <x v="100"/>
    <x v="18"/>
    <x v="35"/>
    <x v="0"/>
    <x v="169"/>
    <x v="2"/>
    <x v="170"/>
    <x v="170"/>
    <x v="34"/>
    <x v="5"/>
  </r>
  <r>
    <x v="829"/>
    <x v="2"/>
    <x v="0"/>
    <x v="35"/>
    <x v="65"/>
    <x v="0"/>
    <x v="12"/>
    <x v="101"/>
    <x v="32"/>
    <x v="61"/>
    <x v="0"/>
    <x v="23"/>
    <x v="2"/>
    <x v="23"/>
    <x v="23"/>
    <x v="60"/>
    <x v="0"/>
  </r>
  <r>
    <x v="830"/>
    <x v="2"/>
    <x v="0"/>
    <x v="35"/>
    <x v="65"/>
    <x v="0"/>
    <x v="12"/>
    <x v="101"/>
    <x v="32"/>
    <x v="62"/>
    <x v="0"/>
    <x v="23"/>
    <x v="2"/>
    <x v="23"/>
    <x v="23"/>
    <x v="61"/>
    <x v="0"/>
  </r>
  <r>
    <x v="831"/>
    <x v="2"/>
    <x v="0"/>
    <x v="35"/>
    <x v="65"/>
    <x v="0"/>
    <x v="10"/>
    <x v="101"/>
    <x v="23"/>
    <x v="44"/>
    <x v="0"/>
    <x v="169"/>
    <x v="2"/>
    <x v="170"/>
    <x v="170"/>
    <x v="43"/>
    <x v="0"/>
  </r>
  <r>
    <x v="832"/>
    <x v="2"/>
    <x v="0"/>
    <x v="35"/>
    <x v="65"/>
    <x v="0"/>
    <x v="10"/>
    <x v="101"/>
    <x v="23"/>
    <x v="45"/>
    <x v="0"/>
    <x v="169"/>
    <x v="2"/>
    <x v="170"/>
    <x v="170"/>
    <x v="44"/>
    <x v="0"/>
  </r>
  <r>
    <x v="833"/>
    <x v="27"/>
    <x v="0"/>
    <x v="35"/>
    <x v="64"/>
    <x v="0"/>
    <x v="0"/>
    <x v="0"/>
    <x v="37"/>
    <x v="70"/>
    <x v="0"/>
    <x v="48"/>
    <x v="2"/>
    <x v="48"/>
    <x v="48"/>
    <x v="69"/>
    <x v="5"/>
  </r>
  <r>
    <x v="834"/>
    <x v="27"/>
    <x v="0"/>
    <x v="35"/>
    <x v="64"/>
    <x v="0"/>
    <x v="0"/>
    <x v="0"/>
    <x v="37"/>
    <x v="71"/>
    <x v="0"/>
    <x v="48"/>
    <x v="2"/>
    <x v="48"/>
    <x v="48"/>
    <x v="70"/>
    <x v="5"/>
  </r>
  <r>
    <x v="835"/>
    <x v="9"/>
    <x v="0"/>
    <x v="35"/>
    <x v="64"/>
    <x v="0"/>
    <x v="0"/>
    <x v="101"/>
    <x v="27"/>
    <x v="52"/>
    <x v="0"/>
    <x v="23"/>
    <x v="2"/>
    <x v="23"/>
    <x v="23"/>
    <x v="51"/>
    <x v="0"/>
  </r>
  <r>
    <x v="836"/>
    <x v="9"/>
    <x v="0"/>
    <x v="35"/>
    <x v="64"/>
    <x v="0"/>
    <x v="0"/>
    <x v="101"/>
    <x v="27"/>
    <x v="72"/>
    <x v="0"/>
    <x v="23"/>
    <x v="2"/>
    <x v="23"/>
    <x v="23"/>
    <x v="71"/>
    <x v="0"/>
  </r>
  <r>
    <x v="837"/>
    <x v="9"/>
    <x v="0"/>
    <x v="35"/>
    <x v="64"/>
    <x v="0"/>
    <x v="12"/>
    <x v="6"/>
    <x v="22"/>
    <x v="42"/>
    <x v="0"/>
    <x v="37"/>
    <x v="2"/>
    <x v="38"/>
    <x v="38"/>
    <x v="41"/>
    <x v="2"/>
  </r>
  <r>
    <x v="838"/>
    <x v="9"/>
    <x v="0"/>
    <x v="35"/>
    <x v="64"/>
    <x v="0"/>
    <x v="12"/>
    <x v="6"/>
    <x v="22"/>
    <x v="43"/>
    <x v="0"/>
    <x v="37"/>
    <x v="2"/>
    <x v="38"/>
    <x v="38"/>
    <x v="42"/>
    <x v="2"/>
  </r>
  <r>
    <x v="839"/>
    <x v="28"/>
    <x v="0"/>
    <x v="35"/>
    <x v="64"/>
    <x v="0"/>
    <x v="9"/>
    <x v="102"/>
    <x v="15"/>
    <x v="28"/>
    <x v="0"/>
    <x v="23"/>
    <x v="2"/>
    <x v="23"/>
    <x v="23"/>
    <x v="28"/>
    <x v="0"/>
  </r>
  <r>
    <x v="840"/>
    <x v="28"/>
    <x v="0"/>
    <x v="35"/>
    <x v="64"/>
    <x v="0"/>
    <x v="9"/>
    <x v="102"/>
    <x v="15"/>
    <x v="29"/>
    <x v="0"/>
    <x v="23"/>
    <x v="2"/>
    <x v="23"/>
    <x v="23"/>
    <x v="29"/>
    <x v="0"/>
  </r>
  <r>
    <x v="841"/>
    <x v="28"/>
    <x v="0"/>
    <x v="35"/>
    <x v="64"/>
    <x v="0"/>
    <x v="9"/>
    <x v="76"/>
    <x v="16"/>
    <x v="30"/>
    <x v="0"/>
    <x v="169"/>
    <x v="2"/>
    <x v="170"/>
    <x v="170"/>
    <x v="30"/>
    <x v="0"/>
  </r>
  <r>
    <x v="842"/>
    <x v="28"/>
    <x v="0"/>
    <x v="35"/>
    <x v="64"/>
    <x v="0"/>
    <x v="9"/>
    <x v="76"/>
    <x v="16"/>
    <x v="31"/>
    <x v="0"/>
    <x v="169"/>
    <x v="2"/>
    <x v="170"/>
    <x v="170"/>
    <x v="31"/>
    <x v="0"/>
  </r>
  <r>
    <x v="843"/>
    <x v="22"/>
    <x v="0"/>
    <x v="36"/>
    <x v="66"/>
    <x v="0"/>
    <x v="33"/>
    <x v="4"/>
    <x v="0"/>
    <x v="0"/>
    <x v="0"/>
    <x v="47"/>
    <x v="2"/>
    <x v="47"/>
    <x v="47"/>
    <x v="0"/>
    <x v="0"/>
  </r>
  <r>
    <x v="844"/>
    <x v="22"/>
    <x v="0"/>
    <x v="36"/>
    <x v="66"/>
    <x v="0"/>
    <x v="33"/>
    <x v="4"/>
    <x v="0"/>
    <x v="1"/>
    <x v="0"/>
    <x v="47"/>
    <x v="2"/>
    <x v="47"/>
    <x v="47"/>
    <x v="1"/>
    <x v="0"/>
  </r>
  <r>
    <x v="845"/>
    <x v="6"/>
    <x v="0"/>
    <x v="36"/>
    <x v="66"/>
    <x v="0"/>
    <x v="33"/>
    <x v="30"/>
    <x v="60"/>
    <x v="101"/>
    <x v="0"/>
    <x v="39"/>
    <x v="2"/>
    <x v="98"/>
    <x v="98"/>
    <x v="99"/>
    <x v="11"/>
  </r>
  <r>
    <x v="846"/>
    <x v="6"/>
    <x v="0"/>
    <x v="36"/>
    <x v="66"/>
    <x v="0"/>
    <x v="33"/>
    <x v="34"/>
    <x v="25"/>
    <x v="48"/>
    <x v="0"/>
    <x v="145"/>
    <x v="2"/>
    <x v="143"/>
    <x v="143"/>
    <x v="47"/>
    <x v="2"/>
  </r>
  <r>
    <x v="847"/>
    <x v="6"/>
    <x v="0"/>
    <x v="36"/>
    <x v="66"/>
    <x v="0"/>
    <x v="33"/>
    <x v="34"/>
    <x v="25"/>
    <x v="49"/>
    <x v="0"/>
    <x v="145"/>
    <x v="2"/>
    <x v="143"/>
    <x v="143"/>
    <x v="48"/>
    <x v="2"/>
  </r>
  <r>
    <x v="848"/>
    <x v="15"/>
    <x v="0"/>
    <x v="36"/>
    <x v="66"/>
    <x v="0"/>
    <x v="33"/>
    <x v="6"/>
    <x v="29"/>
    <x v="56"/>
    <x v="0"/>
    <x v="12"/>
    <x v="2"/>
    <x v="12"/>
    <x v="12"/>
    <x v="55"/>
    <x v="5"/>
  </r>
  <r>
    <x v="849"/>
    <x v="15"/>
    <x v="0"/>
    <x v="36"/>
    <x v="66"/>
    <x v="0"/>
    <x v="33"/>
    <x v="6"/>
    <x v="29"/>
    <x v="55"/>
    <x v="0"/>
    <x v="12"/>
    <x v="2"/>
    <x v="12"/>
    <x v="12"/>
    <x v="54"/>
    <x v="5"/>
  </r>
  <r>
    <x v="850"/>
    <x v="24"/>
    <x v="0"/>
    <x v="36"/>
    <x v="66"/>
    <x v="0"/>
    <x v="33"/>
    <x v="30"/>
    <x v="60"/>
    <x v="101"/>
    <x v="0"/>
    <x v="39"/>
    <x v="2"/>
    <x v="98"/>
    <x v="98"/>
    <x v="99"/>
    <x v="11"/>
  </r>
  <r>
    <x v="851"/>
    <x v="25"/>
    <x v="0"/>
    <x v="36"/>
    <x v="66"/>
    <x v="0"/>
    <x v="33"/>
    <x v="30"/>
    <x v="61"/>
    <x v="102"/>
    <x v="0"/>
    <x v="39"/>
    <x v="2"/>
    <x v="98"/>
    <x v="98"/>
    <x v="100"/>
    <x v="7"/>
  </r>
  <r>
    <x v="852"/>
    <x v="0"/>
    <x v="0"/>
    <x v="36"/>
    <x v="66"/>
    <x v="0"/>
    <x v="33"/>
    <x v="30"/>
    <x v="62"/>
    <x v="103"/>
    <x v="0"/>
    <x v="39"/>
    <x v="2"/>
    <x v="98"/>
    <x v="98"/>
    <x v="101"/>
    <x v="7"/>
  </r>
  <r>
    <x v="853"/>
    <x v="1"/>
    <x v="0"/>
    <x v="36"/>
    <x v="66"/>
    <x v="0"/>
    <x v="33"/>
    <x v="30"/>
    <x v="60"/>
    <x v="101"/>
    <x v="0"/>
    <x v="39"/>
    <x v="2"/>
    <x v="98"/>
    <x v="98"/>
    <x v="99"/>
    <x v="11"/>
  </r>
  <r>
    <x v="854"/>
    <x v="12"/>
    <x v="0"/>
    <x v="36"/>
    <x v="66"/>
    <x v="0"/>
    <x v="33"/>
    <x v="30"/>
    <x v="61"/>
    <x v="102"/>
    <x v="0"/>
    <x v="39"/>
    <x v="2"/>
    <x v="98"/>
    <x v="98"/>
    <x v="100"/>
    <x v="7"/>
  </r>
  <r>
    <x v="855"/>
    <x v="8"/>
    <x v="0"/>
    <x v="36"/>
    <x v="66"/>
    <x v="0"/>
    <x v="33"/>
    <x v="30"/>
    <x v="61"/>
    <x v="102"/>
    <x v="0"/>
    <x v="39"/>
    <x v="2"/>
    <x v="98"/>
    <x v="98"/>
    <x v="100"/>
    <x v="7"/>
  </r>
  <r>
    <x v="856"/>
    <x v="3"/>
    <x v="0"/>
    <x v="36"/>
    <x v="66"/>
    <x v="0"/>
    <x v="33"/>
    <x v="103"/>
    <x v="60"/>
    <x v="101"/>
    <x v="0"/>
    <x v="39"/>
    <x v="2"/>
    <x v="98"/>
    <x v="98"/>
    <x v="99"/>
    <x v="11"/>
  </r>
  <r>
    <x v="857"/>
    <x v="28"/>
    <x v="0"/>
    <x v="36"/>
    <x v="66"/>
    <x v="0"/>
    <x v="33"/>
    <x v="9"/>
    <x v="63"/>
    <x v="104"/>
    <x v="0"/>
    <x v="39"/>
    <x v="2"/>
    <x v="98"/>
    <x v="98"/>
    <x v="102"/>
    <x v="7"/>
  </r>
  <r>
    <x v="858"/>
    <x v="30"/>
    <x v="0"/>
    <x v="36"/>
    <x v="66"/>
    <x v="0"/>
    <x v="72"/>
    <x v="9"/>
    <x v="61"/>
    <x v="102"/>
    <x v="0"/>
    <x v="39"/>
    <x v="2"/>
    <x v="98"/>
    <x v="98"/>
    <x v="100"/>
    <x v="7"/>
  </r>
  <r>
    <x v="859"/>
    <x v="11"/>
    <x v="0"/>
    <x v="36"/>
    <x v="66"/>
    <x v="0"/>
    <x v="33"/>
    <x v="30"/>
    <x v="60"/>
    <x v="101"/>
    <x v="0"/>
    <x v="39"/>
    <x v="2"/>
    <x v="98"/>
    <x v="98"/>
    <x v="99"/>
    <x v="11"/>
  </r>
  <r>
    <x v="860"/>
    <x v="34"/>
    <x v="0"/>
    <x v="36"/>
    <x v="66"/>
    <x v="0"/>
    <x v="9"/>
    <x v="15"/>
    <x v="15"/>
    <x v="28"/>
    <x v="0"/>
    <x v="186"/>
    <x v="2"/>
    <x v="186"/>
    <x v="186"/>
    <x v="28"/>
    <x v="0"/>
  </r>
  <r>
    <x v="861"/>
    <x v="34"/>
    <x v="0"/>
    <x v="36"/>
    <x v="66"/>
    <x v="0"/>
    <x v="9"/>
    <x v="15"/>
    <x v="15"/>
    <x v="30"/>
    <x v="0"/>
    <x v="186"/>
    <x v="2"/>
    <x v="186"/>
    <x v="186"/>
    <x v="30"/>
    <x v="0"/>
  </r>
  <r>
    <x v="862"/>
    <x v="5"/>
    <x v="0"/>
    <x v="37"/>
    <x v="67"/>
    <x v="0"/>
    <x v="73"/>
    <x v="29"/>
    <x v="32"/>
    <x v="61"/>
    <x v="0"/>
    <x v="169"/>
    <x v="2"/>
    <x v="170"/>
    <x v="170"/>
    <x v="60"/>
    <x v="0"/>
  </r>
  <r>
    <x v="863"/>
    <x v="5"/>
    <x v="0"/>
    <x v="37"/>
    <x v="67"/>
    <x v="0"/>
    <x v="73"/>
    <x v="29"/>
    <x v="32"/>
    <x v="62"/>
    <x v="0"/>
    <x v="169"/>
    <x v="2"/>
    <x v="170"/>
    <x v="170"/>
    <x v="61"/>
    <x v="0"/>
  </r>
  <r>
    <x v="864"/>
    <x v="12"/>
    <x v="0"/>
    <x v="37"/>
    <x v="67"/>
    <x v="0"/>
    <x v="8"/>
    <x v="52"/>
    <x v="36"/>
    <x v="53"/>
    <x v="0"/>
    <x v="115"/>
    <x v="2"/>
    <x v="112"/>
    <x v="112"/>
    <x v="52"/>
    <x v="0"/>
  </r>
  <r>
    <x v="865"/>
    <x v="12"/>
    <x v="0"/>
    <x v="37"/>
    <x v="67"/>
    <x v="0"/>
    <x v="8"/>
    <x v="52"/>
    <x v="36"/>
    <x v="54"/>
    <x v="0"/>
    <x v="115"/>
    <x v="2"/>
    <x v="112"/>
    <x v="112"/>
    <x v="53"/>
    <x v="0"/>
  </r>
  <r>
    <x v="866"/>
    <x v="12"/>
    <x v="0"/>
    <x v="37"/>
    <x v="68"/>
    <x v="0"/>
    <x v="24"/>
    <x v="52"/>
    <x v="17"/>
    <x v="32"/>
    <x v="0"/>
    <x v="115"/>
    <x v="2"/>
    <x v="112"/>
    <x v="112"/>
    <x v="32"/>
    <x v="2"/>
  </r>
  <r>
    <x v="867"/>
    <x v="12"/>
    <x v="0"/>
    <x v="37"/>
    <x v="68"/>
    <x v="0"/>
    <x v="24"/>
    <x v="52"/>
    <x v="17"/>
    <x v="8"/>
    <x v="0"/>
    <x v="115"/>
    <x v="2"/>
    <x v="112"/>
    <x v="112"/>
    <x v="8"/>
    <x v="2"/>
  </r>
  <r>
    <x v="868"/>
    <x v="12"/>
    <x v="0"/>
    <x v="37"/>
    <x v="68"/>
    <x v="0"/>
    <x v="24"/>
    <x v="14"/>
    <x v="17"/>
    <x v="32"/>
    <x v="0"/>
    <x v="92"/>
    <x v="2"/>
    <x v="88"/>
    <x v="88"/>
    <x v="32"/>
    <x v="2"/>
  </r>
  <r>
    <x v="869"/>
    <x v="12"/>
    <x v="0"/>
    <x v="37"/>
    <x v="68"/>
    <x v="0"/>
    <x v="24"/>
    <x v="14"/>
    <x v="17"/>
    <x v="8"/>
    <x v="0"/>
    <x v="92"/>
    <x v="2"/>
    <x v="88"/>
    <x v="88"/>
    <x v="8"/>
    <x v="2"/>
  </r>
  <r>
    <x v="870"/>
    <x v="12"/>
    <x v="0"/>
    <x v="37"/>
    <x v="68"/>
    <x v="0"/>
    <x v="24"/>
    <x v="6"/>
    <x v="17"/>
    <x v="32"/>
    <x v="0"/>
    <x v="103"/>
    <x v="2"/>
    <x v="100"/>
    <x v="100"/>
    <x v="32"/>
    <x v="2"/>
  </r>
  <r>
    <x v="871"/>
    <x v="12"/>
    <x v="0"/>
    <x v="37"/>
    <x v="68"/>
    <x v="0"/>
    <x v="24"/>
    <x v="6"/>
    <x v="17"/>
    <x v="8"/>
    <x v="0"/>
    <x v="103"/>
    <x v="2"/>
    <x v="100"/>
    <x v="100"/>
    <x v="8"/>
    <x v="2"/>
  </r>
  <r>
    <x v="872"/>
    <x v="12"/>
    <x v="0"/>
    <x v="37"/>
    <x v="68"/>
    <x v="0"/>
    <x v="24"/>
    <x v="6"/>
    <x v="17"/>
    <x v="32"/>
    <x v="0"/>
    <x v="102"/>
    <x v="2"/>
    <x v="99"/>
    <x v="99"/>
    <x v="32"/>
    <x v="2"/>
  </r>
  <r>
    <x v="873"/>
    <x v="12"/>
    <x v="0"/>
    <x v="37"/>
    <x v="68"/>
    <x v="0"/>
    <x v="24"/>
    <x v="6"/>
    <x v="17"/>
    <x v="8"/>
    <x v="0"/>
    <x v="102"/>
    <x v="2"/>
    <x v="99"/>
    <x v="99"/>
    <x v="8"/>
    <x v="2"/>
  </r>
  <r>
    <x v="874"/>
    <x v="8"/>
    <x v="0"/>
    <x v="37"/>
    <x v="67"/>
    <x v="0"/>
    <x v="24"/>
    <x v="6"/>
    <x v="4"/>
    <x v="59"/>
    <x v="0"/>
    <x v="33"/>
    <x v="2"/>
    <x v="33"/>
    <x v="33"/>
    <x v="58"/>
    <x v="2"/>
  </r>
  <r>
    <x v="875"/>
    <x v="8"/>
    <x v="0"/>
    <x v="37"/>
    <x v="67"/>
    <x v="0"/>
    <x v="24"/>
    <x v="6"/>
    <x v="4"/>
    <x v="60"/>
    <x v="0"/>
    <x v="33"/>
    <x v="2"/>
    <x v="33"/>
    <x v="33"/>
    <x v="59"/>
    <x v="2"/>
  </r>
  <r>
    <x v="876"/>
    <x v="8"/>
    <x v="0"/>
    <x v="37"/>
    <x v="67"/>
    <x v="0"/>
    <x v="23"/>
    <x v="14"/>
    <x v="4"/>
    <x v="59"/>
    <x v="0"/>
    <x v="108"/>
    <x v="2"/>
    <x v="104"/>
    <x v="104"/>
    <x v="58"/>
    <x v="2"/>
  </r>
  <r>
    <x v="877"/>
    <x v="8"/>
    <x v="0"/>
    <x v="37"/>
    <x v="67"/>
    <x v="0"/>
    <x v="23"/>
    <x v="14"/>
    <x v="4"/>
    <x v="60"/>
    <x v="0"/>
    <x v="108"/>
    <x v="2"/>
    <x v="104"/>
    <x v="104"/>
    <x v="59"/>
    <x v="2"/>
  </r>
  <r>
    <x v="878"/>
    <x v="9"/>
    <x v="0"/>
    <x v="37"/>
    <x v="69"/>
    <x v="0"/>
    <x v="8"/>
    <x v="6"/>
    <x v="22"/>
    <x v="42"/>
    <x v="0"/>
    <x v="39"/>
    <x v="2"/>
    <x v="98"/>
    <x v="98"/>
    <x v="41"/>
    <x v="2"/>
  </r>
  <r>
    <x v="879"/>
    <x v="9"/>
    <x v="0"/>
    <x v="37"/>
    <x v="69"/>
    <x v="0"/>
    <x v="8"/>
    <x v="6"/>
    <x v="22"/>
    <x v="43"/>
    <x v="0"/>
    <x v="39"/>
    <x v="2"/>
    <x v="98"/>
    <x v="98"/>
    <x v="42"/>
    <x v="2"/>
  </r>
  <r>
    <x v="880"/>
    <x v="9"/>
    <x v="0"/>
    <x v="37"/>
    <x v="52"/>
    <x v="0"/>
    <x v="8"/>
    <x v="52"/>
    <x v="2"/>
    <x v="3"/>
    <x v="0"/>
    <x v="3"/>
    <x v="2"/>
    <x v="3"/>
    <x v="3"/>
    <x v="3"/>
    <x v="0"/>
  </r>
  <r>
    <x v="881"/>
    <x v="9"/>
    <x v="0"/>
    <x v="37"/>
    <x v="52"/>
    <x v="0"/>
    <x v="8"/>
    <x v="52"/>
    <x v="2"/>
    <x v="4"/>
    <x v="0"/>
    <x v="3"/>
    <x v="2"/>
    <x v="3"/>
    <x v="3"/>
    <x v="4"/>
    <x v="0"/>
  </r>
  <r>
    <x v="882"/>
    <x v="28"/>
    <x v="0"/>
    <x v="37"/>
    <x v="69"/>
    <x v="0"/>
    <x v="9"/>
    <x v="49"/>
    <x v="15"/>
    <x v="28"/>
    <x v="0"/>
    <x v="46"/>
    <x v="2"/>
    <x v="46"/>
    <x v="46"/>
    <x v="28"/>
    <x v="0"/>
  </r>
  <r>
    <x v="883"/>
    <x v="28"/>
    <x v="0"/>
    <x v="37"/>
    <x v="69"/>
    <x v="0"/>
    <x v="9"/>
    <x v="49"/>
    <x v="15"/>
    <x v="29"/>
    <x v="0"/>
    <x v="46"/>
    <x v="2"/>
    <x v="46"/>
    <x v="46"/>
    <x v="29"/>
    <x v="0"/>
  </r>
  <r>
    <x v="884"/>
    <x v="28"/>
    <x v="0"/>
    <x v="37"/>
    <x v="69"/>
    <x v="0"/>
    <x v="8"/>
    <x v="49"/>
    <x v="17"/>
    <x v="32"/>
    <x v="0"/>
    <x v="187"/>
    <x v="2"/>
    <x v="187"/>
    <x v="187"/>
    <x v="32"/>
    <x v="2"/>
  </r>
  <r>
    <x v="885"/>
    <x v="28"/>
    <x v="0"/>
    <x v="37"/>
    <x v="69"/>
    <x v="0"/>
    <x v="8"/>
    <x v="49"/>
    <x v="17"/>
    <x v="8"/>
    <x v="0"/>
    <x v="187"/>
    <x v="2"/>
    <x v="187"/>
    <x v="187"/>
    <x v="8"/>
    <x v="2"/>
  </r>
  <r>
    <x v="886"/>
    <x v="28"/>
    <x v="0"/>
    <x v="37"/>
    <x v="69"/>
    <x v="0"/>
    <x v="8"/>
    <x v="52"/>
    <x v="17"/>
    <x v="32"/>
    <x v="0"/>
    <x v="154"/>
    <x v="2"/>
    <x v="155"/>
    <x v="155"/>
    <x v="32"/>
    <x v="2"/>
  </r>
  <r>
    <x v="887"/>
    <x v="28"/>
    <x v="0"/>
    <x v="37"/>
    <x v="69"/>
    <x v="0"/>
    <x v="8"/>
    <x v="52"/>
    <x v="17"/>
    <x v="8"/>
    <x v="0"/>
    <x v="154"/>
    <x v="2"/>
    <x v="155"/>
    <x v="155"/>
    <x v="8"/>
    <x v="2"/>
  </r>
  <r>
    <x v="888"/>
    <x v="28"/>
    <x v="0"/>
    <x v="37"/>
    <x v="69"/>
    <x v="0"/>
    <x v="73"/>
    <x v="104"/>
    <x v="13"/>
    <x v="24"/>
    <x v="0"/>
    <x v="91"/>
    <x v="2"/>
    <x v="87"/>
    <x v="87"/>
    <x v="24"/>
    <x v="5"/>
  </r>
  <r>
    <x v="889"/>
    <x v="28"/>
    <x v="0"/>
    <x v="37"/>
    <x v="69"/>
    <x v="0"/>
    <x v="73"/>
    <x v="104"/>
    <x v="13"/>
    <x v="25"/>
    <x v="0"/>
    <x v="91"/>
    <x v="2"/>
    <x v="87"/>
    <x v="87"/>
    <x v="25"/>
    <x v="5"/>
  </r>
  <r>
    <x v="890"/>
    <x v="28"/>
    <x v="0"/>
    <x v="37"/>
    <x v="70"/>
    <x v="0"/>
    <x v="16"/>
    <x v="16"/>
    <x v="3"/>
    <x v="5"/>
    <x v="0"/>
    <x v="169"/>
    <x v="2"/>
    <x v="170"/>
    <x v="170"/>
    <x v="5"/>
    <x v="0"/>
  </r>
  <r>
    <x v="891"/>
    <x v="28"/>
    <x v="0"/>
    <x v="37"/>
    <x v="70"/>
    <x v="0"/>
    <x v="16"/>
    <x v="16"/>
    <x v="3"/>
    <x v="6"/>
    <x v="0"/>
    <x v="169"/>
    <x v="2"/>
    <x v="170"/>
    <x v="170"/>
    <x v="6"/>
    <x v="0"/>
  </r>
  <r>
    <x v="892"/>
    <x v="23"/>
    <x v="0"/>
    <x v="35"/>
    <x v="64"/>
    <x v="1"/>
    <x v="0"/>
    <x v="55"/>
    <x v="5"/>
    <x v="9"/>
    <x v="0"/>
    <x v="188"/>
    <x v="14"/>
    <x v="188"/>
    <x v="188"/>
    <x v="9"/>
    <x v="3"/>
  </r>
  <r>
    <x v="893"/>
    <x v="28"/>
    <x v="0"/>
    <x v="37"/>
    <x v="67"/>
    <x v="0"/>
    <x v="0"/>
    <x v="4"/>
    <x v="30"/>
    <x v="57"/>
    <x v="0"/>
    <x v="38"/>
    <x v="2"/>
    <x v="9"/>
    <x v="9"/>
    <x v="56"/>
    <x v="2"/>
  </r>
  <r>
    <x v="894"/>
    <x v="28"/>
    <x v="0"/>
    <x v="37"/>
    <x v="67"/>
    <x v="0"/>
    <x v="0"/>
    <x v="4"/>
    <x v="30"/>
    <x v="58"/>
    <x v="0"/>
    <x v="38"/>
    <x v="2"/>
    <x v="9"/>
    <x v="9"/>
    <x v="57"/>
    <x v="2"/>
  </r>
  <r>
    <x v="895"/>
    <x v="4"/>
    <x v="0"/>
    <x v="37"/>
    <x v="69"/>
    <x v="0"/>
    <x v="8"/>
    <x v="105"/>
    <x v="34"/>
    <x v="5"/>
    <x v="0"/>
    <x v="42"/>
    <x v="2"/>
    <x v="8"/>
    <x v="8"/>
    <x v="5"/>
    <x v="2"/>
  </r>
  <r>
    <x v="896"/>
    <x v="4"/>
    <x v="0"/>
    <x v="37"/>
    <x v="69"/>
    <x v="0"/>
    <x v="8"/>
    <x v="105"/>
    <x v="34"/>
    <x v="100"/>
    <x v="0"/>
    <x v="42"/>
    <x v="2"/>
    <x v="8"/>
    <x v="8"/>
    <x v="98"/>
    <x v="2"/>
  </r>
  <r>
    <x v="897"/>
    <x v="4"/>
    <x v="0"/>
    <x v="37"/>
    <x v="69"/>
    <x v="0"/>
    <x v="24"/>
    <x v="14"/>
    <x v="34"/>
    <x v="5"/>
    <x v="0"/>
    <x v="3"/>
    <x v="2"/>
    <x v="3"/>
    <x v="3"/>
    <x v="5"/>
    <x v="2"/>
  </r>
  <r>
    <x v="898"/>
    <x v="4"/>
    <x v="0"/>
    <x v="37"/>
    <x v="69"/>
    <x v="0"/>
    <x v="24"/>
    <x v="14"/>
    <x v="34"/>
    <x v="100"/>
    <x v="0"/>
    <x v="3"/>
    <x v="2"/>
    <x v="3"/>
    <x v="3"/>
    <x v="98"/>
    <x v="2"/>
  </r>
  <r>
    <x v="899"/>
    <x v="4"/>
    <x v="0"/>
    <x v="37"/>
    <x v="69"/>
    <x v="0"/>
    <x v="47"/>
    <x v="52"/>
    <x v="36"/>
    <x v="53"/>
    <x v="0"/>
    <x v="13"/>
    <x v="2"/>
    <x v="13"/>
    <x v="13"/>
    <x v="52"/>
    <x v="0"/>
  </r>
  <r>
    <x v="900"/>
    <x v="4"/>
    <x v="0"/>
    <x v="37"/>
    <x v="69"/>
    <x v="0"/>
    <x v="47"/>
    <x v="52"/>
    <x v="36"/>
    <x v="54"/>
    <x v="0"/>
    <x v="13"/>
    <x v="2"/>
    <x v="13"/>
    <x v="13"/>
    <x v="53"/>
    <x v="0"/>
  </r>
  <r>
    <x v="901"/>
    <x v="30"/>
    <x v="0"/>
    <x v="37"/>
    <x v="68"/>
    <x v="0"/>
    <x v="9"/>
    <x v="12"/>
    <x v="19"/>
    <x v="36"/>
    <x v="0"/>
    <x v="2"/>
    <x v="2"/>
    <x v="2"/>
    <x v="2"/>
    <x v="35"/>
    <x v="0"/>
  </r>
  <r>
    <x v="902"/>
    <x v="30"/>
    <x v="0"/>
    <x v="37"/>
    <x v="68"/>
    <x v="0"/>
    <x v="9"/>
    <x v="12"/>
    <x v="19"/>
    <x v="37"/>
    <x v="0"/>
    <x v="2"/>
    <x v="2"/>
    <x v="2"/>
    <x v="2"/>
    <x v="36"/>
    <x v="0"/>
  </r>
  <r>
    <x v="903"/>
    <x v="10"/>
    <x v="0"/>
    <x v="37"/>
    <x v="68"/>
    <x v="0"/>
    <x v="23"/>
    <x v="4"/>
    <x v="20"/>
    <x v="38"/>
    <x v="0"/>
    <x v="172"/>
    <x v="2"/>
    <x v="173"/>
    <x v="173"/>
    <x v="37"/>
    <x v="0"/>
  </r>
  <r>
    <x v="904"/>
    <x v="10"/>
    <x v="0"/>
    <x v="37"/>
    <x v="68"/>
    <x v="0"/>
    <x v="23"/>
    <x v="4"/>
    <x v="20"/>
    <x v="39"/>
    <x v="0"/>
    <x v="172"/>
    <x v="2"/>
    <x v="173"/>
    <x v="173"/>
    <x v="38"/>
    <x v="0"/>
  </r>
  <r>
    <x v="905"/>
    <x v="40"/>
    <x v="0"/>
    <x v="38"/>
    <x v="71"/>
    <x v="0"/>
    <x v="74"/>
    <x v="16"/>
    <x v="20"/>
    <x v="105"/>
    <x v="0"/>
    <x v="31"/>
    <x v="2"/>
    <x v="31"/>
    <x v="31"/>
    <x v="103"/>
    <x v="0"/>
  </r>
  <r>
    <x v="906"/>
    <x v="40"/>
    <x v="0"/>
    <x v="38"/>
    <x v="71"/>
    <x v="0"/>
    <x v="74"/>
    <x v="16"/>
    <x v="20"/>
    <x v="106"/>
    <x v="0"/>
    <x v="31"/>
    <x v="2"/>
    <x v="31"/>
    <x v="31"/>
    <x v="104"/>
    <x v="0"/>
  </r>
  <r>
    <x v="907"/>
    <x v="41"/>
    <x v="0"/>
    <x v="38"/>
    <x v="71"/>
    <x v="0"/>
    <x v="75"/>
    <x v="8"/>
    <x v="10"/>
    <x v="19"/>
    <x v="0"/>
    <x v="38"/>
    <x v="2"/>
    <x v="9"/>
    <x v="9"/>
    <x v="19"/>
    <x v="4"/>
  </r>
  <r>
    <x v="908"/>
    <x v="41"/>
    <x v="0"/>
    <x v="38"/>
    <x v="71"/>
    <x v="0"/>
    <x v="75"/>
    <x v="8"/>
    <x v="10"/>
    <x v="18"/>
    <x v="0"/>
    <x v="38"/>
    <x v="2"/>
    <x v="9"/>
    <x v="9"/>
    <x v="18"/>
    <x v="4"/>
  </r>
  <r>
    <x v="909"/>
    <x v="35"/>
    <x v="0"/>
    <x v="38"/>
    <x v="71"/>
    <x v="0"/>
    <x v="76"/>
    <x v="29"/>
    <x v="35"/>
    <x v="68"/>
    <x v="0"/>
    <x v="12"/>
    <x v="14"/>
    <x v="12"/>
    <x v="12"/>
    <x v="67"/>
    <x v="0"/>
  </r>
  <r>
    <x v="910"/>
    <x v="35"/>
    <x v="0"/>
    <x v="38"/>
    <x v="71"/>
    <x v="0"/>
    <x v="76"/>
    <x v="29"/>
    <x v="35"/>
    <x v="69"/>
    <x v="0"/>
    <x v="12"/>
    <x v="14"/>
    <x v="12"/>
    <x v="12"/>
    <x v="68"/>
    <x v="0"/>
  </r>
  <r>
    <x v="911"/>
    <x v="15"/>
    <x v="0"/>
    <x v="38"/>
    <x v="71"/>
    <x v="0"/>
    <x v="11"/>
    <x v="4"/>
    <x v="64"/>
    <x v="107"/>
    <x v="0"/>
    <x v="92"/>
    <x v="2"/>
    <x v="88"/>
    <x v="88"/>
    <x v="105"/>
    <x v="6"/>
  </r>
  <r>
    <x v="912"/>
    <x v="16"/>
    <x v="0"/>
    <x v="38"/>
    <x v="71"/>
    <x v="0"/>
    <x v="11"/>
    <x v="106"/>
    <x v="13"/>
    <x v="24"/>
    <x v="0"/>
    <x v="38"/>
    <x v="2"/>
    <x v="9"/>
    <x v="9"/>
    <x v="24"/>
    <x v="5"/>
  </r>
  <r>
    <x v="913"/>
    <x v="16"/>
    <x v="0"/>
    <x v="38"/>
    <x v="71"/>
    <x v="0"/>
    <x v="11"/>
    <x v="106"/>
    <x v="13"/>
    <x v="25"/>
    <x v="0"/>
    <x v="38"/>
    <x v="2"/>
    <x v="9"/>
    <x v="9"/>
    <x v="25"/>
    <x v="5"/>
  </r>
  <r>
    <x v="914"/>
    <x v="1"/>
    <x v="0"/>
    <x v="38"/>
    <x v="71"/>
    <x v="0"/>
    <x v="77"/>
    <x v="34"/>
    <x v="58"/>
    <x v="95"/>
    <x v="0"/>
    <x v="32"/>
    <x v="2"/>
    <x v="35"/>
    <x v="35"/>
    <x v="93"/>
    <x v="4"/>
  </r>
  <r>
    <x v="915"/>
    <x v="1"/>
    <x v="0"/>
    <x v="38"/>
    <x v="71"/>
    <x v="0"/>
    <x v="77"/>
    <x v="34"/>
    <x v="58"/>
    <x v="96"/>
    <x v="0"/>
    <x v="32"/>
    <x v="2"/>
    <x v="35"/>
    <x v="35"/>
    <x v="94"/>
    <x v="4"/>
  </r>
  <r>
    <x v="916"/>
    <x v="1"/>
    <x v="0"/>
    <x v="38"/>
    <x v="71"/>
    <x v="0"/>
    <x v="77"/>
    <x v="34"/>
    <x v="9"/>
    <x v="16"/>
    <x v="0"/>
    <x v="32"/>
    <x v="2"/>
    <x v="35"/>
    <x v="35"/>
    <x v="16"/>
    <x v="4"/>
  </r>
  <r>
    <x v="917"/>
    <x v="1"/>
    <x v="0"/>
    <x v="38"/>
    <x v="71"/>
    <x v="0"/>
    <x v="77"/>
    <x v="34"/>
    <x v="9"/>
    <x v="17"/>
    <x v="0"/>
    <x v="32"/>
    <x v="2"/>
    <x v="35"/>
    <x v="35"/>
    <x v="17"/>
    <x v="4"/>
  </r>
  <r>
    <x v="918"/>
    <x v="12"/>
    <x v="0"/>
    <x v="38"/>
    <x v="71"/>
    <x v="0"/>
    <x v="74"/>
    <x v="107"/>
    <x v="59"/>
    <x v="97"/>
    <x v="0"/>
    <x v="189"/>
    <x v="2"/>
    <x v="189"/>
    <x v="189"/>
    <x v="95"/>
    <x v="4"/>
  </r>
  <r>
    <x v="919"/>
    <x v="12"/>
    <x v="0"/>
    <x v="38"/>
    <x v="71"/>
    <x v="0"/>
    <x v="74"/>
    <x v="107"/>
    <x v="59"/>
    <x v="98"/>
    <x v="0"/>
    <x v="189"/>
    <x v="2"/>
    <x v="189"/>
    <x v="189"/>
    <x v="96"/>
    <x v="4"/>
  </r>
  <r>
    <x v="920"/>
    <x v="12"/>
    <x v="0"/>
    <x v="38"/>
    <x v="71"/>
    <x v="0"/>
    <x v="1"/>
    <x v="8"/>
    <x v="34"/>
    <x v="66"/>
    <x v="0"/>
    <x v="48"/>
    <x v="2"/>
    <x v="48"/>
    <x v="48"/>
    <x v="65"/>
    <x v="2"/>
  </r>
  <r>
    <x v="921"/>
    <x v="12"/>
    <x v="0"/>
    <x v="38"/>
    <x v="71"/>
    <x v="0"/>
    <x v="1"/>
    <x v="8"/>
    <x v="34"/>
    <x v="67"/>
    <x v="0"/>
    <x v="48"/>
    <x v="2"/>
    <x v="48"/>
    <x v="48"/>
    <x v="66"/>
    <x v="2"/>
  </r>
  <r>
    <x v="922"/>
    <x v="12"/>
    <x v="0"/>
    <x v="38"/>
    <x v="71"/>
    <x v="0"/>
    <x v="78"/>
    <x v="8"/>
    <x v="25"/>
    <x v="73"/>
    <x v="0"/>
    <x v="32"/>
    <x v="2"/>
    <x v="35"/>
    <x v="35"/>
    <x v="72"/>
    <x v="2"/>
  </r>
  <r>
    <x v="923"/>
    <x v="12"/>
    <x v="0"/>
    <x v="38"/>
    <x v="71"/>
    <x v="0"/>
    <x v="78"/>
    <x v="8"/>
    <x v="25"/>
    <x v="74"/>
    <x v="0"/>
    <x v="32"/>
    <x v="2"/>
    <x v="35"/>
    <x v="35"/>
    <x v="73"/>
    <x v="2"/>
  </r>
  <r>
    <x v="924"/>
    <x v="18"/>
    <x v="0"/>
    <x v="38"/>
    <x v="71"/>
    <x v="0"/>
    <x v="11"/>
    <x v="108"/>
    <x v="47"/>
    <x v="85"/>
    <x v="0"/>
    <x v="38"/>
    <x v="2"/>
    <x v="9"/>
    <x v="9"/>
    <x v="84"/>
    <x v="4"/>
  </r>
  <r>
    <x v="925"/>
    <x v="18"/>
    <x v="0"/>
    <x v="38"/>
    <x v="71"/>
    <x v="0"/>
    <x v="11"/>
    <x v="108"/>
    <x v="47"/>
    <x v="86"/>
    <x v="0"/>
    <x v="38"/>
    <x v="2"/>
    <x v="9"/>
    <x v="9"/>
    <x v="85"/>
    <x v="4"/>
  </r>
  <r>
    <x v="926"/>
    <x v="2"/>
    <x v="0"/>
    <x v="38"/>
    <x v="71"/>
    <x v="0"/>
    <x v="78"/>
    <x v="109"/>
    <x v="57"/>
    <x v="93"/>
    <x v="0"/>
    <x v="44"/>
    <x v="2"/>
    <x v="44"/>
    <x v="44"/>
    <x v="91"/>
    <x v="4"/>
  </r>
  <r>
    <x v="927"/>
    <x v="2"/>
    <x v="0"/>
    <x v="38"/>
    <x v="71"/>
    <x v="0"/>
    <x v="78"/>
    <x v="109"/>
    <x v="57"/>
    <x v="94"/>
    <x v="0"/>
    <x v="44"/>
    <x v="2"/>
    <x v="44"/>
    <x v="44"/>
    <x v="92"/>
    <x v="4"/>
  </r>
  <r>
    <x v="928"/>
    <x v="3"/>
    <x v="0"/>
    <x v="38"/>
    <x v="71"/>
    <x v="0"/>
    <x v="77"/>
    <x v="8"/>
    <x v="6"/>
    <x v="10"/>
    <x v="0"/>
    <x v="43"/>
    <x v="2"/>
    <x v="43"/>
    <x v="43"/>
    <x v="10"/>
    <x v="4"/>
  </r>
  <r>
    <x v="929"/>
    <x v="3"/>
    <x v="0"/>
    <x v="38"/>
    <x v="71"/>
    <x v="0"/>
    <x v="77"/>
    <x v="8"/>
    <x v="6"/>
    <x v="11"/>
    <x v="0"/>
    <x v="43"/>
    <x v="2"/>
    <x v="43"/>
    <x v="43"/>
    <x v="11"/>
    <x v="4"/>
  </r>
  <r>
    <x v="930"/>
    <x v="9"/>
    <x v="0"/>
    <x v="38"/>
    <x v="71"/>
    <x v="0"/>
    <x v="11"/>
    <x v="110"/>
    <x v="18"/>
    <x v="34"/>
    <x v="0"/>
    <x v="11"/>
    <x v="2"/>
    <x v="10"/>
    <x v="10"/>
    <x v="33"/>
    <x v="5"/>
  </r>
  <r>
    <x v="931"/>
    <x v="9"/>
    <x v="0"/>
    <x v="38"/>
    <x v="71"/>
    <x v="0"/>
    <x v="11"/>
    <x v="110"/>
    <x v="18"/>
    <x v="35"/>
    <x v="0"/>
    <x v="11"/>
    <x v="2"/>
    <x v="10"/>
    <x v="10"/>
    <x v="34"/>
    <x v="5"/>
  </r>
  <r>
    <x v="932"/>
    <x v="28"/>
    <x v="0"/>
    <x v="38"/>
    <x v="71"/>
    <x v="0"/>
    <x v="77"/>
    <x v="34"/>
    <x v="58"/>
    <x v="95"/>
    <x v="0"/>
    <x v="190"/>
    <x v="2"/>
    <x v="190"/>
    <x v="190"/>
    <x v="93"/>
    <x v="4"/>
  </r>
  <r>
    <x v="933"/>
    <x v="29"/>
    <x v="0"/>
    <x v="38"/>
    <x v="71"/>
    <x v="0"/>
    <x v="11"/>
    <x v="108"/>
    <x v="42"/>
    <x v="96"/>
    <x v="0"/>
    <x v="43"/>
    <x v="2"/>
    <x v="43"/>
    <x v="43"/>
    <x v="94"/>
    <x v="4"/>
  </r>
  <r>
    <x v="934"/>
    <x v="29"/>
    <x v="0"/>
    <x v="38"/>
    <x v="71"/>
    <x v="0"/>
    <x v="11"/>
    <x v="108"/>
    <x v="42"/>
    <x v="21"/>
    <x v="0"/>
    <x v="43"/>
    <x v="2"/>
    <x v="43"/>
    <x v="43"/>
    <x v="21"/>
    <x v="4"/>
  </r>
  <r>
    <x v="935"/>
    <x v="29"/>
    <x v="0"/>
    <x v="38"/>
    <x v="71"/>
    <x v="0"/>
    <x v="75"/>
    <x v="19"/>
    <x v="12"/>
    <x v="22"/>
    <x v="0"/>
    <x v="113"/>
    <x v="2"/>
    <x v="110"/>
    <x v="110"/>
    <x v="22"/>
    <x v="5"/>
  </r>
  <r>
    <x v="936"/>
    <x v="29"/>
    <x v="0"/>
    <x v="38"/>
    <x v="71"/>
    <x v="0"/>
    <x v="75"/>
    <x v="19"/>
    <x v="12"/>
    <x v="23"/>
    <x v="0"/>
    <x v="113"/>
    <x v="2"/>
    <x v="110"/>
    <x v="110"/>
    <x v="23"/>
    <x v="5"/>
  </r>
  <r>
    <x v="937"/>
    <x v="4"/>
    <x v="0"/>
    <x v="38"/>
    <x v="71"/>
    <x v="0"/>
    <x v="11"/>
    <x v="111"/>
    <x v="59"/>
    <x v="97"/>
    <x v="0"/>
    <x v="32"/>
    <x v="2"/>
    <x v="35"/>
    <x v="35"/>
    <x v="95"/>
    <x v="4"/>
  </r>
  <r>
    <x v="938"/>
    <x v="4"/>
    <x v="0"/>
    <x v="38"/>
    <x v="71"/>
    <x v="0"/>
    <x v="11"/>
    <x v="111"/>
    <x v="59"/>
    <x v="98"/>
    <x v="0"/>
    <x v="32"/>
    <x v="2"/>
    <x v="35"/>
    <x v="35"/>
    <x v="96"/>
    <x v="4"/>
  </r>
  <r>
    <x v="939"/>
    <x v="34"/>
    <x v="0"/>
    <x v="38"/>
    <x v="71"/>
    <x v="0"/>
    <x v="79"/>
    <x v="16"/>
    <x v="14"/>
    <x v="26"/>
    <x v="0"/>
    <x v="38"/>
    <x v="14"/>
    <x v="9"/>
    <x v="9"/>
    <x v="26"/>
    <x v="5"/>
  </r>
  <r>
    <x v="939"/>
    <x v="34"/>
    <x v="0"/>
    <x v="38"/>
    <x v="71"/>
    <x v="0"/>
    <x v="79"/>
    <x v="16"/>
    <x v="14"/>
    <x v="27"/>
    <x v="0"/>
    <x v="38"/>
    <x v="14"/>
    <x v="9"/>
    <x v="9"/>
    <x v="27"/>
    <x v="5"/>
  </r>
  <r>
    <x v="939"/>
    <x v="10"/>
    <x v="0"/>
    <x v="38"/>
    <x v="71"/>
    <x v="0"/>
    <x v="74"/>
    <x v="34"/>
    <x v="17"/>
    <x v="32"/>
    <x v="0"/>
    <x v="191"/>
    <x v="8"/>
    <x v="191"/>
    <x v="191"/>
    <x v="32"/>
    <x v="2"/>
  </r>
  <r>
    <x v="940"/>
    <x v="1"/>
    <x v="0"/>
    <x v="39"/>
    <x v="72"/>
    <x v="0"/>
    <x v="0"/>
    <x v="15"/>
    <x v="29"/>
    <x v="55"/>
    <x v="0"/>
    <x v="192"/>
    <x v="2"/>
    <x v="192"/>
    <x v="192"/>
    <x v="54"/>
    <x v="5"/>
  </r>
  <r>
    <x v="941"/>
    <x v="1"/>
    <x v="0"/>
    <x v="39"/>
    <x v="72"/>
    <x v="0"/>
    <x v="0"/>
    <x v="15"/>
    <x v="29"/>
    <x v="65"/>
    <x v="0"/>
    <x v="192"/>
    <x v="2"/>
    <x v="192"/>
    <x v="192"/>
    <x v="64"/>
    <x v="5"/>
  </r>
  <r>
    <x v="942"/>
    <x v="17"/>
    <x v="0"/>
    <x v="39"/>
    <x v="72"/>
    <x v="0"/>
    <x v="80"/>
    <x v="63"/>
    <x v="16"/>
    <x v="30"/>
    <x v="0"/>
    <x v="169"/>
    <x v="2"/>
    <x v="170"/>
    <x v="170"/>
    <x v="30"/>
    <x v="0"/>
  </r>
  <r>
    <x v="943"/>
    <x v="17"/>
    <x v="0"/>
    <x v="39"/>
    <x v="72"/>
    <x v="0"/>
    <x v="80"/>
    <x v="63"/>
    <x v="16"/>
    <x v="31"/>
    <x v="0"/>
    <x v="169"/>
    <x v="2"/>
    <x v="170"/>
    <x v="170"/>
    <x v="31"/>
    <x v="0"/>
  </r>
  <r>
    <x v="944"/>
    <x v="12"/>
    <x v="0"/>
    <x v="39"/>
    <x v="72"/>
    <x v="0"/>
    <x v="10"/>
    <x v="37"/>
    <x v="17"/>
    <x v="32"/>
    <x v="0"/>
    <x v="174"/>
    <x v="2"/>
    <x v="72"/>
    <x v="72"/>
    <x v="32"/>
    <x v="2"/>
  </r>
  <r>
    <x v="945"/>
    <x v="12"/>
    <x v="0"/>
    <x v="39"/>
    <x v="72"/>
    <x v="0"/>
    <x v="10"/>
    <x v="37"/>
    <x v="17"/>
    <x v="8"/>
    <x v="0"/>
    <x v="174"/>
    <x v="2"/>
    <x v="72"/>
    <x v="72"/>
    <x v="8"/>
    <x v="2"/>
  </r>
  <r>
    <x v="946"/>
    <x v="12"/>
    <x v="0"/>
    <x v="39"/>
    <x v="72"/>
    <x v="0"/>
    <x v="81"/>
    <x v="49"/>
    <x v="13"/>
    <x v="24"/>
    <x v="0"/>
    <x v="26"/>
    <x v="2"/>
    <x v="26"/>
    <x v="26"/>
    <x v="24"/>
    <x v="5"/>
  </r>
  <r>
    <x v="947"/>
    <x v="12"/>
    <x v="0"/>
    <x v="39"/>
    <x v="72"/>
    <x v="0"/>
    <x v="81"/>
    <x v="49"/>
    <x v="13"/>
    <x v="25"/>
    <x v="0"/>
    <x v="26"/>
    <x v="2"/>
    <x v="26"/>
    <x v="26"/>
    <x v="25"/>
    <x v="5"/>
  </r>
  <r>
    <x v="948"/>
    <x v="8"/>
    <x v="0"/>
    <x v="39"/>
    <x v="72"/>
    <x v="0"/>
    <x v="10"/>
    <x v="37"/>
    <x v="0"/>
    <x v="0"/>
    <x v="0"/>
    <x v="2"/>
    <x v="2"/>
    <x v="2"/>
    <x v="2"/>
    <x v="0"/>
    <x v="0"/>
  </r>
  <r>
    <x v="949"/>
    <x v="8"/>
    <x v="0"/>
    <x v="39"/>
    <x v="72"/>
    <x v="0"/>
    <x v="10"/>
    <x v="37"/>
    <x v="0"/>
    <x v="1"/>
    <x v="0"/>
    <x v="2"/>
    <x v="2"/>
    <x v="2"/>
    <x v="2"/>
    <x v="1"/>
    <x v="0"/>
  </r>
  <r>
    <x v="950"/>
    <x v="9"/>
    <x v="0"/>
    <x v="39"/>
    <x v="72"/>
    <x v="0"/>
    <x v="82"/>
    <x v="22"/>
    <x v="32"/>
    <x v="61"/>
    <x v="0"/>
    <x v="39"/>
    <x v="2"/>
    <x v="98"/>
    <x v="98"/>
    <x v="60"/>
    <x v="0"/>
  </r>
  <r>
    <x v="951"/>
    <x v="9"/>
    <x v="0"/>
    <x v="39"/>
    <x v="72"/>
    <x v="0"/>
    <x v="82"/>
    <x v="22"/>
    <x v="32"/>
    <x v="62"/>
    <x v="0"/>
    <x v="39"/>
    <x v="2"/>
    <x v="98"/>
    <x v="98"/>
    <x v="61"/>
    <x v="0"/>
  </r>
  <r>
    <x v="952"/>
    <x v="28"/>
    <x v="0"/>
    <x v="39"/>
    <x v="72"/>
    <x v="0"/>
    <x v="41"/>
    <x v="28"/>
    <x v="43"/>
    <x v="92"/>
    <x v="0"/>
    <x v="2"/>
    <x v="2"/>
    <x v="2"/>
    <x v="2"/>
    <x v="90"/>
    <x v="8"/>
  </r>
  <r>
    <x v="953"/>
    <x v="28"/>
    <x v="0"/>
    <x v="39"/>
    <x v="72"/>
    <x v="0"/>
    <x v="23"/>
    <x v="112"/>
    <x v="13"/>
    <x v="24"/>
    <x v="0"/>
    <x v="47"/>
    <x v="2"/>
    <x v="47"/>
    <x v="47"/>
    <x v="24"/>
    <x v="5"/>
  </r>
  <r>
    <x v="954"/>
    <x v="28"/>
    <x v="0"/>
    <x v="39"/>
    <x v="72"/>
    <x v="0"/>
    <x v="23"/>
    <x v="112"/>
    <x v="13"/>
    <x v="25"/>
    <x v="0"/>
    <x v="47"/>
    <x v="2"/>
    <x v="47"/>
    <x v="47"/>
    <x v="25"/>
    <x v="5"/>
  </r>
  <r>
    <x v="955"/>
    <x v="4"/>
    <x v="0"/>
    <x v="39"/>
    <x v="72"/>
    <x v="0"/>
    <x v="83"/>
    <x v="78"/>
    <x v="34"/>
    <x v="5"/>
    <x v="0"/>
    <x v="2"/>
    <x v="2"/>
    <x v="2"/>
    <x v="2"/>
    <x v="5"/>
    <x v="2"/>
  </r>
  <r>
    <x v="956"/>
    <x v="4"/>
    <x v="0"/>
    <x v="39"/>
    <x v="72"/>
    <x v="0"/>
    <x v="83"/>
    <x v="78"/>
    <x v="34"/>
    <x v="100"/>
    <x v="0"/>
    <x v="2"/>
    <x v="2"/>
    <x v="2"/>
    <x v="2"/>
    <x v="98"/>
    <x v="2"/>
  </r>
  <r>
    <x v="957"/>
    <x v="14"/>
    <x v="0"/>
    <x v="40"/>
    <x v="73"/>
    <x v="0"/>
    <x v="84"/>
    <x v="50"/>
    <x v="65"/>
    <x v="108"/>
    <x v="0"/>
    <x v="143"/>
    <x v="2"/>
    <x v="141"/>
    <x v="141"/>
    <x v="106"/>
    <x v="12"/>
  </r>
  <r>
    <x v="958"/>
    <x v="15"/>
    <x v="0"/>
    <x v="40"/>
    <x v="73"/>
    <x v="0"/>
    <x v="84"/>
    <x v="113"/>
    <x v="66"/>
    <x v="109"/>
    <x v="0"/>
    <x v="193"/>
    <x v="2"/>
    <x v="193"/>
    <x v="193"/>
    <x v="107"/>
    <x v="12"/>
  </r>
  <r>
    <x v="959"/>
    <x v="15"/>
    <x v="0"/>
    <x v="40"/>
    <x v="73"/>
    <x v="0"/>
    <x v="84"/>
    <x v="114"/>
    <x v="67"/>
    <x v="110"/>
    <x v="0"/>
    <x v="194"/>
    <x v="2"/>
    <x v="194"/>
    <x v="194"/>
    <x v="108"/>
    <x v="12"/>
  </r>
  <r>
    <x v="960"/>
    <x v="15"/>
    <x v="0"/>
    <x v="40"/>
    <x v="73"/>
    <x v="0"/>
    <x v="84"/>
    <x v="37"/>
    <x v="65"/>
    <x v="111"/>
    <x v="0"/>
    <x v="195"/>
    <x v="2"/>
    <x v="195"/>
    <x v="195"/>
    <x v="109"/>
    <x v="12"/>
  </r>
  <r>
    <x v="961"/>
    <x v="24"/>
    <x v="0"/>
    <x v="40"/>
    <x v="73"/>
    <x v="0"/>
    <x v="84"/>
    <x v="4"/>
    <x v="68"/>
    <x v="112"/>
    <x v="0"/>
    <x v="196"/>
    <x v="2"/>
    <x v="196"/>
    <x v="196"/>
    <x v="110"/>
    <x v="12"/>
  </r>
  <r>
    <x v="962"/>
    <x v="24"/>
    <x v="0"/>
    <x v="40"/>
    <x v="73"/>
    <x v="0"/>
    <x v="84"/>
    <x v="115"/>
    <x v="69"/>
    <x v="9"/>
    <x v="0"/>
    <x v="197"/>
    <x v="2"/>
    <x v="197"/>
    <x v="197"/>
    <x v="9"/>
    <x v="12"/>
  </r>
  <r>
    <x v="963"/>
    <x v="24"/>
    <x v="0"/>
    <x v="40"/>
    <x v="73"/>
    <x v="0"/>
    <x v="84"/>
    <x v="55"/>
    <x v="66"/>
    <x v="109"/>
    <x v="0"/>
    <x v="198"/>
    <x v="2"/>
    <x v="198"/>
    <x v="198"/>
    <x v="107"/>
    <x v="12"/>
  </r>
  <r>
    <x v="964"/>
    <x v="24"/>
    <x v="0"/>
    <x v="40"/>
    <x v="73"/>
    <x v="0"/>
    <x v="84"/>
    <x v="116"/>
    <x v="70"/>
    <x v="113"/>
    <x v="0"/>
    <x v="193"/>
    <x v="2"/>
    <x v="193"/>
    <x v="193"/>
    <x v="111"/>
    <x v="12"/>
  </r>
  <r>
    <x v="965"/>
    <x v="16"/>
    <x v="0"/>
    <x v="40"/>
    <x v="73"/>
    <x v="0"/>
    <x v="84"/>
    <x v="117"/>
    <x v="65"/>
    <x v="108"/>
    <x v="0"/>
    <x v="199"/>
    <x v="2"/>
    <x v="199"/>
    <x v="199"/>
    <x v="106"/>
    <x v="12"/>
  </r>
  <r>
    <x v="966"/>
    <x v="16"/>
    <x v="0"/>
    <x v="40"/>
    <x v="73"/>
    <x v="0"/>
    <x v="84"/>
    <x v="118"/>
    <x v="67"/>
    <x v="110"/>
    <x v="0"/>
    <x v="200"/>
    <x v="2"/>
    <x v="200"/>
    <x v="200"/>
    <x v="108"/>
    <x v="12"/>
  </r>
  <r>
    <x v="967"/>
    <x v="25"/>
    <x v="0"/>
    <x v="40"/>
    <x v="73"/>
    <x v="0"/>
    <x v="84"/>
    <x v="119"/>
    <x v="65"/>
    <x v="111"/>
    <x v="0"/>
    <x v="201"/>
    <x v="2"/>
    <x v="201"/>
    <x v="201"/>
    <x v="109"/>
    <x v="12"/>
  </r>
  <r>
    <x v="968"/>
    <x v="25"/>
    <x v="0"/>
    <x v="40"/>
    <x v="73"/>
    <x v="0"/>
    <x v="84"/>
    <x v="43"/>
    <x v="70"/>
    <x v="113"/>
    <x v="0"/>
    <x v="202"/>
    <x v="2"/>
    <x v="202"/>
    <x v="202"/>
    <x v="111"/>
    <x v="12"/>
  </r>
  <r>
    <x v="969"/>
    <x v="25"/>
    <x v="0"/>
    <x v="40"/>
    <x v="73"/>
    <x v="0"/>
    <x v="84"/>
    <x v="37"/>
    <x v="68"/>
    <x v="112"/>
    <x v="0"/>
    <x v="203"/>
    <x v="2"/>
    <x v="203"/>
    <x v="203"/>
    <x v="110"/>
    <x v="12"/>
  </r>
  <r>
    <x v="970"/>
    <x v="7"/>
    <x v="0"/>
    <x v="40"/>
    <x v="73"/>
    <x v="0"/>
    <x v="84"/>
    <x v="116"/>
    <x v="69"/>
    <x v="114"/>
    <x v="0"/>
    <x v="204"/>
    <x v="2"/>
    <x v="204"/>
    <x v="204"/>
    <x v="112"/>
    <x v="12"/>
  </r>
  <r>
    <x v="971"/>
    <x v="7"/>
    <x v="0"/>
    <x v="40"/>
    <x v="73"/>
    <x v="0"/>
    <x v="84"/>
    <x v="120"/>
    <x v="66"/>
    <x v="109"/>
    <x v="0"/>
    <x v="205"/>
    <x v="2"/>
    <x v="205"/>
    <x v="205"/>
    <x v="107"/>
    <x v="12"/>
  </r>
  <r>
    <x v="972"/>
    <x v="0"/>
    <x v="0"/>
    <x v="40"/>
    <x v="73"/>
    <x v="0"/>
    <x v="84"/>
    <x v="50"/>
    <x v="64"/>
    <x v="107"/>
    <x v="0"/>
    <x v="206"/>
    <x v="14"/>
    <x v="206"/>
    <x v="206"/>
    <x v="105"/>
    <x v="6"/>
  </r>
  <r>
    <x v="973"/>
    <x v="0"/>
    <x v="0"/>
    <x v="40"/>
    <x v="73"/>
    <x v="0"/>
    <x v="84"/>
    <x v="50"/>
    <x v="71"/>
    <x v="115"/>
    <x v="0"/>
    <x v="108"/>
    <x v="14"/>
    <x v="104"/>
    <x v="104"/>
    <x v="113"/>
    <x v="1"/>
  </r>
  <r>
    <x v="974"/>
    <x v="0"/>
    <x v="0"/>
    <x v="40"/>
    <x v="73"/>
    <x v="0"/>
    <x v="84"/>
    <x v="12"/>
    <x v="68"/>
    <x v="112"/>
    <x v="0"/>
    <x v="207"/>
    <x v="2"/>
    <x v="207"/>
    <x v="207"/>
    <x v="110"/>
    <x v="12"/>
  </r>
  <r>
    <x v="975"/>
    <x v="0"/>
    <x v="0"/>
    <x v="40"/>
    <x v="73"/>
    <x v="0"/>
    <x v="84"/>
    <x v="121"/>
    <x v="65"/>
    <x v="108"/>
    <x v="0"/>
    <x v="208"/>
    <x v="2"/>
    <x v="208"/>
    <x v="208"/>
    <x v="106"/>
    <x v="12"/>
  </r>
  <r>
    <x v="976"/>
    <x v="0"/>
    <x v="0"/>
    <x v="40"/>
    <x v="73"/>
    <x v="0"/>
    <x v="84"/>
    <x v="37"/>
    <x v="67"/>
    <x v="110"/>
    <x v="0"/>
    <x v="209"/>
    <x v="2"/>
    <x v="209"/>
    <x v="209"/>
    <x v="108"/>
    <x v="12"/>
  </r>
  <r>
    <x v="977"/>
    <x v="5"/>
    <x v="0"/>
    <x v="40"/>
    <x v="73"/>
    <x v="0"/>
    <x v="84"/>
    <x v="38"/>
    <x v="66"/>
    <x v="109"/>
    <x v="0"/>
    <x v="210"/>
    <x v="2"/>
    <x v="210"/>
    <x v="210"/>
    <x v="107"/>
    <x v="12"/>
  </r>
  <r>
    <x v="978"/>
    <x v="5"/>
    <x v="0"/>
    <x v="40"/>
    <x v="73"/>
    <x v="0"/>
    <x v="84"/>
    <x v="4"/>
    <x v="69"/>
    <x v="114"/>
    <x v="0"/>
    <x v="211"/>
    <x v="2"/>
    <x v="211"/>
    <x v="211"/>
    <x v="112"/>
    <x v="12"/>
  </r>
  <r>
    <x v="979"/>
    <x v="5"/>
    <x v="0"/>
    <x v="40"/>
    <x v="73"/>
    <x v="0"/>
    <x v="84"/>
    <x v="116"/>
    <x v="67"/>
    <x v="110"/>
    <x v="0"/>
    <x v="212"/>
    <x v="2"/>
    <x v="212"/>
    <x v="212"/>
    <x v="108"/>
    <x v="12"/>
  </r>
  <r>
    <x v="980"/>
    <x v="5"/>
    <x v="0"/>
    <x v="40"/>
    <x v="73"/>
    <x v="0"/>
    <x v="84"/>
    <x v="117"/>
    <x v="65"/>
    <x v="90"/>
    <x v="0"/>
    <x v="213"/>
    <x v="2"/>
    <x v="213"/>
    <x v="213"/>
    <x v="89"/>
    <x v="12"/>
  </r>
  <r>
    <x v="981"/>
    <x v="1"/>
    <x v="0"/>
    <x v="40"/>
    <x v="73"/>
    <x v="0"/>
    <x v="84"/>
    <x v="4"/>
    <x v="66"/>
    <x v="109"/>
    <x v="0"/>
    <x v="214"/>
    <x v="2"/>
    <x v="214"/>
    <x v="214"/>
    <x v="107"/>
    <x v="12"/>
  </r>
  <r>
    <x v="982"/>
    <x v="1"/>
    <x v="0"/>
    <x v="40"/>
    <x v="73"/>
    <x v="0"/>
    <x v="84"/>
    <x v="117"/>
    <x v="69"/>
    <x v="110"/>
    <x v="0"/>
    <x v="215"/>
    <x v="2"/>
    <x v="215"/>
    <x v="215"/>
    <x v="108"/>
    <x v="12"/>
  </r>
  <r>
    <x v="983"/>
    <x v="1"/>
    <x v="0"/>
    <x v="40"/>
    <x v="73"/>
    <x v="0"/>
    <x v="84"/>
    <x v="122"/>
    <x v="70"/>
    <x v="113"/>
    <x v="0"/>
    <x v="216"/>
    <x v="2"/>
    <x v="216"/>
    <x v="216"/>
    <x v="111"/>
    <x v="12"/>
  </r>
  <r>
    <x v="984"/>
    <x v="1"/>
    <x v="0"/>
    <x v="40"/>
    <x v="73"/>
    <x v="0"/>
    <x v="84"/>
    <x v="123"/>
    <x v="72"/>
    <x v="116"/>
    <x v="0"/>
    <x v="217"/>
    <x v="2"/>
    <x v="217"/>
    <x v="217"/>
    <x v="114"/>
    <x v="0"/>
  </r>
  <r>
    <x v="985"/>
    <x v="17"/>
    <x v="0"/>
    <x v="40"/>
    <x v="73"/>
    <x v="0"/>
    <x v="84"/>
    <x v="43"/>
    <x v="67"/>
    <x v="110"/>
    <x v="0"/>
    <x v="218"/>
    <x v="2"/>
    <x v="218"/>
    <x v="218"/>
    <x v="108"/>
    <x v="12"/>
  </r>
  <r>
    <x v="986"/>
    <x v="12"/>
    <x v="0"/>
    <x v="40"/>
    <x v="73"/>
    <x v="0"/>
    <x v="84"/>
    <x v="4"/>
    <x v="66"/>
    <x v="109"/>
    <x v="0"/>
    <x v="219"/>
    <x v="2"/>
    <x v="219"/>
    <x v="219"/>
    <x v="107"/>
    <x v="12"/>
  </r>
  <r>
    <x v="987"/>
    <x v="12"/>
    <x v="0"/>
    <x v="40"/>
    <x v="73"/>
    <x v="0"/>
    <x v="84"/>
    <x v="117"/>
    <x v="68"/>
    <x v="112"/>
    <x v="0"/>
    <x v="220"/>
    <x v="2"/>
    <x v="220"/>
    <x v="220"/>
    <x v="110"/>
    <x v="12"/>
  </r>
  <r>
    <x v="988"/>
    <x v="12"/>
    <x v="0"/>
    <x v="40"/>
    <x v="73"/>
    <x v="0"/>
    <x v="84"/>
    <x v="124"/>
    <x v="70"/>
    <x v="108"/>
    <x v="0"/>
    <x v="221"/>
    <x v="2"/>
    <x v="221"/>
    <x v="221"/>
    <x v="106"/>
    <x v="12"/>
  </r>
  <r>
    <x v="989"/>
    <x v="2"/>
    <x v="0"/>
    <x v="40"/>
    <x v="73"/>
    <x v="0"/>
    <x v="84"/>
    <x v="50"/>
    <x v="71"/>
    <x v="115"/>
    <x v="0"/>
    <x v="129"/>
    <x v="14"/>
    <x v="127"/>
    <x v="127"/>
    <x v="113"/>
    <x v="1"/>
  </r>
  <r>
    <x v="990"/>
    <x v="2"/>
    <x v="0"/>
    <x v="40"/>
    <x v="73"/>
    <x v="0"/>
    <x v="84"/>
    <x v="4"/>
    <x v="67"/>
    <x v="110"/>
    <x v="0"/>
    <x v="222"/>
    <x v="2"/>
    <x v="222"/>
    <x v="222"/>
    <x v="108"/>
    <x v="12"/>
  </r>
  <r>
    <x v="991"/>
    <x v="2"/>
    <x v="0"/>
    <x v="40"/>
    <x v="73"/>
    <x v="0"/>
    <x v="84"/>
    <x v="120"/>
    <x v="68"/>
    <x v="112"/>
    <x v="0"/>
    <x v="223"/>
    <x v="2"/>
    <x v="223"/>
    <x v="223"/>
    <x v="110"/>
    <x v="12"/>
  </r>
  <r>
    <x v="992"/>
    <x v="2"/>
    <x v="0"/>
    <x v="40"/>
    <x v="73"/>
    <x v="0"/>
    <x v="84"/>
    <x v="124"/>
    <x v="65"/>
    <x v="108"/>
    <x v="0"/>
    <x v="221"/>
    <x v="2"/>
    <x v="221"/>
    <x v="221"/>
    <x v="106"/>
    <x v="12"/>
  </r>
  <r>
    <x v="993"/>
    <x v="8"/>
    <x v="0"/>
    <x v="40"/>
    <x v="73"/>
    <x v="0"/>
    <x v="84"/>
    <x v="38"/>
    <x v="66"/>
    <x v="109"/>
    <x v="0"/>
    <x v="224"/>
    <x v="2"/>
    <x v="224"/>
    <x v="224"/>
    <x v="107"/>
    <x v="12"/>
  </r>
  <r>
    <x v="994"/>
    <x v="8"/>
    <x v="0"/>
    <x v="40"/>
    <x v="73"/>
    <x v="0"/>
    <x v="84"/>
    <x v="120"/>
    <x v="68"/>
    <x v="112"/>
    <x v="0"/>
    <x v="225"/>
    <x v="2"/>
    <x v="225"/>
    <x v="225"/>
    <x v="110"/>
    <x v="12"/>
  </r>
  <r>
    <x v="995"/>
    <x v="27"/>
    <x v="0"/>
    <x v="40"/>
    <x v="73"/>
    <x v="0"/>
    <x v="84"/>
    <x v="37"/>
    <x v="65"/>
    <x v="111"/>
    <x v="0"/>
    <x v="226"/>
    <x v="2"/>
    <x v="226"/>
    <x v="226"/>
    <x v="109"/>
    <x v="12"/>
  </r>
  <r>
    <x v="996"/>
    <x v="3"/>
    <x v="0"/>
    <x v="40"/>
    <x v="73"/>
    <x v="0"/>
    <x v="84"/>
    <x v="42"/>
    <x v="67"/>
    <x v="110"/>
    <x v="0"/>
    <x v="227"/>
    <x v="2"/>
    <x v="227"/>
    <x v="227"/>
    <x v="108"/>
    <x v="12"/>
  </r>
  <r>
    <x v="997"/>
    <x v="3"/>
    <x v="0"/>
    <x v="40"/>
    <x v="73"/>
    <x v="0"/>
    <x v="84"/>
    <x v="50"/>
    <x v="71"/>
    <x v="115"/>
    <x v="0"/>
    <x v="174"/>
    <x v="5"/>
    <x v="127"/>
    <x v="127"/>
    <x v="113"/>
    <x v="1"/>
  </r>
  <r>
    <x v="998"/>
    <x v="9"/>
    <x v="0"/>
    <x v="40"/>
    <x v="73"/>
    <x v="0"/>
    <x v="84"/>
    <x v="50"/>
    <x v="71"/>
    <x v="115"/>
    <x v="0"/>
    <x v="4"/>
    <x v="14"/>
    <x v="4"/>
    <x v="4"/>
    <x v="113"/>
    <x v="1"/>
  </r>
  <r>
    <x v="999"/>
    <x v="28"/>
    <x v="0"/>
    <x v="40"/>
    <x v="73"/>
    <x v="0"/>
    <x v="84"/>
    <x v="4"/>
    <x v="68"/>
    <x v="112"/>
    <x v="0"/>
    <x v="228"/>
    <x v="2"/>
    <x v="228"/>
    <x v="228"/>
    <x v="110"/>
    <x v="12"/>
  </r>
  <r>
    <x v="1000"/>
    <x v="28"/>
    <x v="0"/>
    <x v="40"/>
    <x v="73"/>
    <x v="0"/>
    <x v="84"/>
    <x v="50"/>
    <x v="66"/>
    <x v="109"/>
    <x v="0"/>
    <x v="229"/>
    <x v="14"/>
    <x v="229"/>
    <x v="229"/>
    <x v="107"/>
    <x v="12"/>
  </r>
  <r>
    <x v="1001"/>
    <x v="28"/>
    <x v="0"/>
    <x v="40"/>
    <x v="73"/>
    <x v="0"/>
    <x v="84"/>
    <x v="124"/>
    <x v="70"/>
    <x v="113"/>
    <x v="0"/>
    <x v="230"/>
    <x v="2"/>
    <x v="230"/>
    <x v="230"/>
    <x v="111"/>
    <x v="12"/>
  </r>
  <r>
    <x v="1002"/>
    <x v="28"/>
    <x v="0"/>
    <x v="40"/>
    <x v="73"/>
    <x v="0"/>
    <x v="84"/>
    <x v="37"/>
    <x v="65"/>
    <x v="111"/>
    <x v="0"/>
    <x v="231"/>
    <x v="2"/>
    <x v="231"/>
    <x v="231"/>
    <x v="109"/>
    <x v="12"/>
  </r>
  <r>
    <x v="1003"/>
    <x v="4"/>
    <x v="0"/>
    <x v="40"/>
    <x v="73"/>
    <x v="0"/>
    <x v="84"/>
    <x v="29"/>
    <x v="69"/>
    <x v="114"/>
    <x v="0"/>
    <x v="202"/>
    <x v="2"/>
    <x v="202"/>
    <x v="202"/>
    <x v="112"/>
    <x v="12"/>
  </r>
  <r>
    <x v="1004"/>
    <x v="4"/>
    <x v="0"/>
    <x v="40"/>
    <x v="73"/>
    <x v="0"/>
    <x v="84"/>
    <x v="37"/>
    <x v="66"/>
    <x v="109"/>
    <x v="0"/>
    <x v="232"/>
    <x v="2"/>
    <x v="232"/>
    <x v="232"/>
    <x v="107"/>
    <x v="12"/>
  </r>
  <r>
    <x v="1005"/>
    <x v="30"/>
    <x v="0"/>
    <x v="40"/>
    <x v="73"/>
    <x v="0"/>
    <x v="84"/>
    <x v="120"/>
    <x v="69"/>
    <x v="114"/>
    <x v="0"/>
    <x v="218"/>
    <x v="2"/>
    <x v="218"/>
    <x v="218"/>
    <x v="112"/>
    <x v="12"/>
  </r>
  <r>
    <x v="1006"/>
    <x v="30"/>
    <x v="0"/>
    <x v="40"/>
    <x v="73"/>
    <x v="0"/>
    <x v="84"/>
    <x v="125"/>
    <x v="65"/>
    <x v="111"/>
    <x v="0"/>
    <x v="233"/>
    <x v="2"/>
    <x v="233"/>
    <x v="233"/>
    <x v="109"/>
    <x v="12"/>
  </r>
  <r>
    <x v="1007"/>
    <x v="30"/>
    <x v="0"/>
    <x v="40"/>
    <x v="73"/>
    <x v="0"/>
    <x v="84"/>
    <x v="50"/>
    <x v="71"/>
    <x v="115"/>
    <x v="0"/>
    <x v="234"/>
    <x v="14"/>
    <x v="234"/>
    <x v="234"/>
    <x v="113"/>
    <x v="1"/>
  </r>
  <r>
    <x v="1008"/>
    <x v="30"/>
    <x v="0"/>
    <x v="40"/>
    <x v="73"/>
    <x v="0"/>
    <x v="84"/>
    <x v="50"/>
    <x v="64"/>
    <x v="107"/>
    <x v="0"/>
    <x v="129"/>
    <x v="14"/>
    <x v="127"/>
    <x v="127"/>
    <x v="105"/>
    <x v="6"/>
  </r>
  <r>
    <x v="1009"/>
    <x v="30"/>
    <x v="0"/>
    <x v="40"/>
    <x v="73"/>
    <x v="0"/>
    <x v="84"/>
    <x v="50"/>
    <x v="71"/>
    <x v="115"/>
    <x v="0"/>
    <x v="235"/>
    <x v="5"/>
    <x v="235"/>
    <x v="235"/>
    <x v="113"/>
    <x v="1"/>
  </r>
  <r>
    <x v="1010"/>
    <x v="10"/>
    <x v="0"/>
    <x v="40"/>
    <x v="73"/>
    <x v="0"/>
    <x v="84"/>
    <x v="126"/>
    <x v="65"/>
    <x v="111"/>
    <x v="0"/>
    <x v="236"/>
    <x v="2"/>
    <x v="236"/>
    <x v="236"/>
    <x v="109"/>
    <x v="12"/>
  </r>
  <r>
    <x v="1011"/>
    <x v="10"/>
    <x v="0"/>
    <x v="40"/>
    <x v="73"/>
    <x v="0"/>
    <x v="84"/>
    <x v="127"/>
    <x v="50"/>
    <x v="108"/>
    <x v="0"/>
    <x v="237"/>
    <x v="2"/>
    <x v="237"/>
    <x v="237"/>
    <x v="106"/>
    <x v="0"/>
  </r>
  <r>
    <x v="1012"/>
    <x v="10"/>
    <x v="0"/>
    <x v="40"/>
    <x v="73"/>
    <x v="0"/>
    <x v="84"/>
    <x v="128"/>
    <x v="71"/>
    <x v="115"/>
    <x v="0"/>
    <x v="129"/>
    <x v="14"/>
    <x v="127"/>
    <x v="127"/>
    <x v="113"/>
    <x v="1"/>
  </r>
  <r>
    <x v="1013"/>
    <x v="11"/>
    <x v="0"/>
    <x v="40"/>
    <x v="73"/>
    <x v="0"/>
    <x v="84"/>
    <x v="50"/>
    <x v="71"/>
    <x v="115"/>
    <x v="0"/>
    <x v="106"/>
    <x v="2"/>
    <x v="102"/>
    <x v="102"/>
    <x v="113"/>
    <x v="1"/>
  </r>
  <r>
    <x v="1014"/>
    <x v="11"/>
    <x v="0"/>
    <x v="40"/>
    <x v="73"/>
    <x v="0"/>
    <x v="84"/>
    <x v="4"/>
    <x v="70"/>
    <x v="113"/>
    <x v="0"/>
    <x v="238"/>
    <x v="2"/>
    <x v="238"/>
    <x v="238"/>
    <x v="111"/>
    <x v="12"/>
  </r>
  <r>
    <x v="1015"/>
    <x v="11"/>
    <x v="0"/>
    <x v="40"/>
    <x v="73"/>
    <x v="0"/>
    <x v="84"/>
    <x v="42"/>
    <x v="68"/>
    <x v="112"/>
    <x v="0"/>
    <x v="239"/>
    <x v="2"/>
    <x v="239"/>
    <x v="239"/>
    <x v="110"/>
    <x v="12"/>
  </r>
  <r>
    <x v="1016"/>
    <x v="11"/>
    <x v="0"/>
    <x v="40"/>
    <x v="73"/>
    <x v="0"/>
    <x v="84"/>
    <x v="37"/>
    <x v="65"/>
    <x v="111"/>
    <x v="0"/>
    <x v="240"/>
    <x v="2"/>
    <x v="240"/>
    <x v="240"/>
    <x v="109"/>
    <x v="12"/>
  </r>
  <r>
    <x v="1017"/>
    <x v="34"/>
    <x v="0"/>
    <x v="40"/>
    <x v="73"/>
    <x v="0"/>
    <x v="84"/>
    <x v="50"/>
    <x v="48"/>
    <x v="87"/>
    <x v="0"/>
    <x v="39"/>
    <x v="2"/>
    <x v="98"/>
    <x v="98"/>
    <x v="86"/>
    <x v="0"/>
  </r>
  <r>
    <x v="1018"/>
    <x v="34"/>
    <x v="0"/>
    <x v="40"/>
    <x v="73"/>
    <x v="0"/>
    <x v="84"/>
    <x v="116"/>
    <x v="70"/>
    <x v="113"/>
    <x v="0"/>
    <x v="241"/>
    <x v="2"/>
    <x v="241"/>
    <x v="241"/>
    <x v="111"/>
    <x v="12"/>
  </r>
  <r>
    <x v="1019"/>
    <x v="34"/>
    <x v="0"/>
    <x v="40"/>
    <x v="73"/>
    <x v="0"/>
    <x v="84"/>
    <x v="50"/>
    <x v="71"/>
    <x v="115"/>
    <x v="0"/>
    <x v="242"/>
    <x v="2"/>
    <x v="242"/>
    <x v="242"/>
    <x v="113"/>
    <x v="1"/>
  </r>
  <r>
    <x v="1020"/>
    <x v="34"/>
    <x v="0"/>
    <x v="40"/>
    <x v="73"/>
    <x v="0"/>
    <x v="84"/>
    <x v="129"/>
    <x v="64"/>
    <x v="107"/>
    <x v="0"/>
    <x v="234"/>
    <x v="14"/>
    <x v="234"/>
    <x v="234"/>
    <x v="105"/>
    <x v="6"/>
  </r>
  <r>
    <x v="1021"/>
    <x v="34"/>
    <x v="0"/>
    <x v="40"/>
    <x v="73"/>
    <x v="0"/>
    <x v="84"/>
    <x v="42"/>
    <x v="69"/>
    <x v="114"/>
    <x v="0"/>
    <x v="243"/>
    <x v="2"/>
    <x v="243"/>
    <x v="243"/>
    <x v="112"/>
    <x v="12"/>
  </r>
  <r>
    <x v="1022"/>
    <x v="34"/>
    <x v="0"/>
    <x v="40"/>
    <x v="73"/>
    <x v="0"/>
    <x v="84"/>
    <x v="29"/>
    <x v="66"/>
    <x v="109"/>
    <x v="0"/>
    <x v="244"/>
    <x v="2"/>
    <x v="244"/>
    <x v="244"/>
    <x v="107"/>
    <x v="12"/>
  </r>
  <r>
    <x v="1023"/>
    <x v="31"/>
    <x v="0"/>
    <x v="40"/>
    <x v="73"/>
    <x v="0"/>
    <x v="84"/>
    <x v="115"/>
    <x v="70"/>
    <x v="90"/>
    <x v="0"/>
    <x v="226"/>
    <x v="2"/>
    <x v="226"/>
    <x v="226"/>
    <x v="89"/>
    <x v="12"/>
  </r>
  <r>
    <x v="1024"/>
    <x v="31"/>
    <x v="0"/>
    <x v="40"/>
    <x v="73"/>
    <x v="0"/>
    <x v="84"/>
    <x v="38"/>
    <x v="65"/>
    <x v="111"/>
    <x v="0"/>
    <x v="245"/>
    <x v="2"/>
    <x v="245"/>
    <x v="245"/>
    <x v="109"/>
    <x v="12"/>
  </r>
  <r>
    <x v="1025"/>
    <x v="31"/>
    <x v="0"/>
    <x v="40"/>
    <x v="73"/>
    <x v="0"/>
    <x v="84"/>
    <x v="129"/>
    <x v="71"/>
    <x v="115"/>
    <x v="0"/>
    <x v="108"/>
    <x v="14"/>
    <x v="104"/>
    <x v="104"/>
    <x v="113"/>
    <x v="1"/>
  </r>
  <r>
    <x v="1026"/>
    <x v="31"/>
    <x v="0"/>
    <x v="40"/>
    <x v="73"/>
    <x v="0"/>
    <x v="84"/>
    <x v="130"/>
    <x v="73"/>
    <x v="89"/>
    <x v="0"/>
    <x v="143"/>
    <x v="2"/>
    <x v="141"/>
    <x v="141"/>
    <x v="88"/>
    <x v="0"/>
  </r>
  <r>
    <x v="1027"/>
    <x v="31"/>
    <x v="0"/>
    <x v="40"/>
    <x v="73"/>
    <x v="0"/>
    <x v="84"/>
    <x v="120"/>
    <x v="68"/>
    <x v="112"/>
    <x v="0"/>
    <x v="246"/>
    <x v="2"/>
    <x v="246"/>
    <x v="246"/>
    <x v="110"/>
    <x v="12"/>
  </r>
  <r>
    <x v="1028"/>
    <x v="39"/>
    <x v="0"/>
    <x v="40"/>
    <x v="73"/>
    <x v="0"/>
    <x v="84"/>
    <x v="118"/>
    <x v="70"/>
    <x v="113"/>
    <x v="0"/>
    <x v="247"/>
    <x v="2"/>
    <x v="247"/>
    <x v="247"/>
    <x v="111"/>
    <x v="12"/>
  </r>
  <r>
    <x v="1029"/>
    <x v="39"/>
    <x v="0"/>
    <x v="40"/>
    <x v="73"/>
    <x v="0"/>
    <x v="84"/>
    <x v="127"/>
    <x v="66"/>
    <x v="109"/>
    <x v="0"/>
    <x v="224"/>
    <x v="2"/>
    <x v="224"/>
    <x v="224"/>
    <x v="107"/>
    <x v="12"/>
  </r>
  <r>
    <x v="1030"/>
    <x v="39"/>
    <x v="0"/>
    <x v="40"/>
    <x v="73"/>
    <x v="0"/>
    <x v="84"/>
    <x v="29"/>
    <x v="69"/>
    <x v="114"/>
    <x v="0"/>
    <x v="216"/>
    <x v="2"/>
    <x v="216"/>
    <x v="216"/>
    <x v="112"/>
    <x v="12"/>
  </r>
  <r>
    <x v="1031"/>
    <x v="39"/>
    <x v="0"/>
    <x v="40"/>
    <x v="73"/>
    <x v="0"/>
    <x v="84"/>
    <x v="131"/>
    <x v="67"/>
    <x v="110"/>
    <x v="0"/>
    <x v="198"/>
    <x v="2"/>
    <x v="198"/>
    <x v="198"/>
    <x v="108"/>
    <x v="12"/>
  </r>
  <r>
    <x v="1032"/>
    <x v="39"/>
    <x v="0"/>
    <x v="40"/>
    <x v="73"/>
    <x v="0"/>
    <x v="84"/>
    <x v="42"/>
    <x v="65"/>
    <x v="108"/>
    <x v="0"/>
    <x v="248"/>
    <x v="2"/>
    <x v="248"/>
    <x v="248"/>
    <x v="106"/>
    <x v="12"/>
  </r>
  <r>
    <x v="1033"/>
    <x v="15"/>
    <x v="0"/>
    <x v="41"/>
    <x v="74"/>
    <x v="0"/>
    <x v="0"/>
    <x v="132"/>
    <x v="27"/>
    <x v="51"/>
    <x v="0"/>
    <x v="249"/>
    <x v="2"/>
    <x v="249"/>
    <x v="249"/>
    <x v="50"/>
    <x v="0"/>
  </r>
  <r>
    <x v="1034"/>
    <x v="15"/>
    <x v="0"/>
    <x v="41"/>
    <x v="74"/>
    <x v="0"/>
    <x v="0"/>
    <x v="132"/>
    <x v="27"/>
    <x v="52"/>
    <x v="0"/>
    <x v="249"/>
    <x v="2"/>
    <x v="249"/>
    <x v="249"/>
    <x v="51"/>
    <x v="0"/>
  </r>
  <r>
    <x v="1035"/>
    <x v="7"/>
    <x v="0"/>
    <x v="41"/>
    <x v="74"/>
    <x v="0"/>
    <x v="0"/>
    <x v="97"/>
    <x v="43"/>
    <x v="76"/>
    <x v="0"/>
    <x v="250"/>
    <x v="31"/>
    <x v="250"/>
    <x v="250"/>
    <x v="75"/>
    <x v="8"/>
  </r>
  <r>
    <x v="1036"/>
    <x v="13"/>
    <x v="0"/>
    <x v="42"/>
    <x v="75"/>
    <x v="3"/>
    <x v="16"/>
    <x v="133"/>
    <x v="74"/>
    <x v="117"/>
    <x v="0"/>
    <x v="251"/>
    <x v="2"/>
    <x v="251"/>
    <x v="251"/>
    <x v="115"/>
    <x v="11"/>
  </r>
  <r>
    <x v="1037"/>
    <x v="13"/>
    <x v="0"/>
    <x v="42"/>
    <x v="75"/>
    <x v="3"/>
    <x v="16"/>
    <x v="134"/>
    <x v="44"/>
    <x v="82"/>
    <x v="0"/>
    <x v="252"/>
    <x v="2"/>
    <x v="252"/>
    <x v="252"/>
    <x v="81"/>
    <x v="6"/>
  </r>
  <r>
    <x v="1038"/>
    <x v="13"/>
    <x v="0"/>
    <x v="42"/>
    <x v="75"/>
    <x v="3"/>
    <x v="16"/>
    <x v="55"/>
    <x v="41"/>
    <x v="78"/>
    <x v="0"/>
    <x v="253"/>
    <x v="2"/>
    <x v="253"/>
    <x v="253"/>
    <x v="77"/>
    <x v="7"/>
  </r>
  <r>
    <x v="1039"/>
    <x v="14"/>
    <x v="0"/>
    <x v="42"/>
    <x v="75"/>
    <x v="3"/>
    <x v="16"/>
    <x v="135"/>
    <x v="41"/>
    <x v="78"/>
    <x v="0"/>
    <x v="254"/>
    <x v="2"/>
    <x v="254"/>
    <x v="254"/>
    <x v="77"/>
    <x v="7"/>
  </r>
  <r>
    <x v="1040"/>
    <x v="14"/>
    <x v="0"/>
    <x v="42"/>
    <x v="75"/>
    <x v="3"/>
    <x v="16"/>
    <x v="136"/>
    <x v="40"/>
    <x v="77"/>
    <x v="0"/>
    <x v="255"/>
    <x v="2"/>
    <x v="255"/>
    <x v="255"/>
    <x v="76"/>
    <x v="6"/>
  </r>
  <r>
    <x v="1041"/>
    <x v="14"/>
    <x v="0"/>
    <x v="42"/>
    <x v="75"/>
    <x v="3"/>
    <x v="16"/>
    <x v="63"/>
    <x v="44"/>
    <x v="82"/>
    <x v="0"/>
    <x v="256"/>
    <x v="2"/>
    <x v="256"/>
    <x v="256"/>
    <x v="81"/>
    <x v="6"/>
  </r>
  <r>
    <x v="1042"/>
    <x v="14"/>
    <x v="0"/>
    <x v="42"/>
    <x v="75"/>
    <x v="3"/>
    <x v="16"/>
    <x v="38"/>
    <x v="41"/>
    <x v="78"/>
    <x v="0"/>
    <x v="257"/>
    <x v="2"/>
    <x v="257"/>
    <x v="257"/>
    <x v="77"/>
    <x v="7"/>
  </r>
  <r>
    <x v="1043"/>
    <x v="6"/>
    <x v="0"/>
    <x v="42"/>
    <x v="75"/>
    <x v="3"/>
    <x v="16"/>
    <x v="136"/>
    <x v="44"/>
    <x v="82"/>
    <x v="0"/>
    <x v="258"/>
    <x v="2"/>
    <x v="258"/>
    <x v="258"/>
    <x v="81"/>
    <x v="6"/>
  </r>
  <r>
    <x v="1044"/>
    <x v="6"/>
    <x v="0"/>
    <x v="42"/>
    <x v="75"/>
    <x v="3"/>
    <x v="16"/>
    <x v="134"/>
    <x v="41"/>
    <x v="78"/>
    <x v="0"/>
    <x v="252"/>
    <x v="2"/>
    <x v="252"/>
    <x v="252"/>
    <x v="77"/>
    <x v="7"/>
  </r>
  <r>
    <x v="1045"/>
    <x v="6"/>
    <x v="0"/>
    <x v="42"/>
    <x v="75"/>
    <x v="3"/>
    <x v="16"/>
    <x v="133"/>
    <x v="74"/>
    <x v="117"/>
    <x v="0"/>
    <x v="252"/>
    <x v="2"/>
    <x v="252"/>
    <x v="252"/>
    <x v="115"/>
    <x v="11"/>
  </r>
  <r>
    <x v="1046"/>
    <x v="6"/>
    <x v="0"/>
    <x v="42"/>
    <x v="75"/>
    <x v="3"/>
    <x v="16"/>
    <x v="12"/>
    <x v="40"/>
    <x v="77"/>
    <x v="0"/>
    <x v="259"/>
    <x v="2"/>
    <x v="259"/>
    <x v="259"/>
    <x v="76"/>
    <x v="6"/>
  </r>
  <r>
    <x v="1047"/>
    <x v="15"/>
    <x v="0"/>
    <x v="42"/>
    <x v="75"/>
    <x v="3"/>
    <x v="16"/>
    <x v="133"/>
    <x v="74"/>
    <x v="117"/>
    <x v="0"/>
    <x v="260"/>
    <x v="2"/>
    <x v="260"/>
    <x v="260"/>
    <x v="115"/>
    <x v="11"/>
  </r>
  <r>
    <x v="1048"/>
    <x v="15"/>
    <x v="0"/>
    <x v="42"/>
    <x v="75"/>
    <x v="3"/>
    <x v="16"/>
    <x v="134"/>
    <x v="41"/>
    <x v="78"/>
    <x v="0"/>
    <x v="251"/>
    <x v="2"/>
    <x v="251"/>
    <x v="251"/>
    <x v="77"/>
    <x v="7"/>
  </r>
  <r>
    <x v="1049"/>
    <x v="15"/>
    <x v="0"/>
    <x v="42"/>
    <x v="75"/>
    <x v="3"/>
    <x v="16"/>
    <x v="55"/>
    <x v="44"/>
    <x v="82"/>
    <x v="0"/>
    <x v="261"/>
    <x v="2"/>
    <x v="261"/>
    <x v="261"/>
    <x v="81"/>
    <x v="6"/>
  </r>
  <r>
    <x v="1050"/>
    <x v="15"/>
    <x v="0"/>
    <x v="42"/>
    <x v="75"/>
    <x v="3"/>
    <x v="16"/>
    <x v="136"/>
    <x v="5"/>
    <x v="9"/>
    <x v="0"/>
    <x v="262"/>
    <x v="2"/>
    <x v="262"/>
    <x v="262"/>
    <x v="9"/>
    <x v="3"/>
  </r>
  <r>
    <x v="1051"/>
    <x v="24"/>
    <x v="0"/>
    <x v="42"/>
    <x v="75"/>
    <x v="3"/>
    <x v="16"/>
    <x v="55"/>
    <x v="5"/>
    <x v="9"/>
    <x v="0"/>
    <x v="261"/>
    <x v="2"/>
    <x v="261"/>
    <x v="261"/>
    <x v="9"/>
    <x v="3"/>
  </r>
  <r>
    <x v="1052"/>
    <x v="24"/>
    <x v="0"/>
    <x v="42"/>
    <x v="75"/>
    <x v="3"/>
    <x v="16"/>
    <x v="137"/>
    <x v="74"/>
    <x v="117"/>
    <x v="0"/>
    <x v="252"/>
    <x v="2"/>
    <x v="252"/>
    <x v="252"/>
    <x v="115"/>
    <x v="11"/>
  </r>
  <r>
    <x v="1053"/>
    <x v="24"/>
    <x v="0"/>
    <x v="42"/>
    <x v="75"/>
    <x v="3"/>
    <x v="16"/>
    <x v="134"/>
    <x v="41"/>
    <x v="78"/>
    <x v="0"/>
    <x v="251"/>
    <x v="2"/>
    <x v="251"/>
    <x v="251"/>
    <x v="77"/>
    <x v="7"/>
  </r>
  <r>
    <x v="1054"/>
    <x v="24"/>
    <x v="0"/>
    <x v="42"/>
    <x v="75"/>
    <x v="3"/>
    <x v="16"/>
    <x v="136"/>
    <x v="44"/>
    <x v="82"/>
    <x v="0"/>
    <x v="255"/>
    <x v="2"/>
    <x v="255"/>
    <x v="255"/>
    <x v="81"/>
    <x v="6"/>
  </r>
  <r>
    <x v="1055"/>
    <x v="16"/>
    <x v="0"/>
    <x v="42"/>
    <x v="75"/>
    <x v="3"/>
    <x v="16"/>
    <x v="133"/>
    <x v="74"/>
    <x v="117"/>
    <x v="0"/>
    <x v="252"/>
    <x v="2"/>
    <x v="252"/>
    <x v="252"/>
    <x v="115"/>
    <x v="11"/>
  </r>
  <r>
    <x v="1056"/>
    <x v="16"/>
    <x v="0"/>
    <x v="42"/>
    <x v="75"/>
    <x v="3"/>
    <x v="16"/>
    <x v="134"/>
    <x v="44"/>
    <x v="82"/>
    <x v="0"/>
    <x v="252"/>
    <x v="2"/>
    <x v="252"/>
    <x v="252"/>
    <x v="81"/>
    <x v="6"/>
  </r>
  <r>
    <x v="1057"/>
    <x v="16"/>
    <x v="0"/>
    <x v="42"/>
    <x v="75"/>
    <x v="3"/>
    <x v="16"/>
    <x v="55"/>
    <x v="41"/>
    <x v="78"/>
    <x v="0"/>
    <x v="261"/>
    <x v="2"/>
    <x v="261"/>
    <x v="261"/>
    <x v="77"/>
    <x v="7"/>
  </r>
  <r>
    <x v="1058"/>
    <x v="25"/>
    <x v="0"/>
    <x v="42"/>
    <x v="75"/>
    <x v="3"/>
    <x v="16"/>
    <x v="136"/>
    <x v="74"/>
    <x v="117"/>
    <x v="0"/>
    <x v="258"/>
    <x v="2"/>
    <x v="258"/>
    <x v="258"/>
    <x v="115"/>
    <x v="11"/>
  </r>
  <r>
    <x v="1059"/>
    <x v="25"/>
    <x v="0"/>
    <x v="42"/>
    <x v="75"/>
    <x v="3"/>
    <x v="16"/>
    <x v="133"/>
    <x v="74"/>
    <x v="117"/>
    <x v="0"/>
    <x v="260"/>
    <x v="2"/>
    <x v="260"/>
    <x v="260"/>
    <x v="115"/>
    <x v="11"/>
  </r>
  <r>
    <x v="1060"/>
    <x v="25"/>
    <x v="0"/>
    <x v="42"/>
    <x v="75"/>
    <x v="3"/>
    <x v="16"/>
    <x v="134"/>
    <x v="44"/>
    <x v="82"/>
    <x v="0"/>
    <x v="251"/>
    <x v="2"/>
    <x v="251"/>
    <x v="251"/>
    <x v="81"/>
    <x v="6"/>
  </r>
  <r>
    <x v="1061"/>
    <x v="25"/>
    <x v="0"/>
    <x v="42"/>
    <x v="75"/>
    <x v="3"/>
    <x v="16"/>
    <x v="55"/>
    <x v="41"/>
    <x v="78"/>
    <x v="0"/>
    <x v="261"/>
    <x v="2"/>
    <x v="261"/>
    <x v="261"/>
    <x v="77"/>
    <x v="7"/>
  </r>
  <r>
    <x v="1062"/>
    <x v="25"/>
    <x v="0"/>
    <x v="42"/>
    <x v="75"/>
    <x v="3"/>
    <x v="16"/>
    <x v="63"/>
    <x v="40"/>
    <x v="77"/>
    <x v="0"/>
    <x v="256"/>
    <x v="2"/>
    <x v="256"/>
    <x v="256"/>
    <x v="76"/>
    <x v="6"/>
  </r>
  <r>
    <x v="1063"/>
    <x v="7"/>
    <x v="0"/>
    <x v="42"/>
    <x v="75"/>
    <x v="3"/>
    <x v="16"/>
    <x v="133"/>
    <x v="74"/>
    <x v="117"/>
    <x v="0"/>
    <x v="263"/>
    <x v="2"/>
    <x v="263"/>
    <x v="263"/>
    <x v="115"/>
    <x v="11"/>
  </r>
  <r>
    <x v="1064"/>
    <x v="7"/>
    <x v="0"/>
    <x v="42"/>
    <x v="75"/>
    <x v="3"/>
    <x v="16"/>
    <x v="134"/>
    <x v="44"/>
    <x v="82"/>
    <x v="0"/>
    <x v="252"/>
    <x v="2"/>
    <x v="252"/>
    <x v="252"/>
    <x v="81"/>
    <x v="6"/>
  </r>
  <r>
    <x v="1065"/>
    <x v="7"/>
    <x v="0"/>
    <x v="42"/>
    <x v="75"/>
    <x v="3"/>
    <x v="16"/>
    <x v="138"/>
    <x v="41"/>
    <x v="78"/>
    <x v="0"/>
    <x v="264"/>
    <x v="2"/>
    <x v="264"/>
    <x v="264"/>
    <x v="77"/>
    <x v="7"/>
  </r>
  <r>
    <x v="1066"/>
    <x v="7"/>
    <x v="0"/>
    <x v="42"/>
    <x v="75"/>
    <x v="3"/>
    <x v="16"/>
    <x v="136"/>
    <x v="41"/>
    <x v="78"/>
    <x v="0"/>
    <x v="255"/>
    <x v="2"/>
    <x v="255"/>
    <x v="255"/>
    <x v="77"/>
    <x v="7"/>
  </r>
  <r>
    <x v="1067"/>
    <x v="0"/>
    <x v="0"/>
    <x v="42"/>
    <x v="75"/>
    <x v="3"/>
    <x v="16"/>
    <x v="133"/>
    <x v="74"/>
    <x v="117"/>
    <x v="0"/>
    <x v="251"/>
    <x v="2"/>
    <x v="251"/>
    <x v="251"/>
    <x v="115"/>
    <x v="11"/>
  </r>
  <r>
    <x v="1068"/>
    <x v="0"/>
    <x v="0"/>
    <x v="42"/>
    <x v="75"/>
    <x v="3"/>
    <x v="16"/>
    <x v="134"/>
    <x v="41"/>
    <x v="78"/>
    <x v="0"/>
    <x v="252"/>
    <x v="2"/>
    <x v="252"/>
    <x v="252"/>
    <x v="77"/>
    <x v="7"/>
  </r>
  <r>
    <x v="1069"/>
    <x v="0"/>
    <x v="0"/>
    <x v="42"/>
    <x v="75"/>
    <x v="3"/>
    <x v="16"/>
    <x v="55"/>
    <x v="44"/>
    <x v="82"/>
    <x v="0"/>
    <x v="261"/>
    <x v="2"/>
    <x v="261"/>
    <x v="261"/>
    <x v="81"/>
    <x v="6"/>
  </r>
  <r>
    <x v="1070"/>
    <x v="5"/>
    <x v="0"/>
    <x v="42"/>
    <x v="75"/>
    <x v="3"/>
    <x v="16"/>
    <x v="133"/>
    <x v="74"/>
    <x v="117"/>
    <x v="0"/>
    <x v="251"/>
    <x v="2"/>
    <x v="251"/>
    <x v="251"/>
    <x v="115"/>
    <x v="11"/>
  </r>
  <r>
    <x v="1071"/>
    <x v="5"/>
    <x v="0"/>
    <x v="42"/>
    <x v="75"/>
    <x v="3"/>
    <x v="16"/>
    <x v="134"/>
    <x v="41"/>
    <x v="78"/>
    <x v="0"/>
    <x v="252"/>
    <x v="2"/>
    <x v="252"/>
    <x v="252"/>
    <x v="77"/>
    <x v="7"/>
  </r>
  <r>
    <x v="1072"/>
    <x v="5"/>
    <x v="0"/>
    <x v="42"/>
    <x v="75"/>
    <x v="3"/>
    <x v="16"/>
    <x v="55"/>
    <x v="44"/>
    <x v="82"/>
    <x v="0"/>
    <x v="261"/>
    <x v="2"/>
    <x v="261"/>
    <x v="261"/>
    <x v="81"/>
    <x v="6"/>
  </r>
  <r>
    <x v="1073"/>
    <x v="1"/>
    <x v="0"/>
    <x v="42"/>
    <x v="75"/>
    <x v="3"/>
    <x v="16"/>
    <x v="133"/>
    <x v="74"/>
    <x v="117"/>
    <x v="0"/>
    <x v="252"/>
    <x v="2"/>
    <x v="252"/>
    <x v="252"/>
    <x v="115"/>
    <x v="11"/>
  </r>
  <r>
    <x v="1074"/>
    <x v="1"/>
    <x v="0"/>
    <x v="42"/>
    <x v="75"/>
    <x v="3"/>
    <x v="16"/>
    <x v="134"/>
    <x v="41"/>
    <x v="78"/>
    <x v="0"/>
    <x v="252"/>
    <x v="2"/>
    <x v="252"/>
    <x v="252"/>
    <x v="77"/>
    <x v="7"/>
  </r>
  <r>
    <x v="1075"/>
    <x v="1"/>
    <x v="0"/>
    <x v="42"/>
    <x v="75"/>
    <x v="3"/>
    <x v="16"/>
    <x v="55"/>
    <x v="44"/>
    <x v="82"/>
    <x v="0"/>
    <x v="261"/>
    <x v="2"/>
    <x v="261"/>
    <x v="261"/>
    <x v="81"/>
    <x v="6"/>
  </r>
  <r>
    <x v="1076"/>
    <x v="1"/>
    <x v="0"/>
    <x v="42"/>
    <x v="75"/>
    <x v="3"/>
    <x v="16"/>
    <x v="136"/>
    <x v="74"/>
    <x v="117"/>
    <x v="0"/>
    <x v="265"/>
    <x v="2"/>
    <x v="265"/>
    <x v="265"/>
    <x v="115"/>
    <x v="11"/>
  </r>
  <r>
    <x v="1077"/>
    <x v="17"/>
    <x v="0"/>
    <x v="42"/>
    <x v="75"/>
    <x v="3"/>
    <x v="16"/>
    <x v="133"/>
    <x v="74"/>
    <x v="117"/>
    <x v="0"/>
    <x v="260"/>
    <x v="2"/>
    <x v="260"/>
    <x v="260"/>
    <x v="115"/>
    <x v="11"/>
  </r>
  <r>
    <x v="1078"/>
    <x v="17"/>
    <x v="0"/>
    <x v="42"/>
    <x v="75"/>
    <x v="3"/>
    <x v="16"/>
    <x v="134"/>
    <x v="41"/>
    <x v="78"/>
    <x v="0"/>
    <x v="251"/>
    <x v="2"/>
    <x v="251"/>
    <x v="251"/>
    <x v="77"/>
    <x v="7"/>
  </r>
  <r>
    <x v="1079"/>
    <x v="17"/>
    <x v="0"/>
    <x v="42"/>
    <x v="75"/>
    <x v="3"/>
    <x v="16"/>
    <x v="55"/>
    <x v="44"/>
    <x v="82"/>
    <x v="0"/>
    <x v="266"/>
    <x v="2"/>
    <x v="266"/>
    <x v="266"/>
    <x v="81"/>
    <x v="6"/>
  </r>
  <r>
    <x v="1080"/>
    <x v="17"/>
    <x v="0"/>
    <x v="42"/>
    <x v="75"/>
    <x v="3"/>
    <x v="16"/>
    <x v="136"/>
    <x v="41"/>
    <x v="78"/>
    <x v="0"/>
    <x v="258"/>
    <x v="2"/>
    <x v="258"/>
    <x v="258"/>
    <x v="77"/>
    <x v="7"/>
  </r>
  <r>
    <x v="1081"/>
    <x v="12"/>
    <x v="0"/>
    <x v="42"/>
    <x v="75"/>
    <x v="3"/>
    <x v="16"/>
    <x v="133"/>
    <x v="74"/>
    <x v="117"/>
    <x v="0"/>
    <x v="260"/>
    <x v="2"/>
    <x v="260"/>
    <x v="260"/>
    <x v="115"/>
    <x v="11"/>
  </r>
  <r>
    <x v="1082"/>
    <x v="12"/>
    <x v="0"/>
    <x v="42"/>
    <x v="75"/>
    <x v="3"/>
    <x v="16"/>
    <x v="63"/>
    <x v="41"/>
    <x v="78"/>
    <x v="0"/>
    <x v="267"/>
    <x v="2"/>
    <x v="267"/>
    <x v="267"/>
    <x v="77"/>
    <x v="7"/>
  </r>
  <r>
    <x v="1083"/>
    <x v="12"/>
    <x v="0"/>
    <x v="42"/>
    <x v="75"/>
    <x v="3"/>
    <x v="16"/>
    <x v="29"/>
    <x v="44"/>
    <x v="82"/>
    <x v="0"/>
    <x v="268"/>
    <x v="2"/>
    <x v="268"/>
    <x v="268"/>
    <x v="81"/>
    <x v="6"/>
  </r>
  <r>
    <x v="1084"/>
    <x v="12"/>
    <x v="0"/>
    <x v="42"/>
    <x v="75"/>
    <x v="3"/>
    <x v="16"/>
    <x v="55"/>
    <x v="40"/>
    <x v="77"/>
    <x v="0"/>
    <x v="261"/>
    <x v="2"/>
    <x v="261"/>
    <x v="261"/>
    <x v="76"/>
    <x v="6"/>
  </r>
  <r>
    <x v="1085"/>
    <x v="2"/>
    <x v="0"/>
    <x v="42"/>
    <x v="75"/>
    <x v="3"/>
    <x v="16"/>
    <x v="133"/>
    <x v="74"/>
    <x v="117"/>
    <x v="0"/>
    <x v="251"/>
    <x v="2"/>
    <x v="251"/>
    <x v="251"/>
    <x v="115"/>
    <x v="11"/>
  </r>
  <r>
    <x v="1086"/>
    <x v="2"/>
    <x v="0"/>
    <x v="42"/>
    <x v="75"/>
    <x v="3"/>
    <x v="16"/>
    <x v="134"/>
    <x v="44"/>
    <x v="82"/>
    <x v="0"/>
    <x v="251"/>
    <x v="2"/>
    <x v="251"/>
    <x v="251"/>
    <x v="81"/>
    <x v="6"/>
  </r>
  <r>
    <x v="1087"/>
    <x v="2"/>
    <x v="0"/>
    <x v="42"/>
    <x v="75"/>
    <x v="3"/>
    <x v="16"/>
    <x v="138"/>
    <x v="41"/>
    <x v="78"/>
    <x v="0"/>
    <x v="264"/>
    <x v="2"/>
    <x v="264"/>
    <x v="264"/>
    <x v="77"/>
    <x v="7"/>
  </r>
  <r>
    <x v="1088"/>
    <x v="2"/>
    <x v="0"/>
    <x v="42"/>
    <x v="75"/>
    <x v="3"/>
    <x v="16"/>
    <x v="55"/>
    <x v="41"/>
    <x v="78"/>
    <x v="0"/>
    <x v="261"/>
    <x v="2"/>
    <x v="261"/>
    <x v="261"/>
    <x v="77"/>
    <x v="7"/>
  </r>
  <r>
    <x v="1089"/>
    <x v="8"/>
    <x v="0"/>
    <x v="42"/>
    <x v="75"/>
    <x v="3"/>
    <x v="16"/>
    <x v="133"/>
    <x v="74"/>
    <x v="117"/>
    <x v="0"/>
    <x v="251"/>
    <x v="2"/>
    <x v="251"/>
    <x v="251"/>
    <x v="115"/>
    <x v="11"/>
  </r>
  <r>
    <x v="1090"/>
    <x v="8"/>
    <x v="0"/>
    <x v="42"/>
    <x v="75"/>
    <x v="3"/>
    <x v="16"/>
    <x v="134"/>
    <x v="44"/>
    <x v="82"/>
    <x v="0"/>
    <x v="251"/>
    <x v="2"/>
    <x v="251"/>
    <x v="251"/>
    <x v="81"/>
    <x v="6"/>
  </r>
  <r>
    <x v="1091"/>
    <x v="27"/>
    <x v="0"/>
    <x v="42"/>
    <x v="75"/>
    <x v="3"/>
    <x v="16"/>
    <x v="133"/>
    <x v="74"/>
    <x v="117"/>
    <x v="0"/>
    <x v="252"/>
    <x v="2"/>
    <x v="252"/>
    <x v="252"/>
    <x v="115"/>
    <x v="11"/>
  </r>
  <r>
    <x v="1092"/>
    <x v="27"/>
    <x v="0"/>
    <x v="42"/>
    <x v="75"/>
    <x v="3"/>
    <x v="16"/>
    <x v="134"/>
    <x v="44"/>
    <x v="82"/>
    <x v="0"/>
    <x v="252"/>
    <x v="2"/>
    <x v="252"/>
    <x v="252"/>
    <x v="81"/>
    <x v="6"/>
  </r>
  <r>
    <x v="1093"/>
    <x v="27"/>
    <x v="0"/>
    <x v="42"/>
    <x v="75"/>
    <x v="3"/>
    <x v="16"/>
    <x v="55"/>
    <x v="41"/>
    <x v="78"/>
    <x v="0"/>
    <x v="261"/>
    <x v="2"/>
    <x v="261"/>
    <x v="261"/>
    <x v="77"/>
    <x v="7"/>
  </r>
  <r>
    <x v="1094"/>
    <x v="3"/>
    <x v="0"/>
    <x v="42"/>
    <x v="75"/>
    <x v="3"/>
    <x v="16"/>
    <x v="133"/>
    <x v="74"/>
    <x v="117"/>
    <x v="0"/>
    <x v="252"/>
    <x v="2"/>
    <x v="252"/>
    <x v="252"/>
    <x v="115"/>
    <x v="11"/>
  </r>
  <r>
    <x v="1095"/>
    <x v="3"/>
    <x v="0"/>
    <x v="42"/>
    <x v="75"/>
    <x v="3"/>
    <x v="16"/>
    <x v="134"/>
    <x v="41"/>
    <x v="78"/>
    <x v="0"/>
    <x v="252"/>
    <x v="2"/>
    <x v="252"/>
    <x v="252"/>
    <x v="77"/>
    <x v="7"/>
  </r>
  <r>
    <x v="1096"/>
    <x v="3"/>
    <x v="0"/>
    <x v="42"/>
    <x v="75"/>
    <x v="3"/>
    <x v="16"/>
    <x v="55"/>
    <x v="44"/>
    <x v="82"/>
    <x v="0"/>
    <x v="261"/>
    <x v="2"/>
    <x v="261"/>
    <x v="261"/>
    <x v="81"/>
    <x v="6"/>
  </r>
  <r>
    <x v="1097"/>
    <x v="3"/>
    <x v="0"/>
    <x v="42"/>
    <x v="75"/>
    <x v="3"/>
    <x v="16"/>
    <x v="12"/>
    <x v="40"/>
    <x v="77"/>
    <x v="0"/>
    <x v="259"/>
    <x v="2"/>
    <x v="259"/>
    <x v="259"/>
    <x v="76"/>
    <x v="6"/>
  </r>
  <r>
    <x v="1098"/>
    <x v="9"/>
    <x v="0"/>
    <x v="42"/>
    <x v="75"/>
    <x v="3"/>
    <x v="16"/>
    <x v="133"/>
    <x v="74"/>
    <x v="117"/>
    <x v="0"/>
    <x v="260"/>
    <x v="2"/>
    <x v="260"/>
    <x v="260"/>
    <x v="115"/>
    <x v="11"/>
  </r>
  <r>
    <x v="1099"/>
    <x v="9"/>
    <x v="0"/>
    <x v="42"/>
    <x v="75"/>
    <x v="3"/>
    <x v="16"/>
    <x v="134"/>
    <x v="41"/>
    <x v="78"/>
    <x v="0"/>
    <x v="251"/>
    <x v="2"/>
    <x v="251"/>
    <x v="251"/>
    <x v="77"/>
    <x v="7"/>
  </r>
  <r>
    <x v="1100"/>
    <x v="9"/>
    <x v="0"/>
    <x v="42"/>
    <x v="75"/>
    <x v="3"/>
    <x v="16"/>
    <x v="55"/>
    <x v="44"/>
    <x v="82"/>
    <x v="0"/>
    <x v="261"/>
    <x v="2"/>
    <x v="261"/>
    <x v="261"/>
    <x v="81"/>
    <x v="6"/>
  </r>
  <r>
    <x v="1101"/>
    <x v="9"/>
    <x v="0"/>
    <x v="42"/>
    <x v="75"/>
    <x v="3"/>
    <x v="16"/>
    <x v="12"/>
    <x v="40"/>
    <x v="77"/>
    <x v="0"/>
    <x v="259"/>
    <x v="2"/>
    <x v="259"/>
    <x v="259"/>
    <x v="76"/>
    <x v="6"/>
  </r>
  <r>
    <x v="1102"/>
    <x v="28"/>
    <x v="0"/>
    <x v="42"/>
    <x v="75"/>
    <x v="3"/>
    <x v="16"/>
    <x v="133"/>
    <x v="74"/>
    <x v="117"/>
    <x v="0"/>
    <x v="260"/>
    <x v="2"/>
    <x v="260"/>
    <x v="260"/>
    <x v="115"/>
    <x v="11"/>
  </r>
  <r>
    <x v="1103"/>
    <x v="28"/>
    <x v="0"/>
    <x v="42"/>
    <x v="75"/>
    <x v="3"/>
    <x v="16"/>
    <x v="29"/>
    <x v="41"/>
    <x v="78"/>
    <x v="0"/>
    <x v="265"/>
    <x v="2"/>
    <x v="265"/>
    <x v="265"/>
    <x v="77"/>
    <x v="7"/>
  </r>
  <r>
    <x v="1104"/>
    <x v="28"/>
    <x v="0"/>
    <x v="42"/>
    <x v="75"/>
    <x v="3"/>
    <x v="16"/>
    <x v="55"/>
    <x v="40"/>
    <x v="77"/>
    <x v="0"/>
    <x v="261"/>
    <x v="2"/>
    <x v="261"/>
    <x v="261"/>
    <x v="76"/>
    <x v="6"/>
  </r>
  <r>
    <x v="1105"/>
    <x v="28"/>
    <x v="0"/>
    <x v="42"/>
    <x v="75"/>
    <x v="3"/>
    <x v="16"/>
    <x v="63"/>
    <x v="44"/>
    <x v="82"/>
    <x v="0"/>
    <x v="255"/>
    <x v="2"/>
    <x v="255"/>
    <x v="255"/>
    <x v="81"/>
    <x v="6"/>
  </r>
  <r>
    <x v="1106"/>
    <x v="4"/>
    <x v="0"/>
    <x v="42"/>
    <x v="75"/>
    <x v="3"/>
    <x v="16"/>
    <x v="133"/>
    <x v="74"/>
    <x v="117"/>
    <x v="0"/>
    <x v="252"/>
    <x v="2"/>
    <x v="252"/>
    <x v="252"/>
    <x v="115"/>
    <x v="11"/>
  </r>
  <r>
    <x v="1107"/>
    <x v="4"/>
    <x v="0"/>
    <x v="42"/>
    <x v="75"/>
    <x v="3"/>
    <x v="16"/>
    <x v="138"/>
    <x v="41"/>
    <x v="78"/>
    <x v="0"/>
    <x v="264"/>
    <x v="2"/>
    <x v="264"/>
    <x v="264"/>
    <x v="77"/>
    <x v="7"/>
  </r>
  <r>
    <x v="1108"/>
    <x v="4"/>
    <x v="0"/>
    <x v="42"/>
    <x v="75"/>
    <x v="3"/>
    <x v="16"/>
    <x v="136"/>
    <x v="41"/>
    <x v="78"/>
    <x v="0"/>
    <x v="255"/>
    <x v="2"/>
    <x v="255"/>
    <x v="255"/>
    <x v="77"/>
    <x v="7"/>
  </r>
  <r>
    <x v="1109"/>
    <x v="30"/>
    <x v="0"/>
    <x v="42"/>
    <x v="75"/>
    <x v="3"/>
    <x v="16"/>
    <x v="133"/>
    <x v="74"/>
    <x v="117"/>
    <x v="0"/>
    <x v="252"/>
    <x v="2"/>
    <x v="252"/>
    <x v="252"/>
    <x v="115"/>
    <x v="11"/>
  </r>
  <r>
    <x v="1110"/>
    <x v="30"/>
    <x v="0"/>
    <x v="42"/>
    <x v="75"/>
    <x v="3"/>
    <x v="16"/>
    <x v="134"/>
    <x v="41"/>
    <x v="78"/>
    <x v="0"/>
    <x v="252"/>
    <x v="2"/>
    <x v="252"/>
    <x v="252"/>
    <x v="77"/>
    <x v="7"/>
  </r>
  <r>
    <x v="1111"/>
    <x v="30"/>
    <x v="0"/>
    <x v="42"/>
    <x v="75"/>
    <x v="3"/>
    <x v="16"/>
    <x v="55"/>
    <x v="44"/>
    <x v="82"/>
    <x v="0"/>
    <x v="261"/>
    <x v="2"/>
    <x v="261"/>
    <x v="261"/>
    <x v="81"/>
    <x v="6"/>
  </r>
  <r>
    <x v="1112"/>
    <x v="30"/>
    <x v="0"/>
    <x v="42"/>
    <x v="75"/>
    <x v="3"/>
    <x v="16"/>
    <x v="139"/>
    <x v="44"/>
    <x v="82"/>
    <x v="0"/>
    <x v="262"/>
    <x v="2"/>
    <x v="262"/>
    <x v="262"/>
    <x v="81"/>
    <x v="6"/>
  </r>
  <r>
    <x v="1113"/>
    <x v="10"/>
    <x v="0"/>
    <x v="42"/>
    <x v="75"/>
    <x v="3"/>
    <x v="16"/>
    <x v="134"/>
    <x v="41"/>
    <x v="78"/>
    <x v="0"/>
    <x v="252"/>
    <x v="2"/>
    <x v="252"/>
    <x v="252"/>
    <x v="77"/>
    <x v="7"/>
  </r>
  <r>
    <x v="1114"/>
    <x v="10"/>
    <x v="0"/>
    <x v="42"/>
    <x v="75"/>
    <x v="3"/>
    <x v="16"/>
    <x v="133"/>
    <x v="74"/>
    <x v="117"/>
    <x v="0"/>
    <x v="251"/>
    <x v="2"/>
    <x v="251"/>
    <x v="251"/>
    <x v="115"/>
    <x v="11"/>
  </r>
  <r>
    <x v="1115"/>
    <x v="10"/>
    <x v="0"/>
    <x v="42"/>
    <x v="75"/>
    <x v="3"/>
    <x v="16"/>
    <x v="55"/>
    <x v="44"/>
    <x v="82"/>
    <x v="0"/>
    <x v="261"/>
    <x v="2"/>
    <x v="261"/>
    <x v="261"/>
    <x v="81"/>
    <x v="6"/>
  </r>
  <r>
    <x v="1116"/>
    <x v="10"/>
    <x v="0"/>
    <x v="42"/>
    <x v="75"/>
    <x v="3"/>
    <x v="16"/>
    <x v="139"/>
    <x v="44"/>
    <x v="82"/>
    <x v="0"/>
    <x v="256"/>
    <x v="2"/>
    <x v="256"/>
    <x v="256"/>
    <x v="81"/>
    <x v="6"/>
  </r>
  <r>
    <x v="1117"/>
    <x v="11"/>
    <x v="0"/>
    <x v="42"/>
    <x v="75"/>
    <x v="3"/>
    <x v="16"/>
    <x v="134"/>
    <x v="41"/>
    <x v="78"/>
    <x v="0"/>
    <x v="251"/>
    <x v="2"/>
    <x v="251"/>
    <x v="251"/>
    <x v="77"/>
    <x v="7"/>
  </r>
  <r>
    <x v="1118"/>
    <x v="11"/>
    <x v="0"/>
    <x v="42"/>
    <x v="75"/>
    <x v="3"/>
    <x v="16"/>
    <x v="133"/>
    <x v="74"/>
    <x v="117"/>
    <x v="0"/>
    <x v="251"/>
    <x v="2"/>
    <x v="251"/>
    <x v="251"/>
    <x v="115"/>
    <x v="11"/>
  </r>
  <r>
    <x v="1119"/>
    <x v="11"/>
    <x v="0"/>
    <x v="42"/>
    <x v="75"/>
    <x v="3"/>
    <x v="16"/>
    <x v="55"/>
    <x v="44"/>
    <x v="82"/>
    <x v="0"/>
    <x v="266"/>
    <x v="2"/>
    <x v="266"/>
    <x v="266"/>
    <x v="81"/>
    <x v="6"/>
  </r>
  <r>
    <x v="1120"/>
    <x v="34"/>
    <x v="0"/>
    <x v="42"/>
    <x v="75"/>
    <x v="3"/>
    <x v="16"/>
    <x v="139"/>
    <x v="41"/>
    <x v="78"/>
    <x v="0"/>
    <x v="255"/>
    <x v="2"/>
    <x v="255"/>
    <x v="255"/>
    <x v="77"/>
    <x v="7"/>
  </r>
  <r>
    <x v="1121"/>
    <x v="34"/>
    <x v="0"/>
    <x v="42"/>
    <x v="75"/>
    <x v="3"/>
    <x v="16"/>
    <x v="55"/>
    <x v="41"/>
    <x v="78"/>
    <x v="0"/>
    <x v="261"/>
    <x v="2"/>
    <x v="261"/>
    <x v="261"/>
    <x v="77"/>
    <x v="7"/>
  </r>
  <r>
    <x v="1122"/>
    <x v="34"/>
    <x v="0"/>
    <x v="42"/>
    <x v="75"/>
    <x v="3"/>
    <x v="16"/>
    <x v="134"/>
    <x v="74"/>
    <x v="117"/>
    <x v="0"/>
    <x v="269"/>
    <x v="2"/>
    <x v="269"/>
    <x v="269"/>
    <x v="115"/>
    <x v="11"/>
  </r>
  <r>
    <x v="1123"/>
    <x v="34"/>
    <x v="0"/>
    <x v="42"/>
    <x v="75"/>
    <x v="3"/>
    <x v="16"/>
    <x v="140"/>
    <x v="44"/>
    <x v="82"/>
    <x v="0"/>
    <x v="252"/>
    <x v="2"/>
    <x v="252"/>
    <x v="252"/>
    <x v="81"/>
    <x v="6"/>
  </r>
  <r>
    <x v="1124"/>
    <x v="31"/>
    <x v="0"/>
    <x v="42"/>
    <x v="75"/>
    <x v="3"/>
    <x v="16"/>
    <x v="134"/>
    <x v="41"/>
    <x v="78"/>
    <x v="0"/>
    <x v="252"/>
    <x v="2"/>
    <x v="252"/>
    <x v="252"/>
    <x v="77"/>
    <x v="7"/>
  </r>
  <r>
    <x v="1125"/>
    <x v="31"/>
    <x v="0"/>
    <x v="42"/>
    <x v="75"/>
    <x v="3"/>
    <x v="16"/>
    <x v="133"/>
    <x v="74"/>
    <x v="117"/>
    <x v="0"/>
    <x v="252"/>
    <x v="2"/>
    <x v="252"/>
    <x v="252"/>
    <x v="115"/>
    <x v="11"/>
  </r>
  <r>
    <x v="1126"/>
    <x v="31"/>
    <x v="0"/>
    <x v="42"/>
    <x v="75"/>
    <x v="3"/>
    <x v="16"/>
    <x v="55"/>
    <x v="44"/>
    <x v="82"/>
    <x v="0"/>
    <x v="261"/>
    <x v="2"/>
    <x v="261"/>
    <x v="261"/>
    <x v="81"/>
    <x v="6"/>
  </r>
  <r>
    <x v="1127"/>
    <x v="42"/>
    <x v="0"/>
    <x v="43"/>
    <x v="76"/>
    <x v="0"/>
    <x v="85"/>
    <x v="141"/>
    <x v="63"/>
    <x v="104"/>
    <x v="0"/>
    <x v="270"/>
    <x v="2"/>
    <x v="270"/>
    <x v="270"/>
    <x v="102"/>
    <x v="7"/>
  </r>
  <r>
    <x v="1128"/>
    <x v="42"/>
    <x v="0"/>
    <x v="43"/>
    <x v="76"/>
    <x v="0"/>
    <x v="85"/>
    <x v="142"/>
    <x v="61"/>
    <x v="102"/>
    <x v="0"/>
    <x v="271"/>
    <x v="2"/>
    <x v="271"/>
    <x v="271"/>
    <x v="100"/>
    <x v="7"/>
  </r>
  <r>
    <x v="1129"/>
    <x v="42"/>
    <x v="0"/>
    <x v="43"/>
    <x v="76"/>
    <x v="0"/>
    <x v="85"/>
    <x v="143"/>
    <x v="60"/>
    <x v="101"/>
    <x v="0"/>
    <x v="272"/>
    <x v="2"/>
    <x v="272"/>
    <x v="272"/>
    <x v="99"/>
    <x v="11"/>
  </r>
  <r>
    <x v="1130"/>
    <x v="42"/>
    <x v="0"/>
    <x v="43"/>
    <x v="76"/>
    <x v="0"/>
    <x v="85"/>
    <x v="144"/>
    <x v="62"/>
    <x v="103"/>
    <x v="0"/>
    <x v="273"/>
    <x v="2"/>
    <x v="273"/>
    <x v="273"/>
    <x v="101"/>
    <x v="7"/>
  </r>
  <r>
    <x v="1131"/>
    <x v="14"/>
    <x v="0"/>
    <x v="43"/>
    <x v="76"/>
    <x v="0"/>
    <x v="85"/>
    <x v="144"/>
    <x v="60"/>
    <x v="101"/>
    <x v="0"/>
    <x v="273"/>
    <x v="2"/>
    <x v="273"/>
    <x v="273"/>
    <x v="99"/>
    <x v="11"/>
  </r>
  <r>
    <x v="1132"/>
    <x v="14"/>
    <x v="0"/>
    <x v="43"/>
    <x v="76"/>
    <x v="0"/>
    <x v="85"/>
    <x v="143"/>
    <x v="61"/>
    <x v="102"/>
    <x v="0"/>
    <x v="272"/>
    <x v="2"/>
    <x v="272"/>
    <x v="272"/>
    <x v="100"/>
    <x v="7"/>
  </r>
  <r>
    <x v="1133"/>
    <x v="14"/>
    <x v="0"/>
    <x v="43"/>
    <x v="76"/>
    <x v="0"/>
    <x v="85"/>
    <x v="142"/>
    <x v="63"/>
    <x v="104"/>
    <x v="0"/>
    <x v="271"/>
    <x v="2"/>
    <x v="271"/>
    <x v="271"/>
    <x v="102"/>
    <x v="7"/>
  </r>
  <r>
    <x v="1134"/>
    <x v="6"/>
    <x v="0"/>
    <x v="43"/>
    <x v="76"/>
    <x v="0"/>
    <x v="85"/>
    <x v="16"/>
    <x v="62"/>
    <x v="103"/>
    <x v="0"/>
    <x v="274"/>
    <x v="2"/>
    <x v="274"/>
    <x v="274"/>
    <x v="101"/>
    <x v="7"/>
  </r>
  <r>
    <x v="1135"/>
    <x v="6"/>
    <x v="0"/>
    <x v="43"/>
    <x v="76"/>
    <x v="0"/>
    <x v="85"/>
    <x v="16"/>
    <x v="63"/>
    <x v="104"/>
    <x v="0"/>
    <x v="274"/>
    <x v="2"/>
    <x v="274"/>
    <x v="274"/>
    <x v="102"/>
    <x v="7"/>
  </r>
  <r>
    <x v="1136"/>
    <x v="6"/>
    <x v="0"/>
    <x v="43"/>
    <x v="76"/>
    <x v="0"/>
    <x v="85"/>
    <x v="142"/>
    <x v="63"/>
    <x v="104"/>
    <x v="0"/>
    <x v="271"/>
    <x v="2"/>
    <x v="271"/>
    <x v="271"/>
    <x v="102"/>
    <x v="7"/>
  </r>
  <r>
    <x v="1137"/>
    <x v="6"/>
    <x v="0"/>
    <x v="43"/>
    <x v="76"/>
    <x v="0"/>
    <x v="85"/>
    <x v="143"/>
    <x v="62"/>
    <x v="103"/>
    <x v="0"/>
    <x v="272"/>
    <x v="2"/>
    <x v="272"/>
    <x v="272"/>
    <x v="101"/>
    <x v="7"/>
  </r>
  <r>
    <x v="1138"/>
    <x v="24"/>
    <x v="0"/>
    <x v="43"/>
    <x v="76"/>
    <x v="0"/>
    <x v="85"/>
    <x v="145"/>
    <x v="62"/>
    <x v="103"/>
    <x v="0"/>
    <x v="275"/>
    <x v="2"/>
    <x v="275"/>
    <x v="275"/>
    <x v="101"/>
    <x v="7"/>
  </r>
  <r>
    <x v="1139"/>
    <x v="24"/>
    <x v="0"/>
    <x v="43"/>
    <x v="76"/>
    <x v="0"/>
    <x v="85"/>
    <x v="142"/>
    <x v="62"/>
    <x v="103"/>
    <x v="0"/>
    <x v="271"/>
    <x v="2"/>
    <x v="271"/>
    <x v="271"/>
    <x v="101"/>
    <x v="7"/>
  </r>
  <r>
    <x v="1140"/>
    <x v="16"/>
    <x v="0"/>
    <x v="43"/>
    <x v="76"/>
    <x v="0"/>
    <x v="85"/>
    <x v="146"/>
    <x v="61"/>
    <x v="102"/>
    <x v="0"/>
    <x v="275"/>
    <x v="2"/>
    <x v="275"/>
    <x v="275"/>
    <x v="100"/>
    <x v="7"/>
  </r>
  <r>
    <x v="1141"/>
    <x v="16"/>
    <x v="0"/>
    <x v="43"/>
    <x v="76"/>
    <x v="0"/>
    <x v="85"/>
    <x v="146"/>
    <x v="60"/>
    <x v="101"/>
    <x v="0"/>
    <x v="276"/>
    <x v="2"/>
    <x v="276"/>
    <x v="276"/>
    <x v="99"/>
    <x v="11"/>
  </r>
  <r>
    <x v="1142"/>
    <x v="16"/>
    <x v="0"/>
    <x v="43"/>
    <x v="76"/>
    <x v="0"/>
    <x v="85"/>
    <x v="144"/>
    <x v="61"/>
    <x v="102"/>
    <x v="0"/>
    <x v="273"/>
    <x v="2"/>
    <x v="273"/>
    <x v="273"/>
    <x v="100"/>
    <x v="7"/>
  </r>
  <r>
    <x v="1143"/>
    <x v="16"/>
    <x v="0"/>
    <x v="43"/>
    <x v="76"/>
    <x v="0"/>
    <x v="85"/>
    <x v="143"/>
    <x v="62"/>
    <x v="103"/>
    <x v="0"/>
    <x v="272"/>
    <x v="2"/>
    <x v="272"/>
    <x v="272"/>
    <x v="101"/>
    <x v="7"/>
  </r>
  <r>
    <x v="1144"/>
    <x v="16"/>
    <x v="0"/>
    <x v="43"/>
    <x v="76"/>
    <x v="0"/>
    <x v="85"/>
    <x v="142"/>
    <x v="60"/>
    <x v="101"/>
    <x v="0"/>
    <x v="277"/>
    <x v="2"/>
    <x v="277"/>
    <x v="277"/>
    <x v="99"/>
    <x v="11"/>
  </r>
  <r>
    <x v="1145"/>
    <x v="16"/>
    <x v="0"/>
    <x v="43"/>
    <x v="76"/>
    <x v="0"/>
    <x v="85"/>
    <x v="141"/>
    <x v="63"/>
    <x v="104"/>
    <x v="0"/>
    <x v="270"/>
    <x v="2"/>
    <x v="270"/>
    <x v="270"/>
    <x v="102"/>
    <x v="7"/>
  </r>
  <r>
    <x v="1146"/>
    <x v="25"/>
    <x v="0"/>
    <x v="43"/>
    <x v="76"/>
    <x v="0"/>
    <x v="85"/>
    <x v="16"/>
    <x v="60"/>
    <x v="101"/>
    <x v="0"/>
    <x v="278"/>
    <x v="2"/>
    <x v="278"/>
    <x v="278"/>
    <x v="99"/>
    <x v="11"/>
  </r>
  <r>
    <x v="1147"/>
    <x v="25"/>
    <x v="0"/>
    <x v="43"/>
    <x v="76"/>
    <x v="0"/>
    <x v="85"/>
    <x v="16"/>
    <x v="63"/>
    <x v="104"/>
    <x v="0"/>
    <x v="274"/>
    <x v="2"/>
    <x v="274"/>
    <x v="274"/>
    <x v="102"/>
    <x v="7"/>
  </r>
  <r>
    <x v="1148"/>
    <x v="0"/>
    <x v="0"/>
    <x v="43"/>
    <x v="76"/>
    <x v="0"/>
    <x v="85"/>
    <x v="142"/>
    <x v="63"/>
    <x v="104"/>
    <x v="0"/>
    <x v="271"/>
    <x v="2"/>
    <x v="271"/>
    <x v="271"/>
    <x v="102"/>
    <x v="7"/>
  </r>
  <r>
    <x v="1149"/>
    <x v="0"/>
    <x v="0"/>
    <x v="43"/>
    <x v="76"/>
    <x v="0"/>
    <x v="85"/>
    <x v="143"/>
    <x v="61"/>
    <x v="102"/>
    <x v="0"/>
    <x v="272"/>
    <x v="2"/>
    <x v="272"/>
    <x v="272"/>
    <x v="100"/>
    <x v="7"/>
  </r>
  <r>
    <x v="1150"/>
    <x v="5"/>
    <x v="0"/>
    <x v="43"/>
    <x v="76"/>
    <x v="0"/>
    <x v="85"/>
    <x v="142"/>
    <x v="61"/>
    <x v="102"/>
    <x v="0"/>
    <x v="271"/>
    <x v="2"/>
    <x v="271"/>
    <x v="271"/>
    <x v="100"/>
    <x v="7"/>
  </r>
  <r>
    <x v="1151"/>
    <x v="5"/>
    <x v="0"/>
    <x v="43"/>
    <x v="76"/>
    <x v="0"/>
    <x v="85"/>
    <x v="143"/>
    <x v="62"/>
    <x v="103"/>
    <x v="0"/>
    <x v="272"/>
    <x v="2"/>
    <x v="272"/>
    <x v="272"/>
    <x v="101"/>
    <x v="7"/>
  </r>
  <r>
    <x v="1152"/>
    <x v="5"/>
    <x v="0"/>
    <x v="43"/>
    <x v="76"/>
    <x v="0"/>
    <x v="85"/>
    <x v="144"/>
    <x v="60"/>
    <x v="101"/>
    <x v="0"/>
    <x v="273"/>
    <x v="2"/>
    <x v="273"/>
    <x v="273"/>
    <x v="99"/>
    <x v="11"/>
  </r>
  <r>
    <x v="1153"/>
    <x v="1"/>
    <x v="0"/>
    <x v="43"/>
    <x v="76"/>
    <x v="0"/>
    <x v="85"/>
    <x v="16"/>
    <x v="63"/>
    <x v="104"/>
    <x v="0"/>
    <x v="274"/>
    <x v="2"/>
    <x v="274"/>
    <x v="274"/>
    <x v="102"/>
    <x v="7"/>
  </r>
  <r>
    <x v="1154"/>
    <x v="1"/>
    <x v="0"/>
    <x v="43"/>
    <x v="76"/>
    <x v="0"/>
    <x v="85"/>
    <x v="142"/>
    <x v="63"/>
    <x v="104"/>
    <x v="0"/>
    <x v="271"/>
    <x v="2"/>
    <x v="271"/>
    <x v="271"/>
    <x v="102"/>
    <x v="7"/>
  </r>
  <r>
    <x v="1155"/>
    <x v="17"/>
    <x v="0"/>
    <x v="43"/>
    <x v="76"/>
    <x v="0"/>
    <x v="85"/>
    <x v="142"/>
    <x v="63"/>
    <x v="104"/>
    <x v="0"/>
    <x v="271"/>
    <x v="2"/>
    <x v="271"/>
    <x v="271"/>
    <x v="102"/>
    <x v="7"/>
  </r>
  <r>
    <x v="1156"/>
    <x v="17"/>
    <x v="0"/>
    <x v="43"/>
    <x v="76"/>
    <x v="0"/>
    <x v="85"/>
    <x v="141"/>
    <x v="62"/>
    <x v="103"/>
    <x v="0"/>
    <x v="270"/>
    <x v="2"/>
    <x v="270"/>
    <x v="270"/>
    <x v="101"/>
    <x v="7"/>
  </r>
  <r>
    <x v="1157"/>
    <x v="17"/>
    <x v="0"/>
    <x v="43"/>
    <x v="76"/>
    <x v="0"/>
    <x v="85"/>
    <x v="144"/>
    <x v="61"/>
    <x v="102"/>
    <x v="0"/>
    <x v="273"/>
    <x v="2"/>
    <x v="273"/>
    <x v="273"/>
    <x v="100"/>
    <x v="7"/>
  </r>
  <r>
    <x v="1158"/>
    <x v="17"/>
    <x v="0"/>
    <x v="43"/>
    <x v="76"/>
    <x v="0"/>
    <x v="85"/>
    <x v="143"/>
    <x v="60"/>
    <x v="101"/>
    <x v="0"/>
    <x v="272"/>
    <x v="2"/>
    <x v="272"/>
    <x v="272"/>
    <x v="99"/>
    <x v="11"/>
  </r>
  <r>
    <x v="1159"/>
    <x v="2"/>
    <x v="0"/>
    <x v="43"/>
    <x v="76"/>
    <x v="0"/>
    <x v="85"/>
    <x v="142"/>
    <x v="63"/>
    <x v="104"/>
    <x v="0"/>
    <x v="271"/>
    <x v="2"/>
    <x v="271"/>
    <x v="271"/>
    <x v="102"/>
    <x v="7"/>
  </r>
  <r>
    <x v="1160"/>
    <x v="2"/>
    <x v="0"/>
    <x v="43"/>
    <x v="76"/>
    <x v="0"/>
    <x v="85"/>
    <x v="143"/>
    <x v="60"/>
    <x v="101"/>
    <x v="0"/>
    <x v="272"/>
    <x v="2"/>
    <x v="272"/>
    <x v="272"/>
    <x v="99"/>
    <x v="11"/>
  </r>
  <r>
    <x v="1161"/>
    <x v="2"/>
    <x v="0"/>
    <x v="43"/>
    <x v="76"/>
    <x v="0"/>
    <x v="85"/>
    <x v="144"/>
    <x v="61"/>
    <x v="102"/>
    <x v="0"/>
    <x v="273"/>
    <x v="2"/>
    <x v="273"/>
    <x v="273"/>
    <x v="100"/>
    <x v="7"/>
  </r>
  <r>
    <x v="1162"/>
    <x v="8"/>
    <x v="0"/>
    <x v="43"/>
    <x v="76"/>
    <x v="0"/>
    <x v="85"/>
    <x v="16"/>
    <x v="62"/>
    <x v="103"/>
    <x v="0"/>
    <x v="274"/>
    <x v="2"/>
    <x v="274"/>
    <x v="274"/>
    <x v="101"/>
    <x v="7"/>
  </r>
  <r>
    <x v="1163"/>
    <x v="8"/>
    <x v="0"/>
    <x v="43"/>
    <x v="76"/>
    <x v="0"/>
    <x v="85"/>
    <x v="142"/>
    <x v="63"/>
    <x v="104"/>
    <x v="0"/>
    <x v="271"/>
    <x v="2"/>
    <x v="271"/>
    <x v="271"/>
    <x v="102"/>
    <x v="7"/>
  </r>
  <r>
    <x v="1164"/>
    <x v="8"/>
    <x v="0"/>
    <x v="43"/>
    <x v="76"/>
    <x v="0"/>
    <x v="85"/>
    <x v="143"/>
    <x v="62"/>
    <x v="103"/>
    <x v="0"/>
    <x v="272"/>
    <x v="2"/>
    <x v="272"/>
    <x v="272"/>
    <x v="101"/>
    <x v="7"/>
  </r>
  <r>
    <x v="1165"/>
    <x v="27"/>
    <x v="0"/>
    <x v="43"/>
    <x v="76"/>
    <x v="0"/>
    <x v="85"/>
    <x v="146"/>
    <x v="60"/>
    <x v="101"/>
    <x v="0"/>
    <x v="276"/>
    <x v="2"/>
    <x v="276"/>
    <x v="276"/>
    <x v="99"/>
    <x v="11"/>
  </r>
  <r>
    <x v="1166"/>
    <x v="27"/>
    <x v="0"/>
    <x v="43"/>
    <x v="76"/>
    <x v="0"/>
    <x v="85"/>
    <x v="142"/>
    <x v="62"/>
    <x v="103"/>
    <x v="0"/>
    <x v="271"/>
    <x v="2"/>
    <x v="271"/>
    <x v="271"/>
    <x v="101"/>
    <x v="7"/>
  </r>
  <r>
    <x v="1167"/>
    <x v="27"/>
    <x v="0"/>
    <x v="43"/>
    <x v="76"/>
    <x v="0"/>
    <x v="85"/>
    <x v="141"/>
    <x v="63"/>
    <x v="104"/>
    <x v="0"/>
    <x v="270"/>
    <x v="2"/>
    <x v="270"/>
    <x v="270"/>
    <x v="102"/>
    <x v="7"/>
  </r>
  <r>
    <x v="1168"/>
    <x v="27"/>
    <x v="0"/>
    <x v="43"/>
    <x v="76"/>
    <x v="0"/>
    <x v="85"/>
    <x v="144"/>
    <x v="60"/>
    <x v="101"/>
    <x v="0"/>
    <x v="273"/>
    <x v="2"/>
    <x v="273"/>
    <x v="273"/>
    <x v="99"/>
    <x v="11"/>
  </r>
  <r>
    <x v="1169"/>
    <x v="27"/>
    <x v="0"/>
    <x v="43"/>
    <x v="76"/>
    <x v="0"/>
    <x v="85"/>
    <x v="143"/>
    <x v="61"/>
    <x v="102"/>
    <x v="0"/>
    <x v="272"/>
    <x v="2"/>
    <x v="272"/>
    <x v="272"/>
    <x v="100"/>
    <x v="7"/>
  </r>
  <r>
    <x v="1170"/>
    <x v="3"/>
    <x v="0"/>
    <x v="43"/>
    <x v="76"/>
    <x v="0"/>
    <x v="85"/>
    <x v="142"/>
    <x v="62"/>
    <x v="103"/>
    <x v="0"/>
    <x v="271"/>
    <x v="2"/>
    <x v="271"/>
    <x v="271"/>
    <x v="101"/>
    <x v="7"/>
  </r>
  <r>
    <x v="1171"/>
    <x v="9"/>
    <x v="0"/>
    <x v="43"/>
    <x v="76"/>
    <x v="0"/>
    <x v="85"/>
    <x v="142"/>
    <x v="61"/>
    <x v="102"/>
    <x v="0"/>
    <x v="271"/>
    <x v="2"/>
    <x v="271"/>
    <x v="271"/>
    <x v="100"/>
    <x v="7"/>
  </r>
  <r>
    <x v="1172"/>
    <x v="9"/>
    <x v="0"/>
    <x v="43"/>
    <x v="76"/>
    <x v="0"/>
    <x v="85"/>
    <x v="143"/>
    <x v="60"/>
    <x v="101"/>
    <x v="0"/>
    <x v="272"/>
    <x v="2"/>
    <x v="272"/>
    <x v="272"/>
    <x v="99"/>
    <x v="11"/>
  </r>
  <r>
    <x v="1173"/>
    <x v="9"/>
    <x v="0"/>
    <x v="43"/>
    <x v="76"/>
    <x v="0"/>
    <x v="85"/>
    <x v="144"/>
    <x v="63"/>
    <x v="104"/>
    <x v="0"/>
    <x v="273"/>
    <x v="2"/>
    <x v="273"/>
    <x v="273"/>
    <x v="102"/>
    <x v="7"/>
  </r>
  <r>
    <x v="1174"/>
    <x v="4"/>
    <x v="0"/>
    <x v="43"/>
    <x v="76"/>
    <x v="0"/>
    <x v="85"/>
    <x v="141"/>
    <x v="63"/>
    <x v="104"/>
    <x v="0"/>
    <x v="270"/>
    <x v="2"/>
    <x v="270"/>
    <x v="270"/>
    <x v="102"/>
    <x v="7"/>
  </r>
  <r>
    <x v="1175"/>
    <x v="4"/>
    <x v="0"/>
    <x v="43"/>
    <x v="76"/>
    <x v="0"/>
    <x v="85"/>
    <x v="142"/>
    <x v="62"/>
    <x v="103"/>
    <x v="0"/>
    <x v="271"/>
    <x v="2"/>
    <x v="271"/>
    <x v="271"/>
    <x v="101"/>
    <x v="7"/>
  </r>
  <r>
    <x v="1176"/>
    <x v="4"/>
    <x v="0"/>
    <x v="43"/>
    <x v="76"/>
    <x v="0"/>
    <x v="85"/>
    <x v="144"/>
    <x v="61"/>
    <x v="102"/>
    <x v="0"/>
    <x v="273"/>
    <x v="2"/>
    <x v="273"/>
    <x v="273"/>
    <x v="100"/>
    <x v="7"/>
  </r>
  <r>
    <x v="1177"/>
    <x v="4"/>
    <x v="0"/>
    <x v="43"/>
    <x v="76"/>
    <x v="0"/>
    <x v="85"/>
    <x v="143"/>
    <x v="60"/>
    <x v="101"/>
    <x v="0"/>
    <x v="272"/>
    <x v="2"/>
    <x v="272"/>
    <x v="272"/>
    <x v="99"/>
    <x v="11"/>
  </r>
  <r>
    <x v="1178"/>
    <x v="15"/>
    <x v="0"/>
    <x v="43"/>
    <x v="76"/>
    <x v="0"/>
    <x v="85"/>
    <x v="144"/>
    <x v="60"/>
    <x v="101"/>
    <x v="0"/>
    <x v="273"/>
    <x v="2"/>
    <x v="273"/>
    <x v="273"/>
    <x v="99"/>
    <x v="11"/>
  </r>
  <r>
    <x v="1179"/>
    <x v="15"/>
    <x v="0"/>
    <x v="43"/>
    <x v="76"/>
    <x v="0"/>
    <x v="85"/>
    <x v="143"/>
    <x v="61"/>
    <x v="102"/>
    <x v="0"/>
    <x v="272"/>
    <x v="2"/>
    <x v="272"/>
    <x v="272"/>
    <x v="100"/>
    <x v="7"/>
  </r>
  <r>
    <x v="1180"/>
    <x v="15"/>
    <x v="0"/>
    <x v="43"/>
    <x v="76"/>
    <x v="0"/>
    <x v="85"/>
    <x v="142"/>
    <x v="63"/>
    <x v="104"/>
    <x v="0"/>
    <x v="271"/>
    <x v="2"/>
    <x v="271"/>
    <x v="271"/>
    <x v="102"/>
    <x v="7"/>
  </r>
  <r>
    <x v="1181"/>
    <x v="15"/>
    <x v="0"/>
    <x v="44"/>
    <x v="77"/>
    <x v="3"/>
    <x v="86"/>
    <x v="147"/>
    <x v="44"/>
    <x v="82"/>
    <x v="0"/>
    <x v="279"/>
    <x v="2"/>
    <x v="279"/>
    <x v="279"/>
    <x v="81"/>
    <x v="6"/>
  </r>
  <r>
    <x v="1182"/>
    <x v="7"/>
    <x v="0"/>
    <x v="44"/>
    <x v="77"/>
    <x v="3"/>
    <x v="76"/>
    <x v="17"/>
    <x v="63"/>
    <x v="104"/>
    <x v="0"/>
    <x v="280"/>
    <x v="2"/>
    <x v="280"/>
    <x v="280"/>
    <x v="102"/>
    <x v="7"/>
  </r>
  <r>
    <x v="1183"/>
    <x v="2"/>
    <x v="0"/>
    <x v="44"/>
    <x v="77"/>
    <x v="3"/>
    <x v="86"/>
    <x v="147"/>
    <x v="41"/>
    <x v="78"/>
    <x v="0"/>
    <x v="279"/>
    <x v="2"/>
    <x v="279"/>
    <x v="279"/>
    <x v="77"/>
    <x v="7"/>
  </r>
  <r>
    <x v="1184"/>
    <x v="9"/>
    <x v="0"/>
    <x v="44"/>
    <x v="77"/>
    <x v="3"/>
    <x v="76"/>
    <x v="17"/>
    <x v="63"/>
    <x v="104"/>
    <x v="0"/>
    <x v="280"/>
    <x v="2"/>
    <x v="280"/>
    <x v="280"/>
    <x v="102"/>
    <x v="7"/>
  </r>
  <r>
    <x v="1185"/>
    <x v="4"/>
    <x v="0"/>
    <x v="44"/>
    <x v="77"/>
    <x v="3"/>
    <x v="86"/>
    <x v="147"/>
    <x v="44"/>
    <x v="82"/>
    <x v="0"/>
    <x v="279"/>
    <x v="2"/>
    <x v="279"/>
    <x v="279"/>
    <x v="81"/>
    <x v="6"/>
  </r>
  <r>
    <x v="1186"/>
    <x v="34"/>
    <x v="0"/>
    <x v="44"/>
    <x v="77"/>
    <x v="3"/>
    <x v="76"/>
    <x v="17"/>
    <x v="61"/>
    <x v="102"/>
    <x v="0"/>
    <x v="280"/>
    <x v="2"/>
    <x v="280"/>
    <x v="280"/>
    <x v="100"/>
    <x v="7"/>
  </r>
  <r>
    <x v="1187"/>
    <x v="14"/>
    <x v="0"/>
    <x v="45"/>
    <x v="78"/>
    <x v="3"/>
    <x v="1"/>
    <x v="148"/>
    <x v="71"/>
    <x v="115"/>
    <x v="0"/>
    <x v="281"/>
    <x v="2"/>
    <x v="281"/>
    <x v="281"/>
    <x v="113"/>
    <x v="1"/>
  </r>
  <r>
    <x v="1188"/>
    <x v="14"/>
    <x v="0"/>
    <x v="45"/>
    <x v="78"/>
    <x v="3"/>
    <x v="1"/>
    <x v="149"/>
    <x v="68"/>
    <x v="112"/>
    <x v="0"/>
    <x v="282"/>
    <x v="2"/>
    <x v="282"/>
    <x v="282"/>
    <x v="110"/>
    <x v="12"/>
  </r>
  <r>
    <x v="1189"/>
    <x v="14"/>
    <x v="0"/>
    <x v="45"/>
    <x v="78"/>
    <x v="3"/>
    <x v="1"/>
    <x v="150"/>
    <x v="68"/>
    <x v="112"/>
    <x v="0"/>
    <x v="283"/>
    <x v="2"/>
    <x v="283"/>
    <x v="283"/>
    <x v="110"/>
    <x v="12"/>
  </r>
  <r>
    <x v="1190"/>
    <x v="14"/>
    <x v="0"/>
    <x v="45"/>
    <x v="78"/>
    <x v="3"/>
    <x v="1"/>
    <x v="151"/>
    <x v="68"/>
    <x v="112"/>
    <x v="0"/>
    <x v="284"/>
    <x v="2"/>
    <x v="284"/>
    <x v="284"/>
    <x v="110"/>
    <x v="12"/>
  </r>
  <r>
    <x v="1191"/>
    <x v="14"/>
    <x v="0"/>
    <x v="45"/>
    <x v="78"/>
    <x v="3"/>
    <x v="1"/>
    <x v="151"/>
    <x v="68"/>
    <x v="112"/>
    <x v="0"/>
    <x v="285"/>
    <x v="2"/>
    <x v="285"/>
    <x v="285"/>
    <x v="110"/>
    <x v="12"/>
  </r>
  <r>
    <x v="1192"/>
    <x v="14"/>
    <x v="0"/>
    <x v="45"/>
    <x v="78"/>
    <x v="3"/>
    <x v="1"/>
    <x v="152"/>
    <x v="69"/>
    <x v="114"/>
    <x v="0"/>
    <x v="286"/>
    <x v="2"/>
    <x v="286"/>
    <x v="286"/>
    <x v="112"/>
    <x v="12"/>
  </r>
  <r>
    <x v="1193"/>
    <x v="14"/>
    <x v="0"/>
    <x v="45"/>
    <x v="78"/>
    <x v="3"/>
    <x v="1"/>
    <x v="152"/>
    <x v="69"/>
    <x v="114"/>
    <x v="0"/>
    <x v="287"/>
    <x v="2"/>
    <x v="287"/>
    <x v="287"/>
    <x v="112"/>
    <x v="12"/>
  </r>
  <r>
    <x v="1194"/>
    <x v="14"/>
    <x v="0"/>
    <x v="45"/>
    <x v="78"/>
    <x v="3"/>
    <x v="1"/>
    <x v="153"/>
    <x v="67"/>
    <x v="110"/>
    <x v="0"/>
    <x v="288"/>
    <x v="2"/>
    <x v="288"/>
    <x v="288"/>
    <x v="108"/>
    <x v="12"/>
  </r>
  <r>
    <x v="1195"/>
    <x v="14"/>
    <x v="0"/>
    <x v="45"/>
    <x v="78"/>
    <x v="3"/>
    <x v="1"/>
    <x v="153"/>
    <x v="67"/>
    <x v="110"/>
    <x v="0"/>
    <x v="289"/>
    <x v="2"/>
    <x v="289"/>
    <x v="289"/>
    <x v="108"/>
    <x v="12"/>
  </r>
  <r>
    <x v="1196"/>
    <x v="14"/>
    <x v="0"/>
    <x v="45"/>
    <x v="78"/>
    <x v="3"/>
    <x v="1"/>
    <x v="154"/>
    <x v="67"/>
    <x v="110"/>
    <x v="0"/>
    <x v="290"/>
    <x v="2"/>
    <x v="290"/>
    <x v="290"/>
    <x v="108"/>
    <x v="12"/>
  </r>
  <r>
    <x v="1197"/>
    <x v="14"/>
    <x v="0"/>
    <x v="45"/>
    <x v="78"/>
    <x v="3"/>
    <x v="1"/>
    <x v="155"/>
    <x v="67"/>
    <x v="110"/>
    <x v="0"/>
    <x v="291"/>
    <x v="2"/>
    <x v="291"/>
    <x v="291"/>
    <x v="108"/>
    <x v="12"/>
  </r>
  <r>
    <x v="1198"/>
    <x v="6"/>
    <x v="0"/>
    <x v="45"/>
    <x v="78"/>
    <x v="3"/>
    <x v="1"/>
    <x v="156"/>
    <x v="65"/>
    <x v="111"/>
    <x v="0"/>
    <x v="292"/>
    <x v="2"/>
    <x v="292"/>
    <x v="292"/>
    <x v="109"/>
    <x v="12"/>
  </r>
  <r>
    <x v="1199"/>
    <x v="6"/>
    <x v="0"/>
    <x v="45"/>
    <x v="78"/>
    <x v="3"/>
    <x v="1"/>
    <x v="156"/>
    <x v="65"/>
    <x v="111"/>
    <x v="0"/>
    <x v="293"/>
    <x v="2"/>
    <x v="293"/>
    <x v="293"/>
    <x v="109"/>
    <x v="12"/>
  </r>
  <r>
    <x v="1200"/>
    <x v="6"/>
    <x v="0"/>
    <x v="45"/>
    <x v="78"/>
    <x v="3"/>
    <x v="1"/>
    <x v="156"/>
    <x v="65"/>
    <x v="111"/>
    <x v="0"/>
    <x v="294"/>
    <x v="2"/>
    <x v="294"/>
    <x v="294"/>
    <x v="109"/>
    <x v="12"/>
  </r>
  <r>
    <x v="1201"/>
    <x v="6"/>
    <x v="0"/>
    <x v="45"/>
    <x v="78"/>
    <x v="3"/>
    <x v="1"/>
    <x v="156"/>
    <x v="65"/>
    <x v="111"/>
    <x v="0"/>
    <x v="295"/>
    <x v="2"/>
    <x v="295"/>
    <x v="295"/>
    <x v="109"/>
    <x v="12"/>
  </r>
  <r>
    <x v="1202"/>
    <x v="6"/>
    <x v="0"/>
    <x v="45"/>
    <x v="78"/>
    <x v="3"/>
    <x v="1"/>
    <x v="156"/>
    <x v="65"/>
    <x v="111"/>
    <x v="0"/>
    <x v="296"/>
    <x v="2"/>
    <x v="296"/>
    <x v="296"/>
    <x v="109"/>
    <x v="12"/>
  </r>
  <r>
    <x v="1203"/>
    <x v="6"/>
    <x v="0"/>
    <x v="45"/>
    <x v="78"/>
    <x v="3"/>
    <x v="1"/>
    <x v="157"/>
    <x v="65"/>
    <x v="111"/>
    <x v="0"/>
    <x v="297"/>
    <x v="2"/>
    <x v="297"/>
    <x v="297"/>
    <x v="109"/>
    <x v="12"/>
  </r>
  <r>
    <x v="1204"/>
    <x v="6"/>
    <x v="0"/>
    <x v="45"/>
    <x v="78"/>
    <x v="3"/>
    <x v="1"/>
    <x v="158"/>
    <x v="49"/>
    <x v="88"/>
    <x v="0"/>
    <x v="298"/>
    <x v="2"/>
    <x v="298"/>
    <x v="298"/>
    <x v="87"/>
    <x v="0"/>
  </r>
  <r>
    <x v="1205"/>
    <x v="6"/>
    <x v="0"/>
    <x v="45"/>
    <x v="78"/>
    <x v="3"/>
    <x v="1"/>
    <x v="158"/>
    <x v="49"/>
    <x v="88"/>
    <x v="0"/>
    <x v="299"/>
    <x v="2"/>
    <x v="299"/>
    <x v="299"/>
    <x v="87"/>
    <x v="0"/>
  </r>
  <r>
    <x v="1206"/>
    <x v="6"/>
    <x v="0"/>
    <x v="45"/>
    <x v="78"/>
    <x v="3"/>
    <x v="1"/>
    <x v="159"/>
    <x v="49"/>
    <x v="88"/>
    <x v="0"/>
    <x v="300"/>
    <x v="2"/>
    <x v="300"/>
    <x v="300"/>
    <x v="87"/>
    <x v="0"/>
  </r>
  <r>
    <x v="1207"/>
    <x v="6"/>
    <x v="0"/>
    <x v="45"/>
    <x v="78"/>
    <x v="3"/>
    <x v="1"/>
    <x v="160"/>
    <x v="49"/>
    <x v="88"/>
    <x v="0"/>
    <x v="301"/>
    <x v="2"/>
    <x v="301"/>
    <x v="301"/>
    <x v="87"/>
    <x v="0"/>
  </r>
  <r>
    <x v="1208"/>
    <x v="6"/>
    <x v="0"/>
    <x v="45"/>
    <x v="78"/>
    <x v="3"/>
    <x v="1"/>
    <x v="160"/>
    <x v="49"/>
    <x v="88"/>
    <x v="0"/>
    <x v="302"/>
    <x v="2"/>
    <x v="302"/>
    <x v="302"/>
    <x v="87"/>
    <x v="0"/>
  </r>
  <r>
    <x v="1209"/>
    <x v="6"/>
    <x v="0"/>
    <x v="45"/>
    <x v="78"/>
    <x v="3"/>
    <x v="1"/>
    <x v="161"/>
    <x v="72"/>
    <x v="116"/>
    <x v="0"/>
    <x v="303"/>
    <x v="2"/>
    <x v="303"/>
    <x v="303"/>
    <x v="114"/>
    <x v="0"/>
  </r>
  <r>
    <x v="1210"/>
    <x v="6"/>
    <x v="0"/>
    <x v="45"/>
    <x v="78"/>
    <x v="3"/>
    <x v="1"/>
    <x v="161"/>
    <x v="72"/>
    <x v="116"/>
    <x v="0"/>
    <x v="304"/>
    <x v="2"/>
    <x v="304"/>
    <x v="304"/>
    <x v="114"/>
    <x v="0"/>
  </r>
  <r>
    <x v="1211"/>
    <x v="6"/>
    <x v="0"/>
    <x v="45"/>
    <x v="78"/>
    <x v="3"/>
    <x v="1"/>
    <x v="151"/>
    <x v="72"/>
    <x v="116"/>
    <x v="0"/>
    <x v="305"/>
    <x v="2"/>
    <x v="305"/>
    <x v="305"/>
    <x v="114"/>
    <x v="0"/>
  </r>
  <r>
    <x v="1212"/>
    <x v="6"/>
    <x v="0"/>
    <x v="45"/>
    <x v="78"/>
    <x v="3"/>
    <x v="1"/>
    <x v="162"/>
    <x v="75"/>
    <x v="118"/>
    <x v="0"/>
    <x v="306"/>
    <x v="2"/>
    <x v="306"/>
    <x v="306"/>
    <x v="116"/>
    <x v="0"/>
  </r>
  <r>
    <x v="1213"/>
    <x v="6"/>
    <x v="0"/>
    <x v="45"/>
    <x v="78"/>
    <x v="3"/>
    <x v="1"/>
    <x v="162"/>
    <x v="75"/>
    <x v="118"/>
    <x v="0"/>
    <x v="307"/>
    <x v="2"/>
    <x v="307"/>
    <x v="307"/>
    <x v="116"/>
    <x v="0"/>
  </r>
  <r>
    <x v="1214"/>
    <x v="6"/>
    <x v="0"/>
    <x v="45"/>
    <x v="78"/>
    <x v="3"/>
    <x v="1"/>
    <x v="162"/>
    <x v="75"/>
    <x v="118"/>
    <x v="0"/>
    <x v="308"/>
    <x v="2"/>
    <x v="308"/>
    <x v="308"/>
    <x v="116"/>
    <x v="0"/>
  </r>
  <r>
    <x v="1215"/>
    <x v="6"/>
    <x v="0"/>
    <x v="45"/>
    <x v="78"/>
    <x v="3"/>
    <x v="1"/>
    <x v="163"/>
    <x v="75"/>
    <x v="118"/>
    <x v="0"/>
    <x v="309"/>
    <x v="2"/>
    <x v="309"/>
    <x v="309"/>
    <x v="116"/>
    <x v="0"/>
  </r>
  <r>
    <x v="1216"/>
    <x v="6"/>
    <x v="0"/>
    <x v="45"/>
    <x v="78"/>
    <x v="3"/>
    <x v="1"/>
    <x v="163"/>
    <x v="75"/>
    <x v="118"/>
    <x v="0"/>
    <x v="310"/>
    <x v="2"/>
    <x v="310"/>
    <x v="310"/>
    <x v="116"/>
    <x v="0"/>
  </r>
  <r>
    <x v="1217"/>
    <x v="6"/>
    <x v="0"/>
    <x v="45"/>
    <x v="78"/>
    <x v="3"/>
    <x v="1"/>
    <x v="148"/>
    <x v="73"/>
    <x v="89"/>
    <x v="0"/>
    <x v="311"/>
    <x v="2"/>
    <x v="311"/>
    <x v="311"/>
    <x v="88"/>
    <x v="0"/>
  </r>
  <r>
    <x v="1218"/>
    <x v="6"/>
    <x v="0"/>
    <x v="45"/>
    <x v="78"/>
    <x v="3"/>
    <x v="1"/>
    <x v="164"/>
    <x v="73"/>
    <x v="89"/>
    <x v="0"/>
    <x v="312"/>
    <x v="2"/>
    <x v="312"/>
    <x v="312"/>
    <x v="88"/>
    <x v="0"/>
  </r>
  <r>
    <x v="1219"/>
    <x v="6"/>
    <x v="0"/>
    <x v="45"/>
    <x v="78"/>
    <x v="3"/>
    <x v="1"/>
    <x v="165"/>
    <x v="73"/>
    <x v="89"/>
    <x v="0"/>
    <x v="313"/>
    <x v="2"/>
    <x v="313"/>
    <x v="313"/>
    <x v="88"/>
    <x v="0"/>
  </r>
  <r>
    <x v="1220"/>
    <x v="6"/>
    <x v="0"/>
    <x v="45"/>
    <x v="78"/>
    <x v="3"/>
    <x v="1"/>
    <x v="165"/>
    <x v="73"/>
    <x v="89"/>
    <x v="0"/>
    <x v="314"/>
    <x v="2"/>
    <x v="314"/>
    <x v="314"/>
    <x v="88"/>
    <x v="0"/>
  </r>
  <r>
    <x v="1221"/>
    <x v="6"/>
    <x v="0"/>
    <x v="45"/>
    <x v="78"/>
    <x v="3"/>
    <x v="1"/>
    <x v="166"/>
    <x v="73"/>
    <x v="89"/>
    <x v="0"/>
    <x v="315"/>
    <x v="2"/>
    <x v="315"/>
    <x v="315"/>
    <x v="88"/>
    <x v="0"/>
  </r>
  <r>
    <x v="1222"/>
    <x v="6"/>
    <x v="0"/>
    <x v="45"/>
    <x v="78"/>
    <x v="3"/>
    <x v="1"/>
    <x v="167"/>
    <x v="66"/>
    <x v="109"/>
    <x v="0"/>
    <x v="316"/>
    <x v="2"/>
    <x v="316"/>
    <x v="316"/>
    <x v="107"/>
    <x v="12"/>
  </r>
  <r>
    <x v="1223"/>
    <x v="6"/>
    <x v="0"/>
    <x v="45"/>
    <x v="78"/>
    <x v="3"/>
    <x v="1"/>
    <x v="167"/>
    <x v="66"/>
    <x v="109"/>
    <x v="0"/>
    <x v="317"/>
    <x v="2"/>
    <x v="317"/>
    <x v="317"/>
    <x v="107"/>
    <x v="12"/>
  </r>
  <r>
    <x v="1224"/>
    <x v="6"/>
    <x v="0"/>
    <x v="45"/>
    <x v="78"/>
    <x v="3"/>
    <x v="1"/>
    <x v="167"/>
    <x v="66"/>
    <x v="109"/>
    <x v="0"/>
    <x v="318"/>
    <x v="2"/>
    <x v="318"/>
    <x v="318"/>
    <x v="107"/>
    <x v="12"/>
  </r>
  <r>
    <x v="1225"/>
    <x v="6"/>
    <x v="0"/>
    <x v="45"/>
    <x v="78"/>
    <x v="3"/>
    <x v="1"/>
    <x v="168"/>
    <x v="70"/>
    <x v="115"/>
    <x v="0"/>
    <x v="319"/>
    <x v="2"/>
    <x v="319"/>
    <x v="319"/>
    <x v="113"/>
    <x v="12"/>
  </r>
  <r>
    <x v="1226"/>
    <x v="6"/>
    <x v="0"/>
    <x v="45"/>
    <x v="78"/>
    <x v="3"/>
    <x v="1"/>
    <x v="168"/>
    <x v="70"/>
    <x v="115"/>
    <x v="0"/>
    <x v="320"/>
    <x v="2"/>
    <x v="320"/>
    <x v="320"/>
    <x v="113"/>
    <x v="12"/>
  </r>
  <r>
    <x v="1227"/>
    <x v="6"/>
    <x v="0"/>
    <x v="45"/>
    <x v="78"/>
    <x v="3"/>
    <x v="1"/>
    <x v="168"/>
    <x v="70"/>
    <x v="115"/>
    <x v="0"/>
    <x v="321"/>
    <x v="2"/>
    <x v="321"/>
    <x v="321"/>
    <x v="113"/>
    <x v="12"/>
  </r>
  <r>
    <x v="1228"/>
    <x v="6"/>
    <x v="0"/>
    <x v="45"/>
    <x v="78"/>
    <x v="3"/>
    <x v="1"/>
    <x v="169"/>
    <x v="64"/>
    <x v="107"/>
    <x v="0"/>
    <x v="322"/>
    <x v="2"/>
    <x v="322"/>
    <x v="322"/>
    <x v="105"/>
    <x v="6"/>
  </r>
  <r>
    <x v="1229"/>
    <x v="6"/>
    <x v="0"/>
    <x v="45"/>
    <x v="78"/>
    <x v="3"/>
    <x v="1"/>
    <x v="170"/>
    <x v="50"/>
    <x v="108"/>
    <x v="0"/>
    <x v="323"/>
    <x v="2"/>
    <x v="323"/>
    <x v="323"/>
    <x v="106"/>
    <x v="0"/>
  </r>
  <r>
    <x v="1230"/>
    <x v="6"/>
    <x v="0"/>
    <x v="45"/>
    <x v="78"/>
    <x v="3"/>
    <x v="1"/>
    <x v="170"/>
    <x v="50"/>
    <x v="108"/>
    <x v="0"/>
    <x v="324"/>
    <x v="2"/>
    <x v="324"/>
    <x v="324"/>
    <x v="106"/>
    <x v="0"/>
  </r>
  <r>
    <x v="1231"/>
    <x v="6"/>
    <x v="0"/>
    <x v="45"/>
    <x v="78"/>
    <x v="3"/>
    <x v="1"/>
    <x v="171"/>
    <x v="50"/>
    <x v="108"/>
    <x v="0"/>
    <x v="325"/>
    <x v="2"/>
    <x v="325"/>
    <x v="325"/>
    <x v="106"/>
    <x v="0"/>
  </r>
  <r>
    <x v="1232"/>
    <x v="6"/>
    <x v="0"/>
    <x v="45"/>
    <x v="78"/>
    <x v="3"/>
    <x v="1"/>
    <x v="171"/>
    <x v="50"/>
    <x v="108"/>
    <x v="0"/>
    <x v="326"/>
    <x v="2"/>
    <x v="326"/>
    <x v="326"/>
    <x v="106"/>
    <x v="0"/>
  </r>
  <r>
    <x v="1233"/>
    <x v="6"/>
    <x v="0"/>
    <x v="45"/>
    <x v="78"/>
    <x v="3"/>
    <x v="1"/>
    <x v="172"/>
    <x v="50"/>
    <x v="108"/>
    <x v="0"/>
    <x v="327"/>
    <x v="2"/>
    <x v="327"/>
    <x v="327"/>
    <x v="106"/>
    <x v="0"/>
  </r>
  <r>
    <x v="1234"/>
    <x v="6"/>
    <x v="0"/>
    <x v="45"/>
    <x v="78"/>
    <x v="3"/>
    <x v="1"/>
    <x v="173"/>
    <x v="76"/>
    <x v="9"/>
    <x v="0"/>
    <x v="328"/>
    <x v="2"/>
    <x v="328"/>
    <x v="328"/>
    <x v="9"/>
    <x v="2"/>
  </r>
  <r>
    <x v="1235"/>
    <x v="6"/>
    <x v="0"/>
    <x v="45"/>
    <x v="78"/>
    <x v="3"/>
    <x v="1"/>
    <x v="174"/>
    <x v="76"/>
    <x v="90"/>
    <x v="0"/>
    <x v="329"/>
    <x v="2"/>
    <x v="329"/>
    <x v="329"/>
    <x v="89"/>
    <x v="2"/>
  </r>
  <r>
    <x v="1236"/>
    <x v="6"/>
    <x v="0"/>
    <x v="45"/>
    <x v="78"/>
    <x v="3"/>
    <x v="1"/>
    <x v="175"/>
    <x v="76"/>
    <x v="90"/>
    <x v="0"/>
    <x v="330"/>
    <x v="2"/>
    <x v="330"/>
    <x v="330"/>
    <x v="89"/>
    <x v="2"/>
  </r>
  <r>
    <x v="1237"/>
    <x v="6"/>
    <x v="0"/>
    <x v="45"/>
    <x v="78"/>
    <x v="3"/>
    <x v="1"/>
    <x v="174"/>
    <x v="69"/>
    <x v="114"/>
    <x v="0"/>
    <x v="331"/>
    <x v="2"/>
    <x v="331"/>
    <x v="331"/>
    <x v="112"/>
    <x v="12"/>
  </r>
  <r>
    <x v="1238"/>
    <x v="6"/>
    <x v="0"/>
    <x v="45"/>
    <x v="78"/>
    <x v="3"/>
    <x v="1"/>
    <x v="176"/>
    <x v="69"/>
    <x v="114"/>
    <x v="0"/>
    <x v="332"/>
    <x v="2"/>
    <x v="332"/>
    <x v="332"/>
    <x v="112"/>
    <x v="12"/>
  </r>
  <r>
    <x v="1239"/>
    <x v="6"/>
    <x v="0"/>
    <x v="45"/>
    <x v="78"/>
    <x v="3"/>
    <x v="1"/>
    <x v="175"/>
    <x v="69"/>
    <x v="114"/>
    <x v="0"/>
    <x v="333"/>
    <x v="2"/>
    <x v="333"/>
    <x v="333"/>
    <x v="112"/>
    <x v="12"/>
  </r>
  <r>
    <x v="1240"/>
    <x v="6"/>
    <x v="0"/>
    <x v="45"/>
    <x v="78"/>
    <x v="3"/>
    <x v="1"/>
    <x v="177"/>
    <x v="48"/>
    <x v="87"/>
    <x v="0"/>
    <x v="334"/>
    <x v="2"/>
    <x v="334"/>
    <x v="334"/>
    <x v="86"/>
    <x v="0"/>
  </r>
  <r>
    <x v="1241"/>
    <x v="6"/>
    <x v="0"/>
    <x v="45"/>
    <x v="78"/>
    <x v="3"/>
    <x v="1"/>
    <x v="177"/>
    <x v="48"/>
    <x v="87"/>
    <x v="0"/>
    <x v="335"/>
    <x v="2"/>
    <x v="335"/>
    <x v="335"/>
    <x v="86"/>
    <x v="0"/>
  </r>
  <r>
    <x v="1242"/>
    <x v="6"/>
    <x v="0"/>
    <x v="45"/>
    <x v="78"/>
    <x v="3"/>
    <x v="1"/>
    <x v="169"/>
    <x v="68"/>
    <x v="112"/>
    <x v="0"/>
    <x v="336"/>
    <x v="2"/>
    <x v="336"/>
    <x v="336"/>
    <x v="110"/>
    <x v="12"/>
  </r>
  <r>
    <x v="1243"/>
    <x v="6"/>
    <x v="0"/>
    <x v="45"/>
    <x v="78"/>
    <x v="3"/>
    <x v="1"/>
    <x v="178"/>
    <x v="68"/>
    <x v="112"/>
    <x v="0"/>
    <x v="337"/>
    <x v="2"/>
    <x v="337"/>
    <x v="337"/>
    <x v="110"/>
    <x v="12"/>
  </r>
  <r>
    <x v="1244"/>
    <x v="6"/>
    <x v="0"/>
    <x v="45"/>
    <x v="78"/>
    <x v="3"/>
    <x v="1"/>
    <x v="160"/>
    <x v="77"/>
    <x v="113"/>
    <x v="0"/>
    <x v="338"/>
    <x v="2"/>
    <x v="338"/>
    <x v="338"/>
    <x v="111"/>
    <x v="3"/>
  </r>
  <r>
    <x v="1245"/>
    <x v="15"/>
    <x v="0"/>
    <x v="45"/>
    <x v="78"/>
    <x v="3"/>
    <x v="1"/>
    <x v="179"/>
    <x v="7"/>
    <x v="12"/>
    <x v="0"/>
    <x v="339"/>
    <x v="2"/>
    <x v="339"/>
    <x v="339"/>
    <x v="12"/>
    <x v="4"/>
  </r>
  <r>
    <x v="1246"/>
    <x v="15"/>
    <x v="0"/>
    <x v="45"/>
    <x v="78"/>
    <x v="3"/>
    <x v="1"/>
    <x v="179"/>
    <x v="7"/>
    <x v="13"/>
    <x v="0"/>
    <x v="339"/>
    <x v="2"/>
    <x v="339"/>
    <x v="339"/>
    <x v="13"/>
    <x v="4"/>
  </r>
  <r>
    <x v="1247"/>
    <x v="15"/>
    <x v="0"/>
    <x v="45"/>
    <x v="78"/>
    <x v="3"/>
    <x v="1"/>
    <x v="179"/>
    <x v="57"/>
    <x v="93"/>
    <x v="0"/>
    <x v="340"/>
    <x v="2"/>
    <x v="340"/>
    <x v="340"/>
    <x v="91"/>
    <x v="4"/>
  </r>
  <r>
    <x v="1248"/>
    <x v="15"/>
    <x v="0"/>
    <x v="45"/>
    <x v="78"/>
    <x v="3"/>
    <x v="1"/>
    <x v="179"/>
    <x v="57"/>
    <x v="94"/>
    <x v="0"/>
    <x v="340"/>
    <x v="2"/>
    <x v="340"/>
    <x v="340"/>
    <x v="92"/>
    <x v="4"/>
  </r>
  <r>
    <x v="1249"/>
    <x v="15"/>
    <x v="0"/>
    <x v="45"/>
    <x v="78"/>
    <x v="3"/>
    <x v="1"/>
    <x v="180"/>
    <x v="78"/>
    <x v="119"/>
    <x v="0"/>
    <x v="341"/>
    <x v="2"/>
    <x v="341"/>
    <x v="341"/>
    <x v="117"/>
    <x v="13"/>
  </r>
  <r>
    <x v="1250"/>
    <x v="15"/>
    <x v="0"/>
    <x v="45"/>
    <x v="78"/>
    <x v="3"/>
    <x v="1"/>
    <x v="181"/>
    <x v="78"/>
    <x v="119"/>
    <x v="0"/>
    <x v="342"/>
    <x v="2"/>
    <x v="342"/>
    <x v="342"/>
    <x v="117"/>
    <x v="13"/>
  </r>
  <r>
    <x v="1251"/>
    <x v="24"/>
    <x v="0"/>
    <x v="45"/>
    <x v="78"/>
    <x v="3"/>
    <x v="1"/>
    <x v="169"/>
    <x v="70"/>
    <x v="90"/>
    <x v="0"/>
    <x v="343"/>
    <x v="2"/>
    <x v="343"/>
    <x v="343"/>
    <x v="89"/>
    <x v="12"/>
  </r>
  <r>
    <x v="1252"/>
    <x v="24"/>
    <x v="0"/>
    <x v="45"/>
    <x v="78"/>
    <x v="3"/>
    <x v="1"/>
    <x v="169"/>
    <x v="77"/>
    <x v="115"/>
    <x v="0"/>
    <x v="344"/>
    <x v="2"/>
    <x v="344"/>
    <x v="344"/>
    <x v="113"/>
    <x v="3"/>
  </r>
  <r>
    <x v="1253"/>
    <x v="24"/>
    <x v="0"/>
    <x v="45"/>
    <x v="78"/>
    <x v="3"/>
    <x v="1"/>
    <x v="177"/>
    <x v="77"/>
    <x v="115"/>
    <x v="0"/>
    <x v="345"/>
    <x v="2"/>
    <x v="345"/>
    <x v="345"/>
    <x v="113"/>
    <x v="3"/>
  </r>
  <r>
    <x v="1254"/>
    <x v="24"/>
    <x v="0"/>
    <x v="45"/>
    <x v="78"/>
    <x v="3"/>
    <x v="1"/>
    <x v="152"/>
    <x v="67"/>
    <x v="110"/>
    <x v="0"/>
    <x v="346"/>
    <x v="2"/>
    <x v="346"/>
    <x v="346"/>
    <x v="108"/>
    <x v="12"/>
  </r>
  <r>
    <x v="1255"/>
    <x v="24"/>
    <x v="0"/>
    <x v="45"/>
    <x v="78"/>
    <x v="3"/>
    <x v="1"/>
    <x v="152"/>
    <x v="67"/>
    <x v="110"/>
    <x v="0"/>
    <x v="347"/>
    <x v="2"/>
    <x v="347"/>
    <x v="347"/>
    <x v="108"/>
    <x v="12"/>
  </r>
  <r>
    <x v="1256"/>
    <x v="24"/>
    <x v="0"/>
    <x v="45"/>
    <x v="78"/>
    <x v="3"/>
    <x v="1"/>
    <x v="167"/>
    <x v="75"/>
    <x v="118"/>
    <x v="0"/>
    <x v="348"/>
    <x v="2"/>
    <x v="348"/>
    <x v="348"/>
    <x v="116"/>
    <x v="0"/>
  </r>
  <r>
    <x v="1257"/>
    <x v="24"/>
    <x v="0"/>
    <x v="45"/>
    <x v="78"/>
    <x v="3"/>
    <x v="1"/>
    <x v="167"/>
    <x v="75"/>
    <x v="118"/>
    <x v="0"/>
    <x v="349"/>
    <x v="2"/>
    <x v="349"/>
    <x v="349"/>
    <x v="116"/>
    <x v="0"/>
  </r>
  <r>
    <x v="1258"/>
    <x v="24"/>
    <x v="0"/>
    <x v="45"/>
    <x v="78"/>
    <x v="3"/>
    <x v="1"/>
    <x v="163"/>
    <x v="75"/>
    <x v="118"/>
    <x v="0"/>
    <x v="350"/>
    <x v="2"/>
    <x v="350"/>
    <x v="350"/>
    <x v="116"/>
    <x v="0"/>
  </r>
  <r>
    <x v="1259"/>
    <x v="24"/>
    <x v="0"/>
    <x v="45"/>
    <x v="78"/>
    <x v="3"/>
    <x v="1"/>
    <x v="163"/>
    <x v="75"/>
    <x v="118"/>
    <x v="0"/>
    <x v="351"/>
    <x v="2"/>
    <x v="351"/>
    <x v="351"/>
    <x v="116"/>
    <x v="0"/>
  </r>
  <r>
    <x v="1260"/>
    <x v="24"/>
    <x v="0"/>
    <x v="45"/>
    <x v="78"/>
    <x v="3"/>
    <x v="1"/>
    <x v="177"/>
    <x v="77"/>
    <x v="115"/>
    <x v="0"/>
    <x v="352"/>
    <x v="2"/>
    <x v="352"/>
    <x v="352"/>
    <x v="113"/>
    <x v="3"/>
  </r>
  <r>
    <x v="1261"/>
    <x v="24"/>
    <x v="0"/>
    <x v="45"/>
    <x v="78"/>
    <x v="3"/>
    <x v="1"/>
    <x v="177"/>
    <x v="77"/>
    <x v="115"/>
    <x v="0"/>
    <x v="353"/>
    <x v="2"/>
    <x v="353"/>
    <x v="353"/>
    <x v="113"/>
    <x v="3"/>
  </r>
  <r>
    <x v="1262"/>
    <x v="24"/>
    <x v="0"/>
    <x v="45"/>
    <x v="78"/>
    <x v="3"/>
    <x v="1"/>
    <x v="167"/>
    <x v="75"/>
    <x v="118"/>
    <x v="0"/>
    <x v="354"/>
    <x v="2"/>
    <x v="354"/>
    <x v="354"/>
    <x v="116"/>
    <x v="0"/>
  </r>
  <r>
    <x v="1263"/>
    <x v="16"/>
    <x v="0"/>
    <x v="45"/>
    <x v="78"/>
    <x v="3"/>
    <x v="1"/>
    <x v="182"/>
    <x v="64"/>
    <x v="107"/>
    <x v="0"/>
    <x v="355"/>
    <x v="2"/>
    <x v="355"/>
    <x v="355"/>
    <x v="105"/>
    <x v="6"/>
  </r>
  <r>
    <x v="1264"/>
    <x v="16"/>
    <x v="0"/>
    <x v="45"/>
    <x v="78"/>
    <x v="3"/>
    <x v="1"/>
    <x v="156"/>
    <x v="68"/>
    <x v="112"/>
    <x v="0"/>
    <x v="356"/>
    <x v="2"/>
    <x v="356"/>
    <x v="356"/>
    <x v="110"/>
    <x v="12"/>
  </r>
  <r>
    <x v="1265"/>
    <x v="16"/>
    <x v="0"/>
    <x v="45"/>
    <x v="78"/>
    <x v="3"/>
    <x v="1"/>
    <x v="156"/>
    <x v="68"/>
    <x v="112"/>
    <x v="0"/>
    <x v="357"/>
    <x v="2"/>
    <x v="357"/>
    <x v="357"/>
    <x v="110"/>
    <x v="12"/>
  </r>
  <r>
    <x v="1266"/>
    <x v="16"/>
    <x v="0"/>
    <x v="45"/>
    <x v="78"/>
    <x v="3"/>
    <x v="1"/>
    <x v="156"/>
    <x v="68"/>
    <x v="112"/>
    <x v="0"/>
    <x v="358"/>
    <x v="2"/>
    <x v="358"/>
    <x v="358"/>
    <x v="110"/>
    <x v="12"/>
  </r>
  <r>
    <x v="1267"/>
    <x v="16"/>
    <x v="0"/>
    <x v="45"/>
    <x v="78"/>
    <x v="3"/>
    <x v="1"/>
    <x v="162"/>
    <x v="50"/>
    <x v="111"/>
    <x v="0"/>
    <x v="359"/>
    <x v="2"/>
    <x v="359"/>
    <x v="359"/>
    <x v="109"/>
    <x v="0"/>
  </r>
  <r>
    <x v="1268"/>
    <x v="16"/>
    <x v="0"/>
    <x v="45"/>
    <x v="78"/>
    <x v="3"/>
    <x v="1"/>
    <x v="162"/>
    <x v="50"/>
    <x v="111"/>
    <x v="0"/>
    <x v="360"/>
    <x v="2"/>
    <x v="360"/>
    <x v="360"/>
    <x v="109"/>
    <x v="0"/>
  </r>
  <r>
    <x v="1269"/>
    <x v="16"/>
    <x v="0"/>
    <x v="45"/>
    <x v="78"/>
    <x v="3"/>
    <x v="1"/>
    <x v="165"/>
    <x v="50"/>
    <x v="111"/>
    <x v="0"/>
    <x v="361"/>
    <x v="2"/>
    <x v="361"/>
    <x v="361"/>
    <x v="109"/>
    <x v="0"/>
  </r>
  <r>
    <x v="1270"/>
    <x v="16"/>
    <x v="0"/>
    <x v="45"/>
    <x v="78"/>
    <x v="3"/>
    <x v="1"/>
    <x v="165"/>
    <x v="50"/>
    <x v="111"/>
    <x v="0"/>
    <x v="362"/>
    <x v="2"/>
    <x v="362"/>
    <x v="362"/>
    <x v="109"/>
    <x v="0"/>
  </r>
  <r>
    <x v="1271"/>
    <x v="16"/>
    <x v="0"/>
    <x v="45"/>
    <x v="78"/>
    <x v="3"/>
    <x v="1"/>
    <x v="177"/>
    <x v="75"/>
    <x v="118"/>
    <x v="0"/>
    <x v="363"/>
    <x v="2"/>
    <x v="363"/>
    <x v="363"/>
    <x v="116"/>
    <x v="0"/>
  </r>
  <r>
    <x v="1272"/>
    <x v="16"/>
    <x v="0"/>
    <x v="45"/>
    <x v="78"/>
    <x v="3"/>
    <x v="1"/>
    <x v="148"/>
    <x v="71"/>
    <x v="9"/>
    <x v="0"/>
    <x v="364"/>
    <x v="2"/>
    <x v="364"/>
    <x v="364"/>
    <x v="9"/>
    <x v="1"/>
  </r>
  <r>
    <x v="1273"/>
    <x v="16"/>
    <x v="0"/>
    <x v="45"/>
    <x v="78"/>
    <x v="3"/>
    <x v="1"/>
    <x v="150"/>
    <x v="71"/>
    <x v="9"/>
    <x v="0"/>
    <x v="365"/>
    <x v="2"/>
    <x v="365"/>
    <x v="365"/>
    <x v="9"/>
    <x v="1"/>
  </r>
  <r>
    <x v="1274"/>
    <x v="16"/>
    <x v="0"/>
    <x v="45"/>
    <x v="78"/>
    <x v="3"/>
    <x v="1"/>
    <x v="180"/>
    <x v="77"/>
    <x v="9"/>
    <x v="0"/>
    <x v="366"/>
    <x v="2"/>
    <x v="366"/>
    <x v="366"/>
    <x v="9"/>
    <x v="3"/>
  </r>
  <r>
    <x v="1275"/>
    <x v="16"/>
    <x v="0"/>
    <x v="45"/>
    <x v="78"/>
    <x v="3"/>
    <x v="1"/>
    <x v="180"/>
    <x v="77"/>
    <x v="9"/>
    <x v="0"/>
    <x v="367"/>
    <x v="2"/>
    <x v="367"/>
    <x v="367"/>
    <x v="9"/>
    <x v="3"/>
  </r>
  <r>
    <x v="1276"/>
    <x v="16"/>
    <x v="0"/>
    <x v="45"/>
    <x v="78"/>
    <x v="3"/>
    <x v="1"/>
    <x v="162"/>
    <x v="50"/>
    <x v="9"/>
    <x v="0"/>
    <x v="368"/>
    <x v="2"/>
    <x v="368"/>
    <x v="368"/>
    <x v="9"/>
    <x v="0"/>
  </r>
  <r>
    <x v="1277"/>
    <x v="16"/>
    <x v="0"/>
    <x v="45"/>
    <x v="78"/>
    <x v="3"/>
    <x v="1"/>
    <x v="150"/>
    <x v="71"/>
    <x v="9"/>
    <x v="0"/>
    <x v="369"/>
    <x v="2"/>
    <x v="369"/>
    <x v="369"/>
    <x v="9"/>
    <x v="1"/>
  </r>
  <r>
    <x v="1278"/>
    <x v="25"/>
    <x v="0"/>
    <x v="45"/>
    <x v="78"/>
    <x v="3"/>
    <x v="1"/>
    <x v="153"/>
    <x v="66"/>
    <x v="109"/>
    <x v="0"/>
    <x v="370"/>
    <x v="2"/>
    <x v="370"/>
    <x v="370"/>
    <x v="107"/>
    <x v="12"/>
  </r>
  <r>
    <x v="1279"/>
    <x v="25"/>
    <x v="0"/>
    <x v="45"/>
    <x v="78"/>
    <x v="3"/>
    <x v="1"/>
    <x v="153"/>
    <x v="66"/>
    <x v="109"/>
    <x v="0"/>
    <x v="371"/>
    <x v="2"/>
    <x v="371"/>
    <x v="371"/>
    <x v="107"/>
    <x v="12"/>
  </r>
  <r>
    <x v="1280"/>
    <x v="25"/>
    <x v="0"/>
    <x v="45"/>
    <x v="78"/>
    <x v="3"/>
    <x v="1"/>
    <x v="153"/>
    <x v="66"/>
    <x v="109"/>
    <x v="0"/>
    <x v="372"/>
    <x v="2"/>
    <x v="372"/>
    <x v="372"/>
    <x v="107"/>
    <x v="12"/>
  </r>
  <r>
    <x v="1281"/>
    <x v="25"/>
    <x v="0"/>
    <x v="45"/>
    <x v="78"/>
    <x v="3"/>
    <x v="1"/>
    <x v="165"/>
    <x v="69"/>
    <x v="90"/>
    <x v="0"/>
    <x v="373"/>
    <x v="2"/>
    <x v="373"/>
    <x v="373"/>
    <x v="89"/>
    <x v="12"/>
  </r>
  <r>
    <x v="1282"/>
    <x v="25"/>
    <x v="0"/>
    <x v="45"/>
    <x v="78"/>
    <x v="3"/>
    <x v="1"/>
    <x v="165"/>
    <x v="72"/>
    <x v="116"/>
    <x v="0"/>
    <x v="374"/>
    <x v="2"/>
    <x v="374"/>
    <x v="374"/>
    <x v="114"/>
    <x v="0"/>
  </r>
  <r>
    <x v="1283"/>
    <x v="25"/>
    <x v="0"/>
    <x v="45"/>
    <x v="78"/>
    <x v="3"/>
    <x v="1"/>
    <x v="165"/>
    <x v="68"/>
    <x v="112"/>
    <x v="0"/>
    <x v="375"/>
    <x v="2"/>
    <x v="375"/>
    <x v="375"/>
    <x v="110"/>
    <x v="12"/>
  </r>
  <r>
    <x v="1284"/>
    <x v="25"/>
    <x v="0"/>
    <x v="45"/>
    <x v="78"/>
    <x v="3"/>
    <x v="1"/>
    <x v="183"/>
    <x v="66"/>
    <x v="109"/>
    <x v="0"/>
    <x v="376"/>
    <x v="2"/>
    <x v="376"/>
    <x v="376"/>
    <x v="107"/>
    <x v="12"/>
  </r>
  <r>
    <x v="1285"/>
    <x v="25"/>
    <x v="0"/>
    <x v="45"/>
    <x v="78"/>
    <x v="3"/>
    <x v="1"/>
    <x v="154"/>
    <x v="66"/>
    <x v="109"/>
    <x v="0"/>
    <x v="377"/>
    <x v="2"/>
    <x v="377"/>
    <x v="377"/>
    <x v="107"/>
    <x v="12"/>
  </r>
  <r>
    <x v="1286"/>
    <x v="25"/>
    <x v="0"/>
    <x v="45"/>
    <x v="78"/>
    <x v="3"/>
    <x v="1"/>
    <x v="148"/>
    <x v="69"/>
    <x v="90"/>
    <x v="0"/>
    <x v="378"/>
    <x v="2"/>
    <x v="378"/>
    <x v="378"/>
    <x v="89"/>
    <x v="12"/>
  </r>
  <r>
    <x v="1287"/>
    <x v="25"/>
    <x v="0"/>
    <x v="45"/>
    <x v="78"/>
    <x v="3"/>
    <x v="1"/>
    <x v="164"/>
    <x v="69"/>
    <x v="90"/>
    <x v="0"/>
    <x v="378"/>
    <x v="2"/>
    <x v="378"/>
    <x v="378"/>
    <x v="89"/>
    <x v="12"/>
  </r>
  <r>
    <x v="1288"/>
    <x v="25"/>
    <x v="0"/>
    <x v="45"/>
    <x v="78"/>
    <x v="3"/>
    <x v="1"/>
    <x v="162"/>
    <x v="69"/>
    <x v="90"/>
    <x v="0"/>
    <x v="379"/>
    <x v="2"/>
    <x v="379"/>
    <x v="379"/>
    <x v="89"/>
    <x v="12"/>
  </r>
  <r>
    <x v="1289"/>
    <x v="7"/>
    <x v="0"/>
    <x v="45"/>
    <x v="78"/>
    <x v="3"/>
    <x v="1"/>
    <x v="154"/>
    <x v="68"/>
    <x v="90"/>
    <x v="0"/>
    <x v="380"/>
    <x v="2"/>
    <x v="380"/>
    <x v="380"/>
    <x v="89"/>
    <x v="12"/>
  </r>
  <r>
    <x v="1290"/>
    <x v="7"/>
    <x v="0"/>
    <x v="45"/>
    <x v="78"/>
    <x v="3"/>
    <x v="1"/>
    <x v="169"/>
    <x v="68"/>
    <x v="90"/>
    <x v="0"/>
    <x v="381"/>
    <x v="2"/>
    <x v="381"/>
    <x v="381"/>
    <x v="89"/>
    <x v="12"/>
  </r>
  <r>
    <x v="1291"/>
    <x v="7"/>
    <x v="0"/>
    <x v="45"/>
    <x v="78"/>
    <x v="3"/>
    <x v="1"/>
    <x v="178"/>
    <x v="68"/>
    <x v="90"/>
    <x v="0"/>
    <x v="382"/>
    <x v="2"/>
    <x v="382"/>
    <x v="382"/>
    <x v="89"/>
    <x v="12"/>
  </r>
  <r>
    <x v="1292"/>
    <x v="7"/>
    <x v="0"/>
    <x v="45"/>
    <x v="78"/>
    <x v="3"/>
    <x v="1"/>
    <x v="152"/>
    <x v="70"/>
    <x v="90"/>
    <x v="0"/>
    <x v="383"/>
    <x v="2"/>
    <x v="383"/>
    <x v="383"/>
    <x v="89"/>
    <x v="12"/>
  </r>
  <r>
    <x v="1293"/>
    <x v="7"/>
    <x v="0"/>
    <x v="45"/>
    <x v="78"/>
    <x v="3"/>
    <x v="1"/>
    <x v="152"/>
    <x v="70"/>
    <x v="90"/>
    <x v="0"/>
    <x v="384"/>
    <x v="2"/>
    <x v="384"/>
    <x v="384"/>
    <x v="89"/>
    <x v="12"/>
  </r>
  <r>
    <x v="1294"/>
    <x v="7"/>
    <x v="0"/>
    <x v="45"/>
    <x v="78"/>
    <x v="3"/>
    <x v="1"/>
    <x v="162"/>
    <x v="49"/>
    <x v="88"/>
    <x v="0"/>
    <x v="385"/>
    <x v="2"/>
    <x v="385"/>
    <x v="385"/>
    <x v="87"/>
    <x v="0"/>
  </r>
  <r>
    <x v="1295"/>
    <x v="7"/>
    <x v="0"/>
    <x v="45"/>
    <x v="78"/>
    <x v="3"/>
    <x v="1"/>
    <x v="162"/>
    <x v="49"/>
    <x v="88"/>
    <x v="0"/>
    <x v="386"/>
    <x v="2"/>
    <x v="386"/>
    <x v="386"/>
    <x v="87"/>
    <x v="0"/>
  </r>
  <r>
    <x v="1296"/>
    <x v="7"/>
    <x v="0"/>
    <x v="45"/>
    <x v="78"/>
    <x v="3"/>
    <x v="1"/>
    <x v="162"/>
    <x v="49"/>
    <x v="88"/>
    <x v="0"/>
    <x v="387"/>
    <x v="2"/>
    <x v="387"/>
    <x v="387"/>
    <x v="87"/>
    <x v="0"/>
  </r>
  <r>
    <x v="1297"/>
    <x v="7"/>
    <x v="0"/>
    <x v="45"/>
    <x v="78"/>
    <x v="3"/>
    <x v="1"/>
    <x v="164"/>
    <x v="49"/>
    <x v="88"/>
    <x v="0"/>
    <x v="388"/>
    <x v="2"/>
    <x v="388"/>
    <x v="388"/>
    <x v="87"/>
    <x v="0"/>
  </r>
  <r>
    <x v="1298"/>
    <x v="7"/>
    <x v="0"/>
    <x v="45"/>
    <x v="78"/>
    <x v="3"/>
    <x v="1"/>
    <x v="167"/>
    <x v="49"/>
    <x v="88"/>
    <x v="0"/>
    <x v="369"/>
    <x v="2"/>
    <x v="369"/>
    <x v="369"/>
    <x v="87"/>
    <x v="0"/>
  </r>
  <r>
    <x v="1299"/>
    <x v="7"/>
    <x v="0"/>
    <x v="45"/>
    <x v="78"/>
    <x v="3"/>
    <x v="1"/>
    <x v="167"/>
    <x v="49"/>
    <x v="88"/>
    <x v="0"/>
    <x v="389"/>
    <x v="2"/>
    <x v="389"/>
    <x v="389"/>
    <x v="87"/>
    <x v="0"/>
  </r>
  <r>
    <x v="1300"/>
    <x v="7"/>
    <x v="0"/>
    <x v="45"/>
    <x v="78"/>
    <x v="3"/>
    <x v="1"/>
    <x v="149"/>
    <x v="48"/>
    <x v="90"/>
    <x v="0"/>
    <x v="390"/>
    <x v="2"/>
    <x v="390"/>
    <x v="390"/>
    <x v="89"/>
    <x v="0"/>
  </r>
  <r>
    <x v="1301"/>
    <x v="7"/>
    <x v="0"/>
    <x v="45"/>
    <x v="78"/>
    <x v="3"/>
    <x v="1"/>
    <x v="163"/>
    <x v="48"/>
    <x v="90"/>
    <x v="0"/>
    <x v="391"/>
    <x v="2"/>
    <x v="391"/>
    <x v="391"/>
    <x v="89"/>
    <x v="0"/>
  </r>
  <r>
    <x v="1302"/>
    <x v="7"/>
    <x v="0"/>
    <x v="45"/>
    <x v="78"/>
    <x v="3"/>
    <x v="1"/>
    <x v="163"/>
    <x v="48"/>
    <x v="90"/>
    <x v="0"/>
    <x v="392"/>
    <x v="2"/>
    <x v="392"/>
    <x v="392"/>
    <x v="89"/>
    <x v="0"/>
  </r>
  <r>
    <x v="1303"/>
    <x v="7"/>
    <x v="0"/>
    <x v="45"/>
    <x v="78"/>
    <x v="3"/>
    <x v="1"/>
    <x v="159"/>
    <x v="65"/>
    <x v="90"/>
    <x v="0"/>
    <x v="393"/>
    <x v="2"/>
    <x v="393"/>
    <x v="393"/>
    <x v="89"/>
    <x v="12"/>
  </r>
  <r>
    <x v="1304"/>
    <x v="7"/>
    <x v="0"/>
    <x v="45"/>
    <x v="78"/>
    <x v="3"/>
    <x v="1"/>
    <x v="159"/>
    <x v="65"/>
    <x v="90"/>
    <x v="0"/>
    <x v="394"/>
    <x v="2"/>
    <x v="394"/>
    <x v="394"/>
    <x v="89"/>
    <x v="12"/>
  </r>
  <r>
    <x v="1305"/>
    <x v="7"/>
    <x v="0"/>
    <x v="45"/>
    <x v="78"/>
    <x v="3"/>
    <x v="1"/>
    <x v="158"/>
    <x v="65"/>
    <x v="90"/>
    <x v="0"/>
    <x v="395"/>
    <x v="2"/>
    <x v="395"/>
    <x v="395"/>
    <x v="89"/>
    <x v="12"/>
  </r>
  <r>
    <x v="1306"/>
    <x v="7"/>
    <x v="0"/>
    <x v="45"/>
    <x v="78"/>
    <x v="3"/>
    <x v="1"/>
    <x v="158"/>
    <x v="65"/>
    <x v="90"/>
    <x v="0"/>
    <x v="396"/>
    <x v="2"/>
    <x v="396"/>
    <x v="396"/>
    <x v="89"/>
    <x v="12"/>
  </r>
  <r>
    <x v="1307"/>
    <x v="7"/>
    <x v="0"/>
    <x v="45"/>
    <x v="78"/>
    <x v="3"/>
    <x v="1"/>
    <x v="157"/>
    <x v="65"/>
    <x v="90"/>
    <x v="0"/>
    <x v="397"/>
    <x v="2"/>
    <x v="397"/>
    <x v="397"/>
    <x v="89"/>
    <x v="12"/>
  </r>
  <r>
    <x v="1308"/>
    <x v="7"/>
    <x v="0"/>
    <x v="45"/>
    <x v="78"/>
    <x v="3"/>
    <x v="1"/>
    <x v="151"/>
    <x v="50"/>
    <x v="90"/>
    <x v="0"/>
    <x v="398"/>
    <x v="2"/>
    <x v="398"/>
    <x v="398"/>
    <x v="89"/>
    <x v="0"/>
  </r>
  <r>
    <x v="1309"/>
    <x v="7"/>
    <x v="0"/>
    <x v="45"/>
    <x v="78"/>
    <x v="3"/>
    <x v="1"/>
    <x v="151"/>
    <x v="50"/>
    <x v="90"/>
    <x v="0"/>
    <x v="399"/>
    <x v="2"/>
    <x v="399"/>
    <x v="399"/>
    <x v="89"/>
    <x v="0"/>
  </r>
  <r>
    <x v="1310"/>
    <x v="7"/>
    <x v="0"/>
    <x v="45"/>
    <x v="78"/>
    <x v="3"/>
    <x v="1"/>
    <x v="161"/>
    <x v="50"/>
    <x v="90"/>
    <x v="0"/>
    <x v="400"/>
    <x v="2"/>
    <x v="400"/>
    <x v="400"/>
    <x v="89"/>
    <x v="0"/>
  </r>
  <r>
    <x v="1311"/>
    <x v="7"/>
    <x v="0"/>
    <x v="45"/>
    <x v="78"/>
    <x v="3"/>
    <x v="1"/>
    <x v="161"/>
    <x v="50"/>
    <x v="90"/>
    <x v="0"/>
    <x v="401"/>
    <x v="2"/>
    <x v="401"/>
    <x v="401"/>
    <x v="89"/>
    <x v="0"/>
  </r>
  <r>
    <x v="1312"/>
    <x v="7"/>
    <x v="0"/>
    <x v="45"/>
    <x v="78"/>
    <x v="3"/>
    <x v="1"/>
    <x v="170"/>
    <x v="67"/>
    <x v="90"/>
    <x v="0"/>
    <x v="402"/>
    <x v="2"/>
    <x v="402"/>
    <x v="402"/>
    <x v="89"/>
    <x v="12"/>
  </r>
  <r>
    <x v="1313"/>
    <x v="7"/>
    <x v="0"/>
    <x v="45"/>
    <x v="78"/>
    <x v="3"/>
    <x v="1"/>
    <x v="170"/>
    <x v="67"/>
    <x v="90"/>
    <x v="0"/>
    <x v="403"/>
    <x v="2"/>
    <x v="403"/>
    <x v="403"/>
    <x v="89"/>
    <x v="12"/>
  </r>
  <r>
    <x v="1314"/>
    <x v="7"/>
    <x v="0"/>
    <x v="45"/>
    <x v="78"/>
    <x v="3"/>
    <x v="1"/>
    <x v="173"/>
    <x v="67"/>
    <x v="90"/>
    <x v="0"/>
    <x v="404"/>
    <x v="2"/>
    <x v="404"/>
    <x v="404"/>
    <x v="89"/>
    <x v="12"/>
  </r>
  <r>
    <x v="1315"/>
    <x v="7"/>
    <x v="0"/>
    <x v="45"/>
    <x v="78"/>
    <x v="3"/>
    <x v="1"/>
    <x v="169"/>
    <x v="68"/>
    <x v="90"/>
    <x v="0"/>
    <x v="405"/>
    <x v="2"/>
    <x v="405"/>
    <x v="405"/>
    <x v="89"/>
    <x v="12"/>
  </r>
  <r>
    <x v="1316"/>
    <x v="7"/>
    <x v="0"/>
    <x v="45"/>
    <x v="78"/>
    <x v="3"/>
    <x v="1"/>
    <x v="169"/>
    <x v="68"/>
    <x v="90"/>
    <x v="0"/>
    <x v="406"/>
    <x v="2"/>
    <x v="406"/>
    <x v="406"/>
    <x v="89"/>
    <x v="12"/>
  </r>
  <r>
    <x v="1317"/>
    <x v="7"/>
    <x v="0"/>
    <x v="45"/>
    <x v="78"/>
    <x v="3"/>
    <x v="1"/>
    <x v="167"/>
    <x v="49"/>
    <x v="88"/>
    <x v="0"/>
    <x v="407"/>
    <x v="2"/>
    <x v="407"/>
    <x v="407"/>
    <x v="87"/>
    <x v="0"/>
  </r>
  <r>
    <x v="1318"/>
    <x v="0"/>
    <x v="0"/>
    <x v="45"/>
    <x v="78"/>
    <x v="3"/>
    <x v="1"/>
    <x v="156"/>
    <x v="67"/>
    <x v="110"/>
    <x v="0"/>
    <x v="408"/>
    <x v="2"/>
    <x v="408"/>
    <x v="408"/>
    <x v="108"/>
    <x v="12"/>
  </r>
  <r>
    <x v="1319"/>
    <x v="0"/>
    <x v="0"/>
    <x v="45"/>
    <x v="78"/>
    <x v="3"/>
    <x v="1"/>
    <x v="156"/>
    <x v="72"/>
    <x v="116"/>
    <x v="0"/>
    <x v="409"/>
    <x v="2"/>
    <x v="409"/>
    <x v="409"/>
    <x v="114"/>
    <x v="0"/>
  </r>
  <r>
    <x v="1320"/>
    <x v="0"/>
    <x v="0"/>
    <x v="45"/>
    <x v="78"/>
    <x v="3"/>
    <x v="1"/>
    <x v="156"/>
    <x v="72"/>
    <x v="116"/>
    <x v="0"/>
    <x v="358"/>
    <x v="2"/>
    <x v="358"/>
    <x v="358"/>
    <x v="114"/>
    <x v="0"/>
  </r>
  <r>
    <x v="1321"/>
    <x v="0"/>
    <x v="0"/>
    <x v="45"/>
    <x v="78"/>
    <x v="3"/>
    <x v="1"/>
    <x v="156"/>
    <x v="72"/>
    <x v="116"/>
    <x v="0"/>
    <x v="410"/>
    <x v="2"/>
    <x v="410"/>
    <x v="410"/>
    <x v="114"/>
    <x v="0"/>
  </r>
  <r>
    <x v="1322"/>
    <x v="0"/>
    <x v="0"/>
    <x v="45"/>
    <x v="78"/>
    <x v="3"/>
    <x v="1"/>
    <x v="156"/>
    <x v="72"/>
    <x v="116"/>
    <x v="0"/>
    <x v="411"/>
    <x v="2"/>
    <x v="411"/>
    <x v="411"/>
    <x v="114"/>
    <x v="0"/>
  </r>
  <r>
    <x v="1323"/>
    <x v="0"/>
    <x v="0"/>
    <x v="45"/>
    <x v="78"/>
    <x v="3"/>
    <x v="1"/>
    <x v="156"/>
    <x v="72"/>
    <x v="116"/>
    <x v="0"/>
    <x v="412"/>
    <x v="2"/>
    <x v="412"/>
    <x v="412"/>
    <x v="114"/>
    <x v="0"/>
  </r>
  <r>
    <x v="1324"/>
    <x v="0"/>
    <x v="0"/>
    <x v="45"/>
    <x v="78"/>
    <x v="3"/>
    <x v="1"/>
    <x v="181"/>
    <x v="72"/>
    <x v="116"/>
    <x v="0"/>
    <x v="413"/>
    <x v="2"/>
    <x v="413"/>
    <x v="413"/>
    <x v="114"/>
    <x v="0"/>
  </r>
  <r>
    <x v="1325"/>
    <x v="0"/>
    <x v="0"/>
    <x v="45"/>
    <x v="78"/>
    <x v="3"/>
    <x v="1"/>
    <x v="148"/>
    <x v="75"/>
    <x v="118"/>
    <x v="0"/>
    <x v="414"/>
    <x v="2"/>
    <x v="414"/>
    <x v="414"/>
    <x v="116"/>
    <x v="0"/>
  </r>
  <r>
    <x v="1326"/>
    <x v="0"/>
    <x v="0"/>
    <x v="45"/>
    <x v="78"/>
    <x v="3"/>
    <x v="1"/>
    <x v="165"/>
    <x v="75"/>
    <x v="118"/>
    <x v="0"/>
    <x v="415"/>
    <x v="2"/>
    <x v="415"/>
    <x v="415"/>
    <x v="116"/>
    <x v="0"/>
  </r>
  <r>
    <x v="1327"/>
    <x v="0"/>
    <x v="0"/>
    <x v="45"/>
    <x v="78"/>
    <x v="3"/>
    <x v="1"/>
    <x v="165"/>
    <x v="73"/>
    <x v="111"/>
    <x v="0"/>
    <x v="416"/>
    <x v="2"/>
    <x v="416"/>
    <x v="416"/>
    <x v="109"/>
    <x v="0"/>
  </r>
  <r>
    <x v="1328"/>
    <x v="0"/>
    <x v="0"/>
    <x v="45"/>
    <x v="78"/>
    <x v="3"/>
    <x v="1"/>
    <x v="165"/>
    <x v="73"/>
    <x v="111"/>
    <x v="0"/>
    <x v="417"/>
    <x v="2"/>
    <x v="417"/>
    <x v="417"/>
    <x v="109"/>
    <x v="0"/>
  </r>
  <r>
    <x v="1329"/>
    <x v="0"/>
    <x v="0"/>
    <x v="45"/>
    <x v="78"/>
    <x v="3"/>
    <x v="1"/>
    <x v="166"/>
    <x v="73"/>
    <x v="111"/>
    <x v="0"/>
    <x v="418"/>
    <x v="2"/>
    <x v="418"/>
    <x v="418"/>
    <x v="109"/>
    <x v="0"/>
  </r>
  <r>
    <x v="1330"/>
    <x v="0"/>
    <x v="0"/>
    <x v="45"/>
    <x v="78"/>
    <x v="3"/>
    <x v="1"/>
    <x v="151"/>
    <x v="73"/>
    <x v="111"/>
    <x v="0"/>
    <x v="419"/>
    <x v="2"/>
    <x v="419"/>
    <x v="419"/>
    <x v="109"/>
    <x v="0"/>
  </r>
  <r>
    <x v="1331"/>
    <x v="0"/>
    <x v="0"/>
    <x v="45"/>
    <x v="78"/>
    <x v="3"/>
    <x v="1"/>
    <x v="151"/>
    <x v="73"/>
    <x v="111"/>
    <x v="0"/>
    <x v="420"/>
    <x v="2"/>
    <x v="420"/>
    <x v="420"/>
    <x v="109"/>
    <x v="0"/>
  </r>
  <r>
    <x v="1332"/>
    <x v="0"/>
    <x v="0"/>
    <x v="45"/>
    <x v="78"/>
    <x v="3"/>
    <x v="1"/>
    <x v="174"/>
    <x v="48"/>
    <x v="87"/>
    <x v="0"/>
    <x v="394"/>
    <x v="2"/>
    <x v="394"/>
    <x v="394"/>
    <x v="86"/>
    <x v="0"/>
  </r>
  <r>
    <x v="1333"/>
    <x v="0"/>
    <x v="0"/>
    <x v="45"/>
    <x v="78"/>
    <x v="3"/>
    <x v="1"/>
    <x v="174"/>
    <x v="48"/>
    <x v="87"/>
    <x v="0"/>
    <x v="421"/>
    <x v="2"/>
    <x v="421"/>
    <x v="421"/>
    <x v="86"/>
    <x v="0"/>
  </r>
  <r>
    <x v="1334"/>
    <x v="0"/>
    <x v="0"/>
    <x v="45"/>
    <x v="78"/>
    <x v="3"/>
    <x v="1"/>
    <x v="176"/>
    <x v="48"/>
    <x v="87"/>
    <x v="0"/>
    <x v="422"/>
    <x v="2"/>
    <x v="422"/>
    <x v="422"/>
    <x v="86"/>
    <x v="0"/>
  </r>
  <r>
    <x v="1335"/>
    <x v="0"/>
    <x v="0"/>
    <x v="45"/>
    <x v="78"/>
    <x v="3"/>
    <x v="1"/>
    <x v="176"/>
    <x v="48"/>
    <x v="87"/>
    <x v="0"/>
    <x v="423"/>
    <x v="2"/>
    <x v="423"/>
    <x v="423"/>
    <x v="86"/>
    <x v="0"/>
  </r>
  <r>
    <x v="1336"/>
    <x v="0"/>
    <x v="0"/>
    <x v="45"/>
    <x v="78"/>
    <x v="3"/>
    <x v="1"/>
    <x v="153"/>
    <x v="76"/>
    <x v="90"/>
    <x v="0"/>
    <x v="424"/>
    <x v="2"/>
    <x v="424"/>
    <x v="424"/>
    <x v="89"/>
    <x v="2"/>
  </r>
  <r>
    <x v="1337"/>
    <x v="0"/>
    <x v="0"/>
    <x v="45"/>
    <x v="78"/>
    <x v="3"/>
    <x v="1"/>
    <x v="153"/>
    <x v="76"/>
    <x v="90"/>
    <x v="0"/>
    <x v="289"/>
    <x v="2"/>
    <x v="289"/>
    <x v="289"/>
    <x v="89"/>
    <x v="2"/>
  </r>
  <r>
    <x v="1338"/>
    <x v="0"/>
    <x v="0"/>
    <x v="45"/>
    <x v="78"/>
    <x v="3"/>
    <x v="1"/>
    <x v="169"/>
    <x v="76"/>
    <x v="90"/>
    <x v="0"/>
    <x v="425"/>
    <x v="2"/>
    <x v="425"/>
    <x v="425"/>
    <x v="89"/>
    <x v="2"/>
  </r>
  <r>
    <x v="1339"/>
    <x v="0"/>
    <x v="0"/>
    <x v="45"/>
    <x v="78"/>
    <x v="3"/>
    <x v="1"/>
    <x v="169"/>
    <x v="76"/>
    <x v="90"/>
    <x v="0"/>
    <x v="426"/>
    <x v="2"/>
    <x v="426"/>
    <x v="426"/>
    <x v="89"/>
    <x v="2"/>
  </r>
  <r>
    <x v="1340"/>
    <x v="0"/>
    <x v="0"/>
    <x v="45"/>
    <x v="78"/>
    <x v="3"/>
    <x v="1"/>
    <x v="177"/>
    <x v="49"/>
    <x v="88"/>
    <x v="0"/>
    <x v="427"/>
    <x v="2"/>
    <x v="427"/>
    <x v="427"/>
    <x v="87"/>
    <x v="0"/>
  </r>
  <r>
    <x v="1341"/>
    <x v="0"/>
    <x v="0"/>
    <x v="45"/>
    <x v="78"/>
    <x v="3"/>
    <x v="1"/>
    <x v="177"/>
    <x v="49"/>
    <x v="88"/>
    <x v="0"/>
    <x v="428"/>
    <x v="2"/>
    <x v="428"/>
    <x v="428"/>
    <x v="87"/>
    <x v="0"/>
  </r>
  <r>
    <x v="1342"/>
    <x v="0"/>
    <x v="0"/>
    <x v="45"/>
    <x v="78"/>
    <x v="3"/>
    <x v="1"/>
    <x v="167"/>
    <x v="70"/>
    <x v="113"/>
    <x v="0"/>
    <x v="429"/>
    <x v="2"/>
    <x v="429"/>
    <x v="429"/>
    <x v="111"/>
    <x v="12"/>
  </r>
  <r>
    <x v="1343"/>
    <x v="0"/>
    <x v="0"/>
    <x v="45"/>
    <x v="78"/>
    <x v="3"/>
    <x v="1"/>
    <x v="167"/>
    <x v="70"/>
    <x v="113"/>
    <x v="0"/>
    <x v="430"/>
    <x v="2"/>
    <x v="430"/>
    <x v="430"/>
    <x v="111"/>
    <x v="12"/>
  </r>
  <r>
    <x v="1344"/>
    <x v="0"/>
    <x v="0"/>
    <x v="45"/>
    <x v="78"/>
    <x v="3"/>
    <x v="1"/>
    <x v="167"/>
    <x v="70"/>
    <x v="113"/>
    <x v="0"/>
    <x v="431"/>
    <x v="2"/>
    <x v="431"/>
    <x v="431"/>
    <x v="111"/>
    <x v="12"/>
  </r>
  <r>
    <x v="1345"/>
    <x v="0"/>
    <x v="0"/>
    <x v="45"/>
    <x v="78"/>
    <x v="3"/>
    <x v="1"/>
    <x v="160"/>
    <x v="70"/>
    <x v="113"/>
    <x v="0"/>
    <x v="432"/>
    <x v="2"/>
    <x v="432"/>
    <x v="432"/>
    <x v="111"/>
    <x v="12"/>
  </r>
  <r>
    <x v="1346"/>
    <x v="0"/>
    <x v="0"/>
    <x v="45"/>
    <x v="78"/>
    <x v="3"/>
    <x v="1"/>
    <x v="160"/>
    <x v="70"/>
    <x v="113"/>
    <x v="0"/>
    <x v="433"/>
    <x v="2"/>
    <x v="433"/>
    <x v="433"/>
    <x v="111"/>
    <x v="12"/>
  </r>
  <r>
    <x v="1347"/>
    <x v="0"/>
    <x v="0"/>
    <x v="45"/>
    <x v="78"/>
    <x v="3"/>
    <x v="1"/>
    <x v="156"/>
    <x v="67"/>
    <x v="110"/>
    <x v="0"/>
    <x v="434"/>
    <x v="2"/>
    <x v="434"/>
    <x v="434"/>
    <x v="108"/>
    <x v="12"/>
  </r>
  <r>
    <x v="1348"/>
    <x v="0"/>
    <x v="0"/>
    <x v="45"/>
    <x v="78"/>
    <x v="3"/>
    <x v="1"/>
    <x v="156"/>
    <x v="72"/>
    <x v="116"/>
    <x v="0"/>
    <x v="434"/>
    <x v="2"/>
    <x v="434"/>
    <x v="434"/>
    <x v="114"/>
    <x v="0"/>
  </r>
  <r>
    <x v="1349"/>
    <x v="0"/>
    <x v="0"/>
    <x v="45"/>
    <x v="78"/>
    <x v="3"/>
    <x v="1"/>
    <x v="181"/>
    <x v="72"/>
    <x v="116"/>
    <x v="0"/>
    <x v="434"/>
    <x v="2"/>
    <x v="434"/>
    <x v="434"/>
    <x v="114"/>
    <x v="0"/>
  </r>
  <r>
    <x v="1350"/>
    <x v="0"/>
    <x v="0"/>
    <x v="45"/>
    <x v="78"/>
    <x v="3"/>
    <x v="1"/>
    <x v="166"/>
    <x v="73"/>
    <x v="111"/>
    <x v="0"/>
    <x v="378"/>
    <x v="2"/>
    <x v="378"/>
    <x v="378"/>
    <x v="109"/>
    <x v="0"/>
  </r>
  <r>
    <x v="1351"/>
    <x v="0"/>
    <x v="0"/>
    <x v="45"/>
    <x v="78"/>
    <x v="3"/>
    <x v="1"/>
    <x v="154"/>
    <x v="68"/>
    <x v="112"/>
    <x v="0"/>
    <x v="377"/>
    <x v="2"/>
    <x v="377"/>
    <x v="377"/>
    <x v="110"/>
    <x v="12"/>
  </r>
  <r>
    <x v="1352"/>
    <x v="0"/>
    <x v="0"/>
    <x v="45"/>
    <x v="78"/>
    <x v="3"/>
    <x v="1"/>
    <x v="157"/>
    <x v="70"/>
    <x v="113"/>
    <x v="0"/>
    <x v="435"/>
    <x v="2"/>
    <x v="435"/>
    <x v="435"/>
    <x v="111"/>
    <x v="12"/>
  </r>
  <r>
    <x v="1353"/>
    <x v="0"/>
    <x v="0"/>
    <x v="45"/>
    <x v="78"/>
    <x v="3"/>
    <x v="1"/>
    <x v="158"/>
    <x v="70"/>
    <x v="113"/>
    <x v="0"/>
    <x v="436"/>
    <x v="2"/>
    <x v="436"/>
    <x v="436"/>
    <x v="111"/>
    <x v="12"/>
  </r>
  <r>
    <x v="1354"/>
    <x v="0"/>
    <x v="0"/>
    <x v="45"/>
    <x v="78"/>
    <x v="3"/>
    <x v="1"/>
    <x v="160"/>
    <x v="70"/>
    <x v="113"/>
    <x v="0"/>
    <x v="437"/>
    <x v="2"/>
    <x v="437"/>
    <x v="437"/>
    <x v="111"/>
    <x v="12"/>
  </r>
  <r>
    <x v="1355"/>
    <x v="5"/>
    <x v="0"/>
    <x v="45"/>
    <x v="78"/>
    <x v="3"/>
    <x v="1"/>
    <x v="179"/>
    <x v="11"/>
    <x v="20"/>
    <x v="0"/>
    <x v="438"/>
    <x v="2"/>
    <x v="438"/>
    <x v="438"/>
    <x v="20"/>
    <x v="4"/>
  </r>
  <r>
    <x v="1356"/>
    <x v="5"/>
    <x v="0"/>
    <x v="45"/>
    <x v="78"/>
    <x v="3"/>
    <x v="1"/>
    <x v="179"/>
    <x v="11"/>
    <x v="21"/>
    <x v="0"/>
    <x v="438"/>
    <x v="2"/>
    <x v="438"/>
    <x v="438"/>
    <x v="21"/>
    <x v="4"/>
  </r>
  <r>
    <x v="1357"/>
    <x v="5"/>
    <x v="0"/>
    <x v="45"/>
    <x v="78"/>
    <x v="3"/>
    <x v="1"/>
    <x v="180"/>
    <x v="73"/>
    <x v="111"/>
    <x v="0"/>
    <x v="439"/>
    <x v="2"/>
    <x v="439"/>
    <x v="439"/>
    <x v="109"/>
    <x v="0"/>
  </r>
  <r>
    <x v="1358"/>
    <x v="5"/>
    <x v="0"/>
    <x v="45"/>
    <x v="78"/>
    <x v="3"/>
    <x v="1"/>
    <x v="180"/>
    <x v="73"/>
    <x v="111"/>
    <x v="0"/>
    <x v="440"/>
    <x v="2"/>
    <x v="440"/>
    <x v="440"/>
    <x v="109"/>
    <x v="0"/>
  </r>
  <r>
    <x v="1359"/>
    <x v="5"/>
    <x v="0"/>
    <x v="45"/>
    <x v="78"/>
    <x v="3"/>
    <x v="1"/>
    <x v="177"/>
    <x v="73"/>
    <x v="111"/>
    <x v="0"/>
    <x v="441"/>
    <x v="2"/>
    <x v="441"/>
    <x v="441"/>
    <x v="109"/>
    <x v="0"/>
  </r>
  <r>
    <x v="1360"/>
    <x v="5"/>
    <x v="0"/>
    <x v="45"/>
    <x v="78"/>
    <x v="3"/>
    <x v="1"/>
    <x v="177"/>
    <x v="73"/>
    <x v="111"/>
    <x v="0"/>
    <x v="442"/>
    <x v="2"/>
    <x v="442"/>
    <x v="442"/>
    <x v="109"/>
    <x v="0"/>
  </r>
  <r>
    <x v="1361"/>
    <x v="5"/>
    <x v="0"/>
    <x v="45"/>
    <x v="78"/>
    <x v="3"/>
    <x v="1"/>
    <x v="177"/>
    <x v="72"/>
    <x v="116"/>
    <x v="0"/>
    <x v="443"/>
    <x v="2"/>
    <x v="443"/>
    <x v="443"/>
    <x v="114"/>
    <x v="0"/>
  </r>
  <r>
    <x v="1362"/>
    <x v="5"/>
    <x v="0"/>
    <x v="45"/>
    <x v="78"/>
    <x v="3"/>
    <x v="1"/>
    <x v="177"/>
    <x v="72"/>
    <x v="116"/>
    <x v="0"/>
    <x v="444"/>
    <x v="2"/>
    <x v="444"/>
    <x v="444"/>
    <x v="114"/>
    <x v="0"/>
  </r>
  <r>
    <x v="1363"/>
    <x v="5"/>
    <x v="0"/>
    <x v="45"/>
    <x v="78"/>
    <x v="3"/>
    <x v="1"/>
    <x v="177"/>
    <x v="72"/>
    <x v="116"/>
    <x v="0"/>
    <x v="445"/>
    <x v="2"/>
    <x v="445"/>
    <x v="445"/>
    <x v="114"/>
    <x v="0"/>
  </r>
  <r>
    <x v="1364"/>
    <x v="5"/>
    <x v="0"/>
    <x v="45"/>
    <x v="78"/>
    <x v="3"/>
    <x v="1"/>
    <x v="169"/>
    <x v="75"/>
    <x v="118"/>
    <x v="0"/>
    <x v="446"/>
    <x v="2"/>
    <x v="446"/>
    <x v="446"/>
    <x v="116"/>
    <x v="0"/>
  </r>
  <r>
    <x v="1365"/>
    <x v="5"/>
    <x v="0"/>
    <x v="45"/>
    <x v="78"/>
    <x v="3"/>
    <x v="1"/>
    <x v="169"/>
    <x v="75"/>
    <x v="118"/>
    <x v="0"/>
    <x v="447"/>
    <x v="2"/>
    <x v="447"/>
    <x v="447"/>
    <x v="116"/>
    <x v="0"/>
  </r>
  <r>
    <x v="1366"/>
    <x v="5"/>
    <x v="0"/>
    <x v="45"/>
    <x v="78"/>
    <x v="3"/>
    <x v="1"/>
    <x v="169"/>
    <x v="75"/>
    <x v="118"/>
    <x v="0"/>
    <x v="448"/>
    <x v="2"/>
    <x v="448"/>
    <x v="448"/>
    <x v="116"/>
    <x v="0"/>
  </r>
  <r>
    <x v="1367"/>
    <x v="5"/>
    <x v="0"/>
    <x v="45"/>
    <x v="78"/>
    <x v="3"/>
    <x v="1"/>
    <x v="169"/>
    <x v="75"/>
    <x v="118"/>
    <x v="0"/>
    <x v="449"/>
    <x v="2"/>
    <x v="449"/>
    <x v="449"/>
    <x v="116"/>
    <x v="0"/>
  </r>
  <r>
    <x v="1368"/>
    <x v="5"/>
    <x v="0"/>
    <x v="45"/>
    <x v="78"/>
    <x v="3"/>
    <x v="1"/>
    <x v="155"/>
    <x v="75"/>
    <x v="118"/>
    <x v="0"/>
    <x v="450"/>
    <x v="2"/>
    <x v="450"/>
    <x v="450"/>
    <x v="116"/>
    <x v="0"/>
  </r>
  <r>
    <x v="1369"/>
    <x v="5"/>
    <x v="0"/>
    <x v="45"/>
    <x v="78"/>
    <x v="3"/>
    <x v="1"/>
    <x v="175"/>
    <x v="68"/>
    <x v="112"/>
    <x v="0"/>
    <x v="451"/>
    <x v="2"/>
    <x v="451"/>
    <x v="451"/>
    <x v="110"/>
    <x v="12"/>
  </r>
  <r>
    <x v="1370"/>
    <x v="5"/>
    <x v="0"/>
    <x v="45"/>
    <x v="78"/>
    <x v="3"/>
    <x v="1"/>
    <x v="175"/>
    <x v="68"/>
    <x v="112"/>
    <x v="0"/>
    <x v="452"/>
    <x v="2"/>
    <x v="452"/>
    <x v="452"/>
    <x v="110"/>
    <x v="12"/>
  </r>
  <r>
    <x v="1371"/>
    <x v="5"/>
    <x v="0"/>
    <x v="45"/>
    <x v="78"/>
    <x v="3"/>
    <x v="1"/>
    <x v="148"/>
    <x v="71"/>
    <x v="115"/>
    <x v="0"/>
    <x v="453"/>
    <x v="2"/>
    <x v="453"/>
    <x v="453"/>
    <x v="113"/>
    <x v="1"/>
  </r>
  <r>
    <x v="1372"/>
    <x v="5"/>
    <x v="0"/>
    <x v="45"/>
    <x v="78"/>
    <x v="3"/>
    <x v="1"/>
    <x v="148"/>
    <x v="71"/>
    <x v="115"/>
    <x v="0"/>
    <x v="454"/>
    <x v="2"/>
    <x v="454"/>
    <x v="454"/>
    <x v="113"/>
    <x v="1"/>
  </r>
  <r>
    <x v="1373"/>
    <x v="5"/>
    <x v="0"/>
    <x v="45"/>
    <x v="78"/>
    <x v="3"/>
    <x v="1"/>
    <x v="163"/>
    <x v="49"/>
    <x v="88"/>
    <x v="0"/>
    <x v="455"/>
    <x v="2"/>
    <x v="455"/>
    <x v="455"/>
    <x v="87"/>
    <x v="0"/>
  </r>
  <r>
    <x v="1374"/>
    <x v="5"/>
    <x v="0"/>
    <x v="45"/>
    <x v="78"/>
    <x v="3"/>
    <x v="1"/>
    <x v="163"/>
    <x v="49"/>
    <x v="88"/>
    <x v="0"/>
    <x v="310"/>
    <x v="2"/>
    <x v="310"/>
    <x v="310"/>
    <x v="87"/>
    <x v="0"/>
  </r>
  <r>
    <x v="1375"/>
    <x v="5"/>
    <x v="0"/>
    <x v="45"/>
    <x v="78"/>
    <x v="3"/>
    <x v="1"/>
    <x v="150"/>
    <x v="49"/>
    <x v="88"/>
    <x v="0"/>
    <x v="456"/>
    <x v="2"/>
    <x v="456"/>
    <x v="456"/>
    <x v="87"/>
    <x v="0"/>
  </r>
  <r>
    <x v="1376"/>
    <x v="5"/>
    <x v="0"/>
    <x v="45"/>
    <x v="78"/>
    <x v="3"/>
    <x v="1"/>
    <x v="150"/>
    <x v="49"/>
    <x v="88"/>
    <x v="0"/>
    <x v="457"/>
    <x v="2"/>
    <x v="457"/>
    <x v="457"/>
    <x v="87"/>
    <x v="0"/>
  </r>
  <r>
    <x v="1377"/>
    <x v="5"/>
    <x v="0"/>
    <x v="45"/>
    <x v="78"/>
    <x v="3"/>
    <x v="1"/>
    <x v="180"/>
    <x v="73"/>
    <x v="111"/>
    <x v="0"/>
    <x v="458"/>
    <x v="2"/>
    <x v="458"/>
    <x v="458"/>
    <x v="109"/>
    <x v="0"/>
  </r>
  <r>
    <x v="1378"/>
    <x v="5"/>
    <x v="0"/>
    <x v="45"/>
    <x v="78"/>
    <x v="3"/>
    <x v="1"/>
    <x v="177"/>
    <x v="73"/>
    <x v="111"/>
    <x v="0"/>
    <x v="352"/>
    <x v="2"/>
    <x v="352"/>
    <x v="352"/>
    <x v="109"/>
    <x v="0"/>
  </r>
  <r>
    <x v="1379"/>
    <x v="5"/>
    <x v="0"/>
    <x v="45"/>
    <x v="78"/>
    <x v="3"/>
    <x v="1"/>
    <x v="177"/>
    <x v="73"/>
    <x v="111"/>
    <x v="0"/>
    <x v="353"/>
    <x v="2"/>
    <x v="353"/>
    <x v="353"/>
    <x v="109"/>
    <x v="0"/>
  </r>
  <r>
    <x v="1380"/>
    <x v="5"/>
    <x v="0"/>
    <x v="45"/>
    <x v="78"/>
    <x v="3"/>
    <x v="1"/>
    <x v="169"/>
    <x v="75"/>
    <x v="118"/>
    <x v="0"/>
    <x v="405"/>
    <x v="2"/>
    <x v="405"/>
    <x v="405"/>
    <x v="116"/>
    <x v="0"/>
  </r>
  <r>
    <x v="1381"/>
    <x v="5"/>
    <x v="0"/>
    <x v="45"/>
    <x v="78"/>
    <x v="3"/>
    <x v="1"/>
    <x v="169"/>
    <x v="75"/>
    <x v="118"/>
    <x v="0"/>
    <x v="405"/>
    <x v="2"/>
    <x v="405"/>
    <x v="405"/>
    <x v="116"/>
    <x v="0"/>
  </r>
  <r>
    <x v="1382"/>
    <x v="5"/>
    <x v="0"/>
    <x v="45"/>
    <x v="78"/>
    <x v="3"/>
    <x v="1"/>
    <x v="155"/>
    <x v="75"/>
    <x v="118"/>
    <x v="0"/>
    <x v="459"/>
    <x v="2"/>
    <x v="459"/>
    <x v="459"/>
    <x v="116"/>
    <x v="0"/>
  </r>
  <r>
    <x v="1383"/>
    <x v="5"/>
    <x v="0"/>
    <x v="45"/>
    <x v="78"/>
    <x v="3"/>
    <x v="1"/>
    <x v="175"/>
    <x v="68"/>
    <x v="112"/>
    <x v="0"/>
    <x v="435"/>
    <x v="2"/>
    <x v="435"/>
    <x v="435"/>
    <x v="110"/>
    <x v="12"/>
  </r>
  <r>
    <x v="1384"/>
    <x v="5"/>
    <x v="0"/>
    <x v="45"/>
    <x v="78"/>
    <x v="3"/>
    <x v="1"/>
    <x v="175"/>
    <x v="68"/>
    <x v="112"/>
    <x v="0"/>
    <x v="460"/>
    <x v="2"/>
    <x v="460"/>
    <x v="460"/>
    <x v="110"/>
    <x v="12"/>
  </r>
  <r>
    <x v="1385"/>
    <x v="5"/>
    <x v="0"/>
    <x v="45"/>
    <x v="78"/>
    <x v="3"/>
    <x v="1"/>
    <x v="162"/>
    <x v="71"/>
    <x v="115"/>
    <x v="0"/>
    <x v="461"/>
    <x v="2"/>
    <x v="461"/>
    <x v="461"/>
    <x v="113"/>
    <x v="1"/>
  </r>
  <r>
    <x v="1386"/>
    <x v="5"/>
    <x v="0"/>
    <x v="45"/>
    <x v="78"/>
    <x v="3"/>
    <x v="1"/>
    <x v="148"/>
    <x v="71"/>
    <x v="115"/>
    <x v="0"/>
    <x v="378"/>
    <x v="2"/>
    <x v="378"/>
    <x v="378"/>
    <x v="113"/>
    <x v="1"/>
  </r>
  <r>
    <x v="1387"/>
    <x v="5"/>
    <x v="0"/>
    <x v="45"/>
    <x v="78"/>
    <x v="3"/>
    <x v="1"/>
    <x v="164"/>
    <x v="71"/>
    <x v="115"/>
    <x v="0"/>
    <x v="378"/>
    <x v="2"/>
    <x v="378"/>
    <x v="378"/>
    <x v="113"/>
    <x v="1"/>
  </r>
  <r>
    <x v="1388"/>
    <x v="5"/>
    <x v="0"/>
    <x v="45"/>
    <x v="78"/>
    <x v="3"/>
    <x v="1"/>
    <x v="163"/>
    <x v="49"/>
    <x v="88"/>
    <x v="0"/>
    <x v="349"/>
    <x v="2"/>
    <x v="349"/>
    <x v="349"/>
    <x v="87"/>
    <x v="0"/>
  </r>
  <r>
    <x v="1389"/>
    <x v="5"/>
    <x v="0"/>
    <x v="45"/>
    <x v="78"/>
    <x v="3"/>
    <x v="1"/>
    <x v="150"/>
    <x v="49"/>
    <x v="88"/>
    <x v="0"/>
    <x v="369"/>
    <x v="2"/>
    <x v="369"/>
    <x v="369"/>
    <x v="87"/>
    <x v="0"/>
  </r>
  <r>
    <x v="1390"/>
    <x v="5"/>
    <x v="0"/>
    <x v="45"/>
    <x v="78"/>
    <x v="3"/>
    <x v="1"/>
    <x v="167"/>
    <x v="49"/>
    <x v="88"/>
    <x v="0"/>
    <x v="354"/>
    <x v="2"/>
    <x v="354"/>
    <x v="354"/>
    <x v="87"/>
    <x v="0"/>
  </r>
  <r>
    <x v="1391"/>
    <x v="1"/>
    <x v="0"/>
    <x v="45"/>
    <x v="78"/>
    <x v="3"/>
    <x v="1"/>
    <x v="153"/>
    <x v="71"/>
    <x v="115"/>
    <x v="0"/>
    <x v="462"/>
    <x v="2"/>
    <x v="462"/>
    <x v="462"/>
    <x v="113"/>
    <x v="1"/>
  </r>
  <r>
    <x v="1392"/>
    <x v="1"/>
    <x v="0"/>
    <x v="45"/>
    <x v="78"/>
    <x v="3"/>
    <x v="1"/>
    <x v="152"/>
    <x v="75"/>
    <x v="118"/>
    <x v="0"/>
    <x v="463"/>
    <x v="2"/>
    <x v="463"/>
    <x v="463"/>
    <x v="116"/>
    <x v="0"/>
  </r>
  <r>
    <x v="1393"/>
    <x v="1"/>
    <x v="0"/>
    <x v="45"/>
    <x v="78"/>
    <x v="3"/>
    <x v="1"/>
    <x v="152"/>
    <x v="75"/>
    <x v="118"/>
    <x v="0"/>
    <x v="464"/>
    <x v="2"/>
    <x v="464"/>
    <x v="464"/>
    <x v="116"/>
    <x v="0"/>
  </r>
  <r>
    <x v="1394"/>
    <x v="1"/>
    <x v="0"/>
    <x v="45"/>
    <x v="78"/>
    <x v="3"/>
    <x v="1"/>
    <x v="156"/>
    <x v="75"/>
    <x v="118"/>
    <x v="0"/>
    <x v="465"/>
    <x v="2"/>
    <x v="465"/>
    <x v="465"/>
    <x v="116"/>
    <x v="0"/>
  </r>
  <r>
    <x v="1395"/>
    <x v="1"/>
    <x v="0"/>
    <x v="45"/>
    <x v="78"/>
    <x v="3"/>
    <x v="1"/>
    <x v="156"/>
    <x v="75"/>
    <x v="118"/>
    <x v="0"/>
    <x v="466"/>
    <x v="2"/>
    <x v="466"/>
    <x v="466"/>
    <x v="116"/>
    <x v="0"/>
  </r>
  <r>
    <x v="1396"/>
    <x v="1"/>
    <x v="0"/>
    <x v="45"/>
    <x v="78"/>
    <x v="3"/>
    <x v="1"/>
    <x v="180"/>
    <x v="77"/>
    <x v="9"/>
    <x v="0"/>
    <x v="467"/>
    <x v="2"/>
    <x v="467"/>
    <x v="467"/>
    <x v="9"/>
    <x v="3"/>
  </r>
  <r>
    <x v="1397"/>
    <x v="1"/>
    <x v="0"/>
    <x v="45"/>
    <x v="78"/>
    <x v="3"/>
    <x v="1"/>
    <x v="180"/>
    <x v="77"/>
    <x v="9"/>
    <x v="0"/>
    <x v="468"/>
    <x v="2"/>
    <x v="468"/>
    <x v="468"/>
    <x v="9"/>
    <x v="3"/>
  </r>
  <r>
    <x v="1398"/>
    <x v="1"/>
    <x v="0"/>
    <x v="45"/>
    <x v="78"/>
    <x v="3"/>
    <x v="1"/>
    <x v="182"/>
    <x v="64"/>
    <x v="107"/>
    <x v="0"/>
    <x v="469"/>
    <x v="2"/>
    <x v="469"/>
    <x v="469"/>
    <x v="105"/>
    <x v="6"/>
  </r>
  <r>
    <x v="1399"/>
    <x v="1"/>
    <x v="0"/>
    <x v="45"/>
    <x v="78"/>
    <x v="3"/>
    <x v="1"/>
    <x v="177"/>
    <x v="50"/>
    <x v="111"/>
    <x v="0"/>
    <x v="470"/>
    <x v="2"/>
    <x v="470"/>
    <x v="470"/>
    <x v="109"/>
    <x v="0"/>
  </r>
  <r>
    <x v="1400"/>
    <x v="1"/>
    <x v="0"/>
    <x v="45"/>
    <x v="78"/>
    <x v="3"/>
    <x v="1"/>
    <x v="177"/>
    <x v="50"/>
    <x v="111"/>
    <x v="0"/>
    <x v="471"/>
    <x v="2"/>
    <x v="471"/>
    <x v="471"/>
    <x v="109"/>
    <x v="0"/>
  </r>
  <r>
    <x v="1401"/>
    <x v="1"/>
    <x v="0"/>
    <x v="45"/>
    <x v="78"/>
    <x v="3"/>
    <x v="1"/>
    <x v="167"/>
    <x v="73"/>
    <x v="89"/>
    <x v="0"/>
    <x v="472"/>
    <x v="2"/>
    <x v="472"/>
    <x v="472"/>
    <x v="88"/>
    <x v="0"/>
  </r>
  <r>
    <x v="1402"/>
    <x v="1"/>
    <x v="0"/>
    <x v="45"/>
    <x v="78"/>
    <x v="3"/>
    <x v="1"/>
    <x v="167"/>
    <x v="73"/>
    <x v="89"/>
    <x v="0"/>
    <x v="349"/>
    <x v="2"/>
    <x v="349"/>
    <x v="349"/>
    <x v="88"/>
    <x v="0"/>
  </r>
  <r>
    <x v="1403"/>
    <x v="1"/>
    <x v="0"/>
    <x v="45"/>
    <x v="78"/>
    <x v="3"/>
    <x v="1"/>
    <x v="163"/>
    <x v="73"/>
    <x v="89"/>
    <x v="0"/>
    <x v="473"/>
    <x v="2"/>
    <x v="473"/>
    <x v="473"/>
    <x v="88"/>
    <x v="0"/>
  </r>
  <r>
    <x v="1404"/>
    <x v="1"/>
    <x v="0"/>
    <x v="45"/>
    <x v="78"/>
    <x v="3"/>
    <x v="1"/>
    <x v="167"/>
    <x v="73"/>
    <x v="89"/>
    <x v="0"/>
    <x v="474"/>
    <x v="2"/>
    <x v="474"/>
    <x v="474"/>
    <x v="88"/>
    <x v="0"/>
  </r>
  <r>
    <x v="1405"/>
    <x v="1"/>
    <x v="0"/>
    <x v="45"/>
    <x v="78"/>
    <x v="3"/>
    <x v="1"/>
    <x v="158"/>
    <x v="73"/>
    <x v="89"/>
    <x v="0"/>
    <x v="475"/>
    <x v="2"/>
    <x v="475"/>
    <x v="475"/>
    <x v="88"/>
    <x v="0"/>
  </r>
  <r>
    <x v="1406"/>
    <x v="1"/>
    <x v="0"/>
    <x v="45"/>
    <x v="78"/>
    <x v="3"/>
    <x v="1"/>
    <x v="152"/>
    <x v="75"/>
    <x v="118"/>
    <x v="0"/>
    <x v="476"/>
    <x v="2"/>
    <x v="476"/>
    <x v="476"/>
    <x v="116"/>
    <x v="0"/>
  </r>
  <r>
    <x v="1407"/>
    <x v="17"/>
    <x v="0"/>
    <x v="45"/>
    <x v="78"/>
    <x v="3"/>
    <x v="1"/>
    <x v="162"/>
    <x v="65"/>
    <x v="108"/>
    <x v="0"/>
    <x v="477"/>
    <x v="2"/>
    <x v="477"/>
    <x v="477"/>
    <x v="106"/>
    <x v="12"/>
  </r>
  <r>
    <x v="1408"/>
    <x v="17"/>
    <x v="0"/>
    <x v="45"/>
    <x v="78"/>
    <x v="3"/>
    <x v="1"/>
    <x v="162"/>
    <x v="65"/>
    <x v="108"/>
    <x v="0"/>
    <x v="478"/>
    <x v="2"/>
    <x v="478"/>
    <x v="478"/>
    <x v="106"/>
    <x v="12"/>
  </r>
  <r>
    <x v="1409"/>
    <x v="17"/>
    <x v="0"/>
    <x v="45"/>
    <x v="78"/>
    <x v="3"/>
    <x v="1"/>
    <x v="162"/>
    <x v="65"/>
    <x v="108"/>
    <x v="0"/>
    <x v="479"/>
    <x v="2"/>
    <x v="479"/>
    <x v="479"/>
    <x v="106"/>
    <x v="12"/>
  </r>
  <r>
    <x v="1410"/>
    <x v="17"/>
    <x v="0"/>
    <x v="45"/>
    <x v="78"/>
    <x v="3"/>
    <x v="1"/>
    <x v="165"/>
    <x v="48"/>
    <x v="87"/>
    <x v="0"/>
    <x v="480"/>
    <x v="2"/>
    <x v="480"/>
    <x v="480"/>
    <x v="86"/>
    <x v="0"/>
  </r>
  <r>
    <x v="1411"/>
    <x v="17"/>
    <x v="0"/>
    <x v="45"/>
    <x v="78"/>
    <x v="3"/>
    <x v="1"/>
    <x v="165"/>
    <x v="48"/>
    <x v="87"/>
    <x v="0"/>
    <x v="481"/>
    <x v="2"/>
    <x v="481"/>
    <x v="481"/>
    <x v="86"/>
    <x v="0"/>
  </r>
  <r>
    <x v="1412"/>
    <x v="17"/>
    <x v="0"/>
    <x v="45"/>
    <x v="78"/>
    <x v="3"/>
    <x v="1"/>
    <x v="165"/>
    <x v="48"/>
    <x v="87"/>
    <x v="0"/>
    <x v="482"/>
    <x v="2"/>
    <x v="482"/>
    <x v="482"/>
    <x v="86"/>
    <x v="0"/>
  </r>
  <r>
    <x v="1413"/>
    <x v="2"/>
    <x v="0"/>
    <x v="45"/>
    <x v="78"/>
    <x v="3"/>
    <x v="1"/>
    <x v="162"/>
    <x v="48"/>
    <x v="87"/>
    <x v="0"/>
    <x v="483"/>
    <x v="2"/>
    <x v="483"/>
    <x v="483"/>
    <x v="86"/>
    <x v="0"/>
  </r>
  <r>
    <x v="1414"/>
    <x v="2"/>
    <x v="0"/>
    <x v="45"/>
    <x v="78"/>
    <x v="3"/>
    <x v="1"/>
    <x v="162"/>
    <x v="48"/>
    <x v="87"/>
    <x v="0"/>
    <x v="308"/>
    <x v="2"/>
    <x v="308"/>
    <x v="308"/>
    <x v="86"/>
    <x v="0"/>
  </r>
  <r>
    <x v="1415"/>
    <x v="2"/>
    <x v="0"/>
    <x v="45"/>
    <x v="78"/>
    <x v="3"/>
    <x v="1"/>
    <x v="166"/>
    <x v="48"/>
    <x v="87"/>
    <x v="0"/>
    <x v="484"/>
    <x v="2"/>
    <x v="484"/>
    <x v="484"/>
    <x v="86"/>
    <x v="0"/>
  </r>
  <r>
    <x v="1416"/>
    <x v="2"/>
    <x v="0"/>
    <x v="45"/>
    <x v="78"/>
    <x v="3"/>
    <x v="1"/>
    <x v="149"/>
    <x v="48"/>
    <x v="87"/>
    <x v="0"/>
    <x v="390"/>
    <x v="2"/>
    <x v="390"/>
    <x v="390"/>
    <x v="86"/>
    <x v="0"/>
  </r>
  <r>
    <x v="1417"/>
    <x v="2"/>
    <x v="0"/>
    <x v="45"/>
    <x v="78"/>
    <x v="3"/>
    <x v="1"/>
    <x v="151"/>
    <x v="48"/>
    <x v="87"/>
    <x v="0"/>
    <x v="485"/>
    <x v="2"/>
    <x v="485"/>
    <x v="485"/>
    <x v="86"/>
    <x v="0"/>
  </r>
  <r>
    <x v="1418"/>
    <x v="2"/>
    <x v="0"/>
    <x v="45"/>
    <x v="78"/>
    <x v="3"/>
    <x v="1"/>
    <x v="151"/>
    <x v="48"/>
    <x v="87"/>
    <x v="0"/>
    <x v="486"/>
    <x v="2"/>
    <x v="486"/>
    <x v="486"/>
    <x v="86"/>
    <x v="0"/>
  </r>
  <r>
    <x v="1419"/>
    <x v="2"/>
    <x v="0"/>
    <x v="45"/>
    <x v="78"/>
    <x v="3"/>
    <x v="1"/>
    <x v="163"/>
    <x v="72"/>
    <x v="116"/>
    <x v="0"/>
    <x v="487"/>
    <x v="2"/>
    <x v="487"/>
    <x v="487"/>
    <x v="114"/>
    <x v="0"/>
  </r>
  <r>
    <x v="1420"/>
    <x v="2"/>
    <x v="0"/>
    <x v="45"/>
    <x v="78"/>
    <x v="3"/>
    <x v="1"/>
    <x v="163"/>
    <x v="72"/>
    <x v="116"/>
    <x v="0"/>
    <x v="488"/>
    <x v="2"/>
    <x v="488"/>
    <x v="488"/>
    <x v="114"/>
    <x v="0"/>
  </r>
  <r>
    <x v="1421"/>
    <x v="2"/>
    <x v="0"/>
    <x v="45"/>
    <x v="78"/>
    <x v="3"/>
    <x v="1"/>
    <x v="167"/>
    <x v="72"/>
    <x v="116"/>
    <x v="0"/>
    <x v="489"/>
    <x v="2"/>
    <x v="489"/>
    <x v="489"/>
    <x v="114"/>
    <x v="0"/>
  </r>
  <r>
    <x v="1422"/>
    <x v="2"/>
    <x v="0"/>
    <x v="45"/>
    <x v="78"/>
    <x v="3"/>
    <x v="1"/>
    <x v="167"/>
    <x v="72"/>
    <x v="116"/>
    <x v="0"/>
    <x v="490"/>
    <x v="2"/>
    <x v="490"/>
    <x v="490"/>
    <x v="114"/>
    <x v="0"/>
  </r>
  <r>
    <x v="1423"/>
    <x v="2"/>
    <x v="0"/>
    <x v="45"/>
    <x v="78"/>
    <x v="3"/>
    <x v="1"/>
    <x v="157"/>
    <x v="50"/>
    <x v="111"/>
    <x v="0"/>
    <x v="491"/>
    <x v="2"/>
    <x v="491"/>
    <x v="491"/>
    <x v="109"/>
    <x v="0"/>
  </r>
  <r>
    <x v="1424"/>
    <x v="2"/>
    <x v="0"/>
    <x v="45"/>
    <x v="78"/>
    <x v="3"/>
    <x v="1"/>
    <x v="159"/>
    <x v="50"/>
    <x v="111"/>
    <x v="0"/>
    <x v="460"/>
    <x v="2"/>
    <x v="460"/>
    <x v="460"/>
    <x v="109"/>
    <x v="0"/>
  </r>
  <r>
    <x v="1425"/>
    <x v="2"/>
    <x v="0"/>
    <x v="45"/>
    <x v="78"/>
    <x v="3"/>
    <x v="1"/>
    <x v="159"/>
    <x v="50"/>
    <x v="111"/>
    <x v="0"/>
    <x v="492"/>
    <x v="2"/>
    <x v="492"/>
    <x v="492"/>
    <x v="109"/>
    <x v="0"/>
  </r>
  <r>
    <x v="1426"/>
    <x v="2"/>
    <x v="0"/>
    <x v="45"/>
    <x v="78"/>
    <x v="3"/>
    <x v="1"/>
    <x v="161"/>
    <x v="50"/>
    <x v="111"/>
    <x v="0"/>
    <x v="493"/>
    <x v="2"/>
    <x v="493"/>
    <x v="493"/>
    <x v="109"/>
    <x v="0"/>
  </r>
  <r>
    <x v="1427"/>
    <x v="2"/>
    <x v="0"/>
    <x v="45"/>
    <x v="78"/>
    <x v="3"/>
    <x v="1"/>
    <x v="161"/>
    <x v="50"/>
    <x v="111"/>
    <x v="0"/>
    <x v="494"/>
    <x v="2"/>
    <x v="494"/>
    <x v="494"/>
    <x v="109"/>
    <x v="0"/>
  </r>
  <r>
    <x v="1428"/>
    <x v="2"/>
    <x v="0"/>
    <x v="45"/>
    <x v="78"/>
    <x v="3"/>
    <x v="1"/>
    <x v="177"/>
    <x v="75"/>
    <x v="118"/>
    <x v="0"/>
    <x v="495"/>
    <x v="2"/>
    <x v="495"/>
    <x v="495"/>
    <x v="116"/>
    <x v="0"/>
  </r>
  <r>
    <x v="1429"/>
    <x v="2"/>
    <x v="0"/>
    <x v="45"/>
    <x v="78"/>
    <x v="3"/>
    <x v="1"/>
    <x v="177"/>
    <x v="75"/>
    <x v="118"/>
    <x v="0"/>
    <x v="496"/>
    <x v="2"/>
    <x v="496"/>
    <x v="496"/>
    <x v="116"/>
    <x v="0"/>
  </r>
  <r>
    <x v="1430"/>
    <x v="2"/>
    <x v="0"/>
    <x v="45"/>
    <x v="78"/>
    <x v="3"/>
    <x v="1"/>
    <x v="184"/>
    <x v="70"/>
    <x v="113"/>
    <x v="0"/>
    <x v="497"/>
    <x v="2"/>
    <x v="497"/>
    <x v="497"/>
    <x v="111"/>
    <x v="12"/>
  </r>
  <r>
    <x v="1431"/>
    <x v="2"/>
    <x v="0"/>
    <x v="45"/>
    <x v="78"/>
    <x v="3"/>
    <x v="1"/>
    <x v="177"/>
    <x v="70"/>
    <x v="113"/>
    <x v="0"/>
    <x v="498"/>
    <x v="2"/>
    <x v="498"/>
    <x v="498"/>
    <x v="111"/>
    <x v="12"/>
  </r>
  <r>
    <x v="1432"/>
    <x v="2"/>
    <x v="0"/>
    <x v="45"/>
    <x v="78"/>
    <x v="3"/>
    <x v="1"/>
    <x v="156"/>
    <x v="70"/>
    <x v="113"/>
    <x v="0"/>
    <x v="499"/>
    <x v="2"/>
    <x v="499"/>
    <x v="499"/>
    <x v="111"/>
    <x v="12"/>
  </r>
  <r>
    <x v="1433"/>
    <x v="2"/>
    <x v="0"/>
    <x v="45"/>
    <x v="78"/>
    <x v="3"/>
    <x v="1"/>
    <x v="156"/>
    <x v="70"/>
    <x v="113"/>
    <x v="0"/>
    <x v="500"/>
    <x v="2"/>
    <x v="500"/>
    <x v="500"/>
    <x v="111"/>
    <x v="12"/>
  </r>
  <r>
    <x v="1434"/>
    <x v="2"/>
    <x v="0"/>
    <x v="45"/>
    <x v="78"/>
    <x v="3"/>
    <x v="1"/>
    <x v="156"/>
    <x v="70"/>
    <x v="113"/>
    <x v="0"/>
    <x v="501"/>
    <x v="2"/>
    <x v="501"/>
    <x v="501"/>
    <x v="111"/>
    <x v="12"/>
  </r>
  <r>
    <x v="1435"/>
    <x v="2"/>
    <x v="0"/>
    <x v="45"/>
    <x v="78"/>
    <x v="3"/>
    <x v="1"/>
    <x v="153"/>
    <x v="69"/>
    <x v="114"/>
    <x v="0"/>
    <x v="502"/>
    <x v="2"/>
    <x v="502"/>
    <x v="502"/>
    <x v="112"/>
    <x v="12"/>
  </r>
  <r>
    <x v="1436"/>
    <x v="2"/>
    <x v="0"/>
    <x v="45"/>
    <x v="78"/>
    <x v="3"/>
    <x v="1"/>
    <x v="153"/>
    <x v="69"/>
    <x v="114"/>
    <x v="0"/>
    <x v="503"/>
    <x v="2"/>
    <x v="503"/>
    <x v="503"/>
    <x v="112"/>
    <x v="12"/>
  </r>
  <r>
    <x v="1437"/>
    <x v="2"/>
    <x v="0"/>
    <x v="45"/>
    <x v="78"/>
    <x v="3"/>
    <x v="1"/>
    <x v="153"/>
    <x v="69"/>
    <x v="114"/>
    <x v="0"/>
    <x v="504"/>
    <x v="2"/>
    <x v="504"/>
    <x v="504"/>
    <x v="112"/>
    <x v="12"/>
  </r>
  <r>
    <x v="1438"/>
    <x v="2"/>
    <x v="0"/>
    <x v="45"/>
    <x v="78"/>
    <x v="3"/>
    <x v="1"/>
    <x v="154"/>
    <x v="69"/>
    <x v="114"/>
    <x v="0"/>
    <x v="505"/>
    <x v="2"/>
    <x v="505"/>
    <x v="505"/>
    <x v="112"/>
    <x v="12"/>
  </r>
  <r>
    <x v="1439"/>
    <x v="8"/>
    <x v="0"/>
    <x v="45"/>
    <x v="78"/>
    <x v="3"/>
    <x v="1"/>
    <x v="158"/>
    <x v="49"/>
    <x v="88"/>
    <x v="0"/>
    <x v="506"/>
    <x v="2"/>
    <x v="506"/>
    <x v="506"/>
    <x v="87"/>
    <x v="0"/>
  </r>
  <r>
    <x v="1440"/>
    <x v="8"/>
    <x v="0"/>
    <x v="45"/>
    <x v="78"/>
    <x v="3"/>
    <x v="1"/>
    <x v="158"/>
    <x v="49"/>
    <x v="88"/>
    <x v="0"/>
    <x v="507"/>
    <x v="2"/>
    <x v="507"/>
    <x v="507"/>
    <x v="87"/>
    <x v="0"/>
  </r>
  <r>
    <x v="1441"/>
    <x v="8"/>
    <x v="0"/>
    <x v="45"/>
    <x v="78"/>
    <x v="3"/>
    <x v="1"/>
    <x v="151"/>
    <x v="49"/>
    <x v="88"/>
    <x v="0"/>
    <x v="508"/>
    <x v="2"/>
    <x v="508"/>
    <x v="508"/>
    <x v="87"/>
    <x v="0"/>
  </r>
  <r>
    <x v="1442"/>
    <x v="8"/>
    <x v="0"/>
    <x v="45"/>
    <x v="78"/>
    <x v="3"/>
    <x v="1"/>
    <x v="151"/>
    <x v="49"/>
    <x v="88"/>
    <x v="0"/>
    <x v="305"/>
    <x v="2"/>
    <x v="305"/>
    <x v="305"/>
    <x v="87"/>
    <x v="0"/>
  </r>
  <r>
    <x v="1443"/>
    <x v="8"/>
    <x v="0"/>
    <x v="45"/>
    <x v="78"/>
    <x v="3"/>
    <x v="1"/>
    <x v="160"/>
    <x v="49"/>
    <x v="88"/>
    <x v="0"/>
    <x v="509"/>
    <x v="2"/>
    <x v="509"/>
    <x v="509"/>
    <x v="87"/>
    <x v="0"/>
  </r>
  <r>
    <x v="1444"/>
    <x v="8"/>
    <x v="0"/>
    <x v="45"/>
    <x v="78"/>
    <x v="3"/>
    <x v="1"/>
    <x v="160"/>
    <x v="49"/>
    <x v="88"/>
    <x v="0"/>
    <x v="510"/>
    <x v="2"/>
    <x v="510"/>
    <x v="510"/>
    <x v="87"/>
    <x v="0"/>
  </r>
  <r>
    <x v="1445"/>
    <x v="8"/>
    <x v="0"/>
    <x v="45"/>
    <x v="78"/>
    <x v="3"/>
    <x v="1"/>
    <x v="160"/>
    <x v="49"/>
    <x v="88"/>
    <x v="0"/>
    <x v="511"/>
    <x v="2"/>
    <x v="511"/>
    <x v="511"/>
    <x v="87"/>
    <x v="0"/>
  </r>
  <r>
    <x v="1446"/>
    <x v="8"/>
    <x v="0"/>
    <x v="45"/>
    <x v="78"/>
    <x v="3"/>
    <x v="1"/>
    <x v="160"/>
    <x v="49"/>
    <x v="88"/>
    <x v="0"/>
    <x v="512"/>
    <x v="2"/>
    <x v="512"/>
    <x v="512"/>
    <x v="87"/>
    <x v="0"/>
  </r>
  <r>
    <x v="1447"/>
    <x v="8"/>
    <x v="0"/>
    <x v="45"/>
    <x v="78"/>
    <x v="3"/>
    <x v="1"/>
    <x v="180"/>
    <x v="76"/>
    <x v="90"/>
    <x v="0"/>
    <x v="513"/>
    <x v="2"/>
    <x v="513"/>
    <x v="513"/>
    <x v="89"/>
    <x v="2"/>
  </r>
  <r>
    <x v="1448"/>
    <x v="8"/>
    <x v="0"/>
    <x v="45"/>
    <x v="78"/>
    <x v="3"/>
    <x v="1"/>
    <x v="180"/>
    <x v="76"/>
    <x v="90"/>
    <x v="0"/>
    <x v="367"/>
    <x v="2"/>
    <x v="367"/>
    <x v="367"/>
    <x v="89"/>
    <x v="2"/>
  </r>
  <r>
    <x v="1449"/>
    <x v="8"/>
    <x v="0"/>
    <x v="45"/>
    <x v="78"/>
    <x v="3"/>
    <x v="1"/>
    <x v="156"/>
    <x v="76"/>
    <x v="90"/>
    <x v="0"/>
    <x v="514"/>
    <x v="2"/>
    <x v="514"/>
    <x v="514"/>
    <x v="89"/>
    <x v="2"/>
  </r>
  <r>
    <x v="1450"/>
    <x v="8"/>
    <x v="0"/>
    <x v="45"/>
    <x v="78"/>
    <x v="3"/>
    <x v="1"/>
    <x v="156"/>
    <x v="76"/>
    <x v="90"/>
    <x v="0"/>
    <x v="466"/>
    <x v="2"/>
    <x v="466"/>
    <x v="466"/>
    <x v="89"/>
    <x v="2"/>
  </r>
  <r>
    <x v="1451"/>
    <x v="8"/>
    <x v="0"/>
    <x v="45"/>
    <x v="78"/>
    <x v="3"/>
    <x v="1"/>
    <x v="156"/>
    <x v="76"/>
    <x v="90"/>
    <x v="0"/>
    <x v="515"/>
    <x v="2"/>
    <x v="515"/>
    <x v="515"/>
    <x v="89"/>
    <x v="2"/>
  </r>
  <r>
    <x v="1452"/>
    <x v="8"/>
    <x v="0"/>
    <x v="45"/>
    <x v="78"/>
    <x v="3"/>
    <x v="1"/>
    <x v="181"/>
    <x v="67"/>
    <x v="110"/>
    <x v="0"/>
    <x v="516"/>
    <x v="2"/>
    <x v="516"/>
    <x v="516"/>
    <x v="108"/>
    <x v="12"/>
  </r>
  <r>
    <x v="1453"/>
    <x v="8"/>
    <x v="0"/>
    <x v="45"/>
    <x v="78"/>
    <x v="3"/>
    <x v="1"/>
    <x v="148"/>
    <x v="67"/>
    <x v="110"/>
    <x v="0"/>
    <x v="517"/>
    <x v="2"/>
    <x v="517"/>
    <x v="517"/>
    <x v="108"/>
    <x v="12"/>
  </r>
  <r>
    <x v="1454"/>
    <x v="8"/>
    <x v="0"/>
    <x v="45"/>
    <x v="78"/>
    <x v="3"/>
    <x v="1"/>
    <x v="162"/>
    <x v="67"/>
    <x v="110"/>
    <x v="0"/>
    <x v="518"/>
    <x v="2"/>
    <x v="518"/>
    <x v="518"/>
    <x v="108"/>
    <x v="12"/>
  </r>
  <r>
    <x v="1455"/>
    <x v="8"/>
    <x v="0"/>
    <x v="45"/>
    <x v="78"/>
    <x v="3"/>
    <x v="1"/>
    <x v="165"/>
    <x v="67"/>
    <x v="110"/>
    <x v="0"/>
    <x v="368"/>
    <x v="2"/>
    <x v="368"/>
    <x v="368"/>
    <x v="108"/>
    <x v="12"/>
  </r>
  <r>
    <x v="1456"/>
    <x v="8"/>
    <x v="0"/>
    <x v="45"/>
    <x v="78"/>
    <x v="3"/>
    <x v="1"/>
    <x v="165"/>
    <x v="67"/>
    <x v="110"/>
    <x v="0"/>
    <x v="374"/>
    <x v="2"/>
    <x v="374"/>
    <x v="374"/>
    <x v="108"/>
    <x v="12"/>
  </r>
  <r>
    <x v="1457"/>
    <x v="8"/>
    <x v="0"/>
    <x v="45"/>
    <x v="78"/>
    <x v="3"/>
    <x v="1"/>
    <x v="168"/>
    <x v="73"/>
    <x v="89"/>
    <x v="0"/>
    <x v="519"/>
    <x v="2"/>
    <x v="519"/>
    <x v="519"/>
    <x v="88"/>
    <x v="0"/>
  </r>
  <r>
    <x v="1458"/>
    <x v="8"/>
    <x v="0"/>
    <x v="45"/>
    <x v="78"/>
    <x v="3"/>
    <x v="1"/>
    <x v="177"/>
    <x v="73"/>
    <x v="89"/>
    <x v="0"/>
    <x v="520"/>
    <x v="2"/>
    <x v="520"/>
    <x v="520"/>
    <x v="88"/>
    <x v="0"/>
  </r>
  <r>
    <x v="1459"/>
    <x v="8"/>
    <x v="0"/>
    <x v="45"/>
    <x v="78"/>
    <x v="3"/>
    <x v="1"/>
    <x v="177"/>
    <x v="73"/>
    <x v="89"/>
    <x v="0"/>
    <x v="521"/>
    <x v="2"/>
    <x v="521"/>
    <x v="521"/>
    <x v="88"/>
    <x v="0"/>
  </r>
  <r>
    <x v="1460"/>
    <x v="8"/>
    <x v="0"/>
    <x v="45"/>
    <x v="78"/>
    <x v="3"/>
    <x v="1"/>
    <x v="177"/>
    <x v="73"/>
    <x v="89"/>
    <x v="0"/>
    <x v="498"/>
    <x v="2"/>
    <x v="498"/>
    <x v="498"/>
    <x v="88"/>
    <x v="0"/>
  </r>
  <r>
    <x v="1461"/>
    <x v="8"/>
    <x v="0"/>
    <x v="45"/>
    <x v="78"/>
    <x v="3"/>
    <x v="1"/>
    <x v="177"/>
    <x v="73"/>
    <x v="89"/>
    <x v="0"/>
    <x v="498"/>
    <x v="2"/>
    <x v="498"/>
    <x v="498"/>
    <x v="88"/>
    <x v="0"/>
  </r>
  <r>
    <x v="1462"/>
    <x v="8"/>
    <x v="0"/>
    <x v="45"/>
    <x v="78"/>
    <x v="3"/>
    <x v="1"/>
    <x v="174"/>
    <x v="69"/>
    <x v="114"/>
    <x v="0"/>
    <x v="522"/>
    <x v="2"/>
    <x v="522"/>
    <x v="522"/>
    <x v="112"/>
    <x v="12"/>
  </r>
  <r>
    <x v="1463"/>
    <x v="8"/>
    <x v="0"/>
    <x v="45"/>
    <x v="78"/>
    <x v="3"/>
    <x v="1"/>
    <x v="174"/>
    <x v="69"/>
    <x v="114"/>
    <x v="0"/>
    <x v="523"/>
    <x v="2"/>
    <x v="523"/>
    <x v="523"/>
    <x v="112"/>
    <x v="12"/>
  </r>
  <r>
    <x v="1464"/>
    <x v="8"/>
    <x v="0"/>
    <x v="45"/>
    <x v="78"/>
    <x v="3"/>
    <x v="1"/>
    <x v="176"/>
    <x v="69"/>
    <x v="114"/>
    <x v="0"/>
    <x v="524"/>
    <x v="2"/>
    <x v="524"/>
    <x v="524"/>
    <x v="112"/>
    <x v="12"/>
  </r>
  <r>
    <x v="1465"/>
    <x v="8"/>
    <x v="0"/>
    <x v="45"/>
    <x v="78"/>
    <x v="3"/>
    <x v="1"/>
    <x v="176"/>
    <x v="69"/>
    <x v="114"/>
    <x v="0"/>
    <x v="525"/>
    <x v="2"/>
    <x v="525"/>
    <x v="525"/>
    <x v="112"/>
    <x v="12"/>
  </r>
  <r>
    <x v="1466"/>
    <x v="8"/>
    <x v="0"/>
    <x v="45"/>
    <x v="78"/>
    <x v="3"/>
    <x v="1"/>
    <x v="178"/>
    <x v="71"/>
    <x v="115"/>
    <x v="0"/>
    <x v="526"/>
    <x v="2"/>
    <x v="526"/>
    <x v="526"/>
    <x v="113"/>
    <x v="1"/>
  </r>
  <r>
    <x v="1467"/>
    <x v="8"/>
    <x v="0"/>
    <x v="45"/>
    <x v="78"/>
    <x v="3"/>
    <x v="1"/>
    <x v="178"/>
    <x v="71"/>
    <x v="115"/>
    <x v="0"/>
    <x v="274"/>
    <x v="2"/>
    <x v="274"/>
    <x v="274"/>
    <x v="113"/>
    <x v="1"/>
  </r>
  <r>
    <x v="1468"/>
    <x v="8"/>
    <x v="0"/>
    <x v="45"/>
    <x v="78"/>
    <x v="3"/>
    <x v="1"/>
    <x v="169"/>
    <x v="75"/>
    <x v="118"/>
    <x v="0"/>
    <x v="527"/>
    <x v="2"/>
    <x v="527"/>
    <x v="527"/>
    <x v="116"/>
    <x v="0"/>
  </r>
  <r>
    <x v="1469"/>
    <x v="8"/>
    <x v="0"/>
    <x v="45"/>
    <x v="78"/>
    <x v="3"/>
    <x v="1"/>
    <x v="169"/>
    <x v="75"/>
    <x v="118"/>
    <x v="0"/>
    <x v="527"/>
    <x v="2"/>
    <x v="527"/>
    <x v="527"/>
    <x v="116"/>
    <x v="0"/>
  </r>
  <r>
    <x v="1470"/>
    <x v="8"/>
    <x v="0"/>
    <x v="45"/>
    <x v="78"/>
    <x v="3"/>
    <x v="1"/>
    <x v="169"/>
    <x v="75"/>
    <x v="118"/>
    <x v="0"/>
    <x v="528"/>
    <x v="2"/>
    <x v="528"/>
    <x v="528"/>
    <x v="116"/>
    <x v="0"/>
  </r>
  <r>
    <x v="1471"/>
    <x v="8"/>
    <x v="0"/>
    <x v="45"/>
    <x v="78"/>
    <x v="3"/>
    <x v="1"/>
    <x v="169"/>
    <x v="75"/>
    <x v="118"/>
    <x v="0"/>
    <x v="529"/>
    <x v="2"/>
    <x v="529"/>
    <x v="529"/>
    <x v="116"/>
    <x v="0"/>
  </r>
  <r>
    <x v="1472"/>
    <x v="8"/>
    <x v="0"/>
    <x v="45"/>
    <x v="78"/>
    <x v="3"/>
    <x v="1"/>
    <x v="169"/>
    <x v="75"/>
    <x v="118"/>
    <x v="0"/>
    <x v="426"/>
    <x v="2"/>
    <x v="426"/>
    <x v="426"/>
    <x v="116"/>
    <x v="0"/>
  </r>
  <r>
    <x v="1473"/>
    <x v="8"/>
    <x v="0"/>
    <x v="45"/>
    <x v="78"/>
    <x v="3"/>
    <x v="1"/>
    <x v="169"/>
    <x v="72"/>
    <x v="116"/>
    <x v="0"/>
    <x v="530"/>
    <x v="2"/>
    <x v="530"/>
    <x v="530"/>
    <x v="114"/>
    <x v="0"/>
  </r>
  <r>
    <x v="1474"/>
    <x v="8"/>
    <x v="0"/>
    <x v="45"/>
    <x v="78"/>
    <x v="3"/>
    <x v="1"/>
    <x v="169"/>
    <x v="72"/>
    <x v="116"/>
    <x v="0"/>
    <x v="531"/>
    <x v="2"/>
    <x v="531"/>
    <x v="531"/>
    <x v="114"/>
    <x v="0"/>
  </r>
  <r>
    <x v="1475"/>
    <x v="8"/>
    <x v="0"/>
    <x v="45"/>
    <x v="78"/>
    <x v="3"/>
    <x v="1"/>
    <x v="169"/>
    <x v="72"/>
    <x v="116"/>
    <x v="0"/>
    <x v="532"/>
    <x v="2"/>
    <x v="532"/>
    <x v="532"/>
    <x v="114"/>
    <x v="0"/>
  </r>
  <r>
    <x v="1476"/>
    <x v="8"/>
    <x v="0"/>
    <x v="45"/>
    <x v="78"/>
    <x v="3"/>
    <x v="1"/>
    <x v="175"/>
    <x v="72"/>
    <x v="116"/>
    <x v="0"/>
    <x v="533"/>
    <x v="2"/>
    <x v="533"/>
    <x v="533"/>
    <x v="114"/>
    <x v="0"/>
  </r>
  <r>
    <x v="1477"/>
    <x v="8"/>
    <x v="0"/>
    <x v="45"/>
    <x v="78"/>
    <x v="3"/>
    <x v="1"/>
    <x v="175"/>
    <x v="72"/>
    <x v="116"/>
    <x v="0"/>
    <x v="534"/>
    <x v="2"/>
    <x v="534"/>
    <x v="534"/>
    <x v="114"/>
    <x v="0"/>
  </r>
  <r>
    <x v="1478"/>
    <x v="8"/>
    <x v="0"/>
    <x v="45"/>
    <x v="78"/>
    <x v="3"/>
    <x v="1"/>
    <x v="169"/>
    <x v="72"/>
    <x v="116"/>
    <x v="0"/>
    <x v="406"/>
    <x v="2"/>
    <x v="406"/>
    <x v="406"/>
    <x v="114"/>
    <x v="0"/>
  </r>
  <r>
    <x v="1479"/>
    <x v="8"/>
    <x v="0"/>
    <x v="45"/>
    <x v="78"/>
    <x v="3"/>
    <x v="1"/>
    <x v="169"/>
    <x v="72"/>
    <x v="116"/>
    <x v="0"/>
    <x v="406"/>
    <x v="2"/>
    <x v="406"/>
    <x v="406"/>
    <x v="114"/>
    <x v="0"/>
  </r>
  <r>
    <x v="1480"/>
    <x v="27"/>
    <x v="0"/>
    <x v="45"/>
    <x v="78"/>
    <x v="3"/>
    <x v="1"/>
    <x v="185"/>
    <x v="7"/>
    <x v="12"/>
    <x v="0"/>
    <x v="535"/>
    <x v="2"/>
    <x v="535"/>
    <x v="535"/>
    <x v="12"/>
    <x v="4"/>
  </r>
  <r>
    <x v="1481"/>
    <x v="27"/>
    <x v="0"/>
    <x v="45"/>
    <x v="78"/>
    <x v="3"/>
    <x v="1"/>
    <x v="185"/>
    <x v="7"/>
    <x v="13"/>
    <x v="0"/>
    <x v="535"/>
    <x v="2"/>
    <x v="535"/>
    <x v="535"/>
    <x v="13"/>
    <x v="4"/>
  </r>
  <r>
    <x v="1482"/>
    <x v="27"/>
    <x v="0"/>
    <x v="45"/>
    <x v="78"/>
    <x v="3"/>
    <x v="1"/>
    <x v="154"/>
    <x v="71"/>
    <x v="115"/>
    <x v="0"/>
    <x v="536"/>
    <x v="2"/>
    <x v="536"/>
    <x v="536"/>
    <x v="113"/>
    <x v="1"/>
  </r>
  <r>
    <x v="1483"/>
    <x v="27"/>
    <x v="0"/>
    <x v="45"/>
    <x v="78"/>
    <x v="3"/>
    <x v="1"/>
    <x v="167"/>
    <x v="71"/>
    <x v="115"/>
    <x v="0"/>
    <x v="537"/>
    <x v="2"/>
    <x v="537"/>
    <x v="537"/>
    <x v="113"/>
    <x v="1"/>
  </r>
  <r>
    <x v="1484"/>
    <x v="27"/>
    <x v="0"/>
    <x v="45"/>
    <x v="78"/>
    <x v="3"/>
    <x v="1"/>
    <x v="167"/>
    <x v="71"/>
    <x v="115"/>
    <x v="0"/>
    <x v="538"/>
    <x v="2"/>
    <x v="538"/>
    <x v="538"/>
    <x v="113"/>
    <x v="1"/>
  </r>
  <r>
    <x v="1485"/>
    <x v="27"/>
    <x v="0"/>
    <x v="45"/>
    <x v="78"/>
    <x v="3"/>
    <x v="1"/>
    <x v="180"/>
    <x v="73"/>
    <x v="89"/>
    <x v="0"/>
    <x v="539"/>
    <x v="2"/>
    <x v="539"/>
    <x v="539"/>
    <x v="88"/>
    <x v="0"/>
  </r>
  <r>
    <x v="1486"/>
    <x v="27"/>
    <x v="0"/>
    <x v="45"/>
    <x v="78"/>
    <x v="3"/>
    <x v="1"/>
    <x v="180"/>
    <x v="73"/>
    <x v="89"/>
    <x v="0"/>
    <x v="468"/>
    <x v="2"/>
    <x v="468"/>
    <x v="468"/>
    <x v="88"/>
    <x v="0"/>
  </r>
  <r>
    <x v="1487"/>
    <x v="27"/>
    <x v="0"/>
    <x v="45"/>
    <x v="78"/>
    <x v="3"/>
    <x v="1"/>
    <x v="162"/>
    <x v="73"/>
    <x v="89"/>
    <x v="0"/>
    <x v="540"/>
    <x v="2"/>
    <x v="540"/>
    <x v="540"/>
    <x v="88"/>
    <x v="0"/>
  </r>
  <r>
    <x v="1488"/>
    <x v="27"/>
    <x v="0"/>
    <x v="45"/>
    <x v="78"/>
    <x v="3"/>
    <x v="1"/>
    <x v="162"/>
    <x v="73"/>
    <x v="89"/>
    <x v="0"/>
    <x v="541"/>
    <x v="2"/>
    <x v="541"/>
    <x v="541"/>
    <x v="88"/>
    <x v="0"/>
  </r>
  <r>
    <x v="1489"/>
    <x v="27"/>
    <x v="0"/>
    <x v="45"/>
    <x v="78"/>
    <x v="3"/>
    <x v="1"/>
    <x v="167"/>
    <x v="73"/>
    <x v="89"/>
    <x v="0"/>
    <x v="490"/>
    <x v="2"/>
    <x v="490"/>
    <x v="490"/>
    <x v="88"/>
    <x v="0"/>
  </r>
  <r>
    <x v="1490"/>
    <x v="27"/>
    <x v="0"/>
    <x v="45"/>
    <x v="78"/>
    <x v="3"/>
    <x v="1"/>
    <x v="163"/>
    <x v="67"/>
    <x v="89"/>
    <x v="0"/>
    <x v="542"/>
    <x v="2"/>
    <x v="542"/>
    <x v="542"/>
    <x v="88"/>
    <x v="12"/>
  </r>
  <r>
    <x v="1491"/>
    <x v="27"/>
    <x v="0"/>
    <x v="45"/>
    <x v="78"/>
    <x v="3"/>
    <x v="1"/>
    <x v="163"/>
    <x v="67"/>
    <x v="89"/>
    <x v="0"/>
    <x v="351"/>
    <x v="2"/>
    <x v="351"/>
    <x v="351"/>
    <x v="88"/>
    <x v="12"/>
  </r>
  <r>
    <x v="1492"/>
    <x v="27"/>
    <x v="0"/>
    <x v="45"/>
    <x v="78"/>
    <x v="3"/>
    <x v="1"/>
    <x v="168"/>
    <x v="64"/>
    <x v="89"/>
    <x v="0"/>
    <x v="543"/>
    <x v="2"/>
    <x v="543"/>
    <x v="543"/>
    <x v="88"/>
    <x v="6"/>
  </r>
  <r>
    <x v="1493"/>
    <x v="27"/>
    <x v="0"/>
    <x v="45"/>
    <x v="78"/>
    <x v="3"/>
    <x v="1"/>
    <x v="156"/>
    <x v="64"/>
    <x v="89"/>
    <x v="0"/>
    <x v="544"/>
    <x v="2"/>
    <x v="544"/>
    <x v="544"/>
    <x v="88"/>
    <x v="6"/>
  </r>
  <r>
    <x v="1494"/>
    <x v="27"/>
    <x v="0"/>
    <x v="45"/>
    <x v="78"/>
    <x v="3"/>
    <x v="1"/>
    <x v="156"/>
    <x v="64"/>
    <x v="89"/>
    <x v="0"/>
    <x v="501"/>
    <x v="2"/>
    <x v="501"/>
    <x v="501"/>
    <x v="88"/>
    <x v="6"/>
  </r>
  <r>
    <x v="1495"/>
    <x v="27"/>
    <x v="0"/>
    <x v="45"/>
    <x v="78"/>
    <x v="3"/>
    <x v="1"/>
    <x v="186"/>
    <x v="69"/>
    <x v="89"/>
    <x v="0"/>
    <x v="545"/>
    <x v="2"/>
    <x v="545"/>
    <x v="545"/>
    <x v="88"/>
    <x v="12"/>
  </r>
  <r>
    <x v="1496"/>
    <x v="27"/>
    <x v="0"/>
    <x v="45"/>
    <x v="78"/>
    <x v="3"/>
    <x v="1"/>
    <x v="186"/>
    <x v="69"/>
    <x v="89"/>
    <x v="0"/>
    <x v="546"/>
    <x v="2"/>
    <x v="546"/>
    <x v="546"/>
    <x v="88"/>
    <x v="12"/>
  </r>
  <r>
    <x v="1497"/>
    <x v="27"/>
    <x v="0"/>
    <x v="45"/>
    <x v="78"/>
    <x v="3"/>
    <x v="1"/>
    <x v="168"/>
    <x v="66"/>
    <x v="89"/>
    <x v="0"/>
    <x v="547"/>
    <x v="2"/>
    <x v="547"/>
    <x v="547"/>
    <x v="88"/>
    <x v="12"/>
  </r>
  <r>
    <x v="1498"/>
    <x v="27"/>
    <x v="0"/>
    <x v="45"/>
    <x v="78"/>
    <x v="3"/>
    <x v="1"/>
    <x v="167"/>
    <x v="71"/>
    <x v="89"/>
    <x v="0"/>
    <x v="407"/>
    <x v="2"/>
    <x v="407"/>
    <x v="407"/>
    <x v="88"/>
    <x v="1"/>
  </r>
  <r>
    <x v="1499"/>
    <x v="27"/>
    <x v="0"/>
    <x v="45"/>
    <x v="78"/>
    <x v="3"/>
    <x v="1"/>
    <x v="180"/>
    <x v="73"/>
    <x v="89"/>
    <x v="0"/>
    <x v="548"/>
    <x v="2"/>
    <x v="548"/>
    <x v="548"/>
    <x v="88"/>
    <x v="0"/>
  </r>
  <r>
    <x v="1500"/>
    <x v="27"/>
    <x v="0"/>
    <x v="45"/>
    <x v="78"/>
    <x v="3"/>
    <x v="1"/>
    <x v="162"/>
    <x v="73"/>
    <x v="89"/>
    <x v="0"/>
    <x v="379"/>
    <x v="2"/>
    <x v="379"/>
    <x v="379"/>
    <x v="88"/>
    <x v="0"/>
  </r>
  <r>
    <x v="1501"/>
    <x v="27"/>
    <x v="0"/>
    <x v="45"/>
    <x v="78"/>
    <x v="3"/>
    <x v="1"/>
    <x v="167"/>
    <x v="73"/>
    <x v="89"/>
    <x v="0"/>
    <x v="282"/>
    <x v="2"/>
    <x v="282"/>
    <x v="282"/>
    <x v="88"/>
    <x v="0"/>
  </r>
  <r>
    <x v="1502"/>
    <x v="27"/>
    <x v="0"/>
    <x v="45"/>
    <x v="78"/>
    <x v="3"/>
    <x v="1"/>
    <x v="163"/>
    <x v="67"/>
    <x v="110"/>
    <x v="0"/>
    <x v="349"/>
    <x v="2"/>
    <x v="349"/>
    <x v="349"/>
    <x v="108"/>
    <x v="12"/>
  </r>
  <r>
    <x v="1503"/>
    <x v="27"/>
    <x v="0"/>
    <x v="45"/>
    <x v="78"/>
    <x v="3"/>
    <x v="1"/>
    <x v="156"/>
    <x v="64"/>
    <x v="107"/>
    <x v="0"/>
    <x v="434"/>
    <x v="2"/>
    <x v="434"/>
    <x v="434"/>
    <x v="105"/>
    <x v="6"/>
  </r>
  <r>
    <x v="1504"/>
    <x v="27"/>
    <x v="0"/>
    <x v="45"/>
    <x v="78"/>
    <x v="3"/>
    <x v="1"/>
    <x v="156"/>
    <x v="64"/>
    <x v="107"/>
    <x v="0"/>
    <x v="434"/>
    <x v="2"/>
    <x v="434"/>
    <x v="434"/>
    <x v="105"/>
    <x v="6"/>
  </r>
  <r>
    <x v="1505"/>
    <x v="27"/>
    <x v="0"/>
    <x v="45"/>
    <x v="78"/>
    <x v="3"/>
    <x v="1"/>
    <x v="156"/>
    <x v="64"/>
    <x v="107"/>
    <x v="0"/>
    <x v="434"/>
    <x v="2"/>
    <x v="434"/>
    <x v="434"/>
    <x v="105"/>
    <x v="6"/>
  </r>
  <r>
    <x v="1506"/>
    <x v="27"/>
    <x v="0"/>
    <x v="45"/>
    <x v="78"/>
    <x v="3"/>
    <x v="1"/>
    <x v="181"/>
    <x v="70"/>
    <x v="113"/>
    <x v="0"/>
    <x v="434"/>
    <x v="2"/>
    <x v="434"/>
    <x v="434"/>
    <x v="111"/>
    <x v="12"/>
  </r>
  <r>
    <x v="1507"/>
    <x v="3"/>
    <x v="0"/>
    <x v="45"/>
    <x v="78"/>
    <x v="3"/>
    <x v="1"/>
    <x v="168"/>
    <x v="69"/>
    <x v="114"/>
    <x v="0"/>
    <x v="549"/>
    <x v="2"/>
    <x v="549"/>
    <x v="549"/>
    <x v="112"/>
    <x v="12"/>
  </r>
  <r>
    <x v="1508"/>
    <x v="3"/>
    <x v="0"/>
    <x v="45"/>
    <x v="78"/>
    <x v="3"/>
    <x v="1"/>
    <x v="156"/>
    <x v="69"/>
    <x v="114"/>
    <x v="0"/>
    <x v="550"/>
    <x v="2"/>
    <x v="550"/>
    <x v="550"/>
    <x v="112"/>
    <x v="12"/>
  </r>
  <r>
    <x v="1509"/>
    <x v="3"/>
    <x v="0"/>
    <x v="45"/>
    <x v="78"/>
    <x v="3"/>
    <x v="1"/>
    <x v="156"/>
    <x v="69"/>
    <x v="114"/>
    <x v="0"/>
    <x v="466"/>
    <x v="2"/>
    <x v="466"/>
    <x v="466"/>
    <x v="112"/>
    <x v="12"/>
  </r>
  <r>
    <x v="1510"/>
    <x v="3"/>
    <x v="0"/>
    <x v="45"/>
    <x v="78"/>
    <x v="3"/>
    <x v="1"/>
    <x v="152"/>
    <x v="66"/>
    <x v="109"/>
    <x v="0"/>
    <x v="551"/>
    <x v="2"/>
    <x v="551"/>
    <x v="551"/>
    <x v="107"/>
    <x v="12"/>
  </r>
  <r>
    <x v="1511"/>
    <x v="3"/>
    <x v="0"/>
    <x v="45"/>
    <x v="78"/>
    <x v="3"/>
    <x v="1"/>
    <x v="152"/>
    <x v="66"/>
    <x v="109"/>
    <x v="0"/>
    <x v="552"/>
    <x v="2"/>
    <x v="552"/>
    <x v="552"/>
    <x v="107"/>
    <x v="12"/>
  </r>
  <r>
    <x v="1512"/>
    <x v="3"/>
    <x v="0"/>
    <x v="45"/>
    <x v="78"/>
    <x v="3"/>
    <x v="1"/>
    <x v="184"/>
    <x v="72"/>
    <x v="116"/>
    <x v="0"/>
    <x v="553"/>
    <x v="2"/>
    <x v="553"/>
    <x v="553"/>
    <x v="114"/>
    <x v="0"/>
  </r>
  <r>
    <x v="1513"/>
    <x v="3"/>
    <x v="0"/>
    <x v="45"/>
    <x v="78"/>
    <x v="3"/>
    <x v="1"/>
    <x v="177"/>
    <x v="72"/>
    <x v="116"/>
    <x v="0"/>
    <x v="554"/>
    <x v="2"/>
    <x v="554"/>
    <x v="554"/>
    <x v="114"/>
    <x v="0"/>
  </r>
  <r>
    <x v="1514"/>
    <x v="3"/>
    <x v="0"/>
    <x v="45"/>
    <x v="78"/>
    <x v="3"/>
    <x v="1"/>
    <x v="177"/>
    <x v="72"/>
    <x v="116"/>
    <x v="0"/>
    <x v="555"/>
    <x v="2"/>
    <x v="555"/>
    <x v="555"/>
    <x v="114"/>
    <x v="0"/>
  </r>
  <r>
    <x v="1515"/>
    <x v="3"/>
    <x v="0"/>
    <x v="45"/>
    <x v="78"/>
    <x v="3"/>
    <x v="1"/>
    <x v="187"/>
    <x v="75"/>
    <x v="118"/>
    <x v="0"/>
    <x v="556"/>
    <x v="2"/>
    <x v="556"/>
    <x v="556"/>
    <x v="116"/>
    <x v="0"/>
  </r>
  <r>
    <x v="1516"/>
    <x v="3"/>
    <x v="0"/>
    <x v="45"/>
    <x v="78"/>
    <x v="3"/>
    <x v="1"/>
    <x v="187"/>
    <x v="75"/>
    <x v="118"/>
    <x v="0"/>
    <x v="557"/>
    <x v="2"/>
    <x v="557"/>
    <x v="557"/>
    <x v="116"/>
    <x v="0"/>
  </r>
  <r>
    <x v="1517"/>
    <x v="3"/>
    <x v="0"/>
    <x v="45"/>
    <x v="78"/>
    <x v="3"/>
    <x v="1"/>
    <x v="188"/>
    <x v="75"/>
    <x v="118"/>
    <x v="0"/>
    <x v="557"/>
    <x v="2"/>
    <x v="557"/>
    <x v="557"/>
    <x v="116"/>
    <x v="0"/>
  </r>
  <r>
    <x v="1518"/>
    <x v="3"/>
    <x v="0"/>
    <x v="45"/>
    <x v="78"/>
    <x v="3"/>
    <x v="1"/>
    <x v="171"/>
    <x v="75"/>
    <x v="118"/>
    <x v="0"/>
    <x v="558"/>
    <x v="2"/>
    <x v="558"/>
    <x v="558"/>
    <x v="116"/>
    <x v="0"/>
  </r>
  <r>
    <x v="1519"/>
    <x v="3"/>
    <x v="0"/>
    <x v="45"/>
    <x v="78"/>
    <x v="3"/>
    <x v="1"/>
    <x v="148"/>
    <x v="66"/>
    <x v="109"/>
    <x v="0"/>
    <x v="559"/>
    <x v="2"/>
    <x v="559"/>
    <x v="559"/>
    <x v="107"/>
    <x v="12"/>
  </r>
  <r>
    <x v="1520"/>
    <x v="4"/>
    <x v="0"/>
    <x v="45"/>
    <x v="78"/>
    <x v="3"/>
    <x v="1"/>
    <x v="153"/>
    <x v="64"/>
    <x v="107"/>
    <x v="0"/>
    <x v="560"/>
    <x v="2"/>
    <x v="560"/>
    <x v="560"/>
    <x v="105"/>
    <x v="6"/>
  </r>
  <r>
    <x v="1521"/>
    <x v="4"/>
    <x v="0"/>
    <x v="45"/>
    <x v="78"/>
    <x v="3"/>
    <x v="1"/>
    <x v="153"/>
    <x v="76"/>
    <x v="90"/>
    <x v="0"/>
    <x v="561"/>
    <x v="2"/>
    <x v="561"/>
    <x v="561"/>
    <x v="89"/>
    <x v="2"/>
  </r>
  <r>
    <x v="1522"/>
    <x v="4"/>
    <x v="0"/>
    <x v="45"/>
    <x v="78"/>
    <x v="3"/>
    <x v="1"/>
    <x v="154"/>
    <x v="76"/>
    <x v="90"/>
    <x v="0"/>
    <x v="562"/>
    <x v="2"/>
    <x v="562"/>
    <x v="562"/>
    <x v="89"/>
    <x v="2"/>
  </r>
  <r>
    <x v="1523"/>
    <x v="4"/>
    <x v="0"/>
    <x v="45"/>
    <x v="78"/>
    <x v="3"/>
    <x v="1"/>
    <x v="178"/>
    <x v="76"/>
    <x v="90"/>
    <x v="0"/>
    <x v="563"/>
    <x v="2"/>
    <x v="563"/>
    <x v="563"/>
    <x v="89"/>
    <x v="2"/>
  </r>
  <r>
    <x v="1524"/>
    <x v="4"/>
    <x v="0"/>
    <x v="45"/>
    <x v="78"/>
    <x v="3"/>
    <x v="1"/>
    <x v="178"/>
    <x v="76"/>
    <x v="90"/>
    <x v="0"/>
    <x v="564"/>
    <x v="2"/>
    <x v="564"/>
    <x v="564"/>
    <x v="89"/>
    <x v="2"/>
  </r>
  <r>
    <x v="1525"/>
    <x v="4"/>
    <x v="0"/>
    <x v="45"/>
    <x v="78"/>
    <x v="3"/>
    <x v="1"/>
    <x v="168"/>
    <x v="67"/>
    <x v="110"/>
    <x v="0"/>
    <x v="565"/>
    <x v="2"/>
    <x v="565"/>
    <x v="565"/>
    <x v="108"/>
    <x v="12"/>
  </r>
  <r>
    <x v="1526"/>
    <x v="4"/>
    <x v="0"/>
    <x v="45"/>
    <x v="78"/>
    <x v="3"/>
    <x v="1"/>
    <x v="168"/>
    <x v="67"/>
    <x v="110"/>
    <x v="0"/>
    <x v="320"/>
    <x v="2"/>
    <x v="320"/>
    <x v="320"/>
    <x v="108"/>
    <x v="12"/>
  </r>
  <r>
    <x v="1527"/>
    <x v="4"/>
    <x v="0"/>
    <x v="45"/>
    <x v="78"/>
    <x v="3"/>
    <x v="1"/>
    <x v="156"/>
    <x v="67"/>
    <x v="110"/>
    <x v="0"/>
    <x v="566"/>
    <x v="2"/>
    <x v="566"/>
    <x v="566"/>
    <x v="108"/>
    <x v="12"/>
  </r>
  <r>
    <x v="1528"/>
    <x v="4"/>
    <x v="0"/>
    <x v="45"/>
    <x v="78"/>
    <x v="3"/>
    <x v="1"/>
    <x v="156"/>
    <x v="67"/>
    <x v="110"/>
    <x v="0"/>
    <x v="567"/>
    <x v="2"/>
    <x v="567"/>
    <x v="567"/>
    <x v="108"/>
    <x v="12"/>
  </r>
  <r>
    <x v="1529"/>
    <x v="4"/>
    <x v="0"/>
    <x v="45"/>
    <x v="78"/>
    <x v="3"/>
    <x v="1"/>
    <x v="156"/>
    <x v="67"/>
    <x v="110"/>
    <x v="0"/>
    <x v="568"/>
    <x v="2"/>
    <x v="568"/>
    <x v="568"/>
    <x v="108"/>
    <x v="12"/>
  </r>
  <r>
    <x v="1530"/>
    <x v="4"/>
    <x v="0"/>
    <x v="45"/>
    <x v="78"/>
    <x v="3"/>
    <x v="1"/>
    <x v="156"/>
    <x v="67"/>
    <x v="110"/>
    <x v="0"/>
    <x v="358"/>
    <x v="2"/>
    <x v="358"/>
    <x v="358"/>
    <x v="108"/>
    <x v="12"/>
  </r>
  <r>
    <x v="1531"/>
    <x v="4"/>
    <x v="0"/>
    <x v="45"/>
    <x v="78"/>
    <x v="3"/>
    <x v="1"/>
    <x v="166"/>
    <x v="73"/>
    <x v="89"/>
    <x v="0"/>
    <x v="569"/>
    <x v="2"/>
    <x v="569"/>
    <x v="569"/>
    <x v="88"/>
    <x v="0"/>
  </r>
  <r>
    <x v="1532"/>
    <x v="4"/>
    <x v="0"/>
    <x v="45"/>
    <x v="78"/>
    <x v="3"/>
    <x v="1"/>
    <x v="166"/>
    <x v="73"/>
    <x v="89"/>
    <x v="0"/>
    <x v="570"/>
    <x v="2"/>
    <x v="570"/>
    <x v="570"/>
    <x v="88"/>
    <x v="0"/>
  </r>
  <r>
    <x v="1533"/>
    <x v="4"/>
    <x v="0"/>
    <x v="45"/>
    <x v="78"/>
    <x v="3"/>
    <x v="1"/>
    <x v="151"/>
    <x v="73"/>
    <x v="89"/>
    <x v="0"/>
    <x v="571"/>
    <x v="2"/>
    <x v="571"/>
    <x v="571"/>
    <x v="88"/>
    <x v="0"/>
  </r>
  <r>
    <x v="1534"/>
    <x v="4"/>
    <x v="0"/>
    <x v="45"/>
    <x v="78"/>
    <x v="3"/>
    <x v="1"/>
    <x v="151"/>
    <x v="73"/>
    <x v="89"/>
    <x v="0"/>
    <x v="572"/>
    <x v="2"/>
    <x v="572"/>
    <x v="572"/>
    <x v="88"/>
    <x v="0"/>
  </r>
  <r>
    <x v="1535"/>
    <x v="4"/>
    <x v="0"/>
    <x v="45"/>
    <x v="78"/>
    <x v="3"/>
    <x v="1"/>
    <x v="151"/>
    <x v="73"/>
    <x v="89"/>
    <x v="0"/>
    <x v="573"/>
    <x v="2"/>
    <x v="573"/>
    <x v="573"/>
    <x v="88"/>
    <x v="0"/>
  </r>
  <r>
    <x v="1536"/>
    <x v="4"/>
    <x v="0"/>
    <x v="45"/>
    <x v="78"/>
    <x v="3"/>
    <x v="1"/>
    <x v="157"/>
    <x v="73"/>
    <x v="89"/>
    <x v="0"/>
    <x v="574"/>
    <x v="2"/>
    <x v="574"/>
    <x v="574"/>
    <x v="88"/>
    <x v="0"/>
  </r>
  <r>
    <x v="1537"/>
    <x v="4"/>
    <x v="0"/>
    <x v="45"/>
    <x v="78"/>
    <x v="3"/>
    <x v="1"/>
    <x v="161"/>
    <x v="68"/>
    <x v="112"/>
    <x v="0"/>
    <x v="575"/>
    <x v="2"/>
    <x v="575"/>
    <x v="575"/>
    <x v="110"/>
    <x v="12"/>
  </r>
  <r>
    <x v="1538"/>
    <x v="4"/>
    <x v="0"/>
    <x v="45"/>
    <x v="78"/>
    <x v="3"/>
    <x v="1"/>
    <x v="161"/>
    <x v="68"/>
    <x v="112"/>
    <x v="0"/>
    <x v="576"/>
    <x v="2"/>
    <x v="576"/>
    <x v="576"/>
    <x v="110"/>
    <x v="12"/>
  </r>
  <r>
    <x v="1539"/>
    <x v="4"/>
    <x v="0"/>
    <x v="45"/>
    <x v="78"/>
    <x v="3"/>
    <x v="1"/>
    <x v="177"/>
    <x v="72"/>
    <x v="116"/>
    <x v="0"/>
    <x v="577"/>
    <x v="2"/>
    <x v="577"/>
    <x v="577"/>
    <x v="114"/>
    <x v="0"/>
  </r>
  <r>
    <x v="1540"/>
    <x v="4"/>
    <x v="0"/>
    <x v="45"/>
    <x v="78"/>
    <x v="3"/>
    <x v="1"/>
    <x v="177"/>
    <x v="72"/>
    <x v="116"/>
    <x v="0"/>
    <x v="496"/>
    <x v="2"/>
    <x v="496"/>
    <x v="496"/>
    <x v="114"/>
    <x v="0"/>
  </r>
  <r>
    <x v="1541"/>
    <x v="4"/>
    <x v="0"/>
    <x v="45"/>
    <x v="78"/>
    <x v="3"/>
    <x v="1"/>
    <x v="184"/>
    <x v="72"/>
    <x v="116"/>
    <x v="0"/>
    <x v="578"/>
    <x v="2"/>
    <x v="578"/>
    <x v="578"/>
    <x v="114"/>
    <x v="0"/>
  </r>
  <r>
    <x v="1542"/>
    <x v="4"/>
    <x v="0"/>
    <x v="45"/>
    <x v="78"/>
    <x v="3"/>
    <x v="1"/>
    <x v="180"/>
    <x v="49"/>
    <x v="88"/>
    <x v="0"/>
    <x v="579"/>
    <x v="2"/>
    <x v="579"/>
    <x v="579"/>
    <x v="87"/>
    <x v="0"/>
  </r>
  <r>
    <x v="1543"/>
    <x v="4"/>
    <x v="0"/>
    <x v="45"/>
    <x v="78"/>
    <x v="3"/>
    <x v="1"/>
    <x v="180"/>
    <x v="49"/>
    <x v="88"/>
    <x v="0"/>
    <x v="440"/>
    <x v="2"/>
    <x v="440"/>
    <x v="440"/>
    <x v="87"/>
    <x v="0"/>
  </r>
  <r>
    <x v="1544"/>
    <x v="4"/>
    <x v="0"/>
    <x v="45"/>
    <x v="78"/>
    <x v="3"/>
    <x v="1"/>
    <x v="152"/>
    <x v="49"/>
    <x v="88"/>
    <x v="0"/>
    <x v="551"/>
    <x v="2"/>
    <x v="551"/>
    <x v="551"/>
    <x v="87"/>
    <x v="0"/>
  </r>
  <r>
    <x v="1545"/>
    <x v="4"/>
    <x v="0"/>
    <x v="45"/>
    <x v="78"/>
    <x v="3"/>
    <x v="1"/>
    <x v="152"/>
    <x v="49"/>
    <x v="88"/>
    <x v="0"/>
    <x v="580"/>
    <x v="2"/>
    <x v="580"/>
    <x v="580"/>
    <x v="87"/>
    <x v="0"/>
  </r>
  <r>
    <x v="1546"/>
    <x v="4"/>
    <x v="0"/>
    <x v="45"/>
    <x v="78"/>
    <x v="3"/>
    <x v="1"/>
    <x v="168"/>
    <x v="49"/>
    <x v="88"/>
    <x v="0"/>
    <x v="581"/>
    <x v="2"/>
    <x v="581"/>
    <x v="581"/>
    <x v="87"/>
    <x v="0"/>
  </r>
  <r>
    <x v="1547"/>
    <x v="4"/>
    <x v="0"/>
    <x v="45"/>
    <x v="78"/>
    <x v="3"/>
    <x v="1"/>
    <x v="168"/>
    <x v="49"/>
    <x v="88"/>
    <x v="0"/>
    <x v="582"/>
    <x v="2"/>
    <x v="582"/>
    <x v="582"/>
    <x v="87"/>
    <x v="0"/>
  </r>
  <r>
    <x v="1548"/>
    <x v="4"/>
    <x v="0"/>
    <x v="45"/>
    <x v="78"/>
    <x v="3"/>
    <x v="1"/>
    <x v="163"/>
    <x v="48"/>
    <x v="87"/>
    <x v="0"/>
    <x v="583"/>
    <x v="2"/>
    <x v="583"/>
    <x v="583"/>
    <x v="86"/>
    <x v="0"/>
  </r>
  <r>
    <x v="1549"/>
    <x v="4"/>
    <x v="0"/>
    <x v="45"/>
    <x v="78"/>
    <x v="3"/>
    <x v="1"/>
    <x v="163"/>
    <x v="48"/>
    <x v="87"/>
    <x v="0"/>
    <x v="488"/>
    <x v="2"/>
    <x v="488"/>
    <x v="488"/>
    <x v="86"/>
    <x v="0"/>
  </r>
  <r>
    <x v="1550"/>
    <x v="4"/>
    <x v="0"/>
    <x v="45"/>
    <x v="78"/>
    <x v="3"/>
    <x v="1"/>
    <x v="167"/>
    <x v="48"/>
    <x v="87"/>
    <x v="0"/>
    <x v="584"/>
    <x v="2"/>
    <x v="584"/>
    <x v="584"/>
    <x v="86"/>
    <x v="0"/>
  </r>
  <r>
    <x v="1551"/>
    <x v="4"/>
    <x v="0"/>
    <x v="45"/>
    <x v="78"/>
    <x v="3"/>
    <x v="1"/>
    <x v="167"/>
    <x v="48"/>
    <x v="87"/>
    <x v="0"/>
    <x v="585"/>
    <x v="2"/>
    <x v="585"/>
    <x v="585"/>
    <x v="86"/>
    <x v="0"/>
  </r>
  <r>
    <x v="1552"/>
    <x v="4"/>
    <x v="0"/>
    <x v="45"/>
    <x v="78"/>
    <x v="3"/>
    <x v="1"/>
    <x v="162"/>
    <x v="70"/>
    <x v="113"/>
    <x v="0"/>
    <x v="477"/>
    <x v="2"/>
    <x v="477"/>
    <x v="477"/>
    <x v="111"/>
    <x v="12"/>
  </r>
  <r>
    <x v="1553"/>
    <x v="4"/>
    <x v="0"/>
    <x v="45"/>
    <x v="78"/>
    <x v="3"/>
    <x v="1"/>
    <x v="162"/>
    <x v="70"/>
    <x v="113"/>
    <x v="0"/>
    <x v="481"/>
    <x v="2"/>
    <x v="481"/>
    <x v="481"/>
    <x v="111"/>
    <x v="12"/>
  </r>
  <r>
    <x v="1554"/>
    <x v="30"/>
    <x v="0"/>
    <x v="45"/>
    <x v="78"/>
    <x v="3"/>
    <x v="1"/>
    <x v="189"/>
    <x v="9"/>
    <x v="120"/>
    <x v="0"/>
    <x v="586"/>
    <x v="2"/>
    <x v="586"/>
    <x v="586"/>
    <x v="16"/>
    <x v="4"/>
  </r>
  <r>
    <x v="1555"/>
    <x v="30"/>
    <x v="0"/>
    <x v="45"/>
    <x v="78"/>
    <x v="3"/>
    <x v="1"/>
    <x v="189"/>
    <x v="9"/>
    <x v="121"/>
    <x v="0"/>
    <x v="586"/>
    <x v="2"/>
    <x v="586"/>
    <x v="586"/>
    <x v="17"/>
    <x v="4"/>
  </r>
  <r>
    <x v="1556"/>
    <x v="30"/>
    <x v="0"/>
    <x v="45"/>
    <x v="78"/>
    <x v="3"/>
    <x v="1"/>
    <x v="190"/>
    <x v="50"/>
    <x v="111"/>
    <x v="0"/>
    <x v="587"/>
    <x v="2"/>
    <x v="587"/>
    <x v="587"/>
    <x v="109"/>
    <x v="0"/>
  </r>
  <r>
    <x v="1557"/>
    <x v="30"/>
    <x v="0"/>
    <x v="45"/>
    <x v="78"/>
    <x v="3"/>
    <x v="1"/>
    <x v="191"/>
    <x v="50"/>
    <x v="111"/>
    <x v="0"/>
    <x v="588"/>
    <x v="2"/>
    <x v="588"/>
    <x v="588"/>
    <x v="109"/>
    <x v="0"/>
  </r>
  <r>
    <x v="1558"/>
    <x v="30"/>
    <x v="0"/>
    <x v="45"/>
    <x v="78"/>
    <x v="3"/>
    <x v="1"/>
    <x v="192"/>
    <x v="75"/>
    <x v="118"/>
    <x v="0"/>
    <x v="534"/>
    <x v="2"/>
    <x v="534"/>
    <x v="534"/>
    <x v="116"/>
    <x v="0"/>
  </r>
  <r>
    <x v="1559"/>
    <x v="30"/>
    <x v="0"/>
    <x v="45"/>
    <x v="78"/>
    <x v="3"/>
    <x v="1"/>
    <x v="193"/>
    <x v="75"/>
    <x v="118"/>
    <x v="0"/>
    <x v="589"/>
    <x v="2"/>
    <x v="589"/>
    <x v="589"/>
    <x v="116"/>
    <x v="0"/>
  </r>
  <r>
    <x v="1560"/>
    <x v="30"/>
    <x v="0"/>
    <x v="45"/>
    <x v="78"/>
    <x v="3"/>
    <x v="1"/>
    <x v="194"/>
    <x v="75"/>
    <x v="118"/>
    <x v="0"/>
    <x v="590"/>
    <x v="2"/>
    <x v="590"/>
    <x v="590"/>
    <x v="116"/>
    <x v="0"/>
  </r>
  <r>
    <x v="1561"/>
    <x v="30"/>
    <x v="0"/>
    <x v="45"/>
    <x v="78"/>
    <x v="3"/>
    <x v="1"/>
    <x v="195"/>
    <x v="66"/>
    <x v="109"/>
    <x v="0"/>
    <x v="591"/>
    <x v="2"/>
    <x v="591"/>
    <x v="591"/>
    <x v="107"/>
    <x v="12"/>
  </r>
  <r>
    <x v="1562"/>
    <x v="30"/>
    <x v="0"/>
    <x v="45"/>
    <x v="78"/>
    <x v="3"/>
    <x v="1"/>
    <x v="196"/>
    <x v="66"/>
    <x v="109"/>
    <x v="0"/>
    <x v="592"/>
    <x v="2"/>
    <x v="592"/>
    <x v="592"/>
    <x v="107"/>
    <x v="12"/>
  </r>
  <r>
    <x v="1563"/>
    <x v="30"/>
    <x v="0"/>
    <x v="45"/>
    <x v="78"/>
    <x v="3"/>
    <x v="1"/>
    <x v="197"/>
    <x v="66"/>
    <x v="109"/>
    <x v="0"/>
    <x v="593"/>
    <x v="2"/>
    <x v="593"/>
    <x v="593"/>
    <x v="107"/>
    <x v="12"/>
  </r>
  <r>
    <x v="1564"/>
    <x v="30"/>
    <x v="0"/>
    <x v="45"/>
    <x v="78"/>
    <x v="3"/>
    <x v="1"/>
    <x v="198"/>
    <x v="66"/>
    <x v="109"/>
    <x v="0"/>
    <x v="434"/>
    <x v="2"/>
    <x v="434"/>
    <x v="434"/>
    <x v="107"/>
    <x v="12"/>
  </r>
  <r>
    <x v="1565"/>
    <x v="30"/>
    <x v="0"/>
    <x v="45"/>
    <x v="78"/>
    <x v="3"/>
    <x v="1"/>
    <x v="199"/>
    <x v="70"/>
    <x v="119"/>
    <x v="0"/>
    <x v="594"/>
    <x v="2"/>
    <x v="594"/>
    <x v="594"/>
    <x v="117"/>
    <x v="12"/>
  </r>
  <r>
    <x v="1566"/>
    <x v="30"/>
    <x v="0"/>
    <x v="45"/>
    <x v="78"/>
    <x v="3"/>
    <x v="1"/>
    <x v="200"/>
    <x v="70"/>
    <x v="119"/>
    <x v="0"/>
    <x v="492"/>
    <x v="2"/>
    <x v="492"/>
    <x v="492"/>
    <x v="117"/>
    <x v="12"/>
  </r>
  <r>
    <x v="1567"/>
    <x v="30"/>
    <x v="0"/>
    <x v="45"/>
    <x v="78"/>
    <x v="3"/>
    <x v="1"/>
    <x v="201"/>
    <x v="49"/>
    <x v="88"/>
    <x v="0"/>
    <x v="595"/>
    <x v="2"/>
    <x v="595"/>
    <x v="595"/>
    <x v="87"/>
    <x v="0"/>
  </r>
  <r>
    <x v="1568"/>
    <x v="30"/>
    <x v="0"/>
    <x v="45"/>
    <x v="78"/>
    <x v="3"/>
    <x v="1"/>
    <x v="202"/>
    <x v="49"/>
    <x v="88"/>
    <x v="0"/>
    <x v="596"/>
    <x v="2"/>
    <x v="596"/>
    <x v="596"/>
    <x v="87"/>
    <x v="0"/>
  </r>
  <r>
    <x v="1569"/>
    <x v="30"/>
    <x v="0"/>
    <x v="45"/>
    <x v="78"/>
    <x v="3"/>
    <x v="1"/>
    <x v="203"/>
    <x v="48"/>
    <x v="87"/>
    <x v="0"/>
    <x v="597"/>
    <x v="2"/>
    <x v="597"/>
    <x v="597"/>
    <x v="86"/>
    <x v="0"/>
  </r>
  <r>
    <x v="1570"/>
    <x v="30"/>
    <x v="0"/>
    <x v="45"/>
    <x v="78"/>
    <x v="3"/>
    <x v="1"/>
    <x v="199"/>
    <x v="48"/>
    <x v="87"/>
    <x v="0"/>
    <x v="598"/>
    <x v="2"/>
    <x v="598"/>
    <x v="598"/>
    <x v="86"/>
    <x v="0"/>
  </r>
  <r>
    <x v="1571"/>
    <x v="30"/>
    <x v="0"/>
    <x v="45"/>
    <x v="78"/>
    <x v="3"/>
    <x v="1"/>
    <x v="200"/>
    <x v="48"/>
    <x v="87"/>
    <x v="0"/>
    <x v="599"/>
    <x v="2"/>
    <x v="599"/>
    <x v="599"/>
    <x v="86"/>
    <x v="0"/>
  </r>
  <r>
    <x v="1572"/>
    <x v="30"/>
    <x v="0"/>
    <x v="45"/>
    <x v="78"/>
    <x v="3"/>
    <x v="1"/>
    <x v="204"/>
    <x v="64"/>
    <x v="107"/>
    <x v="0"/>
    <x v="600"/>
    <x v="2"/>
    <x v="600"/>
    <x v="600"/>
    <x v="105"/>
    <x v="6"/>
  </r>
  <r>
    <x v="1573"/>
    <x v="30"/>
    <x v="0"/>
    <x v="45"/>
    <x v="78"/>
    <x v="3"/>
    <x v="1"/>
    <x v="205"/>
    <x v="64"/>
    <x v="107"/>
    <x v="0"/>
    <x v="379"/>
    <x v="2"/>
    <x v="379"/>
    <x v="379"/>
    <x v="105"/>
    <x v="6"/>
  </r>
  <r>
    <x v="1574"/>
    <x v="30"/>
    <x v="0"/>
    <x v="45"/>
    <x v="78"/>
    <x v="3"/>
    <x v="1"/>
    <x v="206"/>
    <x v="64"/>
    <x v="107"/>
    <x v="0"/>
    <x v="378"/>
    <x v="2"/>
    <x v="378"/>
    <x v="378"/>
    <x v="105"/>
    <x v="6"/>
  </r>
  <r>
    <x v="1575"/>
    <x v="10"/>
    <x v="0"/>
    <x v="45"/>
    <x v="78"/>
    <x v="3"/>
    <x v="1"/>
    <x v="207"/>
    <x v="68"/>
    <x v="112"/>
    <x v="0"/>
    <x v="601"/>
    <x v="2"/>
    <x v="601"/>
    <x v="601"/>
    <x v="110"/>
    <x v="12"/>
  </r>
  <r>
    <x v="1576"/>
    <x v="10"/>
    <x v="0"/>
    <x v="45"/>
    <x v="78"/>
    <x v="3"/>
    <x v="1"/>
    <x v="205"/>
    <x v="67"/>
    <x v="110"/>
    <x v="0"/>
    <x v="602"/>
    <x v="2"/>
    <x v="602"/>
    <x v="602"/>
    <x v="108"/>
    <x v="12"/>
  </r>
  <r>
    <x v="1577"/>
    <x v="10"/>
    <x v="0"/>
    <x v="45"/>
    <x v="78"/>
    <x v="3"/>
    <x v="1"/>
    <x v="208"/>
    <x v="67"/>
    <x v="110"/>
    <x v="0"/>
    <x v="479"/>
    <x v="2"/>
    <x v="479"/>
    <x v="479"/>
    <x v="108"/>
    <x v="12"/>
  </r>
  <r>
    <x v="1578"/>
    <x v="10"/>
    <x v="0"/>
    <x v="45"/>
    <x v="78"/>
    <x v="3"/>
    <x v="1"/>
    <x v="209"/>
    <x v="66"/>
    <x v="109"/>
    <x v="0"/>
    <x v="603"/>
    <x v="2"/>
    <x v="603"/>
    <x v="603"/>
    <x v="107"/>
    <x v="12"/>
  </r>
  <r>
    <x v="1579"/>
    <x v="11"/>
    <x v="0"/>
    <x v="45"/>
    <x v="78"/>
    <x v="3"/>
    <x v="1"/>
    <x v="210"/>
    <x v="75"/>
    <x v="118"/>
    <x v="0"/>
    <x v="604"/>
    <x v="2"/>
    <x v="604"/>
    <x v="604"/>
    <x v="116"/>
    <x v="0"/>
  </r>
  <r>
    <x v="1580"/>
    <x v="11"/>
    <x v="0"/>
    <x v="45"/>
    <x v="78"/>
    <x v="3"/>
    <x v="1"/>
    <x v="211"/>
    <x v="66"/>
    <x v="109"/>
    <x v="0"/>
    <x v="476"/>
    <x v="2"/>
    <x v="476"/>
    <x v="476"/>
    <x v="107"/>
    <x v="12"/>
  </r>
  <r>
    <x v="1581"/>
    <x v="11"/>
    <x v="0"/>
    <x v="45"/>
    <x v="78"/>
    <x v="3"/>
    <x v="1"/>
    <x v="212"/>
    <x v="66"/>
    <x v="109"/>
    <x v="0"/>
    <x v="543"/>
    <x v="2"/>
    <x v="543"/>
    <x v="543"/>
    <x v="107"/>
    <x v="12"/>
  </r>
  <r>
    <x v="1582"/>
    <x v="11"/>
    <x v="0"/>
    <x v="45"/>
    <x v="78"/>
    <x v="3"/>
    <x v="1"/>
    <x v="213"/>
    <x v="66"/>
    <x v="109"/>
    <x v="0"/>
    <x v="605"/>
    <x v="2"/>
    <x v="605"/>
    <x v="605"/>
    <x v="107"/>
    <x v="12"/>
  </r>
  <r>
    <x v="1583"/>
    <x v="11"/>
    <x v="0"/>
    <x v="45"/>
    <x v="78"/>
    <x v="3"/>
    <x v="1"/>
    <x v="198"/>
    <x v="66"/>
    <x v="109"/>
    <x v="0"/>
    <x v="606"/>
    <x v="2"/>
    <x v="606"/>
    <x v="606"/>
    <x v="107"/>
    <x v="12"/>
  </r>
  <r>
    <x v="1584"/>
    <x v="11"/>
    <x v="0"/>
    <x v="45"/>
    <x v="78"/>
    <x v="3"/>
    <x v="1"/>
    <x v="214"/>
    <x v="69"/>
    <x v="114"/>
    <x v="0"/>
    <x v="469"/>
    <x v="2"/>
    <x v="469"/>
    <x v="469"/>
    <x v="112"/>
    <x v="12"/>
  </r>
  <r>
    <x v="1585"/>
    <x v="11"/>
    <x v="0"/>
    <x v="45"/>
    <x v="78"/>
    <x v="3"/>
    <x v="1"/>
    <x v="215"/>
    <x v="69"/>
    <x v="114"/>
    <x v="0"/>
    <x v="378"/>
    <x v="2"/>
    <x v="378"/>
    <x v="378"/>
    <x v="112"/>
    <x v="12"/>
  </r>
  <r>
    <x v="1586"/>
    <x v="11"/>
    <x v="0"/>
    <x v="45"/>
    <x v="78"/>
    <x v="3"/>
    <x v="1"/>
    <x v="216"/>
    <x v="69"/>
    <x v="114"/>
    <x v="0"/>
    <x v="607"/>
    <x v="2"/>
    <x v="607"/>
    <x v="607"/>
    <x v="112"/>
    <x v="12"/>
  </r>
  <r>
    <x v="1587"/>
    <x v="11"/>
    <x v="0"/>
    <x v="45"/>
    <x v="78"/>
    <x v="3"/>
    <x v="1"/>
    <x v="217"/>
    <x v="67"/>
    <x v="110"/>
    <x v="0"/>
    <x v="608"/>
    <x v="2"/>
    <x v="608"/>
    <x v="608"/>
    <x v="108"/>
    <x v="12"/>
  </r>
  <r>
    <x v="1588"/>
    <x v="11"/>
    <x v="0"/>
    <x v="45"/>
    <x v="78"/>
    <x v="3"/>
    <x v="1"/>
    <x v="218"/>
    <x v="67"/>
    <x v="110"/>
    <x v="0"/>
    <x v="378"/>
    <x v="2"/>
    <x v="378"/>
    <x v="378"/>
    <x v="108"/>
    <x v="12"/>
  </r>
  <r>
    <x v="1589"/>
    <x v="11"/>
    <x v="0"/>
    <x v="45"/>
    <x v="78"/>
    <x v="3"/>
    <x v="1"/>
    <x v="206"/>
    <x v="67"/>
    <x v="110"/>
    <x v="0"/>
    <x v="609"/>
    <x v="2"/>
    <x v="609"/>
    <x v="609"/>
    <x v="108"/>
    <x v="12"/>
  </r>
  <r>
    <x v="1590"/>
    <x v="11"/>
    <x v="0"/>
    <x v="45"/>
    <x v="78"/>
    <x v="3"/>
    <x v="1"/>
    <x v="219"/>
    <x v="67"/>
    <x v="110"/>
    <x v="0"/>
    <x v="610"/>
    <x v="2"/>
    <x v="610"/>
    <x v="610"/>
    <x v="108"/>
    <x v="12"/>
  </r>
  <r>
    <x v="1591"/>
    <x v="11"/>
    <x v="0"/>
    <x v="45"/>
    <x v="78"/>
    <x v="3"/>
    <x v="1"/>
    <x v="189"/>
    <x v="42"/>
    <x v="96"/>
    <x v="0"/>
    <x v="611"/>
    <x v="2"/>
    <x v="611"/>
    <x v="611"/>
    <x v="94"/>
    <x v="4"/>
  </r>
  <r>
    <x v="939"/>
    <x v="11"/>
    <x v="0"/>
    <x v="45"/>
    <x v="78"/>
    <x v="3"/>
    <x v="1"/>
    <x v="189"/>
    <x v="42"/>
    <x v="96"/>
    <x v="0"/>
    <x v="611"/>
    <x v="2"/>
    <x v="611"/>
    <x v="611"/>
    <x v="94"/>
    <x v="4"/>
  </r>
  <r>
    <x v="939"/>
    <x v="11"/>
    <x v="0"/>
    <x v="45"/>
    <x v="78"/>
    <x v="3"/>
    <x v="1"/>
    <x v="189"/>
    <x v="9"/>
    <x v="16"/>
    <x v="0"/>
    <x v="611"/>
    <x v="14"/>
    <x v="611"/>
    <x v="611"/>
    <x v="16"/>
    <x v="4"/>
  </r>
  <r>
    <x v="1592"/>
    <x v="11"/>
    <x v="0"/>
    <x v="45"/>
    <x v="78"/>
    <x v="3"/>
    <x v="1"/>
    <x v="189"/>
    <x v="9"/>
    <x v="17"/>
    <x v="0"/>
    <x v="611"/>
    <x v="2"/>
    <x v="611"/>
    <x v="611"/>
    <x v="17"/>
    <x v="4"/>
  </r>
  <r>
    <x v="1593"/>
    <x v="34"/>
    <x v="0"/>
    <x v="45"/>
    <x v="78"/>
    <x v="3"/>
    <x v="1"/>
    <x v="220"/>
    <x v="75"/>
    <x v="118"/>
    <x v="0"/>
    <x v="612"/>
    <x v="2"/>
    <x v="612"/>
    <x v="612"/>
    <x v="116"/>
    <x v="0"/>
  </r>
  <r>
    <x v="1594"/>
    <x v="34"/>
    <x v="0"/>
    <x v="45"/>
    <x v="78"/>
    <x v="3"/>
    <x v="1"/>
    <x v="216"/>
    <x v="75"/>
    <x v="118"/>
    <x v="0"/>
    <x v="613"/>
    <x v="2"/>
    <x v="613"/>
    <x v="613"/>
    <x v="116"/>
    <x v="0"/>
  </r>
  <r>
    <x v="1595"/>
    <x v="31"/>
    <x v="0"/>
    <x v="45"/>
    <x v="78"/>
    <x v="3"/>
    <x v="1"/>
    <x v="190"/>
    <x v="72"/>
    <x v="116"/>
    <x v="0"/>
    <x v="614"/>
    <x v="2"/>
    <x v="614"/>
    <x v="614"/>
    <x v="114"/>
    <x v="0"/>
  </r>
  <r>
    <x v="1596"/>
    <x v="22"/>
    <x v="0"/>
    <x v="46"/>
    <x v="79"/>
    <x v="3"/>
    <x v="87"/>
    <x v="221"/>
    <x v="79"/>
    <x v="122"/>
    <x v="0"/>
    <x v="615"/>
    <x v="2"/>
    <x v="615"/>
    <x v="615"/>
    <x v="118"/>
    <x v="1"/>
  </r>
  <r>
    <x v="1597"/>
    <x v="22"/>
    <x v="0"/>
    <x v="46"/>
    <x v="79"/>
    <x v="3"/>
    <x v="87"/>
    <x v="222"/>
    <x v="79"/>
    <x v="122"/>
    <x v="0"/>
    <x v="616"/>
    <x v="2"/>
    <x v="616"/>
    <x v="616"/>
    <x v="118"/>
    <x v="1"/>
  </r>
  <r>
    <x v="1598"/>
    <x v="22"/>
    <x v="0"/>
    <x v="46"/>
    <x v="79"/>
    <x v="3"/>
    <x v="87"/>
    <x v="223"/>
    <x v="79"/>
    <x v="122"/>
    <x v="0"/>
    <x v="617"/>
    <x v="2"/>
    <x v="617"/>
    <x v="617"/>
    <x v="118"/>
    <x v="1"/>
  </r>
  <r>
    <x v="1599"/>
    <x v="22"/>
    <x v="0"/>
    <x v="46"/>
    <x v="79"/>
    <x v="3"/>
    <x v="87"/>
    <x v="224"/>
    <x v="78"/>
    <x v="119"/>
    <x v="0"/>
    <x v="618"/>
    <x v="2"/>
    <x v="618"/>
    <x v="618"/>
    <x v="117"/>
    <x v="13"/>
  </r>
  <r>
    <x v="1600"/>
    <x v="22"/>
    <x v="0"/>
    <x v="46"/>
    <x v="79"/>
    <x v="3"/>
    <x v="87"/>
    <x v="225"/>
    <x v="78"/>
    <x v="119"/>
    <x v="0"/>
    <x v="619"/>
    <x v="2"/>
    <x v="619"/>
    <x v="619"/>
    <x v="117"/>
    <x v="13"/>
  </r>
  <r>
    <x v="1601"/>
    <x v="22"/>
    <x v="0"/>
    <x v="46"/>
    <x v="79"/>
    <x v="3"/>
    <x v="87"/>
    <x v="226"/>
    <x v="78"/>
    <x v="119"/>
    <x v="0"/>
    <x v="620"/>
    <x v="2"/>
    <x v="620"/>
    <x v="620"/>
    <x v="117"/>
    <x v="13"/>
  </r>
  <r>
    <x v="1602"/>
    <x v="22"/>
    <x v="0"/>
    <x v="46"/>
    <x v="79"/>
    <x v="3"/>
    <x v="87"/>
    <x v="227"/>
    <x v="78"/>
    <x v="119"/>
    <x v="0"/>
    <x v="621"/>
    <x v="2"/>
    <x v="621"/>
    <x v="621"/>
    <x v="117"/>
    <x v="13"/>
  </r>
  <r>
    <x v="1603"/>
    <x v="22"/>
    <x v="0"/>
    <x v="46"/>
    <x v="79"/>
    <x v="3"/>
    <x v="87"/>
    <x v="228"/>
    <x v="1"/>
    <x v="2"/>
    <x v="0"/>
    <x v="622"/>
    <x v="2"/>
    <x v="622"/>
    <x v="622"/>
    <x v="2"/>
    <x v="1"/>
  </r>
  <r>
    <x v="1604"/>
    <x v="22"/>
    <x v="0"/>
    <x v="46"/>
    <x v="79"/>
    <x v="3"/>
    <x v="87"/>
    <x v="229"/>
    <x v="1"/>
    <x v="2"/>
    <x v="0"/>
    <x v="623"/>
    <x v="2"/>
    <x v="623"/>
    <x v="623"/>
    <x v="2"/>
    <x v="1"/>
  </r>
  <r>
    <x v="1605"/>
    <x v="22"/>
    <x v="0"/>
    <x v="46"/>
    <x v="79"/>
    <x v="3"/>
    <x v="87"/>
    <x v="230"/>
    <x v="1"/>
    <x v="2"/>
    <x v="0"/>
    <x v="624"/>
    <x v="2"/>
    <x v="624"/>
    <x v="624"/>
    <x v="2"/>
    <x v="1"/>
  </r>
  <r>
    <x v="1606"/>
    <x v="22"/>
    <x v="0"/>
    <x v="46"/>
    <x v="79"/>
    <x v="3"/>
    <x v="87"/>
    <x v="231"/>
    <x v="1"/>
    <x v="2"/>
    <x v="0"/>
    <x v="625"/>
    <x v="2"/>
    <x v="625"/>
    <x v="625"/>
    <x v="2"/>
    <x v="1"/>
  </r>
  <r>
    <x v="1607"/>
    <x v="22"/>
    <x v="0"/>
    <x v="46"/>
    <x v="79"/>
    <x v="3"/>
    <x v="87"/>
    <x v="232"/>
    <x v="71"/>
    <x v="115"/>
    <x v="0"/>
    <x v="626"/>
    <x v="2"/>
    <x v="626"/>
    <x v="626"/>
    <x v="113"/>
    <x v="1"/>
  </r>
  <r>
    <x v="1608"/>
    <x v="22"/>
    <x v="0"/>
    <x v="46"/>
    <x v="79"/>
    <x v="3"/>
    <x v="87"/>
    <x v="233"/>
    <x v="71"/>
    <x v="115"/>
    <x v="0"/>
    <x v="618"/>
    <x v="2"/>
    <x v="618"/>
    <x v="618"/>
    <x v="113"/>
    <x v="1"/>
  </r>
  <r>
    <x v="1609"/>
    <x v="22"/>
    <x v="0"/>
    <x v="46"/>
    <x v="79"/>
    <x v="3"/>
    <x v="87"/>
    <x v="234"/>
    <x v="71"/>
    <x v="115"/>
    <x v="0"/>
    <x v="627"/>
    <x v="2"/>
    <x v="627"/>
    <x v="627"/>
    <x v="113"/>
    <x v="1"/>
  </r>
  <r>
    <x v="1610"/>
    <x v="22"/>
    <x v="0"/>
    <x v="46"/>
    <x v="79"/>
    <x v="3"/>
    <x v="87"/>
    <x v="235"/>
    <x v="71"/>
    <x v="115"/>
    <x v="0"/>
    <x v="628"/>
    <x v="2"/>
    <x v="628"/>
    <x v="628"/>
    <x v="113"/>
    <x v="1"/>
  </r>
  <r>
    <x v="1611"/>
    <x v="22"/>
    <x v="0"/>
    <x v="46"/>
    <x v="79"/>
    <x v="3"/>
    <x v="87"/>
    <x v="236"/>
    <x v="64"/>
    <x v="107"/>
    <x v="0"/>
    <x v="629"/>
    <x v="2"/>
    <x v="629"/>
    <x v="629"/>
    <x v="105"/>
    <x v="6"/>
  </r>
  <r>
    <x v="1612"/>
    <x v="22"/>
    <x v="0"/>
    <x v="46"/>
    <x v="79"/>
    <x v="3"/>
    <x v="87"/>
    <x v="237"/>
    <x v="64"/>
    <x v="107"/>
    <x v="0"/>
    <x v="630"/>
    <x v="2"/>
    <x v="630"/>
    <x v="630"/>
    <x v="105"/>
    <x v="6"/>
  </r>
  <r>
    <x v="1613"/>
    <x v="22"/>
    <x v="0"/>
    <x v="46"/>
    <x v="79"/>
    <x v="3"/>
    <x v="87"/>
    <x v="238"/>
    <x v="64"/>
    <x v="107"/>
    <x v="0"/>
    <x v="631"/>
    <x v="2"/>
    <x v="631"/>
    <x v="631"/>
    <x v="105"/>
    <x v="6"/>
  </r>
  <r>
    <x v="1614"/>
    <x v="22"/>
    <x v="0"/>
    <x v="46"/>
    <x v="79"/>
    <x v="3"/>
    <x v="87"/>
    <x v="238"/>
    <x v="64"/>
    <x v="107"/>
    <x v="0"/>
    <x v="632"/>
    <x v="2"/>
    <x v="632"/>
    <x v="632"/>
    <x v="105"/>
    <x v="6"/>
  </r>
  <r>
    <x v="1615"/>
    <x v="22"/>
    <x v="0"/>
    <x v="46"/>
    <x v="79"/>
    <x v="3"/>
    <x v="87"/>
    <x v="239"/>
    <x v="64"/>
    <x v="107"/>
    <x v="0"/>
    <x v="619"/>
    <x v="2"/>
    <x v="619"/>
    <x v="619"/>
    <x v="105"/>
    <x v="6"/>
  </r>
  <r>
    <x v="1616"/>
    <x v="22"/>
    <x v="0"/>
    <x v="46"/>
    <x v="79"/>
    <x v="3"/>
    <x v="87"/>
    <x v="239"/>
    <x v="64"/>
    <x v="107"/>
    <x v="0"/>
    <x v="633"/>
    <x v="2"/>
    <x v="633"/>
    <x v="633"/>
    <x v="105"/>
    <x v="6"/>
  </r>
  <r>
    <x v="1617"/>
    <x v="22"/>
    <x v="0"/>
    <x v="46"/>
    <x v="79"/>
    <x v="3"/>
    <x v="87"/>
    <x v="240"/>
    <x v="79"/>
    <x v="122"/>
    <x v="0"/>
    <x v="634"/>
    <x v="2"/>
    <x v="634"/>
    <x v="634"/>
    <x v="118"/>
    <x v="1"/>
  </r>
  <r>
    <x v="1618"/>
    <x v="22"/>
    <x v="0"/>
    <x v="46"/>
    <x v="79"/>
    <x v="3"/>
    <x v="87"/>
    <x v="241"/>
    <x v="79"/>
    <x v="122"/>
    <x v="0"/>
    <x v="635"/>
    <x v="2"/>
    <x v="635"/>
    <x v="635"/>
    <x v="118"/>
    <x v="1"/>
  </r>
  <r>
    <x v="1619"/>
    <x v="22"/>
    <x v="0"/>
    <x v="46"/>
    <x v="79"/>
    <x v="3"/>
    <x v="87"/>
    <x v="242"/>
    <x v="79"/>
    <x v="122"/>
    <x v="0"/>
    <x v="636"/>
    <x v="2"/>
    <x v="636"/>
    <x v="636"/>
    <x v="118"/>
    <x v="1"/>
  </r>
  <r>
    <x v="1620"/>
    <x v="22"/>
    <x v="0"/>
    <x v="46"/>
    <x v="79"/>
    <x v="3"/>
    <x v="87"/>
    <x v="243"/>
    <x v="78"/>
    <x v="119"/>
    <x v="0"/>
    <x v="637"/>
    <x v="2"/>
    <x v="637"/>
    <x v="637"/>
    <x v="117"/>
    <x v="13"/>
  </r>
  <r>
    <x v="1621"/>
    <x v="22"/>
    <x v="0"/>
    <x v="46"/>
    <x v="79"/>
    <x v="3"/>
    <x v="87"/>
    <x v="244"/>
    <x v="78"/>
    <x v="119"/>
    <x v="0"/>
    <x v="617"/>
    <x v="2"/>
    <x v="617"/>
    <x v="617"/>
    <x v="117"/>
    <x v="13"/>
  </r>
  <r>
    <x v="1622"/>
    <x v="22"/>
    <x v="0"/>
    <x v="46"/>
    <x v="79"/>
    <x v="3"/>
    <x v="87"/>
    <x v="245"/>
    <x v="78"/>
    <x v="119"/>
    <x v="0"/>
    <x v="638"/>
    <x v="2"/>
    <x v="638"/>
    <x v="638"/>
    <x v="117"/>
    <x v="13"/>
  </r>
  <r>
    <x v="1623"/>
    <x v="22"/>
    <x v="0"/>
    <x v="46"/>
    <x v="79"/>
    <x v="3"/>
    <x v="87"/>
    <x v="246"/>
    <x v="71"/>
    <x v="115"/>
    <x v="0"/>
    <x v="639"/>
    <x v="2"/>
    <x v="639"/>
    <x v="639"/>
    <x v="113"/>
    <x v="1"/>
  </r>
  <r>
    <x v="1624"/>
    <x v="22"/>
    <x v="0"/>
    <x v="46"/>
    <x v="79"/>
    <x v="3"/>
    <x v="87"/>
    <x v="239"/>
    <x v="71"/>
    <x v="115"/>
    <x v="0"/>
    <x v="640"/>
    <x v="2"/>
    <x v="640"/>
    <x v="640"/>
    <x v="113"/>
    <x v="1"/>
  </r>
  <r>
    <x v="1625"/>
    <x v="22"/>
    <x v="0"/>
    <x v="46"/>
    <x v="79"/>
    <x v="3"/>
    <x v="87"/>
    <x v="247"/>
    <x v="64"/>
    <x v="107"/>
    <x v="0"/>
    <x v="617"/>
    <x v="2"/>
    <x v="617"/>
    <x v="617"/>
    <x v="105"/>
    <x v="6"/>
  </r>
  <r>
    <x v="1626"/>
    <x v="22"/>
    <x v="0"/>
    <x v="46"/>
    <x v="79"/>
    <x v="3"/>
    <x v="87"/>
    <x v="248"/>
    <x v="64"/>
    <x v="107"/>
    <x v="0"/>
    <x v="641"/>
    <x v="2"/>
    <x v="641"/>
    <x v="641"/>
    <x v="105"/>
    <x v="6"/>
  </r>
  <r>
    <x v="1627"/>
    <x v="22"/>
    <x v="0"/>
    <x v="46"/>
    <x v="79"/>
    <x v="3"/>
    <x v="87"/>
    <x v="249"/>
    <x v="64"/>
    <x v="107"/>
    <x v="0"/>
    <x v="642"/>
    <x v="2"/>
    <x v="642"/>
    <x v="642"/>
    <x v="105"/>
    <x v="6"/>
  </r>
  <r>
    <x v="1628"/>
    <x v="13"/>
    <x v="0"/>
    <x v="46"/>
    <x v="79"/>
    <x v="3"/>
    <x v="87"/>
    <x v="250"/>
    <x v="1"/>
    <x v="2"/>
    <x v="0"/>
    <x v="643"/>
    <x v="2"/>
    <x v="643"/>
    <x v="643"/>
    <x v="2"/>
    <x v="1"/>
  </r>
  <r>
    <x v="1629"/>
    <x v="13"/>
    <x v="0"/>
    <x v="46"/>
    <x v="79"/>
    <x v="3"/>
    <x v="87"/>
    <x v="227"/>
    <x v="79"/>
    <x v="122"/>
    <x v="0"/>
    <x v="644"/>
    <x v="2"/>
    <x v="644"/>
    <x v="644"/>
    <x v="118"/>
    <x v="1"/>
  </r>
  <r>
    <x v="1630"/>
    <x v="13"/>
    <x v="0"/>
    <x v="46"/>
    <x v="79"/>
    <x v="3"/>
    <x v="87"/>
    <x v="224"/>
    <x v="79"/>
    <x v="122"/>
    <x v="0"/>
    <x v="645"/>
    <x v="2"/>
    <x v="645"/>
    <x v="645"/>
    <x v="118"/>
    <x v="1"/>
  </r>
  <r>
    <x v="1631"/>
    <x v="13"/>
    <x v="0"/>
    <x v="46"/>
    <x v="79"/>
    <x v="3"/>
    <x v="87"/>
    <x v="225"/>
    <x v="79"/>
    <x v="122"/>
    <x v="0"/>
    <x v="646"/>
    <x v="2"/>
    <x v="646"/>
    <x v="646"/>
    <x v="118"/>
    <x v="1"/>
  </r>
  <r>
    <x v="1632"/>
    <x v="13"/>
    <x v="0"/>
    <x v="46"/>
    <x v="79"/>
    <x v="3"/>
    <x v="87"/>
    <x v="226"/>
    <x v="79"/>
    <x v="122"/>
    <x v="0"/>
    <x v="647"/>
    <x v="2"/>
    <x v="647"/>
    <x v="647"/>
    <x v="118"/>
    <x v="1"/>
  </r>
  <r>
    <x v="1633"/>
    <x v="13"/>
    <x v="0"/>
    <x v="46"/>
    <x v="79"/>
    <x v="3"/>
    <x v="87"/>
    <x v="223"/>
    <x v="79"/>
    <x v="122"/>
    <x v="0"/>
    <x v="648"/>
    <x v="2"/>
    <x v="648"/>
    <x v="648"/>
    <x v="118"/>
    <x v="1"/>
  </r>
  <r>
    <x v="1634"/>
    <x v="13"/>
    <x v="0"/>
    <x v="46"/>
    <x v="79"/>
    <x v="3"/>
    <x v="87"/>
    <x v="235"/>
    <x v="78"/>
    <x v="119"/>
    <x v="0"/>
    <x v="649"/>
    <x v="2"/>
    <x v="649"/>
    <x v="649"/>
    <x v="117"/>
    <x v="13"/>
  </r>
  <r>
    <x v="1635"/>
    <x v="13"/>
    <x v="0"/>
    <x v="46"/>
    <x v="79"/>
    <x v="3"/>
    <x v="87"/>
    <x v="232"/>
    <x v="78"/>
    <x v="119"/>
    <x v="0"/>
    <x v="650"/>
    <x v="2"/>
    <x v="650"/>
    <x v="650"/>
    <x v="117"/>
    <x v="13"/>
  </r>
  <r>
    <x v="1636"/>
    <x v="13"/>
    <x v="0"/>
    <x v="46"/>
    <x v="79"/>
    <x v="3"/>
    <x v="87"/>
    <x v="236"/>
    <x v="78"/>
    <x v="119"/>
    <x v="0"/>
    <x v="651"/>
    <x v="2"/>
    <x v="651"/>
    <x v="651"/>
    <x v="117"/>
    <x v="13"/>
  </r>
  <r>
    <x v="1637"/>
    <x v="13"/>
    <x v="0"/>
    <x v="46"/>
    <x v="79"/>
    <x v="3"/>
    <x v="87"/>
    <x v="245"/>
    <x v="40"/>
    <x v="77"/>
    <x v="0"/>
    <x v="652"/>
    <x v="2"/>
    <x v="652"/>
    <x v="652"/>
    <x v="76"/>
    <x v="6"/>
  </r>
  <r>
    <x v="1638"/>
    <x v="13"/>
    <x v="0"/>
    <x v="46"/>
    <x v="79"/>
    <x v="3"/>
    <x v="87"/>
    <x v="228"/>
    <x v="40"/>
    <x v="77"/>
    <x v="0"/>
    <x v="653"/>
    <x v="2"/>
    <x v="653"/>
    <x v="653"/>
    <x v="76"/>
    <x v="6"/>
  </r>
  <r>
    <x v="1639"/>
    <x v="13"/>
    <x v="0"/>
    <x v="46"/>
    <x v="79"/>
    <x v="3"/>
    <x v="87"/>
    <x v="230"/>
    <x v="40"/>
    <x v="77"/>
    <x v="0"/>
    <x v="654"/>
    <x v="2"/>
    <x v="654"/>
    <x v="654"/>
    <x v="76"/>
    <x v="6"/>
  </r>
  <r>
    <x v="1640"/>
    <x v="13"/>
    <x v="0"/>
    <x v="46"/>
    <x v="79"/>
    <x v="3"/>
    <x v="87"/>
    <x v="231"/>
    <x v="40"/>
    <x v="77"/>
    <x v="0"/>
    <x v="655"/>
    <x v="2"/>
    <x v="655"/>
    <x v="655"/>
    <x v="76"/>
    <x v="6"/>
  </r>
  <r>
    <x v="1641"/>
    <x v="13"/>
    <x v="0"/>
    <x v="46"/>
    <x v="79"/>
    <x v="3"/>
    <x v="87"/>
    <x v="222"/>
    <x v="40"/>
    <x v="77"/>
    <x v="0"/>
    <x v="656"/>
    <x v="2"/>
    <x v="656"/>
    <x v="656"/>
    <x v="76"/>
    <x v="6"/>
  </r>
  <r>
    <x v="1642"/>
    <x v="13"/>
    <x v="0"/>
    <x v="46"/>
    <x v="79"/>
    <x v="3"/>
    <x v="87"/>
    <x v="246"/>
    <x v="64"/>
    <x v="107"/>
    <x v="0"/>
    <x v="657"/>
    <x v="2"/>
    <x v="657"/>
    <x v="657"/>
    <x v="105"/>
    <x v="6"/>
  </r>
  <r>
    <x v="1643"/>
    <x v="13"/>
    <x v="0"/>
    <x v="46"/>
    <x v="79"/>
    <x v="3"/>
    <x v="87"/>
    <x v="247"/>
    <x v="64"/>
    <x v="107"/>
    <x v="0"/>
    <x v="656"/>
    <x v="2"/>
    <x v="656"/>
    <x v="656"/>
    <x v="105"/>
    <x v="6"/>
  </r>
  <r>
    <x v="1644"/>
    <x v="13"/>
    <x v="0"/>
    <x v="46"/>
    <x v="79"/>
    <x v="3"/>
    <x v="87"/>
    <x v="248"/>
    <x v="64"/>
    <x v="107"/>
    <x v="0"/>
    <x v="631"/>
    <x v="2"/>
    <x v="631"/>
    <x v="631"/>
    <x v="105"/>
    <x v="6"/>
  </r>
  <r>
    <x v="1645"/>
    <x v="13"/>
    <x v="0"/>
    <x v="46"/>
    <x v="79"/>
    <x v="3"/>
    <x v="87"/>
    <x v="229"/>
    <x v="64"/>
    <x v="107"/>
    <x v="0"/>
    <x v="658"/>
    <x v="2"/>
    <x v="658"/>
    <x v="658"/>
    <x v="105"/>
    <x v="6"/>
  </r>
  <r>
    <x v="1646"/>
    <x v="13"/>
    <x v="0"/>
    <x v="46"/>
    <x v="79"/>
    <x v="3"/>
    <x v="87"/>
    <x v="238"/>
    <x v="64"/>
    <x v="107"/>
    <x v="0"/>
    <x v="632"/>
    <x v="2"/>
    <x v="632"/>
    <x v="632"/>
    <x v="105"/>
    <x v="6"/>
  </r>
  <r>
    <x v="1647"/>
    <x v="13"/>
    <x v="0"/>
    <x v="46"/>
    <x v="79"/>
    <x v="3"/>
    <x v="87"/>
    <x v="242"/>
    <x v="41"/>
    <x v="78"/>
    <x v="0"/>
    <x v="657"/>
    <x v="2"/>
    <x v="657"/>
    <x v="657"/>
    <x v="77"/>
    <x v="7"/>
  </r>
  <r>
    <x v="1648"/>
    <x v="13"/>
    <x v="0"/>
    <x v="46"/>
    <x v="79"/>
    <x v="3"/>
    <x v="87"/>
    <x v="241"/>
    <x v="41"/>
    <x v="78"/>
    <x v="0"/>
    <x v="659"/>
    <x v="2"/>
    <x v="659"/>
    <x v="659"/>
    <x v="77"/>
    <x v="7"/>
  </r>
  <r>
    <x v="1649"/>
    <x v="13"/>
    <x v="0"/>
    <x v="46"/>
    <x v="79"/>
    <x v="3"/>
    <x v="87"/>
    <x v="233"/>
    <x v="41"/>
    <x v="78"/>
    <x v="0"/>
    <x v="652"/>
    <x v="2"/>
    <x v="652"/>
    <x v="652"/>
    <x v="77"/>
    <x v="7"/>
  </r>
  <r>
    <x v="1650"/>
    <x v="13"/>
    <x v="0"/>
    <x v="46"/>
    <x v="79"/>
    <x v="3"/>
    <x v="87"/>
    <x v="243"/>
    <x v="78"/>
    <x v="119"/>
    <x v="0"/>
    <x v="660"/>
    <x v="2"/>
    <x v="660"/>
    <x v="660"/>
    <x v="117"/>
    <x v="13"/>
  </r>
  <r>
    <x v="1651"/>
    <x v="13"/>
    <x v="0"/>
    <x v="46"/>
    <x v="79"/>
    <x v="3"/>
    <x v="87"/>
    <x v="244"/>
    <x v="78"/>
    <x v="119"/>
    <x v="0"/>
    <x v="661"/>
    <x v="2"/>
    <x v="661"/>
    <x v="661"/>
    <x v="117"/>
    <x v="13"/>
  </r>
  <r>
    <x v="1652"/>
    <x v="13"/>
    <x v="0"/>
    <x v="46"/>
    <x v="79"/>
    <x v="3"/>
    <x v="87"/>
    <x v="221"/>
    <x v="78"/>
    <x v="119"/>
    <x v="0"/>
    <x v="662"/>
    <x v="2"/>
    <x v="662"/>
    <x v="662"/>
    <x v="117"/>
    <x v="13"/>
  </r>
  <r>
    <x v="1653"/>
    <x v="13"/>
    <x v="0"/>
    <x v="46"/>
    <x v="79"/>
    <x v="3"/>
    <x v="87"/>
    <x v="240"/>
    <x v="78"/>
    <x v="119"/>
    <x v="0"/>
    <x v="663"/>
    <x v="2"/>
    <x v="663"/>
    <x v="663"/>
    <x v="117"/>
    <x v="13"/>
  </r>
  <r>
    <x v="1654"/>
    <x v="13"/>
    <x v="0"/>
    <x v="46"/>
    <x v="79"/>
    <x v="3"/>
    <x v="87"/>
    <x v="239"/>
    <x v="79"/>
    <x v="122"/>
    <x v="0"/>
    <x v="652"/>
    <x v="2"/>
    <x v="652"/>
    <x v="652"/>
    <x v="118"/>
    <x v="1"/>
  </r>
  <r>
    <x v="1655"/>
    <x v="13"/>
    <x v="0"/>
    <x v="46"/>
    <x v="79"/>
    <x v="3"/>
    <x v="87"/>
    <x v="237"/>
    <x v="79"/>
    <x v="122"/>
    <x v="0"/>
    <x v="662"/>
    <x v="2"/>
    <x v="662"/>
    <x v="662"/>
    <x v="118"/>
    <x v="1"/>
  </r>
  <r>
    <x v="1656"/>
    <x v="13"/>
    <x v="0"/>
    <x v="46"/>
    <x v="79"/>
    <x v="3"/>
    <x v="87"/>
    <x v="234"/>
    <x v="79"/>
    <x v="122"/>
    <x v="0"/>
    <x v="664"/>
    <x v="2"/>
    <x v="664"/>
    <x v="664"/>
    <x v="118"/>
    <x v="1"/>
  </r>
  <r>
    <x v="1657"/>
    <x v="14"/>
    <x v="0"/>
    <x v="46"/>
    <x v="79"/>
    <x v="3"/>
    <x v="87"/>
    <x v="224"/>
    <x v="79"/>
    <x v="122"/>
    <x v="0"/>
    <x v="652"/>
    <x v="2"/>
    <x v="652"/>
    <x v="652"/>
    <x v="118"/>
    <x v="1"/>
  </r>
  <r>
    <x v="1658"/>
    <x v="14"/>
    <x v="0"/>
    <x v="46"/>
    <x v="79"/>
    <x v="3"/>
    <x v="87"/>
    <x v="225"/>
    <x v="79"/>
    <x v="122"/>
    <x v="0"/>
    <x v="652"/>
    <x v="2"/>
    <x v="652"/>
    <x v="652"/>
    <x v="118"/>
    <x v="1"/>
  </r>
  <r>
    <x v="1659"/>
    <x v="14"/>
    <x v="0"/>
    <x v="46"/>
    <x v="79"/>
    <x v="3"/>
    <x v="87"/>
    <x v="226"/>
    <x v="79"/>
    <x v="122"/>
    <x v="0"/>
    <x v="665"/>
    <x v="2"/>
    <x v="665"/>
    <x v="665"/>
    <x v="118"/>
    <x v="1"/>
  </r>
  <r>
    <x v="1660"/>
    <x v="14"/>
    <x v="0"/>
    <x v="46"/>
    <x v="79"/>
    <x v="3"/>
    <x v="87"/>
    <x v="233"/>
    <x v="78"/>
    <x v="119"/>
    <x v="0"/>
    <x v="666"/>
    <x v="2"/>
    <x v="666"/>
    <x v="666"/>
    <x v="117"/>
    <x v="13"/>
  </r>
  <r>
    <x v="1661"/>
    <x v="14"/>
    <x v="0"/>
    <x v="46"/>
    <x v="79"/>
    <x v="3"/>
    <x v="87"/>
    <x v="235"/>
    <x v="78"/>
    <x v="119"/>
    <x v="0"/>
    <x v="667"/>
    <x v="2"/>
    <x v="667"/>
    <x v="667"/>
    <x v="117"/>
    <x v="13"/>
  </r>
  <r>
    <x v="1662"/>
    <x v="14"/>
    <x v="0"/>
    <x v="46"/>
    <x v="79"/>
    <x v="3"/>
    <x v="87"/>
    <x v="240"/>
    <x v="78"/>
    <x v="119"/>
    <x v="0"/>
    <x v="668"/>
    <x v="2"/>
    <x v="668"/>
    <x v="668"/>
    <x v="117"/>
    <x v="13"/>
  </r>
  <r>
    <x v="1663"/>
    <x v="14"/>
    <x v="0"/>
    <x v="46"/>
    <x v="79"/>
    <x v="3"/>
    <x v="87"/>
    <x v="246"/>
    <x v="64"/>
    <x v="107"/>
    <x v="0"/>
    <x v="669"/>
    <x v="2"/>
    <x v="669"/>
    <x v="669"/>
    <x v="105"/>
    <x v="6"/>
  </r>
  <r>
    <x v="1664"/>
    <x v="14"/>
    <x v="0"/>
    <x v="46"/>
    <x v="79"/>
    <x v="3"/>
    <x v="87"/>
    <x v="248"/>
    <x v="64"/>
    <x v="107"/>
    <x v="0"/>
    <x v="670"/>
    <x v="2"/>
    <x v="670"/>
    <x v="670"/>
    <x v="105"/>
    <x v="6"/>
  </r>
  <r>
    <x v="1665"/>
    <x v="14"/>
    <x v="0"/>
    <x v="46"/>
    <x v="79"/>
    <x v="3"/>
    <x v="87"/>
    <x v="229"/>
    <x v="64"/>
    <x v="107"/>
    <x v="0"/>
    <x v="648"/>
    <x v="2"/>
    <x v="648"/>
    <x v="648"/>
    <x v="105"/>
    <x v="6"/>
  </r>
  <r>
    <x v="1666"/>
    <x v="14"/>
    <x v="0"/>
    <x v="46"/>
    <x v="79"/>
    <x v="3"/>
    <x v="87"/>
    <x v="221"/>
    <x v="44"/>
    <x v="82"/>
    <x v="0"/>
    <x v="671"/>
    <x v="2"/>
    <x v="671"/>
    <x v="671"/>
    <x v="81"/>
    <x v="6"/>
  </r>
  <r>
    <x v="1667"/>
    <x v="14"/>
    <x v="0"/>
    <x v="46"/>
    <x v="80"/>
    <x v="3"/>
    <x v="87"/>
    <x v="222"/>
    <x v="44"/>
    <x v="82"/>
    <x v="0"/>
    <x v="672"/>
    <x v="2"/>
    <x v="672"/>
    <x v="672"/>
    <x v="81"/>
    <x v="6"/>
  </r>
  <r>
    <x v="1668"/>
    <x v="14"/>
    <x v="0"/>
    <x v="46"/>
    <x v="79"/>
    <x v="3"/>
    <x v="87"/>
    <x v="223"/>
    <x v="44"/>
    <x v="82"/>
    <x v="0"/>
    <x v="673"/>
    <x v="2"/>
    <x v="673"/>
    <x v="673"/>
    <x v="81"/>
    <x v="6"/>
  </r>
  <r>
    <x v="1669"/>
    <x v="14"/>
    <x v="0"/>
    <x v="46"/>
    <x v="79"/>
    <x v="3"/>
    <x v="87"/>
    <x v="245"/>
    <x v="40"/>
    <x v="77"/>
    <x v="0"/>
    <x v="674"/>
    <x v="2"/>
    <x v="674"/>
    <x v="674"/>
    <x v="76"/>
    <x v="6"/>
  </r>
  <r>
    <x v="1670"/>
    <x v="14"/>
    <x v="0"/>
    <x v="46"/>
    <x v="79"/>
    <x v="3"/>
    <x v="87"/>
    <x v="228"/>
    <x v="40"/>
    <x v="77"/>
    <x v="0"/>
    <x v="651"/>
    <x v="2"/>
    <x v="651"/>
    <x v="651"/>
    <x v="76"/>
    <x v="6"/>
  </r>
  <r>
    <x v="1671"/>
    <x v="14"/>
    <x v="0"/>
    <x v="46"/>
    <x v="79"/>
    <x v="3"/>
    <x v="87"/>
    <x v="236"/>
    <x v="40"/>
    <x v="77"/>
    <x v="0"/>
    <x v="675"/>
    <x v="2"/>
    <x v="675"/>
    <x v="675"/>
    <x v="76"/>
    <x v="6"/>
  </r>
  <r>
    <x v="1672"/>
    <x v="14"/>
    <x v="0"/>
    <x v="46"/>
    <x v="79"/>
    <x v="3"/>
    <x v="87"/>
    <x v="247"/>
    <x v="1"/>
    <x v="2"/>
    <x v="0"/>
    <x v="676"/>
    <x v="2"/>
    <x v="676"/>
    <x v="676"/>
    <x v="2"/>
    <x v="1"/>
  </r>
  <r>
    <x v="1673"/>
    <x v="14"/>
    <x v="0"/>
    <x v="46"/>
    <x v="79"/>
    <x v="3"/>
    <x v="87"/>
    <x v="230"/>
    <x v="1"/>
    <x v="2"/>
    <x v="0"/>
    <x v="677"/>
    <x v="2"/>
    <x v="677"/>
    <x v="677"/>
    <x v="2"/>
    <x v="1"/>
  </r>
  <r>
    <x v="1674"/>
    <x v="14"/>
    <x v="0"/>
    <x v="46"/>
    <x v="79"/>
    <x v="3"/>
    <x v="87"/>
    <x v="231"/>
    <x v="1"/>
    <x v="2"/>
    <x v="0"/>
    <x v="678"/>
    <x v="2"/>
    <x v="678"/>
    <x v="678"/>
    <x v="2"/>
    <x v="1"/>
  </r>
  <r>
    <x v="1675"/>
    <x v="14"/>
    <x v="0"/>
    <x v="46"/>
    <x v="79"/>
    <x v="3"/>
    <x v="87"/>
    <x v="227"/>
    <x v="1"/>
    <x v="2"/>
    <x v="0"/>
    <x v="679"/>
    <x v="2"/>
    <x v="679"/>
    <x v="679"/>
    <x v="2"/>
    <x v="1"/>
  </r>
  <r>
    <x v="1676"/>
    <x v="14"/>
    <x v="0"/>
    <x v="46"/>
    <x v="79"/>
    <x v="3"/>
    <x v="87"/>
    <x v="241"/>
    <x v="74"/>
    <x v="117"/>
    <x v="0"/>
    <x v="680"/>
    <x v="2"/>
    <x v="680"/>
    <x v="680"/>
    <x v="115"/>
    <x v="11"/>
  </r>
  <r>
    <x v="1677"/>
    <x v="14"/>
    <x v="0"/>
    <x v="46"/>
    <x v="79"/>
    <x v="3"/>
    <x v="87"/>
    <x v="242"/>
    <x v="74"/>
    <x v="117"/>
    <x v="0"/>
    <x v="681"/>
    <x v="2"/>
    <x v="681"/>
    <x v="681"/>
    <x v="115"/>
    <x v="11"/>
  </r>
  <r>
    <x v="1678"/>
    <x v="14"/>
    <x v="0"/>
    <x v="46"/>
    <x v="79"/>
    <x v="3"/>
    <x v="87"/>
    <x v="232"/>
    <x v="74"/>
    <x v="117"/>
    <x v="0"/>
    <x v="682"/>
    <x v="2"/>
    <x v="682"/>
    <x v="682"/>
    <x v="115"/>
    <x v="11"/>
  </r>
  <r>
    <x v="1679"/>
    <x v="14"/>
    <x v="0"/>
    <x v="46"/>
    <x v="79"/>
    <x v="3"/>
    <x v="87"/>
    <x v="238"/>
    <x v="79"/>
    <x v="122"/>
    <x v="0"/>
    <x v="683"/>
    <x v="2"/>
    <x v="683"/>
    <x v="683"/>
    <x v="118"/>
    <x v="1"/>
  </r>
  <r>
    <x v="1680"/>
    <x v="14"/>
    <x v="0"/>
    <x v="46"/>
    <x v="79"/>
    <x v="3"/>
    <x v="87"/>
    <x v="239"/>
    <x v="79"/>
    <x v="122"/>
    <x v="0"/>
    <x v="684"/>
    <x v="2"/>
    <x v="684"/>
    <x v="684"/>
    <x v="118"/>
    <x v="1"/>
  </r>
  <r>
    <x v="1681"/>
    <x v="14"/>
    <x v="0"/>
    <x v="46"/>
    <x v="79"/>
    <x v="3"/>
    <x v="87"/>
    <x v="234"/>
    <x v="79"/>
    <x v="122"/>
    <x v="0"/>
    <x v="685"/>
    <x v="2"/>
    <x v="685"/>
    <x v="685"/>
    <x v="118"/>
    <x v="1"/>
  </r>
  <r>
    <x v="1682"/>
    <x v="14"/>
    <x v="0"/>
    <x v="46"/>
    <x v="79"/>
    <x v="3"/>
    <x v="87"/>
    <x v="243"/>
    <x v="78"/>
    <x v="119"/>
    <x v="0"/>
    <x v="631"/>
    <x v="2"/>
    <x v="631"/>
    <x v="631"/>
    <x v="117"/>
    <x v="13"/>
  </r>
  <r>
    <x v="1683"/>
    <x v="14"/>
    <x v="0"/>
    <x v="46"/>
    <x v="79"/>
    <x v="3"/>
    <x v="87"/>
    <x v="244"/>
    <x v="78"/>
    <x v="119"/>
    <x v="0"/>
    <x v="686"/>
    <x v="2"/>
    <x v="686"/>
    <x v="686"/>
    <x v="117"/>
    <x v="13"/>
  </r>
  <r>
    <x v="1684"/>
    <x v="14"/>
    <x v="0"/>
    <x v="46"/>
    <x v="79"/>
    <x v="3"/>
    <x v="87"/>
    <x v="237"/>
    <x v="78"/>
    <x v="119"/>
    <x v="0"/>
    <x v="687"/>
    <x v="2"/>
    <x v="687"/>
    <x v="687"/>
    <x v="117"/>
    <x v="13"/>
  </r>
  <r>
    <x v="1685"/>
    <x v="6"/>
    <x v="0"/>
    <x v="46"/>
    <x v="79"/>
    <x v="3"/>
    <x v="87"/>
    <x v="250"/>
    <x v="79"/>
    <x v="122"/>
    <x v="0"/>
    <x v="688"/>
    <x v="2"/>
    <x v="688"/>
    <x v="688"/>
    <x v="118"/>
    <x v="1"/>
  </r>
  <r>
    <x v="1686"/>
    <x v="6"/>
    <x v="0"/>
    <x v="46"/>
    <x v="79"/>
    <x v="3"/>
    <x v="87"/>
    <x v="251"/>
    <x v="79"/>
    <x v="122"/>
    <x v="0"/>
    <x v="689"/>
    <x v="2"/>
    <x v="689"/>
    <x v="689"/>
    <x v="118"/>
    <x v="1"/>
  </r>
  <r>
    <x v="1687"/>
    <x v="6"/>
    <x v="0"/>
    <x v="46"/>
    <x v="79"/>
    <x v="3"/>
    <x v="87"/>
    <x v="224"/>
    <x v="78"/>
    <x v="119"/>
    <x v="0"/>
    <x v="686"/>
    <x v="2"/>
    <x v="686"/>
    <x v="686"/>
    <x v="117"/>
    <x v="13"/>
  </r>
  <r>
    <x v="1688"/>
    <x v="6"/>
    <x v="0"/>
    <x v="46"/>
    <x v="79"/>
    <x v="3"/>
    <x v="87"/>
    <x v="225"/>
    <x v="78"/>
    <x v="119"/>
    <x v="0"/>
    <x v="672"/>
    <x v="2"/>
    <x v="672"/>
    <x v="672"/>
    <x v="117"/>
    <x v="13"/>
  </r>
  <r>
    <x v="1689"/>
    <x v="6"/>
    <x v="0"/>
    <x v="46"/>
    <x v="79"/>
    <x v="3"/>
    <x v="87"/>
    <x v="226"/>
    <x v="78"/>
    <x v="119"/>
    <x v="0"/>
    <x v="690"/>
    <x v="2"/>
    <x v="690"/>
    <x v="690"/>
    <x v="117"/>
    <x v="13"/>
  </r>
  <r>
    <x v="1690"/>
    <x v="6"/>
    <x v="0"/>
    <x v="46"/>
    <x v="79"/>
    <x v="3"/>
    <x v="87"/>
    <x v="227"/>
    <x v="78"/>
    <x v="119"/>
    <x v="0"/>
    <x v="691"/>
    <x v="2"/>
    <x v="691"/>
    <x v="691"/>
    <x v="117"/>
    <x v="13"/>
  </r>
  <r>
    <x v="1691"/>
    <x v="6"/>
    <x v="0"/>
    <x v="46"/>
    <x v="79"/>
    <x v="3"/>
    <x v="87"/>
    <x v="230"/>
    <x v="1"/>
    <x v="2"/>
    <x v="0"/>
    <x v="692"/>
    <x v="2"/>
    <x v="692"/>
    <x v="692"/>
    <x v="2"/>
    <x v="1"/>
  </r>
  <r>
    <x v="1692"/>
    <x v="6"/>
    <x v="0"/>
    <x v="46"/>
    <x v="79"/>
    <x v="3"/>
    <x v="87"/>
    <x v="231"/>
    <x v="1"/>
    <x v="2"/>
    <x v="0"/>
    <x v="679"/>
    <x v="2"/>
    <x v="679"/>
    <x v="679"/>
    <x v="2"/>
    <x v="1"/>
  </r>
  <r>
    <x v="1693"/>
    <x v="6"/>
    <x v="0"/>
    <x v="46"/>
    <x v="79"/>
    <x v="3"/>
    <x v="87"/>
    <x v="222"/>
    <x v="1"/>
    <x v="2"/>
    <x v="0"/>
    <x v="693"/>
    <x v="2"/>
    <x v="693"/>
    <x v="693"/>
    <x v="2"/>
    <x v="1"/>
  </r>
  <r>
    <x v="1694"/>
    <x v="6"/>
    <x v="0"/>
    <x v="46"/>
    <x v="79"/>
    <x v="3"/>
    <x v="87"/>
    <x v="223"/>
    <x v="1"/>
    <x v="2"/>
    <x v="0"/>
    <x v="675"/>
    <x v="2"/>
    <x v="675"/>
    <x v="675"/>
    <x v="2"/>
    <x v="1"/>
  </r>
  <r>
    <x v="1695"/>
    <x v="6"/>
    <x v="0"/>
    <x v="46"/>
    <x v="79"/>
    <x v="3"/>
    <x v="87"/>
    <x v="245"/>
    <x v="44"/>
    <x v="82"/>
    <x v="0"/>
    <x v="694"/>
    <x v="2"/>
    <x v="694"/>
    <x v="694"/>
    <x v="81"/>
    <x v="6"/>
  </r>
  <r>
    <x v="1696"/>
    <x v="6"/>
    <x v="0"/>
    <x v="46"/>
    <x v="79"/>
    <x v="3"/>
    <x v="87"/>
    <x v="228"/>
    <x v="44"/>
    <x v="82"/>
    <x v="0"/>
    <x v="695"/>
    <x v="2"/>
    <x v="695"/>
    <x v="695"/>
    <x v="81"/>
    <x v="6"/>
  </r>
  <r>
    <x v="1697"/>
    <x v="6"/>
    <x v="0"/>
    <x v="46"/>
    <x v="79"/>
    <x v="3"/>
    <x v="87"/>
    <x v="229"/>
    <x v="44"/>
    <x v="82"/>
    <x v="0"/>
    <x v="696"/>
    <x v="2"/>
    <x v="696"/>
    <x v="696"/>
    <x v="81"/>
    <x v="6"/>
  </r>
  <r>
    <x v="1698"/>
    <x v="6"/>
    <x v="0"/>
    <x v="46"/>
    <x v="79"/>
    <x v="3"/>
    <x v="87"/>
    <x v="246"/>
    <x v="40"/>
    <x v="77"/>
    <x v="0"/>
    <x v="697"/>
    <x v="2"/>
    <x v="697"/>
    <x v="697"/>
    <x v="76"/>
    <x v="6"/>
  </r>
  <r>
    <x v="1699"/>
    <x v="6"/>
    <x v="0"/>
    <x v="46"/>
    <x v="79"/>
    <x v="3"/>
    <x v="87"/>
    <x v="247"/>
    <x v="40"/>
    <x v="77"/>
    <x v="0"/>
    <x v="647"/>
    <x v="2"/>
    <x v="647"/>
    <x v="647"/>
    <x v="76"/>
    <x v="6"/>
  </r>
  <r>
    <x v="1700"/>
    <x v="6"/>
    <x v="0"/>
    <x v="46"/>
    <x v="79"/>
    <x v="3"/>
    <x v="87"/>
    <x v="248"/>
    <x v="40"/>
    <x v="77"/>
    <x v="0"/>
    <x v="698"/>
    <x v="2"/>
    <x v="698"/>
    <x v="698"/>
    <x v="76"/>
    <x v="6"/>
  </r>
  <r>
    <x v="1701"/>
    <x v="6"/>
    <x v="0"/>
    <x v="46"/>
    <x v="79"/>
    <x v="3"/>
    <x v="87"/>
    <x v="242"/>
    <x v="41"/>
    <x v="78"/>
    <x v="0"/>
    <x v="676"/>
    <x v="2"/>
    <x v="676"/>
    <x v="676"/>
    <x v="77"/>
    <x v="7"/>
  </r>
  <r>
    <x v="1702"/>
    <x v="6"/>
    <x v="0"/>
    <x v="46"/>
    <x v="79"/>
    <x v="3"/>
    <x v="87"/>
    <x v="240"/>
    <x v="41"/>
    <x v="78"/>
    <x v="0"/>
    <x v="677"/>
    <x v="2"/>
    <x v="677"/>
    <x v="677"/>
    <x v="77"/>
    <x v="7"/>
  </r>
  <r>
    <x v="1703"/>
    <x v="6"/>
    <x v="0"/>
    <x v="46"/>
    <x v="79"/>
    <x v="3"/>
    <x v="87"/>
    <x v="235"/>
    <x v="41"/>
    <x v="78"/>
    <x v="0"/>
    <x v="669"/>
    <x v="2"/>
    <x v="669"/>
    <x v="669"/>
    <x v="77"/>
    <x v="7"/>
  </r>
  <r>
    <x v="1704"/>
    <x v="6"/>
    <x v="0"/>
    <x v="46"/>
    <x v="79"/>
    <x v="3"/>
    <x v="87"/>
    <x v="243"/>
    <x v="78"/>
    <x v="119"/>
    <x v="0"/>
    <x v="683"/>
    <x v="2"/>
    <x v="683"/>
    <x v="683"/>
    <x v="117"/>
    <x v="13"/>
  </r>
  <r>
    <x v="1705"/>
    <x v="6"/>
    <x v="0"/>
    <x v="46"/>
    <x v="79"/>
    <x v="3"/>
    <x v="87"/>
    <x v="244"/>
    <x v="78"/>
    <x v="119"/>
    <x v="0"/>
    <x v="625"/>
    <x v="2"/>
    <x v="625"/>
    <x v="625"/>
    <x v="117"/>
    <x v="13"/>
  </r>
  <r>
    <x v="1706"/>
    <x v="6"/>
    <x v="0"/>
    <x v="46"/>
    <x v="79"/>
    <x v="3"/>
    <x v="87"/>
    <x v="221"/>
    <x v="78"/>
    <x v="119"/>
    <x v="0"/>
    <x v="699"/>
    <x v="2"/>
    <x v="699"/>
    <x v="699"/>
    <x v="117"/>
    <x v="13"/>
  </r>
  <r>
    <x v="1707"/>
    <x v="6"/>
    <x v="0"/>
    <x v="46"/>
    <x v="79"/>
    <x v="3"/>
    <x v="87"/>
    <x v="237"/>
    <x v="78"/>
    <x v="119"/>
    <x v="0"/>
    <x v="692"/>
    <x v="2"/>
    <x v="692"/>
    <x v="692"/>
    <x v="117"/>
    <x v="13"/>
  </r>
  <r>
    <x v="1708"/>
    <x v="6"/>
    <x v="0"/>
    <x v="46"/>
    <x v="79"/>
    <x v="3"/>
    <x v="87"/>
    <x v="238"/>
    <x v="79"/>
    <x v="122"/>
    <x v="0"/>
    <x v="700"/>
    <x v="2"/>
    <x v="700"/>
    <x v="700"/>
    <x v="118"/>
    <x v="1"/>
  </r>
  <r>
    <x v="1709"/>
    <x v="6"/>
    <x v="0"/>
    <x v="46"/>
    <x v="79"/>
    <x v="3"/>
    <x v="87"/>
    <x v="236"/>
    <x v="79"/>
    <x v="122"/>
    <x v="0"/>
    <x v="662"/>
    <x v="2"/>
    <x v="662"/>
    <x v="662"/>
    <x v="118"/>
    <x v="1"/>
  </r>
  <r>
    <x v="1710"/>
    <x v="6"/>
    <x v="0"/>
    <x v="46"/>
    <x v="79"/>
    <x v="3"/>
    <x v="87"/>
    <x v="239"/>
    <x v="79"/>
    <x v="122"/>
    <x v="0"/>
    <x v="661"/>
    <x v="2"/>
    <x v="661"/>
    <x v="661"/>
    <x v="118"/>
    <x v="1"/>
  </r>
  <r>
    <x v="1711"/>
    <x v="6"/>
    <x v="0"/>
    <x v="46"/>
    <x v="79"/>
    <x v="3"/>
    <x v="87"/>
    <x v="234"/>
    <x v="79"/>
    <x v="122"/>
    <x v="0"/>
    <x v="622"/>
    <x v="2"/>
    <x v="622"/>
    <x v="622"/>
    <x v="118"/>
    <x v="1"/>
  </r>
  <r>
    <x v="1712"/>
    <x v="6"/>
    <x v="0"/>
    <x v="46"/>
    <x v="79"/>
    <x v="3"/>
    <x v="87"/>
    <x v="233"/>
    <x v="1"/>
    <x v="2"/>
    <x v="0"/>
    <x v="701"/>
    <x v="2"/>
    <x v="701"/>
    <x v="701"/>
    <x v="2"/>
    <x v="1"/>
  </r>
  <r>
    <x v="1713"/>
    <x v="6"/>
    <x v="0"/>
    <x v="46"/>
    <x v="79"/>
    <x v="3"/>
    <x v="87"/>
    <x v="241"/>
    <x v="1"/>
    <x v="2"/>
    <x v="0"/>
    <x v="702"/>
    <x v="2"/>
    <x v="702"/>
    <x v="702"/>
    <x v="2"/>
    <x v="1"/>
  </r>
  <r>
    <x v="1714"/>
    <x v="6"/>
    <x v="0"/>
    <x v="46"/>
    <x v="79"/>
    <x v="3"/>
    <x v="87"/>
    <x v="232"/>
    <x v="1"/>
    <x v="2"/>
    <x v="0"/>
    <x v="648"/>
    <x v="2"/>
    <x v="648"/>
    <x v="648"/>
    <x v="2"/>
    <x v="1"/>
  </r>
  <r>
    <x v="1715"/>
    <x v="15"/>
    <x v="0"/>
    <x v="46"/>
    <x v="79"/>
    <x v="3"/>
    <x v="87"/>
    <x v="224"/>
    <x v="40"/>
    <x v="77"/>
    <x v="0"/>
    <x v="703"/>
    <x v="2"/>
    <x v="703"/>
    <x v="703"/>
    <x v="76"/>
    <x v="6"/>
  </r>
  <r>
    <x v="1716"/>
    <x v="15"/>
    <x v="0"/>
    <x v="46"/>
    <x v="79"/>
    <x v="3"/>
    <x v="87"/>
    <x v="225"/>
    <x v="40"/>
    <x v="77"/>
    <x v="0"/>
    <x v="676"/>
    <x v="2"/>
    <x v="676"/>
    <x v="676"/>
    <x v="76"/>
    <x v="6"/>
  </r>
  <r>
    <x v="1717"/>
    <x v="15"/>
    <x v="0"/>
    <x v="46"/>
    <x v="79"/>
    <x v="3"/>
    <x v="87"/>
    <x v="226"/>
    <x v="40"/>
    <x v="77"/>
    <x v="0"/>
    <x v="693"/>
    <x v="2"/>
    <x v="693"/>
    <x v="693"/>
    <x v="76"/>
    <x v="6"/>
  </r>
  <r>
    <x v="1718"/>
    <x v="15"/>
    <x v="0"/>
    <x v="46"/>
    <x v="79"/>
    <x v="3"/>
    <x v="87"/>
    <x v="227"/>
    <x v="40"/>
    <x v="77"/>
    <x v="0"/>
    <x v="704"/>
    <x v="2"/>
    <x v="704"/>
    <x v="704"/>
    <x v="76"/>
    <x v="6"/>
  </r>
  <r>
    <x v="1719"/>
    <x v="15"/>
    <x v="0"/>
    <x v="46"/>
    <x v="79"/>
    <x v="3"/>
    <x v="87"/>
    <x v="230"/>
    <x v="1"/>
    <x v="2"/>
    <x v="0"/>
    <x v="705"/>
    <x v="2"/>
    <x v="705"/>
    <x v="705"/>
    <x v="2"/>
    <x v="1"/>
  </r>
  <r>
    <x v="1720"/>
    <x v="15"/>
    <x v="0"/>
    <x v="46"/>
    <x v="79"/>
    <x v="3"/>
    <x v="87"/>
    <x v="231"/>
    <x v="1"/>
    <x v="2"/>
    <x v="0"/>
    <x v="653"/>
    <x v="2"/>
    <x v="653"/>
    <x v="653"/>
    <x v="2"/>
    <x v="1"/>
  </r>
  <r>
    <x v="1721"/>
    <x v="15"/>
    <x v="0"/>
    <x v="46"/>
    <x v="79"/>
    <x v="3"/>
    <x v="87"/>
    <x v="222"/>
    <x v="1"/>
    <x v="2"/>
    <x v="0"/>
    <x v="697"/>
    <x v="2"/>
    <x v="697"/>
    <x v="697"/>
    <x v="2"/>
    <x v="1"/>
  </r>
  <r>
    <x v="1722"/>
    <x v="15"/>
    <x v="0"/>
    <x v="46"/>
    <x v="79"/>
    <x v="3"/>
    <x v="87"/>
    <x v="223"/>
    <x v="1"/>
    <x v="2"/>
    <x v="0"/>
    <x v="631"/>
    <x v="2"/>
    <x v="631"/>
    <x v="631"/>
    <x v="2"/>
    <x v="1"/>
  </r>
  <r>
    <x v="1723"/>
    <x v="15"/>
    <x v="0"/>
    <x v="46"/>
    <x v="79"/>
    <x v="3"/>
    <x v="87"/>
    <x v="245"/>
    <x v="71"/>
    <x v="115"/>
    <x v="0"/>
    <x v="623"/>
    <x v="2"/>
    <x v="623"/>
    <x v="623"/>
    <x v="113"/>
    <x v="1"/>
  </r>
  <r>
    <x v="1724"/>
    <x v="15"/>
    <x v="0"/>
    <x v="46"/>
    <x v="79"/>
    <x v="3"/>
    <x v="87"/>
    <x v="228"/>
    <x v="71"/>
    <x v="115"/>
    <x v="0"/>
    <x v="706"/>
    <x v="2"/>
    <x v="706"/>
    <x v="706"/>
    <x v="113"/>
    <x v="1"/>
  </r>
  <r>
    <x v="1725"/>
    <x v="15"/>
    <x v="0"/>
    <x v="46"/>
    <x v="79"/>
    <x v="3"/>
    <x v="87"/>
    <x v="229"/>
    <x v="71"/>
    <x v="115"/>
    <x v="0"/>
    <x v="707"/>
    <x v="2"/>
    <x v="707"/>
    <x v="707"/>
    <x v="113"/>
    <x v="1"/>
  </r>
  <r>
    <x v="1726"/>
    <x v="15"/>
    <x v="0"/>
    <x v="46"/>
    <x v="79"/>
    <x v="3"/>
    <x v="87"/>
    <x v="234"/>
    <x v="71"/>
    <x v="115"/>
    <x v="0"/>
    <x v="708"/>
    <x v="2"/>
    <x v="708"/>
    <x v="708"/>
    <x v="113"/>
    <x v="1"/>
  </r>
  <r>
    <x v="1727"/>
    <x v="15"/>
    <x v="0"/>
    <x v="46"/>
    <x v="79"/>
    <x v="3"/>
    <x v="87"/>
    <x v="233"/>
    <x v="44"/>
    <x v="82"/>
    <x v="0"/>
    <x v="664"/>
    <x v="2"/>
    <x v="664"/>
    <x v="664"/>
    <x v="81"/>
    <x v="6"/>
  </r>
  <r>
    <x v="1728"/>
    <x v="15"/>
    <x v="0"/>
    <x v="46"/>
    <x v="79"/>
    <x v="3"/>
    <x v="87"/>
    <x v="232"/>
    <x v="44"/>
    <x v="82"/>
    <x v="0"/>
    <x v="709"/>
    <x v="2"/>
    <x v="709"/>
    <x v="709"/>
    <x v="81"/>
    <x v="6"/>
  </r>
  <r>
    <x v="1729"/>
    <x v="15"/>
    <x v="0"/>
    <x v="46"/>
    <x v="79"/>
    <x v="3"/>
    <x v="87"/>
    <x v="240"/>
    <x v="41"/>
    <x v="78"/>
    <x v="0"/>
    <x v="648"/>
    <x v="2"/>
    <x v="648"/>
    <x v="648"/>
    <x v="77"/>
    <x v="7"/>
  </r>
  <r>
    <x v="1730"/>
    <x v="15"/>
    <x v="0"/>
    <x v="46"/>
    <x v="79"/>
    <x v="3"/>
    <x v="87"/>
    <x v="235"/>
    <x v="41"/>
    <x v="78"/>
    <x v="0"/>
    <x v="710"/>
    <x v="2"/>
    <x v="710"/>
    <x v="710"/>
    <x v="77"/>
    <x v="7"/>
  </r>
  <r>
    <x v="1731"/>
    <x v="15"/>
    <x v="0"/>
    <x v="46"/>
    <x v="79"/>
    <x v="3"/>
    <x v="87"/>
    <x v="241"/>
    <x v="41"/>
    <x v="78"/>
    <x v="0"/>
    <x v="707"/>
    <x v="2"/>
    <x v="707"/>
    <x v="707"/>
    <x v="77"/>
    <x v="7"/>
  </r>
  <r>
    <x v="1732"/>
    <x v="15"/>
    <x v="0"/>
    <x v="46"/>
    <x v="79"/>
    <x v="3"/>
    <x v="87"/>
    <x v="221"/>
    <x v="40"/>
    <x v="77"/>
    <x v="0"/>
    <x v="711"/>
    <x v="2"/>
    <x v="711"/>
    <x v="711"/>
    <x v="76"/>
    <x v="6"/>
  </r>
  <r>
    <x v="1733"/>
    <x v="15"/>
    <x v="0"/>
    <x v="46"/>
    <x v="79"/>
    <x v="3"/>
    <x v="87"/>
    <x v="236"/>
    <x v="40"/>
    <x v="77"/>
    <x v="0"/>
    <x v="657"/>
    <x v="2"/>
    <x v="657"/>
    <x v="657"/>
    <x v="76"/>
    <x v="6"/>
  </r>
  <r>
    <x v="1734"/>
    <x v="15"/>
    <x v="0"/>
    <x v="46"/>
    <x v="79"/>
    <x v="3"/>
    <x v="87"/>
    <x v="242"/>
    <x v="40"/>
    <x v="77"/>
    <x v="0"/>
    <x v="712"/>
    <x v="2"/>
    <x v="712"/>
    <x v="712"/>
    <x v="76"/>
    <x v="6"/>
  </r>
  <r>
    <x v="1735"/>
    <x v="15"/>
    <x v="0"/>
    <x v="46"/>
    <x v="79"/>
    <x v="3"/>
    <x v="87"/>
    <x v="239"/>
    <x v="1"/>
    <x v="2"/>
    <x v="0"/>
    <x v="625"/>
    <x v="2"/>
    <x v="625"/>
    <x v="625"/>
    <x v="2"/>
    <x v="1"/>
  </r>
  <r>
    <x v="1736"/>
    <x v="15"/>
    <x v="0"/>
    <x v="46"/>
    <x v="79"/>
    <x v="3"/>
    <x v="87"/>
    <x v="238"/>
    <x v="1"/>
    <x v="2"/>
    <x v="0"/>
    <x v="713"/>
    <x v="2"/>
    <x v="713"/>
    <x v="713"/>
    <x v="2"/>
    <x v="1"/>
  </r>
  <r>
    <x v="1737"/>
    <x v="15"/>
    <x v="0"/>
    <x v="46"/>
    <x v="79"/>
    <x v="3"/>
    <x v="87"/>
    <x v="237"/>
    <x v="1"/>
    <x v="2"/>
    <x v="0"/>
    <x v="714"/>
    <x v="2"/>
    <x v="714"/>
    <x v="714"/>
    <x v="2"/>
    <x v="1"/>
  </r>
  <r>
    <x v="1738"/>
    <x v="15"/>
    <x v="0"/>
    <x v="46"/>
    <x v="79"/>
    <x v="3"/>
    <x v="87"/>
    <x v="246"/>
    <x v="71"/>
    <x v="115"/>
    <x v="0"/>
    <x v="707"/>
    <x v="2"/>
    <x v="707"/>
    <x v="707"/>
    <x v="113"/>
    <x v="1"/>
  </r>
  <r>
    <x v="1739"/>
    <x v="15"/>
    <x v="0"/>
    <x v="46"/>
    <x v="79"/>
    <x v="3"/>
    <x v="87"/>
    <x v="247"/>
    <x v="71"/>
    <x v="115"/>
    <x v="0"/>
    <x v="715"/>
    <x v="2"/>
    <x v="715"/>
    <x v="715"/>
    <x v="113"/>
    <x v="1"/>
  </r>
  <r>
    <x v="1740"/>
    <x v="15"/>
    <x v="0"/>
    <x v="46"/>
    <x v="79"/>
    <x v="3"/>
    <x v="87"/>
    <x v="248"/>
    <x v="71"/>
    <x v="115"/>
    <x v="0"/>
    <x v="677"/>
    <x v="2"/>
    <x v="677"/>
    <x v="677"/>
    <x v="113"/>
    <x v="1"/>
  </r>
  <r>
    <x v="1741"/>
    <x v="15"/>
    <x v="0"/>
    <x v="46"/>
    <x v="79"/>
    <x v="3"/>
    <x v="87"/>
    <x v="243"/>
    <x v="71"/>
    <x v="115"/>
    <x v="0"/>
    <x v="712"/>
    <x v="2"/>
    <x v="712"/>
    <x v="712"/>
    <x v="113"/>
    <x v="1"/>
  </r>
  <r>
    <x v="1742"/>
    <x v="15"/>
    <x v="0"/>
    <x v="46"/>
    <x v="79"/>
    <x v="3"/>
    <x v="87"/>
    <x v="244"/>
    <x v="71"/>
    <x v="115"/>
    <x v="0"/>
    <x v="716"/>
    <x v="2"/>
    <x v="716"/>
    <x v="716"/>
    <x v="113"/>
    <x v="1"/>
  </r>
  <r>
    <x v="1743"/>
    <x v="24"/>
    <x v="0"/>
    <x v="46"/>
    <x v="79"/>
    <x v="3"/>
    <x v="87"/>
    <x v="224"/>
    <x v="79"/>
    <x v="122"/>
    <x v="0"/>
    <x v="714"/>
    <x v="2"/>
    <x v="714"/>
    <x v="714"/>
    <x v="118"/>
    <x v="1"/>
  </r>
  <r>
    <x v="1744"/>
    <x v="24"/>
    <x v="0"/>
    <x v="46"/>
    <x v="79"/>
    <x v="3"/>
    <x v="87"/>
    <x v="225"/>
    <x v="79"/>
    <x v="122"/>
    <x v="0"/>
    <x v="673"/>
    <x v="2"/>
    <x v="673"/>
    <x v="673"/>
    <x v="118"/>
    <x v="1"/>
  </r>
  <r>
    <x v="1745"/>
    <x v="24"/>
    <x v="0"/>
    <x v="46"/>
    <x v="79"/>
    <x v="3"/>
    <x v="87"/>
    <x v="226"/>
    <x v="79"/>
    <x v="122"/>
    <x v="0"/>
    <x v="717"/>
    <x v="2"/>
    <x v="717"/>
    <x v="717"/>
    <x v="118"/>
    <x v="1"/>
  </r>
  <r>
    <x v="1746"/>
    <x v="24"/>
    <x v="0"/>
    <x v="46"/>
    <x v="79"/>
    <x v="3"/>
    <x v="87"/>
    <x v="227"/>
    <x v="79"/>
    <x v="122"/>
    <x v="0"/>
    <x v="718"/>
    <x v="2"/>
    <x v="718"/>
    <x v="718"/>
    <x v="118"/>
    <x v="1"/>
  </r>
  <r>
    <x v="1747"/>
    <x v="24"/>
    <x v="0"/>
    <x v="46"/>
    <x v="79"/>
    <x v="3"/>
    <x v="87"/>
    <x v="233"/>
    <x v="78"/>
    <x v="119"/>
    <x v="0"/>
    <x v="664"/>
    <x v="2"/>
    <x v="664"/>
    <x v="664"/>
    <x v="117"/>
    <x v="13"/>
  </r>
  <r>
    <x v="1748"/>
    <x v="24"/>
    <x v="0"/>
    <x v="46"/>
    <x v="79"/>
    <x v="3"/>
    <x v="87"/>
    <x v="240"/>
    <x v="78"/>
    <x v="119"/>
    <x v="0"/>
    <x v="705"/>
    <x v="2"/>
    <x v="705"/>
    <x v="705"/>
    <x v="117"/>
    <x v="13"/>
  </r>
  <r>
    <x v="1749"/>
    <x v="24"/>
    <x v="0"/>
    <x v="46"/>
    <x v="79"/>
    <x v="3"/>
    <x v="87"/>
    <x v="241"/>
    <x v="78"/>
    <x v="119"/>
    <x v="0"/>
    <x v="719"/>
    <x v="2"/>
    <x v="719"/>
    <x v="719"/>
    <x v="117"/>
    <x v="13"/>
  </r>
  <r>
    <x v="1750"/>
    <x v="24"/>
    <x v="0"/>
    <x v="46"/>
    <x v="79"/>
    <x v="3"/>
    <x v="87"/>
    <x v="242"/>
    <x v="78"/>
    <x v="119"/>
    <x v="0"/>
    <x v="718"/>
    <x v="2"/>
    <x v="718"/>
    <x v="718"/>
    <x v="117"/>
    <x v="13"/>
  </r>
  <r>
    <x v="1751"/>
    <x v="24"/>
    <x v="0"/>
    <x v="46"/>
    <x v="79"/>
    <x v="3"/>
    <x v="87"/>
    <x v="232"/>
    <x v="78"/>
    <x v="119"/>
    <x v="0"/>
    <x v="711"/>
    <x v="2"/>
    <x v="711"/>
    <x v="711"/>
    <x v="117"/>
    <x v="13"/>
  </r>
  <r>
    <x v="1752"/>
    <x v="24"/>
    <x v="0"/>
    <x v="46"/>
    <x v="79"/>
    <x v="3"/>
    <x v="87"/>
    <x v="246"/>
    <x v="40"/>
    <x v="77"/>
    <x v="0"/>
    <x v="720"/>
    <x v="2"/>
    <x v="720"/>
    <x v="720"/>
    <x v="76"/>
    <x v="6"/>
  </r>
  <r>
    <x v="1753"/>
    <x v="24"/>
    <x v="0"/>
    <x v="46"/>
    <x v="79"/>
    <x v="3"/>
    <x v="87"/>
    <x v="247"/>
    <x v="40"/>
    <x v="77"/>
    <x v="0"/>
    <x v="721"/>
    <x v="2"/>
    <x v="721"/>
    <x v="721"/>
    <x v="76"/>
    <x v="6"/>
  </r>
  <r>
    <x v="1754"/>
    <x v="24"/>
    <x v="0"/>
    <x v="46"/>
    <x v="79"/>
    <x v="3"/>
    <x v="87"/>
    <x v="248"/>
    <x v="40"/>
    <x v="77"/>
    <x v="0"/>
    <x v="722"/>
    <x v="2"/>
    <x v="722"/>
    <x v="722"/>
    <x v="76"/>
    <x v="6"/>
  </r>
  <r>
    <x v="1755"/>
    <x v="24"/>
    <x v="0"/>
    <x v="46"/>
    <x v="79"/>
    <x v="3"/>
    <x v="87"/>
    <x v="231"/>
    <x v="40"/>
    <x v="77"/>
    <x v="0"/>
    <x v="645"/>
    <x v="2"/>
    <x v="645"/>
    <x v="645"/>
    <x v="76"/>
    <x v="6"/>
  </r>
  <r>
    <x v="1756"/>
    <x v="24"/>
    <x v="0"/>
    <x v="46"/>
    <x v="79"/>
    <x v="3"/>
    <x v="87"/>
    <x v="230"/>
    <x v="44"/>
    <x v="82"/>
    <x v="0"/>
    <x v="723"/>
    <x v="2"/>
    <x v="723"/>
    <x v="723"/>
    <x v="81"/>
    <x v="6"/>
  </r>
  <r>
    <x v="1757"/>
    <x v="24"/>
    <x v="0"/>
    <x v="46"/>
    <x v="79"/>
    <x v="3"/>
    <x v="87"/>
    <x v="228"/>
    <x v="44"/>
    <x v="82"/>
    <x v="0"/>
    <x v="659"/>
    <x v="2"/>
    <x v="659"/>
    <x v="659"/>
    <x v="81"/>
    <x v="6"/>
  </r>
  <r>
    <x v="1758"/>
    <x v="24"/>
    <x v="0"/>
    <x v="46"/>
    <x v="79"/>
    <x v="3"/>
    <x v="87"/>
    <x v="229"/>
    <x v="44"/>
    <x v="82"/>
    <x v="0"/>
    <x v="716"/>
    <x v="2"/>
    <x v="716"/>
    <x v="716"/>
    <x v="81"/>
    <x v="6"/>
  </r>
  <r>
    <x v="1759"/>
    <x v="24"/>
    <x v="0"/>
    <x v="46"/>
    <x v="79"/>
    <x v="3"/>
    <x v="87"/>
    <x v="223"/>
    <x v="44"/>
    <x v="82"/>
    <x v="0"/>
    <x v="623"/>
    <x v="2"/>
    <x v="623"/>
    <x v="623"/>
    <x v="81"/>
    <x v="6"/>
  </r>
  <r>
    <x v="1760"/>
    <x v="24"/>
    <x v="0"/>
    <x v="46"/>
    <x v="79"/>
    <x v="3"/>
    <x v="87"/>
    <x v="237"/>
    <x v="79"/>
    <x v="122"/>
    <x v="0"/>
    <x v="633"/>
    <x v="2"/>
    <x v="633"/>
    <x v="633"/>
    <x v="118"/>
    <x v="1"/>
  </r>
  <r>
    <x v="1761"/>
    <x v="24"/>
    <x v="0"/>
    <x v="46"/>
    <x v="79"/>
    <x v="3"/>
    <x v="87"/>
    <x v="236"/>
    <x v="79"/>
    <x v="122"/>
    <x v="0"/>
    <x v="706"/>
    <x v="2"/>
    <x v="706"/>
    <x v="706"/>
    <x v="118"/>
    <x v="1"/>
  </r>
  <r>
    <x v="1762"/>
    <x v="24"/>
    <x v="0"/>
    <x v="46"/>
    <x v="79"/>
    <x v="3"/>
    <x v="87"/>
    <x v="235"/>
    <x v="79"/>
    <x v="122"/>
    <x v="0"/>
    <x v="692"/>
    <x v="2"/>
    <x v="692"/>
    <x v="692"/>
    <x v="118"/>
    <x v="1"/>
  </r>
  <r>
    <x v="1763"/>
    <x v="24"/>
    <x v="0"/>
    <x v="46"/>
    <x v="79"/>
    <x v="3"/>
    <x v="87"/>
    <x v="232"/>
    <x v="79"/>
    <x v="122"/>
    <x v="0"/>
    <x v="724"/>
    <x v="2"/>
    <x v="724"/>
    <x v="724"/>
    <x v="118"/>
    <x v="1"/>
  </r>
  <r>
    <x v="1764"/>
    <x v="24"/>
    <x v="0"/>
    <x v="46"/>
    <x v="79"/>
    <x v="3"/>
    <x v="87"/>
    <x v="243"/>
    <x v="78"/>
    <x v="119"/>
    <x v="0"/>
    <x v="725"/>
    <x v="2"/>
    <x v="725"/>
    <x v="725"/>
    <x v="117"/>
    <x v="13"/>
  </r>
  <r>
    <x v="1765"/>
    <x v="24"/>
    <x v="0"/>
    <x v="46"/>
    <x v="79"/>
    <x v="3"/>
    <x v="87"/>
    <x v="244"/>
    <x v="78"/>
    <x v="119"/>
    <x v="0"/>
    <x v="714"/>
    <x v="2"/>
    <x v="714"/>
    <x v="714"/>
    <x v="117"/>
    <x v="13"/>
  </r>
  <r>
    <x v="1766"/>
    <x v="24"/>
    <x v="0"/>
    <x v="46"/>
    <x v="79"/>
    <x v="3"/>
    <x v="87"/>
    <x v="245"/>
    <x v="78"/>
    <x v="119"/>
    <x v="0"/>
    <x v="703"/>
    <x v="2"/>
    <x v="703"/>
    <x v="703"/>
    <x v="117"/>
    <x v="13"/>
  </r>
  <r>
    <x v="1767"/>
    <x v="24"/>
    <x v="0"/>
    <x v="46"/>
    <x v="79"/>
    <x v="3"/>
    <x v="87"/>
    <x v="238"/>
    <x v="78"/>
    <x v="119"/>
    <x v="0"/>
    <x v="726"/>
    <x v="2"/>
    <x v="726"/>
    <x v="726"/>
    <x v="117"/>
    <x v="13"/>
  </r>
  <r>
    <x v="1768"/>
    <x v="24"/>
    <x v="0"/>
    <x v="46"/>
    <x v="79"/>
    <x v="3"/>
    <x v="87"/>
    <x v="234"/>
    <x v="78"/>
    <x v="119"/>
    <x v="0"/>
    <x v="719"/>
    <x v="2"/>
    <x v="719"/>
    <x v="719"/>
    <x v="117"/>
    <x v="13"/>
  </r>
  <r>
    <x v="1769"/>
    <x v="24"/>
    <x v="0"/>
    <x v="46"/>
    <x v="79"/>
    <x v="3"/>
    <x v="87"/>
    <x v="221"/>
    <x v="40"/>
    <x v="77"/>
    <x v="0"/>
    <x v="727"/>
    <x v="2"/>
    <x v="727"/>
    <x v="727"/>
    <x v="76"/>
    <x v="6"/>
  </r>
  <r>
    <x v="1770"/>
    <x v="24"/>
    <x v="0"/>
    <x v="46"/>
    <x v="79"/>
    <x v="3"/>
    <x v="87"/>
    <x v="222"/>
    <x v="40"/>
    <x v="77"/>
    <x v="0"/>
    <x v="703"/>
    <x v="2"/>
    <x v="703"/>
    <x v="703"/>
    <x v="76"/>
    <x v="6"/>
  </r>
  <r>
    <x v="1771"/>
    <x v="24"/>
    <x v="0"/>
    <x v="46"/>
    <x v="79"/>
    <x v="3"/>
    <x v="87"/>
    <x v="239"/>
    <x v="40"/>
    <x v="77"/>
    <x v="0"/>
    <x v="728"/>
    <x v="2"/>
    <x v="728"/>
    <x v="728"/>
    <x v="76"/>
    <x v="6"/>
  </r>
  <r>
    <x v="1772"/>
    <x v="24"/>
    <x v="0"/>
    <x v="46"/>
    <x v="79"/>
    <x v="3"/>
    <x v="87"/>
    <x v="250"/>
    <x v="1"/>
    <x v="2"/>
    <x v="0"/>
    <x v="729"/>
    <x v="2"/>
    <x v="729"/>
    <x v="729"/>
    <x v="2"/>
    <x v="1"/>
  </r>
  <r>
    <x v="1773"/>
    <x v="16"/>
    <x v="0"/>
    <x v="46"/>
    <x v="79"/>
    <x v="3"/>
    <x v="87"/>
    <x v="224"/>
    <x v="79"/>
    <x v="122"/>
    <x v="0"/>
    <x v="730"/>
    <x v="2"/>
    <x v="730"/>
    <x v="730"/>
    <x v="118"/>
    <x v="1"/>
  </r>
  <r>
    <x v="1774"/>
    <x v="16"/>
    <x v="0"/>
    <x v="46"/>
    <x v="79"/>
    <x v="3"/>
    <x v="87"/>
    <x v="225"/>
    <x v="79"/>
    <x v="122"/>
    <x v="0"/>
    <x v="731"/>
    <x v="2"/>
    <x v="731"/>
    <x v="731"/>
    <x v="118"/>
    <x v="1"/>
  </r>
  <r>
    <x v="1775"/>
    <x v="16"/>
    <x v="0"/>
    <x v="46"/>
    <x v="79"/>
    <x v="3"/>
    <x v="87"/>
    <x v="226"/>
    <x v="79"/>
    <x v="122"/>
    <x v="0"/>
    <x v="732"/>
    <x v="2"/>
    <x v="732"/>
    <x v="732"/>
    <x v="118"/>
    <x v="1"/>
  </r>
  <r>
    <x v="1776"/>
    <x v="16"/>
    <x v="0"/>
    <x v="46"/>
    <x v="79"/>
    <x v="3"/>
    <x v="87"/>
    <x v="227"/>
    <x v="79"/>
    <x v="122"/>
    <x v="0"/>
    <x v="733"/>
    <x v="2"/>
    <x v="733"/>
    <x v="733"/>
    <x v="118"/>
    <x v="1"/>
  </r>
  <r>
    <x v="1777"/>
    <x v="16"/>
    <x v="0"/>
    <x v="46"/>
    <x v="79"/>
    <x v="3"/>
    <x v="87"/>
    <x v="233"/>
    <x v="78"/>
    <x v="119"/>
    <x v="0"/>
    <x v="734"/>
    <x v="2"/>
    <x v="734"/>
    <x v="734"/>
    <x v="117"/>
    <x v="13"/>
  </r>
  <r>
    <x v="1778"/>
    <x v="16"/>
    <x v="0"/>
    <x v="46"/>
    <x v="79"/>
    <x v="3"/>
    <x v="87"/>
    <x v="235"/>
    <x v="78"/>
    <x v="119"/>
    <x v="0"/>
    <x v="735"/>
    <x v="2"/>
    <x v="735"/>
    <x v="735"/>
    <x v="117"/>
    <x v="13"/>
  </r>
  <r>
    <x v="1779"/>
    <x v="16"/>
    <x v="0"/>
    <x v="46"/>
    <x v="79"/>
    <x v="3"/>
    <x v="87"/>
    <x v="240"/>
    <x v="78"/>
    <x v="119"/>
    <x v="0"/>
    <x v="736"/>
    <x v="2"/>
    <x v="736"/>
    <x v="736"/>
    <x v="117"/>
    <x v="13"/>
  </r>
  <r>
    <x v="1780"/>
    <x v="16"/>
    <x v="0"/>
    <x v="46"/>
    <x v="79"/>
    <x v="3"/>
    <x v="87"/>
    <x v="241"/>
    <x v="78"/>
    <x v="119"/>
    <x v="0"/>
    <x v="737"/>
    <x v="2"/>
    <x v="737"/>
    <x v="737"/>
    <x v="117"/>
    <x v="13"/>
  </r>
  <r>
    <x v="1781"/>
    <x v="16"/>
    <x v="0"/>
    <x v="46"/>
    <x v="79"/>
    <x v="3"/>
    <x v="87"/>
    <x v="242"/>
    <x v="78"/>
    <x v="119"/>
    <x v="0"/>
    <x v="738"/>
    <x v="2"/>
    <x v="738"/>
    <x v="738"/>
    <x v="117"/>
    <x v="13"/>
  </r>
  <r>
    <x v="1782"/>
    <x v="16"/>
    <x v="0"/>
    <x v="46"/>
    <x v="79"/>
    <x v="3"/>
    <x v="87"/>
    <x v="245"/>
    <x v="40"/>
    <x v="77"/>
    <x v="0"/>
    <x v="739"/>
    <x v="2"/>
    <x v="739"/>
    <x v="739"/>
    <x v="76"/>
    <x v="6"/>
  </r>
  <r>
    <x v="1783"/>
    <x v="16"/>
    <x v="0"/>
    <x v="46"/>
    <x v="79"/>
    <x v="3"/>
    <x v="87"/>
    <x v="228"/>
    <x v="40"/>
    <x v="77"/>
    <x v="0"/>
    <x v="740"/>
    <x v="2"/>
    <x v="740"/>
    <x v="740"/>
    <x v="76"/>
    <x v="6"/>
  </r>
  <r>
    <x v="1784"/>
    <x v="16"/>
    <x v="0"/>
    <x v="46"/>
    <x v="79"/>
    <x v="3"/>
    <x v="87"/>
    <x v="229"/>
    <x v="40"/>
    <x v="77"/>
    <x v="0"/>
    <x v="741"/>
    <x v="2"/>
    <x v="741"/>
    <x v="741"/>
    <x v="76"/>
    <x v="6"/>
  </r>
  <r>
    <x v="1785"/>
    <x v="16"/>
    <x v="0"/>
    <x v="46"/>
    <x v="79"/>
    <x v="3"/>
    <x v="87"/>
    <x v="231"/>
    <x v="40"/>
    <x v="77"/>
    <x v="0"/>
    <x v="742"/>
    <x v="2"/>
    <x v="742"/>
    <x v="742"/>
    <x v="76"/>
    <x v="6"/>
  </r>
  <r>
    <x v="1786"/>
    <x v="16"/>
    <x v="0"/>
    <x v="46"/>
    <x v="79"/>
    <x v="3"/>
    <x v="87"/>
    <x v="248"/>
    <x v="1"/>
    <x v="2"/>
    <x v="0"/>
    <x v="740"/>
    <x v="2"/>
    <x v="740"/>
    <x v="740"/>
    <x v="2"/>
    <x v="1"/>
  </r>
  <r>
    <x v="1787"/>
    <x v="16"/>
    <x v="0"/>
    <x v="46"/>
    <x v="79"/>
    <x v="3"/>
    <x v="87"/>
    <x v="246"/>
    <x v="1"/>
    <x v="2"/>
    <x v="0"/>
    <x v="743"/>
    <x v="2"/>
    <x v="743"/>
    <x v="743"/>
    <x v="2"/>
    <x v="1"/>
  </r>
  <r>
    <x v="1788"/>
    <x v="16"/>
    <x v="0"/>
    <x v="46"/>
    <x v="79"/>
    <x v="3"/>
    <x v="87"/>
    <x v="247"/>
    <x v="1"/>
    <x v="2"/>
    <x v="0"/>
    <x v="744"/>
    <x v="2"/>
    <x v="744"/>
    <x v="744"/>
    <x v="2"/>
    <x v="1"/>
  </r>
  <r>
    <x v="1789"/>
    <x v="16"/>
    <x v="0"/>
    <x v="46"/>
    <x v="79"/>
    <x v="3"/>
    <x v="87"/>
    <x v="230"/>
    <x v="1"/>
    <x v="2"/>
    <x v="0"/>
    <x v="745"/>
    <x v="2"/>
    <x v="745"/>
    <x v="745"/>
    <x v="2"/>
    <x v="1"/>
  </r>
  <r>
    <x v="1790"/>
    <x v="16"/>
    <x v="0"/>
    <x v="46"/>
    <x v="79"/>
    <x v="3"/>
    <x v="87"/>
    <x v="232"/>
    <x v="79"/>
    <x v="122"/>
    <x v="0"/>
    <x v="732"/>
    <x v="2"/>
    <x v="732"/>
    <x v="732"/>
    <x v="118"/>
    <x v="1"/>
  </r>
  <r>
    <x v="1791"/>
    <x v="16"/>
    <x v="0"/>
    <x v="46"/>
    <x v="79"/>
    <x v="3"/>
    <x v="87"/>
    <x v="236"/>
    <x v="79"/>
    <x v="122"/>
    <x v="0"/>
    <x v="746"/>
    <x v="2"/>
    <x v="746"/>
    <x v="746"/>
    <x v="118"/>
    <x v="1"/>
  </r>
  <r>
    <x v="1792"/>
    <x v="16"/>
    <x v="0"/>
    <x v="46"/>
    <x v="79"/>
    <x v="3"/>
    <x v="87"/>
    <x v="234"/>
    <x v="79"/>
    <x v="122"/>
    <x v="0"/>
    <x v="747"/>
    <x v="2"/>
    <x v="747"/>
    <x v="747"/>
    <x v="118"/>
    <x v="1"/>
  </r>
  <r>
    <x v="1793"/>
    <x v="16"/>
    <x v="0"/>
    <x v="46"/>
    <x v="79"/>
    <x v="3"/>
    <x v="87"/>
    <x v="243"/>
    <x v="78"/>
    <x v="119"/>
    <x v="0"/>
    <x v="748"/>
    <x v="2"/>
    <x v="748"/>
    <x v="748"/>
    <x v="117"/>
    <x v="13"/>
  </r>
  <r>
    <x v="1794"/>
    <x v="16"/>
    <x v="0"/>
    <x v="46"/>
    <x v="79"/>
    <x v="3"/>
    <x v="87"/>
    <x v="244"/>
    <x v="78"/>
    <x v="119"/>
    <x v="0"/>
    <x v="749"/>
    <x v="2"/>
    <x v="749"/>
    <x v="749"/>
    <x v="117"/>
    <x v="13"/>
  </r>
  <r>
    <x v="1795"/>
    <x v="16"/>
    <x v="0"/>
    <x v="46"/>
    <x v="79"/>
    <x v="3"/>
    <x v="87"/>
    <x v="238"/>
    <x v="78"/>
    <x v="119"/>
    <x v="0"/>
    <x v="750"/>
    <x v="2"/>
    <x v="750"/>
    <x v="750"/>
    <x v="117"/>
    <x v="13"/>
  </r>
  <r>
    <x v="1796"/>
    <x v="16"/>
    <x v="0"/>
    <x v="46"/>
    <x v="79"/>
    <x v="3"/>
    <x v="87"/>
    <x v="237"/>
    <x v="78"/>
    <x v="119"/>
    <x v="0"/>
    <x v="751"/>
    <x v="2"/>
    <x v="751"/>
    <x v="751"/>
    <x v="117"/>
    <x v="13"/>
  </r>
  <r>
    <x v="1797"/>
    <x v="16"/>
    <x v="0"/>
    <x v="46"/>
    <x v="79"/>
    <x v="3"/>
    <x v="87"/>
    <x v="239"/>
    <x v="78"/>
    <x v="119"/>
    <x v="0"/>
    <x v="752"/>
    <x v="2"/>
    <x v="752"/>
    <x v="752"/>
    <x v="117"/>
    <x v="13"/>
  </r>
  <r>
    <x v="1798"/>
    <x v="16"/>
    <x v="0"/>
    <x v="46"/>
    <x v="79"/>
    <x v="3"/>
    <x v="87"/>
    <x v="221"/>
    <x v="40"/>
    <x v="77"/>
    <x v="0"/>
    <x v="753"/>
    <x v="2"/>
    <x v="753"/>
    <x v="753"/>
    <x v="76"/>
    <x v="6"/>
  </r>
  <r>
    <x v="1799"/>
    <x v="16"/>
    <x v="0"/>
    <x v="46"/>
    <x v="79"/>
    <x v="3"/>
    <x v="87"/>
    <x v="222"/>
    <x v="40"/>
    <x v="77"/>
    <x v="0"/>
    <x v="754"/>
    <x v="2"/>
    <x v="754"/>
    <x v="754"/>
    <x v="76"/>
    <x v="6"/>
  </r>
  <r>
    <x v="1800"/>
    <x v="16"/>
    <x v="0"/>
    <x v="46"/>
    <x v="79"/>
    <x v="3"/>
    <x v="87"/>
    <x v="223"/>
    <x v="40"/>
    <x v="77"/>
    <x v="0"/>
    <x v="755"/>
    <x v="2"/>
    <x v="755"/>
    <x v="755"/>
    <x v="76"/>
    <x v="6"/>
  </r>
  <r>
    <x v="1801"/>
    <x v="25"/>
    <x v="0"/>
    <x v="46"/>
    <x v="79"/>
    <x v="3"/>
    <x v="87"/>
    <x v="250"/>
    <x v="64"/>
    <x v="107"/>
    <x v="0"/>
    <x v="756"/>
    <x v="2"/>
    <x v="756"/>
    <x v="756"/>
    <x v="105"/>
    <x v="6"/>
  </r>
  <r>
    <x v="1802"/>
    <x v="25"/>
    <x v="0"/>
    <x v="46"/>
    <x v="79"/>
    <x v="3"/>
    <x v="87"/>
    <x v="224"/>
    <x v="79"/>
    <x v="122"/>
    <x v="0"/>
    <x v="757"/>
    <x v="2"/>
    <x v="757"/>
    <x v="757"/>
    <x v="118"/>
    <x v="1"/>
  </r>
  <r>
    <x v="1803"/>
    <x v="25"/>
    <x v="0"/>
    <x v="46"/>
    <x v="79"/>
    <x v="3"/>
    <x v="87"/>
    <x v="225"/>
    <x v="79"/>
    <x v="122"/>
    <x v="0"/>
    <x v="758"/>
    <x v="2"/>
    <x v="758"/>
    <x v="758"/>
    <x v="118"/>
    <x v="1"/>
  </r>
  <r>
    <x v="1804"/>
    <x v="25"/>
    <x v="0"/>
    <x v="46"/>
    <x v="79"/>
    <x v="3"/>
    <x v="87"/>
    <x v="226"/>
    <x v="79"/>
    <x v="122"/>
    <x v="0"/>
    <x v="759"/>
    <x v="2"/>
    <x v="759"/>
    <x v="759"/>
    <x v="118"/>
    <x v="1"/>
  </r>
  <r>
    <x v="1805"/>
    <x v="25"/>
    <x v="0"/>
    <x v="46"/>
    <x v="79"/>
    <x v="3"/>
    <x v="87"/>
    <x v="227"/>
    <x v="79"/>
    <x v="122"/>
    <x v="0"/>
    <x v="760"/>
    <x v="2"/>
    <x v="760"/>
    <x v="760"/>
    <x v="118"/>
    <x v="1"/>
  </r>
  <r>
    <x v="1806"/>
    <x v="25"/>
    <x v="0"/>
    <x v="46"/>
    <x v="79"/>
    <x v="3"/>
    <x v="87"/>
    <x v="235"/>
    <x v="78"/>
    <x v="119"/>
    <x v="0"/>
    <x v="761"/>
    <x v="2"/>
    <x v="761"/>
    <x v="761"/>
    <x v="117"/>
    <x v="13"/>
  </r>
  <r>
    <x v="1807"/>
    <x v="25"/>
    <x v="0"/>
    <x v="46"/>
    <x v="79"/>
    <x v="3"/>
    <x v="87"/>
    <x v="240"/>
    <x v="78"/>
    <x v="119"/>
    <x v="0"/>
    <x v="762"/>
    <x v="2"/>
    <x v="762"/>
    <x v="762"/>
    <x v="117"/>
    <x v="13"/>
  </r>
  <r>
    <x v="1808"/>
    <x v="25"/>
    <x v="0"/>
    <x v="46"/>
    <x v="79"/>
    <x v="3"/>
    <x v="87"/>
    <x v="241"/>
    <x v="78"/>
    <x v="119"/>
    <x v="0"/>
    <x v="755"/>
    <x v="2"/>
    <x v="755"/>
    <x v="755"/>
    <x v="117"/>
    <x v="13"/>
  </r>
  <r>
    <x v="1809"/>
    <x v="25"/>
    <x v="0"/>
    <x v="46"/>
    <x v="79"/>
    <x v="3"/>
    <x v="87"/>
    <x v="242"/>
    <x v="78"/>
    <x v="119"/>
    <x v="0"/>
    <x v="763"/>
    <x v="2"/>
    <x v="763"/>
    <x v="763"/>
    <x v="117"/>
    <x v="13"/>
  </r>
  <r>
    <x v="1810"/>
    <x v="25"/>
    <x v="0"/>
    <x v="46"/>
    <x v="79"/>
    <x v="3"/>
    <x v="87"/>
    <x v="232"/>
    <x v="78"/>
    <x v="119"/>
    <x v="0"/>
    <x v="764"/>
    <x v="2"/>
    <x v="764"/>
    <x v="764"/>
    <x v="117"/>
    <x v="13"/>
  </r>
  <r>
    <x v="1811"/>
    <x v="25"/>
    <x v="0"/>
    <x v="46"/>
    <x v="79"/>
    <x v="3"/>
    <x v="87"/>
    <x v="248"/>
    <x v="1"/>
    <x v="2"/>
    <x v="0"/>
    <x v="765"/>
    <x v="2"/>
    <x v="765"/>
    <x v="765"/>
    <x v="2"/>
    <x v="1"/>
  </r>
  <r>
    <x v="1812"/>
    <x v="25"/>
    <x v="0"/>
    <x v="46"/>
    <x v="79"/>
    <x v="3"/>
    <x v="87"/>
    <x v="229"/>
    <x v="1"/>
    <x v="2"/>
    <x v="0"/>
    <x v="751"/>
    <x v="2"/>
    <x v="751"/>
    <x v="751"/>
    <x v="2"/>
    <x v="1"/>
  </r>
  <r>
    <x v="1813"/>
    <x v="25"/>
    <x v="0"/>
    <x v="46"/>
    <x v="79"/>
    <x v="3"/>
    <x v="87"/>
    <x v="228"/>
    <x v="1"/>
    <x v="2"/>
    <x v="0"/>
    <x v="766"/>
    <x v="2"/>
    <x v="766"/>
    <x v="766"/>
    <x v="2"/>
    <x v="1"/>
  </r>
  <r>
    <x v="1814"/>
    <x v="25"/>
    <x v="0"/>
    <x v="46"/>
    <x v="79"/>
    <x v="3"/>
    <x v="87"/>
    <x v="222"/>
    <x v="1"/>
    <x v="2"/>
    <x v="0"/>
    <x v="754"/>
    <x v="2"/>
    <x v="754"/>
    <x v="754"/>
    <x v="2"/>
    <x v="1"/>
  </r>
  <r>
    <x v="1815"/>
    <x v="25"/>
    <x v="0"/>
    <x v="46"/>
    <x v="79"/>
    <x v="3"/>
    <x v="87"/>
    <x v="238"/>
    <x v="64"/>
    <x v="107"/>
    <x v="0"/>
    <x v="767"/>
    <x v="2"/>
    <x v="767"/>
    <x v="767"/>
    <x v="105"/>
    <x v="6"/>
  </r>
  <r>
    <x v="1816"/>
    <x v="25"/>
    <x v="0"/>
    <x v="46"/>
    <x v="79"/>
    <x v="3"/>
    <x v="87"/>
    <x v="239"/>
    <x v="64"/>
    <x v="107"/>
    <x v="0"/>
    <x v="759"/>
    <x v="2"/>
    <x v="759"/>
    <x v="759"/>
    <x v="105"/>
    <x v="6"/>
  </r>
  <r>
    <x v="1817"/>
    <x v="25"/>
    <x v="0"/>
    <x v="46"/>
    <x v="79"/>
    <x v="3"/>
    <x v="87"/>
    <x v="223"/>
    <x v="64"/>
    <x v="107"/>
    <x v="0"/>
    <x v="768"/>
    <x v="2"/>
    <x v="768"/>
    <x v="768"/>
    <x v="105"/>
    <x v="6"/>
  </r>
  <r>
    <x v="1818"/>
    <x v="25"/>
    <x v="0"/>
    <x v="46"/>
    <x v="79"/>
    <x v="3"/>
    <x v="87"/>
    <x v="246"/>
    <x v="40"/>
    <x v="77"/>
    <x v="0"/>
    <x v="769"/>
    <x v="2"/>
    <x v="769"/>
    <x v="769"/>
    <x v="76"/>
    <x v="6"/>
  </r>
  <r>
    <x v="1819"/>
    <x v="25"/>
    <x v="0"/>
    <x v="46"/>
    <x v="79"/>
    <x v="3"/>
    <x v="87"/>
    <x v="247"/>
    <x v="40"/>
    <x v="77"/>
    <x v="0"/>
    <x v="743"/>
    <x v="2"/>
    <x v="743"/>
    <x v="743"/>
    <x v="76"/>
    <x v="6"/>
  </r>
  <r>
    <x v="1820"/>
    <x v="25"/>
    <x v="0"/>
    <x v="46"/>
    <x v="79"/>
    <x v="3"/>
    <x v="87"/>
    <x v="230"/>
    <x v="40"/>
    <x v="77"/>
    <x v="0"/>
    <x v="770"/>
    <x v="2"/>
    <x v="770"/>
    <x v="770"/>
    <x v="76"/>
    <x v="6"/>
  </r>
  <r>
    <x v="1821"/>
    <x v="25"/>
    <x v="0"/>
    <x v="46"/>
    <x v="79"/>
    <x v="3"/>
    <x v="87"/>
    <x v="231"/>
    <x v="40"/>
    <x v="77"/>
    <x v="0"/>
    <x v="738"/>
    <x v="2"/>
    <x v="738"/>
    <x v="738"/>
    <x v="76"/>
    <x v="6"/>
  </r>
  <r>
    <x v="1822"/>
    <x v="25"/>
    <x v="0"/>
    <x v="46"/>
    <x v="79"/>
    <x v="3"/>
    <x v="87"/>
    <x v="233"/>
    <x v="79"/>
    <x v="122"/>
    <x v="0"/>
    <x v="771"/>
    <x v="2"/>
    <x v="771"/>
    <x v="771"/>
    <x v="118"/>
    <x v="1"/>
  </r>
  <r>
    <x v="1823"/>
    <x v="25"/>
    <x v="0"/>
    <x v="46"/>
    <x v="79"/>
    <x v="3"/>
    <x v="87"/>
    <x v="237"/>
    <x v="79"/>
    <x v="122"/>
    <x v="0"/>
    <x v="766"/>
    <x v="2"/>
    <x v="766"/>
    <x v="766"/>
    <x v="118"/>
    <x v="1"/>
  </r>
  <r>
    <x v="1824"/>
    <x v="25"/>
    <x v="0"/>
    <x v="46"/>
    <x v="79"/>
    <x v="3"/>
    <x v="87"/>
    <x v="236"/>
    <x v="79"/>
    <x v="122"/>
    <x v="0"/>
    <x v="730"/>
    <x v="2"/>
    <x v="730"/>
    <x v="730"/>
    <x v="118"/>
    <x v="1"/>
  </r>
  <r>
    <x v="1825"/>
    <x v="25"/>
    <x v="0"/>
    <x v="46"/>
    <x v="79"/>
    <x v="3"/>
    <x v="87"/>
    <x v="234"/>
    <x v="79"/>
    <x v="122"/>
    <x v="0"/>
    <x v="772"/>
    <x v="2"/>
    <x v="772"/>
    <x v="772"/>
    <x v="118"/>
    <x v="1"/>
  </r>
  <r>
    <x v="1826"/>
    <x v="25"/>
    <x v="0"/>
    <x v="46"/>
    <x v="79"/>
    <x v="3"/>
    <x v="87"/>
    <x v="243"/>
    <x v="78"/>
    <x v="119"/>
    <x v="0"/>
    <x v="768"/>
    <x v="2"/>
    <x v="768"/>
    <x v="768"/>
    <x v="117"/>
    <x v="13"/>
  </r>
  <r>
    <x v="1827"/>
    <x v="25"/>
    <x v="0"/>
    <x v="46"/>
    <x v="79"/>
    <x v="3"/>
    <x v="87"/>
    <x v="244"/>
    <x v="78"/>
    <x v="119"/>
    <x v="0"/>
    <x v="737"/>
    <x v="2"/>
    <x v="737"/>
    <x v="737"/>
    <x v="117"/>
    <x v="13"/>
  </r>
  <r>
    <x v="1828"/>
    <x v="25"/>
    <x v="0"/>
    <x v="46"/>
    <x v="79"/>
    <x v="3"/>
    <x v="87"/>
    <x v="245"/>
    <x v="78"/>
    <x v="119"/>
    <x v="0"/>
    <x v="773"/>
    <x v="2"/>
    <x v="773"/>
    <x v="773"/>
    <x v="117"/>
    <x v="13"/>
  </r>
  <r>
    <x v="1829"/>
    <x v="25"/>
    <x v="0"/>
    <x v="46"/>
    <x v="79"/>
    <x v="3"/>
    <x v="87"/>
    <x v="221"/>
    <x v="78"/>
    <x v="119"/>
    <x v="0"/>
    <x v="774"/>
    <x v="2"/>
    <x v="774"/>
    <x v="774"/>
    <x v="117"/>
    <x v="13"/>
  </r>
  <r>
    <x v="1830"/>
    <x v="7"/>
    <x v="0"/>
    <x v="46"/>
    <x v="79"/>
    <x v="3"/>
    <x v="87"/>
    <x v="252"/>
    <x v="71"/>
    <x v="115"/>
    <x v="0"/>
    <x v="775"/>
    <x v="2"/>
    <x v="775"/>
    <x v="775"/>
    <x v="113"/>
    <x v="1"/>
  </r>
  <r>
    <x v="1831"/>
    <x v="7"/>
    <x v="0"/>
    <x v="46"/>
    <x v="79"/>
    <x v="3"/>
    <x v="87"/>
    <x v="252"/>
    <x v="64"/>
    <x v="107"/>
    <x v="0"/>
    <x v="776"/>
    <x v="2"/>
    <x v="776"/>
    <x v="776"/>
    <x v="105"/>
    <x v="6"/>
  </r>
  <r>
    <x v="1832"/>
    <x v="7"/>
    <x v="0"/>
    <x v="46"/>
    <x v="79"/>
    <x v="3"/>
    <x v="87"/>
    <x v="224"/>
    <x v="79"/>
    <x v="122"/>
    <x v="0"/>
    <x v="757"/>
    <x v="2"/>
    <x v="757"/>
    <x v="757"/>
    <x v="118"/>
    <x v="1"/>
  </r>
  <r>
    <x v="1833"/>
    <x v="7"/>
    <x v="0"/>
    <x v="46"/>
    <x v="79"/>
    <x v="3"/>
    <x v="87"/>
    <x v="227"/>
    <x v="79"/>
    <x v="122"/>
    <x v="0"/>
    <x v="777"/>
    <x v="2"/>
    <x v="777"/>
    <x v="777"/>
    <x v="118"/>
    <x v="1"/>
  </r>
  <r>
    <x v="1834"/>
    <x v="7"/>
    <x v="0"/>
    <x v="46"/>
    <x v="79"/>
    <x v="3"/>
    <x v="87"/>
    <x v="223"/>
    <x v="79"/>
    <x v="122"/>
    <x v="0"/>
    <x v="778"/>
    <x v="2"/>
    <x v="778"/>
    <x v="778"/>
    <x v="118"/>
    <x v="1"/>
  </r>
  <r>
    <x v="1835"/>
    <x v="7"/>
    <x v="0"/>
    <x v="46"/>
    <x v="79"/>
    <x v="3"/>
    <x v="87"/>
    <x v="225"/>
    <x v="40"/>
    <x v="77"/>
    <x v="0"/>
    <x v="779"/>
    <x v="2"/>
    <x v="779"/>
    <x v="779"/>
    <x v="76"/>
    <x v="6"/>
  </r>
  <r>
    <x v="1836"/>
    <x v="7"/>
    <x v="0"/>
    <x v="46"/>
    <x v="79"/>
    <x v="3"/>
    <x v="87"/>
    <x v="226"/>
    <x v="40"/>
    <x v="77"/>
    <x v="0"/>
    <x v="780"/>
    <x v="2"/>
    <x v="780"/>
    <x v="780"/>
    <x v="76"/>
    <x v="6"/>
  </r>
  <r>
    <x v="1837"/>
    <x v="7"/>
    <x v="0"/>
    <x v="46"/>
    <x v="79"/>
    <x v="3"/>
    <x v="87"/>
    <x v="231"/>
    <x v="1"/>
    <x v="2"/>
    <x v="0"/>
    <x v="735"/>
    <x v="2"/>
    <x v="735"/>
    <x v="735"/>
    <x v="2"/>
    <x v="1"/>
  </r>
  <r>
    <x v="1838"/>
    <x v="7"/>
    <x v="0"/>
    <x v="46"/>
    <x v="79"/>
    <x v="3"/>
    <x v="87"/>
    <x v="222"/>
    <x v="1"/>
    <x v="2"/>
    <x v="0"/>
    <x v="781"/>
    <x v="2"/>
    <x v="781"/>
    <x v="781"/>
    <x v="2"/>
    <x v="1"/>
  </r>
  <r>
    <x v="1839"/>
    <x v="7"/>
    <x v="0"/>
    <x v="46"/>
    <x v="79"/>
    <x v="3"/>
    <x v="87"/>
    <x v="238"/>
    <x v="1"/>
    <x v="2"/>
    <x v="0"/>
    <x v="749"/>
    <x v="2"/>
    <x v="749"/>
    <x v="749"/>
    <x v="2"/>
    <x v="1"/>
  </r>
  <r>
    <x v="1840"/>
    <x v="7"/>
    <x v="0"/>
    <x v="46"/>
    <x v="79"/>
    <x v="3"/>
    <x v="87"/>
    <x v="240"/>
    <x v="66"/>
    <x v="109"/>
    <x v="0"/>
    <x v="782"/>
    <x v="2"/>
    <x v="782"/>
    <x v="782"/>
    <x v="107"/>
    <x v="12"/>
  </r>
  <r>
    <x v="1841"/>
    <x v="7"/>
    <x v="0"/>
    <x v="46"/>
    <x v="79"/>
    <x v="3"/>
    <x v="87"/>
    <x v="233"/>
    <x v="66"/>
    <x v="109"/>
    <x v="0"/>
    <x v="783"/>
    <x v="2"/>
    <x v="783"/>
    <x v="783"/>
    <x v="107"/>
    <x v="12"/>
  </r>
  <r>
    <x v="1842"/>
    <x v="7"/>
    <x v="0"/>
    <x v="46"/>
    <x v="79"/>
    <x v="3"/>
    <x v="87"/>
    <x v="235"/>
    <x v="66"/>
    <x v="109"/>
    <x v="0"/>
    <x v="784"/>
    <x v="2"/>
    <x v="784"/>
    <x v="784"/>
    <x v="107"/>
    <x v="12"/>
  </r>
  <r>
    <x v="1843"/>
    <x v="7"/>
    <x v="0"/>
    <x v="46"/>
    <x v="79"/>
    <x v="3"/>
    <x v="87"/>
    <x v="239"/>
    <x v="64"/>
    <x v="107"/>
    <x v="0"/>
    <x v="785"/>
    <x v="2"/>
    <x v="785"/>
    <x v="785"/>
    <x v="105"/>
    <x v="6"/>
  </r>
  <r>
    <x v="1844"/>
    <x v="7"/>
    <x v="0"/>
    <x v="46"/>
    <x v="79"/>
    <x v="3"/>
    <x v="87"/>
    <x v="236"/>
    <x v="64"/>
    <x v="107"/>
    <x v="0"/>
    <x v="786"/>
    <x v="2"/>
    <x v="786"/>
    <x v="786"/>
    <x v="105"/>
    <x v="6"/>
  </r>
  <r>
    <x v="1845"/>
    <x v="7"/>
    <x v="0"/>
    <x v="46"/>
    <x v="79"/>
    <x v="3"/>
    <x v="87"/>
    <x v="241"/>
    <x v="71"/>
    <x v="115"/>
    <x v="0"/>
    <x v="781"/>
    <x v="2"/>
    <x v="781"/>
    <x v="781"/>
    <x v="113"/>
    <x v="1"/>
  </r>
  <r>
    <x v="1846"/>
    <x v="7"/>
    <x v="0"/>
    <x v="46"/>
    <x v="79"/>
    <x v="3"/>
    <x v="87"/>
    <x v="232"/>
    <x v="71"/>
    <x v="115"/>
    <x v="0"/>
    <x v="787"/>
    <x v="2"/>
    <x v="787"/>
    <x v="787"/>
    <x v="113"/>
    <x v="1"/>
  </r>
  <r>
    <x v="1847"/>
    <x v="7"/>
    <x v="0"/>
    <x v="46"/>
    <x v="79"/>
    <x v="3"/>
    <x v="87"/>
    <x v="242"/>
    <x v="44"/>
    <x v="82"/>
    <x v="0"/>
    <x v="788"/>
    <x v="2"/>
    <x v="788"/>
    <x v="788"/>
    <x v="81"/>
    <x v="6"/>
  </r>
  <r>
    <x v="1848"/>
    <x v="7"/>
    <x v="0"/>
    <x v="46"/>
    <x v="79"/>
    <x v="3"/>
    <x v="87"/>
    <x v="237"/>
    <x v="44"/>
    <x v="82"/>
    <x v="0"/>
    <x v="779"/>
    <x v="2"/>
    <x v="779"/>
    <x v="779"/>
    <x v="81"/>
    <x v="6"/>
  </r>
  <r>
    <x v="1849"/>
    <x v="7"/>
    <x v="0"/>
    <x v="46"/>
    <x v="79"/>
    <x v="3"/>
    <x v="87"/>
    <x v="234"/>
    <x v="74"/>
    <x v="117"/>
    <x v="0"/>
    <x v="789"/>
    <x v="2"/>
    <x v="789"/>
    <x v="789"/>
    <x v="115"/>
    <x v="11"/>
  </r>
  <r>
    <x v="1850"/>
    <x v="7"/>
    <x v="0"/>
    <x v="46"/>
    <x v="79"/>
    <x v="3"/>
    <x v="87"/>
    <x v="221"/>
    <x v="79"/>
    <x v="122"/>
    <x v="0"/>
    <x v="790"/>
    <x v="2"/>
    <x v="790"/>
    <x v="790"/>
    <x v="118"/>
    <x v="1"/>
  </r>
  <r>
    <x v="1851"/>
    <x v="7"/>
    <x v="0"/>
    <x v="46"/>
    <x v="79"/>
    <x v="3"/>
    <x v="87"/>
    <x v="245"/>
    <x v="40"/>
    <x v="77"/>
    <x v="0"/>
    <x v="780"/>
    <x v="2"/>
    <x v="780"/>
    <x v="780"/>
    <x v="76"/>
    <x v="6"/>
  </r>
  <r>
    <x v="1852"/>
    <x v="7"/>
    <x v="0"/>
    <x v="46"/>
    <x v="79"/>
    <x v="3"/>
    <x v="87"/>
    <x v="228"/>
    <x v="40"/>
    <x v="77"/>
    <x v="0"/>
    <x v="791"/>
    <x v="2"/>
    <x v="791"/>
    <x v="791"/>
    <x v="76"/>
    <x v="6"/>
  </r>
  <r>
    <x v="1853"/>
    <x v="7"/>
    <x v="0"/>
    <x v="46"/>
    <x v="79"/>
    <x v="3"/>
    <x v="87"/>
    <x v="230"/>
    <x v="1"/>
    <x v="2"/>
    <x v="0"/>
    <x v="792"/>
    <x v="2"/>
    <x v="792"/>
    <x v="792"/>
    <x v="2"/>
    <x v="1"/>
  </r>
  <r>
    <x v="1854"/>
    <x v="7"/>
    <x v="0"/>
    <x v="46"/>
    <x v="79"/>
    <x v="3"/>
    <x v="87"/>
    <x v="243"/>
    <x v="1"/>
    <x v="2"/>
    <x v="0"/>
    <x v="760"/>
    <x v="2"/>
    <x v="760"/>
    <x v="760"/>
    <x v="2"/>
    <x v="1"/>
  </r>
  <r>
    <x v="1855"/>
    <x v="7"/>
    <x v="0"/>
    <x v="46"/>
    <x v="79"/>
    <x v="3"/>
    <x v="87"/>
    <x v="244"/>
    <x v="1"/>
    <x v="2"/>
    <x v="0"/>
    <x v="793"/>
    <x v="2"/>
    <x v="793"/>
    <x v="793"/>
    <x v="2"/>
    <x v="1"/>
  </r>
  <r>
    <x v="1856"/>
    <x v="7"/>
    <x v="0"/>
    <x v="46"/>
    <x v="79"/>
    <x v="3"/>
    <x v="87"/>
    <x v="248"/>
    <x v="71"/>
    <x v="115"/>
    <x v="0"/>
    <x v="794"/>
    <x v="2"/>
    <x v="794"/>
    <x v="794"/>
    <x v="113"/>
    <x v="1"/>
  </r>
  <r>
    <x v="1857"/>
    <x v="7"/>
    <x v="0"/>
    <x v="46"/>
    <x v="79"/>
    <x v="3"/>
    <x v="87"/>
    <x v="229"/>
    <x v="71"/>
    <x v="115"/>
    <x v="0"/>
    <x v="795"/>
    <x v="2"/>
    <x v="795"/>
    <x v="795"/>
    <x v="113"/>
    <x v="1"/>
  </r>
  <r>
    <x v="1858"/>
    <x v="7"/>
    <x v="0"/>
    <x v="46"/>
    <x v="79"/>
    <x v="3"/>
    <x v="87"/>
    <x v="246"/>
    <x v="64"/>
    <x v="107"/>
    <x v="0"/>
    <x v="796"/>
    <x v="2"/>
    <x v="796"/>
    <x v="796"/>
    <x v="105"/>
    <x v="6"/>
  </r>
  <r>
    <x v="1859"/>
    <x v="7"/>
    <x v="0"/>
    <x v="46"/>
    <x v="79"/>
    <x v="3"/>
    <x v="87"/>
    <x v="247"/>
    <x v="64"/>
    <x v="107"/>
    <x v="0"/>
    <x v="772"/>
    <x v="2"/>
    <x v="772"/>
    <x v="772"/>
    <x v="105"/>
    <x v="6"/>
  </r>
  <r>
    <x v="1860"/>
    <x v="0"/>
    <x v="0"/>
    <x v="46"/>
    <x v="79"/>
    <x v="3"/>
    <x v="87"/>
    <x v="253"/>
    <x v="1"/>
    <x v="2"/>
    <x v="0"/>
    <x v="797"/>
    <x v="2"/>
    <x v="797"/>
    <x v="797"/>
    <x v="2"/>
    <x v="1"/>
  </r>
  <r>
    <x v="1861"/>
    <x v="0"/>
    <x v="0"/>
    <x v="46"/>
    <x v="79"/>
    <x v="3"/>
    <x v="87"/>
    <x v="250"/>
    <x v="79"/>
    <x v="122"/>
    <x v="0"/>
    <x v="798"/>
    <x v="2"/>
    <x v="798"/>
    <x v="798"/>
    <x v="118"/>
    <x v="1"/>
  </r>
  <r>
    <x v="1862"/>
    <x v="0"/>
    <x v="0"/>
    <x v="46"/>
    <x v="79"/>
    <x v="3"/>
    <x v="87"/>
    <x v="252"/>
    <x v="40"/>
    <x v="77"/>
    <x v="0"/>
    <x v="799"/>
    <x v="2"/>
    <x v="799"/>
    <x v="799"/>
    <x v="76"/>
    <x v="6"/>
  </r>
  <r>
    <x v="1863"/>
    <x v="0"/>
    <x v="0"/>
    <x v="46"/>
    <x v="79"/>
    <x v="3"/>
    <x v="87"/>
    <x v="224"/>
    <x v="78"/>
    <x v="119"/>
    <x v="0"/>
    <x v="800"/>
    <x v="2"/>
    <x v="800"/>
    <x v="800"/>
    <x v="117"/>
    <x v="13"/>
  </r>
  <r>
    <x v="1864"/>
    <x v="0"/>
    <x v="0"/>
    <x v="46"/>
    <x v="79"/>
    <x v="3"/>
    <x v="87"/>
    <x v="225"/>
    <x v="78"/>
    <x v="119"/>
    <x v="0"/>
    <x v="801"/>
    <x v="2"/>
    <x v="801"/>
    <x v="801"/>
    <x v="117"/>
    <x v="13"/>
  </r>
  <r>
    <x v="1865"/>
    <x v="0"/>
    <x v="0"/>
    <x v="46"/>
    <x v="79"/>
    <x v="3"/>
    <x v="87"/>
    <x v="226"/>
    <x v="78"/>
    <x v="119"/>
    <x v="0"/>
    <x v="802"/>
    <x v="2"/>
    <x v="802"/>
    <x v="802"/>
    <x v="117"/>
    <x v="13"/>
  </r>
  <r>
    <x v="1866"/>
    <x v="0"/>
    <x v="0"/>
    <x v="46"/>
    <x v="79"/>
    <x v="3"/>
    <x v="87"/>
    <x v="227"/>
    <x v="78"/>
    <x v="119"/>
    <x v="0"/>
    <x v="803"/>
    <x v="2"/>
    <x v="803"/>
    <x v="803"/>
    <x v="117"/>
    <x v="13"/>
  </r>
  <r>
    <x v="1867"/>
    <x v="0"/>
    <x v="0"/>
    <x v="46"/>
    <x v="79"/>
    <x v="3"/>
    <x v="87"/>
    <x v="228"/>
    <x v="1"/>
    <x v="2"/>
    <x v="0"/>
    <x v="757"/>
    <x v="2"/>
    <x v="757"/>
    <x v="757"/>
    <x v="2"/>
    <x v="1"/>
  </r>
  <r>
    <x v="1868"/>
    <x v="0"/>
    <x v="0"/>
    <x v="46"/>
    <x v="79"/>
    <x v="3"/>
    <x v="87"/>
    <x v="229"/>
    <x v="1"/>
    <x v="2"/>
    <x v="0"/>
    <x v="740"/>
    <x v="2"/>
    <x v="740"/>
    <x v="740"/>
    <x v="2"/>
    <x v="1"/>
  </r>
  <r>
    <x v="1869"/>
    <x v="0"/>
    <x v="0"/>
    <x v="46"/>
    <x v="79"/>
    <x v="3"/>
    <x v="87"/>
    <x v="230"/>
    <x v="1"/>
    <x v="2"/>
    <x v="0"/>
    <x v="804"/>
    <x v="2"/>
    <x v="804"/>
    <x v="804"/>
    <x v="2"/>
    <x v="1"/>
  </r>
  <r>
    <x v="1870"/>
    <x v="0"/>
    <x v="0"/>
    <x v="46"/>
    <x v="79"/>
    <x v="3"/>
    <x v="87"/>
    <x v="231"/>
    <x v="1"/>
    <x v="2"/>
    <x v="0"/>
    <x v="734"/>
    <x v="2"/>
    <x v="734"/>
    <x v="734"/>
    <x v="2"/>
    <x v="1"/>
  </r>
  <r>
    <x v="1871"/>
    <x v="0"/>
    <x v="0"/>
    <x v="46"/>
    <x v="79"/>
    <x v="3"/>
    <x v="87"/>
    <x v="222"/>
    <x v="44"/>
    <x v="82"/>
    <x v="0"/>
    <x v="804"/>
    <x v="2"/>
    <x v="804"/>
    <x v="804"/>
    <x v="81"/>
    <x v="6"/>
  </r>
  <r>
    <x v="1872"/>
    <x v="0"/>
    <x v="0"/>
    <x v="46"/>
    <x v="79"/>
    <x v="3"/>
    <x v="87"/>
    <x v="254"/>
    <x v="44"/>
    <x v="82"/>
    <x v="0"/>
    <x v="760"/>
    <x v="2"/>
    <x v="760"/>
    <x v="760"/>
    <x v="81"/>
    <x v="6"/>
  </r>
  <r>
    <x v="1873"/>
    <x v="0"/>
    <x v="0"/>
    <x v="46"/>
    <x v="79"/>
    <x v="3"/>
    <x v="87"/>
    <x v="223"/>
    <x v="44"/>
    <x v="82"/>
    <x v="0"/>
    <x v="770"/>
    <x v="2"/>
    <x v="770"/>
    <x v="770"/>
    <x v="81"/>
    <x v="6"/>
  </r>
  <r>
    <x v="1874"/>
    <x v="0"/>
    <x v="0"/>
    <x v="46"/>
    <x v="79"/>
    <x v="3"/>
    <x v="87"/>
    <x v="241"/>
    <x v="44"/>
    <x v="82"/>
    <x v="0"/>
    <x v="738"/>
    <x v="2"/>
    <x v="738"/>
    <x v="738"/>
    <x v="81"/>
    <x v="6"/>
  </r>
  <r>
    <x v="1875"/>
    <x v="0"/>
    <x v="0"/>
    <x v="46"/>
    <x v="79"/>
    <x v="3"/>
    <x v="87"/>
    <x v="235"/>
    <x v="41"/>
    <x v="78"/>
    <x v="0"/>
    <x v="765"/>
    <x v="2"/>
    <x v="765"/>
    <x v="765"/>
    <x v="77"/>
    <x v="7"/>
  </r>
  <r>
    <x v="1876"/>
    <x v="0"/>
    <x v="0"/>
    <x v="46"/>
    <x v="79"/>
    <x v="3"/>
    <x v="87"/>
    <x v="241"/>
    <x v="41"/>
    <x v="78"/>
    <x v="0"/>
    <x v="768"/>
    <x v="2"/>
    <x v="768"/>
    <x v="768"/>
    <x v="77"/>
    <x v="7"/>
  </r>
  <r>
    <x v="1877"/>
    <x v="0"/>
    <x v="0"/>
    <x v="46"/>
    <x v="79"/>
    <x v="3"/>
    <x v="87"/>
    <x v="233"/>
    <x v="41"/>
    <x v="78"/>
    <x v="0"/>
    <x v="805"/>
    <x v="2"/>
    <x v="805"/>
    <x v="805"/>
    <x v="77"/>
    <x v="7"/>
  </r>
  <r>
    <x v="1878"/>
    <x v="0"/>
    <x v="0"/>
    <x v="46"/>
    <x v="79"/>
    <x v="3"/>
    <x v="87"/>
    <x v="240"/>
    <x v="74"/>
    <x v="117"/>
    <x v="0"/>
    <x v="762"/>
    <x v="2"/>
    <x v="762"/>
    <x v="762"/>
    <x v="115"/>
    <x v="11"/>
  </r>
  <r>
    <x v="1879"/>
    <x v="0"/>
    <x v="0"/>
    <x v="46"/>
    <x v="79"/>
    <x v="3"/>
    <x v="87"/>
    <x v="242"/>
    <x v="74"/>
    <x v="117"/>
    <x v="0"/>
    <x v="733"/>
    <x v="2"/>
    <x v="733"/>
    <x v="733"/>
    <x v="115"/>
    <x v="11"/>
  </r>
  <r>
    <x v="1880"/>
    <x v="0"/>
    <x v="0"/>
    <x v="46"/>
    <x v="79"/>
    <x v="3"/>
    <x v="87"/>
    <x v="232"/>
    <x v="74"/>
    <x v="117"/>
    <x v="0"/>
    <x v="802"/>
    <x v="2"/>
    <x v="802"/>
    <x v="802"/>
    <x v="115"/>
    <x v="11"/>
  </r>
  <r>
    <x v="1881"/>
    <x v="0"/>
    <x v="0"/>
    <x v="46"/>
    <x v="79"/>
    <x v="3"/>
    <x v="87"/>
    <x v="234"/>
    <x v="74"/>
    <x v="117"/>
    <x v="0"/>
    <x v="761"/>
    <x v="2"/>
    <x v="761"/>
    <x v="761"/>
    <x v="115"/>
    <x v="11"/>
  </r>
  <r>
    <x v="1882"/>
    <x v="0"/>
    <x v="0"/>
    <x v="46"/>
    <x v="79"/>
    <x v="3"/>
    <x v="87"/>
    <x v="239"/>
    <x v="79"/>
    <x v="122"/>
    <x v="0"/>
    <x v="806"/>
    <x v="2"/>
    <x v="806"/>
    <x v="806"/>
    <x v="118"/>
    <x v="1"/>
  </r>
  <r>
    <x v="1883"/>
    <x v="0"/>
    <x v="0"/>
    <x v="46"/>
    <x v="79"/>
    <x v="3"/>
    <x v="87"/>
    <x v="237"/>
    <x v="79"/>
    <x v="122"/>
    <x v="0"/>
    <x v="758"/>
    <x v="2"/>
    <x v="758"/>
    <x v="758"/>
    <x v="118"/>
    <x v="1"/>
  </r>
  <r>
    <x v="1884"/>
    <x v="0"/>
    <x v="0"/>
    <x v="46"/>
    <x v="79"/>
    <x v="3"/>
    <x v="87"/>
    <x v="236"/>
    <x v="79"/>
    <x v="122"/>
    <x v="0"/>
    <x v="773"/>
    <x v="2"/>
    <x v="773"/>
    <x v="773"/>
    <x v="118"/>
    <x v="1"/>
  </r>
  <r>
    <x v="1885"/>
    <x v="0"/>
    <x v="0"/>
    <x v="46"/>
    <x v="79"/>
    <x v="3"/>
    <x v="87"/>
    <x v="238"/>
    <x v="79"/>
    <x v="122"/>
    <x v="0"/>
    <x v="807"/>
    <x v="2"/>
    <x v="807"/>
    <x v="807"/>
    <x v="118"/>
    <x v="1"/>
  </r>
  <r>
    <x v="1886"/>
    <x v="0"/>
    <x v="0"/>
    <x v="46"/>
    <x v="79"/>
    <x v="3"/>
    <x v="87"/>
    <x v="246"/>
    <x v="78"/>
    <x v="119"/>
    <x v="0"/>
    <x v="774"/>
    <x v="2"/>
    <x v="774"/>
    <x v="774"/>
    <x v="117"/>
    <x v="13"/>
  </r>
  <r>
    <x v="1887"/>
    <x v="0"/>
    <x v="0"/>
    <x v="46"/>
    <x v="79"/>
    <x v="3"/>
    <x v="87"/>
    <x v="243"/>
    <x v="78"/>
    <x v="119"/>
    <x v="0"/>
    <x v="733"/>
    <x v="2"/>
    <x v="733"/>
    <x v="733"/>
    <x v="117"/>
    <x v="13"/>
  </r>
  <r>
    <x v="1888"/>
    <x v="0"/>
    <x v="0"/>
    <x v="46"/>
    <x v="79"/>
    <x v="3"/>
    <x v="87"/>
    <x v="244"/>
    <x v="78"/>
    <x v="119"/>
    <x v="0"/>
    <x v="770"/>
    <x v="2"/>
    <x v="770"/>
    <x v="770"/>
    <x v="117"/>
    <x v="13"/>
  </r>
  <r>
    <x v="1889"/>
    <x v="0"/>
    <x v="0"/>
    <x v="46"/>
    <x v="79"/>
    <x v="3"/>
    <x v="87"/>
    <x v="221"/>
    <x v="78"/>
    <x v="119"/>
    <x v="0"/>
    <x v="808"/>
    <x v="2"/>
    <x v="808"/>
    <x v="808"/>
    <x v="117"/>
    <x v="13"/>
  </r>
  <r>
    <x v="1890"/>
    <x v="0"/>
    <x v="0"/>
    <x v="46"/>
    <x v="79"/>
    <x v="3"/>
    <x v="87"/>
    <x v="247"/>
    <x v="40"/>
    <x v="77"/>
    <x v="0"/>
    <x v="760"/>
    <x v="2"/>
    <x v="760"/>
    <x v="760"/>
    <x v="76"/>
    <x v="6"/>
  </r>
  <r>
    <x v="1891"/>
    <x v="0"/>
    <x v="0"/>
    <x v="46"/>
    <x v="79"/>
    <x v="3"/>
    <x v="87"/>
    <x v="248"/>
    <x v="40"/>
    <x v="77"/>
    <x v="0"/>
    <x v="740"/>
    <x v="2"/>
    <x v="740"/>
    <x v="740"/>
    <x v="76"/>
    <x v="6"/>
  </r>
  <r>
    <x v="1892"/>
    <x v="0"/>
    <x v="0"/>
    <x v="46"/>
    <x v="79"/>
    <x v="3"/>
    <x v="87"/>
    <x v="245"/>
    <x v="40"/>
    <x v="77"/>
    <x v="0"/>
    <x v="809"/>
    <x v="2"/>
    <x v="809"/>
    <x v="809"/>
    <x v="76"/>
    <x v="6"/>
  </r>
  <r>
    <x v="1893"/>
    <x v="5"/>
    <x v="0"/>
    <x v="46"/>
    <x v="79"/>
    <x v="3"/>
    <x v="87"/>
    <x v="251"/>
    <x v="79"/>
    <x v="122"/>
    <x v="0"/>
    <x v="810"/>
    <x v="2"/>
    <x v="810"/>
    <x v="810"/>
    <x v="118"/>
    <x v="1"/>
  </r>
  <r>
    <x v="1894"/>
    <x v="5"/>
    <x v="0"/>
    <x v="46"/>
    <x v="79"/>
    <x v="3"/>
    <x v="87"/>
    <x v="250"/>
    <x v="79"/>
    <x v="122"/>
    <x v="0"/>
    <x v="811"/>
    <x v="2"/>
    <x v="811"/>
    <x v="811"/>
    <x v="118"/>
    <x v="1"/>
  </r>
  <r>
    <x v="1895"/>
    <x v="5"/>
    <x v="0"/>
    <x v="46"/>
    <x v="79"/>
    <x v="3"/>
    <x v="87"/>
    <x v="252"/>
    <x v="64"/>
    <x v="107"/>
    <x v="0"/>
    <x v="812"/>
    <x v="2"/>
    <x v="812"/>
    <x v="812"/>
    <x v="105"/>
    <x v="6"/>
  </r>
  <r>
    <x v="1896"/>
    <x v="5"/>
    <x v="0"/>
    <x v="46"/>
    <x v="79"/>
    <x v="3"/>
    <x v="87"/>
    <x v="224"/>
    <x v="78"/>
    <x v="119"/>
    <x v="0"/>
    <x v="753"/>
    <x v="2"/>
    <x v="753"/>
    <x v="753"/>
    <x v="117"/>
    <x v="13"/>
  </r>
  <r>
    <x v="1897"/>
    <x v="5"/>
    <x v="0"/>
    <x v="46"/>
    <x v="79"/>
    <x v="3"/>
    <x v="87"/>
    <x v="225"/>
    <x v="78"/>
    <x v="119"/>
    <x v="0"/>
    <x v="773"/>
    <x v="2"/>
    <x v="773"/>
    <x v="773"/>
    <x v="117"/>
    <x v="13"/>
  </r>
  <r>
    <x v="1898"/>
    <x v="5"/>
    <x v="0"/>
    <x v="46"/>
    <x v="79"/>
    <x v="3"/>
    <x v="87"/>
    <x v="226"/>
    <x v="78"/>
    <x v="119"/>
    <x v="0"/>
    <x v="813"/>
    <x v="2"/>
    <x v="813"/>
    <x v="813"/>
    <x v="117"/>
    <x v="13"/>
  </r>
  <r>
    <x v="1899"/>
    <x v="5"/>
    <x v="0"/>
    <x v="46"/>
    <x v="79"/>
    <x v="3"/>
    <x v="87"/>
    <x v="227"/>
    <x v="78"/>
    <x v="119"/>
    <x v="0"/>
    <x v="814"/>
    <x v="2"/>
    <x v="814"/>
    <x v="814"/>
    <x v="117"/>
    <x v="13"/>
  </r>
  <r>
    <x v="1900"/>
    <x v="5"/>
    <x v="0"/>
    <x v="46"/>
    <x v="79"/>
    <x v="3"/>
    <x v="87"/>
    <x v="223"/>
    <x v="78"/>
    <x v="119"/>
    <x v="0"/>
    <x v="762"/>
    <x v="2"/>
    <x v="762"/>
    <x v="762"/>
    <x v="117"/>
    <x v="13"/>
  </r>
  <r>
    <x v="1901"/>
    <x v="5"/>
    <x v="0"/>
    <x v="46"/>
    <x v="79"/>
    <x v="3"/>
    <x v="87"/>
    <x v="228"/>
    <x v="40"/>
    <x v="77"/>
    <x v="0"/>
    <x v="733"/>
    <x v="2"/>
    <x v="733"/>
    <x v="733"/>
    <x v="76"/>
    <x v="6"/>
  </r>
  <r>
    <x v="1902"/>
    <x v="5"/>
    <x v="0"/>
    <x v="46"/>
    <x v="79"/>
    <x v="3"/>
    <x v="87"/>
    <x v="229"/>
    <x v="40"/>
    <x v="77"/>
    <x v="0"/>
    <x v="806"/>
    <x v="2"/>
    <x v="806"/>
    <x v="806"/>
    <x v="76"/>
    <x v="6"/>
  </r>
  <r>
    <x v="1903"/>
    <x v="5"/>
    <x v="0"/>
    <x v="46"/>
    <x v="79"/>
    <x v="3"/>
    <x v="87"/>
    <x v="231"/>
    <x v="40"/>
    <x v="77"/>
    <x v="0"/>
    <x v="815"/>
    <x v="2"/>
    <x v="815"/>
    <x v="815"/>
    <x v="76"/>
    <x v="6"/>
  </r>
  <r>
    <x v="1904"/>
    <x v="5"/>
    <x v="0"/>
    <x v="46"/>
    <x v="79"/>
    <x v="3"/>
    <x v="87"/>
    <x v="245"/>
    <x v="40"/>
    <x v="77"/>
    <x v="0"/>
    <x v="736"/>
    <x v="2"/>
    <x v="736"/>
    <x v="736"/>
    <x v="76"/>
    <x v="6"/>
  </r>
  <r>
    <x v="1905"/>
    <x v="5"/>
    <x v="0"/>
    <x v="46"/>
    <x v="79"/>
    <x v="3"/>
    <x v="87"/>
    <x v="221"/>
    <x v="44"/>
    <x v="82"/>
    <x v="0"/>
    <x v="809"/>
    <x v="2"/>
    <x v="809"/>
    <x v="809"/>
    <x v="81"/>
    <x v="6"/>
  </r>
  <r>
    <x v="1906"/>
    <x v="5"/>
    <x v="0"/>
    <x v="46"/>
    <x v="79"/>
    <x v="3"/>
    <x v="87"/>
    <x v="222"/>
    <x v="44"/>
    <x v="82"/>
    <x v="0"/>
    <x v="816"/>
    <x v="2"/>
    <x v="816"/>
    <x v="816"/>
    <x v="81"/>
    <x v="6"/>
  </r>
  <r>
    <x v="1907"/>
    <x v="5"/>
    <x v="0"/>
    <x v="46"/>
    <x v="79"/>
    <x v="3"/>
    <x v="87"/>
    <x v="234"/>
    <x v="44"/>
    <x v="82"/>
    <x v="0"/>
    <x v="740"/>
    <x v="2"/>
    <x v="740"/>
    <x v="740"/>
    <x v="81"/>
    <x v="6"/>
  </r>
  <r>
    <x v="1908"/>
    <x v="5"/>
    <x v="0"/>
    <x v="46"/>
    <x v="79"/>
    <x v="3"/>
    <x v="87"/>
    <x v="233"/>
    <x v="64"/>
    <x v="107"/>
    <x v="0"/>
    <x v="760"/>
    <x v="2"/>
    <x v="760"/>
    <x v="760"/>
    <x v="105"/>
    <x v="6"/>
  </r>
  <r>
    <x v="1909"/>
    <x v="5"/>
    <x v="0"/>
    <x v="46"/>
    <x v="79"/>
    <x v="3"/>
    <x v="87"/>
    <x v="235"/>
    <x v="64"/>
    <x v="107"/>
    <x v="0"/>
    <x v="816"/>
    <x v="2"/>
    <x v="816"/>
    <x v="816"/>
    <x v="105"/>
    <x v="6"/>
  </r>
  <r>
    <x v="1910"/>
    <x v="5"/>
    <x v="0"/>
    <x v="46"/>
    <x v="79"/>
    <x v="3"/>
    <x v="87"/>
    <x v="240"/>
    <x v="64"/>
    <x v="107"/>
    <x v="0"/>
    <x v="768"/>
    <x v="2"/>
    <x v="768"/>
    <x v="768"/>
    <x v="105"/>
    <x v="6"/>
  </r>
  <r>
    <x v="1911"/>
    <x v="5"/>
    <x v="0"/>
    <x v="46"/>
    <x v="79"/>
    <x v="3"/>
    <x v="87"/>
    <x v="241"/>
    <x v="79"/>
    <x v="122"/>
    <x v="0"/>
    <x v="765"/>
    <x v="2"/>
    <x v="765"/>
    <x v="765"/>
    <x v="118"/>
    <x v="1"/>
  </r>
  <r>
    <x v="1912"/>
    <x v="5"/>
    <x v="0"/>
    <x v="46"/>
    <x v="79"/>
    <x v="3"/>
    <x v="87"/>
    <x v="242"/>
    <x v="79"/>
    <x v="122"/>
    <x v="0"/>
    <x v="815"/>
    <x v="2"/>
    <x v="815"/>
    <x v="815"/>
    <x v="118"/>
    <x v="1"/>
  </r>
  <r>
    <x v="1913"/>
    <x v="5"/>
    <x v="0"/>
    <x v="46"/>
    <x v="79"/>
    <x v="3"/>
    <x v="87"/>
    <x v="232"/>
    <x v="79"/>
    <x v="122"/>
    <x v="0"/>
    <x v="817"/>
    <x v="2"/>
    <x v="817"/>
    <x v="817"/>
    <x v="118"/>
    <x v="1"/>
  </r>
  <r>
    <x v="1914"/>
    <x v="5"/>
    <x v="0"/>
    <x v="46"/>
    <x v="79"/>
    <x v="3"/>
    <x v="87"/>
    <x v="246"/>
    <x v="78"/>
    <x v="119"/>
    <x v="0"/>
    <x v="739"/>
    <x v="2"/>
    <x v="739"/>
    <x v="739"/>
    <x v="117"/>
    <x v="13"/>
  </r>
  <r>
    <x v="1915"/>
    <x v="5"/>
    <x v="0"/>
    <x v="46"/>
    <x v="79"/>
    <x v="3"/>
    <x v="87"/>
    <x v="243"/>
    <x v="78"/>
    <x v="119"/>
    <x v="0"/>
    <x v="818"/>
    <x v="2"/>
    <x v="818"/>
    <x v="818"/>
    <x v="117"/>
    <x v="13"/>
  </r>
  <r>
    <x v="1916"/>
    <x v="5"/>
    <x v="0"/>
    <x v="46"/>
    <x v="79"/>
    <x v="3"/>
    <x v="87"/>
    <x v="244"/>
    <x v="78"/>
    <x v="119"/>
    <x v="0"/>
    <x v="760"/>
    <x v="2"/>
    <x v="760"/>
    <x v="760"/>
    <x v="117"/>
    <x v="13"/>
  </r>
  <r>
    <x v="1917"/>
    <x v="5"/>
    <x v="0"/>
    <x v="46"/>
    <x v="79"/>
    <x v="3"/>
    <x v="87"/>
    <x v="238"/>
    <x v="78"/>
    <x v="119"/>
    <x v="0"/>
    <x v="819"/>
    <x v="2"/>
    <x v="819"/>
    <x v="819"/>
    <x v="117"/>
    <x v="13"/>
  </r>
  <r>
    <x v="1918"/>
    <x v="5"/>
    <x v="0"/>
    <x v="46"/>
    <x v="79"/>
    <x v="3"/>
    <x v="87"/>
    <x v="237"/>
    <x v="40"/>
    <x v="77"/>
    <x v="0"/>
    <x v="731"/>
    <x v="2"/>
    <x v="731"/>
    <x v="731"/>
    <x v="76"/>
    <x v="6"/>
  </r>
  <r>
    <x v="1919"/>
    <x v="5"/>
    <x v="0"/>
    <x v="46"/>
    <x v="79"/>
    <x v="3"/>
    <x v="87"/>
    <x v="239"/>
    <x v="40"/>
    <x v="77"/>
    <x v="0"/>
    <x v="820"/>
    <x v="2"/>
    <x v="820"/>
    <x v="820"/>
    <x v="76"/>
    <x v="6"/>
  </r>
  <r>
    <x v="1920"/>
    <x v="5"/>
    <x v="0"/>
    <x v="46"/>
    <x v="79"/>
    <x v="3"/>
    <x v="87"/>
    <x v="236"/>
    <x v="40"/>
    <x v="77"/>
    <x v="0"/>
    <x v="772"/>
    <x v="2"/>
    <x v="772"/>
    <x v="772"/>
    <x v="76"/>
    <x v="6"/>
  </r>
  <r>
    <x v="1921"/>
    <x v="5"/>
    <x v="0"/>
    <x v="46"/>
    <x v="79"/>
    <x v="3"/>
    <x v="87"/>
    <x v="247"/>
    <x v="64"/>
    <x v="107"/>
    <x v="0"/>
    <x v="734"/>
    <x v="2"/>
    <x v="734"/>
    <x v="734"/>
    <x v="105"/>
    <x v="6"/>
  </r>
  <r>
    <x v="1922"/>
    <x v="5"/>
    <x v="0"/>
    <x v="46"/>
    <x v="79"/>
    <x v="3"/>
    <x v="87"/>
    <x v="230"/>
    <x v="64"/>
    <x v="107"/>
    <x v="0"/>
    <x v="814"/>
    <x v="2"/>
    <x v="814"/>
    <x v="814"/>
    <x v="105"/>
    <x v="6"/>
  </r>
  <r>
    <x v="1923"/>
    <x v="5"/>
    <x v="0"/>
    <x v="46"/>
    <x v="79"/>
    <x v="3"/>
    <x v="87"/>
    <x v="248"/>
    <x v="64"/>
    <x v="107"/>
    <x v="0"/>
    <x v="730"/>
    <x v="2"/>
    <x v="730"/>
    <x v="730"/>
    <x v="105"/>
    <x v="6"/>
  </r>
  <r>
    <x v="1924"/>
    <x v="1"/>
    <x v="0"/>
    <x v="46"/>
    <x v="79"/>
    <x v="3"/>
    <x v="87"/>
    <x v="250"/>
    <x v="79"/>
    <x v="122"/>
    <x v="0"/>
    <x v="821"/>
    <x v="2"/>
    <x v="821"/>
    <x v="821"/>
    <x v="118"/>
    <x v="1"/>
  </r>
  <r>
    <x v="1925"/>
    <x v="1"/>
    <x v="0"/>
    <x v="46"/>
    <x v="79"/>
    <x v="3"/>
    <x v="87"/>
    <x v="252"/>
    <x v="79"/>
    <x v="122"/>
    <x v="0"/>
    <x v="822"/>
    <x v="2"/>
    <x v="822"/>
    <x v="822"/>
    <x v="118"/>
    <x v="1"/>
  </r>
  <r>
    <x v="1926"/>
    <x v="1"/>
    <x v="0"/>
    <x v="46"/>
    <x v="79"/>
    <x v="3"/>
    <x v="87"/>
    <x v="224"/>
    <x v="78"/>
    <x v="119"/>
    <x v="0"/>
    <x v="735"/>
    <x v="2"/>
    <x v="735"/>
    <x v="735"/>
    <x v="117"/>
    <x v="13"/>
  </r>
  <r>
    <x v="1927"/>
    <x v="1"/>
    <x v="0"/>
    <x v="46"/>
    <x v="79"/>
    <x v="3"/>
    <x v="87"/>
    <x v="225"/>
    <x v="78"/>
    <x v="119"/>
    <x v="0"/>
    <x v="823"/>
    <x v="2"/>
    <x v="823"/>
    <x v="823"/>
    <x v="117"/>
    <x v="13"/>
  </r>
  <r>
    <x v="1928"/>
    <x v="1"/>
    <x v="0"/>
    <x v="46"/>
    <x v="79"/>
    <x v="3"/>
    <x v="87"/>
    <x v="226"/>
    <x v="78"/>
    <x v="119"/>
    <x v="0"/>
    <x v="804"/>
    <x v="2"/>
    <x v="804"/>
    <x v="804"/>
    <x v="117"/>
    <x v="13"/>
  </r>
  <r>
    <x v="1929"/>
    <x v="1"/>
    <x v="0"/>
    <x v="46"/>
    <x v="79"/>
    <x v="3"/>
    <x v="87"/>
    <x v="227"/>
    <x v="78"/>
    <x v="119"/>
    <x v="0"/>
    <x v="824"/>
    <x v="2"/>
    <x v="824"/>
    <x v="824"/>
    <x v="117"/>
    <x v="13"/>
  </r>
  <r>
    <x v="1930"/>
    <x v="1"/>
    <x v="0"/>
    <x v="46"/>
    <x v="79"/>
    <x v="3"/>
    <x v="87"/>
    <x v="223"/>
    <x v="78"/>
    <x v="119"/>
    <x v="0"/>
    <x v="825"/>
    <x v="2"/>
    <x v="825"/>
    <x v="825"/>
    <x v="117"/>
    <x v="13"/>
  </r>
  <r>
    <x v="1931"/>
    <x v="1"/>
    <x v="0"/>
    <x v="46"/>
    <x v="79"/>
    <x v="3"/>
    <x v="87"/>
    <x v="246"/>
    <x v="40"/>
    <x v="77"/>
    <x v="0"/>
    <x v="758"/>
    <x v="2"/>
    <x v="758"/>
    <x v="758"/>
    <x v="76"/>
    <x v="6"/>
  </r>
  <r>
    <x v="1932"/>
    <x v="1"/>
    <x v="0"/>
    <x v="46"/>
    <x v="79"/>
    <x v="3"/>
    <x v="87"/>
    <x v="247"/>
    <x v="40"/>
    <x v="77"/>
    <x v="0"/>
    <x v="826"/>
    <x v="2"/>
    <x v="826"/>
    <x v="826"/>
    <x v="76"/>
    <x v="6"/>
  </r>
  <r>
    <x v="1933"/>
    <x v="1"/>
    <x v="0"/>
    <x v="46"/>
    <x v="79"/>
    <x v="3"/>
    <x v="87"/>
    <x v="230"/>
    <x v="40"/>
    <x v="77"/>
    <x v="0"/>
    <x v="827"/>
    <x v="2"/>
    <x v="827"/>
    <x v="827"/>
    <x v="76"/>
    <x v="6"/>
  </r>
  <r>
    <x v="1934"/>
    <x v="1"/>
    <x v="0"/>
    <x v="46"/>
    <x v="79"/>
    <x v="3"/>
    <x v="87"/>
    <x v="248"/>
    <x v="40"/>
    <x v="77"/>
    <x v="0"/>
    <x v="749"/>
    <x v="2"/>
    <x v="749"/>
    <x v="749"/>
    <x v="76"/>
    <x v="6"/>
  </r>
  <r>
    <x v="1935"/>
    <x v="1"/>
    <x v="0"/>
    <x v="46"/>
    <x v="79"/>
    <x v="3"/>
    <x v="87"/>
    <x v="221"/>
    <x v="1"/>
    <x v="2"/>
    <x v="0"/>
    <x v="733"/>
    <x v="2"/>
    <x v="733"/>
    <x v="733"/>
    <x v="2"/>
    <x v="1"/>
  </r>
  <r>
    <x v="1936"/>
    <x v="1"/>
    <x v="0"/>
    <x v="46"/>
    <x v="79"/>
    <x v="3"/>
    <x v="87"/>
    <x v="245"/>
    <x v="1"/>
    <x v="2"/>
    <x v="0"/>
    <x v="768"/>
    <x v="2"/>
    <x v="768"/>
    <x v="768"/>
    <x v="2"/>
    <x v="1"/>
  </r>
  <r>
    <x v="1937"/>
    <x v="1"/>
    <x v="0"/>
    <x v="46"/>
    <x v="79"/>
    <x v="3"/>
    <x v="87"/>
    <x v="228"/>
    <x v="1"/>
    <x v="2"/>
    <x v="0"/>
    <x v="741"/>
    <x v="2"/>
    <x v="741"/>
    <x v="741"/>
    <x v="2"/>
    <x v="1"/>
  </r>
  <r>
    <x v="1938"/>
    <x v="1"/>
    <x v="0"/>
    <x v="46"/>
    <x v="79"/>
    <x v="3"/>
    <x v="87"/>
    <x v="229"/>
    <x v="1"/>
    <x v="2"/>
    <x v="0"/>
    <x v="828"/>
    <x v="2"/>
    <x v="828"/>
    <x v="828"/>
    <x v="2"/>
    <x v="1"/>
  </r>
  <r>
    <x v="1939"/>
    <x v="1"/>
    <x v="0"/>
    <x v="46"/>
    <x v="79"/>
    <x v="3"/>
    <x v="87"/>
    <x v="231"/>
    <x v="1"/>
    <x v="2"/>
    <x v="0"/>
    <x v="829"/>
    <x v="2"/>
    <x v="829"/>
    <x v="829"/>
    <x v="2"/>
    <x v="1"/>
  </r>
  <r>
    <x v="1940"/>
    <x v="1"/>
    <x v="0"/>
    <x v="46"/>
    <x v="79"/>
    <x v="3"/>
    <x v="87"/>
    <x v="240"/>
    <x v="79"/>
    <x v="122"/>
    <x v="0"/>
    <x v="820"/>
    <x v="2"/>
    <x v="820"/>
    <x v="820"/>
    <x v="118"/>
    <x v="1"/>
  </r>
  <r>
    <x v="1941"/>
    <x v="1"/>
    <x v="0"/>
    <x v="46"/>
    <x v="79"/>
    <x v="3"/>
    <x v="87"/>
    <x v="235"/>
    <x v="79"/>
    <x v="122"/>
    <x v="0"/>
    <x v="795"/>
    <x v="2"/>
    <x v="795"/>
    <x v="795"/>
    <x v="118"/>
    <x v="1"/>
  </r>
  <r>
    <x v="1942"/>
    <x v="1"/>
    <x v="0"/>
    <x v="46"/>
    <x v="79"/>
    <x v="3"/>
    <x v="87"/>
    <x v="233"/>
    <x v="79"/>
    <x v="122"/>
    <x v="0"/>
    <x v="801"/>
    <x v="2"/>
    <x v="801"/>
    <x v="801"/>
    <x v="118"/>
    <x v="1"/>
  </r>
  <r>
    <x v="1943"/>
    <x v="1"/>
    <x v="0"/>
    <x v="46"/>
    <x v="79"/>
    <x v="3"/>
    <x v="87"/>
    <x v="243"/>
    <x v="78"/>
    <x v="119"/>
    <x v="0"/>
    <x v="758"/>
    <x v="2"/>
    <x v="758"/>
    <x v="758"/>
    <x v="117"/>
    <x v="13"/>
  </r>
  <r>
    <x v="1944"/>
    <x v="1"/>
    <x v="0"/>
    <x v="46"/>
    <x v="79"/>
    <x v="3"/>
    <x v="87"/>
    <x v="244"/>
    <x v="78"/>
    <x v="119"/>
    <x v="0"/>
    <x v="830"/>
    <x v="2"/>
    <x v="830"/>
    <x v="830"/>
    <x v="117"/>
    <x v="13"/>
  </r>
  <r>
    <x v="1945"/>
    <x v="1"/>
    <x v="0"/>
    <x v="46"/>
    <x v="79"/>
    <x v="3"/>
    <x v="87"/>
    <x v="236"/>
    <x v="78"/>
    <x v="119"/>
    <x v="0"/>
    <x v="749"/>
    <x v="2"/>
    <x v="749"/>
    <x v="749"/>
    <x v="117"/>
    <x v="13"/>
  </r>
  <r>
    <x v="1946"/>
    <x v="1"/>
    <x v="0"/>
    <x v="46"/>
    <x v="79"/>
    <x v="3"/>
    <x v="87"/>
    <x v="234"/>
    <x v="78"/>
    <x v="119"/>
    <x v="0"/>
    <x v="736"/>
    <x v="2"/>
    <x v="736"/>
    <x v="736"/>
    <x v="117"/>
    <x v="13"/>
  </r>
  <r>
    <x v="1947"/>
    <x v="1"/>
    <x v="0"/>
    <x v="46"/>
    <x v="79"/>
    <x v="3"/>
    <x v="87"/>
    <x v="222"/>
    <x v="40"/>
    <x v="77"/>
    <x v="0"/>
    <x v="748"/>
    <x v="2"/>
    <x v="748"/>
    <x v="748"/>
    <x v="76"/>
    <x v="6"/>
  </r>
  <r>
    <x v="1948"/>
    <x v="1"/>
    <x v="0"/>
    <x v="46"/>
    <x v="79"/>
    <x v="3"/>
    <x v="87"/>
    <x v="254"/>
    <x v="40"/>
    <x v="77"/>
    <x v="0"/>
    <x v="831"/>
    <x v="2"/>
    <x v="831"/>
    <x v="831"/>
    <x v="76"/>
    <x v="6"/>
  </r>
  <r>
    <x v="1949"/>
    <x v="1"/>
    <x v="0"/>
    <x v="46"/>
    <x v="79"/>
    <x v="3"/>
    <x v="87"/>
    <x v="239"/>
    <x v="40"/>
    <x v="77"/>
    <x v="0"/>
    <x v="734"/>
    <x v="2"/>
    <x v="734"/>
    <x v="734"/>
    <x v="76"/>
    <x v="6"/>
  </r>
  <r>
    <x v="1950"/>
    <x v="1"/>
    <x v="0"/>
    <x v="46"/>
    <x v="79"/>
    <x v="3"/>
    <x v="87"/>
    <x v="238"/>
    <x v="40"/>
    <x v="77"/>
    <x v="0"/>
    <x v="832"/>
    <x v="2"/>
    <x v="832"/>
    <x v="832"/>
    <x v="76"/>
    <x v="6"/>
  </r>
  <r>
    <x v="1951"/>
    <x v="1"/>
    <x v="0"/>
    <x v="46"/>
    <x v="79"/>
    <x v="3"/>
    <x v="87"/>
    <x v="241"/>
    <x v="1"/>
    <x v="2"/>
    <x v="0"/>
    <x v="833"/>
    <x v="2"/>
    <x v="833"/>
    <x v="833"/>
    <x v="2"/>
    <x v="1"/>
  </r>
  <r>
    <x v="1952"/>
    <x v="1"/>
    <x v="0"/>
    <x v="46"/>
    <x v="79"/>
    <x v="3"/>
    <x v="87"/>
    <x v="242"/>
    <x v="1"/>
    <x v="2"/>
    <x v="0"/>
    <x v="819"/>
    <x v="2"/>
    <x v="819"/>
    <x v="819"/>
    <x v="2"/>
    <x v="1"/>
  </r>
  <r>
    <x v="1953"/>
    <x v="1"/>
    <x v="0"/>
    <x v="46"/>
    <x v="79"/>
    <x v="3"/>
    <x v="87"/>
    <x v="232"/>
    <x v="1"/>
    <x v="2"/>
    <x v="0"/>
    <x v="770"/>
    <x v="2"/>
    <x v="770"/>
    <x v="770"/>
    <x v="2"/>
    <x v="1"/>
  </r>
  <r>
    <x v="1954"/>
    <x v="1"/>
    <x v="0"/>
    <x v="46"/>
    <x v="79"/>
    <x v="3"/>
    <x v="87"/>
    <x v="237"/>
    <x v="1"/>
    <x v="2"/>
    <x v="0"/>
    <x v="768"/>
    <x v="2"/>
    <x v="768"/>
    <x v="768"/>
    <x v="2"/>
    <x v="1"/>
  </r>
  <r>
    <x v="1955"/>
    <x v="17"/>
    <x v="0"/>
    <x v="46"/>
    <x v="79"/>
    <x v="3"/>
    <x v="87"/>
    <x v="252"/>
    <x v="79"/>
    <x v="122"/>
    <x v="0"/>
    <x v="834"/>
    <x v="2"/>
    <x v="834"/>
    <x v="834"/>
    <x v="118"/>
    <x v="1"/>
  </r>
  <r>
    <x v="1956"/>
    <x v="17"/>
    <x v="0"/>
    <x v="46"/>
    <x v="79"/>
    <x v="3"/>
    <x v="87"/>
    <x v="227"/>
    <x v="79"/>
    <x v="122"/>
    <x v="0"/>
    <x v="835"/>
    <x v="2"/>
    <x v="835"/>
    <x v="835"/>
    <x v="118"/>
    <x v="1"/>
  </r>
  <r>
    <x v="1957"/>
    <x v="17"/>
    <x v="0"/>
    <x v="46"/>
    <x v="79"/>
    <x v="3"/>
    <x v="87"/>
    <x v="226"/>
    <x v="79"/>
    <x v="122"/>
    <x v="0"/>
    <x v="836"/>
    <x v="2"/>
    <x v="836"/>
    <x v="836"/>
    <x v="118"/>
    <x v="1"/>
  </r>
  <r>
    <x v="1958"/>
    <x v="17"/>
    <x v="0"/>
    <x v="46"/>
    <x v="79"/>
    <x v="3"/>
    <x v="87"/>
    <x v="224"/>
    <x v="78"/>
    <x v="119"/>
    <x v="0"/>
    <x v="837"/>
    <x v="2"/>
    <x v="837"/>
    <x v="837"/>
    <x v="117"/>
    <x v="13"/>
  </r>
  <r>
    <x v="1959"/>
    <x v="17"/>
    <x v="0"/>
    <x v="46"/>
    <x v="79"/>
    <x v="3"/>
    <x v="87"/>
    <x v="225"/>
    <x v="78"/>
    <x v="119"/>
    <x v="0"/>
    <x v="838"/>
    <x v="2"/>
    <x v="838"/>
    <x v="838"/>
    <x v="117"/>
    <x v="13"/>
  </r>
  <r>
    <x v="1960"/>
    <x v="17"/>
    <x v="0"/>
    <x v="46"/>
    <x v="79"/>
    <x v="3"/>
    <x v="87"/>
    <x v="223"/>
    <x v="78"/>
    <x v="119"/>
    <x v="0"/>
    <x v="839"/>
    <x v="2"/>
    <x v="839"/>
    <x v="839"/>
    <x v="117"/>
    <x v="13"/>
  </r>
  <r>
    <x v="1961"/>
    <x v="17"/>
    <x v="0"/>
    <x v="46"/>
    <x v="79"/>
    <x v="3"/>
    <x v="87"/>
    <x v="234"/>
    <x v="78"/>
    <x v="119"/>
    <x v="0"/>
    <x v="840"/>
    <x v="2"/>
    <x v="840"/>
    <x v="840"/>
    <x v="117"/>
    <x v="13"/>
  </r>
  <r>
    <x v="1962"/>
    <x v="17"/>
    <x v="0"/>
    <x v="46"/>
    <x v="79"/>
    <x v="3"/>
    <x v="87"/>
    <x v="221"/>
    <x v="71"/>
    <x v="115"/>
    <x v="0"/>
    <x v="841"/>
    <x v="2"/>
    <x v="841"/>
    <x v="841"/>
    <x v="113"/>
    <x v="1"/>
  </r>
  <r>
    <x v="1963"/>
    <x v="17"/>
    <x v="0"/>
    <x v="46"/>
    <x v="79"/>
    <x v="3"/>
    <x v="87"/>
    <x v="222"/>
    <x v="71"/>
    <x v="115"/>
    <x v="0"/>
    <x v="842"/>
    <x v="2"/>
    <x v="842"/>
    <x v="842"/>
    <x v="113"/>
    <x v="1"/>
  </r>
  <r>
    <x v="1964"/>
    <x v="17"/>
    <x v="0"/>
    <x v="46"/>
    <x v="79"/>
    <x v="3"/>
    <x v="87"/>
    <x v="254"/>
    <x v="71"/>
    <x v="115"/>
    <x v="0"/>
    <x v="843"/>
    <x v="2"/>
    <x v="843"/>
    <x v="843"/>
    <x v="113"/>
    <x v="1"/>
  </r>
  <r>
    <x v="1965"/>
    <x v="17"/>
    <x v="0"/>
    <x v="46"/>
    <x v="79"/>
    <x v="3"/>
    <x v="87"/>
    <x v="237"/>
    <x v="71"/>
    <x v="115"/>
    <x v="0"/>
    <x v="844"/>
    <x v="2"/>
    <x v="844"/>
    <x v="844"/>
    <x v="113"/>
    <x v="1"/>
  </r>
  <r>
    <x v="1966"/>
    <x v="17"/>
    <x v="0"/>
    <x v="46"/>
    <x v="79"/>
    <x v="3"/>
    <x v="87"/>
    <x v="231"/>
    <x v="64"/>
    <x v="107"/>
    <x v="0"/>
    <x v="845"/>
    <x v="2"/>
    <x v="845"/>
    <x v="845"/>
    <x v="105"/>
    <x v="6"/>
  </r>
  <r>
    <x v="1967"/>
    <x v="17"/>
    <x v="0"/>
    <x v="46"/>
    <x v="79"/>
    <x v="3"/>
    <x v="87"/>
    <x v="229"/>
    <x v="64"/>
    <x v="107"/>
    <x v="0"/>
    <x v="846"/>
    <x v="2"/>
    <x v="846"/>
    <x v="846"/>
    <x v="105"/>
    <x v="6"/>
  </r>
  <r>
    <x v="1968"/>
    <x v="17"/>
    <x v="0"/>
    <x v="46"/>
    <x v="79"/>
    <x v="3"/>
    <x v="87"/>
    <x v="245"/>
    <x v="64"/>
    <x v="107"/>
    <x v="0"/>
    <x v="847"/>
    <x v="2"/>
    <x v="847"/>
    <x v="847"/>
    <x v="105"/>
    <x v="6"/>
  </r>
  <r>
    <x v="1969"/>
    <x v="17"/>
    <x v="0"/>
    <x v="46"/>
    <x v="79"/>
    <x v="3"/>
    <x v="87"/>
    <x v="228"/>
    <x v="64"/>
    <x v="107"/>
    <x v="0"/>
    <x v="848"/>
    <x v="2"/>
    <x v="848"/>
    <x v="848"/>
    <x v="105"/>
    <x v="6"/>
  </r>
  <r>
    <x v="1970"/>
    <x v="17"/>
    <x v="0"/>
    <x v="46"/>
    <x v="79"/>
    <x v="3"/>
    <x v="87"/>
    <x v="242"/>
    <x v="44"/>
    <x v="82"/>
    <x v="0"/>
    <x v="849"/>
    <x v="2"/>
    <x v="849"/>
    <x v="849"/>
    <x v="81"/>
    <x v="6"/>
  </r>
  <r>
    <x v="1971"/>
    <x v="17"/>
    <x v="0"/>
    <x v="46"/>
    <x v="79"/>
    <x v="3"/>
    <x v="87"/>
    <x v="233"/>
    <x v="44"/>
    <x v="82"/>
    <x v="0"/>
    <x v="850"/>
    <x v="2"/>
    <x v="850"/>
    <x v="850"/>
    <x v="81"/>
    <x v="6"/>
  </r>
  <r>
    <x v="1972"/>
    <x v="17"/>
    <x v="0"/>
    <x v="46"/>
    <x v="79"/>
    <x v="3"/>
    <x v="87"/>
    <x v="232"/>
    <x v="44"/>
    <x v="82"/>
    <x v="0"/>
    <x v="851"/>
    <x v="2"/>
    <x v="851"/>
    <x v="851"/>
    <x v="81"/>
    <x v="6"/>
  </r>
  <r>
    <x v="1973"/>
    <x v="17"/>
    <x v="0"/>
    <x v="46"/>
    <x v="79"/>
    <x v="3"/>
    <x v="87"/>
    <x v="235"/>
    <x v="79"/>
    <x v="122"/>
    <x v="0"/>
    <x v="852"/>
    <x v="2"/>
    <x v="852"/>
    <x v="852"/>
    <x v="118"/>
    <x v="1"/>
  </r>
  <r>
    <x v="1974"/>
    <x v="17"/>
    <x v="0"/>
    <x v="46"/>
    <x v="79"/>
    <x v="3"/>
    <x v="87"/>
    <x v="240"/>
    <x v="79"/>
    <x v="122"/>
    <x v="0"/>
    <x v="853"/>
    <x v="2"/>
    <x v="853"/>
    <x v="853"/>
    <x v="118"/>
    <x v="1"/>
  </r>
  <r>
    <x v="1975"/>
    <x v="17"/>
    <x v="0"/>
    <x v="46"/>
    <x v="79"/>
    <x v="3"/>
    <x v="87"/>
    <x v="241"/>
    <x v="79"/>
    <x v="122"/>
    <x v="0"/>
    <x v="848"/>
    <x v="2"/>
    <x v="848"/>
    <x v="848"/>
    <x v="118"/>
    <x v="1"/>
  </r>
  <r>
    <x v="1976"/>
    <x v="17"/>
    <x v="0"/>
    <x v="46"/>
    <x v="79"/>
    <x v="3"/>
    <x v="87"/>
    <x v="236"/>
    <x v="79"/>
    <x v="122"/>
    <x v="0"/>
    <x v="854"/>
    <x v="2"/>
    <x v="854"/>
    <x v="854"/>
    <x v="118"/>
    <x v="1"/>
  </r>
  <r>
    <x v="1977"/>
    <x v="17"/>
    <x v="0"/>
    <x v="46"/>
    <x v="79"/>
    <x v="3"/>
    <x v="87"/>
    <x v="246"/>
    <x v="71"/>
    <x v="115"/>
    <x v="0"/>
    <x v="855"/>
    <x v="2"/>
    <x v="855"/>
    <x v="855"/>
    <x v="113"/>
    <x v="1"/>
  </r>
  <r>
    <x v="1978"/>
    <x v="17"/>
    <x v="0"/>
    <x v="46"/>
    <x v="79"/>
    <x v="3"/>
    <x v="87"/>
    <x v="248"/>
    <x v="71"/>
    <x v="115"/>
    <x v="0"/>
    <x v="856"/>
    <x v="2"/>
    <x v="856"/>
    <x v="856"/>
    <x v="113"/>
    <x v="1"/>
  </r>
  <r>
    <x v="1979"/>
    <x v="17"/>
    <x v="0"/>
    <x v="46"/>
    <x v="79"/>
    <x v="3"/>
    <x v="87"/>
    <x v="247"/>
    <x v="71"/>
    <x v="115"/>
    <x v="0"/>
    <x v="857"/>
    <x v="2"/>
    <x v="857"/>
    <x v="857"/>
    <x v="113"/>
    <x v="1"/>
  </r>
  <r>
    <x v="1980"/>
    <x v="17"/>
    <x v="0"/>
    <x v="46"/>
    <x v="79"/>
    <x v="3"/>
    <x v="87"/>
    <x v="230"/>
    <x v="71"/>
    <x v="115"/>
    <x v="0"/>
    <x v="855"/>
    <x v="2"/>
    <x v="855"/>
    <x v="855"/>
    <x v="113"/>
    <x v="1"/>
  </r>
  <r>
    <x v="1981"/>
    <x v="17"/>
    <x v="0"/>
    <x v="46"/>
    <x v="79"/>
    <x v="3"/>
    <x v="87"/>
    <x v="243"/>
    <x v="78"/>
    <x v="119"/>
    <x v="0"/>
    <x v="858"/>
    <x v="2"/>
    <x v="858"/>
    <x v="858"/>
    <x v="117"/>
    <x v="13"/>
  </r>
  <r>
    <x v="1982"/>
    <x v="17"/>
    <x v="0"/>
    <x v="46"/>
    <x v="79"/>
    <x v="3"/>
    <x v="87"/>
    <x v="244"/>
    <x v="78"/>
    <x v="119"/>
    <x v="0"/>
    <x v="859"/>
    <x v="2"/>
    <x v="859"/>
    <x v="859"/>
    <x v="117"/>
    <x v="13"/>
  </r>
  <r>
    <x v="1983"/>
    <x v="17"/>
    <x v="0"/>
    <x v="46"/>
    <x v="79"/>
    <x v="3"/>
    <x v="87"/>
    <x v="239"/>
    <x v="78"/>
    <x v="119"/>
    <x v="0"/>
    <x v="860"/>
    <x v="2"/>
    <x v="860"/>
    <x v="860"/>
    <x v="117"/>
    <x v="13"/>
  </r>
  <r>
    <x v="1984"/>
    <x v="17"/>
    <x v="0"/>
    <x v="46"/>
    <x v="79"/>
    <x v="3"/>
    <x v="87"/>
    <x v="238"/>
    <x v="78"/>
    <x v="119"/>
    <x v="0"/>
    <x v="861"/>
    <x v="2"/>
    <x v="861"/>
    <x v="861"/>
    <x v="117"/>
    <x v="13"/>
  </r>
  <r>
    <x v="1985"/>
    <x v="12"/>
    <x v="0"/>
    <x v="46"/>
    <x v="79"/>
    <x v="3"/>
    <x v="87"/>
    <x v="254"/>
    <x v="79"/>
    <x v="122"/>
    <x v="0"/>
    <x v="862"/>
    <x v="2"/>
    <x v="862"/>
    <x v="862"/>
    <x v="118"/>
    <x v="1"/>
  </r>
  <r>
    <x v="1986"/>
    <x v="12"/>
    <x v="0"/>
    <x v="46"/>
    <x v="79"/>
    <x v="3"/>
    <x v="87"/>
    <x v="224"/>
    <x v="78"/>
    <x v="119"/>
    <x v="0"/>
    <x v="863"/>
    <x v="2"/>
    <x v="863"/>
    <x v="863"/>
    <x v="117"/>
    <x v="13"/>
  </r>
  <r>
    <x v="1987"/>
    <x v="12"/>
    <x v="0"/>
    <x v="46"/>
    <x v="79"/>
    <x v="3"/>
    <x v="87"/>
    <x v="225"/>
    <x v="78"/>
    <x v="119"/>
    <x v="0"/>
    <x v="864"/>
    <x v="2"/>
    <x v="864"/>
    <x v="864"/>
    <x v="117"/>
    <x v="13"/>
  </r>
  <r>
    <x v="1988"/>
    <x v="12"/>
    <x v="0"/>
    <x v="46"/>
    <x v="79"/>
    <x v="3"/>
    <x v="87"/>
    <x v="226"/>
    <x v="78"/>
    <x v="119"/>
    <x v="0"/>
    <x v="865"/>
    <x v="2"/>
    <x v="865"/>
    <x v="865"/>
    <x v="117"/>
    <x v="13"/>
  </r>
  <r>
    <x v="1989"/>
    <x v="12"/>
    <x v="0"/>
    <x v="46"/>
    <x v="79"/>
    <x v="3"/>
    <x v="87"/>
    <x v="223"/>
    <x v="78"/>
    <x v="119"/>
    <x v="0"/>
    <x v="866"/>
    <x v="2"/>
    <x v="866"/>
    <x v="866"/>
    <x v="117"/>
    <x v="13"/>
  </r>
  <r>
    <x v="1990"/>
    <x v="12"/>
    <x v="0"/>
    <x v="46"/>
    <x v="79"/>
    <x v="3"/>
    <x v="87"/>
    <x v="250"/>
    <x v="1"/>
    <x v="2"/>
    <x v="0"/>
    <x v="867"/>
    <x v="2"/>
    <x v="867"/>
    <x v="867"/>
    <x v="2"/>
    <x v="1"/>
  </r>
  <r>
    <x v="1991"/>
    <x v="12"/>
    <x v="0"/>
    <x v="46"/>
    <x v="79"/>
    <x v="3"/>
    <x v="87"/>
    <x v="227"/>
    <x v="1"/>
    <x v="2"/>
    <x v="0"/>
    <x v="868"/>
    <x v="2"/>
    <x v="868"/>
    <x v="868"/>
    <x v="2"/>
    <x v="1"/>
  </r>
  <r>
    <x v="1992"/>
    <x v="12"/>
    <x v="0"/>
    <x v="46"/>
    <x v="79"/>
    <x v="3"/>
    <x v="87"/>
    <x v="231"/>
    <x v="1"/>
    <x v="2"/>
    <x v="0"/>
    <x v="869"/>
    <x v="2"/>
    <x v="869"/>
    <x v="869"/>
    <x v="2"/>
    <x v="1"/>
  </r>
  <r>
    <x v="1993"/>
    <x v="12"/>
    <x v="0"/>
    <x v="46"/>
    <x v="79"/>
    <x v="3"/>
    <x v="87"/>
    <x v="246"/>
    <x v="64"/>
    <x v="107"/>
    <x v="0"/>
    <x v="868"/>
    <x v="2"/>
    <x v="868"/>
    <x v="868"/>
    <x v="105"/>
    <x v="6"/>
  </r>
  <r>
    <x v="1994"/>
    <x v="12"/>
    <x v="0"/>
    <x v="46"/>
    <x v="79"/>
    <x v="3"/>
    <x v="87"/>
    <x v="247"/>
    <x v="64"/>
    <x v="107"/>
    <x v="0"/>
    <x v="870"/>
    <x v="2"/>
    <x v="870"/>
    <x v="870"/>
    <x v="105"/>
    <x v="6"/>
  </r>
  <r>
    <x v="1995"/>
    <x v="12"/>
    <x v="0"/>
    <x v="46"/>
    <x v="79"/>
    <x v="3"/>
    <x v="87"/>
    <x v="248"/>
    <x v="64"/>
    <x v="107"/>
    <x v="0"/>
    <x v="871"/>
    <x v="2"/>
    <x v="871"/>
    <x v="871"/>
    <x v="105"/>
    <x v="6"/>
  </r>
  <r>
    <x v="1996"/>
    <x v="12"/>
    <x v="0"/>
    <x v="46"/>
    <x v="79"/>
    <x v="3"/>
    <x v="87"/>
    <x v="228"/>
    <x v="64"/>
    <x v="107"/>
    <x v="0"/>
    <x v="872"/>
    <x v="2"/>
    <x v="872"/>
    <x v="872"/>
    <x v="105"/>
    <x v="6"/>
  </r>
  <r>
    <x v="1997"/>
    <x v="12"/>
    <x v="0"/>
    <x v="46"/>
    <x v="79"/>
    <x v="3"/>
    <x v="87"/>
    <x v="233"/>
    <x v="74"/>
    <x v="117"/>
    <x v="0"/>
    <x v="873"/>
    <x v="2"/>
    <x v="873"/>
    <x v="873"/>
    <x v="115"/>
    <x v="11"/>
  </r>
  <r>
    <x v="1998"/>
    <x v="12"/>
    <x v="0"/>
    <x v="46"/>
    <x v="79"/>
    <x v="3"/>
    <x v="87"/>
    <x v="242"/>
    <x v="74"/>
    <x v="117"/>
    <x v="0"/>
    <x v="874"/>
    <x v="2"/>
    <x v="874"/>
    <x v="874"/>
    <x v="115"/>
    <x v="11"/>
  </r>
  <r>
    <x v="1999"/>
    <x v="12"/>
    <x v="0"/>
    <x v="46"/>
    <x v="79"/>
    <x v="3"/>
    <x v="87"/>
    <x v="232"/>
    <x v="74"/>
    <x v="117"/>
    <x v="0"/>
    <x v="875"/>
    <x v="2"/>
    <x v="875"/>
    <x v="875"/>
    <x v="115"/>
    <x v="11"/>
  </r>
  <r>
    <x v="2000"/>
    <x v="12"/>
    <x v="0"/>
    <x v="46"/>
    <x v="79"/>
    <x v="3"/>
    <x v="87"/>
    <x v="237"/>
    <x v="79"/>
    <x v="122"/>
    <x v="0"/>
    <x v="869"/>
    <x v="2"/>
    <x v="869"/>
    <x v="869"/>
    <x v="118"/>
    <x v="1"/>
  </r>
  <r>
    <x v="2001"/>
    <x v="12"/>
    <x v="0"/>
    <x v="46"/>
    <x v="79"/>
    <x v="3"/>
    <x v="87"/>
    <x v="235"/>
    <x v="79"/>
    <x v="122"/>
    <x v="0"/>
    <x v="869"/>
    <x v="2"/>
    <x v="869"/>
    <x v="869"/>
    <x v="118"/>
    <x v="1"/>
  </r>
  <r>
    <x v="2002"/>
    <x v="12"/>
    <x v="0"/>
    <x v="46"/>
    <x v="79"/>
    <x v="3"/>
    <x v="87"/>
    <x v="240"/>
    <x v="79"/>
    <x v="122"/>
    <x v="0"/>
    <x v="852"/>
    <x v="2"/>
    <x v="852"/>
    <x v="852"/>
    <x v="118"/>
    <x v="1"/>
  </r>
  <r>
    <x v="2003"/>
    <x v="12"/>
    <x v="0"/>
    <x v="46"/>
    <x v="79"/>
    <x v="3"/>
    <x v="87"/>
    <x v="241"/>
    <x v="79"/>
    <x v="122"/>
    <x v="0"/>
    <x v="876"/>
    <x v="2"/>
    <x v="876"/>
    <x v="876"/>
    <x v="118"/>
    <x v="1"/>
  </r>
  <r>
    <x v="2004"/>
    <x v="12"/>
    <x v="0"/>
    <x v="46"/>
    <x v="79"/>
    <x v="3"/>
    <x v="87"/>
    <x v="243"/>
    <x v="78"/>
    <x v="119"/>
    <x v="0"/>
    <x v="877"/>
    <x v="2"/>
    <x v="877"/>
    <x v="877"/>
    <x v="117"/>
    <x v="13"/>
  </r>
  <r>
    <x v="2005"/>
    <x v="12"/>
    <x v="0"/>
    <x v="46"/>
    <x v="79"/>
    <x v="3"/>
    <x v="87"/>
    <x v="244"/>
    <x v="78"/>
    <x v="119"/>
    <x v="0"/>
    <x v="878"/>
    <x v="2"/>
    <x v="878"/>
    <x v="878"/>
    <x v="117"/>
    <x v="13"/>
  </r>
  <r>
    <x v="2006"/>
    <x v="12"/>
    <x v="0"/>
    <x v="46"/>
    <x v="79"/>
    <x v="3"/>
    <x v="87"/>
    <x v="245"/>
    <x v="78"/>
    <x v="119"/>
    <x v="0"/>
    <x v="855"/>
    <x v="2"/>
    <x v="855"/>
    <x v="855"/>
    <x v="117"/>
    <x v="13"/>
  </r>
  <r>
    <x v="2007"/>
    <x v="12"/>
    <x v="0"/>
    <x v="46"/>
    <x v="79"/>
    <x v="3"/>
    <x v="87"/>
    <x v="229"/>
    <x v="78"/>
    <x v="119"/>
    <x v="0"/>
    <x v="879"/>
    <x v="2"/>
    <x v="879"/>
    <x v="879"/>
    <x v="117"/>
    <x v="13"/>
  </r>
  <r>
    <x v="2008"/>
    <x v="12"/>
    <x v="0"/>
    <x v="46"/>
    <x v="79"/>
    <x v="3"/>
    <x v="87"/>
    <x v="254"/>
    <x v="78"/>
    <x v="119"/>
    <x v="0"/>
    <x v="880"/>
    <x v="2"/>
    <x v="880"/>
    <x v="880"/>
    <x v="117"/>
    <x v="13"/>
  </r>
  <r>
    <x v="2009"/>
    <x v="12"/>
    <x v="0"/>
    <x v="46"/>
    <x v="79"/>
    <x v="3"/>
    <x v="87"/>
    <x v="221"/>
    <x v="1"/>
    <x v="2"/>
    <x v="0"/>
    <x v="881"/>
    <x v="2"/>
    <x v="881"/>
    <x v="881"/>
    <x v="2"/>
    <x v="1"/>
  </r>
  <r>
    <x v="2010"/>
    <x v="12"/>
    <x v="0"/>
    <x v="46"/>
    <x v="79"/>
    <x v="3"/>
    <x v="87"/>
    <x v="222"/>
    <x v="1"/>
    <x v="2"/>
    <x v="0"/>
    <x v="882"/>
    <x v="2"/>
    <x v="882"/>
    <x v="882"/>
    <x v="2"/>
    <x v="1"/>
  </r>
  <r>
    <x v="2011"/>
    <x v="12"/>
    <x v="0"/>
    <x v="46"/>
    <x v="79"/>
    <x v="3"/>
    <x v="87"/>
    <x v="236"/>
    <x v="1"/>
    <x v="2"/>
    <x v="0"/>
    <x v="883"/>
    <x v="2"/>
    <x v="883"/>
    <x v="883"/>
    <x v="2"/>
    <x v="1"/>
  </r>
  <r>
    <x v="2012"/>
    <x v="12"/>
    <x v="0"/>
    <x v="46"/>
    <x v="79"/>
    <x v="3"/>
    <x v="87"/>
    <x v="238"/>
    <x v="1"/>
    <x v="2"/>
    <x v="0"/>
    <x v="884"/>
    <x v="2"/>
    <x v="884"/>
    <x v="884"/>
    <x v="2"/>
    <x v="1"/>
  </r>
  <r>
    <x v="2013"/>
    <x v="12"/>
    <x v="0"/>
    <x v="46"/>
    <x v="79"/>
    <x v="3"/>
    <x v="87"/>
    <x v="230"/>
    <x v="64"/>
    <x v="107"/>
    <x v="0"/>
    <x v="839"/>
    <x v="2"/>
    <x v="839"/>
    <x v="839"/>
    <x v="105"/>
    <x v="6"/>
  </r>
  <r>
    <x v="2014"/>
    <x v="12"/>
    <x v="0"/>
    <x v="46"/>
    <x v="79"/>
    <x v="3"/>
    <x v="87"/>
    <x v="239"/>
    <x v="64"/>
    <x v="107"/>
    <x v="0"/>
    <x v="885"/>
    <x v="2"/>
    <x v="885"/>
    <x v="885"/>
    <x v="105"/>
    <x v="6"/>
  </r>
  <r>
    <x v="2015"/>
    <x v="12"/>
    <x v="0"/>
    <x v="46"/>
    <x v="79"/>
    <x v="3"/>
    <x v="87"/>
    <x v="234"/>
    <x v="64"/>
    <x v="107"/>
    <x v="0"/>
    <x v="886"/>
    <x v="2"/>
    <x v="886"/>
    <x v="886"/>
    <x v="105"/>
    <x v="6"/>
  </r>
  <r>
    <x v="2016"/>
    <x v="2"/>
    <x v="0"/>
    <x v="46"/>
    <x v="79"/>
    <x v="3"/>
    <x v="87"/>
    <x v="225"/>
    <x v="79"/>
    <x v="122"/>
    <x v="0"/>
    <x v="887"/>
    <x v="2"/>
    <x v="887"/>
    <x v="887"/>
    <x v="118"/>
    <x v="1"/>
  </r>
  <r>
    <x v="2017"/>
    <x v="2"/>
    <x v="0"/>
    <x v="46"/>
    <x v="79"/>
    <x v="3"/>
    <x v="87"/>
    <x v="227"/>
    <x v="79"/>
    <x v="122"/>
    <x v="0"/>
    <x v="860"/>
    <x v="2"/>
    <x v="860"/>
    <x v="860"/>
    <x v="118"/>
    <x v="1"/>
  </r>
  <r>
    <x v="2018"/>
    <x v="2"/>
    <x v="0"/>
    <x v="46"/>
    <x v="79"/>
    <x v="3"/>
    <x v="87"/>
    <x v="223"/>
    <x v="79"/>
    <x v="122"/>
    <x v="0"/>
    <x v="854"/>
    <x v="2"/>
    <x v="854"/>
    <x v="854"/>
    <x v="118"/>
    <x v="1"/>
  </r>
  <r>
    <x v="2019"/>
    <x v="2"/>
    <x v="0"/>
    <x v="46"/>
    <x v="79"/>
    <x v="3"/>
    <x v="87"/>
    <x v="224"/>
    <x v="78"/>
    <x v="119"/>
    <x v="0"/>
    <x v="888"/>
    <x v="2"/>
    <x v="888"/>
    <x v="888"/>
    <x v="117"/>
    <x v="13"/>
  </r>
  <r>
    <x v="2020"/>
    <x v="2"/>
    <x v="0"/>
    <x v="46"/>
    <x v="79"/>
    <x v="3"/>
    <x v="87"/>
    <x v="226"/>
    <x v="78"/>
    <x v="119"/>
    <x v="0"/>
    <x v="889"/>
    <x v="2"/>
    <x v="889"/>
    <x v="889"/>
    <x v="117"/>
    <x v="13"/>
  </r>
  <r>
    <x v="2021"/>
    <x v="2"/>
    <x v="0"/>
    <x v="46"/>
    <x v="79"/>
    <x v="3"/>
    <x v="87"/>
    <x v="239"/>
    <x v="78"/>
    <x v="119"/>
    <x v="0"/>
    <x v="890"/>
    <x v="2"/>
    <x v="890"/>
    <x v="890"/>
    <x v="117"/>
    <x v="13"/>
  </r>
  <r>
    <x v="2022"/>
    <x v="2"/>
    <x v="0"/>
    <x v="46"/>
    <x v="79"/>
    <x v="3"/>
    <x v="87"/>
    <x v="254"/>
    <x v="64"/>
    <x v="107"/>
    <x v="0"/>
    <x v="891"/>
    <x v="2"/>
    <x v="891"/>
    <x v="891"/>
    <x v="105"/>
    <x v="6"/>
  </r>
  <r>
    <x v="2023"/>
    <x v="2"/>
    <x v="0"/>
    <x v="46"/>
    <x v="79"/>
    <x v="3"/>
    <x v="87"/>
    <x v="236"/>
    <x v="64"/>
    <x v="107"/>
    <x v="0"/>
    <x v="892"/>
    <x v="2"/>
    <x v="892"/>
    <x v="892"/>
    <x v="105"/>
    <x v="6"/>
  </r>
  <r>
    <x v="2024"/>
    <x v="2"/>
    <x v="0"/>
    <x v="46"/>
    <x v="79"/>
    <x v="3"/>
    <x v="87"/>
    <x v="231"/>
    <x v="40"/>
    <x v="77"/>
    <x v="0"/>
    <x v="893"/>
    <x v="2"/>
    <x v="893"/>
    <x v="893"/>
    <x v="76"/>
    <x v="6"/>
  </r>
  <r>
    <x v="2025"/>
    <x v="2"/>
    <x v="0"/>
    <x v="46"/>
    <x v="79"/>
    <x v="3"/>
    <x v="87"/>
    <x v="222"/>
    <x v="40"/>
    <x v="77"/>
    <x v="0"/>
    <x v="894"/>
    <x v="2"/>
    <x v="894"/>
    <x v="894"/>
    <x v="76"/>
    <x v="6"/>
  </r>
  <r>
    <x v="2026"/>
    <x v="2"/>
    <x v="0"/>
    <x v="46"/>
    <x v="79"/>
    <x v="3"/>
    <x v="87"/>
    <x v="233"/>
    <x v="66"/>
    <x v="109"/>
    <x v="0"/>
    <x v="895"/>
    <x v="2"/>
    <x v="895"/>
    <x v="895"/>
    <x v="107"/>
    <x v="12"/>
  </r>
  <r>
    <x v="2027"/>
    <x v="2"/>
    <x v="0"/>
    <x v="46"/>
    <x v="79"/>
    <x v="3"/>
    <x v="87"/>
    <x v="235"/>
    <x v="66"/>
    <x v="109"/>
    <x v="0"/>
    <x v="896"/>
    <x v="2"/>
    <x v="896"/>
    <x v="896"/>
    <x v="107"/>
    <x v="12"/>
  </r>
  <r>
    <x v="2028"/>
    <x v="2"/>
    <x v="0"/>
    <x v="46"/>
    <x v="79"/>
    <x v="3"/>
    <x v="87"/>
    <x v="240"/>
    <x v="66"/>
    <x v="109"/>
    <x v="0"/>
    <x v="897"/>
    <x v="2"/>
    <x v="897"/>
    <x v="897"/>
    <x v="107"/>
    <x v="12"/>
  </r>
  <r>
    <x v="2029"/>
    <x v="2"/>
    <x v="0"/>
    <x v="46"/>
    <x v="79"/>
    <x v="3"/>
    <x v="87"/>
    <x v="242"/>
    <x v="44"/>
    <x v="82"/>
    <x v="0"/>
    <x v="898"/>
    <x v="2"/>
    <x v="898"/>
    <x v="898"/>
    <x v="81"/>
    <x v="6"/>
  </r>
  <r>
    <x v="2030"/>
    <x v="2"/>
    <x v="0"/>
    <x v="46"/>
    <x v="79"/>
    <x v="3"/>
    <x v="87"/>
    <x v="238"/>
    <x v="44"/>
    <x v="82"/>
    <x v="0"/>
    <x v="874"/>
    <x v="2"/>
    <x v="874"/>
    <x v="874"/>
    <x v="81"/>
    <x v="6"/>
  </r>
  <r>
    <x v="2031"/>
    <x v="2"/>
    <x v="0"/>
    <x v="46"/>
    <x v="79"/>
    <x v="3"/>
    <x v="87"/>
    <x v="234"/>
    <x v="44"/>
    <x v="82"/>
    <x v="0"/>
    <x v="897"/>
    <x v="2"/>
    <x v="897"/>
    <x v="897"/>
    <x v="81"/>
    <x v="6"/>
  </r>
  <r>
    <x v="2032"/>
    <x v="2"/>
    <x v="0"/>
    <x v="46"/>
    <x v="79"/>
    <x v="3"/>
    <x v="87"/>
    <x v="236"/>
    <x v="74"/>
    <x v="117"/>
    <x v="0"/>
    <x v="899"/>
    <x v="2"/>
    <x v="899"/>
    <x v="899"/>
    <x v="115"/>
    <x v="11"/>
  </r>
  <r>
    <x v="2033"/>
    <x v="2"/>
    <x v="0"/>
    <x v="46"/>
    <x v="79"/>
    <x v="3"/>
    <x v="87"/>
    <x v="241"/>
    <x v="74"/>
    <x v="117"/>
    <x v="0"/>
    <x v="890"/>
    <x v="2"/>
    <x v="890"/>
    <x v="890"/>
    <x v="115"/>
    <x v="11"/>
  </r>
  <r>
    <x v="2034"/>
    <x v="2"/>
    <x v="0"/>
    <x v="46"/>
    <x v="79"/>
    <x v="3"/>
    <x v="87"/>
    <x v="232"/>
    <x v="74"/>
    <x v="117"/>
    <x v="0"/>
    <x v="900"/>
    <x v="2"/>
    <x v="900"/>
    <x v="900"/>
    <x v="115"/>
    <x v="11"/>
  </r>
  <r>
    <x v="2035"/>
    <x v="2"/>
    <x v="0"/>
    <x v="46"/>
    <x v="79"/>
    <x v="3"/>
    <x v="87"/>
    <x v="221"/>
    <x v="79"/>
    <x v="122"/>
    <x v="0"/>
    <x v="901"/>
    <x v="2"/>
    <x v="901"/>
    <x v="901"/>
    <x v="118"/>
    <x v="1"/>
  </r>
  <r>
    <x v="2036"/>
    <x v="2"/>
    <x v="0"/>
    <x v="46"/>
    <x v="79"/>
    <x v="3"/>
    <x v="87"/>
    <x v="229"/>
    <x v="79"/>
    <x v="122"/>
    <x v="0"/>
    <x v="902"/>
    <x v="2"/>
    <x v="902"/>
    <x v="902"/>
    <x v="118"/>
    <x v="1"/>
  </r>
  <r>
    <x v="2037"/>
    <x v="2"/>
    <x v="0"/>
    <x v="46"/>
    <x v="79"/>
    <x v="3"/>
    <x v="87"/>
    <x v="243"/>
    <x v="78"/>
    <x v="119"/>
    <x v="0"/>
    <x v="903"/>
    <x v="2"/>
    <x v="903"/>
    <x v="903"/>
    <x v="117"/>
    <x v="13"/>
  </r>
  <r>
    <x v="2038"/>
    <x v="2"/>
    <x v="0"/>
    <x v="46"/>
    <x v="79"/>
    <x v="3"/>
    <x v="87"/>
    <x v="244"/>
    <x v="78"/>
    <x v="119"/>
    <x v="0"/>
    <x v="904"/>
    <x v="2"/>
    <x v="904"/>
    <x v="904"/>
    <x v="117"/>
    <x v="13"/>
  </r>
  <r>
    <x v="2039"/>
    <x v="2"/>
    <x v="0"/>
    <x v="46"/>
    <x v="79"/>
    <x v="3"/>
    <x v="87"/>
    <x v="237"/>
    <x v="78"/>
    <x v="119"/>
    <x v="0"/>
    <x v="905"/>
    <x v="2"/>
    <x v="905"/>
    <x v="905"/>
    <x v="117"/>
    <x v="13"/>
  </r>
  <r>
    <x v="2040"/>
    <x v="2"/>
    <x v="0"/>
    <x v="46"/>
    <x v="79"/>
    <x v="3"/>
    <x v="87"/>
    <x v="246"/>
    <x v="64"/>
    <x v="107"/>
    <x v="0"/>
    <x v="906"/>
    <x v="2"/>
    <x v="906"/>
    <x v="906"/>
    <x v="105"/>
    <x v="6"/>
  </r>
  <r>
    <x v="2041"/>
    <x v="2"/>
    <x v="0"/>
    <x v="46"/>
    <x v="79"/>
    <x v="3"/>
    <x v="87"/>
    <x v="247"/>
    <x v="64"/>
    <x v="107"/>
    <x v="0"/>
    <x v="907"/>
    <x v="2"/>
    <x v="907"/>
    <x v="907"/>
    <x v="105"/>
    <x v="6"/>
  </r>
  <r>
    <x v="2042"/>
    <x v="2"/>
    <x v="0"/>
    <x v="46"/>
    <x v="79"/>
    <x v="3"/>
    <x v="87"/>
    <x v="245"/>
    <x v="40"/>
    <x v="77"/>
    <x v="0"/>
    <x v="908"/>
    <x v="2"/>
    <x v="908"/>
    <x v="908"/>
    <x v="76"/>
    <x v="6"/>
  </r>
  <r>
    <x v="2043"/>
    <x v="2"/>
    <x v="0"/>
    <x v="46"/>
    <x v="79"/>
    <x v="3"/>
    <x v="87"/>
    <x v="228"/>
    <x v="40"/>
    <x v="77"/>
    <x v="0"/>
    <x v="909"/>
    <x v="2"/>
    <x v="909"/>
    <x v="909"/>
    <x v="76"/>
    <x v="6"/>
  </r>
  <r>
    <x v="2044"/>
    <x v="2"/>
    <x v="0"/>
    <x v="46"/>
    <x v="79"/>
    <x v="3"/>
    <x v="87"/>
    <x v="248"/>
    <x v="71"/>
    <x v="115"/>
    <x v="0"/>
    <x v="910"/>
    <x v="2"/>
    <x v="910"/>
    <x v="910"/>
    <x v="113"/>
    <x v="1"/>
  </r>
  <r>
    <x v="2045"/>
    <x v="2"/>
    <x v="0"/>
    <x v="46"/>
    <x v="79"/>
    <x v="3"/>
    <x v="87"/>
    <x v="230"/>
    <x v="71"/>
    <x v="115"/>
    <x v="0"/>
    <x v="911"/>
    <x v="2"/>
    <x v="911"/>
    <x v="911"/>
    <x v="113"/>
    <x v="1"/>
  </r>
  <r>
    <x v="2046"/>
    <x v="8"/>
    <x v="0"/>
    <x v="46"/>
    <x v="79"/>
    <x v="3"/>
    <x v="87"/>
    <x v="253"/>
    <x v="78"/>
    <x v="119"/>
    <x v="0"/>
    <x v="912"/>
    <x v="2"/>
    <x v="912"/>
    <x v="912"/>
    <x v="117"/>
    <x v="13"/>
  </r>
  <r>
    <x v="2047"/>
    <x v="8"/>
    <x v="0"/>
    <x v="46"/>
    <x v="79"/>
    <x v="3"/>
    <x v="87"/>
    <x v="224"/>
    <x v="79"/>
    <x v="122"/>
    <x v="0"/>
    <x v="913"/>
    <x v="2"/>
    <x v="913"/>
    <x v="913"/>
    <x v="118"/>
    <x v="1"/>
  </r>
  <r>
    <x v="2048"/>
    <x v="8"/>
    <x v="0"/>
    <x v="46"/>
    <x v="79"/>
    <x v="3"/>
    <x v="87"/>
    <x v="225"/>
    <x v="79"/>
    <x v="122"/>
    <x v="0"/>
    <x v="839"/>
    <x v="2"/>
    <x v="839"/>
    <x v="839"/>
    <x v="118"/>
    <x v="1"/>
  </r>
  <r>
    <x v="2049"/>
    <x v="8"/>
    <x v="0"/>
    <x v="46"/>
    <x v="79"/>
    <x v="3"/>
    <x v="87"/>
    <x v="226"/>
    <x v="79"/>
    <x v="122"/>
    <x v="0"/>
    <x v="866"/>
    <x v="2"/>
    <x v="866"/>
    <x v="866"/>
    <x v="118"/>
    <x v="1"/>
  </r>
  <r>
    <x v="2050"/>
    <x v="8"/>
    <x v="0"/>
    <x v="46"/>
    <x v="79"/>
    <x v="3"/>
    <x v="87"/>
    <x v="227"/>
    <x v="79"/>
    <x v="122"/>
    <x v="0"/>
    <x v="857"/>
    <x v="2"/>
    <x v="857"/>
    <x v="857"/>
    <x v="118"/>
    <x v="1"/>
  </r>
  <r>
    <x v="2051"/>
    <x v="8"/>
    <x v="0"/>
    <x v="46"/>
    <x v="79"/>
    <x v="3"/>
    <x v="87"/>
    <x v="248"/>
    <x v="78"/>
    <x v="119"/>
    <x v="0"/>
    <x v="871"/>
    <x v="2"/>
    <x v="871"/>
    <x v="871"/>
    <x v="117"/>
    <x v="13"/>
  </r>
  <r>
    <x v="2052"/>
    <x v="8"/>
    <x v="0"/>
    <x v="46"/>
    <x v="79"/>
    <x v="3"/>
    <x v="87"/>
    <x v="250"/>
    <x v="78"/>
    <x v="119"/>
    <x v="0"/>
    <x v="914"/>
    <x v="2"/>
    <x v="914"/>
    <x v="914"/>
    <x v="117"/>
    <x v="13"/>
  </r>
  <r>
    <x v="2053"/>
    <x v="8"/>
    <x v="0"/>
    <x v="46"/>
    <x v="79"/>
    <x v="3"/>
    <x v="87"/>
    <x v="245"/>
    <x v="64"/>
    <x v="107"/>
    <x v="0"/>
    <x v="915"/>
    <x v="2"/>
    <x v="915"/>
    <x v="915"/>
    <x v="105"/>
    <x v="6"/>
  </r>
  <r>
    <x v="2054"/>
    <x v="8"/>
    <x v="0"/>
    <x v="46"/>
    <x v="79"/>
    <x v="3"/>
    <x v="87"/>
    <x v="228"/>
    <x v="64"/>
    <x v="107"/>
    <x v="0"/>
    <x v="916"/>
    <x v="2"/>
    <x v="916"/>
    <x v="916"/>
    <x v="105"/>
    <x v="6"/>
  </r>
  <r>
    <x v="2055"/>
    <x v="8"/>
    <x v="0"/>
    <x v="46"/>
    <x v="79"/>
    <x v="3"/>
    <x v="87"/>
    <x v="229"/>
    <x v="64"/>
    <x v="107"/>
    <x v="0"/>
    <x v="917"/>
    <x v="2"/>
    <x v="917"/>
    <x v="917"/>
    <x v="105"/>
    <x v="6"/>
  </r>
  <r>
    <x v="2056"/>
    <x v="8"/>
    <x v="0"/>
    <x v="46"/>
    <x v="79"/>
    <x v="3"/>
    <x v="87"/>
    <x v="231"/>
    <x v="40"/>
    <x v="77"/>
    <x v="0"/>
    <x v="857"/>
    <x v="2"/>
    <x v="857"/>
    <x v="857"/>
    <x v="76"/>
    <x v="6"/>
  </r>
  <r>
    <x v="2057"/>
    <x v="8"/>
    <x v="0"/>
    <x v="46"/>
    <x v="79"/>
    <x v="3"/>
    <x v="87"/>
    <x v="222"/>
    <x v="40"/>
    <x v="77"/>
    <x v="0"/>
    <x v="918"/>
    <x v="2"/>
    <x v="918"/>
    <x v="918"/>
    <x v="76"/>
    <x v="6"/>
  </r>
  <r>
    <x v="2058"/>
    <x v="8"/>
    <x v="0"/>
    <x v="46"/>
    <x v="79"/>
    <x v="3"/>
    <x v="87"/>
    <x v="254"/>
    <x v="40"/>
    <x v="77"/>
    <x v="0"/>
    <x v="847"/>
    <x v="2"/>
    <x v="847"/>
    <x v="847"/>
    <x v="76"/>
    <x v="6"/>
  </r>
  <r>
    <x v="2059"/>
    <x v="8"/>
    <x v="0"/>
    <x v="46"/>
    <x v="79"/>
    <x v="3"/>
    <x v="87"/>
    <x v="223"/>
    <x v="40"/>
    <x v="77"/>
    <x v="0"/>
    <x v="919"/>
    <x v="2"/>
    <x v="919"/>
    <x v="919"/>
    <x v="76"/>
    <x v="6"/>
  </r>
  <r>
    <x v="2060"/>
    <x v="8"/>
    <x v="0"/>
    <x v="46"/>
    <x v="79"/>
    <x v="3"/>
    <x v="87"/>
    <x v="240"/>
    <x v="41"/>
    <x v="78"/>
    <x v="0"/>
    <x v="858"/>
    <x v="2"/>
    <x v="858"/>
    <x v="858"/>
    <x v="77"/>
    <x v="7"/>
  </r>
  <r>
    <x v="2061"/>
    <x v="8"/>
    <x v="0"/>
    <x v="46"/>
    <x v="79"/>
    <x v="3"/>
    <x v="87"/>
    <x v="235"/>
    <x v="41"/>
    <x v="78"/>
    <x v="0"/>
    <x v="865"/>
    <x v="2"/>
    <x v="865"/>
    <x v="865"/>
    <x v="77"/>
    <x v="7"/>
  </r>
  <r>
    <x v="2062"/>
    <x v="8"/>
    <x v="0"/>
    <x v="46"/>
    <x v="79"/>
    <x v="3"/>
    <x v="87"/>
    <x v="232"/>
    <x v="41"/>
    <x v="78"/>
    <x v="0"/>
    <x v="882"/>
    <x v="2"/>
    <x v="882"/>
    <x v="882"/>
    <x v="77"/>
    <x v="7"/>
  </r>
  <r>
    <x v="2063"/>
    <x v="8"/>
    <x v="0"/>
    <x v="46"/>
    <x v="79"/>
    <x v="3"/>
    <x v="87"/>
    <x v="242"/>
    <x v="44"/>
    <x v="82"/>
    <x v="0"/>
    <x v="918"/>
    <x v="2"/>
    <x v="918"/>
    <x v="918"/>
    <x v="81"/>
    <x v="6"/>
  </r>
  <r>
    <x v="2064"/>
    <x v="8"/>
    <x v="0"/>
    <x v="46"/>
    <x v="79"/>
    <x v="3"/>
    <x v="87"/>
    <x v="241"/>
    <x v="44"/>
    <x v="82"/>
    <x v="0"/>
    <x v="868"/>
    <x v="2"/>
    <x v="868"/>
    <x v="868"/>
    <x v="81"/>
    <x v="6"/>
  </r>
  <r>
    <x v="2065"/>
    <x v="8"/>
    <x v="0"/>
    <x v="46"/>
    <x v="79"/>
    <x v="3"/>
    <x v="87"/>
    <x v="233"/>
    <x v="44"/>
    <x v="82"/>
    <x v="0"/>
    <x v="920"/>
    <x v="2"/>
    <x v="920"/>
    <x v="920"/>
    <x v="81"/>
    <x v="6"/>
  </r>
  <r>
    <x v="2066"/>
    <x v="8"/>
    <x v="0"/>
    <x v="46"/>
    <x v="79"/>
    <x v="3"/>
    <x v="87"/>
    <x v="238"/>
    <x v="79"/>
    <x v="122"/>
    <x v="0"/>
    <x v="921"/>
    <x v="2"/>
    <x v="921"/>
    <x v="921"/>
    <x v="118"/>
    <x v="1"/>
  </r>
  <r>
    <x v="2067"/>
    <x v="8"/>
    <x v="0"/>
    <x v="46"/>
    <x v="79"/>
    <x v="3"/>
    <x v="87"/>
    <x v="239"/>
    <x v="79"/>
    <x v="122"/>
    <x v="0"/>
    <x v="872"/>
    <x v="2"/>
    <x v="872"/>
    <x v="872"/>
    <x v="118"/>
    <x v="1"/>
  </r>
  <r>
    <x v="2068"/>
    <x v="8"/>
    <x v="0"/>
    <x v="46"/>
    <x v="79"/>
    <x v="3"/>
    <x v="87"/>
    <x v="236"/>
    <x v="79"/>
    <x v="122"/>
    <x v="0"/>
    <x v="922"/>
    <x v="2"/>
    <x v="922"/>
    <x v="922"/>
    <x v="118"/>
    <x v="1"/>
  </r>
  <r>
    <x v="2069"/>
    <x v="8"/>
    <x v="0"/>
    <x v="46"/>
    <x v="79"/>
    <x v="3"/>
    <x v="87"/>
    <x v="237"/>
    <x v="79"/>
    <x v="122"/>
    <x v="0"/>
    <x v="923"/>
    <x v="2"/>
    <x v="923"/>
    <x v="923"/>
    <x v="118"/>
    <x v="1"/>
  </r>
  <r>
    <x v="2070"/>
    <x v="8"/>
    <x v="0"/>
    <x v="46"/>
    <x v="79"/>
    <x v="3"/>
    <x v="87"/>
    <x v="243"/>
    <x v="78"/>
    <x v="119"/>
    <x v="0"/>
    <x v="874"/>
    <x v="2"/>
    <x v="874"/>
    <x v="874"/>
    <x v="117"/>
    <x v="13"/>
  </r>
  <r>
    <x v="2071"/>
    <x v="8"/>
    <x v="0"/>
    <x v="46"/>
    <x v="79"/>
    <x v="3"/>
    <x v="87"/>
    <x v="244"/>
    <x v="78"/>
    <x v="119"/>
    <x v="0"/>
    <x v="924"/>
    <x v="2"/>
    <x v="924"/>
    <x v="924"/>
    <x v="117"/>
    <x v="13"/>
  </r>
  <r>
    <x v="2072"/>
    <x v="8"/>
    <x v="0"/>
    <x v="46"/>
    <x v="79"/>
    <x v="3"/>
    <x v="87"/>
    <x v="221"/>
    <x v="78"/>
    <x v="119"/>
    <x v="0"/>
    <x v="876"/>
    <x v="2"/>
    <x v="876"/>
    <x v="876"/>
    <x v="117"/>
    <x v="13"/>
  </r>
  <r>
    <x v="2073"/>
    <x v="8"/>
    <x v="0"/>
    <x v="46"/>
    <x v="79"/>
    <x v="3"/>
    <x v="87"/>
    <x v="234"/>
    <x v="78"/>
    <x v="119"/>
    <x v="0"/>
    <x v="925"/>
    <x v="2"/>
    <x v="925"/>
    <x v="925"/>
    <x v="117"/>
    <x v="13"/>
  </r>
  <r>
    <x v="2074"/>
    <x v="8"/>
    <x v="0"/>
    <x v="46"/>
    <x v="79"/>
    <x v="3"/>
    <x v="87"/>
    <x v="246"/>
    <x v="64"/>
    <x v="107"/>
    <x v="0"/>
    <x v="835"/>
    <x v="2"/>
    <x v="835"/>
    <x v="835"/>
    <x v="105"/>
    <x v="6"/>
  </r>
  <r>
    <x v="2075"/>
    <x v="8"/>
    <x v="0"/>
    <x v="46"/>
    <x v="79"/>
    <x v="3"/>
    <x v="87"/>
    <x v="247"/>
    <x v="64"/>
    <x v="107"/>
    <x v="0"/>
    <x v="926"/>
    <x v="2"/>
    <x v="926"/>
    <x v="926"/>
    <x v="105"/>
    <x v="6"/>
  </r>
  <r>
    <x v="2076"/>
    <x v="8"/>
    <x v="0"/>
    <x v="46"/>
    <x v="79"/>
    <x v="3"/>
    <x v="87"/>
    <x v="230"/>
    <x v="64"/>
    <x v="107"/>
    <x v="0"/>
    <x v="927"/>
    <x v="2"/>
    <x v="927"/>
    <x v="927"/>
    <x v="105"/>
    <x v="6"/>
  </r>
  <r>
    <x v="2077"/>
    <x v="27"/>
    <x v="0"/>
    <x v="46"/>
    <x v="79"/>
    <x v="3"/>
    <x v="87"/>
    <x v="248"/>
    <x v="79"/>
    <x v="122"/>
    <x v="0"/>
    <x v="869"/>
    <x v="2"/>
    <x v="869"/>
    <x v="869"/>
    <x v="118"/>
    <x v="1"/>
  </r>
  <r>
    <x v="2078"/>
    <x v="27"/>
    <x v="0"/>
    <x v="46"/>
    <x v="79"/>
    <x v="3"/>
    <x v="87"/>
    <x v="246"/>
    <x v="79"/>
    <x v="122"/>
    <x v="0"/>
    <x v="915"/>
    <x v="2"/>
    <x v="915"/>
    <x v="915"/>
    <x v="118"/>
    <x v="1"/>
  </r>
  <r>
    <x v="2079"/>
    <x v="27"/>
    <x v="0"/>
    <x v="46"/>
    <x v="79"/>
    <x v="3"/>
    <x v="87"/>
    <x v="227"/>
    <x v="79"/>
    <x v="122"/>
    <x v="0"/>
    <x v="849"/>
    <x v="2"/>
    <x v="849"/>
    <x v="849"/>
    <x v="118"/>
    <x v="1"/>
  </r>
  <r>
    <x v="2080"/>
    <x v="27"/>
    <x v="0"/>
    <x v="46"/>
    <x v="79"/>
    <x v="3"/>
    <x v="87"/>
    <x v="223"/>
    <x v="79"/>
    <x v="122"/>
    <x v="0"/>
    <x v="928"/>
    <x v="2"/>
    <x v="928"/>
    <x v="928"/>
    <x v="118"/>
    <x v="1"/>
  </r>
  <r>
    <x v="2081"/>
    <x v="27"/>
    <x v="0"/>
    <x v="46"/>
    <x v="79"/>
    <x v="3"/>
    <x v="87"/>
    <x v="224"/>
    <x v="78"/>
    <x v="119"/>
    <x v="0"/>
    <x v="929"/>
    <x v="2"/>
    <x v="929"/>
    <x v="929"/>
    <x v="117"/>
    <x v="13"/>
  </r>
  <r>
    <x v="2082"/>
    <x v="27"/>
    <x v="0"/>
    <x v="46"/>
    <x v="79"/>
    <x v="3"/>
    <x v="87"/>
    <x v="225"/>
    <x v="78"/>
    <x v="119"/>
    <x v="0"/>
    <x v="882"/>
    <x v="2"/>
    <x v="882"/>
    <x v="882"/>
    <x v="117"/>
    <x v="13"/>
  </r>
  <r>
    <x v="2083"/>
    <x v="27"/>
    <x v="0"/>
    <x v="46"/>
    <x v="79"/>
    <x v="3"/>
    <x v="87"/>
    <x v="226"/>
    <x v="78"/>
    <x v="119"/>
    <x v="0"/>
    <x v="875"/>
    <x v="2"/>
    <x v="875"/>
    <x v="875"/>
    <x v="117"/>
    <x v="13"/>
  </r>
  <r>
    <x v="2084"/>
    <x v="27"/>
    <x v="0"/>
    <x v="46"/>
    <x v="79"/>
    <x v="3"/>
    <x v="87"/>
    <x v="236"/>
    <x v="78"/>
    <x v="119"/>
    <x v="0"/>
    <x v="930"/>
    <x v="2"/>
    <x v="930"/>
    <x v="930"/>
    <x v="117"/>
    <x v="13"/>
  </r>
  <r>
    <x v="2085"/>
    <x v="27"/>
    <x v="0"/>
    <x v="46"/>
    <x v="79"/>
    <x v="3"/>
    <x v="87"/>
    <x v="247"/>
    <x v="40"/>
    <x v="77"/>
    <x v="0"/>
    <x v="931"/>
    <x v="2"/>
    <x v="931"/>
    <x v="931"/>
    <x v="76"/>
    <x v="6"/>
  </r>
  <r>
    <x v="2086"/>
    <x v="27"/>
    <x v="0"/>
    <x v="46"/>
    <x v="79"/>
    <x v="3"/>
    <x v="87"/>
    <x v="231"/>
    <x v="40"/>
    <x v="77"/>
    <x v="0"/>
    <x v="877"/>
    <x v="2"/>
    <x v="877"/>
    <x v="877"/>
    <x v="76"/>
    <x v="6"/>
  </r>
  <r>
    <x v="2087"/>
    <x v="27"/>
    <x v="0"/>
    <x v="46"/>
    <x v="79"/>
    <x v="3"/>
    <x v="87"/>
    <x v="222"/>
    <x v="40"/>
    <x v="77"/>
    <x v="0"/>
    <x v="879"/>
    <x v="2"/>
    <x v="879"/>
    <x v="879"/>
    <x v="76"/>
    <x v="6"/>
  </r>
  <r>
    <x v="2088"/>
    <x v="27"/>
    <x v="0"/>
    <x v="46"/>
    <x v="79"/>
    <x v="3"/>
    <x v="87"/>
    <x v="254"/>
    <x v="40"/>
    <x v="77"/>
    <x v="0"/>
    <x v="932"/>
    <x v="2"/>
    <x v="932"/>
    <x v="932"/>
    <x v="76"/>
    <x v="6"/>
  </r>
  <r>
    <x v="2089"/>
    <x v="27"/>
    <x v="0"/>
    <x v="46"/>
    <x v="79"/>
    <x v="3"/>
    <x v="87"/>
    <x v="245"/>
    <x v="1"/>
    <x v="2"/>
    <x v="0"/>
    <x v="838"/>
    <x v="2"/>
    <x v="838"/>
    <x v="838"/>
    <x v="2"/>
    <x v="1"/>
  </r>
  <r>
    <x v="2090"/>
    <x v="27"/>
    <x v="0"/>
    <x v="46"/>
    <x v="79"/>
    <x v="3"/>
    <x v="87"/>
    <x v="228"/>
    <x v="1"/>
    <x v="2"/>
    <x v="0"/>
    <x v="842"/>
    <x v="2"/>
    <x v="842"/>
    <x v="842"/>
    <x v="2"/>
    <x v="1"/>
  </r>
  <r>
    <x v="2091"/>
    <x v="27"/>
    <x v="0"/>
    <x v="46"/>
    <x v="79"/>
    <x v="3"/>
    <x v="87"/>
    <x v="229"/>
    <x v="1"/>
    <x v="2"/>
    <x v="0"/>
    <x v="874"/>
    <x v="2"/>
    <x v="874"/>
    <x v="874"/>
    <x v="2"/>
    <x v="1"/>
  </r>
  <r>
    <x v="2092"/>
    <x v="27"/>
    <x v="0"/>
    <x v="46"/>
    <x v="79"/>
    <x v="3"/>
    <x v="87"/>
    <x v="230"/>
    <x v="1"/>
    <x v="2"/>
    <x v="0"/>
    <x v="933"/>
    <x v="2"/>
    <x v="933"/>
    <x v="933"/>
    <x v="2"/>
    <x v="1"/>
  </r>
  <r>
    <x v="2093"/>
    <x v="27"/>
    <x v="0"/>
    <x v="46"/>
    <x v="79"/>
    <x v="3"/>
    <x v="87"/>
    <x v="243"/>
    <x v="78"/>
    <x v="119"/>
    <x v="0"/>
    <x v="918"/>
    <x v="2"/>
    <x v="918"/>
    <x v="918"/>
    <x v="117"/>
    <x v="13"/>
  </r>
  <r>
    <x v="2094"/>
    <x v="27"/>
    <x v="0"/>
    <x v="46"/>
    <x v="79"/>
    <x v="3"/>
    <x v="87"/>
    <x v="244"/>
    <x v="78"/>
    <x v="119"/>
    <x v="0"/>
    <x v="860"/>
    <x v="2"/>
    <x v="860"/>
    <x v="860"/>
    <x v="117"/>
    <x v="13"/>
  </r>
  <r>
    <x v="2095"/>
    <x v="27"/>
    <x v="0"/>
    <x v="46"/>
    <x v="79"/>
    <x v="3"/>
    <x v="87"/>
    <x v="221"/>
    <x v="78"/>
    <x v="119"/>
    <x v="0"/>
    <x v="836"/>
    <x v="2"/>
    <x v="836"/>
    <x v="836"/>
    <x v="117"/>
    <x v="13"/>
  </r>
  <r>
    <x v="2096"/>
    <x v="27"/>
    <x v="0"/>
    <x v="46"/>
    <x v="79"/>
    <x v="3"/>
    <x v="87"/>
    <x v="234"/>
    <x v="78"/>
    <x v="119"/>
    <x v="0"/>
    <x v="886"/>
    <x v="2"/>
    <x v="886"/>
    <x v="886"/>
    <x v="117"/>
    <x v="13"/>
  </r>
  <r>
    <x v="2097"/>
    <x v="27"/>
    <x v="0"/>
    <x v="46"/>
    <x v="79"/>
    <x v="3"/>
    <x v="87"/>
    <x v="235"/>
    <x v="79"/>
    <x v="122"/>
    <x v="0"/>
    <x v="919"/>
    <x v="2"/>
    <x v="919"/>
    <x v="919"/>
    <x v="118"/>
    <x v="1"/>
  </r>
  <r>
    <x v="2098"/>
    <x v="27"/>
    <x v="0"/>
    <x v="46"/>
    <x v="79"/>
    <x v="3"/>
    <x v="87"/>
    <x v="241"/>
    <x v="79"/>
    <x v="122"/>
    <x v="0"/>
    <x v="852"/>
    <x v="2"/>
    <x v="852"/>
    <x v="852"/>
    <x v="118"/>
    <x v="1"/>
  </r>
  <r>
    <x v="2099"/>
    <x v="27"/>
    <x v="0"/>
    <x v="46"/>
    <x v="79"/>
    <x v="3"/>
    <x v="87"/>
    <x v="232"/>
    <x v="79"/>
    <x v="122"/>
    <x v="0"/>
    <x v="866"/>
    <x v="2"/>
    <x v="866"/>
    <x v="866"/>
    <x v="118"/>
    <x v="1"/>
  </r>
  <r>
    <x v="2100"/>
    <x v="27"/>
    <x v="0"/>
    <x v="46"/>
    <x v="79"/>
    <x v="3"/>
    <x v="87"/>
    <x v="233"/>
    <x v="40"/>
    <x v="77"/>
    <x v="0"/>
    <x v="871"/>
    <x v="2"/>
    <x v="871"/>
    <x v="871"/>
    <x v="76"/>
    <x v="6"/>
  </r>
  <r>
    <x v="2101"/>
    <x v="27"/>
    <x v="0"/>
    <x v="46"/>
    <x v="79"/>
    <x v="3"/>
    <x v="87"/>
    <x v="240"/>
    <x v="40"/>
    <x v="77"/>
    <x v="0"/>
    <x v="934"/>
    <x v="2"/>
    <x v="934"/>
    <x v="934"/>
    <x v="76"/>
    <x v="6"/>
  </r>
  <r>
    <x v="2102"/>
    <x v="27"/>
    <x v="0"/>
    <x v="46"/>
    <x v="79"/>
    <x v="3"/>
    <x v="87"/>
    <x v="242"/>
    <x v="40"/>
    <x v="77"/>
    <x v="0"/>
    <x v="935"/>
    <x v="2"/>
    <x v="935"/>
    <x v="935"/>
    <x v="76"/>
    <x v="6"/>
  </r>
  <r>
    <x v="2103"/>
    <x v="27"/>
    <x v="0"/>
    <x v="46"/>
    <x v="79"/>
    <x v="3"/>
    <x v="87"/>
    <x v="239"/>
    <x v="1"/>
    <x v="2"/>
    <x v="0"/>
    <x v="869"/>
    <x v="2"/>
    <x v="869"/>
    <x v="869"/>
    <x v="2"/>
    <x v="1"/>
  </r>
  <r>
    <x v="2104"/>
    <x v="27"/>
    <x v="0"/>
    <x v="46"/>
    <x v="79"/>
    <x v="3"/>
    <x v="87"/>
    <x v="238"/>
    <x v="1"/>
    <x v="2"/>
    <x v="0"/>
    <x v="936"/>
    <x v="2"/>
    <x v="936"/>
    <x v="936"/>
    <x v="2"/>
    <x v="1"/>
  </r>
  <r>
    <x v="2105"/>
    <x v="27"/>
    <x v="0"/>
    <x v="46"/>
    <x v="79"/>
    <x v="3"/>
    <x v="87"/>
    <x v="237"/>
    <x v="1"/>
    <x v="2"/>
    <x v="0"/>
    <x v="937"/>
    <x v="2"/>
    <x v="937"/>
    <x v="937"/>
    <x v="2"/>
    <x v="1"/>
  </r>
  <r>
    <x v="2106"/>
    <x v="3"/>
    <x v="0"/>
    <x v="46"/>
    <x v="79"/>
    <x v="3"/>
    <x v="87"/>
    <x v="250"/>
    <x v="71"/>
    <x v="115"/>
    <x v="0"/>
    <x v="938"/>
    <x v="2"/>
    <x v="938"/>
    <x v="938"/>
    <x v="113"/>
    <x v="1"/>
  </r>
  <r>
    <x v="2107"/>
    <x v="3"/>
    <x v="0"/>
    <x v="46"/>
    <x v="79"/>
    <x v="3"/>
    <x v="87"/>
    <x v="245"/>
    <x v="79"/>
    <x v="122"/>
    <x v="0"/>
    <x v="939"/>
    <x v="2"/>
    <x v="939"/>
    <x v="939"/>
    <x v="118"/>
    <x v="1"/>
  </r>
  <r>
    <x v="2108"/>
    <x v="3"/>
    <x v="0"/>
    <x v="46"/>
    <x v="79"/>
    <x v="3"/>
    <x v="87"/>
    <x v="228"/>
    <x v="79"/>
    <x v="122"/>
    <x v="0"/>
    <x v="940"/>
    <x v="2"/>
    <x v="940"/>
    <x v="940"/>
    <x v="118"/>
    <x v="1"/>
  </r>
  <r>
    <x v="2109"/>
    <x v="3"/>
    <x v="0"/>
    <x v="46"/>
    <x v="79"/>
    <x v="3"/>
    <x v="87"/>
    <x v="221"/>
    <x v="79"/>
    <x v="122"/>
    <x v="0"/>
    <x v="941"/>
    <x v="2"/>
    <x v="941"/>
    <x v="941"/>
    <x v="118"/>
    <x v="1"/>
  </r>
  <r>
    <x v="2110"/>
    <x v="3"/>
    <x v="0"/>
    <x v="46"/>
    <x v="79"/>
    <x v="3"/>
    <x v="87"/>
    <x v="224"/>
    <x v="78"/>
    <x v="119"/>
    <x v="0"/>
    <x v="942"/>
    <x v="2"/>
    <x v="942"/>
    <x v="942"/>
    <x v="117"/>
    <x v="13"/>
  </r>
  <r>
    <x v="2111"/>
    <x v="3"/>
    <x v="0"/>
    <x v="46"/>
    <x v="79"/>
    <x v="3"/>
    <x v="87"/>
    <x v="225"/>
    <x v="78"/>
    <x v="119"/>
    <x v="0"/>
    <x v="943"/>
    <x v="2"/>
    <x v="943"/>
    <x v="943"/>
    <x v="117"/>
    <x v="13"/>
  </r>
  <r>
    <x v="2112"/>
    <x v="3"/>
    <x v="0"/>
    <x v="46"/>
    <x v="79"/>
    <x v="3"/>
    <x v="87"/>
    <x v="226"/>
    <x v="78"/>
    <x v="119"/>
    <x v="0"/>
    <x v="944"/>
    <x v="2"/>
    <x v="944"/>
    <x v="944"/>
    <x v="117"/>
    <x v="13"/>
  </r>
  <r>
    <x v="2113"/>
    <x v="3"/>
    <x v="0"/>
    <x v="46"/>
    <x v="79"/>
    <x v="3"/>
    <x v="87"/>
    <x v="223"/>
    <x v="78"/>
    <x v="119"/>
    <x v="0"/>
    <x v="945"/>
    <x v="2"/>
    <x v="945"/>
    <x v="945"/>
    <x v="117"/>
    <x v="13"/>
  </r>
  <r>
    <x v="2114"/>
    <x v="3"/>
    <x v="0"/>
    <x v="46"/>
    <x v="79"/>
    <x v="3"/>
    <x v="87"/>
    <x v="231"/>
    <x v="40"/>
    <x v="77"/>
    <x v="0"/>
    <x v="946"/>
    <x v="2"/>
    <x v="946"/>
    <x v="946"/>
    <x v="76"/>
    <x v="6"/>
  </r>
  <r>
    <x v="2115"/>
    <x v="3"/>
    <x v="0"/>
    <x v="46"/>
    <x v="79"/>
    <x v="3"/>
    <x v="87"/>
    <x v="229"/>
    <x v="40"/>
    <x v="77"/>
    <x v="0"/>
    <x v="947"/>
    <x v="2"/>
    <x v="947"/>
    <x v="947"/>
    <x v="76"/>
    <x v="6"/>
  </r>
  <r>
    <x v="2116"/>
    <x v="3"/>
    <x v="0"/>
    <x v="46"/>
    <x v="79"/>
    <x v="3"/>
    <x v="87"/>
    <x v="222"/>
    <x v="40"/>
    <x v="77"/>
    <x v="0"/>
    <x v="948"/>
    <x v="2"/>
    <x v="948"/>
    <x v="948"/>
    <x v="76"/>
    <x v="6"/>
  </r>
  <r>
    <x v="2117"/>
    <x v="3"/>
    <x v="0"/>
    <x v="46"/>
    <x v="79"/>
    <x v="3"/>
    <x v="87"/>
    <x v="254"/>
    <x v="40"/>
    <x v="77"/>
    <x v="0"/>
    <x v="949"/>
    <x v="2"/>
    <x v="949"/>
    <x v="949"/>
    <x v="76"/>
    <x v="6"/>
  </r>
  <r>
    <x v="2118"/>
    <x v="3"/>
    <x v="0"/>
    <x v="46"/>
    <x v="79"/>
    <x v="3"/>
    <x v="87"/>
    <x v="246"/>
    <x v="1"/>
    <x v="2"/>
    <x v="0"/>
    <x v="950"/>
    <x v="2"/>
    <x v="950"/>
    <x v="950"/>
    <x v="2"/>
    <x v="1"/>
  </r>
  <r>
    <x v="2119"/>
    <x v="3"/>
    <x v="0"/>
    <x v="46"/>
    <x v="79"/>
    <x v="3"/>
    <x v="87"/>
    <x v="248"/>
    <x v="1"/>
    <x v="2"/>
    <x v="0"/>
    <x v="946"/>
    <x v="2"/>
    <x v="946"/>
    <x v="946"/>
    <x v="2"/>
    <x v="1"/>
  </r>
  <r>
    <x v="2120"/>
    <x v="3"/>
    <x v="0"/>
    <x v="46"/>
    <x v="79"/>
    <x v="3"/>
    <x v="87"/>
    <x v="247"/>
    <x v="1"/>
    <x v="2"/>
    <x v="0"/>
    <x v="947"/>
    <x v="2"/>
    <x v="947"/>
    <x v="947"/>
    <x v="2"/>
    <x v="1"/>
  </r>
  <r>
    <x v="2121"/>
    <x v="3"/>
    <x v="0"/>
    <x v="46"/>
    <x v="79"/>
    <x v="3"/>
    <x v="87"/>
    <x v="230"/>
    <x v="1"/>
    <x v="2"/>
    <x v="0"/>
    <x v="951"/>
    <x v="2"/>
    <x v="951"/>
    <x v="951"/>
    <x v="2"/>
    <x v="1"/>
  </r>
  <r>
    <x v="2122"/>
    <x v="3"/>
    <x v="0"/>
    <x v="46"/>
    <x v="79"/>
    <x v="3"/>
    <x v="87"/>
    <x v="252"/>
    <x v="64"/>
    <x v="107"/>
    <x v="0"/>
    <x v="952"/>
    <x v="2"/>
    <x v="952"/>
    <x v="952"/>
    <x v="105"/>
    <x v="6"/>
  </r>
  <r>
    <x v="2123"/>
    <x v="3"/>
    <x v="0"/>
    <x v="46"/>
    <x v="79"/>
    <x v="3"/>
    <x v="87"/>
    <x v="227"/>
    <x v="64"/>
    <x v="107"/>
    <x v="0"/>
    <x v="940"/>
    <x v="2"/>
    <x v="940"/>
    <x v="940"/>
    <x v="105"/>
    <x v="6"/>
  </r>
  <r>
    <x v="2124"/>
    <x v="3"/>
    <x v="0"/>
    <x v="46"/>
    <x v="79"/>
    <x v="3"/>
    <x v="87"/>
    <x v="242"/>
    <x v="41"/>
    <x v="78"/>
    <x v="0"/>
    <x v="940"/>
    <x v="2"/>
    <x v="940"/>
    <x v="940"/>
    <x v="77"/>
    <x v="7"/>
  </r>
  <r>
    <x v="2125"/>
    <x v="3"/>
    <x v="0"/>
    <x v="46"/>
    <x v="79"/>
    <x v="3"/>
    <x v="87"/>
    <x v="241"/>
    <x v="41"/>
    <x v="78"/>
    <x v="0"/>
    <x v="953"/>
    <x v="2"/>
    <x v="953"/>
    <x v="953"/>
    <x v="77"/>
    <x v="7"/>
  </r>
  <r>
    <x v="2126"/>
    <x v="3"/>
    <x v="0"/>
    <x v="46"/>
    <x v="79"/>
    <x v="3"/>
    <x v="87"/>
    <x v="232"/>
    <x v="41"/>
    <x v="78"/>
    <x v="0"/>
    <x v="954"/>
    <x v="2"/>
    <x v="954"/>
    <x v="954"/>
    <x v="77"/>
    <x v="7"/>
  </r>
  <r>
    <x v="2127"/>
    <x v="3"/>
    <x v="0"/>
    <x v="46"/>
    <x v="79"/>
    <x v="3"/>
    <x v="87"/>
    <x v="233"/>
    <x v="79"/>
    <x v="122"/>
    <x v="0"/>
    <x v="945"/>
    <x v="2"/>
    <x v="945"/>
    <x v="945"/>
    <x v="118"/>
    <x v="1"/>
  </r>
  <r>
    <x v="2128"/>
    <x v="3"/>
    <x v="0"/>
    <x v="46"/>
    <x v="79"/>
    <x v="3"/>
    <x v="87"/>
    <x v="235"/>
    <x v="79"/>
    <x v="122"/>
    <x v="0"/>
    <x v="955"/>
    <x v="2"/>
    <x v="955"/>
    <x v="955"/>
    <x v="118"/>
    <x v="1"/>
  </r>
  <r>
    <x v="2129"/>
    <x v="3"/>
    <x v="0"/>
    <x v="46"/>
    <x v="79"/>
    <x v="3"/>
    <x v="87"/>
    <x v="240"/>
    <x v="79"/>
    <x v="122"/>
    <x v="0"/>
    <x v="956"/>
    <x v="2"/>
    <x v="956"/>
    <x v="956"/>
    <x v="118"/>
    <x v="1"/>
  </r>
  <r>
    <x v="2130"/>
    <x v="3"/>
    <x v="0"/>
    <x v="46"/>
    <x v="79"/>
    <x v="3"/>
    <x v="87"/>
    <x v="243"/>
    <x v="78"/>
    <x v="119"/>
    <x v="0"/>
    <x v="957"/>
    <x v="2"/>
    <x v="957"/>
    <x v="957"/>
    <x v="117"/>
    <x v="13"/>
  </r>
  <r>
    <x v="2131"/>
    <x v="3"/>
    <x v="0"/>
    <x v="46"/>
    <x v="79"/>
    <x v="3"/>
    <x v="87"/>
    <x v="244"/>
    <x v="78"/>
    <x v="119"/>
    <x v="0"/>
    <x v="958"/>
    <x v="2"/>
    <x v="958"/>
    <x v="958"/>
    <x v="117"/>
    <x v="13"/>
  </r>
  <r>
    <x v="2132"/>
    <x v="3"/>
    <x v="0"/>
    <x v="46"/>
    <x v="79"/>
    <x v="3"/>
    <x v="87"/>
    <x v="236"/>
    <x v="78"/>
    <x v="119"/>
    <x v="0"/>
    <x v="959"/>
    <x v="2"/>
    <x v="959"/>
    <x v="959"/>
    <x v="117"/>
    <x v="13"/>
  </r>
  <r>
    <x v="2133"/>
    <x v="3"/>
    <x v="0"/>
    <x v="46"/>
    <x v="79"/>
    <x v="3"/>
    <x v="87"/>
    <x v="237"/>
    <x v="78"/>
    <x v="119"/>
    <x v="0"/>
    <x v="960"/>
    <x v="2"/>
    <x v="960"/>
    <x v="960"/>
    <x v="117"/>
    <x v="13"/>
  </r>
  <r>
    <x v="2134"/>
    <x v="3"/>
    <x v="0"/>
    <x v="46"/>
    <x v="79"/>
    <x v="3"/>
    <x v="87"/>
    <x v="239"/>
    <x v="40"/>
    <x v="77"/>
    <x v="0"/>
    <x v="961"/>
    <x v="2"/>
    <x v="961"/>
    <x v="961"/>
    <x v="76"/>
    <x v="6"/>
  </r>
  <r>
    <x v="2135"/>
    <x v="3"/>
    <x v="0"/>
    <x v="46"/>
    <x v="79"/>
    <x v="3"/>
    <x v="87"/>
    <x v="238"/>
    <x v="40"/>
    <x v="77"/>
    <x v="0"/>
    <x v="962"/>
    <x v="2"/>
    <x v="962"/>
    <x v="962"/>
    <x v="76"/>
    <x v="6"/>
  </r>
  <r>
    <x v="2136"/>
    <x v="3"/>
    <x v="0"/>
    <x v="46"/>
    <x v="79"/>
    <x v="3"/>
    <x v="87"/>
    <x v="234"/>
    <x v="40"/>
    <x v="77"/>
    <x v="0"/>
    <x v="961"/>
    <x v="2"/>
    <x v="961"/>
    <x v="961"/>
    <x v="76"/>
    <x v="6"/>
  </r>
  <r>
    <x v="2137"/>
    <x v="9"/>
    <x v="0"/>
    <x v="46"/>
    <x v="79"/>
    <x v="3"/>
    <x v="87"/>
    <x v="221"/>
    <x v="79"/>
    <x v="122"/>
    <x v="0"/>
    <x v="945"/>
    <x v="2"/>
    <x v="945"/>
    <x v="945"/>
    <x v="118"/>
    <x v="1"/>
  </r>
  <r>
    <x v="2138"/>
    <x v="9"/>
    <x v="0"/>
    <x v="46"/>
    <x v="79"/>
    <x v="3"/>
    <x v="87"/>
    <x v="245"/>
    <x v="79"/>
    <x v="122"/>
    <x v="0"/>
    <x v="963"/>
    <x v="2"/>
    <x v="963"/>
    <x v="963"/>
    <x v="118"/>
    <x v="1"/>
  </r>
  <r>
    <x v="2139"/>
    <x v="9"/>
    <x v="0"/>
    <x v="46"/>
    <x v="79"/>
    <x v="3"/>
    <x v="87"/>
    <x v="228"/>
    <x v="79"/>
    <x v="122"/>
    <x v="0"/>
    <x v="964"/>
    <x v="2"/>
    <x v="964"/>
    <x v="964"/>
    <x v="118"/>
    <x v="1"/>
  </r>
  <r>
    <x v="2140"/>
    <x v="9"/>
    <x v="0"/>
    <x v="46"/>
    <x v="79"/>
    <x v="3"/>
    <x v="87"/>
    <x v="229"/>
    <x v="79"/>
    <x v="122"/>
    <x v="0"/>
    <x v="943"/>
    <x v="2"/>
    <x v="943"/>
    <x v="943"/>
    <x v="118"/>
    <x v="1"/>
  </r>
  <r>
    <x v="2141"/>
    <x v="9"/>
    <x v="0"/>
    <x v="46"/>
    <x v="79"/>
    <x v="3"/>
    <x v="87"/>
    <x v="224"/>
    <x v="78"/>
    <x v="119"/>
    <x v="0"/>
    <x v="942"/>
    <x v="2"/>
    <x v="942"/>
    <x v="942"/>
    <x v="117"/>
    <x v="13"/>
  </r>
  <r>
    <x v="2142"/>
    <x v="9"/>
    <x v="0"/>
    <x v="46"/>
    <x v="79"/>
    <x v="3"/>
    <x v="87"/>
    <x v="225"/>
    <x v="78"/>
    <x v="119"/>
    <x v="0"/>
    <x v="946"/>
    <x v="2"/>
    <x v="946"/>
    <x v="946"/>
    <x v="117"/>
    <x v="13"/>
  </r>
  <r>
    <x v="2143"/>
    <x v="9"/>
    <x v="0"/>
    <x v="46"/>
    <x v="79"/>
    <x v="3"/>
    <x v="87"/>
    <x v="226"/>
    <x v="78"/>
    <x v="119"/>
    <x v="0"/>
    <x v="939"/>
    <x v="2"/>
    <x v="939"/>
    <x v="939"/>
    <x v="117"/>
    <x v="13"/>
  </r>
  <r>
    <x v="2144"/>
    <x v="9"/>
    <x v="0"/>
    <x v="46"/>
    <x v="79"/>
    <x v="3"/>
    <x v="87"/>
    <x v="227"/>
    <x v="78"/>
    <x v="119"/>
    <x v="0"/>
    <x v="958"/>
    <x v="2"/>
    <x v="958"/>
    <x v="958"/>
    <x v="117"/>
    <x v="13"/>
  </r>
  <r>
    <x v="2145"/>
    <x v="9"/>
    <x v="0"/>
    <x v="46"/>
    <x v="79"/>
    <x v="3"/>
    <x v="87"/>
    <x v="248"/>
    <x v="40"/>
    <x v="77"/>
    <x v="0"/>
    <x v="956"/>
    <x v="2"/>
    <x v="956"/>
    <x v="956"/>
    <x v="76"/>
    <x v="6"/>
  </r>
  <r>
    <x v="2146"/>
    <x v="9"/>
    <x v="0"/>
    <x v="46"/>
    <x v="79"/>
    <x v="3"/>
    <x v="87"/>
    <x v="247"/>
    <x v="40"/>
    <x v="77"/>
    <x v="0"/>
    <x v="965"/>
    <x v="2"/>
    <x v="965"/>
    <x v="965"/>
    <x v="76"/>
    <x v="6"/>
  </r>
  <r>
    <x v="2147"/>
    <x v="9"/>
    <x v="0"/>
    <x v="46"/>
    <x v="79"/>
    <x v="3"/>
    <x v="87"/>
    <x v="230"/>
    <x v="40"/>
    <x v="77"/>
    <x v="0"/>
    <x v="966"/>
    <x v="2"/>
    <x v="966"/>
    <x v="966"/>
    <x v="76"/>
    <x v="6"/>
  </r>
  <r>
    <x v="2148"/>
    <x v="9"/>
    <x v="0"/>
    <x v="46"/>
    <x v="79"/>
    <x v="3"/>
    <x v="87"/>
    <x v="231"/>
    <x v="40"/>
    <x v="77"/>
    <x v="0"/>
    <x v="967"/>
    <x v="2"/>
    <x v="967"/>
    <x v="967"/>
    <x v="76"/>
    <x v="6"/>
  </r>
  <r>
    <x v="2149"/>
    <x v="9"/>
    <x v="0"/>
    <x v="46"/>
    <x v="79"/>
    <x v="3"/>
    <x v="87"/>
    <x v="233"/>
    <x v="74"/>
    <x v="117"/>
    <x v="0"/>
    <x v="968"/>
    <x v="2"/>
    <x v="968"/>
    <x v="968"/>
    <x v="115"/>
    <x v="11"/>
  </r>
  <r>
    <x v="2150"/>
    <x v="9"/>
    <x v="0"/>
    <x v="46"/>
    <x v="79"/>
    <x v="3"/>
    <x v="87"/>
    <x v="235"/>
    <x v="74"/>
    <x v="117"/>
    <x v="0"/>
    <x v="969"/>
    <x v="2"/>
    <x v="969"/>
    <x v="969"/>
    <x v="115"/>
    <x v="11"/>
  </r>
  <r>
    <x v="2151"/>
    <x v="9"/>
    <x v="0"/>
    <x v="46"/>
    <x v="79"/>
    <x v="3"/>
    <x v="87"/>
    <x v="240"/>
    <x v="74"/>
    <x v="117"/>
    <x v="0"/>
    <x v="970"/>
    <x v="2"/>
    <x v="970"/>
    <x v="970"/>
    <x v="115"/>
    <x v="11"/>
  </r>
  <r>
    <x v="2152"/>
    <x v="9"/>
    <x v="0"/>
    <x v="46"/>
    <x v="79"/>
    <x v="3"/>
    <x v="87"/>
    <x v="239"/>
    <x v="44"/>
    <x v="82"/>
    <x v="0"/>
    <x v="971"/>
    <x v="2"/>
    <x v="971"/>
    <x v="971"/>
    <x v="81"/>
    <x v="6"/>
  </r>
  <r>
    <x v="2153"/>
    <x v="9"/>
    <x v="0"/>
    <x v="46"/>
    <x v="79"/>
    <x v="3"/>
    <x v="87"/>
    <x v="238"/>
    <x v="44"/>
    <x v="82"/>
    <x v="0"/>
    <x v="972"/>
    <x v="2"/>
    <x v="972"/>
    <x v="972"/>
    <x v="81"/>
    <x v="6"/>
  </r>
  <r>
    <x v="2154"/>
    <x v="9"/>
    <x v="0"/>
    <x v="46"/>
    <x v="79"/>
    <x v="3"/>
    <x v="87"/>
    <x v="242"/>
    <x v="44"/>
    <x v="82"/>
    <x v="0"/>
    <x v="973"/>
    <x v="2"/>
    <x v="973"/>
    <x v="973"/>
    <x v="81"/>
    <x v="6"/>
  </r>
  <r>
    <x v="2155"/>
    <x v="9"/>
    <x v="0"/>
    <x v="46"/>
    <x v="79"/>
    <x v="3"/>
    <x v="87"/>
    <x v="234"/>
    <x v="79"/>
    <x v="122"/>
    <x v="0"/>
    <x v="974"/>
    <x v="2"/>
    <x v="974"/>
    <x v="974"/>
    <x v="118"/>
    <x v="1"/>
  </r>
  <r>
    <x v="2156"/>
    <x v="9"/>
    <x v="0"/>
    <x v="46"/>
    <x v="79"/>
    <x v="3"/>
    <x v="87"/>
    <x v="241"/>
    <x v="79"/>
    <x v="122"/>
    <x v="0"/>
    <x v="975"/>
    <x v="2"/>
    <x v="975"/>
    <x v="975"/>
    <x v="118"/>
    <x v="1"/>
  </r>
  <r>
    <x v="2157"/>
    <x v="9"/>
    <x v="0"/>
    <x v="46"/>
    <x v="79"/>
    <x v="3"/>
    <x v="87"/>
    <x v="232"/>
    <x v="79"/>
    <x v="122"/>
    <x v="0"/>
    <x v="976"/>
    <x v="2"/>
    <x v="976"/>
    <x v="976"/>
    <x v="118"/>
    <x v="1"/>
  </r>
  <r>
    <x v="2158"/>
    <x v="9"/>
    <x v="0"/>
    <x v="46"/>
    <x v="79"/>
    <x v="3"/>
    <x v="87"/>
    <x v="243"/>
    <x v="78"/>
    <x v="119"/>
    <x v="0"/>
    <x v="977"/>
    <x v="2"/>
    <x v="977"/>
    <x v="977"/>
    <x v="117"/>
    <x v="13"/>
  </r>
  <r>
    <x v="2159"/>
    <x v="9"/>
    <x v="0"/>
    <x v="46"/>
    <x v="79"/>
    <x v="3"/>
    <x v="87"/>
    <x v="244"/>
    <x v="78"/>
    <x v="119"/>
    <x v="0"/>
    <x v="978"/>
    <x v="2"/>
    <x v="978"/>
    <x v="978"/>
    <x v="117"/>
    <x v="13"/>
  </r>
  <r>
    <x v="2160"/>
    <x v="9"/>
    <x v="0"/>
    <x v="46"/>
    <x v="79"/>
    <x v="3"/>
    <x v="87"/>
    <x v="222"/>
    <x v="78"/>
    <x v="119"/>
    <x v="0"/>
    <x v="966"/>
    <x v="2"/>
    <x v="966"/>
    <x v="966"/>
    <x v="117"/>
    <x v="13"/>
  </r>
  <r>
    <x v="2161"/>
    <x v="9"/>
    <x v="0"/>
    <x v="46"/>
    <x v="79"/>
    <x v="3"/>
    <x v="87"/>
    <x v="254"/>
    <x v="78"/>
    <x v="119"/>
    <x v="0"/>
    <x v="979"/>
    <x v="2"/>
    <x v="979"/>
    <x v="979"/>
    <x v="117"/>
    <x v="13"/>
  </r>
  <r>
    <x v="2162"/>
    <x v="9"/>
    <x v="0"/>
    <x v="46"/>
    <x v="79"/>
    <x v="3"/>
    <x v="87"/>
    <x v="223"/>
    <x v="78"/>
    <x v="119"/>
    <x v="0"/>
    <x v="958"/>
    <x v="2"/>
    <x v="958"/>
    <x v="958"/>
    <x v="117"/>
    <x v="13"/>
  </r>
  <r>
    <x v="2163"/>
    <x v="9"/>
    <x v="0"/>
    <x v="46"/>
    <x v="79"/>
    <x v="3"/>
    <x v="87"/>
    <x v="246"/>
    <x v="64"/>
    <x v="107"/>
    <x v="0"/>
    <x v="942"/>
    <x v="2"/>
    <x v="942"/>
    <x v="942"/>
    <x v="105"/>
    <x v="6"/>
  </r>
  <r>
    <x v="2164"/>
    <x v="9"/>
    <x v="0"/>
    <x v="46"/>
    <x v="79"/>
    <x v="3"/>
    <x v="87"/>
    <x v="234"/>
    <x v="64"/>
    <x v="107"/>
    <x v="0"/>
    <x v="980"/>
    <x v="2"/>
    <x v="980"/>
    <x v="980"/>
    <x v="105"/>
    <x v="6"/>
  </r>
  <r>
    <x v="2165"/>
    <x v="9"/>
    <x v="0"/>
    <x v="46"/>
    <x v="79"/>
    <x v="3"/>
    <x v="87"/>
    <x v="237"/>
    <x v="64"/>
    <x v="107"/>
    <x v="0"/>
    <x v="981"/>
    <x v="2"/>
    <x v="981"/>
    <x v="981"/>
    <x v="105"/>
    <x v="6"/>
  </r>
  <r>
    <x v="2166"/>
    <x v="9"/>
    <x v="0"/>
    <x v="46"/>
    <x v="79"/>
    <x v="3"/>
    <x v="87"/>
    <x v="236"/>
    <x v="64"/>
    <x v="107"/>
    <x v="0"/>
    <x v="982"/>
    <x v="2"/>
    <x v="982"/>
    <x v="982"/>
    <x v="105"/>
    <x v="6"/>
  </r>
  <r>
    <x v="2167"/>
    <x v="28"/>
    <x v="0"/>
    <x v="46"/>
    <x v="79"/>
    <x v="3"/>
    <x v="87"/>
    <x v="251"/>
    <x v="79"/>
    <x v="122"/>
    <x v="0"/>
    <x v="983"/>
    <x v="2"/>
    <x v="983"/>
    <x v="983"/>
    <x v="118"/>
    <x v="1"/>
  </r>
  <r>
    <x v="2168"/>
    <x v="28"/>
    <x v="0"/>
    <x v="46"/>
    <x v="79"/>
    <x v="3"/>
    <x v="87"/>
    <x v="250"/>
    <x v="79"/>
    <x v="122"/>
    <x v="0"/>
    <x v="984"/>
    <x v="2"/>
    <x v="984"/>
    <x v="984"/>
    <x v="118"/>
    <x v="1"/>
  </r>
  <r>
    <x v="2169"/>
    <x v="28"/>
    <x v="0"/>
    <x v="46"/>
    <x v="79"/>
    <x v="3"/>
    <x v="87"/>
    <x v="224"/>
    <x v="78"/>
    <x v="119"/>
    <x v="0"/>
    <x v="985"/>
    <x v="2"/>
    <x v="985"/>
    <x v="985"/>
    <x v="117"/>
    <x v="13"/>
  </r>
  <r>
    <x v="2170"/>
    <x v="28"/>
    <x v="0"/>
    <x v="46"/>
    <x v="79"/>
    <x v="3"/>
    <x v="87"/>
    <x v="225"/>
    <x v="78"/>
    <x v="119"/>
    <x v="0"/>
    <x v="985"/>
    <x v="2"/>
    <x v="985"/>
    <x v="985"/>
    <x v="117"/>
    <x v="13"/>
  </r>
  <r>
    <x v="2171"/>
    <x v="28"/>
    <x v="0"/>
    <x v="46"/>
    <x v="79"/>
    <x v="3"/>
    <x v="87"/>
    <x v="226"/>
    <x v="78"/>
    <x v="119"/>
    <x v="0"/>
    <x v="945"/>
    <x v="2"/>
    <x v="945"/>
    <x v="945"/>
    <x v="117"/>
    <x v="13"/>
  </r>
  <r>
    <x v="2172"/>
    <x v="28"/>
    <x v="0"/>
    <x v="46"/>
    <x v="79"/>
    <x v="3"/>
    <x v="87"/>
    <x v="223"/>
    <x v="78"/>
    <x v="119"/>
    <x v="0"/>
    <x v="981"/>
    <x v="2"/>
    <x v="981"/>
    <x v="981"/>
    <x v="117"/>
    <x v="13"/>
  </r>
  <r>
    <x v="2173"/>
    <x v="28"/>
    <x v="0"/>
    <x v="46"/>
    <x v="79"/>
    <x v="3"/>
    <x v="87"/>
    <x v="233"/>
    <x v="64"/>
    <x v="107"/>
    <x v="0"/>
    <x v="982"/>
    <x v="2"/>
    <x v="982"/>
    <x v="982"/>
    <x v="105"/>
    <x v="6"/>
  </r>
  <r>
    <x v="2174"/>
    <x v="28"/>
    <x v="0"/>
    <x v="46"/>
    <x v="79"/>
    <x v="3"/>
    <x v="87"/>
    <x v="235"/>
    <x v="64"/>
    <x v="107"/>
    <x v="0"/>
    <x v="986"/>
    <x v="2"/>
    <x v="986"/>
    <x v="986"/>
    <x v="105"/>
    <x v="6"/>
  </r>
  <r>
    <x v="2175"/>
    <x v="28"/>
    <x v="0"/>
    <x v="46"/>
    <x v="79"/>
    <x v="3"/>
    <x v="87"/>
    <x v="241"/>
    <x v="64"/>
    <x v="107"/>
    <x v="0"/>
    <x v="975"/>
    <x v="2"/>
    <x v="975"/>
    <x v="975"/>
    <x v="105"/>
    <x v="6"/>
  </r>
  <r>
    <x v="2176"/>
    <x v="28"/>
    <x v="0"/>
    <x v="46"/>
    <x v="79"/>
    <x v="3"/>
    <x v="87"/>
    <x v="246"/>
    <x v="71"/>
    <x v="115"/>
    <x v="0"/>
    <x v="987"/>
    <x v="2"/>
    <x v="987"/>
    <x v="987"/>
    <x v="113"/>
    <x v="1"/>
  </r>
  <r>
    <x v="2177"/>
    <x v="28"/>
    <x v="0"/>
    <x v="46"/>
    <x v="79"/>
    <x v="3"/>
    <x v="87"/>
    <x v="248"/>
    <x v="71"/>
    <x v="115"/>
    <x v="0"/>
    <x v="988"/>
    <x v="2"/>
    <x v="988"/>
    <x v="988"/>
    <x v="113"/>
    <x v="1"/>
  </r>
  <r>
    <x v="2178"/>
    <x v="28"/>
    <x v="0"/>
    <x v="46"/>
    <x v="79"/>
    <x v="3"/>
    <x v="87"/>
    <x v="230"/>
    <x v="71"/>
    <x v="115"/>
    <x v="0"/>
    <x v="939"/>
    <x v="2"/>
    <x v="939"/>
    <x v="939"/>
    <x v="113"/>
    <x v="1"/>
  </r>
  <r>
    <x v="2179"/>
    <x v="28"/>
    <x v="0"/>
    <x v="46"/>
    <x v="79"/>
    <x v="3"/>
    <x v="87"/>
    <x v="231"/>
    <x v="40"/>
    <x v="77"/>
    <x v="0"/>
    <x v="989"/>
    <x v="2"/>
    <x v="989"/>
    <x v="989"/>
    <x v="76"/>
    <x v="6"/>
  </r>
  <r>
    <x v="2180"/>
    <x v="28"/>
    <x v="0"/>
    <x v="46"/>
    <x v="79"/>
    <x v="3"/>
    <x v="87"/>
    <x v="252"/>
    <x v="40"/>
    <x v="77"/>
    <x v="0"/>
    <x v="986"/>
    <x v="2"/>
    <x v="986"/>
    <x v="986"/>
    <x v="76"/>
    <x v="6"/>
  </r>
  <r>
    <x v="2181"/>
    <x v="28"/>
    <x v="0"/>
    <x v="46"/>
    <x v="79"/>
    <x v="3"/>
    <x v="87"/>
    <x v="227"/>
    <x v="40"/>
    <x v="77"/>
    <x v="0"/>
    <x v="966"/>
    <x v="2"/>
    <x v="966"/>
    <x v="966"/>
    <x v="76"/>
    <x v="6"/>
  </r>
  <r>
    <x v="2182"/>
    <x v="28"/>
    <x v="0"/>
    <x v="46"/>
    <x v="79"/>
    <x v="3"/>
    <x v="87"/>
    <x v="247"/>
    <x v="64"/>
    <x v="107"/>
    <x v="0"/>
    <x v="990"/>
    <x v="2"/>
    <x v="990"/>
    <x v="990"/>
    <x v="105"/>
    <x v="6"/>
  </r>
  <r>
    <x v="2183"/>
    <x v="28"/>
    <x v="0"/>
    <x v="46"/>
    <x v="79"/>
    <x v="3"/>
    <x v="87"/>
    <x v="245"/>
    <x v="64"/>
    <x v="107"/>
    <x v="0"/>
    <x v="991"/>
    <x v="2"/>
    <x v="991"/>
    <x v="991"/>
    <x v="105"/>
    <x v="6"/>
  </r>
  <r>
    <x v="2184"/>
    <x v="28"/>
    <x v="0"/>
    <x v="46"/>
    <x v="79"/>
    <x v="3"/>
    <x v="87"/>
    <x v="228"/>
    <x v="64"/>
    <x v="107"/>
    <x v="0"/>
    <x v="953"/>
    <x v="2"/>
    <x v="953"/>
    <x v="953"/>
    <x v="105"/>
    <x v="6"/>
  </r>
  <r>
    <x v="2185"/>
    <x v="28"/>
    <x v="0"/>
    <x v="46"/>
    <x v="79"/>
    <x v="3"/>
    <x v="87"/>
    <x v="243"/>
    <x v="78"/>
    <x v="119"/>
    <x v="0"/>
    <x v="992"/>
    <x v="2"/>
    <x v="992"/>
    <x v="992"/>
    <x v="117"/>
    <x v="13"/>
  </r>
  <r>
    <x v="2186"/>
    <x v="28"/>
    <x v="0"/>
    <x v="46"/>
    <x v="79"/>
    <x v="3"/>
    <x v="87"/>
    <x v="244"/>
    <x v="78"/>
    <x v="119"/>
    <x v="0"/>
    <x v="993"/>
    <x v="2"/>
    <x v="993"/>
    <x v="993"/>
    <x v="117"/>
    <x v="13"/>
  </r>
  <r>
    <x v="2187"/>
    <x v="28"/>
    <x v="0"/>
    <x v="46"/>
    <x v="79"/>
    <x v="3"/>
    <x v="87"/>
    <x v="229"/>
    <x v="78"/>
    <x v="119"/>
    <x v="0"/>
    <x v="994"/>
    <x v="2"/>
    <x v="994"/>
    <x v="994"/>
    <x v="117"/>
    <x v="13"/>
  </r>
  <r>
    <x v="2188"/>
    <x v="28"/>
    <x v="0"/>
    <x v="46"/>
    <x v="79"/>
    <x v="3"/>
    <x v="87"/>
    <x v="234"/>
    <x v="78"/>
    <x v="119"/>
    <x v="0"/>
    <x v="986"/>
    <x v="2"/>
    <x v="986"/>
    <x v="986"/>
    <x v="117"/>
    <x v="13"/>
  </r>
  <r>
    <x v="2189"/>
    <x v="28"/>
    <x v="0"/>
    <x v="46"/>
    <x v="79"/>
    <x v="3"/>
    <x v="87"/>
    <x v="239"/>
    <x v="79"/>
    <x v="122"/>
    <x v="0"/>
    <x v="979"/>
    <x v="2"/>
    <x v="979"/>
    <x v="979"/>
    <x v="118"/>
    <x v="1"/>
  </r>
  <r>
    <x v="2190"/>
    <x v="28"/>
    <x v="0"/>
    <x v="46"/>
    <x v="79"/>
    <x v="3"/>
    <x v="87"/>
    <x v="238"/>
    <x v="79"/>
    <x v="122"/>
    <x v="0"/>
    <x v="964"/>
    <x v="2"/>
    <x v="964"/>
    <x v="964"/>
    <x v="118"/>
    <x v="1"/>
  </r>
  <r>
    <x v="2191"/>
    <x v="28"/>
    <x v="0"/>
    <x v="46"/>
    <x v="79"/>
    <x v="3"/>
    <x v="87"/>
    <x v="236"/>
    <x v="79"/>
    <x v="122"/>
    <x v="0"/>
    <x v="995"/>
    <x v="2"/>
    <x v="995"/>
    <x v="995"/>
    <x v="118"/>
    <x v="1"/>
  </r>
  <r>
    <x v="2192"/>
    <x v="28"/>
    <x v="0"/>
    <x v="46"/>
    <x v="79"/>
    <x v="3"/>
    <x v="87"/>
    <x v="237"/>
    <x v="79"/>
    <x v="122"/>
    <x v="0"/>
    <x v="943"/>
    <x v="2"/>
    <x v="943"/>
    <x v="943"/>
    <x v="118"/>
    <x v="1"/>
  </r>
  <r>
    <x v="2193"/>
    <x v="28"/>
    <x v="0"/>
    <x v="46"/>
    <x v="79"/>
    <x v="3"/>
    <x v="87"/>
    <x v="240"/>
    <x v="40"/>
    <x v="77"/>
    <x v="0"/>
    <x v="959"/>
    <x v="2"/>
    <x v="959"/>
    <x v="959"/>
    <x v="76"/>
    <x v="6"/>
  </r>
  <r>
    <x v="2194"/>
    <x v="28"/>
    <x v="0"/>
    <x v="46"/>
    <x v="79"/>
    <x v="3"/>
    <x v="87"/>
    <x v="242"/>
    <x v="40"/>
    <x v="77"/>
    <x v="0"/>
    <x v="963"/>
    <x v="2"/>
    <x v="963"/>
    <x v="963"/>
    <x v="76"/>
    <x v="6"/>
  </r>
  <r>
    <x v="2195"/>
    <x v="28"/>
    <x v="0"/>
    <x v="46"/>
    <x v="79"/>
    <x v="3"/>
    <x v="87"/>
    <x v="232"/>
    <x v="40"/>
    <x v="77"/>
    <x v="0"/>
    <x v="996"/>
    <x v="2"/>
    <x v="996"/>
    <x v="996"/>
    <x v="76"/>
    <x v="6"/>
  </r>
  <r>
    <x v="2196"/>
    <x v="28"/>
    <x v="0"/>
    <x v="46"/>
    <x v="79"/>
    <x v="3"/>
    <x v="87"/>
    <x v="221"/>
    <x v="71"/>
    <x v="115"/>
    <x v="0"/>
    <x v="952"/>
    <x v="2"/>
    <x v="952"/>
    <x v="952"/>
    <x v="113"/>
    <x v="1"/>
  </r>
  <r>
    <x v="2197"/>
    <x v="28"/>
    <x v="0"/>
    <x v="46"/>
    <x v="79"/>
    <x v="3"/>
    <x v="87"/>
    <x v="222"/>
    <x v="71"/>
    <x v="115"/>
    <x v="0"/>
    <x v="997"/>
    <x v="2"/>
    <x v="997"/>
    <x v="997"/>
    <x v="113"/>
    <x v="1"/>
  </r>
  <r>
    <x v="2198"/>
    <x v="28"/>
    <x v="0"/>
    <x v="46"/>
    <x v="79"/>
    <x v="3"/>
    <x v="87"/>
    <x v="254"/>
    <x v="71"/>
    <x v="115"/>
    <x v="0"/>
    <x v="998"/>
    <x v="2"/>
    <x v="998"/>
    <x v="998"/>
    <x v="113"/>
    <x v="1"/>
  </r>
  <r>
    <x v="2199"/>
    <x v="4"/>
    <x v="0"/>
    <x v="46"/>
    <x v="79"/>
    <x v="3"/>
    <x v="87"/>
    <x v="225"/>
    <x v="79"/>
    <x v="122"/>
    <x v="0"/>
    <x v="999"/>
    <x v="2"/>
    <x v="999"/>
    <x v="999"/>
    <x v="118"/>
    <x v="1"/>
  </r>
  <r>
    <x v="2200"/>
    <x v="4"/>
    <x v="0"/>
    <x v="46"/>
    <x v="79"/>
    <x v="3"/>
    <x v="87"/>
    <x v="227"/>
    <x v="79"/>
    <x v="122"/>
    <x v="0"/>
    <x v="1000"/>
    <x v="2"/>
    <x v="1000"/>
    <x v="1000"/>
    <x v="118"/>
    <x v="1"/>
  </r>
  <r>
    <x v="2201"/>
    <x v="4"/>
    <x v="0"/>
    <x v="46"/>
    <x v="79"/>
    <x v="3"/>
    <x v="87"/>
    <x v="224"/>
    <x v="78"/>
    <x v="119"/>
    <x v="0"/>
    <x v="1001"/>
    <x v="2"/>
    <x v="1001"/>
    <x v="1001"/>
    <x v="117"/>
    <x v="13"/>
  </r>
  <r>
    <x v="2202"/>
    <x v="4"/>
    <x v="0"/>
    <x v="46"/>
    <x v="79"/>
    <x v="3"/>
    <x v="87"/>
    <x v="226"/>
    <x v="78"/>
    <x v="119"/>
    <x v="0"/>
    <x v="1002"/>
    <x v="2"/>
    <x v="1002"/>
    <x v="1002"/>
    <x v="117"/>
    <x v="13"/>
  </r>
  <r>
    <x v="2203"/>
    <x v="4"/>
    <x v="0"/>
    <x v="46"/>
    <x v="79"/>
    <x v="3"/>
    <x v="87"/>
    <x v="238"/>
    <x v="78"/>
    <x v="119"/>
    <x v="0"/>
    <x v="981"/>
    <x v="2"/>
    <x v="981"/>
    <x v="981"/>
    <x v="117"/>
    <x v="13"/>
  </r>
  <r>
    <x v="2204"/>
    <x v="4"/>
    <x v="0"/>
    <x v="46"/>
    <x v="79"/>
    <x v="3"/>
    <x v="87"/>
    <x v="230"/>
    <x v="40"/>
    <x v="77"/>
    <x v="0"/>
    <x v="1003"/>
    <x v="2"/>
    <x v="1003"/>
    <x v="1003"/>
    <x v="76"/>
    <x v="6"/>
  </r>
  <r>
    <x v="2205"/>
    <x v="4"/>
    <x v="0"/>
    <x v="46"/>
    <x v="79"/>
    <x v="3"/>
    <x v="87"/>
    <x v="231"/>
    <x v="40"/>
    <x v="77"/>
    <x v="0"/>
    <x v="1004"/>
    <x v="2"/>
    <x v="1004"/>
    <x v="1004"/>
    <x v="76"/>
    <x v="6"/>
  </r>
  <r>
    <x v="2206"/>
    <x v="4"/>
    <x v="0"/>
    <x v="46"/>
    <x v="79"/>
    <x v="3"/>
    <x v="87"/>
    <x v="248"/>
    <x v="71"/>
    <x v="115"/>
    <x v="0"/>
    <x v="1005"/>
    <x v="2"/>
    <x v="1005"/>
    <x v="1005"/>
    <x v="113"/>
    <x v="1"/>
  </r>
  <r>
    <x v="2207"/>
    <x v="4"/>
    <x v="0"/>
    <x v="46"/>
    <x v="79"/>
    <x v="3"/>
    <x v="87"/>
    <x v="247"/>
    <x v="71"/>
    <x v="115"/>
    <x v="0"/>
    <x v="1006"/>
    <x v="2"/>
    <x v="1006"/>
    <x v="1006"/>
    <x v="113"/>
    <x v="1"/>
  </r>
  <r>
    <x v="2208"/>
    <x v="4"/>
    <x v="0"/>
    <x v="46"/>
    <x v="79"/>
    <x v="3"/>
    <x v="87"/>
    <x v="245"/>
    <x v="64"/>
    <x v="107"/>
    <x v="0"/>
    <x v="1007"/>
    <x v="2"/>
    <x v="1007"/>
    <x v="1007"/>
    <x v="105"/>
    <x v="6"/>
  </r>
  <r>
    <x v="2209"/>
    <x v="4"/>
    <x v="0"/>
    <x v="46"/>
    <x v="79"/>
    <x v="3"/>
    <x v="87"/>
    <x v="228"/>
    <x v="64"/>
    <x v="107"/>
    <x v="0"/>
    <x v="1008"/>
    <x v="2"/>
    <x v="1008"/>
    <x v="1008"/>
    <x v="105"/>
    <x v="6"/>
  </r>
  <r>
    <x v="2210"/>
    <x v="4"/>
    <x v="0"/>
    <x v="46"/>
    <x v="79"/>
    <x v="3"/>
    <x v="87"/>
    <x v="221"/>
    <x v="44"/>
    <x v="82"/>
    <x v="0"/>
    <x v="941"/>
    <x v="2"/>
    <x v="941"/>
    <x v="941"/>
    <x v="81"/>
    <x v="6"/>
  </r>
  <r>
    <x v="2211"/>
    <x v="4"/>
    <x v="0"/>
    <x v="46"/>
    <x v="79"/>
    <x v="3"/>
    <x v="87"/>
    <x v="229"/>
    <x v="44"/>
    <x v="82"/>
    <x v="0"/>
    <x v="998"/>
    <x v="2"/>
    <x v="998"/>
    <x v="998"/>
    <x v="81"/>
    <x v="6"/>
  </r>
  <r>
    <x v="2212"/>
    <x v="4"/>
    <x v="0"/>
    <x v="46"/>
    <x v="79"/>
    <x v="3"/>
    <x v="87"/>
    <x v="222"/>
    <x v="1"/>
    <x v="2"/>
    <x v="0"/>
    <x v="1009"/>
    <x v="2"/>
    <x v="1009"/>
    <x v="1009"/>
    <x v="2"/>
    <x v="1"/>
  </r>
  <r>
    <x v="2213"/>
    <x v="4"/>
    <x v="0"/>
    <x v="46"/>
    <x v="79"/>
    <x v="3"/>
    <x v="87"/>
    <x v="254"/>
    <x v="1"/>
    <x v="2"/>
    <x v="0"/>
    <x v="991"/>
    <x v="2"/>
    <x v="991"/>
    <x v="991"/>
    <x v="2"/>
    <x v="1"/>
  </r>
  <r>
    <x v="2214"/>
    <x v="4"/>
    <x v="0"/>
    <x v="46"/>
    <x v="79"/>
    <x v="3"/>
    <x v="87"/>
    <x v="239"/>
    <x v="1"/>
    <x v="2"/>
    <x v="0"/>
    <x v="1010"/>
    <x v="2"/>
    <x v="1010"/>
    <x v="1010"/>
    <x v="2"/>
    <x v="1"/>
  </r>
  <r>
    <x v="2215"/>
    <x v="4"/>
    <x v="0"/>
    <x v="46"/>
    <x v="79"/>
    <x v="3"/>
    <x v="87"/>
    <x v="240"/>
    <x v="74"/>
    <x v="117"/>
    <x v="0"/>
    <x v="1011"/>
    <x v="2"/>
    <x v="1011"/>
    <x v="1011"/>
    <x v="115"/>
    <x v="11"/>
  </r>
  <r>
    <x v="2216"/>
    <x v="4"/>
    <x v="0"/>
    <x v="46"/>
    <x v="79"/>
    <x v="3"/>
    <x v="87"/>
    <x v="232"/>
    <x v="74"/>
    <x v="117"/>
    <x v="0"/>
    <x v="1012"/>
    <x v="2"/>
    <x v="1012"/>
    <x v="1012"/>
    <x v="115"/>
    <x v="11"/>
  </r>
  <r>
    <x v="2217"/>
    <x v="4"/>
    <x v="0"/>
    <x v="46"/>
    <x v="79"/>
    <x v="3"/>
    <x v="87"/>
    <x v="242"/>
    <x v="79"/>
    <x v="122"/>
    <x v="0"/>
    <x v="1013"/>
    <x v="2"/>
    <x v="1013"/>
    <x v="1013"/>
    <x v="118"/>
    <x v="1"/>
  </r>
  <r>
    <x v="2218"/>
    <x v="4"/>
    <x v="0"/>
    <x v="46"/>
    <x v="79"/>
    <x v="3"/>
    <x v="87"/>
    <x v="241"/>
    <x v="79"/>
    <x v="122"/>
    <x v="0"/>
    <x v="1014"/>
    <x v="2"/>
    <x v="1014"/>
    <x v="1014"/>
    <x v="118"/>
    <x v="1"/>
  </r>
  <r>
    <x v="2219"/>
    <x v="4"/>
    <x v="0"/>
    <x v="46"/>
    <x v="79"/>
    <x v="3"/>
    <x v="87"/>
    <x v="243"/>
    <x v="78"/>
    <x v="119"/>
    <x v="0"/>
    <x v="944"/>
    <x v="2"/>
    <x v="944"/>
    <x v="944"/>
    <x v="117"/>
    <x v="13"/>
  </r>
  <r>
    <x v="2220"/>
    <x v="4"/>
    <x v="0"/>
    <x v="46"/>
    <x v="79"/>
    <x v="3"/>
    <x v="87"/>
    <x v="244"/>
    <x v="78"/>
    <x v="119"/>
    <x v="0"/>
    <x v="1015"/>
    <x v="2"/>
    <x v="1015"/>
    <x v="1015"/>
    <x v="117"/>
    <x v="13"/>
  </r>
  <r>
    <x v="2221"/>
    <x v="4"/>
    <x v="0"/>
    <x v="46"/>
    <x v="79"/>
    <x v="3"/>
    <x v="87"/>
    <x v="236"/>
    <x v="78"/>
    <x v="119"/>
    <x v="0"/>
    <x v="1016"/>
    <x v="2"/>
    <x v="1016"/>
    <x v="1016"/>
    <x v="117"/>
    <x v="13"/>
  </r>
  <r>
    <x v="2222"/>
    <x v="4"/>
    <x v="0"/>
    <x v="46"/>
    <x v="79"/>
    <x v="3"/>
    <x v="87"/>
    <x v="223"/>
    <x v="40"/>
    <x v="77"/>
    <x v="0"/>
    <x v="1017"/>
    <x v="2"/>
    <x v="1017"/>
    <x v="1017"/>
    <x v="76"/>
    <x v="6"/>
  </r>
  <r>
    <x v="2223"/>
    <x v="4"/>
    <x v="0"/>
    <x v="46"/>
    <x v="79"/>
    <x v="3"/>
    <x v="87"/>
    <x v="235"/>
    <x v="40"/>
    <x v="77"/>
    <x v="0"/>
    <x v="1018"/>
    <x v="2"/>
    <x v="1018"/>
    <x v="1018"/>
    <x v="76"/>
    <x v="6"/>
  </r>
  <r>
    <x v="2224"/>
    <x v="4"/>
    <x v="0"/>
    <x v="46"/>
    <x v="79"/>
    <x v="3"/>
    <x v="87"/>
    <x v="237"/>
    <x v="71"/>
    <x v="115"/>
    <x v="0"/>
    <x v="1010"/>
    <x v="2"/>
    <x v="1010"/>
    <x v="1010"/>
    <x v="113"/>
    <x v="1"/>
  </r>
  <r>
    <x v="2225"/>
    <x v="4"/>
    <x v="0"/>
    <x v="46"/>
    <x v="79"/>
    <x v="3"/>
    <x v="87"/>
    <x v="234"/>
    <x v="71"/>
    <x v="115"/>
    <x v="0"/>
    <x v="1019"/>
    <x v="2"/>
    <x v="1019"/>
    <x v="1019"/>
    <x v="113"/>
    <x v="1"/>
  </r>
  <r>
    <x v="2226"/>
    <x v="4"/>
    <x v="0"/>
    <x v="46"/>
    <x v="79"/>
    <x v="3"/>
    <x v="87"/>
    <x v="246"/>
    <x v="64"/>
    <x v="107"/>
    <x v="0"/>
    <x v="1020"/>
    <x v="2"/>
    <x v="1020"/>
    <x v="1020"/>
    <x v="105"/>
    <x v="6"/>
  </r>
  <r>
    <x v="2227"/>
    <x v="4"/>
    <x v="0"/>
    <x v="46"/>
    <x v="79"/>
    <x v="3"/>
    <x v="87"/>
    <x v="233"/>
    <x v="1"/>
    <x v="2"/>
    <x v="0"/>
    <x v="1021"/>
    <x v="2"/>
    <x v="1021"/>
    <x v="1021"/>
    <x v="2"/>
    <x v="1"/>
  </r>
  <r>
    <x v="2228"/>
    <x v="43"/>
    <x v="0"/>
    <x v="47"/>
    <x v="81"/>
    <x v="2"/>
    <x v="88"/>
    <x v="255"/>
    <x v="80"/>
    <x v="123"/>
    <x v="0"/>
    <x v="1022"/>
    <x v="14"/>
    <x v="1022"/>
    <x v="1022"/>
    <x v="119"/>
    <x v="13"/>
  </r>
  <r>
    <x v="2229"/>
    <x v="43"/>
    <x v="0"/>
    <x v="47"/>
    <x v="81"/>
    <x v="2"/>
    <x v="88"/>
    <x v="255"/>
    <x v="81"/>
    <x v="124"/>
    <x v="0"/>
    <x v="1023"/>
    <x v="14"/>
    <x v="1023"/>
    <x v="1023"/>
    <x v="120"/>
    <x v="10"/>
  </r>
  <r>
    <x v="2230"/>
    <x v="43"/>
    <x v="0"/>
    <x v="47"/>
    <x v="81"/>
    <x v="2"/>
    <x v="88"/>
    <x v="255"/>
    <x v="82"/>
    <x v="124"/>
    <x v="0"/>
    <x v="1024"/>
    <x v="14"/>
    <x v="1024"/>
    <x v="1024"/>
    <x v="120"/>
    <x v="10"/>
  </r>
  <r>
    <x v="2231"/>
    <x v="43"/>
    <x v="0"/>
    <x v="47"/>
    <x v="81"/>
    <x v="2"/>
    <x v="88"/>
    <x v="255"/>
    <x v="83"/>
    <x v="124"/>
    <x v="0"/>
    <x v="1025"/>
    <x v="14"/>
    <x v="1025"/>
    <x v="1025"/>
    <x v="120"/>
    <x v="10"/>
  </r>
  <r>
    <x v="2232"/>
    <x v="30"/>
    <x v="0"/>
    <x v="43"/>
    <x v="76"/>
    <x v="0"/>
    <x v="85"/>
    <x v="142"/>
    <x v="63"/>
    <x v="104"/>
    <x v="0"/>
    <x v="271"/>
    <x v="14"/>
    <x v="271"/>
    <x v="271"/>
    <x v="102"/>
    <x v="7"/>
  </r>
  <r>
    <x v="2233"/>
    <x v="30"/>
    <x v="0"/>
    <x v="43"/>
    <x v="76"/>
    <x v="0"/>
    <x v="85"/>
    <x v="143"/>
    <x v="62"/>
    <x v="103"/>
    <x v="0"/>
    <x v="272"/>
    <x v="14"/>
    <x v="272"/>
    <x v="272"/>
    <x v="101"/>
    <x v="7"/>
  </r>
  <r>
    <x v="2234"/>
    <x v="10"/>
    <x v="0"/>
    <x v="43"/>
    <x v="76"/>
    <x v="0"/>
    <x v="85"/>
    <x v="142"/>
    <x v="61"/>
    <x v="102"/>
    <x v="0"/>
    <x v="271"/>
    <x v="14"/>
    <x v="271"/>
    <x v="271"/>
    <x v="100"/>
    <x v="7"/>
  </r>
  <r>
    <x v="2235"/>
    <x v="10"/>
    <x v="0"/>
    <x v="43"/>
    <x v="76"/>
    <x v="0"/>
    <x v="85"/>
    <x v="143"/>
    <x v="63"/>
    <x v="104"/>
    <x v="0"/>
    <x v="272"/>
    <x v="14"/>
    <x v="272"/>
    <x v="272"/>
    <x v="102"/>
    <x v="7"/>
  </r>
  <r>
    <x v="2236"/>
    <x v="10"/>
    <x v="0"/>
    <x v="43"/>
    <x v="76"/>
    <x v="0"/>
    <x v="85"/>
    <x v="144"/>
    <x v="60"/>
    <x v="101"/>
    <x v="0"/>
    <x v="273"/>
    <x v="14"/>
    <x v="273"/>
    <x v="273"/>
    <x v="99"/>
    <x v="11"/>
  </r>
  <r>
    <x v="2237"/>
    <x v="11"/>
    <x v="0"/>
    <x v="43"/>
    <x v="76"/>
    <x v="0"/>
    <x v="85"/>
    <x v="141"/>
    <x v="63"/>
    <x v="104"/>
    <x v="0"/>
    <x v="270"/>
    <x v="14"/>
    <x v="270"/>
    <x v="270"/>
    <x v="102"/>
    <x v="7"/>
  </r>
  <r>
    <x v="2238"/>
    <x v="11"/>
    <x v="0"/>
    <x v="43"/>
    <x v="76"/>
    <x v="0"/>
    <x v="85"/>
    <x v="142"/>
    <x v="62"/>
    <x v="103"/>
    <x v="0"/>
    <x v="271"/>
    <x v="14"/>
    <x v="271"/>
    <x v="271"/>
    <x v="101"/>
    <x v="7"/>
  </r>
  <r>
    <x v="2239"/>
    <x v="34"/>
    <x v="0"/>
    <x v="43"/>
    <x v="76"/>
    <x v="0"/>
    <x v="85"/>
    <x v="146"/>
    <x v="60"/>
    <x v="101"/>
    <x v="0"/>
    <x v="278"/>
    <x v="14"/>
    <x v="278"/>
    <x v="278"/>
    <x v="99"/>
    <x v="11"/>
  </r>
  <r>
    <x v="2240"/>
    <x v="34"/>
    <x v="0"/>
    <x v="43"/>
    <x v="76"/>
    <x v="0"/>
    <x v="85"/>
    <x v="142"/>
    <x v="62"/>
    <x v="103"/>
    <x v="0"/>
    <x v="271"/>
    <x v="14"/>
    <x v="271"/>
    <x v="271"/>
    <x v="101"/>
    <x v="7"/>
  </r>
  <r>
    <x v="2241"/>
    <x v="34"/>
    <x v="0"/>
    <x v="43"/>
    <x v="76"/>
    <x v="0"/>
    <x v="85"/>
    <x v="143"/>
    <x v="60"/>
    <x v="101"/>
    <x v="0"/>
    <x v="272"/>
    <x v="14"/>
    <x v="272"/>
    <x v="272"/>
    <x v="99"/>
    <x v="11"/>
  </r>
  <r>
    <x v="2242"/>
    <x v="34"/>
    <x v="0"/>
    <x v="43"/>
    <x v="76"/>
    <x v="0"/>
    <x v="85"/>
    <x v="144"/>
    <x v="61"/>
    <x v="102"/>
    <x v="0"/>
    <x v="273"/>
    <x v="14"/>
    <x v="273"/>
    <x v="273"/>
    <x v="100"/>
    <x v="7"/>
  </r>
  <r>
    <x v="2243"/>
    <x v="30"/>
    <x v="0"/>
    <x v="46"/>
    <x v="79"/>
    <x v="3"/>
    <x v="87"/>
    <x v="253"/>
    <x v="78"/>
    <x v="119"/>
    <x v="0"/>
    <x v="178"/>
    <x v="14"/>
    <x v="178"/>
    <x v="178"/>
    <x v="117"/>
    <x v="13"/>
  </r>
  <r>
    <x v="2244"/>
    <x v="30"/>
    <x v="0"/>
    <x v="46"/>
    <x v="79"/>
    <x v="3"/>
    <x v="87"/>
    <x v="250"/>
    <x v="79"/>
    <x v="122"/>
    <x v="0"/>
    <x v="1026"/>
    <x v="14"/>
    <x v="1026"/>
    <x v="1026"/>
    <x v="118"/>
    <x v="1"/>
  </r>
  <r>
    <x v="2245"/>
    <x v="30"/>
    <x v="0"/>
    <x v="46"/>
    <x v="79"/>
    <x v="3"/>
    <x v="87"/>
    <x v="236"/>
    <x v="40"/>
    <x v="77"/>
    <x v="0"/>
    <x v="947"/>
    <x v="14"/>
    <x v="947"/>
    <x v="947"/>
    <x v="76"/>
    <x v="6"/>
  </r>
  <r>
    <x v="2246"/>
    <x v="30"/>
    <x v="0"/>
    <x v="46"/>
    <x v="79"/>
    <x v="3"/>
    <x v="87"/>
    <x v="237"/>
    <x v="40"/>
    <x v="77"/>
    <x v="0"/>
    <x v="1027"/>
    <x v="14"/>
    <x v="1027"/>
    <x v="1027"/>
    <x v="76"/>
    <x v="6"/>
  </r>
  <r>
    <x v="2247"/>
    <x v="30"/>
    <x v="0"/>
    <x v="46"/>
    <x v="79"/>
    <x v="3"/>
    <x v="87"/>
    <x v="234"/>
    <x v="40"/>
    <x v="77"/>
    <x v="0"/>
    <x v="964"/>
    <x v="14"/>
    <x v="964"/>
    <x v="964"/>
    <x v="76"/>
    <x v="6"/>
  </r>
  <r>
    <x v="2248"/>
    <x v="30"/>
    <x v="0"/>
    <x v="46"/>
    <x v="79"/>
    <x v="3"/>
    <x v="87"/>
    <x v="235"/>
    <x v="40"/>
    <x v="77"/>
    <x v="0"/>
    <x v="1028"/>
    <x v="14"/>
    <x v="1028"/>
    <x v="1028"/>
    <x v="76"/>
    <x v="6"/>
  </r>
  <r>
    <x v="2249"/>
    <x v="30"/>
    <x v="0"/>
    <x v="46"/>
    <x v="79"/>
    <x v="3"/>
    <x v="87"/>
    <x v="233"/>
    <x v="79"/>
    <x v="122"/>
    <x v="0"/>
    <x v="981"/>
    <x v="14"/>
    <x v="981"/>
    <x v="981"/>
    <x v="118"/>
    <x v="1"/>
  </r>
  <r>
    <x v="2250"/>
    <x v="30"/>
    <x v="0"/>
    <x v="46"/>
    <x v="79"/>
    <x v="3"/>
    <x v="87"/>
    <x v="232"/>
    <x v="79"/>
    <x v="122"/>
    <x v="0"/>
    <x v="1029"/>
    <x v="14"/>
    <x v="1029"/>
    <x v="1029"/>
    <x v="118"/>
    <x v="1"/>
  </r>
  <r>
    <x v="2251"/>
    <x v="30"/>
    <x v="0"/>
    <x v="46"/>
    <x v="79"/>
    <x v="3"/>
    <x v="87"/>
    <x v="234"/>
    <x v="79"/>
    <x v="122"/>
    <x v="0"/>
    <x v="1030"/>
    <x v="14"/>
    <x v="1030"/>
    <x v="1030"/>
    <x v="118"/>
    <x v="1"/>
  </r>
  <r>
    <x v="2252"/>
    <x v="30"/>
    <x v="0"/>
    <x v="46"/>
    <x v="79"/>
    <x v="3"/>
    <x v="87"/>
    <x v="221"/>
    <x v="40"/>
    <x v="77"/>
    <x v="0"/>
    <x v="1031"/>
    <x v="14"/>
    <x v="1031"/>
    <x v="1031"/>
    <x v="76"/>
    <x v="6"/>
  </r>
  <r>
    <x v="2253"/>
    <x v="30"/>
    <x v="0"/>
    <x v="46"/>
    <x v="79"/>
    <x v="3"/>
    <x v="87"/>
    <x v="245"/>
    <x v="40"/>
    <x v="77"/>
    <x v="0"/>
    <x v="1030"/>
    <x v="14"/>
    <x v="1030"/>
    <x v="1030"/>
    <x v="76"/>
    <x v="6"/>
  </r>
  <r>
    <x v="2254"/>
    <x v="30"/>
    <x v="0"/>
    <x v="46"/>
    <x v="79"/>
    <x v="3"/>
    <x v="87"/>
    <x v="228"/>
    <x v="40"/>
    <x v="77"/>
    <x v="0"/>
    <x v="1032"/>
    <x v="14"/>
    <x v="1032"/>
    <x v="1032"/>
    <x v="76"/>
    <x v="6"/>
  </r>
  <r>
    <x v="2255"/>
    <x v="30"/>
    <x v="0"/>
    <x v="46"/>
    <x v="79"/>
    <x v="3"/>
    <x v="87"/>
    <x v="222"/>
    <x v="40"/>
    <x v="77"/>
    <x v="0"/>
    <x v="1033"/>
    <x v="14"/>
    <x v="1033"/>
    <x v="1033"/>
    <x v="76"/>
    <x v="6"/>
  </r>
  <r>
    <x v="2256"/>
    <x v="30"/>
    <x v="0"/>
    <x v="46"/>
    <x v="79"/>
    <x v="3"/>
    <x v="87"/>
    <x v="254"/>
    <x v="40"/>
    <x v="77"/>
    <x v="0"/>
    <x v="1034"/>
    <x v="14"/>
    <x v="1034"/>
    <x v="1034"/>
    <x v="76"/>
    <x v="6"/>
  </r>
  <r>
    <x v="2257"/>
    <x v="10"/>
    <x v="0"/>
    <x v="46"/>
    <x v="79"/>
    <x v="3"/>
    <x v="87"/>
    <x v="252"/>
    <x v="79"/>
    <x v="122"/>
    <x v="0"/>
    <x v="1035"/>
    <x v="14"/>
    <x v="1035"/>
    <x v="1035"/>
    <x v="118"/>
    <x v="1"/>
  </r>
  <r>
    <x v="2258"/>
    <x v="10"/>
    <x v="0"/>
    <x v="46"/>
    <x v="79"/>
    <x v="3"/>
    <x v="87"/>
    <x v="227"/>
    <x v="79"/>
    <x v="122"/>
    <x v="0"/>
    <x v="1036"/>
    <x v="14"/>
    <x v="1036"/>
    <x v="1036"/>
    <x v="118"/>
    <x v="1"/>
  </r>
  <r>
    <x v="2259"/>
    <x v="10"/>
    <x v="0"/>
    <x v="46"/>
    <x v="79"/>
    <x v="3"/>
    <x v="87"/>
    <x v="224"/>
    <x v="78"/>
    <x v="119"/>
    <x v="0"/>
    <x v="1037"/>
    <x v="14"/>
    <x v="1037"/>
    <x v="1037"/>
    <x v="117"/>
    <x v="13"/>
  </r>
  <r>
    <x v="2260"/>
    <x v="10"/>
    <x v="0"/>
    <x v="46"/>
    <x v="79"/>
    <x v="3"/>
    <x v="87"/>
    <x v="225"/>
    <x v="78"/>
    <x v="119"/>
    <x v="0"/>
    <x v="1038"/>
    <x v="14"/>
    <x v="1038"/>
    <x v="1038"/>
    <x v="117"/>
    <x v="13"/>
  </r>
  <r>
    <x v="2261"/>
    <x v="10"/>
    <x v="0"/>
    <x v="46"/>
    <x v="79"/>
    <x v="3"/>
    <x v="87"/>
    <x v="226"/>
    <x v="78"/>
    <x v="119"/>
    <x v="0"/>
    <x v="1039"/>
    <x v="14"/>
    <x v="1039"/>
    <x v="1039"/>
    <x v="117"/>
    <x v="13"/>
  </r>
  <r>
    <x v="2262"/>
    <x v="10"/>
    <x v="0"/>
    <x v="46"/>
    <x v="79"/>
    <x v="3"/>
    <x v="87"/>
    <x v="228"/>
    <x v="40"/>
    <x v="77"/>
    <x v="0"/>
    <x v="1040"/>
    <x v="14"/>
    <x v="1040"/>
    <x v="1040"/>
    <x v="76"/>
    <x v="6"/>
  </r>
  <r>
    <x v="2263"/>
    <x v="10"/>
    <x v="0"/>
    <x v="46"/>
    <x v="79"/>
    <x v="3"/>
    <x v="87"/>
    <x v="229"/>
    <x v="40"/>
    <x v="77"/>
    <x v="0"/>
    <x v="1041"/>
    <x v="14"/>
    <x v="1041"/>
    <x v="1041"/>
    <x v="76"/>
    <x v="6"/>
  </r>
  <r>
    <x v="2264"/>
    <x v="10"/>
    <x v="0"/>
    <x v="46"/>
    <x v="79"/>
    <x v="3"/>
    <x v="87"/>
    <x v="231"/>
    <x v="40"/>
    <x v="77"/>
    <x v="0"/>
    <x v="1042"/>
    <x v="14"/>
    <x v="1042"/>
    <x v="1042"/>
    <x v="76"/>
    <x v="6"/>
  </r>
  <r>
    <x v="2265"/>
    <x v="10"/>
    <x v="0"/>
    <x v="46"/>
    <x v="79"/>
    <x v="3"/>
    <x v="87"/>
    <x v="248"/>
    <x v="1"/>
    <x v="2"/>
    <x v="0"/>
    <x v="1043"/>
    <x v="14"/>
    <x v="1043"/>
    <x v="1043"/>
    <x v="2"/>
    <x v="1"/>
  </r>
  <r>
    <x v="2266"/>
    <x v="10"/>
    <x v="0"/>
    <x v="46"/>
    <x v="79"/>
    <x v="3"/>
    <x v="87"/>
    <x v="247"/>
    <x v="1"/>
    <x v="2"/>
    <x v="0"/>
    <x v="1044"/>
    <x v="14"/>
    <x v="1044"/>
    <x v="1044"/>
    <x v="2"/>
    <x v="1"/>
  </r>
  <r>
    <x v="2267"/>
    <x v="10"/>
    <x v="0"/>
    <x v="46"/>
    <x v="79"/>
    <x v="3"/>
    <x v="87"/>
    <x v="230"/>
    <x v="1"/>
    <x v="2"/>
    <x v="0"/>
    <x v="1045"/>
    <x v="14"/>
    <x v="1045"/>
    <x v="1045"/>
    <x v="2"/>
    <x v="1"/>
  </r>
  <r>
    <x v="2268"/>
    <x v="10"/>
    <x v="0"/>
    <x v="46"/>
    <x v="79"/>
    <x v="3"/>
    <x v="87"/>
    <x v="233"/>
    <x v="79"/>
    <x v="122"/>
    <x v="0"/>
    <x v="1046"/>
    <x v="14"/>
    <x v="1046"/>
    <x v="1046"/>
    <x v="118"/>
    <x v="1"/>
  </r>
  <r>
    <x v="2269"/>
    <x v="10"/>
    <x v="0"/>
    <x v="46"/>
    <x v="79"/>
    <x v="3"/>
    <x v="87"/>
    <x v="235"/>
    <x v="79"/>
    <x v="122"/>
    <x v="0"/>
    <x v="1047"/>
    <x v="14"/>
    <x v="1047"/>
    <x v="1047"/>
    <x v="118"/>
    <x v="1"/>
  </r>
  <r>
    <x v="2270"/>
    <x v="10"/>
    <x v="0"/>
    <x v="46"/>
    <x v="79"/>
    <x v="3"/>
    <x v="87"/>
    <x v="242"/>
    <x v="79"/>
    <x v="122"/>
    <x v="0"/>
    <x v="1048"/>
    <x v="14"/>
    <x v="1048"/>
    <x v="1048"/>
    <x v="118"/>
    <x v="1"/>
  </r>
  <r>
    <x v="2271"/>
    <x v="10"/>
    <x v="0"/>
    <x v="46"/>
    <x v="79"/>
    <x v="3"/>
    <x v="87"/>
    <x v="243"/>
    <x v="78"/>
    <x v="119"/>
    <x v="0"/>
    <x v="1049"/>
    <x v="14"/>
    <x v="1049"/>
    <x v="1049"/>
    <x v="117"/>
    <x v="13"/>
  </r>
  <r>
    <x v="2272"/>
    <x v="10"/>
    <x v="0"/>
    <x v="46"/>
    <x v="79"/>
    <x v="3"/>
    <x v="87"/>
    <x v="244"/>
    <x v="78"/>
    <x v="119"/>
    <x v="0"/>
    <x v="1050"/>
    <x v="14"/>
    <x v="1050"/>
    <x v="1050"/>
    <x v="117"/>
    <x v="13"/>
  </r>
  <r>
    <x v="2273"/>
    <x v="10"/>
    <x v="0"/>
    <x v="46"/>
    <x v="79"/>
    <x v="3"/>
    <x v="87"/>
    <x v="221"/>
    <x v="78"/>
    <x v="119"/>
    <x v="0"/>
    <x v="1051"/>
    <x v="14"/>
    <x v="1051"/>
    <x v="1051"/>
    <x v="117"/>
    <x v="13"/>
  </r>
  <r>
    <x v="2274"/>
    <x v="10"/>
    <x v="0"/>
    <x v="46"/>
    <x v="79"/>
    <x v="3"/>
    <x v="87"/>
    <x v="234"/>
    <x v="78"/>
    <x v="119"/>
    <x v="0"/>
    <x v="1052"/>
    <x v="14"/>
    <x v="1052"/>
    <x v="1052"/>
    <x v="117"/>
    <x v="13"/>
  </r>
  <r>
    <x v="2275"/>
    <x v="10"/>
    <x v="0"/>
    <x v="46"/>
    <x v="79"/>
    <x v="3"/>
    <x v="87"/>
    <x v="246"/>
    <x v="71"/>
    <x v="115"/>
    <x v="0"/>
    <x v="1053"/>
    <x v="14"/>
    <x v="1053"/>
    <x v="1053"/>
    <x v="113"/>
    <x v="1"/>
  </r>
  <r>
    <x v="2276"/>
    <x v="10"/>
    <x v="0"/>
    <x v="46"/>
    <x v="79"/>
    <x v="3"/>
    <x v="87"/>
    <x v="223"/>
    <x v="71"/>
    <x v="115"/>
    <x v="0"/>
    <x v="1054"/>
    <x v="14"/>
    <x v="1054"/>
    <x v="1054"/>
    <x v="113"/>
    <x v="1"/>
  </r>
  <r>
    <x v="2277"/>
    <x v="10"/>
    <x v="0"/>
    <x v="46"/>
    <x v="79"/>
    <x v="3"/>
    <x v="87"/>
    <x v="237"/>
    <x v="71"/>
    <x v="115"/>
    <x v="0"/>
    <x v="1055"/>
    <x v="14"/>
    <x v="1055"/>
    <x v="1055"/>
    <x v="113"/>
    <x v="1"/>
  </r>
  <r>
    <x v="2278"/>
    <x v="10"/>
    <x v="0"/>
    <x v="46"/>
    <x v="79"/>
    <x v="3"/>
    <x v="87"/>
    <x v="239"/>
    <x v="64"/>
    <x v="107"/>
    <x v="0"/>
    <x v="1056"/>
    <x v="14"/>
    <x v="1056"/>
    <x v="1056"/>
    <x v="105"/>
    <x v="6"/>
  </r>
  <r>
    <x v="2279"/>
    <x v="10"/>
    <x v="0"/>
    <x v="46"/>
    <x v="79"/>
    <x v="3"/>
    <x v="87"/>
    <x v="238"/>
    <x v="64"/>
    <x v="107"/>
    <x v="0"/>
    <x v="953"/>
    <x v="14"/>
    <x v="953"/>
    <x v="953"/>
    <x v="105"/>
    <x v="6"/>
  </r>
  <r>
    <x v="2280"/>
    <x v="10"/>
    <x v="0"/>
    <x v="46"/>
    <x v="79"/>
    <x v="3"/>
    <x v="87"/>
    <x v="236"/>
    <x v="64"/>
    <x v="107"/>
    <x v="0"/>
    <x v="1057"/>
    <x v="14"/>
    <x v="1057"/>
    <x v="1057"/>
    <x v="105"/>
    <x v="6"/>
  </r>
  <r>
    <x v="2281"/>
    <x v="10"/>
    <x v="0"/>
    <x v="46"/>
    <x v="79"/>
    <x v="3"/>
    <x v="87"/>
    <x v="245"/>
    <x v="40"/>
    <x v="77"/>
    <x v="0"/>
    <x v="1044"/>
    <x v="14"/>
    <x v="1044"/>
    <x v="1044"/>
    <x v="76"/>
    <x v="6"/>
  </r>
  <r>
    <x v="2282"/>
    <x v="10"/>
    <x v="0"/>
    <x v="46"/>
    <x v="79"/>
    <x v="3"/>
    <x v="87"/>
    <x v="222"/>
    <x v="40"/>
    <x v="77"/>
    <x v="0"/>
    <x v="997"/>
    <x v="14"/>
    <x v="997"/>
    <x v="997"/>
    <x v="76"/>
    <x v="6"/>
  </r>
  <r>
    <x v="2283"/>
    <x v="10"/>
    <x v="0"/>
    <x v="46"/>
    <x v="79"/>
    <x v="3"/>
    <x v="87"/>
    <x v="254"/>
    <x v="40"/>
    <x v="77"/>
    <x v="0"/>
    <x v="1058"/>
    <x v="14"/>
    <x v="1058"/>
    <x v="1058"/>
    <x v="76"/>
    <x v="6"/>
  </r>
  <r>
    <x v="2284"/>
    <x v="10"/>
    <x v="0"/>
    <x v="46"/>
    <x v="79"/>
    <x v="3"/>
    <x v="87"/>
    <x v="240"/>
    <x v="1"/>
    <x v="2"/>
    <x v="0"/>
    <x v="1059"/>
    <x v="14"/>
    <x v="1059"/>
    <x v="1059"/>
    <x v="2"/>
    <x v="1"/>
  </r>
  <r>
    <x v="2285"/>
    <x v="10"/>
    <x v="0"/>
    <x v="46"/>
    <x v="79"/>
    <x v="3"/>
    <x v="87"/>
    <x v="241"/>
    <x v="1"/>
    <x v="2"/>
    <x v="0"/>
    <x v="942"/>
    <x v="14"/>
    <x v="942"/>
    <x v="942"/>
    <x v="2"/>
    <x v="1"/>
  </r>
  <r>
    <x v="2286"/>
    <x v="10"/>
    <x v="0"/>
    <x v="46"/>
    <x v="79"/>
    <x v="3"/>
    <x v="87"/>
    <x v="232"/>
    <x v="1"/>
    <x v="2"/>
    <x v="0"/>
    <x v="948"/>
    <x v="14"/>
    <x v="948"/>
    <x v="948"/>
    <x v="2"/>
    <x v="1"/>
  </r>
  <r>
    <x v="2287"/>
    <x v="11"/>
    <x v="0"/>
    <x v="46"/>
    <x v="79"/>
    <x v="3"/>
    <x v="87"/>
    <x v="251"/>
    <x v="79"/>
    <x v="122"/>
    <x v="0"/>
    <x v="1060"/>
    <x v="14"/>
    <x v="1060"/>
    <x v="1060"/>
    <x v="118"/>
    <x v="1"/>
  </r>
  <r>
    <x v="2288"/>
    <x v="11"/>
    <x v="0"/>
    <x v="46"/>
    <x v="79"/>
    <x v="3"/>
    <x v="87"/>
    <x v="250"/>
    <x v="79"/>
    <x v="122"/>
    <x v="0"/>
    <x v="1061"/>
    <x v="14"/>
    <x v="1061"/>
    <x v="1061"/>
    <x v="118"/>
    <x v="1"/>
  </r>
  <r>
    <x v="2289"/>
    <x v="11"/>
    <x v="0"/>
    <x v="46"/>
    <x v="79"/>
    <x v="3"/>
    <x v="87"/>
    <x v="250"/>
    <x v="78"/>
    <x v="119"/>
    <x v="0"/>
    <x v="1062"/>
    <x v="14"/>
    <x v="1062"/>
    <x v="1062"/>
    <x v="117"/>
    <x v="13"/>
  </r>
  <r>
    <x v="2290"/>
    <x v="11"/>
    <x v="0"/>
    <x v="46"/>
    <x v="79"/>
    <x v="3"/>
    <x v="87"/>
    <x v="248"/>
    <x v="64"/>
    <x v="107"/>
    <x v="0"/>
    <x v="1063"/>
    <x v="14"/>
    <x v="1063"/>
    <x v="1063"/>
    <x v="105"/>
    <x v="6"/>
  </r>
  <r>
    <x v="2291"/>
    <x v="11"/>
    <x v="0"/>
    <x v="46"/>
    <x v="79"/>
    <x v="3"/>
    <x v="87"/>
    <x v="247"/>
    <x v="64"/>
    <x v="107"/>
    <x v="0"/>
    <x v="1064"/>
    <x v="14"/>
    <x v="1064"/>
    <x v="1064"/>
    <x v="105"/>
    <x v="6"/>
  </r>
  <r>
    <x v="2292"/>
    <x v="11"/>
    <x v="0"/>
    <x v="46"/>
    <x v="79"/>
    <x v="3"/>
    <x v="87"/>
    <x v="230"/>
    <x v="64"/>
    <x v="107"/>
    <x v="0"/>
    <x v="1028"/>
    <x v="14"/>
    <x v="1028"/>
    <x v="1028"/>
    <x v="105"/>
    <x v="6"/>
  </r>
  <r>
    <x v="2293"/>
    <x v="11"/>
    <x v="0"/>
    <x v="46"/>
    <x v="79"/>
    <x v="3"/>
    <x v="87"/>
    <x v="231"/>
    <x v="64"/>
    <x v="107"/>
    <x v="0"/>
    <x v="1065"/>
    <x v="14"/>
    <x v="1065"/>
    <x v="1065"/>
    <x v="105"/>
    <x v="6"/>
  </r>
  <r>
    <x v="2294"/>
    <x v="11"/>
    <x v="0"/>
    <x v="46"/>
    <x v="79"/>
    <x v="3"/>
    <x v="87"/>
    <x v="227"/>
    <x v="40"/>
    <x v="77"/>
    <x v="0"/>
    <x v="1066"/>
    <x v="14"/>
    <x v="1066"/>
    <x v="1066"/>
    <x v="76"/>
    <x v="6"/>
  </r>
  <r>
    <x v="2295"/>
    <x v="11"/>
    <x v="0"/>
    <x v="46"/>
    <x v="79"/>
    <x v="3"/>
    <x v="87"/>
    <x v="252"/>
    <x v="40"/>
    <x v="77"/>
    <x v="0"/>
    <x v="1067"/>
    <x v="14"/>
    <x v="1067"/>
    <x v="1067"/>
    <x v="76"/>
    <x v="6"/>
  </r>
  <r>
    <x v="2296"/>
    <x v="11"/>
    <x v="0"/>
    <x v="46"/>
    <x v="79"/>
    <x v="3"/>
    <x v="87"/>
    <x v="239"/>
    <x v="40"/>
    <x v="77"/>
    <x v="0"/>
    <x v="939"/>
    <x v="14"/>
    <x v="939"/>
    <x v="939"/>
    <x v="76"/>
    <x v="6"/>
  </r>
  <r>
    <x v="2297"/>
    <x v="11"/>
    <x v="0"/>
    <x v="46"/>
    <x v="79"/>
    <x v="3"/>
    <x v="87"/>
    <x v="238"/>
    <x v="40"/>
    <x v="77"/>
    <x v="0"/>
    <x v="1068"/>
    <x v="14"/>
    <x v="1068"/>
    <x v="1068"/>
    <x v="76"/>
    <x v="6"/>
  </r>
  <r>
    <x v="2298"/>
    <x v="11"/>
    <x v="0"/>
    <x v="46"/>
    <x v="79"/>
    <x v="3"/>
    <x v="87"/>
    <x v="245"/>
    <x v="1"/>
    <x v="2"/>
    <x v="0"/>
    <x v="1069"/>
    <x v="14"/>
    <x v="1069"/>
    <x v="1069"/>
    <x v="2"/>
    <x v="1"/>
  </r>
  <r>
    <x v="2299"/>
    <x v="11"/>
    <x v="0"/>
    <x v="46"/>
    <x v="79"/>
    <x v="3"/>
    <x v="87"/>
    <x v="228"/>
    <x v="1"/>
    <x v="2"/>
    <x v="0"/>
    <x v="1065"/>
    <x v="14"/>
    <x v="1065"/>
    <x v="1065"/>
    <x v="2"/>
    <x v="1"/>
  </r>
  <r>
    <x v="2300"/>
    <x v="11"/>
    <x v="0"/>
    <x v="46"/>
    <x v="79"/>
    <x v="3"/>
    <x v="87"/>
    <x v="229"/>
    <x v="1"/>
    <x v="2"/>
    <x v="0"/>
    <x v="1070"/>
    <x v="14"/>
    <x v="1070"/>
    <x v="1070"/>
    <x v="2"/>
    <x v="1"/>
  </r>
  <r>
    <x v="2301"/>
    <x v="11"/>
    <x v="0"/>
    <x v="46"/>
    <x v="79"/>
    <x v="3"/>
    <x v="87"/>
    <x v="222"/>
    <x v="1"/>
    <x v="2"/>
    <x v="0"/>
    <x v="1030"/>
    <x v="14"/>
    <x v="1030"/>
    <x v="1030"/>
    <x v="2"/>
    <x v="1"/>
  </r>
  <r>
    <x v="2302"/>
    <x v="11"/>
    <x v="0"/>
    <x v="46"/>
    <x v="79"/>
    <x v="3"/>
    <x v="87"/>
    <x v="254"/>
    <x v="1"/>
    <x v="2"/>
    <x v="0"/>
    <x v="1071"/>
    <x v="14"/>
    <x v="1071"/>
    <x v="1071"/>
    <x v="2"/>
    <x v="1"/>
  </r>
  <r>
    <x v="2303"/>
    <x v="11"/>
    <x v="0"/>
    <x v="46"/>
    <x v="79"/>
    <x v="3"/>
    <x v="87"/>
    <x v="242"/>
    <x v="79"/>
    <x v="122"/>
    <x v="0"/>
    <x v="1072"/>
    <x v="14"/>
    <x v="1072"/>
    <x v="1072"/>
    <x v="118"/>
    <x v="1"/>
  </r>
  <r>
    <x v="2304"/>
    <x v="11"/>
    <x v="0"/>
    <x v="46"/>
    <x v="79"/>
    <x v="3"/>
    <x v="87"/>
    <x v="241"/>
    <x v="79"/>
    <x v="122"/>
    <x v="0"/>
    <x v="1045"/>
    <x v="14"/>
    <x v="1045"/>
    <x v="1045"/>
    <x v="118"/>
    <x v="1"/>
  </r>
  <r>
    <x v="2305"/>
    <x v="11"/>
    <x v="0"/>
    <x v="46"/>
    <x v="79"/>
    <x v="3"/>
    <x v="87"/>
    <x v="236"/>
    <x v="79"/>
    <x v="122"/>
    <x v="0"/>
    <x v="1073"/>
    <x v="14"/>
    <x v="1073"/>
    <x v="1073"/>
    <x v="118"/>
    <x v="1"/>
  </r>
  <r>
    <x v="2306"/>
    <x v="11"/>
    <x v="0"/>
    <x v="46"/>
    <x v="79"/>
    <x v="3"/>
    <x v="87"/>
    <x v="243"/>
    <x v="78"/>
    <x v="119"/>
    <x v="0"/>
    <x v="989"/>
    <x v="14"/>
    <x v="989"/>
    <x v="989"/>
    <x v="117"/>
    <x v="13"/>
  </r>
  <r>
    <x v="2307"/>
    <x v="11"/>
    <x v="0"/>
    <x v="46"/>
    <x v="79"/>
    <x v="3"/>
    <x v="87"/>
    <x v="244"/>
    <x v="78"/>
    <x v="119"/>
    <x v="0"/>
    <x v="968"/>
    <x v="14"/>
    <x v="968"/>
    <x v="968"/>
    <x v="117"/>
    <x v="13"/>
  </r>
  <r>
    <x v="2308"/>
    <x v="11"/>
    <x v="0"/>
    <x v="46"/>
    <x v="79"/>
    <x v="3"/>
    <x v="87"/>
    <x v="237"/>
    <x v="78"/>
    <x v="119"/>
    <x v="0"/>
    <x v="998"/>
    <x v="14"/>
    <x v="998"/>
    <x v="998"/>
    <x v="117"/>
    <x v="13"/>
  </r>
  <r>
    <x v="2309"/>
    <x v="11"/>
    <x v="0"/>
    <x v="46"/>
    <x v="79"/>
    <x v="3"/>
    <x v="87"/>
    <x v="234"/>
    <x v="78"/>
    <x v="119"/>
    <x v="0"/>
    <x v="1074"/>
    <x v="14"/>
    <x v="1074"/>
    <x v="1074"/>
    <x v="117"/>
    <x v="13"/>
  </r>
  <r>
    <x v="2310"/>
    <x v="11"/>
    <x v="0"/>
    <x v="46"/>
    <x v="79"/>
    <x v="3"/>
    <x v="87"/>
    <x v="224"/>
    <x v="71"/>
    <x v="115"/>
    <x v="0"/>
    <x v="986"/>
    <x v="14"/>
    <x v="986"/>
    <x v="986"/>
    <x v="113"/>
    <x v="1"/>
  </r>
  <r>
    <x v="2311"/>
    <x v="11"/>
    <x v="0"/>
    <x v="46"/>
    <x v="79"/>
    <x v="3"/>
    <x v="87"/>
    <x v="225"/>
    <x v="71"/>
    <x v="115"/>
    <x v="0"/>
    <x v="985"/>
    <x v="14"/>
    <x v="985"/>
    <x v="985"/>
    <x v="113"/>
    <x v="1"/>
  </r>
  <r>
    <x v="2312"/>
    <x v="11"/>
    <x v="0"/>
    <x v="46"/>
    <x v="79"/>
    <x v="3"/>
    <x v="87"/>
    <x v="226"/>
    <x v="71"/>
    <x v="115"/>
    <x v="0"/>
    <x v="1052"/>
    <x v="14"/>
    <x v="1052"/>
    <x v="1052"/>
    <x v="113"/>
    <x v="1"/>
  </r>
  <r>
    <x v="2313"/>
    <x v="11"/>
    <x v="0"/>
    <x v="46"/>
    <x v="79"/>
    <x v="3"/>
    <x v="87"/>
    <x v="223"/>
    <x v="71"/>
    <x v="115"/>
    <x v="0"/>
    <x v="1075"/>
    <x v="14"/>
    <x v="1075"/>
    <x v="1075"/>
    <x v="113"/>
    <x v="1"/>
  </r>
  <r>
    <x v="2314"/>
    <x v="11"/>
    <x v="0"/>
    <x v="46"/>
    <x v="79"/>
    <x v="3"/>
    <x v="87"/>
    <x v="246"/>
    <x v="64"/>
    <x v="107"/>
    <x v="0"/>
    <x v="1048"/>
    <x v="14"/>
    <x v="1048"/>
    <x v="1048"/>
    <x v="105"/>
    <x v="6"/>
  </r>
  <r>
    <x v="2315"/>
    <x v="11"/>
    <x v="0"/>
    <x v="46"/>
    <x v="79"/>
    <x v="3"/>
    <x v="87"/>
    <x v="240"/>
    <x v="64"/>
    <x v="107"/>
    <x v="0"/>
    <x v="953"/>
    <x v="14"/>
    <x v="953"/>
    <x v="953"/>
    <x v="105"/>
    <x v="6"/>
  </r>
  <r>
    <x v="2316"/>
    <x v="11"/>
    <x v="0"/>
    <x v="46"/>
    <x v="79"/>
    <x v="3"/>
    <x v="87"/>
    <x v="235"/>
    <x v="64"/>
    <x v="107"/>
    <x v="0"/>
    <x v="1058"/>
    <x v="14"/>
    <x v="1058"/>
    <x v="1058"/>
    <x v="105"/>
    <x v="6"/>
  </r>
  <r>
    <x v="2317"/>
    <x v="11"/>
    <x v="0"/>
    <x v="46"/>
    <x v="79"/>
    <x v="3"/>
    <x v="87"/>
    <x v="233"/>
    <x v="40"/>
    <x v="77"/>
    <x v="0"/>
    <x v="1076"/>
    <x v="14"/>
    <x v="1076"/>
    <x v="1076"/>
    <x v="76"/>
    <x v="6"/>
  </r>
  <r>
    <x v="2318"/>
    <x v="11"/>
    <x v="0"/>
    <x v="46"/>
    <x v="79"/>
    <x v="3"/>
    <x v="87"/>
    <x v="232"/>
    <x v="40"/>
    <x v="77"/>
    <x v="0"/>
    <x v="1015"/>
    <x v="14"/>
    <x v="1015"/>
    <x v="1015"/>
    <x v="76"/>
    <x v="6"/>
  </r>
  <r>
    <x v="2319"/>
    <x v="34"/>
    <x v="0"/>
    <x v="46"/>
    <x v="79"/>
    <x v="3"/>
    <x v="87"/>
    <x v="245"/>
    <x v="79"/>
    <x v="122"/>
    <x v="0"/>
    <x v="981"/>
    <x v="14"/>
    <x v="981"/>
    <x v="981"/>
    <x v="118"/>
    <x v="1"/>
  </r>
  <r>
    <x v="2320"/>
    <x v="34"/>
    <x v="0"/>
    <x v="46"/>
    <x v="79"/>
    <x v="3"/>
    <x v="87"/>
    <x v="221"/>
    <x v="79"/>
    <x v="122"/>
    <x v="0"/>
    <x v="1001"/>
    <x v="14"/>
    <x v="1001"/>
    <x v="1001"/>
    <x v="118"/>
    <x v="1"/>
  </r>
  <r>
    <x v="2321"/>
    <x v="34"/>
    <x v="0"/>
    <x v="46"/>
    <x v="79"/>
    <x v="3"/>
    <x v="87"/>
    <x v="228"/>
    <x v="79"/>
    <x v="122"/>
    <x v="0"/>
    <x v="1077"/>
    <x v="14"/>
    <x v="1077"/>
    <x v="1077"/>
    <x v="118"/>
    <x v="1"/>
  </r>
  <r>
    <x v="2322"/>
    <x v="34"/>
    <x v="0"/>
    <x v="46"/>
    <x v="79"/>
    <x v="3"/>
    <x v="87"/>
    <x v="224"/>
    <x v="78"/>
    <x v="119"/>
    <x v="0"/>
    <x v="968"/>
    <x v="14"/>
    <x v="968"/>
    <x v="968"/>
    <x v="117"/>
    <x v="13"/>
  </r>
  <r>
    <x v="2323"/>
    <x v="34"/>
    <x v="0"/>
    <x v="46"/>
    <x v="79"/>
    <x v="3"/>
    <x v="87"/>
    <x v="225"/>
    <x v="78"/>
    <x v="119"/>
    <x v="0"/>
    <x v="959"/>
    <x v="14"/>
    <x v="959"/>
    <x v="959"/>
    <x v="117"/>
    <x v="13"/>
  </r>
  <r>
    <x v="2324"/>
    <x v="34"/>
    <x v="0"/>
    <x v="46"/>
    <x v="79"/>
    <x v="3"/>
    <x v="87"/>
    <x v="226"/>
    <x v="78"/>
    <x v="119"/>
    <x v="0"/>
    <x v="1042"/>
    <x v="14"/>
    <x v="1042"/>
    <x v="1042"/>
    <x v="117"/>
    <x v="13"/>
  </r>
  <r>
    <x v="2325"/>
    <x v="34"/>
    <x v="0"/>
    <x v="46"/>
    <x v="79"/>
    <x v="3"/>
    <x v="87"/>
    <x v="227"/>
    <x v="78"/>
    <x v="119"/>
    <x v="0"/>
    <x v="1032"/>
    <x v="14"/>
    <x v="1032"/>
    <x v="1032"/>
    <x v="117"/>
    <x v="13"/>
  </r>
  <r>
    <x v="2326"/>
    <x v="34"/>
    <x v="0"/>
    <x v="46"/>
    <x v="79"/>
    <x v="3"/>
    <x v="87"/>
    <x v="252"/>
    <x v="78"/>
    <x v="119"/>
    <x v="0"/>
    <x v="1078"/>
    <x v="14"/>
    <x v="1078"/>
    <x v="1078"/>
    <x v="117"/>
    <x v="13"/>
  </r>
  <r>
    <x v="2327"/>
    <x v="34"/>
    <x v="0"/>
    <x v="46"/>
    <x v="79"/>
    <x v="3"/>
    <x v="87"/>
    <x v="248"/>
    <x v="40"/>
    <x v="77"/>
    <x v="0"/>
    <x v="948"/>
    <x v="14"/>
    <x v="948"/>
    <x v="948"/>
    <x v="76"/>
    <x v="6"/>
  </r>
  <r>
    <x v="2328"/>
    <x v="34"/>
    <x v="0"/>
    <x v="46"/>
    <x v="79"/>
    <x v="3"/>
    <x v="87"/>
    <x v="247"/>
    <x v="40"/>
    <x v="77"/>
    <x v="0"/>
    <x v="1079"/>
    <x v="14"/>
    <x v="1079"/>
    <x v="1079"/>
    <x v="76"/>
    <x v="6"/>
  </r>
  <r>
    <x v="2329"/>
    <x v="34"/>
    <x v="0"/>
    <x v="46"/>
    <x v="79"/>
    <x v="3"/>
    <x v="87"/>
    <x v="230"/>
    <x v="40"/>
    <x v="77"/>
    <x v="0"/>
    <x v="1028"/>
    <x v="14"/>
    <x v="1028"/>
    <x v="1028"/>
    <x v="76"/>
    <x v="6"/>
  </r>
  <r>
    <x v="2330"/>
    <x v="34"/>
    <x v="0"/>
    <x v="46"/>
    <x v="79"/>
    <x v="3"/>
    <x v="87"/>
    <x v="231"/>
    <x v="40"/>
    <x v="77"/>
    <x v="0"/>
    <x v="981"/>
    <x v="14"/>
    <x v="981"/>
    <x v="981"/>
    <x v="76"/>
    <x v="6"/>
  </r>
  <r>
    <x v="2331"/>
    <x v="34"/>
    <x v="0"/>
    <x v="46"/>
    <x v="79"/>
    <x v="3"/>
    <x v="87"/>
    <x v="229"/>
    <x v="1"/>
    <x v="2"/>
    <x v="0"/>
    <x v="1075"/>
    <x v="14"/>
    <x v="1075"/>
    <x v="1075"/>
    <x v="2"/>
    <x v="1"/>
  </r>
  <r>
    <x v="2332"/>
    <x v="34"/>
    <x v="0"/>
    <x v="46"/>
    <x v="79"/>
    <x v="3"/>
    <x v="87"/>
    <x v="222"/>
    <x v="1"/>
    <x v="2"/>
    <x v="0"/>
    <x v="953"/>
    <x v="14"/>
    <x v="953"/>
    <x v="953"/>
    <x v="2"/>
    <x v="1"/>
  </r>
  <r>
    <x v="2333"/>
    <x v="34"/>
    <x v="0"/>
    <x v="46"/>
    <x v="79"/>
    <x v="3"/>
    <x v="87"/>
    <x v="254"/>
    <x v="1"/>
    <x v="2"/>
    <x v="0"/>
    <x v="947"/>
    <x v="14"/>
    <x v="947"/>
    <x v="947"/>
    <x v="2"/>
    <x v="1"/>
  </r>
  <r>
    <x v="2334"/>
    <x v="34"/>
    <x v="0"/>
    <x v="46"/>
    <x v="79"/>
    <x v="3"/>
    <x v="87"/>
    <x v="223"/>
    <x v="1"/>
    <x v="2"/>
    <x v="0"/>
    <x v="1070"/>
    <x v="14"/>
    <x v="1070"/>
    <x v="1070"/>
    <x v="2"/>
    <x v="1"/>
  </r>
  <r>
    <x v="2335"/>
    <x v="34"/>
    <x v="0"/>
    <x v="46"/>
    <x v="79"/>
    <x v="3"/>
    <x v="87"/>
    <x v="246"/>
    <x v="71"/>
    <x v="115"/>
    <x v="0"/>
    <x v="1080"/>
    <x v="14"/>
    <x v="1080"/>
    <x v="1080"/>
    <x v="113"/>
    <x v="1"/>
  </r>
  <r>
    <x v="2336"/>
    <x v="34"/>
    <x v="0"/>
    <x v="46"/>
    <x v="79"/>
    <x v="3"/>
    <x v="87"/>
    <x v="239"/>
    <x v="71"/>
    <x v="115"/>
    <x v="0"/>
    <x v="985"/>
    <x v="14"/>
    <x v="985"/>
    <x v="985"/>
    <x v="113"/>
    <x v="1"/>
  </r>
  <r>
    <x v="2337"/>
    <x v="34"/>
    <x v="0"/>
    <x v="46"/>
    <x v="79"/>
    <x v="3"/>
    <x v="87"/>
    <x v="238"/>
    <x v="71"/>
    <x v="115"/>
    <x v="0"/>
    <x v="1081"/>
    <x v="14"/>
    <x v="1081"/>
    <x v="1081"/>
    <x v="113"/>
    <x v="1"/>
  </r>
  <r>
    <x v="2338"/>
    <x v="34"/>
    <x v="0"/>
    <x v="46"/>
    <x v="79"/>
    <x v="3"/>
    <x v="87"/>
    <x v="233"/>
    <x v="79"/>
    <x v="122"/>
    <x v="0"/>
    <x v="986"/>
    <x v="14"/>
    <x v="986"/>
    <x v="986"/>
    <x v="118"/>
    <x v="1"/>
  </r>
  <r>
    <x v="2339"/>
    <x v="34"/>
    <x v="0"/>
    <x v="46"/>
    <x v="79"/>
    <x v="3"/>
    <x v="87"/>
    <x v="235"/>
    <x v="79"/>
    <x v="122"/>
    <x v="0"/>
    <x v="1082"/>
    <x v="14"/>
    <x v="1082"/>
    <x v="1082"/>
    <x v="118"/>
    <x v="1"/>
  </r>
  <r>
    <x v="2340"/>
    <x v="34"/>
    <x v="0"/>
    <x v="46"/>
    <x v="79"/>
    <x v="3"/>
    <x v="87"/>
    <x v="240"/>
    <x v="79"/>
    <x v="122"/>
    <x v="0"/>
    <x v="968"/>
    <x v="14"/>
    <x v="968"/>
    <x v="968"/>
    <x v="118"/>
    <x v="1"/>
  </r>
  <r>
    <x v="2341"/>
    <x v="34"/>
    <x v="0"/>
    <x v="46"/>
    <x v="79"/>
    <x v="3"/>
    <x v="87"/>
    <x v="243"/>
    <x v="78"/>
    <x v="119"/>
    <x v="0"/>
    <x v="1069"/>
    <x v="14"/>
    <x v="1069"/>
    <x v="1069"/>
    <x v="117"/>
    <x v="13"/>
  </r>
  <r>
    <x v="2342"/>
    <x v="34"/>
    <x v="0"/>
    <x v="46"/>
    <x v="79"/>
    <x v="3"/>
    <x v="87"/>
    <x v="244"/>
    <x v="78"/>
    <x v="119"/>
    <x v="0"/>
    <x v="964"/>
    <x v="14"/>
    <x v="964"/>
    <x v="964"/>
    <x v="117"/>
    <x v="13"/>
  </r>
  <r>
    <x v="2343"/>
    <x v="34"/>
    <x v="0"/>
    <x v="46"/>
    <x v="79"/>
    <x v="3"/>
    <x v="87"/>
    <x v="237"/>
    <x v="78"/>
    <x v="119"/>
    <x v="0"/>
    <x v="953"/>
    <x v="14"/>
    <x v="953"/>
    <x v="953"/>
    <x v="117"/>
    <x v="13"/>
  </r>
  <r>
    <x v="2344"/>
    <x v="34"/>
    <x v="0"/>
    <x v="46"/>
    <x v="79"/>
    <x v="3"/>
    <x v="87"/>
    <x v="236"/>
    <x v="78"/>
    <x v="119"/>
    <x v="0"/>
    <x v="1083"/>
    <x v="14"/>
    <x v="1083"/>
    <x v="1083"/>
    <x v="117"/>
    <x v="13"/>
  </r>
  <r>
    <x v="2345"/>
    <x v="34"/>
    <x v="0"/>
    <x v="46"/>
    <x v="79"/>
    <x v="3"/>
    <x v="87"/>
    <x v="234"/>
    <x v="78"/>
    <x v="119"/>
    <x v="0"/>
    <x v="1084"/>
    <x v="14"/>
    <x v="1084"/>
    <x v="1084"/>
    <x v="117"/>
    <x v="13"/>
  </r>
  <r>
    <x v="2346"/>
    <x v="34"/>
    <x v="0"/>
    <x v="46"/>
    <x v="79"/>
    <x v="3"/>
    <x v="87"/>
    <x v="241"/>
    <x v="1"/>
    <x v="2"/>
    <x v="0"/>
    <x v="998"/>
    <x v="14"/>
    <x v="998"/>
    <x v="998"/>
    <x v="2"/>
    <x v="1"/>
  </r>
  <r>
    <x v="2347"/>
    <x v="34"/>
    <x v="0"/>
    <x v="46"/>
    <x v="79"/>
    <x v="3"/>
    <x v="87"/>
    <x v="242"/>
    <x v="1"/>
    <x v="2"/>
    <x v="0"/>
    <x v="1085"/>
    <x v="14"/>
    <x v="1085"/>
    <x v="1085"/>
    <x v="2"/>
    <x v="1"/>
  </r>
  <r>
    <x v="2348"/>
    <x v="34"/>
    <x v="0"/>
    <x v="46"/>
    <x v="79"/>
    <x v="3"/>
    <x v="87"/>
    <x v="232"/>
    <x v="1"/>
    <x v="2"/>
    <x v="0"/>
    <x v="1086"/>
    <x v="14"/>
    <x v="1086"/>
    <x v="1086"/>
    <x v="2"/>
    <x v="1"/>
  </r>
  <r>
    <x v="2349"/>
    <x v="31"/>
    <x v="0"/>
    <x v="46"/>
    <x v="79"/>
    <x v="3"/>
    <x v="87"/>
    <x v="252"/>
    <x v="79"/>
    <x v="122"/>
    <x v="0"/>
    <x v="1087"/>
    <x v="14"/>
    <x v="1087"/>
    <x v="1087"/>
    <x v="118"/>
    <x v="1"/>
  </r>
  <r>
    <x v="2350"/>
    <x v="31"/>
    <x v="0"/>
    <x v="46"/>
    <x v="79"/>
    <x v="3"/>
    <x v="87"/>
    <x v="250"/>
    <x v="79"/>
    <x v="122"/>
    <x v="0"/>
    <x v="1088"/>
    <x v="14"/>
    <x v="1088"/>
    <x v="1088"/>
    <x v="118"/>
    <x v="1"/>
  </r>
  <r>
    <x v="2351"/>
    <x v="31"/>
    <x v="0"/>
    <x v="46"/>
    <x v="79"/>
    <x v="3"/>
    <x v="87"/>
    <x v="232"/>
    <x v="78"/>
    <x v="119"/>
    <x v="0"/>
    <x v="1065"/>
    <x v="14"/>
    <x v="1065"/>
    <x v="1065"/>
    <x v="117"/>
    <x v="13"/>
  </r>
  <r>
    <x v="2352"/>
    <x v="31"/>
    <x v="0"/>
    <x v="46"/>
    <x v="79"/>
    <x v="3"/>
    <x v="87"/>
    <x v="242"/>
    <x v="78"/>
    <x v="119"/>
    <x v="0"/>
    <x v="1089"/>
    <x v="14"/>
    <x v="1089"/>
    <x v="1089"/>
    <x v="117"/>
    <x v="13"/>
  </r>
  <r>
    <x v="2353"/>
    <x v="31"/>
    <x v="0"/>
    <x v="46"/>
    <x v="79"/>
    <x v="3"/>
    <x v="87"/>
    <x v="240"/>
    <x v="78"/>
    <x v="119"/>
    <x v="0"/>
    <x v="1090"/>
    <x v="14"/>
    <x v="1090"/>
    <x v="1090"/>
    <x v="117"/>
    <x v="13"/>
  </r>
  <r>
    <x v="2354"/>
    <x v="31"/>
    <x v="0"/>
    <x v="46"/>
    <x v="79"/>
    <x v="3"/>
    <x v="87"/>
    <x v="235"/>
    <x v="78"/>
    <x v="119"/>
    <x v="0"/>
    <x v="1080"/>
    <x v="14"/>
    <x v="1080"/>
    <x v="1080"/>
    <x v="117"/>
    <x v="13"/>
  </r>
  <r>
    <x v="2355"/>
    <x v="31"/>
    <x v="0"/>
    <x v="46"/>
    <x v="79"/>
    <x v="3"/>
    <x v="87"/>
    <x v="233"/>
    <x v="78"/>
    <x v="119"/>
    <x v="0"/>
    <x v="1091"/>
    <x v="14"/>
    <x v="1091"/>
    <x v="1091"/>
    <x v="117"/>
    <x v="13"/>
  </r>
  <r>
    <x v="2356"/>
    <x v="31"/>
    <x v="0"/>
    <x v="46"/>
    <x v="79"/>
    <x v="3"/>
    <x v="87"/>
    <x v="231"/>
    <x v="40"/>
    <x v="77"/>
    <x v="0"/>
    <x v="1092"/>
    <x v="14"/>
    <x v="1092"/>
    <x v="1092"/>
    <x v="76"/>
    <x v="6"/>
  </r>
  <r>
    <x v="2357"/>
    <x v="31"/>
    <x v="0"/>
    <x v="46"/>
    <x v="79"/>
    <x v="3"/>
    <x v="87"/>
    <x v="224"/>
    <x v="40"/>
    <x v="77"/>
    <x v="0"/>
    <x v="1093"/>
    <x v="14"/>
    <x v="1093"/>
    <x v="1093"/>
    <x v="76"/>
    <x v="6"/>
  </r>
  <r>
    <x v="2358"/>
    <x v="31"/>
    <x v="0"/>
    <x v="46"/>
    <x v="79"/>
    <x v="3"/>
    <x v="87"/>
    <x v="225"/>
    <x v="40"/>
    <x v="77"/>
    <x v="0"/>
    <x v="1094"/>
    <x v="14"/>
    <x v="1094"/>
    <x v="1094"/>
    <x v="76"/>
    <x v="6"/>
  </r>
  <r>
    <x v="2359"/>
    <x v="31"/>
    <x v="0"/>
    <x v="46"/>
    <x v="79"/>
    <x v="3"/>
    <x v="87"/>
    <x v="226"/>
    <x v="40"/>
    <x v="77"/>
    <x v="0"/>
    <x v="1095"/>
    <x v="14"/>
    <x v="1095"/>
    <x v="1095"/>
    <x v="76"/>
    <x v="6"/>
  </r>
  <r>
    <x v="2360"/>
    <x v="31"/>
    <x v="0"/>
    <x v="46"/>
    <x v="79"/>
    <x v="3"/>
    <x v="87"/>
    <x v="227"/>
    <x v="40"/>
    <x v="77"/>
    <x v="0"/>
    <x v="1064"/>
    <x v="14"/>
    <x v="1064"/>
    <x v="1064"/>
    <x v="76"/>
    <x v="6"/>
  </r>
  <r>
    <x v="2361"/>
    <x v="31"/>
    <x v="0"/>
    <x v="46"/>
    <x v="79"/>
    <x v="3"/>
    <x v="87"/>
    <x v="246"/>
    <x v="64"/>
    <x v="107"/>
    <x v="0"/>
    <x v="987"/>
    <x v="14"/>
    <x v="987"/>
    <x v="987"/>
    <x v="105"/>
    <x v="6"/>
  </r>
  <r>
    <x v="2362"/>
    <x v="31"/>
    <x v="0"/>
    <x v="46"/>
    <x v="79"/>
    <x v="3"/>
    <x v="87"/>
    <x v="248"/>
    <x v="64"/>
    <x v="107"/>
    <x v="0"/>
    <x v="1088"/>
    <x v="14"/>
    <x v="1088"/>
    <x v="1088"/>
    <x v="105"/>
    <x v="6"/>
  </r>
  <r>
    <x v="2363"/>
    <x v="31"/>
    <x v="0"/>
    <x v="46"/>
    <x v="79"/>
    <x v="3"/>
    <x v="87"/>
    <x v="247"/>
    <x v="64"/>
    <x v="107"/>
    <x v="0"/>
    <x v="1064"/>
    <x v="14"/>
    <x v="1064"/>
    <x v="1064"/>
    <x v="105"/>
    <x v="6"/>
  </r>
  <r>
    <x v="2364"/>
    <x v="31"/>
    <x v="0"/>
    <x v="46"/>
    <x v="79"/>
    <x v="3"/>
    <x v="87"/>
    <x v="230"/>
    <x v="64"/>
    <x v="107"/>
    <x v="0"/>
    <x v="1081"/>
    <x v="14"/>
    <x v="1081"/>
    <x v="1081"/>
    <x v="105"/>
    <x v="6"/>
  </r>
  <r>
    <x v="2365"/>
    <x v="31"/>
    <x v="0"/>
    <x v="46"/>
    <x v="79"/>
    <x v="3"/>
    <x v="87"/>
    <x v="221"/>
    <x v="1"/>
    <x v="2"/>
    <x v="0"/>
    <x v="1063"/>
    <x v="14"/>
    <x v="1063"/>
    <x v="1063"/>
    <x v="2"/>
    <x v="1"/>
  </r>
  <r>
    <x v="2366"/>
    <x v="31"/>
    <x v="0"/>
    <x v="46"/>
    <x v="79"/>
    <x v="3"/>
    <x v="87"/>
    <x v="228"/>
    <x v="1"/>
    <x v="2"/>
    <x v="0"/>
    <x v="1072"/>
    <x v="14"/>
    <x v="1072"/>
    <x v="1072"/>
    <x v="2"/>
    <x v="1"/>
  </r>
  <r>
    <x v="2367"/>
    <x v="31"/>
    <x v="0"/>
    <x v="46"/>
    <x v="79"/>
    <x v="3"/>
    <x v="87"/>
    <x v="229"/>
    <x v="1"/>
    <x v="2"/>
    <x v="0"/>
    <x v="1096"/>
    <x v="14"/>
    <x v="1096"/>
    <x v="1096"/>
    <x v="2"/>
    <x v="1"/>
  </r>
  <r>
    <x v="2368"/>
    <x v="31"/>
    <x v="0"/>
    <x v="46"/>
    <x v="79"/>
    <x v="3"/>
    <x v="87"/>
    <x v="222"/>
    <x v="1"/>
    <x v="2"/>
    <x v="0"/>
    <x v="1097"/>
    <x v="14"/>
    <x v="1097"/>
    <x v="1097"/>
    <x v="2"/>
    <x v="1"/>
  </r>
  <r>
    <x v="2369"/>
    <x v="31"/>
    <x v="0"/>
    <x v="46"/>
    <x v="79"/>
    <x v="3"/>
    <x v="87"/>
    <x v="254"/>
    <x v="1"/>
    <x v="2"/>
    <x v="0"/>
    <x v="959"/>
    <x v="14"/>
    <x v="959"/>
    <x v="959"/>
    <x v="2"/>
    <x v="1"/>
  </r>
  <r>
    <x v="2370"/>
    <x v="31"/>
    <x v="0"/>
    <x v="46"/>
    <x v="79"/>
    <x v="3"/>
    <x v="87"/>
    <x v="241"/>
    <x v="79"/>
    <x v="122"/>
    <x v="0"/>
    <x v="1034"/>
    <x v="14"/>
    <x v="1034"/>
    <x v="1034"/>
    <x v="118"/>
    <x v="1"/>
  </r>
  <r>
    <x v="2371"/>
    <x v="31"/>
    <x v="0"/>
    <x v="46"/>
    <x v="79"/>
    <x v="3"/>
    <x v="87"/>
    <x v="236"/>
    <x v="79"/>
    <x v="122"/>
    <x v="0"/>
    <x v="965"/>
    <x v="14"/>
    <x v="965"/>
    <x v="965"/>
    <x v="118"/>
    <x v="1"/>
  </r>
  <r>
    <x v="2372"/>
    <x v="31"/>
    <x v="0"/>
    <x v="46"/>
    <x v="79"/>
    <x v="3"/>
    <x v="87"/>
    <x v="238"/>
    <x v="79"/>
    <x v="122"/>
    <x v="0"/>
    <x v="1098"/>
    <x v="14"/>
    <x v="1098"/>
    <x v="1098"/>
    <x v="118"/>
    <x v="1"/>
  </r>
  <r>
    <x v="2373"/>
    <x v="31"/>
    <x v="0"/>
    <x v="46"/>
    <x v="79"/>
    <x v="3"/>
    <x v="87"/>
    <x v="237"/>
    <x v="79"/>
    <x v="122"/>
    <x v="0"/>
    <x v="1099"/>
    <x v="14"/>
    <x v="1099"/>
    <x v="1099"/>
    <x v="118"/>
    <x v="1"/>
  </r>
  <r>
    <x v="2374"/>
    <x v="31"/>
    <x v="0"/>
    <x v="46"/>
    <x v="79"/>
    <x v="3"/>
    <x v="87"/>
    <x v="234"/>
    <x v="79"/>
    <x v="122"/>
    <x v="0"/>
    <x v="1100"/>
    <x v="14"/>
    <x v="1100"/>
    <x v="1100"/>
    <x v="118"/>
    <x v="1"/>
  </r>
  <r>
    <x v="2375"/>
    <x v="31"/>
    <x v="0"/>
    <x v="46"/>
    <x v="79"/>
    <x v="3"/>
    <x v="87"/>
    <x v="243"/>
    <x v="78"/>
    <x v="119"/>
    <x v="0"/>
    <x v="1101"/>
    <x v="14"/>
    <x v="1101"/>
    <x v="1101"/>
    <x v="117"/>
    <x v="13"/>
  </r>
  <r>
    <x v="2376"/>
    <x v="31"/>
    <x v="0"/>
    <x v="46"/>
    <x v="79"/>
    <x v="3"/>
    <x v="87"/>
    <x v="244"/>
    <x v="78"/>
    <x v="119"/>
    <x v="0"/>
    <x v="1102"/>
    <x v="14"/>
    <x v="1102"/>
    <x v="1102"/>
    <x v="117"/>
    <x v="13"/>
  </r>
  <r>
    <x v="2377"/>
    <x v="31"/>
    <x v="0"/>
    <x v="46"/>
    <x v="79"/>
    <x v="3"/>
    <x v="87"/>
    <x v="245"/>
    <x v="78"/>
    <x v="119"/>
    <x v="0"/>
    <x v="1032"/>
    <x v="14"/>
    <x v="1032"/>
    <x v="1032"/>
    <x v="117"/>
    <x v="13"/>
  </r>
  <r>
    <x v="2378"/>
    <x v="31"/>
    <x v="0"/>
    <x v="46"/>
    <x v="79"/>
    <x v="3"/>
    <x v="87"/>
    <x v="239"/>
    <x v="78"/>
    <x v="119"/>
    <x v="0"/>
    <x v="953"/>
    <x v="14"/>
    <x v="953"/>
    <x v="953"/>
    <x v="117"/>
    <x v="13"/>
  </r>
  <r>
    <x v="2379"/>
    <x v="31"/>
    <x v="0"/>
    <x v="46"/>
    <x v="79"/>
    <x v="3"/>
    <x v="87"/>
    <x v="238"/>
    <x v="78"/>
    <x v="119"/>
    <x v="0"/>
    <x v="1103"/>
    <x v="14"/>
    <x v="1103"/>
    <x v="1103"/>
    <x v="117"/>
    <x v="13"/>
  </r>
  <r>
    <x v="2380"/>
    <x v="31"/>
    <x v="0"/>
    <x v="46"/>
    <x v="79"/>
    <x v="3"/>
    <x v="87"/>
    <x v="223"/>
    <x v="78"/>
    <x v="119"/>
    <x v="0"/>
    <x v="994"/>
    <x v="14"/>
    <x v="994"/>
    <x v="994"/>
    <x v="117"/>
    <x v="13"/>
  </r>
  <r>
    <x v="2381"/>
    <x v="31"/>
    <x v="0"/>
    <x v="48"/>
    <x v="82"/>
    <x v="0"/>
    <x v="89"/>
    <x v="256"/>
    <x v="57"/>
    <x v="93"/>
    <x v="0"/>
    <x v="32"/>
    <x v="14"/>
    <x v="35"/>
    <x v="35"/>
    <x v="91"/>
    <x v="4"/>
  </r>
  <r>
    <x v="2382"/>
    <x v="31"/>
    <x v="0"/>
    <x v="48"/>
    <x v="82"/>
    <x v="0"/>
    <x v="89"/>
    <x v="256"/>
    <x v="57"/>
    <x v="94"/>
    <x v="0"/>
    <x v="32"/>
    <x v="14"/>
    <x v="35"/>
    <x v="35"/>
    <x v="92"/>
    <x v="4"/>
  </r>
  <r>
    <x v="2383"/>
    <x v="39"/>
    <x v="0"/>
    <x v="48"/>
    <x v="82"/>
    <x v="0"/>
    <x v="89"/>
    <x v="256"/>
    <x v="45"/>
    <x v="83"/>
    <x v="0"/>
    <x v="32"/>
    <x v="14"/>
    <x v="35"/>
    <x v="35"/>
    <x v="82"/>
    <x v="4"/>
  </r>
  <r>
    <x v="2384"/>
    <x v="39"/>
    <x v="0"/>
    <x v="48"/>
    <x v="82"/>
    <x v="0"/>
    <x v="89"/>
    <x v="256"/>
    <x v="45"/>
    <x v="84"/>
    <x v="0"/>
    <x v="32"/>
    <x v="14"/>
    <x v="35"/>
    <x v="35"/>
    <x v="83"/>
    <x v="4"/>
  </r>
  <r>
    <x v="2385"/>
    <x v="44"/>
    <x v="0"/>
    <x v="35"/>
    <x v="83"/>
    <x v="0"/>
    <x v="44"/>
    <x v="256"/>
    <x v="45"/>
    <x v="84"/>
    <x v="0"/>
    <x v="13"/>
    <x v="14"/>
    <x v="13"/>
    <x v="13"/>
    <x v="83"/>
    <x v="4"/>
  </r>
  <r>
    <x v="2386"/>
    <x v="44"/>
    <x v="0"/>
    <x v="35"/>
    <x v="83"/>
    <x v="0"/>
    <x v="44"/>
    <x v="256"/>
    <x v="45"/>
    <x v="83"/>
    <x v="0"/>
    <x v="13"/>
    <x v="14"/>
    <x v="13"/>
    <x v="13"/>
    <x v="82"/>
    <x v="4"/>
  </r>
  <r>
    <x v="2387"/>
    <x v="35"/>
    <x v="0"/>
    <x v="49"/>
    <x v="84"/>
    <x v="0"/>
    <x v="1"/>
    <x v="256"/>
    <x v="32"/>
    <x v="61"/>
    <x v="0"/>
    <x v="145"/>
    <x v="14"/>
    <x v="143"/>
    <x v="143"/>
    <x v="60"/>
    <x v="0"/>
  </r>
  <r>
    <x v="2388"/>
    <x v="35"/>
    <x v="0"/>
    <x v="49"/>
    <x v="84"/>
    <x v="0"/>
    <x v="1"/>
    <x v="256"/>
    <x v="32"/>
    <x v="62"/>
    <x v="0"/>
    <x v="145"/>
    <x v="14"/>
    <x v="143"/>
    <x v="143"/>
    <x v="61"/>
    <x v="0"/>
  </r>
  <r>
    <x v="2389"/>
    <x v="26"/>
    <x v="0"/>
    <x v="49"/>
    <x v="84"/>
    <x v="0"/>
    <x v="76"/>
    <x v="50"/>
    <x v="2"/>
    <x v="3"/>
    <x v="0"/>
    <x v="35"/>
    <x v="14"/>
    <x v="36"/>
    <x v="36"/>
    <x v="3"/>
    <x v="0"/>
  </r>
  <r>
    <x v="2390"/>
    <x v="26"/>
    <x v="0"/>
    <x v="49"/>
    <x v="84"/>
    <x v="0"/>
    <x v="76"/>
    <x v="50"/>
    <x v="2"/>
    <x v="4"/>
    <x v="0"/>
    <x v="35"/>
    <x v="14"/>
    <x v="36"/>
    <x v="36"/>
    <x v="4"/>
    <x v="0"/>
  </r>
  <r>
    <x v="2391"/>
    <x v="0"/>
    <x v="0"/>
    <x v="32"/>
    <x v="85"/>
    <x v="0"/>
    <x v="8"/>
    <x v="4"/>
    <x v="23"/>
    <x v="44"/>
    <x v="0"/>
    <x v="92"/>
    <x v="2"/>
    <x v="88"/>
    <x v="88"/>
    <x v="43"/>
    <x v="0"/>
  </r>
  <r>
    <x v="2392"/>
    <x v="0"/>
    <x v="0"/>
    <x v="32"/>
    <x v="85"/>
    <x v="0"/>
    <x v="8"/>
    <x v="4"/>
    <x v="23"/>
    <x v="45"/>
    <x v="0"/>
    <x v="92"/>
    <x v="2"/>
    <x v="88"/>
    <x v="88"/>
    <x v="44"/>
    <x v="0"/>
  </r>
  <r>
    <x v="2393"/>
    <x v="5"/>
    <x v="0"/>
    <x v="32"/>
    <x v="85"/>
    <x v="0"/>
    <x v="8"/>
    <x v="257"/>
    <x v="24"/>
    <x v="46"/>
    <x v="0"/>
    <x v="102"/>
    <x v="2"/>
    <x v="99"/>
    <x v="99"/>
    <x v="45"/>
    <x v="0"/>
  </r>
  <r>
    <x v="2394"/>
    <x v="5"/>
    <x v="0"/>
    <x v="32"/>
    <x v="85"/>
    <x v="0"/>
    <x v="8"/>
    <x v="257"/>
    <x v="24"/>
    <x v="47"/>
    <x v="0"/>
    <x v="102"/>
    <x v="2"/>
    <x v="99"/>
    <x v="99"/>
    <x v="46"/>
    <x v="0"/>
  </r>
  <r>
    <x v="2395"/>
    <x v="5"/>
    <x v="0"/>
    <x v="32"/>
    <x v="85"/>
    <x v="0"/>
    <x v="90"/>
    <x v="12"/>
    <x v="32"/>
    <x v="61"/>
    <x v="0"/>
    <x v="92"/>
    <x v="2"/>
    <x v="88"/>
    <x v="88"/>
    <x v="60"/>
    <x v="0"/>
  </r>
  <r>
    <x v="2396"/>
    <x v="5"/>
    <x v="0"/>
    <x v="32"/>
    <x v="85"/>
    <x v="0"/>
    <x v="90"/>
    <x v="12"/>
    <x v="32"/>
    <x v="62"/>
    <x v="0"/>
    <x v="92"/>
    <x v="2"/>
    <x v="88"/>
    <x v="88"/>
    <x v="61"/>
    <x v="0"/>
  </r>
  <r>
    <x v="2397"/>
    <x v="5"/>
    <x v="0"/>
    <x v="32"/>
    <x v="85"/>
    <x v="1"/>
    <x v="25"/>
    <x v="12"/>
    <x v="44"/>
    <x v="82"/>
    <x v="0"/>
    <x v="103"/>
    <x v="14"/>
    <x v="100"/>
    <x v="100"/>
    <x v="81"/>
    <x v="6"/>
  </r>
  <r>
    <x v="2398"/>
    <x v="5"/>
    <x v="0"/>
    <x v="32"/>
    <x v="85"/>
    <x v="0"/>
    <x v="8"/>
    <x v="258"/>
    <x v="32"/>
    <x v="61"/>
    <x v="0"/>
    <x v="174"/>
    <x v="2"/>
    <x v="72"/>
    <x v="72"/>
    <x v="60"/>
    <x v="0"/>
  </r>
  <r>
    <x v="2399"/>
    <x v="5"/>
    <x v="0"/>
    <x v="32"/>
    <x v="85"/>
    <x v="0"/>
    <x v="8"/>
    <x v="258"/>
    <x v="32"/>
    <x v="62"/>
    <x v="0"/>
    <x v="174"/>
    <x v="2"/>
    <x v="72"/>
    <x v="72"/>
    <x v="61"/>
    <x v="0"/>
  </r>
  <r>
    <x v="2400"/>
    <x v="1"/>
    <x v="0"/>
    <x v="32"/>
    <x v="85"/>
    <x v="0"/>
    <x v="90"/>
    <x v="37"/>
    <x v="2"/>
    <x v="3"/>
    <x v="0"/>
    <x v="108"/>
    <x v="2"/>
    <x v="104"/>
    <x v="104"/>
    <x v="3"/>
    <x v="0"/>
  </r>
  <r>
    <x v="2401"/>
    <x v="1"/>
    <x v="0"/>
    <x v="32"/>
    <x v="85"/>
    <x v="0"/>
    <x v="90"/>
    <x v="37"/>
    <x v="2"/>
    <x v="4"/>
    <x v="0"/>
    <x v="108"/>
    <x v="2"/>
    <x v="104"/>
    <x v="104"/>
    <x v="4"/>
    <x v="0"/>
  </r>
  <r>
    <x v="2402"/>
    <x v="1"/>
    <x v="0"/>
    <x v="32"/>
    <x v="85"/>
    <x v="0"/>
    <x v="91"/>
    <x v="259"/>
    <x v="2"/>
    <x v="3"/>
    <x v="0"/>
    <x v="1104"/>
    <x v="2"/>
    <x v="1104"/>
    <x v="1104"/>
    <x v="3"/>
    <x v="0"/>
  </r>
  <r>
    <x v="2403"/>
    <x v="1"/>
    <x v="0"/>
    <x v="32"/>
    <x v="85"/>
    <x v="0"/>
    <x v="91"/>
    <x v="259"/>
    <x v="2"/>
    <x v="4"/>
    <x v="0"/>
    <x v="1104"/>
    <x v="2"/>
    <x v="1104"/>
    <x v="1104"/>
    <x v="4"/>
    <x v="0"/>
  </r>
  <r>
    <x v="2404"/>
    <x v="12"/>
    <x v="0"/>
    <x v="32"/>
    <x v="85"/>
    <x v="0"/>
    <x v="19"/>
    <x v="0"/>
    <x v="29"/>
    <x v="55"/>
    <x v="0"/>
    <x v="92"/>
    <x v="2"/>
    <x v="88"/>
    <x v="88"/>
    <x v="54"/>
    <x v="5"/>
  </r>
  <r>
    <x v="2405"/>
    <x v="12"/>
    <x v="0"/>
    <x v="32"/>
    <x v="85"/>
    <x v="0"/>
    <x v="19"/>
    <x v="0"/>
    <x v="29"/>
    <x v="65"/>
    <x v="0"/>
    <x v="92"/>
    <x v="2"/>
    <x v="88"/>
    <x v="88"/>
    <x v="64"/>
    <x v="5"/>
  </r>
  <r>
    <x v="2406"/>
    <x v="12"/>
    <x v="0"/>
    <x v="32"/>
    <x v="85"/>
    <x v="0"/>
    <x v="92"/>
    <x v="47"/>
    <x v="17"/>
    <x v="32"/>
    <x v="0"/>
    <x v="39"/>
    <x v="2"/>
    <x v="98"/>
    <x v="98"/>
    <x v="32"/>
    <x v="2"/>
  </r>
  <r>
    <x v="2407"/>
    <x v="12"/>
    <x v="0"/>
    <x v="32"/>
    <x v="85"/>
    <x v="0"/>
    <x v="92"/>
    <x v="47"/>
    <x v="17"/>
    <x v="8"/>
    <x v="0"/>
    <x v="39"/>
    <x v="2"/>
    <x v="98"/>
    <x v="98"/>
    <x v="8"/>
    <x v="2"/>
  </r>
  <r>
    <x v="2408"/>
    <x v="12"/>
    <x v="0"/>
    <x v="32"/>
    <x v="85"/>
    <x v="0"/>
    <x v="93"/>
    <x v="10"/>
    <x v="13"/>
    <x v="24"/>
    <x v="0"/>
    <x v="47"/>
    <x v="2"/>
    <x v="47"/>
    <x v="47"/>
    <x v="24"/>
    <x v="5"/>
  </r>
  <r>
    <x v="2409"/>
    <x v="12"/>
    <x v="0"/>
    <x v="32"/>
    <x v="85"/>
    <x v="0"/>
    <x v="93"/>
    <x v="10"/>
    <x v="13"/>
    <x v="25"/>
    <x v="0"/>
    <x v="47"/>
    <x v="2"/>
    <x v="47"/>
    <x v="47"/>
    <x v="25"/>
    <x v="5"/>
  </r>
  <r>
    <x v="2410"/>
    <x v="2"/>
    <x v="0"/>
    <x v="32"/>
    <x v="85"/>
    <x v="0"/>
    <x v="19"/>
    <x v="8"/>
    <x v="2"/>
    <x v="3"/>
    <x v="0"/>
    <x v="172"/>
    <x v="2"/>
    <x v="173"/>
    <x v="173"/>
    <x v="3"/>
    <x v="0"/>
  </r>
  <r>
    <x v="2411"/>
    <x v="2"/>
    <x v="0"/>
    <x v="32"/>
    <x v="85"/>
    <x v="0"/>
    <x v="19"/>
    <x v="8"/>
    <x v="2"/>
    <x v="4"/>
    <x v="0"/>
    <x v="172"/>
    <x v="2"/>
    <x v="173"/>
    <x v="173"/>
    <x v="4"/>
    <x v="0"/>
  </r>
  <r>
    <x v="2412"/>
    <x v="2"/>
    <x v="0"/>
    <x v="32"/>
    <x v="85"/>
    <x v="0"/>
    <x v="94"/>
    <x v="14"/>
    <x v="23"/>
    <x v="44"/>
    <x v="0"/>
    <x v="92"/>
    <x v="2"/>
    <x v="88"/>
    <x v="88"/>
    <x v="43"/>
    <x v="0"/>
  </r>
  <r>
    <x v="2413"/>
    <x v="2"/>
    <x v="0"/>
    <x v="32"/>
    <x v="85"/>
    <x v="0"/>
    <x v="94"/>
    <x v="14"/>
    <x v="23"/>
    <x v="45"/>
    <x v="0"/>
    <x v="92"/>
    <x v="2"/>
    <x v="88"/>
    <x v="88"/>
    <x v="44"/>
    <x v="0"/>
  </r>
  <r>
    <x v="2414"/>
    <x v="8"/>
    <x v="0"/>
    <x v="32"/>
    <x v="85"/>
    <x v="0"/>
    <x v="90"/>
    <x v="14"/>
    <x v="0"/>
    <x v="0"/>
    <x v="0"/>
    <x v="92"/>
    <x v="2"/>
    <x v="88"/>
    <x v="88"/>
    <x v="0"/>
    <x v="0"/>
  </r>
  <r>
    <x v="2415"/>
    <x v="8"/>
    <x v="0"/>
    <x v="32"/>
    <x v="85"/>
    <x v="0"/>
    <x v="90"/>
    <x v="14"/>
    <x v="0"/>
    <x v="1"/>
    <x v="0"/>
    <x v="92"/>
    <x v="2"/>
    <x v="88"/>
    <x v="88"/>
    <x v="1"/>
    <x v="0"/>
  </r>
  <r>
    <x v="2416"/>
    <x v="8"/>
    <x v="0"/>
    <x v="32"/>
    <x v="85"/>
    <x v="0"/>
    <x v="90"/>
    <x v="14"/>
    <x v="0"/>
    <x v="0"/>
    <x v="0"/>
    <x v="105"/>
    <x v="2"/>
    <x v="58"/>
    <x v="58"/>
    <x v="0"/>
    <x v="0"/>
  </r>
  <r>
    <x v="2417"/>
    <x v="8"/>
    <x v="0"/>
    <x v="32"/>
    <x v="85"/>
    <x v="0"/>
    <x v="90"/>
    <x v="14"/>
    <x v="0"/>
    <x v="1"/>
    <x v="0"/>
    <x v="105"/>
    <x v="2"/>
    <x v="58"/>
    <x v="58"/>
    <x v="1"/>
    <x v="0"/>
  </r>
  <r>
    <x v="2418"/>
    <x v="27"/>
    <x v="0"/>
    <x v="32"/>
    <x v="85"/>
    <x v="0"/>
    <x v="8"/>
    <x v="6"/>
    <x v="12"/>
    <x v="22"/>
    <x v="0"/>
    <x v="108"/>
    <x v="2"/>
    <x v="104"/>
    <x v="104"/>
    <x v="22"/>
    <x v="5"/>
  </r>
  <r>
    <x v="2419"/>
    <x v="27"/>
    <x v="0"/>
    <x v="32"/>
    <x v="85"/>
    <x v="0"/>
    <x v="8"/>
    <x v="6"/>
    <x v="12"/>
    <x v="23"/>
    <x v="0"/>
    <x v="108"/>
    <x v="2"/>
    <x v="104"/>
    <x v="104"/>
    <x v="23"/>
    <x v="5"/>
  </r>
  <r>
    <x v="2420"/>
    <x v="27"/>
    <x v="0"/>
    <x v="32"/>
    <x v="85"/>
    <x v="0"/>
    <x v="90"/>
    <x v="47"/>
    <x v="12"/>
    <x v="22"/>
    <x v="0"/>
    <x v="108"/>
    <x v="2"/>
    <x v="104"/>
    <x v="104"/>
    <x v="22"/>
    <x v="5"/>
  </r>
  <r>
    <x v="2421"/>
    <x v="27"/>
    <x v="0"/>
    <x v="32"/>
    <x v="85"/>
    <x v="0"/>
    <x v="90"/>
    <x v="47"/>
    <x v="12"/>
    <x v="23"/>
    <x v="0"/>
    <x v="108"/>
    <x v="2"/>
    <x v="104"/>
    <x v="104"/>
    <x v="23"/>
    <x v="5"/>
  </r>
  <r>
    <x v="2422"/>
    <x v="27"/>
    <x v="0"/>
    <x v="32"/>
    <x v="85"/>
    <x v="0"/>
    <x v="90"/>
    <x v="39"/>
    <x v="12"/>
    <x v="22"/>
    <x v="0"/>
    <x v="2"/>
    <x v="2"/>
    <x v="2"/>
    <x v="2"/>
    <x v="22"/>
    <x v="5"/>
  </r>
  <r>
    <x v="2423"/>
    <x v="27"/>
    <x v="0"/>
    <x v="32"/>
    <x v="85"/>
    <x v="0"/>
    <x v="90"/>
    <x v="39"/>
    <x v="12"/>
    <x v="23"/>
    <x v="0"/>
    <x v="2"/>
    <x v="2"/>
    <x v="2"/>
    <x v="2"/>
    <x v="23"/>
    <x v="5"/>
  </r>
  <r>
    <x v="2424"/>
    <x v="3"/>
    <x v="0"/>
    <x v="32"/>
    <x v="85"/>
    <x v="0"/>
    <x v="8"/>
    <x v="61"/>
    <x v="29"/>
    <x v="65"/>
    <x v="0"/>
    <x v="92"/>
    <x v="2"/>
    <x v="88"/>
    <x v="88"/>
    <x v="64"/>
    <x v="5"/>
  </r>
  <r>
    <x v="2425"/>
    <x v="3"/>
    <x v="0"/>
    <x v="32"/>
    <x v="85"/>
    <x v="0"/>
    <x v="8"/>
    <x v="61"/>
    <x v="29"/>
    <x v="55"/>
    <x v="0"/>
    <x v="92"/>
    <x v="2"/>
    <x v="88"/>
    <x v="88"/>
    <x v="54"/>
    <x v="5"/>
  </r>
  <r>
    <x v="2426"/>
    <x v="9"/>
    <x v="0"/>
    <x v="32"/>
    <x v="85"/>
    <x v="0"/>
    <x v="32"/>
    <x v="8"/>
    <x v="32"/>
    <x v="61"/>
    <x v="0"/>
    <x v="2"/>
    <x v="2"/>
    <x v="2"/>
    <x v="2"/>
    <x v="60"/>
    <x v="0"/>
  </r>
  <r>
    <x v="2427"/>
    <x v="9"/>
    <x v="0"/>
    <x v="32"/>
    <x v="85"/>
    <x v="0"/>
    <x v="32"/>
    <x v="8"/>
    <x v="32"/>
    <x v="62"/>
    <x v="0"/>
    <x v="2"/>
    <x v="2"/>
    <x v="2"/>
    <x v="2"/>
    <x v="61"/>
    <x v="0"/>
  </r>
  <r>
    <x v="2428"/>
    <x v="9"/>
    <x v="0"/>
    <x v="32"/>
    <x v="85"/>
    <x v="0"/>
    <x v="9"/>
    <x v="14"/>
    <x v="2"/>
    <x v="3"/>
    <x v="0"/>
    <x v="2"/>
    <x v="2"/>
    <x v="2"/>
    <x v="2"/>
    <x v="3"/>
    <x v="0"/>
  </r>
  <r>
    <x v="2429"/>
    <x v="9"/>
    <x v="0"/>
    <x v="32"/>
    <x v="85"/>
    <x v="0"/>
    <x v="9"/>
    <x v="14"/>
    <x v="2"/>
    <x v="4"/>
    <x v="0"/>
    <x v="2"/>
    <x v="2"/>
    <x v="2"/>
    <x v="2"/>
    <x v="4"/>
    <x v="0"/>
  </r>
  <r>
    <x v="2430"/>
    <x v="9"/>
    <x v="0"/>
    <x v="32"/>
    <x v="85"/>
    <x v="0"/>
    <x v="9"/>
    <x v="61"/>
    <x v="2"/>
    <x v="3"/>
    <x v="0"/>
    <x v="2"/>
    <x v="2"/>
    <x v="2"/>
    <x v="2"/>
    <x v="3"/>
    <x v="0"/>
  </r>
  <r>
    <x v="2431"/>
    <x v="9"/>
    <x v="0"/>
    <x v="32"/>
    <x v="85"/>
    <x v="0"/>
    <x v="9"/>
    <x v="61"/>
    <x v="2"/>
    <x v="4"/>
    <x v="0"/>
    <x v="2"/>
    <x v="2"/>
    <x v="2"/>
    <x v="2"/>
    <x v="4"/>
    <x v="0"/>
  </r>
  <r>
    <x v="2432"/>
    <x v="9"/>
    <x v="0"/>
    <x v="32"/>
    <x v="85"/>
    <x v="0"/>
    <x v="9"/>
    <x v="54"/>
    <x v="2"/>
    <x v="3"/>
    <x v="0"/>
    <x v="2"/>
    <x v="2"/>
    <x v="2"/>
    <x v="2"/>
    <x v="3"/>
    <x v="0"/>
  </r>
  <r>
    <x v="2433"/>
    <x v="9"/>
    <x v="0"/>
    <x v="32"/>
    <x v="85"/>
    <x v="0"/>
    <x v="9"/>
    <x v="54"/>
    <x v="2"/>
    <x v="4"/>
    <x v="0"/>
    <x v="2"/>
    <x v="2"/>
    <x v="2"/>
    <x v="2"/>
    <x v="4"/>
    <x v="0"/>
  </r>
  <r>
    <x v="2434"/>
    <x v="9"/>
    <x v="0"/>
    <x v="32"/>
    <x v="85"/>
    <x v="0"/>
    <x v="9"/>
    <x v="6"/>
    <x v="2"/>
    <x v="3"/>
    <x v="0"/>
    <x v="39"/>
    <x v="2"/>
    <x v="98"/>
    <x v="98"/>
    <x v="3"/>
    <x v="0"/>
  </r>
  <r>
    <x v="2435"/>
    <x v="9"/>
    <x v="0"/>
    <x v="32"/>
    <x v="85"/>
    <x v="0"/>
    <x v="9"/>
    <x v="6"/>
    <x v="2"/>
    <x v="4"/>
    <x v="0"/>
    <x v="39"/>
    <x v="2"/>
    <x v="98"/>
    <x v="98"/>
    <x v="4"/>
    <x v="0"/>
  </r>
  <r>
    <x v="2436"/>
    <x v="9"/>
    <x v="0"/>
    <x v="32"/>
    <x v="85"/>
    <x v="0"/>
    <x v="9"/>
    <x v="59"/>
    <x v="2"/>
    <x v="3"/>
    <x v="0"/>
    <x v="2"/>
    <x v="2"/>
    <x v="2"/>
    <x v="2"/>
    <x v="3"/>
    <x v="0"/>
  </r>
  <r>
    <x v="2437"/>
    <x v="9"/>
    <x v="0"/>
    <x v="32"/>
    <x v="85"/>
    <x v="0"/>
    <x v="9"/>
    <x v="59"/>
    <x v="2"/>
    <x v="4"/>
    <x v="0"/>
    <x v="2"/>
    <x v="2"/>
    <x v="2"/>
    <x v="2"/>
    <x v="4"/>
    <x v="0"/>
  </r>
  <r>
    <x v="2438"/>
    <x v="30"/>
    <x v="0"/>
    <x v="32"/>
    <x v="85"/>
    <x v="0"/>
    <x v="90"/>
    <x v="13"/>
    <x v="35"/>
    <x v="68"/>
    <x v="0"/>
    <x v="145"/>
    <x v="8"/>
    <x v="93"/>
    <x v="93"/>
    <x v="67"/>
    <x v="0"/>
  </r>
  <r>
    <x v="2439"/>
    <x v="30"/>
    <x v="0"/>
    <x v="32"/>
    <x v="85"/>
    <x v="0"/>
    <x v="90"/>
    <x v="13"/>
    <x v="35"/>
    <x v="69"/>
    <x v="0"/>
    <x v="145"/>
    <x v="8"/>
    <x v="93"/>
    <x v="93"/>
    <x v="68"/>
    <x v="0"/>
  </r>
  <r>
    <x v="2440"/>
    <x v="30"/>
    <x v="0"/>
    <x v="32"/>
    <x v="85"/>
    <x v="0"/>
    <x v="90"/>
    <x v="13"/>
    <x v="35"/>
    <x v="68"/>
    <x v="0"/>
    <x v="92"/>
    <x v="2"/>
    <x v="88"/>
    <x v="88"/>
    <x v="67"/>
    <x v="0"/>
  </r>
  <r>
    <x v="2441"/>
    <x v="30"/>
    <x v="0"/>
    <x v="32"/>
    <x v="85"/>
    <x v="0"/>
    <x v="90"/>
    <x v="13"/>
    <x v="35"/>
    <x v="69"/>
    <x v="0"/>
    <x v="92"/>
    <x v="2"/>
    <x v="88"/>
    <x v="88"/>
    <x v="68"/>
    <x v="0"/>
  </r>
  <r>
    <x v="2442"/>
    <x v="30"/>
    <x v="0"/>
    <x v="32"/>
    <x v="85"/>
    <x v="0"/>
    <x v="90"/>
    <x v="37"/>
    <x v="35"/>
    <x v="68"/>
    <x v="0"/>
    <x v="143"/>
    <x v="2"/>
    <x v="141"/>
    <x v="141"/>
    <x v="67"/>
    <x v="0"/>
  </r>
  <r>
    <x v="2443"/>
    <x v="30"/>
    <x v="0"/>
    <x v="32"/>
    <x v="85"/>
    <x v="0"/>
    <x v="90"/>
    <x v="37"/>
    <x v="35"/>
    <x v="69"/>
    <x v="0"/>
    <x v="143"/>
    <x v="2"/>
    <x v="141"/>
    <x v="141"/>
    <x v="68"/>
    <x v="0"/>
  </r>
  <r>
    <x v="2444"/>
    <x v="10"/>
    <x v="0"/>
    <x v="32"/>
    <x v="85"/>
    <x v="0"/>
    <x v="8"/>
    <x v="4"/>
    <x v="18"/>
    <x v="34"/>
    <x v="0"/>
    <x v="154"/>
    <x v="2"/>
    <x v="155"/>
    <x v="155"/>
    <x v="33"/>
    <x v="5"/>
  </r>
  <r>
    <x v="2445"/>
    <x v="10"/>
    <x v="0"/>
    <x v="32"/>
    <x v="85"/>
    <x v="0"/>
    <x v="8"/>
    <x v="4"/>
    <x v="18"/>
    <x v="35"/>
    <x v="0"/>
    <x v="154"/>
    <x v="2"/>
    <x v="155"/>
    <x v="155"/>
    <x v="34"/>
    <x v="5"/>
  </r>
  <r>
    <x v="2446"/>
    <x v="10"/>
    <x v="0"/>
    <x v="32"/>
    <x v="85"/>
    <x v="0"/>
    <x v="90"/>
    <x v="12"/>
    <x v="18"/>
    <x v="34"/>
    <x v="0"/>
    <x v="92"/>
    <x v="2"/>
    <x v="88"/>
    <x v="88"/>
    <x v="33"/>
    <x v="5"/>
  </r>
  <r>
    <x v="2447"/>
    <x v="10"/>
    <x v="0"/>
    <x v="32"/>
    <x v="85"/>
    <x v="0"/>
    <x v="90"/>
    <x v="12"/>
    <x v="18"/>
    <x v="35"/>
    <x v="0"/>
    <x v="92"/>
    <x v="2"/>
    <x v="88"/>
    <x v="88"/>
    <x v="34"/>
    <x v="5"/>
  </r>
  <r>
    <x v="2448"/>
    <x v="10"/>
    <x v="0"/>
    <x v="32"/>
    <x v="85"/>
    <x v="0"/>
    <x v="9"/>
    <x v="260"/>
    <x v="20"/>
    <x v="38"/>
    <x v="0"/>
    <x v="46"/>
    <x v="2"/>
    <x v="46"/>
    <x v="46"/>
    <x v="37"/>
    <x v="0"/>
  </r>
  <r>
    <x v="2449"/>
    <x v="10"/>
    <x v="0"/>
    <x v="32"/>
    <x v="85"/>
    <x v="0"/>
    <x v="9"/>
    <x v="260"/>
    <x v="20"/>
    <x v="39"/>
    <x v="0"/>
    <x v="46"/>
    <x v="2"/>
    <x v="46"/>
    <x v="46"/>
    <x v="38"/>
    <x v="0"/>
  </r>
  <r>
    <x v="2450"/>
    <x v="31"/>
    <x v="0"/>
    <x v="32"/>
    <x v="85"/>
    <x v="1"/>
    <x v="25"/>
    <x v="261"/>
    <x v="44"/>
    <x v="82"/>
    <x v="0"/>
    <x v="174"/>
    <x v="14"/>
    <x v="72"/>
    <x v="72"/>
    <x v="81"/>
    <x v="6"/>
  </r>
  <r>
    <x v="2451"/>
    <x v="11"/>
    <x v="0"/>
    <x v="32"/>
    <x v="85"/>
    <x v="0"/>
    <x v="9"/>
    <x v="262"/>
    <x v="43"/>
    <x v="92"/>
    <x v="0"/>
    <x v="154"/>
    <x v="2"/>
    <x v="155"/>
    <x v="155"/>
    <x v="90"/>
    <x v="8"/>
  </r>
  <r>
    <x v="2452"/>
    <x v="11"/>
    <x v="0"/>
    <x v="32"/>
    <x v="85"/>
    <x v="0"/>
    <x v="8"/>
    <x v="263"/>
    <x v="43"/>
    <x v="92"/>
    <x v="0"/>
    <x v="111"/>
    <x v="2"/>
    <x v="121"/>
    <x v="121"/>
    <x v="90"/>
    <x v="8"/>
  </r>
  <r>
    <x v="2453"/>
    <x v="11"/>
    <x v="0"/>
    <x v="32"/>
    <x v="85"/>
    <x v="0"/>
    <x v="9"/>
    <x v="264"/>
    <x v="3"/>
    <x v="99"/>
    <x v="0"/>
    <x v="189"/>
    <x v="2"/>
    <x v="189"/>
    <x v="189"/>
    <x v="97"/>
    <x v="0"/>
  </r>
  <r>
    <x v="2454"/>
    <x v="11"/>
    <x v="0"/>
    <x v="32"/>
    <x v="85"/>
    <x v="0"/>
    <x v="8"/>
    <x v="13"/>
    <x v="27"/>
    <x v="52"/>
    <x v="0"/>
    <x v="2"/>
    <x v="2"/>
    <x v="2"/>
    <x v="2"/>
    <x v="51"/>
    <x v="0"/>
  </r>
  <r>
    <x v="2455"/>
    <x v="11"/>
    <x v="0"/>
    <x v="32"/>
    <x v="85"/>
    <x v="0"/>
    <x v="8"/>
    <x v="13"/>
    <x v="27"/>
    <x v="72"/>
    <x v="0"/>
    <x v="2"/>
    <x v="2"/>
    <x v="2"/>
    <x v="2"/>
    <x v="71"/>
    <x v="0"/>
  </r>
  <r>
    <x v="2456"/>
    <x v="11"/>
    <x v="0"/>
    <x v="32"/>
    <x v="85"/>
    <x v="0"/>
    <x v="9"/>
    <x v="0"/>
    <x v="23"/>
    <x v="44"/>
    <x v="0"/>
    <x v="1105"/>
    <x v="2"/>
    <x v="1105"/>
    <x v="1105"/>
    <x v="43"/>
    <x v="0"/>
  </r>
  <r>
    <x v="2457"/>
    <x v="11"/>
    <x v="0"/>
    <x v="32"/>
    <x v="85"/>
    <x v="0"/>
    <x v="9"/>
    <x v="0"/>
    <x v="23"/>
    <x v="45"/>
    <x v="0"/>
    <x v="1105"/>
    <x v="2"/>
    <x v="1105"/>
    <x v="1105"/>
    <x v="44"/>
    <x v="0"/>
  </r>
  <r>
    <x v="2458"/>
    <x v="11"/>
    <x v="0"/>
    <x v="32"/>
    <x v="85"/>
    <x v="0"/>
    <x v="8"/>
    <x v="264"/>
    <x v="23"/>
    <x v="44"/>
    <x v="0"/>
    <x v="26"/>
    <x v="2"/>
    <x v="26"/>
    <x v="26"/>
    <x v="43"/>
    <x v="0"/>
  </r>
  <r>
    <x v="2459"/>
    <x v="11"/>
    <x v="0"/>
    <x v="32"/>
    <x v="85"/>
    <x v="0"/>
    <x v="8"/>
    <x v="264"/>
    <x v="23"/>
    <x v="45"/>
    <x v="0"/>
    <x v="26"/>
    <x v="2"/>
    <x v="26"/>
    <x v="26"/>
    <x v="44"/>
    <x v="0"/>
  </r>
  <r>
    <x v="2460"/>
    <x v="34"/>
    <x v="0"/>
    <x v="32"/>
    <x v="85"/>
    <x v="0"/>
    <x v="95"/>
    <x v="76"/>
    <x v="0"/>
    <x v="0"/>
    <x v="0"/>
    <x v="172"/>
    <x v="2"/>
    <x v="173"/>
    <x v="173"/>
    <x v="0"/>
    <x v="0"/>
  </r>
  <r>
    <x v="2461"/>
    <x v="34"/>
    <x v="0"/>
    <x v="32"/>
    <x v="85"/>
    <x v="0"/>
    <x v="95"/>
    <x v="76"/>
    <x v="0"/>
    <x v="1"/>
    <x v="0"/>
    <x v="172"/>
    <x v="2"/>
    <x v="173"/>
    <x v="173"/>
    <x v="1"/>
    <x v="0"/>
  </r>
  <r>
    <x v="2462"/>
    <x v="34"/>
    <x v="0"/>
    <x v="32"/>
    <x v="85"/>
    <x v="0"/>
    <x v="8"/>
    <x v="58"/>
    <x v="29"/>
    <x v="56"/>
    <x v="0"/>
    <x v="92"/>
    <x v="2"/>
    <x v="88"/>
    <x v="88"/>
    <x v="55"/>
    <x v="5"/>
  </r>
  <r>
    <x v="2463"/>
    <x v="34"/>
    <x v="0"/>
    <x v="32"/>
    <x v="85"/>
    <x v="0"/>
    <x v="8"/>
    <x v="58"/>
    <x v="29"/>
    <x v="125"/>
    <x v="0"/>
    <x v="92"/>
    <x v="2"/>
    <x v="88"/>
    <x v="88"/>
    <x v="121"/>
    <x v="5"/>
  </r>
  <r>
    <x v="2464"/>
    <x v="31"/>
    <x v="0"/>
    <x v="32"/>
    <x v="85"/>
    <x v="0"/>
    <x v="95"/>
    <x v="265"/>
    <x v="12"/>
    <x v="22"/>
    <x v="0"/>
    <x v="108"/>
    <x v="2"/>
    <x v="104"/>
    <x v="104"/>
    <x v="22"/>
    <x v="5"/>
  </r>
  <r>
    <x v="2465"/>
    <x v="31"/>
    <x v="0"/>
    <x v="32"/>
    <x v="85"/>
    <x v="0"/>
    <x v="95"/>
    <x v="265"/>
    <x v="12"/>
    <x v="23"/>
    <x v="0"/>
    <x v="108"/>
    <x v="2"/>
    <x v="104"/>
    <x v="104"/>
    <x v="23"/>
    <x v="5"/>
  </r>
  <r>
    <x v="2466"/>
    <x v="31"/>
    <x v="0"/>
    <x v="32"/>
    <x v="85"/>
    <x v="0"/>
    <x v="96"/>
    <x v="13"/>
    <x v="16"/>
    <x v="31"/>
    <x v="0"/>
    <x v="39"/>
    <x v="2"/>
    <x v="98"/>
    <x v="98"/>
    <x v="31"/>
    <x v="0"/>
  </r>
  <r>
    <x v="2467"/>
    <x v="31"/>
    <x v="0"/>
    <x v="32"/>
    <x v="85"/>
    <x v="0"/>
    <x v="96"/>
    <x v="13"/>
    <x v="16"/>
    <x v="126"/>
    <x v="0"/>
    <x v="39"/>
    <x v="2"/>
    <x v="98"/>
    <x v="98"/>
    <x v="6"/>
    <x v="0"/>
  </r>
  <r>
    <x v="2468"/>
    <x v="31"/>
    <x v="0"/>
    <x v="32"/>
    <x v="85"/>
    <x v="0"/>
    <x v="90"/>
    <x v="59"/>
    <x v="16"/>
    <x v="31"/>
    <x v="0"/>
    <x v="154"/>
    <x v="2"/>
    <x v="155"/>
    <x v="155"/>
    <x v="31"/>
    <x v="0"/>
  </r>
  <r>
    <x v="2469"/>
    <x v="31"/>
    <x v="0"/>
    <x v="32"/>
    <x v="85"/>
    <x v="0"/>
    <x v="90"/>
    <x v="59"/>
    <x v="16"/>
    <x v="126"/>
    <x v="0"/>
    <x v="154"/>
    <x v="2"/>
    <x v="155"/>
    <x v="155"/>
    <x v="6"/>
    <x v="0"/>
  </r>
  <r>
    <x v="2470"/>
    <x v="31"/>
    <x v="0"/>
    <x v="32"/>
    <x v="85"/>
    <x v="0"/>
    <x v="97"/>
    <x v="11"/>
    <x v="15"/>
    <x v="28"/>
    <x v="0"/>
    <x v="3"/>
    <x v="2"/>
    <x v="3"/>
    <x v="3"/>
    <x v="28"/>
    <x v="0"/>
  </r>
  <r>
    <x v="2471"/>
    <x v="31"/>
    <x v="0"/>
    <x v="32"/>
    <x v="85"/>
    <x v="0"/>
    <x v="97"/>
    <x v="11"/>
    <x v="15"/>
    <x v="30"/>
    <x v="0"/>
    <x v="3"/>
    <x v="2"/>
    <x v="3"/>
    <x v="3"/>
    <x v="30"/>
    <x v="0"/>
  </r>
  <r>
    <x v="939"/>
    <x v="11"/>
    <x v="0"/>
    <x v="50"/>
    <x v="86"/>
    <x v="3"/>
    <x v="98"/>
    <x v="266"/>
    <x v="73"/>
    <x v="89"/>
    <x v="0"/>
    <x v="1106"/>
    <x v="32"/>
    <x v="1106"/>
    <x v="1106"/>
    <x v="88"/>
    <x v="0"/>
  </r>
  <r>
    <x v="939"/>
    <x v="11"/>
    <x v="0"/>
    <x v="50"/>
    <x v="86"/>
    <x v="3"/>
    <x v="98"/>
    <x v="266"/>
    <x v="49"/>
    <x v="88"/>
    <x v="0"/>
    <x v="1106"/>
    <x v="32"/>
    <x v="1106"/>
    <x v="1106"/>
    <x v="87"/>
    <x v="0"/>
  </r>
  <r>
    <x v="939"/>
    <x v="11"/>
    <x v="0"/>
    <x v="50"/>
    <x v="86"/>
    <x v="3"/>
    <x v="98"/>
    <x v="266"/>
    <x v="48"/>
    <x v="87"/>
    <x v="0"/>
    <x v="1106"/>
    <x v="32"/>
    <x v="1106"/>
    <x v="1106"/>
    <x v="86"/>
    <x v="0"/>
  </r>
  <r>
    <x v="939"/>
    <x v="11"/>
    <x v="0"/>
    <x v="50"/>
    <x v="86"/>
    <x v="3"/>
    <x v="98"/>
    <x v="266"/>
    <x v="50"/>
    <x v="108"/>
    <x v="0"/>
    <x v="1106"/>
    <x v="32"/>
    <x v="1106"/>
    <x v="1106"/>
    <x v="106"/>
    <x v="0"/>
  </r>
  <r>
    <x v="939"/>
    <x v="11"/>
    <x v="0"/>
    <x v="50"/>
    <x v="86"/>
    <x v="3"/>
    <x v="98"/>
    <x v="266"/>
    <x v="76"/>
    <x v="90"/>
    <x v="0"/>
    <x v="1107"/>
    <x v="33"/>
    <x v="1106"/>
    <x v="1106"/>
    <x v="89"/>
    <x v="2"/>
  </r>
  <r>
    <x v="939"/>
    <x v="31"/>
    <x v="0"/>
    <x v="50"/>
    <x v="86"/>
    <x v="3"/>
    <x v="98"/>
    <x v="267"/>
    <x v="48"/>
    <x v="87"/>
    <x v="0"/>
    <x v="164"/>
    <x v="8"/>
    <x v="156"/>
    <x v="156"/>
    <x v="86"/>
    <x v="0"/>
  </r>
  <r>
    <x v="939"/>
    <x v="39"/>
    <x v="0"/>
    <x v="50"/>
    <x v="86"/>
    <x v="3"/>
    <x v="99"/>
    <x v="268"/>
    <x v="73"/>
    <x v="89"/>
    <x v="0"/>
    <x v="1108"/>
    <x v="34"/>
    <x v="156"/>
    <x v="156"/>
    <x v="88"/>
    <x v="0"/>
  </r>
  <r>
    <x v="939"/>
    <x v="39"/>
    <x v="0"/>
    <x v="50"/>
    <x v="86"/>
    <x v="3"/>
    <x v="99"/>
    <x v="268"/>
    <x v="76"/>
    <x v="90"/>
    <x v="0"/>
    <x v="1108"/>
    <x v="34"/>
    <x v="156"/>
    <x v="156"/>
    <x v="89"/>
    <x v="2"/>
  </r>
  <r>
    <x v="939"/>
    <x v="11"/>
    <x v="0"/>
    <x v="8"/>
    <x v="9"/>
    <x v="0"/>
    <x v="15"/>
    <x v="8"/>
    <x v="16"/>
    <x v="31"/>
    <x v="0"/>
    <x v="28"/>
    <x v="14"/>
    <x v="28"/>
    <x v="28"/>
    <x v="31"/>
    <x v="0"/>
  </r>
  <r>
    <x v="939"/>
    <x v="11"/>
    <x v="0"/>
    <x v="8"/>
    <x v="9"/>
    <x v="0"/>
    <x v="15"/>
    <x v="8"/>
    <x v="16"/>
    <x v="29"/>
    <x v="0"/>
    <x v="28"/>
    <x v="14"/>
    <x v="28"/>
    <x v="28"/>
    <x v="29"/>
    <x v="0"/>
  </r>
  <r>
    <x v="939"/>
    <x v="11"/>
    <x v="0"/>
    <x v="8"/>
    <x v="9"/>
    <x v="0"/>
    <x v="1"/>
    <x v="17"/>
    <x v="2"/>
    <x v="3"/>
    <x v="0"/>
    <x v="31"/>
    <x v="14"/>
    <x v="31"/>
    <x v="31"/>
    <x v="3"/>
    <x v="0"/>
  </r>
  <r>
    <x v="939"/>
    <x v="11"/>
    <x v="0"/>
    <x v="8"/>
    <x v="9"/>
    <x v="0"/>
    <x v="1"/>
    <x v="17"/>
    <x v="2"/>
    <x v="4"/>
    <x v="0"/>
    <x v="31"/>
    <x v="14"/>
    <x v="31"/>
    <x v="31"/>
    <x v="4"/>
    <x v="0"/>
  </r>
  <r>
    <x v="939"/>
    <x v="11"/>
    <x v="0"/>
    <x v="8"/>
    <x v="9"/>
    <x v="0"/>
    <x v="1"/>
    <x v="8"/>
    <x v="21"/>
    <x v="40"/>
    <x v="0"/>
    <x v="47"/>
    <x v="23"/>
    <x v="1107"/>
    <x v="1107"/>
    <x v="39"/>
    <x v="2"/>
  </r>
  <r>
    <x v="939"/>
    <x v="11"/>
    <x v="0"/>
    <x v="8"/>
    <x v="9"/>
    <x v="0"/>
    <x v="1"/>
    <x v="8"/>
    <x v="21"/>
    <x v="41"/>
    <x v="0"/>
    <x v="47"/>
    <x v="23"/>
    <x v="1107"/>
    <x v="1107"/>
    <x v="40"/>
    <x v="2"/>
  </r>
  <r>
    <x v="939"/>
    <x v="34"/>
    <x v="0"/>
    <x v="8"/>
    <x v="9"/>
    <x v="0"/>
    <x v="13"/>
    <x v="8"/>
    <x v="37"/>
    <x v="70"/>
    <x v="0"/>
    <x v="28"/>
    <x v="14"/>
    <x v="28"/>
    <x v="28"/>
    <x v="69"/>
    <x v="5"/>
  </r>
  <r>
    <x v="939"/>
    <x v="34"/>
    <x v="0"/>
    <x v="8"/>
    <x v="9"/>
    <x v="0"/>
    <x v="13"/>
    <x v="8"/>
    <x v="37"/>
    <x v="71"/>
    <x v="0"/>
    <x v="28"/>
    <x v="14"/>
    <x v="28"/>
    <x v="28"/>
    <x v="70"/>
    <x v="5"/>
  </r>
  <r>
    <x v="939"/>
    <x v="34"/>
    <x v="0"/>
    <x v="8"/>
    <x v="9"/>
    <x v="0"/>
    <x v="0"/>
    <x v="3"/>
    <x v="22"/>
    <x v="42"/>
    <x v="0"/>
    <x v="32"/>
    <x v="14"/>
    <x v="35"/>
    <x v="35"/>
    <x v="41"/>
    <x v="2"/>
  </r>
  <r>
    <x v="939"/>
    <x v="34"/>
    <x v="0"/>
    <x v="8"/>
    <x v="9"/>
    <x v="0"/>
    <x v="0"/>
    <x v="3"/>
    <x v="22"/>
    <x v="43"/>
    <x v="0"/>
    <x v="32"/>
    <x v="14"/>
    <x v="35"/>
    <x v="35"/>
    <x v="42"/>
    <x v="2"/>
  </r>
  <r>
    <x v="939"/>
    <x v="34"/>
    <x v="0"/>
    <x v="8"/>
    <x v="9"/>
    <x v="0"/>
    <x v="15"/>
    <x v="8"/>
    <x v="35"/>
    <x v="68"/>
    <x v="0"/>
    <x v="28"/>
    <x v="14"/>
    <x v="28"/>
    <x v="28"/>
    <x v="67"/>
    <x v="0"/>
  </r>
  <r>
    <x v="939"/>
    <x v="34"/>
    <x v="0"/>
    <x v="8"/>
    <x v="9"/>
    <x v="0"/>
    <x v="15"/>
    <x v="8"/>
    <x v="35"/>
    <x v="69"/>
    <x v="0"/>
    <x v="28"/>
    <x v="14"/>
    <x v="28"/>
    <x v="28"/>
    <x v="68"/>
    <x v="0"/>
  </r>
  <r>
    <x v="939"/>
    <x v="34"/>
    <x v="0"/>
    <x v="8"/>
    <x v="9"/>
    <x v="0"/>
    <x v="1"/>
    <x v="17"/>
    <x v="13"/>
    <x v="24"/>
    <x v="0"/>
    <x v="31"/>
    <x v="14"/>
    <x v="31"/>
    <x v="31"/>
    <x v="24"/>
    <x v="5"/>
  </r>
  <r>
    <x v="939"/>
    <x v="34"/>
    <x v="0"/>
    <x v="8"/>
    <x v="9"/>
    <x v="0"/>
    <x v="1"/>
    <x v="17"/>
    <x v="13"/>
    <x v="25"/>
    <x v="0"/>
    <x v="31"/>
    <x v="14"/>
    <x v="31"/>
    <x v="31"/>
    <x v="25"/>
    <x v="5"/>
  </r>
  <r>
    <x v="939"/>
    <x v="39"/>
    <x v="0"/>
    <x v="8"/>
    <x v="9"/>
    <x v="0"/>
    <x v="8"/>
    <x v="0"/>
    <x v="15"/>
    <x v="28"/>
    <x v="0"/>
    <x v="156"/>
    <x v="23"/>
    <x v="1108"/>
    <x v="1108"/>
    <x v="28"/>
    <x v="0"/>
  </r>
  <r>
    <x v="939"/>
    <x v="39"/>
    <x v="0"/>
    <x v="8"/>
    <x v="9"/>
    <x v="0"/>
    <x v="8"/>
    <x v="0"/>
    <x v="15"/>
    <x v="30"/>
    <x v="0"/>
    <x v="156"/>
    <x v="23"/>
    <x v="1108"/>
    <x v="1108"/>
    <x v="30"/>
    <x v="0"/>
  </r>
  <r>
    <x v="939"/>
    <x v="31"/>
    <x v="0"/>
    <x v="8"/>
    <x v="9"/>
    <x v="0"/>
    <x v="1"/>
    <x v="8"/>
    <x v="19"/>
    <x v="36"/>
    <x v="0"/>
    <x v="28"/>
    <x v="14"/>
    <x v="28"/>
    <x v="28"/>
    <x v="35"/>
    <x v="0"/>
  </r>
  <r>
    <x v="939"/>
    <x v="31"/>
    <x v="0"/>
    <x v="8"/>
    <x v="9"/>
    <x v="0"/>
    <x v="1"/>
    <x v="8"/>
    <x v="19"/>
    <x v="37"/>
    <x v="0"/>
    <x v="28"/>
    <x v="14"/>
    <x v="28"/>
    <x v="28"/>
    <x v="36"/>
    <x v="0"/>
  </r>
  <r>
    <x v="939"/>
    <x v="43"/>
    <x v="0"/>
    <x v="51"/>
    <x v="87"/>
    <x v="0"/>
    <x v="75"/>
    <x v="30"/>
    <x v="29"/>
    <x v="56"/>
    <x v="0"/>
    <x v="42"/>
    <x v="14"/>
    <x v="8"/>
    <x v="8"/>
    <x v="55"/>
    <x v="5"/>
  </r>
  <r>
    <x v="939"/>
    <x v="43"/>
    <x v="0"/>
    <x v="51"/>
    <x v="87"/>
    <x v="0"/>
    <x v="75"/>
    <x v="30"/>
    <x v="29"/>
    <x v="55"/>
    <x v="0"/>
    <x v="42"/>
    <x v="14"/>
    <x v="8"/>
    <x v="8"/>
    <x v="54"/>
    <x v="5"/>
  </r>
  <r>
    <x v="939"/>
    <x v="31"/>
    <x v="0"/>
    <x v="32"/>
    <x v="55"/>
    <x v="0"/>
    <x v="100"/>
    <x v="8"/>
    <x v="24"/>
    <x v="46"/>
    <x v="0"/>
    <x v="37"/>
    <x v="14"/>
    <x v="38"/>
    <x v="38"/>
    <x v="45"/>
    <x v="0"/>
  </r>
  <r>
    <x v="939"/>
    <x v="31"/>
    <x v="0"/>
    <x v="32"/>
    <x v="55"/>
    <x v="0"/>
    <x v="100"/>
    <x v="8"/>
    <x v="24"/>
    <x v="47"/>
    <x v="0"/>
    <x v="37"/>
    <x v="14"/>
    <x v="38"/>
    <x v="38"/>
    <x v="46"/>
    <x v="0"/>
  </r>
  <r>
    <x v="939"/>
    <x v="31"/>
    <x v="0"/>
    <x v="32"/>
    <x v="55"/>
    <x v="0"/>
    <x v="100"/>
    <x v="8"/>
    <x v="33"/>
    <x v="63"/>
    <x v="0"/>
    <x v="1109"/>
    <x v="14"/>
    <x v="1109"/>
    <x v="1109"/>
    <x v="62"/>
    <x v="5"/>
  </r>
  <r>
    <x v="939"/>
    <x v="31"/>
    <x v="0"/>
    <x v="32"/>
    <x v="55"/>
    <x v="0"/>
    <x v="100"/>
    <x v="8"/>
    <x v="33"/>
    <x v="64"/>
    <x v="0"/>
    <x v="1109"/>
    <x v="14"/>
    <x v="1109"/>
    <x v="1109"/>
    <x v="63"/>
    <x v="5"/>
  </r>
  <r>
    <x v="939"/>
    <x v="43"/>
    <x v="0"/>
    <x v="52"/>
    <x v="88"/>
    <x v="2"/>
    <x v="88"/>
    <x v="255"/>
    <x v="84"/>
    <x v="127"/>
    <x v="2"/>
    <x v="1110"/>
    <x v="14"/>
    <x v="1110"/>
    <x v="1110"/>
    <x v="122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F709" firstHeaderRow="1" firstDataRow="1" firstDataCol="5"/>
  <pivotFields count="17">
    <pivotField showAll="0">
      <items count="24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939"/>
        <item t="default"/>
      </items>
    </pivotField>
    <pivotField numFmtId="58" showAll="0"/>
    <pivotField showAll="0"/>
    <pivotField axis="axisRow" insertPageBreak="1" defaultSubtotal="0" outline="0" showAll="0" includeNewItemsInFilter="1">
      <items count="53">
        <item x="41"/>
        <item x="10"/>
        <item x="9"/>
        <item x="22"/>
        <item x="34"/>
        <item x="8"/>
        <item x="47"/>
        <item x="40"/>
        <item x="0"/>
        <item x="25"/>
        <item x="30"/>
        <item x="6"/>
        <item x="21"/>
        <item x="26"/>
        <item x="35"/>
        <item x="52"/>
        <item x="7"/>
        <item x="24"/>
        <item x="38"/>
        <item x="39"/>
        <item x="5"/>
        <item x="12"/>
        <item x="49"/>
        <item x="32"/>
        <item x="1"/>
        <item x="2"/>
        <item x="3"/>
        <item x="4"/>
        <item x="11"/>
        <item x="13"/>
        <item x="14"/>
        <item x="15"/>
        <item x="16"/>
        <item x="17"/>
        <item x="18"/>
        <item x="19"/>
        <item x="20"/>
        <item x="23"/>
        <item x="27"/>
        <item x="28"/>
        <item x="29"/>
        <item x="31"/>
        <item x="33"/>
        <item x="36"/>
        <item x="37"/>
        <item x="42"/>
        <item x="43"/>
        <item x="44"/>
        <item x="45"/>
        <item x="46"/>
        <item x="48"/>
        <item x="50"/>
        <item x="51"/>
      </items>
    </pivotField>
    <pivotField showAll="0"/>
    <pivotField showAll="0"/>
    <pivotField showAll="0"/>
    <pivotField showAll="0"/>
    <pivotField axis="axisRow" insertPageBreak="1" defaultSubtotal="0" outline="0" showAll="0" includeNewItemsInFilter="1">
      <items count="85">
        <item x="13"/>
        <item x="3"/>
        <item x="35"/>
        <item x="21"/>
        <item x="4"/>
        <item x="17"/>
        <item x="30"/>
        <item x="25"/>
        <item x="34"/>
        <item x="47"/>
        <item x="0"/>
        <item x="9"/>
        <item x="59"/>
        <item x="23"/>
        <item x="16"/>
        <item x="19"/>
        <item x="20"/>
        <item x="32"/>
        <item x="33"/>
        <item x="62"/>
        <item x="41"/>
        <item x="74"/>
        <item x="14"/>
        <item x="66"/>
        <item x="36"/>
        <item x="31"/>
        <item x="2"/>
        <item x="71"/>
        <item x="12"/>
        <item x="78"/>
        <item x="61"/>
        <item x="40"/>
        <item x="28"/>
        <item x="15"/>
        <item x="64"/>
        <item x="44"/>
        <item x="22"/>
        <item x="24"/>
        <item x="79"/>
        <item x="1"/>
        <item x="27"/>
        <item x="26"/>
        <item x="37"/>
        <item x="29"/>
        <item x="18"/>
        <item x="43"/>
        <item x="53"/>
        <item x="38"/>
        <item x="70"/>
        <item x="67"/>
        <item x="65"/>
        <item x="68"/>
        <item x="50"/>
        <item x="69"/>
        <item x="49"/>
        <item x="48"/>
        <item x="72"/>
        <item x="75"/>
        <item x="82"/>
        <item x="73"/>
        <item x="76"/>
        <item x="80"/>
        <item x="10"/>
        <item x="42"/>
        <item x="11"/>
        <item x="6"/>
        <item x="45"/>
        <item x="58"/>
        <item x="7"/>
        <item x="8"/>
        <item x="57"/>
        <item x="83"/>
        <item x="63"/>
        <item x="60"/>
        <item x="84"/>
        <item x="5"/>
        <item x="39"/>
        <item x="46"/>
        <item x="51"/>
        <item x="52"/>
        <item x="54"/>
        <item x="55"/>
        <item x="56"/>
        <item x="77"/>
        <item x="81"/>
      </items>
    </pivotField>
    <pivotField axis="axisRow" insertPageBreak="1" defaultSubtotal="0" outline="0" showAll="0" includeNewItemsInFilter="1">
      <items count="135">
        <item x="76"/>
        <item x="40"/>
        <item x="93"/>
        <item x="21"/>
        <item x="63"/>
        <item x="108"/>
        <item x="122"/>
        <item x="11"/>
        <item x="95"/>
        <item x="18"/>
        <item x="86"/>
        <item x="120"/>
        <item x="121"/>
        <item x="114"/>
        <item x="109"/>
        <item x="46"/>
        <item x="59"/>
        <item x="101"/>
        <item x="56"/>
        <item x="20"/>
        <item x="42"/>
        <item x="88"/>
        <item x="99"/>
        <item x="43"/>
        <item x="98"/>
        <item x="87"/>
        <item x="111"/>
        <item x="89"/>
        <item x="79"/>
        <item x="25"/>
        <item x="24"/>
        <item x="53"/>
        <item x="117"/>
        <item x="68"/>
        <item x="51"/>
        <item x="90"/>
        <item x="85"/>
        <item x="28"/>
        <item x="55"/>
        <item x="77"/>
        <item x="13"/>
        <item x="65"/>
        <item x="19"/>
        <item x="94"/>
        <item x="97"/>
        <item x="118"/>
        <item x="0"/>
        <item x="116"/>
        <item x="83"/>
        <item x="12"/>
        <item x="29"/>
        <item x="49"/>
        <item x="34"/>
        <item x="78"/>
        <item x="112"/>
        <item x="48"/>
        <item x="26"/>
        <item x="52"/>
        <item x="32"/>
        <item x="15"/>
        <item x="54"/>
        <item x="84"/>
        <item x="14"/>
        <item x="80"/>
        <item x="81"/>
        <item m="1" x="128"/>
        <item x="7"/>
        <item x="50"/>
        <item x="127"/>
        <item x="123"/>
        <item x="124"/>
        <item x="70"/>
        <item x="57"/>
        <item x="58"/>
        <item x="38"/>
        <item x="69"/>
        <item x="105"/>
        <item x="5"/>
        <item x="3"/>
        <item x="44"/>
        <item x="62"/>
        <item x="61"/>
        <item x="27"/>
        <item x="36"/>
        <item x="37"/>
        <item x="39"/>
        <item x="47"/>
        <item x="22"/>
        <item x="23"/>
        <item x="30"/>
        <item x="31"/>
        <item x="35"/>
        <item x="104"/>
        <item x="2"/>
        <item x="113"/>
        <item x="96"/>
        <item x="45"/>
        <item x="106"/>
        <item x="64"/>
        <item x="4"/>
        <item x="66"/>
        <item x="67"/>
        <item x="41"/>
        <item x="9"/>
        <item x="115"/>
        <item x="60"/>
        <item x="102"/>
        <item x="1"/>
        <item x="82"/>
        <item x="107"/>
        <item x="110"/>
        <item x="6"/>
        <item x="8"/>
        <item x="10"/>
        <item x="16"/>
        <item x="17"/>
        <item x="33"/>
        <item x="72"/>
        <item x="73"/>
        <item x="74"/>
        <item x="75"/>
        <item m="1" x="129"/>
        <item m="1" x="130"/>
        <item x="92"/>
        <item m="1" x="131"/>
        <item m="1" x="132"/>
        <item m="1" x="133"/>
        <item m="1" x="134"/>
        <item x="125"/>
        <item x="126"/>
        <item x="100"/>
        <item x="103"/>
        <item x="91"/>
        <item x="71"/>
        <item x="119"/>
      </items>
    </pivotField>
    <pivotField showAll="0"/>
    <pivotField showAll="0"/>
    <pivotField showAll="0"/>
    <pivotField showAll="0"/>
    <pivotField dataField="1" numFmtId="181" showAll="0">
      <items count="1112">
        <item x="40"/>
        <item x="502"/>
        <item x="536"/>
        <item x="489"/>
        <item x="377"/>
        <item x="405"/>
        <item x="378"/>
        <item x="458"/>
        <item x="371"/>
        <item x="456"/>
        <item x="459"/>
        <item x="434"/>
        <item x="477"/>
        <item x="1103"/>
        <item x="460"/>
        <item x="560"/>
        <item x="424"/>
        <item x="539"/>
        <item x="406"/>
        <item x="461"/>
        <item x="476"/>
        <item x="472"/>
        <item x="1098"/>
        <item x="1078"/>
        <item x="483"/>
        <item x="353"/>
        <item x="513"/>
        <item x="323"/>
        <item x="288"/>
        <item x="880"/>
        <item x="369"/>
        <item x="503"/>
        <item x="1089"/>
        <item x="379"/>
        <item x="548"/>
        <item x="435"/>
        <item x="831"/>
        <item x="478"/>
        <item x="298"/>
        <item x="376"/>
        <item x="508"/>
        <item x="526"/>
        <item x="480"/>
        <item x="407"/>
        <item x="843"/>
        <item x="467"/>
        <item x="744"/>
        <item x="527"/>
        <item x="368"/>
        <item x="436"/>
        <item x="500"/>
        <item x="429"/>
        <item x="569"/>
        <item x="750"/>
        <item x="563"/>
        <item x="366"/>
        <item x="899"/>
        <item x="540"/>
        <item x="632"/>
        <item x="1092"/>
        <item x="1071"/>
        <item x="1084"/>
        <item x="688"/>
        <item x="1101"/>
        <item x="352"/>
        <item x="660"/>
        <item x="109"/>
        <item x="301"/>
        <item x="1090"/>
        <item x="584"/>
        <item x="936"/>
        <item x="544"/>
        <item x="700"/>
        <item x="474"/>
        <item x="514"/>
        <item x="307"/>
        <item x="832"/>
        <item x="1068"/>
        <item x="826"/>
        <item x="713"/>
        <item x="551"/>
        <item x="1064"/>
        <item x="828"/>
        <item x="568"/>
        <item x="547"/>
        <item x="726"/>
        <item x="1079"/>
        <item x="715"/>
        <item x="92"/>
        <item x="506"/>
        <item x="1099"/>
        <item x="487"/>
        <item x="825"/>
        <item x="286"/>
        <item x="980"/>
        <item x="829"/>
        <item x="566"/>
        <item x="453"/>
        <item x="463"/>
        <item x="819"/>
        <item x="1085"/>
        <item x="745"/>
        <item x="921"/>
        <item x="1096"/>
        <item x="972"/>
        <item x="565"/>
        <item x="655"/>
        <item x="926"/>
        <item x="763"/>
        <item x="1081"/>
        <item x="830"/>
        <item x="861"/>
        <item x="965"/>
        <item x="833"/>
        <item x="658"/>
        <item x="1034"/>
        <item x="962"/>
        <item x="827"/>
        <item x="313"/>
        <item x="724"/>
        <item x="1072"/>
        <item x="721"/>
        <item x="1094"/>
        <item x="742"/>
        <item x="857"/>
        <item x="767"/>
        <item x="979"/>
        <item x="581"/>
        <item x="725"/>
        <item x="373"/>
        <item x="439"/>
        <item x="917"/>
        <item x="455"/>
        <item x="343"/>
        <item x="653"/>
        <item x="738"/>
        <item x="884"/>
        <item x="768"/>
        <item x="1033"/>
        <item x="509"/>
        <item x="807"/>
        <item x="931"/>
        <item x="1095"/>
        <item x="849"/>
        <item x="741"/>
        <item x="1075"/>
        <item x="678"/>
        <item x="928"/>
        <item x="815"/>
        <item x="994"/>
        <item x="543"/>
        <item x="493"/>
        <item x="654"/>
        <item x="870"/>
        <item x="292"/>
        <item x="645"/>
        <item x="898"/>
        <item x="973"/>
        <item x="718"/>
        <item x="874"/>
        <item x="818"/>
        <item x="638"/>
        <item x="1070"/>
        <item x="644"/>
        <item x="918"/>
        <item x="755"/>
        <item x="1027"/>
        <item x="656"/>
        <item x="934"/>
        <item x="816"/>
        <item x="1102"/>
        <item x="974"/>
        <item x="712"/>
        <item x="932"/>
        <item x="749"/>
        <item x="947"/>
        <item x="858"/>
        <item x="748"/>
        <item x="967"/>
        <item x="935"/>
        <item x="550"/>
        <item x="319"/>
        <item x="823"/>
        <item x="964"/>
        <item x="877"/>
        <item x="716"/>
        <item x="754"/>
        <item x="1030"/>
        <item x="990"/>
        <item x="388"/>
        <item x="762"/>
        <item x="1077"/>
        <item x="631"/>
        <item x="1058"/>
        <item x="978"/>
        <item x="312"/>
        <item x="683"/>
        <item x="419"/>
        <item x="966"/>
        <item x="853"/>
        <item x="704"/>
        <item x="736"/>
        <item x="1057"/>
        <item x="348"/>
        <item x="839"/>
        <item x="648"/>
        <item x="733"/>
        <item x="1069"/>
        <item x="879"/>
        <item x="702"/>
        <item x="751"/>
        <item x="963"/>
        <item x="848"/>
        <item x="705"/>
        <item x="814"/>
        <item x="958"/>
        <item x="919"/>
        <item x="647"/>
        <item x="579"/>
        <item x="940"/>
        <item x="847"/>
        <item x="657"/>
        <item x="91"/>
        <item x="316"/>
        <item x="989"/>
        <item x="485"/>
        <item x="758"/>
        <item x="1032"/>
        <item x="846"/>
        <item x="646"/>
        <item x="760"/>
        <item x="1048"/>
        <item x="842"/>
        <item x="714"/>
        <item x="730"/>
        <item x="723"/>
        <item x="735"/>
        <item x="953"/>
        <item x="924"/>
        <item x="673"/>
        <item x="770"/>
        <item x="957"/>
        <item x="852"/>
        <item x="997"/>
        <item x="882"/>
        <item x="676"/>
        <item x="743"/>
        <item x="1097"/>
        <item x="977"/>
        <item x="706"/>
        <item x="737"/>
        <item x="855"/>
        <item x="959"/>
        <item x="383"/>
        <item x="739"/>
        <item x="838"/>
        <item x="1044"/>
        <item x="995"/>
        <item x="731"/>
        <item x="923"/>
        <item x="948"/>
        <item x="633"/>
        <item x="868"/>
        <item x="949"/>
        <item x="710"/>
        <item x="795"/>
        <item x="845"/>
        <item x="981"/>
        <item x="679"/>
        <item x="766"/>
        <item x="872"/>
        <item x="1031"/>
        <item x="623"/>
        <item x="734"/>
        <item x="916"/>
        <item x="425"/>
        <item x="968"/>
        <item x="707"/>
        <item x="803"/>
        <item x="446"/>
        <item x="640"/>
        <item x="866"/>
        <item x="556"/>
        <item x="1028"/>
        <item x="975"/>
        <item x="511"/>
        <item x="773"/>
        <item x="869"/>
        <item x="465"/>
        <item x="987"/>
        <item x="804"/>
        <item x="630"/>
        <item x="946"/>
        <item x="820"/>
        <item x="659"/>
        <item x="883"/>
        <item x="993"/>
        <item x="765"/>
        <item x="703"/>
        <item x="95"/>
        <item x="844"/>
        <item x="1029"/>
        <item x="955"/>
        <item x="753"/>
        <item x="625"/>
        <item x="354"/>
        <item x="856"/>
        <item x="939"/>
        <item x="617"/>
        <item x="937"/>
        <item x="1065"/>
        <item x="960"/>
        <item x="696"/>
        <item x="915"/>
        <item x="284"/>
        <item x="998"/>
        <item x="752"/>
        <item x="693"/>
        <item x="876"/>
        <item x="1067"/>
        <item x="943"/>
        <item x="757"/>
        <item x="920"/>
        <item x="720"/>
        <item x="837"/>
        <item x="778"/>
        <item x="1083"/>
        <item x="971"/>
        <item x="933"/>
        <item x="813"/>
        <item x="1047"/>
        <item x="722"/>
        <item x="850"/>
        <item x="624"/>
        <item x="970"/>
        <item x="677"/>
        <item x="542"/>
        <item x="836"/>
        <item x="732"/>
        <item x="701"/>
        <item x="929"/>
        <item x="740"/>
        <item x="1063"/>
        <item x="537"/>
        <item x="711"/>
        <item x="529"/>
        <item x="824"/>
        <item x="1041"/>
        <item x="991"/>
        <item x="681"/>
        <item x="875"/>
        <item x="806"/>
        <item x="1042"/>
        <item x="695"/>
        <item x="927"/>
        <item x="788"/>
        <item x="1073"/>
        <item x="969"/>
        <item x="652"/>
        <item x="361"/>
        <item x="873"/>
        <item x="692"/>
        <item x="1088"/>
        <item x="865"/>
        <item x="662"/>
        <item x="834"/>
        <item x="672"/>
        <item x="988"/>
        <item x="871"/>
        <item x="759"/>
        <item x="717"/>
        <item x="152"/>
        <item x="854"/>
        <item x="475"/>
        <item x="583"/>
        <item x="772"/>
        <item x="885"/>
        <item x="687"/>
        <item x="1052"/>
        <item x="893"/>
        <item x="661"/>
        <item x="985"/>
        <item x="886"/>
        <item x="771"/>
        <item x="727"/>
        <item x="860"/>
        <item x="309"/>
        <item x="531"/>
        <item x="651"/>
        <item x="942"/>
        <item x="982"/>
        <item x="359"/>
        <item x="851"/>
        <item x="802"/>
        <item x="708"/>
        <item x="902"/>
        <item x="822"/>
        <item x="719"/>
        <item x="1066"/>
        <item x="1010"/>
        <item x="913"/>
        <item x="791"/>
        <item x="675"/>
        <item x="840"/>
        <item x="346"/>
        <item x="1049"/>
        <item x="1006"/>
        <item x="907"/>
        <item x="637"/>
        <item x="801"/>
        <item x="930"/>
        <item x="878"/>
        <item x="1074"/>
        <item x="800"/>
        <item x="956"/>
        <item x="444"/>
        <item x="746"/>
        <item x="282"/>
        <item x="945"/>
        <item x="761"/>
        <item x="616"/>
        <item x="881"/>
        <item x="777"/>
        <item x="728"/>
        <item x="1051"/>
        <item x="636"/>
        <item x="774"/>
        <item x="697"/>
        <item x="992"/>
        <item x="545"/>
        <item x="674"/>
        <item x="835"/>
        <item x="1082"/>
        <item x="951"/>
        <item x="325"/>
        <item x="922"/>
        <item x="665"/>
        <item x="986"/>
        <item x="106"/>
        <item x="792"/>
        <item x="698"/>
        <item x="570"/>
        <item x="793"/>
        <item x="629"/>
        <item x="944"/>
        <item x="1059"/>
        <item x="764"/>
        <item x="370"/>
        <item x="315"/>
        <item x="859"/>
        <item x="97"/>
        <item x="1054"/>
        <item x="892"/>
        <item x="691"/>
        <item x="1053"/>
        <item x="809"/>
        <item x="709"/>
        <item x="961"/>
        <item x="779"/>
        <item x="505"/>
        <item x="484"/>
        <item x="582"/>
        <item x="562"/>
        <item x="690"/>
        <item x="1087"/>
        <item x="817"/>
        <item x="686"/>
        <item x="1040"/>
        <item x="976"/>
        <item x="498"/>
        <item x="670"/>
        <item x="769"/>
        <item x="628"/>
        <item x="784"/>
        <item x="682"/>
        <item x="785"/>
        <item x="618"/>
        <item x="575"/>
        <item x="1036"/>
        <item x="863"/>
        <item x="619"/>
        <item x="290"/>
        <item x="925"/>
        <item x="669"/>
        <item x="1043"/>
        <item x="445"/>
        <item x="909"/>
        <item x="952"/>
        <item x="448"/>
        <item x="747"/>
        <item x="622"/>
        <item x="76"/>
        <item x="864"/>
        <item x="410"/>
        <item x="1017"/>
        <item x="386"/>
        <item x="306"/>
        <item x="781"/>
        <item x="667"/>
        <item x="808"/>
        <item x="1080"/>
        <item x="950"/>
        <item x="780"/>
        <item x="663"/>
        <item x="422"/>
        <item x="620"/>
        <item x="668"/>
        <item x="841"/>
        <item x="1004"/>
        <item x="903"/>
        <item x="380"/>
        <item x="126"/>
        <item x="390"/>
        <item x="782"/>
        <item x="1008"/>
        <item x="1009"/>
        <item x="908"/>
        <item x="1050"/>
        <item x="1018"/>
        <item x="786"/>
        <item x="1046"/>
        <item x="896"/>
        <item x="418"/>
        <item x="694"/>
        <item x="999"/>
        <item x="805"/>
        <item x="1045"/>
        <item x="684"/>
        <item x="680"/>
        <item x="518"/>
        <item x="1093"/>
        <item x="621"/>
        <item x="385"/>
        <item x="1055"/>
        <item x="954"/>
        <item x="911"/>
        <item x="1019"/>
        <item x="796"/>
        <item x="182"/>
        <item x="172"/>
        <item x="1015"/>
        <item x="897"/>
        <item x="588"/>
        <item x="364"/>
        <item x="402"/>
        <item x="1014"/>
        <item x="519"/>
        <item x="627"/>
        <item x="906"/>
        <item x="321"/>
        <item x="1086"/>
        <item x="887"/>
        <item x="1003"/>
        <item x="101"/>
        <item x="904"/>
        <item x="1038"/>
        <item x="437"/>
        <item x="626"/>
        <item x="1037"/>
        <item x="685"/>
        <item x="890"/>
        <item x="1100"/>
        <item x="664"/>
        <item x="905"/>
        <item x="811"/>
        <item x="1020"/>
        <item x="889"/>
        <item x="99"/>
        <item x="609"/>
        <item x="888"/>
        <item x="1011"/>
        <item x="1007"/>
        <item x="900"/>
        <item x="1021"/>
        <item x="635"/>
        <item x="1013"/>
        <item x="794"/>
        <item x="599"/>
        <item x="641"/>
        <item x="783"/>
        <item x="1002"/>
        <item x="787"/>
        <item x="1076"/>
        <item x="1026"/>
        <item x="1016"/>
        <item x="409"/>
        <item x="891"/>
        <item x="996"/>
        <item x="666"/>
        <item x="73"/>
        <item x="1001"/>
        <item x="524"/>
        <item x="650"/>
        <item x="188"/>
        <item x="867"/>
        <item x="634"/>
        <item x="559"/>
        <item x="297"/>
        <item x="776"/>
        <item x="1005"/>
        <item x="639"/>
        <item x="90"/>
        <item x="789"/>
        <item x="671"/>
        <item x="821"/>
        <item x="517"/>
        <item x="910"/>
        <item x="1000"/>
        <item x="1091"/>
        <item x="790"/>
        <item x="649"/>
        <item x="100"/>
        <item x="1056"/>
        <item x="350"/>
        <item x="553"/>
        <item x="567"/>
        <item x="941"/>
        <item x="901"/>
        <item x="699"/>
        <item x="365"/>
        <item x="160"/>
        <item x="515"/>
        <item x="124"/>
        <item x="357"/>
        <item x="530"/>
        <item x="615"/>
        <item x="1012"/>
        <item x="497"/>
        <item x="578"/>
        <item x="454"/>
        <item x="1039"/>
        <item x="137"/>
        <item x="984"/>
        <item x="642"/>
        <item x="912"/>
        <item x="178"/>
        <item x="311"/>
        <item x="797"/>
        <item x="279"/>
        <item x="469"/>
        <item x="432"/>
        <item x="294"/>
        <item x="96"/>
        <item x="400"/>
        <item x="812"/>
        <item x="499"/>
        <item x="397"/>
        <item x="600"/>
        <item x="894"/>
        <item x="62"/>
        <item x="756"/>
        <item x="296"/>
        <item x="26"/>
        <item x="412"/>
        <item x="242"/>
        <item x="1061"/>
        <item x="414"/>
        <item x="398"/>
        <item x="895"/>
        <item x="67"/>
        <item x="168"/>
        <item x="408"/>
        <item x="516"/>
        <item x="430"/>
        <item x="470"/>
        <item x="342"/>
        <item x="303"/>
        <item x="75"/>
        <item x="154"/>
        <item x="139"/>
        <item x="491"/>
        <item x="138"/>
        <item x="591"/>
        <item x="64"/>
        <item x="1060"/>
        <item x="571"/>
        <item x="574"/>
        <item x="355"/>
        <item x="125"/>
        <item x="554"/>
        <item x="192"/>
        <item x="520"/>
        <item x="643"/>
        <item x="413"/>
        <item x="1035"/>
        <item x="495"/>
        <item x="395"/>
        <item x="74"/>
        <item x="593"/>
        <item x="334"/>
        <item x="462"/>
        <item x="450"/>
        <item x="181"/>
        <item x="372"/>
        <item x="102"/>
        <item x="525"/>
        <item x="440"/>
        <item x="393"/>
        <item x="235"/>
        <item x="449"/>
        <item x="59"/>
        <item x="577"/>
        <item x="84"/>
        <item x="983"/>
        <item x="322"/>
        <item x="799"/>
        <item x="457"/>
        <item x="689"/>
        <item x="71"/>
        <item x="281"/>
        <item x="2"/>
        <item x="468"/>
        <item x="57"/>
        <item x="431"/>
        <item x="291"/>
        <item x="127"/>
        <item x="810"/>
        <item x="533"/>
        <item x="862"/>
        <item x="234"/>
        <item x="729"/>
        <item x="381"/>
        <item x="938"/>
        <item x="341"/>
        <item x="501"/>
        <item x="360"/>
        <item x="532"/>
        <item x="608"/>
        <item x="131"/>
        <item x="72"/>
        <item x="423"/>
        <item x="775"/>
        <item x="914"/>
        <item x="345"/>
        <item x="451"/>
        <item x="180"/>
        <item x="367"/>
        <item x="427"/>
        <item x="89"/>
        <item x="447"/>
        <item x="798"/>
        <item x="305"/>
        <item x="479"/>
        <item x="333"/>
        <item x="5"/>
        <item x="4"/>
        <item x="420"/>
        <item x="396"/>
        <item x="528"/>
        <item x="411"/>
        <item x="415"/>
        <item x="504"/>
        <item x="262"/>
        <item x="104"/>
        <item x="69"/>
        <item x="65"/>
        <item x="387"/>
        <item x="295"/>
        <item x="177"/>
        <item x="82"/>
        <item x="275"/>
        <item x="159"/>
        <item x="289"/>
        <item x="123"/>
        <item x="492"/>
        <item x="81"/>
        <item x="283"/>
        <item x="404"/>
        <item x="522"/>
        <item x="538"/>
        <item x="87"/>
        <item x="83"/>
        <item x="328"/>
        <item x="256"/>
        <item x="51"/>
        <item x="541"/>
        <item x="573"/>
        <item x="358"/>
        <item x="85"/>
        <item x="173"/>
        <item x="394"/>
        <item x="391"/>
        <item x="606"/>
        <item x="259"/>
        <item x="80"/>
        <item x="561"/>
        <item x="612"/>
        <item x="308"/>
        <item x="1062"/>
        <item x="61"/>
        <item x="327"/>
        <item x="255"/>
        <item x="228"/>
        <item x="88"/>
        <item x="336"/>
        <item x="356"/>
        <item x="507"/>
        <item x="442"/>
        <item x="108"/>
        <item x="66"/>
        <item x="549"/>
        <item x="141"/>
        <item x="196"/>
        <item x="441"/>
        <item x="121"/>
        <item x="320"/>
        <item x="332"/>
        <item x="276"/>
        <item x="206"/>
        <item x="466"/>
        <item x="597"/>
        <item x="589"/>
        <item x="1"/>
        <item x="17"/>
        <item x="349"/>
        <item x="300"/>
        <item x="258"/>
        <item x="122"/>
        <item x="293"/>
        <item x="3"/>
        <item x="605"/>
        <item x="557"/>
        <item x="601"/>
        <item x="60"/>
        <item x="481"/>
        <item x="490"/>
        <item x="318"/>
        <item x="175"/>
        <item x="267"/>
        <item x="382"/>
        <item x="211"/>
        <item x="602"/>
        <item x="169"/>
        <item x="523"/>
        <item x="50"/>
        <item x="317"/>
        <item x="79"/>
        <item x="257"/>
        <item x="337"/>
        <item x="374"/>
        <item x="70"/>
        <item x="254"/>
        <item x="161"/>
        <item x="299"/>
        <item x="52"/>
        <item x="274"/>
        <item x="426"/>
        <item x="261"/>
        <item x="98"/>
        <item x="56"/>
        <item x="344"/>
        <item x="268"/>
        <item x="179"/>
        <item x="217"/>
        <item x="552"/>
        <item x="331"/>
        <item x="266"/>
        <item x="595"/>
        <item x="464"/>
        <item x="174"/>
        <item x="473"/>
        <item x="416"/>
        <item x="253"/>
        <item x="222"/>
        <item x="229"/>
        <item x="314"/>
        <item x="310"/>
        <item x="120"/>
        <item x="534"/>
        <item x="564"/>
        <item x="103"/>
        <item x="265"/>
        <item x="134"/>
        <item x="389"/>
        <item x="592"/>
        <item x="132"/>
        <item x="194"/>
        <item x="421"/>
        <item x="285"/>
        <item x="263"/>
        <item x="220"/>
        <item x="162"/>
        <item x="287"/>
        <item x="133"/>
        <item x="221"/>
        <item x="610"/>
        <item x="107"/>
        <item x="230"/>
        <item x="585"/>
        <item x="403"/>
        <item x="183"/>
        <item x="572"/>
        <item x="278"/>
        <item x="198"/>
        <item x="214"/>
        <item x="598"/>
        <item x="252"/>
        <item x="49"/>
        <item x="53"/>
        <item x="68"/>
        <item x="452"/>
        <item x="324"/>
        <item x="351"/>
        <item x="362"/>
        <item x="207"/>
        <item x="384"/>
        <item x="94"/>
        <item x="184"/>
        <item x="199"/>
        <item x="347"/>
        <item x="604"/>
        <item x="488"/>
        <item x="213"/>
        <item x="46"/>
        <item x="78"/>
        <item x="270"/>
        <item x="580"/>
        <item x="251"/>
        <item x="156"/>
        <item x="63"/>
        <item x="329"/>
        <item x="219"/>
        <item x="417"/>
        <item x="153"/>
        <item x="136"/>
        <item x="486"/>
        <item x="246"/>
        <item x="140"/>
        <item x="1107"/>
        <item x="399"/>
        <item x="47"/>
        <item x="264"/>
        <item x="546"/>
        <item x="238"/>
        <item x="271"/>
        <item x="1106"/>
        <item x="521"/>
        <item x="236"/>
        <item x="166"/>
        <item x="392"/>
        <item x="471"/>
        <item x="594"/>
        <item x="223"/>
        <item x="205"/>
        <item x="215"/>
        <item x="158"/>
        <item x="245"/>
        <item x="55"/>
        <item x="280"/>
        <item x="165"/>
        <item x="210"/>
        <item x="185"/>
        <item x="607"/>
        <item x="596"/>
        <item x="0"/>
        <item x="201"/>
        <item x="164"/>
        <item x="260"/>
        <item x="208"/>
        <item x="237"/>
        <item x="218"/>
        <item x="200"/>
        <item x="244"/>
        <item x="129"/>
        <item x="269"/>
        <item x="216"/>
        <item x="58"/>
        <item x="202"/>
        <item x="375"/>
        <item x="204"/>
        <item x="401"/>
        <item x="510"/>
        <item x="1108"/>
        <item x="555"/>
        <item x="193"/>
        <item x="212"/>
        <item x="54"/>
        <item x="157"/>
        <item x="482"/>
        <item x="338"/>
        <item x="603"/>
        <item x="135"/>
        <item x="277"/>
        <item x="176"/>
        <item x="224"/>
        <item x="496"/>
        <item x="233"/>
        <item x="155"/>
        <item x="330"/>
        <item x="241"/>
        <item x="433"/>
        <item x="304"/>
        <item x="197"/>
        <item x="231"/>
        <item x="186"/>
        <item x="335"/>
        <item x="428"/>
        <item x="232"/>
        <item x="558"/>
        <item x="613"/>
        <item x="226"/>
        <item x="209"/>
        <item x="170"/>
        <item x="494"/>
        <item x="443"/>
        <item x="1023"/>
        <item x="302"/>
        <item x="576"/>
        <item x="250"/>
        <item x="614"/>
        <item x="590"/>
        <item x="363"/>
        <item x="512"/>
        <item x="203"/>
        <item x="128"/>
        <item x="12"/>
        <item x="118"/>
        <item x="195"/>
        <item x="247"/>
        <item x="22"/>
        <item x="587"/>
        <item x="326"/>
        <item x="112"/>
        <item x="171"/>
        <item x="225"/>
        <item x="77"/>
        <item x="240"/>
        <item x="117"/>
        <item x="130"/>
        <item x="13"/>
        <item x="273"/>
        <item x="611"/>
        <item x="86"/>
        <item x="16"/>
        <item x="227"/>
        <item x="14"/>
        <item x="93"/>
        <item x="116"/>
        <item x="249"/>
        <item x="1105"/>
        <item x="25"/>
        <item x="15"/>
        <item x="143"/>
        <item x="248"/>
        <item x="119"/>
        <item x="36"/>
        <item x="272"/>
        <item x="33"/>
        <item x="243"/>
        <item x="1104"/>
        <item x="110"/>
        <item x="20"/>
        <item x="187"/>
        <item x="24"/>
        <item x="239"/>
        <item x="19"/>
        <item x="23"/>
        <item x="30"/>
        <item x="21"/>
        <item x="34"/>
        <item x="167"/>
        <item x="535"/>
        <item x="8"/>
        <item x="29"/>
        <item x="28"/>
        <item x="115"/>
        <item x="11"/>
        <item x="10"/>
        <item x="41"/>
        <item x="105"/>
        <item x="38"/>
        <item x="45"/>
        <item x="31"/>
        <item x="18"/>
        <item x="48"/>
        <item x="43"/>
        <item x="39"/>
        <item x="9"/>
        <item x="37"/>
        <item x="32"/>
        <item x="35"/>
        <item x="44"/>
        <item x="27"/>
        <item x="1024"/>
        <item x="42"/>
        <item x="111"/>
        <item x="163"/>
        <item x="189"/>
        <item x="142"/>
        <item x="339"/>
        <item x="340"/>
        <item x="1109"/>
        <item x="586"/>
        <item x="438"/>
        <item x="114"/>
        <item x="190"/>
        <item x="191"/>
        <item x="113"/>
        <item x="7"/>
        <item x="6"/>
        <item x="151"/>
        <item x="147"/>
        <item x="148"/>
        <item x="150"/>
        <item x="149"/>
        <item x="146"/>
        <item x="145"/>
        <item x="144"/>
        <item x="1025"/>
        <item x="1022"/>
        <item x="1110"/>
        <item t="default"/>
      </items>
    </pivotField>
    <pivotField axis="axisRow" insertPageBreak="1" defaultSubtotal="0" outline="0" showAll="0" includeNewItemsInFilter="1">
      <items count="125">
        <item x="6"/>
        <item x="87"/>
        <item x="114"/>
        <item x="47"/>
        <item x="86"/>
        <item x="115"/>
        <item x="118"/>
        <item x="112"/>
        <item x="89"/>
        <item x="107"/>
        <item x="85"/>
        <item x="84"/>
        <item x="88"/>
        <item x="20"/>
        <item x="92"/>
        <item x="18"/>
        <item x="93"/>
        <item x="82"/>
        <item x="58"/>
        <item x="116"/>
        <item x="15"/>
        <item x="19"/>
        <item x="106"/>
        <item x="16"/>
        <item x="17"/>
        <item x="10"/>
        <item x="11"/>
        <item x="48"/>
        <item x="13"/>
        <item x="109"/>
        <item x="76"/>
        <item x="77"/>
        <item x="83"/>
        <item x="91"/>
        <item x="110"/>
        <item x="50"/>
        <item x="14"/>
        <item x="96"/>
        <item x="95"/>
        <item x="33"/>
        <item x="41"/>
        <item x="29"/>
        <item x="51"/>
        <item x="28"/>
        <item x="64"/>
        <item x="26"/>
        <item x="21"/>
        <item x="52"/>
        <item x="53"/>
        <item x="12"/>
        <item x="42"/>
        <item x="67"/>
        <item x="25"/>
        <item x="24"/>
        <item x="39"/>
        <item x="0"/>
        <item x="99"/>
        <item x="32"/>
        <item x="62"/>
        <item x="78"/>
        <item x="75"/>
        <item x="54"/>
        <item x="55"/>
        <item x="97"/>
        <item x="45"/>
        <item x="122"/>
        <item x="79"/>
        <item x="80"/>
        <item x="117"/>
        <item x="7"/>
        <item x="49"/>
        <item x="119"/>
        <item x="120"/>
        <item m="1" x="124"/>
        <item x="56"/>
        <item x="57"/>
        <item x="37"/>
        <item x="68"/>
        <item x="103"/>
        <item x="5"/>
        <item x="3"/>
        <item x="43"/>
        <item x="61"/>
        <item x="60"/>
        <item x="104"/>
        <item x="27"/>
        <item x="35"/>
        <item x="36"/>
        <item x="38"/>
        <item x="46"/>
        <item x="22"/>
        <item x="23"/>
        <item x="30"/>
        <item x="31"/>
        <item x="34"/>
        <item x="102"/>
        <item x="2"/>
        <item x="111"/>
        <item x="94"/>
        <item x="44"/>
        <item x="63"/>
        <item x="4"/>
        <item x="65"/>
        <item x="66"/>
        <item x="40"/>
        <item m="1" x="123"/>
        <item x="113"/>
        <item x="59"/>
        <item x="100"/>
        <item x="1"/>
        <item x="101"/>
        <item x="81"/>
        <item x="105"/>
        <item x="108"/>
        <item x="71"/>
        <item x="72"/>
        <item x="73"/>
        <item x="74"/>
        <item x="90"/>
        <item x="121"/>
        <item x="98"/>
        <item x="8"/>
        <item x="70"/>
        <item x="9"/>
        <item x="69"/>
      </items>
    </pivotField>
    <pivotField axis="axisRow" showAll="0">
      <items count="27">
        <item x="9"/>
        <item x="11"/>
        <item x="10"/>
        <item x="2"/>
        <item x="1"/>
        <item x="6"/>
        <item x="7"/>
        <item x="13"/>
        <item x="8"/>
        <item x="12"/>
        <item x="5"/>
        <item x="0"/>
        <item x="4"/>
        <item x="14"/>
        <item x="3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t="default"/>
      </items>
    </pivotField>
  </pivotFields>
  <rowFields count="5">
    <field x="9"/>
    <field x="15"/>
    <field x="8"/>
    <field x="3"/>
    <field x="16"/>
  </rowFields>
  <rowItems count="706">
    <i>
      <x/>
      <x v="60"/>
      <x v="45"/>
      <x/>
      <x v="8"/>
    </i>
    <i r="3">
      <x v="31"/>
      <x v="8"/>
    </i>
    <i r="2">
      <x v="76"/>
      <x v="2"/>
      <x v="14"/>
    </i>
    <i>
      <x v="1"/>
      <x v="54"/>
      <x v="3"/>
      <x v="1"/>
      <x v="3"/>
    </i>
    <i r="3">
      <x v="2"/>
      <x v="3"/>
    </i>
    <i r="3">
      <x v="4"/>
      <x v="3"/>
    </i>
    <i r="3">
      <x v="5"/>
      <x v="3"/>
    </i>
    <i r="3">
      <x v="12"/>
      <x v="3"/>
    </i>
    <i r="3">
      <x v="13"/>
      <x v="3"/>
    </i>
    <i r="3">
      <x v="14"/>
      <x v="3"/>
    </i>
    <i r="3">
      <x v="21"/>
      <x v="3"/>
    </i>
    <i r="3">
      <x v="23"/>
      <x v="3"/>
    </i>
    <i>
      <x v="2"/>
      <x v="33"/>
      <x v="70"/>
      <x v="18"/>
      <x v="12"/>
    </i>
    <i r="3">
      <x v="40"/>
      <x v="12"/>
    </i>
    <i r="3">
      <x v="48"/>
      <x v="12"/>
    </i>
    <i r="3">
      <x v="50"/>
      <x v="12"/>
    </i>
    <i>
      <x v="3"/>
      <x v="46"/>
      <x v="63"/>
      <x v="18"/>
      <x v="12"/>
    </i>
    <i r="2">
      <x v="64"/>
      <x v="26"/>
      <x v="12"/>
    </i>
    <i r="3">
      <x v="40"/>
      <x v="12"/>
    </i>
    <i r="3">
      <x v="48"/>
      <x v="12"/>
    </i>
    <i>
      <x v="4"/>
      <x v="58"/>
      <x v="18"/>
      <x v="1"/>
      <x v="10"/>
    </i>
    <i r="3">
      <x v="4"/>
      <x v="10"/>
    </i>
    <i r="3">
      <x v="5"/>
      <x v="10"/>
    </i>
    <i r="3">
      <x v="9"/>
      <x v="10"/>
    </i>
    <i r="3">
      <x v="12"/>
      <x v="10"/>
    </i>
    <i r="3">
      <x v="23"/>
      <x v="10"/>
    </i>
    <i r="3">
      <x v="38"/>
      <x v="10"/>
    </i>
    <i>
      <x v="5"/>
      <x v="22"/>
      <x v="48"/>
      <x v="7"/>
      <x v="9"/>
    </i>
    <i r="2">
      <x v="50"/>
      <x v="7"/>
      <x v="9"/>
    </i>
    <i r="3">
      <x v="48"/>
      <x v="9"/>
    </i>
    <i r="2">
      <x v="52"/>
      <x v="7"/>
      <x v="11"/>
    </i>
    <i r="3">
      <x v="48"/>
      <x v="11"/>
    </i>
    <i r="3">
      <x v="51"/>
      <x v="11"/>
    </i>
    <i>
      <x v="6"/>
      <x v="6"/>
      <x v="38"/>
      <x v="49"/>
      <x v="4"/>
    </i>
    <i>
      <x v="7"/>
      <x v="26"/>
      <x v="65"/>
      <x v="14"/>
      <x v="12"/>
    </i>
    <i r="3">
      <x v="18"/>
      <x v="12"/>
    </i>
    <i r="3">
      <x v="26"/>
      <x v="12"/>
    </i>
    <i r="3">
      <x v="27"/>
      <x v="12"/>
    </i>
    <i>
      <x v="8"/>
      <x v="16"/>
      <x v="67"/>
      <x v="18"/>
      <x v="12"/>
    </i>
    <i r="3">
      <x v="40"/>
      <x v="12"/>
    </i>
    <i>
      <x v="9"/>
      <x v="15"/>
      <x v="62"/>
      <x v="18"/>
      <x v="12"/>
    </i>
    <i r="3">
      <x v="26"/>
      <x v="12"/>
    </i>
    <i r="3">
      <x v="27"/>
      <x v="12"/>
    </i>
    <i>
      <x v="10"/>
      <x v="10"/>
      <x v="9"/>
      <x v="1"/>
      <x v="12"/>
    </i>
    <i r="3">
      <x v="18"/>
      <x v="12"/>
    </i>
    <i r="3">
      <x v="35"/>
      <x v="12"/>
    </i>
    <i r="3">
      <x v="40"/>
      <x v="12"/>
    </i>
    <i>
      <x v="11"/>
      <x v="23"/>
      <x v="11"/>
      <x v="48"/>
      <x v="12"/>
    </i>
    <i>
      <x v="12"/>
      <x v="24"/>
      <x v="11"/>
      <x v="48"/>
      <x v="12"/>
    </i>
    <i>
      <x v="13"/>
      <x v="7"/>
      <x v="53"/>
      <x v="7"/>
      <x v="9"/>
    </i>
    <i r="3">
      <x v="48"/>
      <x v="9"/>
    </i>
    <i>
      <x v="14"/>
      <x v="9"/>
      <x v="23"/>
      <x v="7"/>
      <x v="9"/>
    </i>
    <i r="3">
      <x v="48"/>
      <x v="9"/>
    </i>
    <i r="3">
      <x v="49"/>
      <x v="9"/>
    </i>
    <i>
      <x v="15"/>
      <x v="64"/>
      <x v="37"/>
      <x v="1"/>
      <x v="11"/>
    </i>
    <i r="3">
      <x v="5"/>
      <x v="11"/>
    </i>
    <i r="3">
      <x v="9"/>
      <x v="11"/>
    </i>
    <i r="3">
      <x v="14"/>
      <x v="11"/>
    </i>
    <i r="3">
      <x v="23"/>
      <x v="11"/>
    </i>
    <i r="3">
      <x v="38"/>
      <x v="11"/>
    </i>
    <i r="3">
      <x v="41"/>
      <x v="11"/>
    </i>
    <i>
      <x v="16"/>
      <x v="18"/>
      <x v="4"/>
      <x v="5"/>
      <x v="3"/>
    </i>
    <i r="3">
      <x v="23"/>
      <x v="3"/>
    </i>
    <i r="3">
      <x v="44"/>
      <x v="3"/>
    </i>
    <i r="2">
      <x v="28"/>
      <x v="2"/>
      <x v="10"/>
    </i>
    <i r="3">
      <x v="5"/>
      <x v="10"/>
    </i>
    <i r="3">
      <x v="10"/>
      <x v="10"/>
    </i>
    <i r="3">
      <x v="23"/>
      <x v="10"/>
    </i>
    <i>
      <x v="17"/>
      <x v="56"/>
      <x v="73"/>
      <x v="43"/>
      <x v="1"/>
    </i>
    <i r="3">
      <x v="46"/>
      <x v="1"/>
    </i>
    <i>
      <x v="18"/>
      <x v="62"/>
      <x v="43"/>
      <x v="1"/>
      <x v="10"/>
    </i>
    <i r="3">
      <x v="2"/>
      <x v="10"/>
    </i>
    <i r="3">
      <x v="5"/>
      <x v="10"/>
    </i>
    <i r="3">
      <x v="23"/>
      <x v="10"/>
    </i>
    <i r="3">
      <x v="43"/>
      <x v="10"/>
    </i>
    <i r="3">
      <x v="52"/>
      <x v="10"/>
    </i>
    <i>
      <x v="19"/>
      <x v="13"/>
      <x v="64"/>
      <x v="12"/>
      <x v="12"/>
    </i>
    <i r="3">
      <x v="26"/>
      <x v="12"/>
    </i>
    <i r="3">
      <x v="40"/>
      <x v="12"/>
    </i>
    <i r="3">
      <x v="48"/>
      <x v="12"/>
    </i>
    <i>
      <x v="20"/>
      <x v="40"/>
      <x v="36"/>
      <x v="5"/>
      <x v="3"/>
    </i>
    <i r="3">
      <x v="14"/>
      <x v="3"/>
    </i>
    <i r="3">
      <x v="17"/>
      <x v="3"/>
    </i>
    <i r="3">
      <x v="23"/>
      <x v="3"/>
    </i>
    <i r="3">
      <x v="30"/>
      <x v="3"/>
    </i>
    <i r="3">
      <x v="42"/>
      <x v="3"/>
    </i>
    <i r="3">
      <x v="44"/>
      <x v="3"/>
    </i>
    <i>
      <x v="21"/>
      <x v="1"/>
      <x v="54"/>
      <x v="3"/>
      <x v="11"/>
    </i>
    <i r="3">
      <x v="48"/>
      <x v="11"/>
    </i>
    <i r="3">
      <x v="51"/>
      <x v="11"/>
    </i>
    <i>
      <x v="22"/>
      <x v="63"/>
      <x v="1"/>
      <x v="23"/>
      <x v="11"/>
    </i>
    <i>
      <x v="23"/>
      <x v="50"/>
      <x v="36"/>
      <x v="5"/>
      <x v="3"/>
    </i>
    <i r="3">
      <x v="14"/>
      <x v="3"/>
    </i>
    <i r="3">
      <x v="17"/>
      <x v="3"/>
    </i>
    <i r="3">
      <x v="23"/>
      <x v="3"/>
    </i>
    <i r="3">
      <x v="30"/>
      <x v="3"/>
    </i>
    <i r="3">
      <x v="42"/>
      <x v="3"/>
    </i>
    <i r="3">
      <x v="44"/>
      <x v="3"/>
    </i>
    <i>
      <x v="24"/>
      <x v="37"/>
      <x v="12"/>
      <x v="18"/>
      <x v="12"/>
    </i>
    <i r="3">
      <x v="40"/>
      <x v="12"/>
    </i>
    <i>
      <x v="25"/>
      <x v="4"/>
      <x v="55"/>
      <x v="3"/>
      <x v="11"/>
    </i>
    <i r="3">
      <x v="7"/>
      <x v="11"/>
    </i>
    <i r="3">
      <x v="48"/>
      <x v="11"/>
    </i>
    <i r="3">
      <x v="51"/>
      <x v="11"/>
    </i>
    <i>
      <x v="26"/>
      <x v="29"/>
      <x v="50"/>
      <x v="7"/>
      <x v="9"/>
    </i>
    <i r="3">
      <x v="48"/>
      <x v="9"/>
    </i>
    <i r="2">
      <x v="52"/>
      <x v="48"/>
      <x v="11"/>
    </i>
    <i r="2">
      <x v="59"/>
      <x v="48"/>
      <x v="11"/>
    </i>
    <i>
      <x v="27"/>
      <x v="12"/>
      <x v="23"/>
      <x v="48"/>
      <x v="9"/>
    </i>
    <i r="2">
      <x v="27"/>
      <x v="48"/>
      <x v="4"/>
    </i>
    <i r="2">
      <x v="34"/>
      <x v="48"/>
      <x v="5"/>
    </i>
    <i r="2">
      <x v="49"/>
      <x v="48"/>
      <x v="9"/>
    </i>
    <i r="2">
      <x v="52"/>
      <x v="3"/>
      <x v="11"/>
    </i>
    <i r="2">
      <x v="53"/>
      <x v="48"/>
      <x v="9"/>
    </i>
    <i r="2">
      <x v="59"/>
      <x v="7"/>
      <x v="11"/>
    </i>
    <i r="3">
      <x v="48"/>
      <x v="11"/>
    </i>
    <i r="3">
      <x v="51"/>
      <x v="11"/>
    </i>
    <i>
      <x v="28"/>
      <x v="59"/>
      <x v="18"/>
      <x v="1"/>
      <x v="10"/>
    </i>
    <i>
      <x v="29"/>
      <x v="52"/>
      <x/>
      <x v="1"/>
      <x v="10"/>
    </i>
    <i r="3">
      <x v="2"/>
      <x v="10"/>
    </i>
    <i r="3">
      <x v="5"/>
      <x v="10"/>
    </i>
    <i r="3">
      <x v="12"/>
      <x v="10"/>
    </i>
    <i r="3">
      <x v="13"/>
      <x v="10"/>
    </i>
    <i r="3">
      <x v="16"/>
      <x v="10"/>
    </i>
    <i r="3">
      <x v="18"/>
      <x v="10"/>
    </i>
    <i r="3">
      <x v="19"/>
      <x v="10"/>
    </i>
    <i r="3">
      <x v="20"/>
      <x v="10"/>
    </i>
    <i r="3">
      <x v="23"/>
      <x v="10"/>
    </i>
    <i r="3">
      <x v="44"/>
      <x v="10"/>
    </i>
    <i>
      <x v="30"/>
      <x v="53"/>
      <x/>
      <x v="1"/>
      <x v="10"/>
    </i>
    <i r="3">
      <x v="2"/>
      <x v="10"/>
    </i>
    <i r="3">
      <x v="5"/>
      <x v="10"/>
    </i>
    <i r="3">
      <x v="12"/>
      <x v="10"/>
    </i>
    <i r="3">
      <x v="13"/>
      <x v="10"/>
    </i>
    <i r="3">
      <x v="16"/>
      <x v="10"/>
    </i>
    <i r="3">
      <x v="18"/>
      <x v="10"/>
    </i>
    <i r="3">
      <x v="19"/>
      <x v="10"/>
    </i>
    <i r="3">
      <x v="20"/>
      <x v="10"/>
    </i>
    <i r="3">
      <x v="23"/>
      <x v="10"/>
    </i>
    <i r="3">
      <x v="44"/>
      <x v="10"/>
    </i>
    <i>
      <x v="31"/>
      <x v="47"/>
      <x v="24"/>
      <x v="5"/>
      <x v="11"/>
    </i>
    <i r="3">
      <x v="39"/>
      <x v="11"/>
    </i>
    <i r="3">
      <x v="44"/>
      <x v="11"/>
    </i>
    <i r="2">
      <x v="32"/>
      <x v="1"/>
      <x v="11"/>
    </i>
    <i r="3">
      <x v="2"/>
      <x v="11"/>
    </i>
    <i r="3">
      <x v="5"/>
      <x v="11"/>
    </i>
    <i r="3">
      <x v="10"/>
      <x v="11"/>
    </i>
    <i r="3">
      <x v="13"/>
      <x v="11"/>
    </i>
    <i r="3">
      <x v="23"/>
      <x v="11"/>
    </i>
    <i>
      <x v="32"/>
      <x v="5"/>
      <x v="21"/>
      <x v="45"/>
      <x v="1"/>
    </i>
    <i r="3">
      <x v="49"/>
      <x v="1"/>
    </i>
    <i>
      <x v="33"/>
      <x v="51"/>
      <x v="2"/>
      <x v="1"/>
      <x v="11"/>
    </i>
    <i r="3">
      <x v="2"/>
      <x v="11"/>
    </i>
    <i r="3">
      <x v="5"/>
      <x v="11"/>
    </i>
    <i r="3">
      <x v="9"/>
      <x v="11"/>
    </i>
    <i r="3">
      <x v="10"/>
      <x v="11"/>
    </i>
    <i r="3">
      <x v="18"/>
      <x v="11"/>
    </i>
    <i r="3">
      <x v="23"/>
      <x v="11"/>
    </i>
    <i>
      <x v="34"/>
      <x v="35"/>
      <x v="40"/>
      <x/>
      <x v="11"/>
    </i>
    <i r="3">
      <x v="5"/>
      <x v="11"/>
    </i>
    <i r="3">
      <x v="9"/>
      <x v="11"/>
    </i>
    <i r="3">
      <x v="12"/>
      <x v="11"/>
    </i>
    <i r="3">
      <x v="38"/>
      <x v="11"/>
    </i>
    <i>
      <x v="35"/>
      <x v="8"/>
      <x v="48"/>
      <x v="7"/>
      <x v="9"/>
    </i>
    <i r="3">
      <x v="48"/>
      <x v="9"/>
    </i>
    <i r="2">
      <x v="49"/>
      <x v="48"/>
      <x v="9"/>
    </i>
    <i r="2">
      <x v="50"/>
      <x v="7"/>
      <x v="9"/>
    </i>
    <i r="3">
      <x v="48"/>
      <x v="9"/>
    </i>
    <i r="2">
      <x v="51"/>
      <x v="48"/>
      <x v="9"/>
    </i>
    <i r="2">
      <x v="52"/>
      <x v="3"/>
      <x v="11"/>
    </i>
    <i r="3">
      <x v="48"/>
      <x v="11"/>
    </i>
    <i r="2">
      <x v="53"/>
      <x v="48"/>
      <x v="9"/>
    </i>
    <i r="2">
      <x v="55"/>
      <x v="48"/>
      <x v="11"/>
    </i>
    <i r="2">
      <x v="60"/>
      <x v="48"/>
      <x v="3"/>
    </i>
    <i r="3">
      <x v="51"/>
      <x v="3"/>
    </i>
    <i>
      <x v="36"/>
      <x v="11"/>
      <x v="9"/>
      <x v="1"/>
      <x v="12"/>
    </i>
    <i r="3">
      <x v="18"/>
      <x v="12"/>
    </i>
    <i r="3">
      <x v="35"/>
      <x v="12"/>
    </i>
    <i r="3">
      <x v="40"/>
      <x v="12"/>
    </i>
    <i>
      <x v="37"/>
      <x v="43"/>
      <x v="33"/>
      <x v="2"/>
      <x v="11"/>
    </i>
    <i r="3">
      <x v="4"/>
      <x v="11"/>
    </i>
    <i r="3">
      <x v="5"/>
      <x v="11"/>
    </i>
    <i r="3">
      <x v="12"/>
      <x v="11"/>
    </i>
    <i r="3">
      <x v="13"/>
      <x v="11"/>
    </i>
    <i r="3">
      <x v="14"/>
      <x v="11"/>
    </i>
    <i r="3">
      <x v="16"/>
      <x v="11"/>
    </i>
    <i r="3">
      <x v="23"/>
      <x v="11"/>
    </i>
    <i r="3">
      <x v="29"/>
      <x v="11"/>
    </i>
    <i r="3">
      <x v="43"/>
      <x v="11"/>
    </i>
    <i r="3">
      <x v="44"/>
      <x v="11"/>
    </i>
    <i>
      <x v="38"/>
      <x v="61"/>
      <x v="43"/>
      <x v="1"/>
      <x v="10"/>
    </i>
    <i r="3">
      <x v="2"/>
      <x v="10"/>
    </i>
    <i r="3">
      <x v="4"/>
      <x v="10"/>
    </i>
    <i r="3">
      <x v="5"/>
      <x v="10"/>
    </i>
    <i r="3">
      <x v="10"/>
      <x v="10"/>
    </i>
    <i r="3">
      <x v="19"/>
      <x v="10"/>
    </i>
    <i r="3">
      <x v="23"/>
      <x v="10"/>
    </i>
    <i r="3">
      <x v="43"/>
      <x v="10"/>
    </i>
    <i r="3">
      <x v="52"/>
      <x v="10"/>
    </i>
    <i>
      <x v="39"/>
      <x v="30"/>
      <x v="10"/>
      <x v="23"/>
      <x v="11"/>
    </i>
    <i r="2">
      <x v="31"/>
      <x v="2"/>
      <x v="5"/>
    </i>
    <i r="3">
      <x v="29"/>
      <x v="5"/>
    </i>
    <i r="3">
      <x v="45"/>
      <x v="5"/>
    </i>
    <i r="3">
      <x v="49"/>
      <x v="5"/>
    </i>
    <i>
      <x v="40"/>
      <x v="28"/>
      <x v="68"/>
      <x v="26"/>
      <x v="12"/>
    </i>
    <i r="3">
      <x v="35"/>
      <x v="12"/>
    </i>
    <i r="3">
      <x v="40"/>
      <x v="12"/>
    </i>
    <i r="3">
      <x v="48"/>
      <x v="12"/>
    </i>
    <i>
      <x v="41"/>
      <x v="44"/>
      <x v="43"/>
      <x v="2"/>
      <x v="10"/>
    </i>
    <i r="3">
      <x v="4"/>
      <x v="10"/>
    </i>
    <i r="3">
      <x v="5"/>
      <x v="10"/>
    </i>
    <i r="3">
      <x v="10"/>
      <x v="10"/>
    </i>
    <i r="3">
      <x v="19"/>
      <x v="10"/>
    </i>
    <i r="3">
      <x v="23"/>
      <x v="10"/>
    </i>
    <i>
      <x v="42"/>
      <x v="21"/>
      <x v="62"/>
      <x v="18"/>
      <x v="12"/>
    </i>
    <i r="3">
      <x v="26"/>
      <x v="12"/>
    </i>
    <i r="3">
      <x v="27"/>
      <x v="12"/>
    </i>
    <i>
      <x v="43"/>
      <x v="14"/>
      <x v="70"/>
      <x v="18"/>
      <x v="12"/>
    </i>
    <i r="3">
      <x v="40"/>
      <x v="12"/>
    </i>
    <i r="3">
      <x v="48"/>
      <x v="12"/>
    </i>
    <i r="3">
      <x v="50"/>
      <x v="12"/>
    </i>
    <i>
      <x v="44"/>
      <x v="38"/>
      <x v="12"/>
      <x v="18"/>
      <x v="12"/>
    </i>
    <i r="3">
      <x v="40"/>
      <x v="12"/>
    </i>
    <i>
      <x v="45"/>
      <x v="19"/>
      <x v="57"/>
      <x v="48"/>
      <x v="11"/>
    </i>
    <i>
      <x v="46"/>
      <x v="55"/>
      <x v="10"/>
      <x v="1"/>
      <x v="11"/>
    </i>
    <i r="3">
      <x v="2"/>
      <x v="11"/>
    </i>
    <i r="3">
      <x v="5"/>
      <x v="11"/>
    </i>
    <i r="3">
      <x v="8"/>
      <x v="11"/>
    </i>
    <i r="3">
      <x v="10"/>
      <x v="11"/>
    </i>
    <i r="3">
      <x v="13"/>
      <x v="11"/>
    </i>
    <i r="3">
      <x v="14"/>
      <x v="11"/>
    </i>
    <i r="3">
      <x v="19"/>
      <x v="11"/>
    </i>
    <i r="3">
      <x v="23"/>
      <x v="11"/>
    </i>
    <i r="3">
      <x v="43"/>
      <x v="11"/>
    </i>
    <i>
      <x v="47"/>
      <x v="2"/>
      <x v="56"/>
      <x v="7"/>
      <x v="11"/>
    </i>
    <i r="3">
      <x v="48"/>
      <x v="11"/>
    </i>
    <i>
      <x v="48"/>
      <x v="17"/>
      <x v="66"/>
      <x v="1"/>
      <x v="12"/>
    </i>
    <i r="3">
      <x v="14"/>
      <x v="12"/>
    </i>
    <i r="3">
      <x v="40"/>
      <x v="12"/>
    </i>
    <i r="3">
      <x v="50"/>
      <x v="12"/>
    </i>
    <i>
      <x v="49"/>
      <x v="49"/>
      <x v="68"/>
      <x v="26"/>
      <x v="12"/>
    </i>
    <i r="3">
      <x v="35"/>
      <x v="12"/>
    </i>
    <i r="3">
      <x v="40"/>
      <x v="12"/>
    </i>
    <i r="3">
      <x v="48"/>
      <x v="12"/>
    </i>
    <i>
      <x v="50"/>
      <x v="41"/>
      <x v="14"/>
      <x v="5"/>
      <x v="11"/>
    </i>
    <i r="2">
      <x v="33"/>
      <x v="2"/>
      <x v="11"/>
    </i>
    <i r="3">
      <x v="4"/>
      <x v="11"/>
    </i>
    <i r="3">
      <x v="5"/>
      <x v="11"/>
    </i>
    <i r="3">
      <x v="12"/>
      <x v="11"/>
    </i>
    <i r="3">
      <x v="13"/>
      <x v="11"/>
    </i>
    <i r="3">
      <x v="14"/>
      <x v="11"/>
    </i>
    <i r="3">
      <x v="16"/>
      <x v="11"/>
    </i>
    <i r="3">
      <x v="29"/>
      <x v="11"/>
    </i>
    <i r="3">
      <x v="44"/>
      <x v="11"/>
    </i>
    <i>
      <x v="51"/>
      <x v="27"/>
      <x v="7"/>
      <x v="1"/>
      <x v="3"/>
    </i>
    <i r="3">
      <x v="5"/>
      <x v="3"/>
    </i>
    <i r="3">
      <x v="43"/>
      <x v="3"/>
    </i>
    <i>
      <x v="52"/>
      <x v="39"/>
      <x v="44"/>
      <x v="1"/>
      <x v="10"/>
    </i>
    <i r="3">
      <x v="5"/>
      <x v="10"/>
    </i>
    <i r="3">
      <x v="9"/>
      <x v="10"/>
    </i>
    <i r="3">
      <x v="14"/>
      <x v="10"/>
    </i>
    <i r="3">
      <x v="16"/>
      <x v="10"/>
    </i>
    <i r="3">
      <x v="18"/>
      <x v="10"/>
    </i>
    <i r="3">
      <x v="23"/>
      <x v="10"/>
    </i>
    <i>
      <x v="53"/>
      <x v="31"/>
      <x v="20"/>
      <x v="1"/>
      <x v="6"/>
    </i>
    <i r="3">
      <x v="2"/>
      <x v="6"/>
    </i>
    <i r="3">
      <x v="21"/>
      <x v="6"/>
    </i>
    <i r="3">
      <x v="45"/>
      <x v="6"/>
    </i>
    <i r="3">
      <x v="47"/>
      <x v="6"/>
    </i>
    <i r="3">
      <x v="49"/>
      <x v="6"/>
    </i>
    <i>
      <x v="54"/>
      <x v="34"/>
      <x v="51"/>
      <x v="7"/>
      <x v="9"/>
    </i>
    <i r="3">
      <x v="48"/>
      <x v="9"/>
    </i>
    <i>
      <x v="55"/>
      <x v="3"/>
      <x v="7"/>
      <x v="1"/>
      <x v="3"/>
    </i>
    <i r="3">
      <x v="2"/>
      <x v="3"/>
    </i>
    <i r="3">
      <x v="5"/>
      <x v="3"/>
    </i>
    <i r="3">
      <x v="43"/>
      <x v="3"/>
    </i>
    <i>
      <x v="56"/>
      <x v="45"/>
      <x v="22"/>
      <x v="1"/>
      <x v="10"/>
    </i>
    <i r="3">
      <x v="5"/>
      <x v="10"/>
    </i>
    <i r="3">
      <x v="11"/>
      <x v="10"/>
    </i>
    <i r="3">
      <x v="16"/>
      <x v="10"/>
    </i>
    <i r="3">
      <x v="17"/>
      <x v="10"/>
    </i>
    <i r="3">
      <x v="18"/>
      <x v="10"/>
    </i>
    <i r="3">
      <x v="23"/>
      <x v="10"/>
    </i>
    <i>
      <x v="57"/>
      <x v="42"/>
      <x v="40"/>
      <x/>
      <x v="11"/>
    </i>
    <i r="3">
      <x v="1"/>
      <x v="11"/>
    </i>
    <i r="3">
      <x v="2"/>
      <x v="11"/>
    </i>
    <i r="3">
      <x v="5"/>
      <x v="11"/>
    </i>
    <i r="3">
      <x v="9"/>
      <x v="11"/>
    </i>
    <i r="3">
      <x v="12"/>
      <x v="11"/>
    </i>
    <i r="3">
      <x v="14"/>
      <x v="11"/>
    </i>
    <i r="3">
      <x v="23"/>
      <x v="11"/>
    </i>
    <i r="3">
      <x v="34"/>
      <x v="11"/>
    </i>
    <i r="3">
      <x v="38"/>
      <x v="11"/>
    </i>
    <i>
      <x v="58"/>
      <x v="57"/>
      <x v="5"/>
      <x v="1"/>
      <x v="3"/>
    </i>
    <i r="3">
      <x v="2"/>
      <x v="3"/>
    </i>
    <i r="3">
      <x v="5"/>
      <x v="3"/>
    </i>
    <i r="3">
      <x v="16"/>
      <x v="3"/>
    </i>
    <i r="3">
      <x v="18"/>
      <x v="3"/>
    </i>
    <i r="3">
      <x v="19"/>
      <x v="3"/>
    </i>
    <i r="3">
      <x v="23"/>
      <x v="3"/>
    </i>
    <i r="3">
      <x v="32"/>
      <x v="3"/>
    </i>
    <i r="3">
      <x v="44"/>
      <x v="3"/>
    </i>
    <i>
      <x v="59"/>
      <x v="20"/>
      <x v="69"/>
      <x v="1"/>
      <x v="12"/>
    </i>
    <i r="3">
      <x v="26"/>
      <x v="12"/>
    </i>
    <i r="3">
      <x v="27"/>
      <x v="12"/>
    </i>
    <i>
      <x v="60"/>
      <x v="48"/>
      <x v="24"/>
      <x v="5"/>
      <x v="11"/>
    </i>
    <i r="3">
      <x v="39"/>
      <x v="11"/>
    </i>
    <i r="3">
      <x v="44"/>
      <x v="11"/>
    </i>
    <i r="2">
      <x v="32"/>
      <x v="1"/>
      <x v="11"/>
    </i>
    <i r="3">
      <x v="2"/>
      <x v="11"/>
    </i>
    <i r="3">
      <x v="5"/>
      <x v="11"/>
    </i>
    <i r="3">
      <x v="10"/>
      <x v="11"/>
    </i>
    <i r="3">
      <x v="13"/>
      <x v="11"/>
    </i>
    <i r="3">
      <x v="23"/>
      <x v="11"/>
    </i>
    <i>
      <x v="61"/>
      <x v="32"/>
      <x v="66"/>
      <x v="1"/>
      <x v="12"/>
    </i>
    <i r="3">
      <x v="14"/>
      <x v="12"/>
    </i>
    <i r="3">
      <x v="40"/>
      <x v="12"/>
    </i>
    <i r="3">
      <x v="50"/>
      <x v="12"/>
    </i>
    <i>
      <x v="62"/>
      <x v="36"/>
      <x v="69"/>
      <x v="1"/>
      <x v="12"/>
    </i>
    <i r="3">
      <x v="26"/>
      <x v="12"/>
    </i>
    <i r="3">
      <x v="27"/>
      <x v="12"/>
    </i>
    <i>
      <x v="63"/>
      <x v="66"/>
      <x v="63"/>
      <x v="1"/>
      <x v="12"/>
    </i>
    <i r="3">
      <x v="39"/>
      <x v="12"/>
    </i>
    <i r="3">
      <x v="40"/>
      <x v="12"/>
    </i>
    <i>
      <x v="64"/>
      <x v="67"/>
      <x v="63"/>
      <x v="1"/>
      <x v="12"/>
    </i>
    <i r="3">
      <x v="39"/>
      <x v="12"/>
    </i>
    <i r="3">
      <x v="40"/>
      <x v="12"/>
    </i>
    <i>
      <x v="66"/>
      <x v="69"/>
      <x v="4"/>
      <x v="1"/>
      <x v="3"/>
    </i>
    <i r="3">
      <x v="24"/>
      <x v="3"/>
    </i>
    <i r="3">
      <x v="36"/>
      <x v="3"/>
    </i>
    <i r="2">
      <x v="41"/>
      <x v="5"/>
      <x v="3"/>
    </i>
    <i r="3">
      <x v="12"/>
      <x v="3"/>
    </i>
    <i>
      <x v="67"/>
      <x v="70"/>
      <x v="41"/>
      <x v="5"/>
      <x v="3"/>
    </i>
    <i r="3">
      <x v="12"/>
      <x v="3"/>
    </i>
    <i>
      <x v="68"/>
      <x v="65"/>
      <x v="74"/>
      <x v="15"/>
      <x v="13"/>
    </i>
    <i>
      <x v="69"/>
      <x v="71"/>
      <x v="61"/>
      <x v="6"/>
      <x v="7"/>
    </i>
    <i>
      <x v="70"/>
      <x v="72"/>
      <x v="58"/>
      <x v="6"/>
      <x v="2"/>
    </i>
    <i r="2">
      <x v="71"/>
      <x v="6"/>
      <x v="2"/>
    </i>
    <i r="2">
      <x v="84"/>
      <x v="6"/>
      <x v="2"/>
    </i>
    <i>
      <x v="71"/>
      <x v="124"/>
      <x v="42"/>
      <x v="1"/>
      <x v="10"/>
    </i>
    <i r="3">
      <x v="2"/>
      <x v="10"/>
    </i>
    <i r="3">
      <x v="5"/>
      <x v="10"/>
    </i>
    <i r="3">
      <x v="9"/>
      <x v="10"/>
    </i>
    <i r="3">
      <x v="10"/>
      <x v="10"/>
    </i>
    <i r="3">
      <x v="12"/>
      <x v="10"/>
    </i>
    <i r="3">
      <x v="14"/>
      <x v="10"/>
    </i>
    <i r="3">
      <x v="23"/>
      <x v="10"/>
    </i>
    <i r="3">
      <x v="33"/>
      <x v="10"/>
    </i>
    <i r="3">
      <x v="39"/>
      <x v="10"/>
    </i>
    <i>
      <x v="72"/>
      <x v="74"/>
      <x v="6"/>
      <x v="1"/>
      <x v="3"/>
    </i>
    <i r="3">
      <x v="5"/>
      <x v="3"/>
    </i>
    <i r="3">
      <x v="12"/>
      <x v="3"/>
    </i>
    <i r="3">
      <x v="13"/>
      <x v="3"/>
    </i>
    <i r="3">
      <x v="14"/>
      <x v="3"/>
    </i>
    <i r="3">
      <x v="23"/>
      <x v="3"/>
    </i>
    <i r="3">
      <x v="44"/>
      <x v="3"/>
    </i>
    <i>
      <x v="73"/>
      <x v="75"/>
      <x v="6"/>
      <x v="1"/>
      <x v="3"/>
    </i>
    <i r="3">
      <x v="5"/>
      <x v="3"/>
    </i>
    <i r="3">
      <x v="12"/>
      <x v="3"/>
    </i>
    <i r="3">
      <x v="13"/>
      <x v="3"/>
    </i>
    <i r="3">
      <x v="14"/>
      <x v="3"/>
    </i>
    <i r="3">
      <x v="23"/>
      <x v="3"/>
    </i>
    <i r="3">
      <x v="44"/>
      <x v="3"/>
    </i>
    <i>
      <x v="74"/>
      <x v="76"/>
      <x v="16"/>
      <x v="1"/>
      <x v="11"/>
    </i>
    <i r="3">
      <x v="5"/>
      <x v="11"/>
    </i>
    <i r="3">
      <x v="16"/>
      <x v="11"/>
    </i>
    <i r="3">
      <x v="23"/>
      <x v="11"/>
    </i>
    <i r="3">
      <x v="41"/>
      <x v="11"/>
    </i>
    <i r="3">
      <x v="44"/>
      <x v="11"/>
    </i>
    <i r="2">
      <x v="25"/>
      <x v="1"/>
      <x v="11"/>
    </i>
    <i r="3">
      <x v="5"/>
      <x v="11"/>
    </i>
    <i r="3">
      <x v="14"/>
      <x v="11"/>
    </i>
    <i>
      <x v="75"/>
      <x v="77"/>
      <x v="2"/>
      <x v="1"/>
      <x v="11"/>
    </i>
    <i r="3">
      <x v="2"/>
      <x v="11"/>
    </i>
    <i r="3">
      <x v="5"/>
      <x v="11"/>
    </i>
    <i r="3">
      <x v="9"/>
      <x v="11"/>
    </i>
    <i r="3">
      <x v="10"/>
      <x v="11"/>
    </i>
    <i r="3">
      <x v="18"/>
      <x v="11"/>
    </i>
    <i r="3">
      <x v="23"/>
      <x v="11"/>
    </i>
    <i>
      <x v="76"/>
      <x v="78"/>
      <x v="16"/>
      <x v="18"/>
      <x v="11"/>
    </i>
    <i>
      <x v="77"/>
      <x v="79"/>
      <x v="1"/>
      <x v="1"/>
      <x v="11"/>
    </i>
    <i r="3">
      <x v="5"/>
      <x v="11"/>
    </i>
    <i r="3">
      <x v="24"/>
      <x v="11"/>
    </i>
    <i r="3">
      <x v="44"/>
      <x v="11"/>
    </i>
    <i r="2">
      <x v="5"/>
      <x v="5"/>
      <x v="3"/>
    </i>
    <i r="2">
      <x v="8"/>
      <x v="4"/>
      <x v="3"/>
    </i>
    <i r="3">
      <x v="19"/>
      <x v="3"/>
    </i>
    <i r="3">
      <x v="44"/>
      <x v="3"/>
    </i>
    <i r="2">
      <x v="25"/>
      <x v="14"/>
      <x v="11"/>
    </i>
    <i>
      <x v="78"/>
      <x v="80"/>
      <x v="26"/>
      <x v="1"/>
      <x v="11"/>
    </i>
    <i r="3">
      <x v="4"/>
      <x v="11"/>
    </i>
    <i r="3">
      <x v="5"/>
      <x v="11"/>
    </i>
    <i r="3">
      <x v="13"/>
      <x v="11"/>
    </i>
    <i r="3">
      <x v="14"/>
      <x v="11"/>
    </i>
    <i r="3">
      <x v="16"/>
      <x v="11"/>
    </i>
    <i r="3">
      <x v="22"/>
      <x v="11"/>
    </i>
    <i r="3">
      <x v="23"/>
      <x v="11"/>
    </i>
    <i r="3">
      <x v="24"/>
      <x v="11"/>
    </i>
    <i r="3">
      <x v="44"/>
      <x v="11"/>
    </i>
    <i>
      <x v="79"/>
      <x v="81"/>
      <x v="13"/>
      <x v="2"/>
      <x v="11"/>
    </i>
    <i r="3">
      <x v="5"/>
      <x v="11"/>
    </i>
    <i r="3">
      <x v="9"/>
      <x v="11"/>
    </i>
    <i r="3">
      <x v="10"/>
      <x v="11"/>
    </i>
    <i r="3">
      <x v="12"/>
      <x v="11"/>
    </i>
    <i r="3">
      <x v="14"/>
      <x v="11"/>
    </i>
    <i r="3">
      <x v="23"/>
      <x v="11"/>
    </i>
    <i r="3">
      <x v="38"/>
      <x v="11"/>
    </i>
    <i>
      <x v="80"/>
      <x v="82"/>
      <x v="17"/>
      <x v="1"/>
      <x v="11"/>
    </i>
    <i r="3">
      <x v="2"/>
      <x v="11"/>
    </i>
    <i r="3">
      <x v="5"/>
      <x v="11"/>
    </i>
    <i r="3">
      <x v="12"/>
      <x v="11"/>
    </i>
    <i r="3">
      <x v="13"/>
      <x v="11"/>
    </i>
    <i r="3">
      <x v="14"/>
      <x v="11"/>
    </i>
    <i r="3">
      <x v="19"/>
      <x v="11"/>
    </i>
    <i r="3">
      <x v="22"/>
      <x v="11"/>
    </i>
    <i r="3">
      <x v="23"/>
      <x v="11"/>
    </i>
    <i r="3">
      <x v="29"/>
      <x v="11"/>
    </i>
    <i r="3">
      <x v="39"/>
      <x v="11"/>
    </i>
    <i r="3">
      <x v="42"/>
      <x v="11"/>
    </i>
    <i r="3">
      <x v="44"/>
      <x v="11"/>
    </i>
    <i>
      <x v="81"/>
      <x v="83"/>
      <x v="17"/>
      <x v="1"/>
      <x v="11"/>
    </i>
    <i r="3">
      <x v="2"/>
      <x v="11"/>
    </i>
    <i r="3">
      <x v="5"/>
      <x v="11"/>
    </i>
    <i r="3">
      <x v="12"/>
      <x v="11"/>
    </i>
    <i r="3">
      <x v="13"/>
      <x v="11"/>
    </i>
    <i r="3">
      <x v="14"/>
      <x v="11"/>
    </i>
    <i r="3">
      <x v="19"/>
      <x v="11"/>
    </i>
    <i r="3">
      <x v="22"/>
      <x v="11"/>
    </i>
    <i r="3">
      <x v="23"/>
      <x v="11"/>
    </i>
    <i r="3">
      <x v="29"/>
      <x v="11"/>
    </i>
    <i r="3">
      <x v="39"/>
      <x v="11"/>
    </i>
    <i r="3">
      <x v="42"/>
      <x v="11"/>
    </i>
    <i r="3">
      <x v="44"/>
      <x v="11"/>
    </i>
    <i>
      <x v="82"/>
      <x v="85"/>
      <x v="22"/>
      <x v="1"/>
      <x v="10"/>
    </i>
    <i r="3">
      <x v="5"/>
      <x v="10"/>
    </i>
    <i r="3">
      <x v="11"/>
      <x v="10"/>
    </i>
    <i r="3">
      <x v="16"/>
      <x v="10"/>
    </i>
    <i r="3">
      <x v="17"/>
      <x v="10"/>
    </i>
    <i r="3">
      <x v="18"/>
      <x v="10"/>
    </i>
    <i r="3">
      <x v="23"/>
      <x v="10"/>
    </i>
    <i>
      <x v="83"/>
      <x v="86"/>
      <x v="15"/>
      <x v="1"/>
      <x v="11"/>
    </i>
    <i r="3">
      <x v="2"/>
      <x v="11"/>
    </i>
    <i r="3">
      <x v="5"/>
      <x v="11"/>
    </i>
    <i r="3">
      <x v="16"/>
      <x v="11"/>
    </i>
    <i r="3">
      <x v="44"/>
      <x v="11"/>
    </i>
    <i>
      <x v="84"/>
      <x v="87"/>
      <x v="15"/>
      <x v="1"/>
      <x v="11"/>
    </i>
    <i r="3">
      <x v="2"/>
      <x v="11"/>
    </i>
    <i r="3">
      <x v="5"/>
      <x v="11"/>
    </i>
    <i r="3">
      <x v="16"/>
      <x v="11"/>
    </i>
    <i r="3">
      <x v="44"/>
      <x v="11"/>
    </i>
    <i>
      <x v="85"/>
      <x v="88"/>
      <x v="16"/>
      <x v="1"/>
      <x v="11"/>
    </i>
    <i r="3">
      <x v="5"/>
      <x v="11"/>
    </i>
    <i r="3">
      <x v="16"/>
      <x v="11"/>
    </i>
    <i r="3">
      <x v="23"/>
      <x v="11"/>
    </i>
    <i r="3">
      <x v="41"/>
      <x v="11"/>
    </i>
    <i r="3">
      <x v="44"/>
      <x v="11"/>
    </i>
    <i r="2">
      <x v="25"/>
      <x v="1"/>
      <x v="11"/>
    </i>
    <i r="3">
      <x v="5"/>
      <x v="11"/>
    </i>
    <i r="3">
      <x v="14"/>
      <x v="11"/>
    </i>
    <i>
      <x v="86"/>
      <x v="89"/>
      <x v="37"/>
      <x v="1"/>
      <x v="11"/>
    </i>
    <i r="3">
      <x v="5"/>
      <x v="11"/>
    </i>
    <i r="3">
      <x v="9"/>
      <x v="11"/>
    </i>
    <i r="3">
      <x v="14"/>
      <x v="11"/>
    </i>
    <i r="3">
      <x v="23"/>
      <x v="11"/>
    </i>
    <i r="3">
      <x v="38"/>
      <x v="11"/>
    </i>
    <i r="3">
      <x v="41"/>
      <x v="11"/>
    </i>
    <i>
      <x v="87"/>
      <x v="90"/>
      <x v="1"/>
      <x v="1"/>
      <x v="11"/>
    </i>
    <i r="3">
      <x v="2"/>
      <x v="11"/>
    </i>
    <i r="3">
      <x v="5"/>
      <x v="11"/>
    </i>
    <i r="3">
      <x v="10"/>
      <x v="11"/>
    </i>
    <i r="3">
      <x v="16"/>
      <x v="11"/>
    </i>
    <i r="3">
      <x v="28"/>
      <x v="11"/>
    </i>
    <i r="3">
      <x v="42"/>
      <x v="11"/>
    </i>
    <i r="2">
      <x v="28"/>
      <x v="2"/>
      <x v="10"/>
    </i>
    <i r="3">
      <x v="4"/>
      <x v="10"/>
    </i>
    <i r="3">
      <x v="5"/>
      <x v="10"/>
    </i>
    <i r="3">
      <x v="14"/>
      <x v="10"/>
    </i>
    <i r="3">
      <x v="18"/>
      <x v="10"/>
    </i>
    <i r="3">
      <x v="23"/>
      <x v="10"/>
    </i>
    <i r="3">
      <x v="27"/>
      <x v="10"/>
    </i>
    <i>
      <x v="88"/>
      <x v="91"/>
      <x v="1"/>
      <x v="1"/>
      <x v="11"/>
    </i>
    <i r="3">
      <x v="2"/>
      <x v="11"/>
    </i>
    <i r="3">
      <x v="5"/>
      <x v="11"/>
    </i>
    <i r="3">
      <x v="10"/>
      <x v="11"/>
    </i>
    <i r="3">
      <x v="16"/>
      <x v="11"/>
    </i>
    <i r="3">
      <x v="28"/>
      <x v="11"/>
    </i>
    <i r="3">
      <x v="42"/>
      <x v="11"/>
    </i>
    <i r="2">
      <x v="28"/>
      <x v="2"/>
      <x v="10"/>
    </i>
    <i r="3">
      <x v="4"/>
      <x v="10"/>
    </i>
    <i r="3">
      <x v="5"/>
      <x v="10"/>
    </i>
    <i r="3">
      <x v="14"/>
      <x v="10"/>
    </i>
    <i r="3">
      <x v="18"/>
      <x v="10"/>
    </i>
    <i r="3">
      <x v="23"/>
      <x v="10"/>
    </i>
    <i r="3">
      <x v="27"/>
      <x v="10"/>
    </i>
    <i>
      <x v="89"/>
      <x v="92"/>
      <x v="14"/>
      <x v="1"/>
      <x v="11"/>
    </i>
    <i r="3">
      <x v="2"/>
      <x v="11"/>
    </i>
    <i r="3">
      <x v="5"/>
      <x v="11"/>
    </i>
    <i r="3">
      <x v="12"/>
      <x v="11"/>
    </i>
    <i r="3">
      <x v="13"/>
      <x v="11"/>
    </i>
    <i r="3">
      <x v="14"/>
      <x v="11"/>
    </i>
    <i r="3">
      <x v="16"/>
      <x v="11"/>
    </i>
    <i r="3">
      <x v="19"/>
      <x v="11"/>
    </i>
    <i r="2">
      <x v="33"/>
      <x v="5"/>
      <x v="11"/>
    </i>
    <i r="3">
      <x v="23"/>
      <x v="11"/>
    </i>
    <i r="3">
      <x v="43"/>
      <x v="11"/>
    </i>
    <i>
      <x v="90"/>
      <x v="93"/>
      <x v="14"/>
      <x v="1"/>
      <x v="11"/>
    </i>
    <i r="3">
      <x v="2"/>
      <x v="11"/>
    </i>
    <i r="3">
      <x v="5"/>
      <x v="11"/>
    </i>
    <i r="3">
      <x v="12"/>
      <x v="11"/>
    </i>
    <i r="3">
      <x v="13"/>
      <x v="11"/>
    </i>
    <i r="3">
      <x v="14"/>
      <x v="11"/>
    </i>
    <i r="3">
      <x v="16"/>
      <x v="11"/>
    </i>
    <i r="3">
      <x v="19"/>
      <x v="11"/>
    </i>
    <i r="3">
      <x v="23"/>
      <x v="11"/>
    </i>
    <i>
      <x v="91"/>
      <x v="94"/>
      <x v="44"/>
      <x v="1"/>
      <x v="10"/>
    </i>
    <i r="3">
      <x v="5"/>
      <x v="10"/>
    </i>
    <i r="3">
      <x v="9"/>
      <x v="10"/>
    </i>
    <i r="3">
      <x v="14"/>
      <x v="10"/>
    </i>
    <i r="3">
      <x v="16"/>
      <x v="10"/>
    </i>
    <i r="3">
      <x v="18"/>
      <x v="10"/>
    </i>
    <i r="3">
      <x v="23"/>
      <x v="10"/>
    </i>
    <i>
      <x v="92"/>
      <x v="95"/>
      <x v="72"/>
      <x v="43"/>
      <x v="6"/>
    </i>
    <i r="3">
      <x v="46"/>
      <x v="6"/>
    </i>
    <i r="3">
      <x v="47"/>
      <x v="6"/>
    </i>
    <i>
      <x v="93"/>
      <x v="96"/>
      <x v="39"/>
      <x v="1"/>
      <x v="4"/>
    </i>
    <i r="3">
      <x v="2"/>
      <x v="4"/>
    </i>
    <i r="3">
      <x v="8"/>
      <x v="4"/>
    </i>
    <i r="3">
      <x v="10"/>
      <x v="4"/>
    </i>
    <i r="3">
      <x v="13"/>
      <x v="4"/>
    </i>
    <i r="3">
      <x v="42"/>
      <x v="4"/>
    </i>
    <i r="3">
      <x v="49"/>
      <x v="4"/>
    </i>
    <i>
      <x v="94"/>
      <x v="97"/>
      <x v="48"/>
      <x v="7"/>
      <x v="9"/>
    </i>
    <i r="3">
      <x v="48"/>
      <x v="9"/>
    </i>
    <i r="2">
      <x v="83"/>
      <x v="48"/>
      <x v="14"/>
    </i>
    <i>
      <x v="95"/>
      <x v="98"/>
      <x v="63"/>
      <x v="18"/>
      <x v="12"/>
    </i>
    <i r="3">
      <x v="48"/>
      <x v="12"/>
    </i>
    <i r="2">
      <x v="67"/>
      <x v="18"/>
      <x v="12"/>
    </i>
    <i r="3">
      <x v="40"/>
      <x v="12"/>
    </i>
    <i>
      <x v="96"/>
      <x v="99"/>
      <x v="13"/>
      <x v="2"/>
      <x v="11"/>
    </i>
    <i r="3">
      <x v="5"/>
      <x v="11"/>
    </i>
    <i r="3">
      <x v="9"/>
      <x v="11"/>
    </i>
    <i r="3">
      <x v="10"/>
      <x v="11"/>
    </i>
    <i r="3">
      <x v="12"/>
      <x v="11"/>
    </i>
    <i r="3">
      <x v="14"/>
      <x v="11"/>
    </i>
    <i r="3">
      <x v="23"/>
      <x v="11"/>
    </i>
    <i r="3">
      <x v="38"/>
      <x v="11"/>
    </i>
    <i>
      <x v="97"/>
      <x v="84"/>
      <x v="16"/>
      <x v="18"/>
      <x v="11"/>
    </i>
    <i>
      <x v="98"/>
      <x v="100"/>
      <x v="18"/>
      <x v="1"/>
      <x v="10"/>
    </i>
    <i r="3">
      <x v="4"/>
      <x v="10"/>
    </i>
    <i r="3">
      <x v="5"/>
      <x v="10"/>
    </i>
    <i r="3">
      <x v="9"/>
      <x v="10"/>
    </i>
    <i r="3">
      <x v="12"/>
      <x v="10"/>
    </i>
    <i r="3">
      <x v="23"/>
      <x v="10"/>
    </i>
    <i r="3">
      <x v="38"/>
      <x v="10"/>
    </i>
    <i>
      <x v="99"/>
      <x v="101"/>
      <x v="26"/>
      <x v="1"/>
      <x v="11"/>
    </i>
    <i r="3">
      <x v="4"/>
      <x v="11"/>
    </i>
    <i r="3">
      <x v="5"/>
      <x v="11"/>
    </i>
    <i r="3">
      <x v="13"/>
      <x v="11"/>
    </i>
    <i r="3">
      <x v="14"/>
      <x v="11"/>
    </i>
    <i r="3">
      <x v="16"/>
      <x v="11"/>
    </i>
    <i r="3">
      <x v="22"/>
      <x v="11"/>
    </i>
    <i r="3">
      <x v="23"/>
      <x v="11"/>
    </i>
    <i r="3">
      <x v="24"/>
      <x v="11"/>
    </i>
    <i r="3">
      <x v="44"/>
      <x v="11"/>
    </i>
    <i>
      <x v="100"/>
      <x v="102"/>
      <x v="8"/>
      <x v="1"/>
      <x v="3"/>
    </i>
    <i r="3">
      <x v="5"/>
      <x v="3"/>
    </i>
    <i r="3">
      <x v="12"/>
      <x v="3"/>
    </i>
    <i r="3">
      <x v="18"/>
      <x v="3"/>
    </i>
    <i>
      <x v="101"/>
      <x v="103"/>
      <x v="8"/>
      <x v="1"/>
      <x v="3"/>
    </i>
    <i r="3">
      <x v="5"/>
      <x v="3"/>
    </i>
    <i r="3">
      <x v="12"/>
      <x v="3"/>
    </i>
    <i r="3">
      <x v="18"/>
      <x v="3"/>
    </i>
    <i>
      <x v="102"/>
      <x v="104"/>
      <x v="3"/>
      <x v="1"/>
      <x v="3"/>
    </i>
    <i r="3">
      <x v="2"/>
      <x v="3"/>
    </i>
    <i r="3">
      <x v="4"/>
      <x v="3"/>
    </i>
    <i r="3">
      <x v="5"/>
      <x v="3"/>
    </i>
    <i r="3">
      <x v="12"/>
      <x v="3"/>
    </i>
    <i r="3">
      <x v="13"/>
      <x v="3"/>
    </i>
    <i r="3">
      <x v="14"/>
      <x v="3"/>
    </i>
    <i r="3">
      <x v="21"/>
      <x v="3"/>
    </i>
    <i r="3">
      <x v="23"/>
      <x v="3"/>
    </i>
    <i>
      <x v="103"/>
      <x v="123"/>
      <x v="27"/>
      <x v="48"/>
      <x v="4"/>
    </i>
    <i r="2">
      <x v="52"/>
      <x v="48"/>
      <x v="11"/>
    </i>
    <i r="2">
      <x v="53"/>
      <x v="7"/>
      <x v="9"/>
    </i>
    <i r="2">
      <x v="60"/>
      <x v="48"/>
      <x v="3"/>
    </i>
    <i r="2">
      <x v="75"/>
      <x v="1"/>
      <x v="14"/>
    </i>
    <i r="3">
      <x v="2"/>
      <x v="14"/>
    </i>
    <i r="3">
      <x v="14"/>
      <x v="14"/>
    </i>
    <i r="3">
      <x v="25"/>
      <x v="14"/>
    </i>
    <i r="3">
      <x v="42"/>
      <x v="14"/>
    </i>
    <i r="3">
      <x v="45"/>
      <x v="14"/>
    </i>
    <i r="2">
      <x v="83"/>
      <x v="48"/>
      <x v="14"/>
    </i>
    <i>
      <x v="104"/>
      <x v="106"/>
      <x v="27"/>
      <x v="7"/>
      <x v="4"/>
    </i>
    <i r="3">
      <x v="48"/>
      <x v="4"/>
    </i>
    <i r="3">
      <x v="49"/>
      <x v="4"/>
    </i>
    <i r="2">
      <x v="48"/>
      <x v="48"/>
      <x v="9"/>
    </i>
    <i r="2">
      <x v="83"/>
      <x v="48"/>
      <x v="14"/>
    </i>
    <i>
      <x v="105"/>
      <x v="107"/>
      <x v="4"/>
      <x v="5"/>
      <x v="3"/>
    </i>
    <i r="3">
      <x v="23"/>
      <x v="3"/>
    </i>
    <i r="3">
      <x v="44"/>
      <x v="3"/>
    </i>
    <i r="2">
      <x v="28"/>
      <x v="2"/>
      <x v="10"/>
    </i>
    <i r="3">
      <x v="5"/>
      <x v="10"/>
    </i>
    <i r="3">
      <x v="10"/>
      <x v="10"/>
    </i>
    <i r="3">
      <x v="23"/>
      <x v="10"/>
    </i>
    <i>
      <x v="106"/>
      <x v="108"/>
      <x v="30"/>
      <x v="43"/>
      <x v="6"/>
    </i>
    <i r="3">
      <x v="46"/>
      <x v="6"/>
    </i>
    <i r="3">
      <x v="47"/>
      <x v="6"/>
    </i>
    <i>
      <x v="107"/>
      <x v="109"/>
      <x v="10"/>
      <x v="1"/>
      <x v="11"/>
    </i>
    <i r="3">
      <x v="2"/>
      <x v="11"/>
    </i>
    <i r="3">
      <x v="5"/>
      <x v="11"/>
    </i>
    <i r="3">
      <x v="8"/>
      <x v="11"/>
    </i>
    <i r="3">
      <x v="10"/>
      <x v="11"/>
    </i>
    <i r="3">
      <x v="13"/>
      <x v="11"/>
    </i>
    <i r="3">
      <x v="14"/>
      <x v="11"/>
    </i>
    <i r="3">
      <x v="19"/>
      <x v="11"/>
    </i>
    <i r="3">
      <x v="23"/>
      <x v="11"/>
    </i>
    <i r="3">
      <x v="43"/>
      <x v="11"/>
    </i>
    <i>
      <x v="108"/>
      <x v="111"/>
      <x v="35"/>
      <x v="1"/>
      <x v="5"/>
    </i>
    <i r="3">
      <x v="10"/>
      <x v="5"/>
    </i>
    <i r="3">
      <x v="23"/>
      <x v="5"/>
    </i>
    <i r="3">
      <x v="45"/>
      <x v="5"/>
    </i>
    <i r="3">
      <x v="47"/>
      <x v="5"/>
    </i>
    <i r="3">
      <x v="49"/>
      <x v="5"/>
    </i>
    <i>
      <x v="109"/>
      <x v="112"/>
      <x v="34"/>
      <x v="7"/>
      <x v="5"/>
    </i>
    <i r="3">
      <x v="18"/>
      <x v="5"/>
    </i>
    <i r="3">
      <x v="48"/>
      <x v="5"/>
    </i>
    <i r="3">
      <x v="49"/>
      <x v="5"/>
    </i>
    <i>
      <x v="110"/>
      <x v="113"/>
      <x v="49"/>
      <x v="7"/>
      <x v="9"/>
    </i>
    <i r="3">
      <x v="48"/>
      <x v="9"/>
    </i>
    <i r="2">
      <x v="53"/>
      <x v="7"/>
      <x v="9"/>
    </i>
    <i>
      <x v="111"/>
      <x/>
      <x v="1"/>
      <x v="1"/>
      <x v="11"/>
    </i>
    <i r="3">
      <x v="5"/>
      <x v="11"/>
    </i>
    <i r="3">
      <x v="24"/>
      <x v="11"/>
    </i>
    <i r="3">
      <x v="44"/>
      <x v="11"/>
    </i>
    <i r="2">
      <x v="25"/>
      <x v="14"/>
      <x v="11"/>
    </i>
    <i>
      <x v="112"/>
      <x v="121"/>
      <x v="4"/>
      <x v="1"/>
      <x v="3"/>
    </i>
    <i r="3">
      <x v="24"/>
      <x v="3"/>
    </i>
    <i r="3">
      <x v="36"/>
      <x v="3"/>
    </i>
    <i r="2">
      <x v="5"/>
      <x v="2"/>
      <x v="3"/>
    </i>
    <i r="3">
      <x v="5"/>
      <x v="3"/>
    </i>
    <i r="3">
      <x v="19"/>
      <x v="3"/>
    </i>
    <i r="3">
      <x v="23"/>
      <x v="3"/>
    </i>
    <i r="3">
      <x v="32"/>
      <x v="3"/>
    </i>
    <i r="3">
      <x v="44"/>
      <x v="3"/>
    </i>
    <i>
      <x v="113"/>
      <x v="25"/>
      <x v="65"/>
      <x v="14"/>
      <x v="12"/>
    </i>
    <i r="3">
      <x v="18"/>
      <x v="12"/>
    </i>
    <i r="3">
      <x v="26"/>
      <x v="12"/>
    </i>
    <i r="3">
      <x v="27"/>
      <x v="12"/>
    </i>
    <i>
      <x v="114"/>
      <x v="23"/>
      <x v="11"/>
      <x v="18"/>
      <x v="12"/>
    </i>
    <i r="3">
      <x v="26"/>
      <x v="12"/>
    </i>
    <i r="3">
      <x v="48"/>
      <x v="12"/>
    </i>
    <i>
      <x v="115"/>
      <x v="24"/>
      <x v="11"/>
      <x v="18"/>
      <x v="12"/>
    </i>
    <i r="3">
      <x v="26"/>
      <x v="12"/>
    </i>
    <i r="3">
      <x v="48"/>
      <x v="12"/>
    </i>
    <i>
      <x v="116"/>
      <x/>
      <x v="5"/>
      <x v="1"/>
      <x v="3"/>
    </i>
    <i r="3">
      <x v="5"/>
      <x v="3"/>
    </i>
    <i r="3">
      <x v="16"/>
      <x v="3"/>
    </i>
    <i>
      <x v="117"/>
      <x v="114"/>
      <x v="40"/>
      <x v="1"/>
      <x v="11"/>
    </i>
    <i r="3">
      <x v="2"/>
      <x v="11"/>
    </i>
    <i r="3">
      <x v="5"/>
      <x v="11"/>
    </i>
    <i r="3">
      <x v="14"/>
      <x v="11"/>
    </i>
    <i r="3">
      <x v="23"/>
      <x v="11"/>
    </i>
    <i r="3">
      <x v="34"/>
      <x v="11"/>
    </i>
    <i>
      <x v="118"/>
      <x v="115"/>
      <x v="7"/>
      <x v="1"/>
      <x v="3"/>
    </i>
    <i r="3">
      <x v="2"/>
      <x v="3"/>
    </i>
    <i r="3">
      <x v="5"/>
      <x v="3"/>
    </i>
    <i r="3">
      <x v="9"/>
      <x v="3"/>
    </i>
    <i r="3">
      <x v="18"/>
      <x v="3"/>
    </i>
    <i>
      <x v="119"/>
      <x v="116"/>
      <x v="7"/>
      <x v="5"/>
      <x v="3"/>
    </i>
    <i r="3">
      <x v="9"/>
      <x v="3"/>
    </i>
    <i r="3">
      <x v="18"/>
      <x v="3"/>
    </i>
    <i>
      <x v="120"/>
      <x v="117"/>
      <x v="47"/>
      <x v="2"/>
      <x v="14"/>
    </i>
    <i r="3">
      <x v="9"/>
      <x v="14"/>
    </i>
    <i r="3">
      <x v="23"/>
      <x v="14"/>
    </i>
    <i r="3">
      <x v="37"/>
      <x v="14"/>
    </i>
    <i r="2">
      <x v="77"/>
      <x v="1"/>
      <x v="14"/>
    </i>
    <i r="3">
      <x v="23"/>
      <x v="14"/>
    </i>
    <i>
      <x v="123"/>
      <x v="118"/>
      <x v="45"/>
      <x v="19"/>
      <x v="8"/>
    </i>
    <i r="3">
      <x v="23"/>
      <x v="8"/>
    </i>
    <i r="2">
      <x v="46"/>
      <x v="9"/>
      <x v="2"/>
    </i>
    <i>
      <x v="128"/>
      <x v="119"/>
      <x v="43"/>
      <x v="23"/>
      <x v="10"/>
    </i>
    <i>
      <x v="129"/>
      <x/>
      <x v="14"/>
      <x v="23"/>
      <x v="11"/>
    </i>
    <i>
      <x v="130"/>
      <x v="120"/>
      <x v="8"/>
      <x v="4"/>
      <x v="3"/>
    </i>
    <i r="3">
      <x v="19"/>
      <x v="3"/>
    </i>
    <i r="3">
      <x v="44"/>
      <x v="3"/>
    </i>
    <i>
      <x v="131"/>
      <x v="110"/>
      <x v="19"/>
      <x v="43"/>
      <x v="6"/>
    </i>
    <i r="3">
      <x v="46"/>
      <x v="6"/>
    </i>
    <i>
      <x v="132"/>
      <x/>
      <x v="78"/>
      <x v="37"/>
      <x/>
    </i>
    <i r="2">
      <x v="79"/>
      <x v="37"/>
      <x/>
    </i>
    <i r="2">
      <x v="80"/>
      <x v="9"/>
      <x/>
    </i>
    <i r="2">
      <x v="81"/>
      <x v="39"/>
      <x/>
    </i>
    <i r="2">
      <x v="82"/>
      <x v="39"/>
      <x/>
    </i>
    <i>
      <x v="133"/>
      <x v="122"/>
      <x v="42"/>
      <x v="1"/>
      <x v="10"/>
    </i>
    <i r="3">
      <x v="2"/>
      <x v="10"/>
    </i>
    <i r="3">
      <x v="5"/>
      <x v="10"/>
    </i>
    <i r="3">
      <x v="9"/>
      <x v="10"/>
    </i>
    <i r="3">
      <x v="10"/>
      <x v="10"/>
    </i>
    <i r="3">
      <x v="12"/>
      <x v="10"/>
    </i>
    <i r="3">
      <x v="14"/>
      <x v="10"/>
    </i>
    <i r="3">
      <x v="23"/>
      <x v="10"/>
    </i>
    <i r="3">
      <x v="33"/>
      <x v="10"/>
    </i>
    <i r="3">
      <x v="39"/>
      <x v="10"/>
    </i>
    <i>
      <x v="134"/>
      <x v="68"/>
      <x v="29"/>
      <x v="48"/>
      <x v="7"/>
    </i>
    <i r="3">
      <x v="49"/>
      <x v="7"/>
    </i>
    <i r="2">
      <x v="48"/>
      <x v="48"/>
      <x v="9"/>
    </i>
    <i t="grand">
      <x/>
    </i>
  </rowItems>
  <colItems count="1">
    <i/>
  </colItems>
  <dataFields count="1">
    <dataField name="Sum of DT tính lương lái xe" fld="14" baseField="0" baseItem="0" numFmtId="181"/>
  </dataFields>
  <formats count="211">
    <format dxfId="0">
      <pivotArea type="all" dataOnly="0" outline="0" fieldPosition="0"/>
    </format>
    <format dxfId="1">
      <pivotArea outline="0" collapsedLevelsAreSubtotals="1" fieldPosition="0"/>
    </format>
    <format dxfId="2">
      <pivotArea field="9" type="button" dataOnly="0" labelOnly="1" outline="0" fieldPosition="0"/>
    </format>
    <format dxfId="3">
      <pivotArea field="15" type="button" dataOnly="0" labelOnly="1" outline="0" fieldPosition="0"/>
    </format>
    <format dxfId="4">
      <pivotArea field="8" type="button" dataOnly="0" labelOnly="1" outline="0" fieldPosition="0"/>
    </format>
    <format dxfId="5">
      <pivotArea field="3" type="button" dataOnly="0" labelOnly="1" outline="0" fieldPosition="0"/>
    </format>
    <format dxfId="6">
      <pivotArea field="16" type="button" dataOnly="0" labelOnly="1" outline="0" fieldPosition="0"/>
    </format>
    <format dxfId="7">
      <pivotArea dataOnly="0" labelOnly="1" fieldPosition="0">
        <references count="1">
          <reference field="9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8">
      <pivotArea dataOnly="0" labelOnly="1" fieldPosition="0">
        <references count="1">
          <reference field="9" count="19"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9">
      <pivotArea dataOnly="0" labelOnly="1" fieldPosition="0">
        <references count="1">
          <reference field="9" count="15"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</reference>
        </references>
      </pivotArea>
    </format>
    <format dxfId="10">
      <pivotArea dataOnly="0" labelOnly="1" grandRow="1" outline="0" fieldPosition="0"/>
    </format>
    <format dxfId="11">
      <pivotArea dataOnly="0" labelOnly="1" fieldPosition="0">
        <references count="2">
          <reference field="9" count="1" selected="0">
            <x v="0"/>
          </reference>
          <reference field="15" count="1">
            <x v="60"/>
          </reference>
        </references>
      </pivotArea>
    </format>
    <format dxfId="12">
      <pivotArea dataOnly="0" labelOnly="1" fieldPosition="0">
        <references count="2">
          <reference field="9" count="1" selected="0">
            <x v="1"/>
          </reference>
          <reference field="15" count="1">
            <x v="54"/>
          </reference>
        </references>
      </pivotArea>
    </format>
    <format dxfId="13">
      <pivotArea dataOnly="0" labelOnly="1" fieldPosition="0">
        <references count="2">
          <reference field="9" count="1" selected="0">
            <x v="2"/>
          </reference>
          <reference field="15" count="1">
            <x v="33"/>
          </reference>
        </references>
      </pivotArea>
    </format>
    <format dxfId="14">
      <pivotArea dataOnly="0" labelOnly="1" fieldPosition="0">
        <references count="2">
          <reference field="9" count="1" selected="0">
            <x v="3"/>
          </reference>
          <reference field="15" count="1">
            <x v="46"/>
          </reference>
        </references>
      </pivotArea>
    </format>
    <format dxfId="15">
      <pivotArea dataOnly="0" labelOnly="1" fieldPosition="0">
        <references count="2">
          <reference field="9" count="1" selected="0">
            <x v="4"/>
          </reference>
          <reference field="15" count="1">
            <x v="58"/>
          </reference>
        </references>
      </pivotArea>
    </format>
    <format dxfId="16">
      <pivotArea dataOnly="0" labelOnly="1" fieldPosition="0">
        <references count="2">
          <reference field="9" count="1" selected="0">
            <x v="5"/>
          </reference>
          <reference field="15" count="1">
            <x v="22"/>
          </reference>
        </references>
      </pivotArea>
    </format>
    <format dxfId="17">
      <pivotArea dataOnly="0" labelOnly="1" fieldPosition="0">
        <references count="2">
          <reference field="9" count="1" selected="0">
            <x v="6"/>
          </reference>
          <reference field="15" count="1">
            <x v="6"/>
          </reference>
        </references>
      </pivotArea>
    </format>
    <format dxfId="18">
      <pivotArea dataOnly="0" labelOnly="1" fieldPosition="0">
        <references count="2">
          <reference field="9" count="1" selected="0">
            <x v="7"/>
          </reference>
          <reference field="15" count="1">
            <x v="26"/>
          </reference>
        </references>
      </pivotArea>
    </format>
    <format dxfId="19">
      <pivotArea dataOnly="0" labelOnly="1" fieldPosition="0">
        <references count="2">
          <reference field="9" count="1" selected="0">
            <x v="8"/>
          </reference>
          <reference field="15" count="1">
            <x v="16"/>
          </reference>
        </references>
      </pivotArea>
    </format>
    <format dxfId="20">
      <pivotArea dataOnly="0" labelOnly="1" fieldPosition="0">
        <references count="2">
          <reference field="9" count="1" selected="0">
            <x v="9"/>
          </reference>
          <reference field="15" count="1">
            <x v="15"/>
          </reference>
        </references>
      </pivotArea>
    </format>
    <format dxfId="21">
      <pivotArea dataOnly="0" labelOnly="1" fieldPosition="0">
        <references count="2">
          <reference field="9" count="1" selected="0">
            <x v="10"/>
          </reference>
          <reference field="15" count="1">
            <x v="10"/>
          </reference>
        </references>
      </pivotArea>
    </format>
    <format dxfId="22">
      <pivotArea dataOnly="0" labelOnly="1" fieldPosition="0">
        <references count="2">
          <reference field="9" count="1" selected="0">
            <x v="11"/>
          </reference>
          <reference field="15" count="1">
            <x v="23"/>
          </reference>
        </references>
      </pivotArea>
    </format>
    <format dxfId="23">
      <pivotArea dataOnly="0" labelOnly="1" fieldPosition="0">
        <references count="2">
          <reference field="9" count="1" selected="0">
            <x v="12"/>
          </reference>
          <reference field="15" count="1">
            <x v="24"/>
          </reference>
        </references>
      </pivotArea>
    </format>
    <format dxfId="24">
      <pivotArea dataOnly="0" labelOnly="1" fieldPosition="0">
        <references count="2">
          <reference field="9" count="1" selected="0">
            <x v="13"/>
          </reference>
          <reference field="15" count="1">
            <x v="7"/>
          </reference>
        </references>
      </pivotArea>
    </format>
    <format dxfId="25">
      <pivotArea dataOnly="0" labelOnly="1" fieldPosition="0">
        <references count="2">
          <reference field="9" count="1" selected="0">
            <x v="14"/>
          </reference>
          <reference field="15" count="1">
            <x v="9"/>
          </reference>
        </references>
      </pivotArea>
    </format>
    <format dxfId="26">
      <pivotArea dataOnly="0" labelOnly="1" fieldPosition="0">
        <references count="2">
          <reference field="9" count="1" selected="0">
            <x v="15"/>
          </reference>
          <reference field="15" count="1">
            <x v="64"/>
          </reference>
        </references>
      </pivotArea>
    </format>
    <format dxfId="27">
      <pivotArea dataOnly="0" labelOnly="1" fieldPosition="0">
        <references count="2">
          <reference field="9" count="1" selected="0">
            <x v="16"/>
          </reference>
          <reference field="15" count="1">
            <x v="18"/>
          </reference>
        </references>
      </pivotArea>
    </format>
    <format dxfId="28">
      <pivotArea dataOnly="0" labelOnly="1" fieldPosition="0">
        <references count="2">
          <reference field="9" count="1" selected="0">
            <x v="17"/>
          </reference>
          <reference field="15" count="1">
            <x v="56"/>
          </reference>
        </references>
      </pivotArea>
    </format>
    <format dxfId="29">
      <pivotArea dataOnly="0" labelOnly="1" fieldPosition="0">
        <references count="2">
          <reference field="9" count="1" selected="0">
            <x v="18"/>
          </reference>
          <reference field="15" count="1">
            <x v="62"/>
          </reference>
        </references>
      </pivotArea>
    </format>
    <format dxfId="30">
      <pivotArea dataOnly="0" labelOnly="1" fieldPosition="0">
        <references count="2">
          <reference field="9" count="1" selected="0">
            <x v="19"/>
          </reference>
          <reference field="15" count="1">
            <x v="13"/>
          </reference>
        </references>
      </pivotArea>
    </format>
    <format dxfId="31">
      <pivotArea dataOnly="0" labelOnly="1" fieldPosition="0">
        <references count="2">
          <reference field="9" count="1" selected="0">
            <x v="20"/>
          </reference>
          <reference field="15" count="1">
            <x v="40"/>
          </reference>
        </references>
      </pivotArea>
    </format>
    <format dxfId="32">
      <pivotArea dataOnly="0" labelOnly="1" fieldPosition="0">
        <references count="2">
          <reference field="9" count="1" selected="0">
            <x v="21"/>
          </reference>
          <reference field="15" count="1">
            <x v="1"/>
          </reference>
        </references>
      </pivotArea>
    </format>
    <format dxfId="33">
      <pivotArea dataOnly="0" labelOnly="1" fieldPosition="0">
        <references count="2">
          <reference field="9" count="1" selected="0">
            <x v="22"/>
          </reference>
          <reference field="15" count="1">
            <x v="63"/>
          </reference>
        </references>
      </pivotArea>
    </format>
    <format dxfId="34">
      <pivotArea dataOnly="0" labelOnly="1" fieldPosition="0">
        <references count="2">
          <reference field="9" count="1" selected="0">
            <x v="23"/>
          </reference>
          <reference field="15" count="1">
            <x v="50"/>
          </reference>
        </references>
      </pivotArea>
    </format>
    <format dxfId="35">
      <pivotArea dataOnly="0" labelOnly="1" fieldPosition="0">
        <references count="2">
          <reference field="9" count="1" selected="0">
            <x v="24"/>
          </reference>
          <reference field="15" count="1">
            <x v="37"/>
          </reference>
        </references>
      </pivotArea>
    </format>
    <format dxfId="36">
      <pivotArea dataOnly="0" labelOnly="1" fieldPosition="0">
        <references count="2">
          <reference field="9" count="1" selected="0">
            <x v="25"/>
          </reference>
          <reference field="15" count="1">
            <x v="4"/>
          </reference>
        </references>
      </pivotArea>
    </format>
    <format dxfId="37">
      <pivotArea dataOnly="0" labelOnly="1" fieldPosition="0">
        <references count="2">
          <reference field="9" count="1" selected="0">
            <x v="26"/>
          </reference>
          <reference field="15" count="1">
            <x v="29"/>
          </reference>
        </references>
      </pivotArea>
    </format>
    <format dxfId="38">
      <pivotArea dataOnly="0" labelOnly="1" fieldPosition="0">
        <references count="2">
          <reference field="9" count="1" selected="0">
            <x v="27"/>
          </reference>
          <reference field="15" count="1">
            <x v="12"/>
          </reference>
        </references>
      </pivotArea>
    </format>
    <format dxfId="39">
      <pivotArea dataOnly="0" labelOnly="1" fieldPosition="0">
        <references count="2">
          <reference field="9" count="1" selected="0">
            <x v="28"/>
          </reference>
          <reference field="15" count="1">
            <x v="59"/>
          </reference>
        </references>
      </pivotArea>
    </format>
    <format dxfId="40">
      <pivotArea dataOnly="0" labelOnly="1" fieldPosition="0">
        <references count="2">
          <reference field="9" count="1" selected="0">
            <x v="29"/>
          </reference>
          <reference field="15" count="1">
            <x v="52"/>
          </reference>
        </references>
      </pivotArea>
    </format>
    <format dxfId="41">
      <pivotArea dataOnly="0" labelOnly="1" fieldPosition="0">
        <references count="2">
          <reference field="9" count="1" selected="0">
            <x v="30"/>
          </reference>
          <reference field="15" count="1">
            <x v="53"/>
          </reference>
        </references>
      </pivotArea>
    </format>
    <format dxfId="42">
      <pivotArea dataOnly="0" labelOnly="1" fieldPosition="0">
        <references count="2">
          <reference field="9" count="1" selected="0">
            <x v="31"/>
          </reference>
          <reference field="15" count="1">
            <x v="47"/>
          </reference>
        </references>
      </pivotArea>
    </format>
    <format dxfId="43">
      <pivotArea dataOnly="0" labelOnly="1" fieldPosition="0">
        <references count="2">
          <reference field="9" count="1" selected="0">
            <x v="32"/>
          </reference>
          <reference field="15" count="1">
            <x v="5"/>
          </reference>
        </references>
      </pivotArea>
    </format>
    <format dxfId="44">
      <pivotArea dataOnly="0" labelOnly="1" fieldPosition="0">
        <references count="2">
          <reference field="9" count="1" selected="0">
            <x v="33"/>
          </reference>
          <reference field="15" count="1">
            <x v="51"/>
          </reference>
        </references>
      </pivotArea>
    </format>
    <format dxfId="45">
      <pivotArea dataOnly="0" labelOnly="1" fieldPosition="0">
        <references count="2">
          <reference field="9" count="1" selected="0">
            <x v="34"/>
          </reference>
          <reference field="15" count="1">
            <x v="35"/>
          </reference>
        </references>
      </pivotArea>
    </format>
    <format dxfId="46">
      <pivotArea dataOnly="0" labelOnly="1" fieldPosition="0">
        <references count="2">
          <reference field="9" count="1" selected="0">
            <x v="35"/>
          </reference>
          <reference field="15" count="1">
            <x v="8"/>
          </reference>
        </references>
      </pivotArea>
    </format>
    <format dxfId="47">
      <pivotArea dataOnly="0" labelOnly="1" fieldPosition="0">
        <references count="2">
          <reference field="9" count="1" selected="0">
            <x v="36"/>
          </reference>
          <reference field="15" count="1">
            <x v="11"/>
          </reference>
        </references>
      </pivotArea>
    </format>
    <format dxfId="48">
      <pivotArea dataOnly="0" labelOnly="1" fieldPosition="0">
        <references count="2">
          <reference field="9" count="1" selected="0">
            <x v="37"/>
          </reference>
          <reference field="15" count="1">
            <x v="43"/>
          </reference>
        </references>
      </pivotArea>
    </format>
    <format dxfId="49">
      <pivotArea dataOnly="0" labelOnly="1" fieldPosition="0">
        <references count="2">
          <reference field="9" count="1" selected="0">
            <x v="38"/>
          </reference>
          <reference field="15" count="1">
            <x v="61"/>
          </reference>
        </references>
      </pivotArea>
    </format>
    <format dxfId="50">
      <pivotArea dataOnly="0" labelOnly="1" fieldPosition="0">
        <references count="2">
          <reference field="9" count="1" selected="0">
            <x v="39"/>
          </reference>
          <reference field="15" count="1">
            <x v="30"/>
          </reference>
        </references>
      </pivotArea>
    </format>
    <format dxfId="51">
      <pivotArea dataOnly="0" labelOnly="1" fieldPosition="0">
        <references count="2">
          <reference field="9" count="1" selected="0">
            <x v="40"/>
          </reference>
          <reference field="15" count="1">
            <x v="28"/>
          </reference>
        </references>
      </pivotArea>
    </format>
    <format dxfId="52">
      <pivotArea dataOnly="0" labelOnly="1" fieldPosition="0">
        <references count="2">
          <reference field="9" count="1" selected="0">
            <x v="41"/>
          </reference>
          <reference field="15" count="1">
            <x v="44"/>
          </reference>
        </references>
      </pivotArea>
    </format>
    <format dxfId="53">
      <pivotArea dataOnly="0" labelOnly="1" fieldPosition="0">
        <references count="2">
          <reference field="9" count="1" selected="0">
            <x v="42"/>
          </reference>
          <reference field="15" count="1">
            <x v="21"/>
          </reference>
        </references>
      </pivotArea>
    </format>
    <format dxfId="54">
      <pivotArea dataOnly="0" labelOnly="1" fieldPosition="0">
        <references count="2">
          <reference field="9" count="1" selected="0">
            <x v="43"/>
          </reference>
          <reference field="15" count="1">
            <x v="14"/>
          </reference>
        </references>
      </pivotArea>
    </format>
    <format dxfId="55">
      <pivotArea dataOnly="0" labelOnly="1" fieldPosition="0">
        <references count="2">
          <reference field="9" count="1" selected="0">
            <x v="44"/>
          </reference>
          <reference field="15" count="1">
            <x v="38"/>
          </reference>
        </references>
      </pivotArea>
    </format>
    <format dxfId="56">
      <pivotArea dataOnly="0" labelOnly="1" fieldPosition="0">
        <references count="2">
          <reference field="9" count="1" selected="0">
            <x v="45"/>
          </reference>
          <reference field="15" count="1">
            <x v="19"/>
          </reference>
        </references>
      </pivotArea>
    </format>
    <format dxfId="57">
      <pivotArea dataOnly="0" labelOnly="1" fieldPosition="0">
        <references count="2">
          <reference field="9" count="1" selected="0">
            <x v="46"/>
          </reference>
          <reference field="15" count="1">
            <x v="55"/>
          </reference>
        </references>
      </pivotArea>
    </format>
    <format dxfId="58">
      <pivotArea dataOnly="0" labelOnly="1" fieldPosition="0">
        <references count="2">
          <reference field="9" count="1" selected="0">
            <x v="47"/>
          </reference>
          <reference field="15" count="1">
            <x v="2"/>
          </reference>
        </references>
      </pivotArea>
    </format>
    <format dxfId="59">
      <pivotArea dataOnly="0" labelOnly="1" fieldPosition="0">
        <references count="2">
          <reference field="9" count="1" selected="0">
            <x v="48"/>
          </reference>
          <reference field="15" count="1">
            <x v="17"/>
          </reference>
        </references>
      </pivotArea>
    </format>
    <format dxfId="60">
      <pivotArea dataOnly="0" labelOnly="1" fieldPosition="0">
        <references count="2">
          <reference field="9" count="1" selected="0">
            <x v="49"/>
          </reference>
          <reference field="15" count="1">
            <x v="49"/>
          </reference>
        </references>
      </pivotArea>
    </format>
    <format dxfId="61">
      <pivotArea dataOnly="0" labelOnly="1" fieldPosition="0">
        <references count="2">
          <reference field="9" count="1" selected="0">
            <x v="50"/>
          </reference>
          <reference field="15" count="1">
            <x v="41"/>
          </reference>
        </references>
      </pivotArea>
    </format>
    <format dxfId="62">
      <pivotArea dataOnly="0" labelOnly="1" fieldPosition="0">
        <references count="2">
          <reference field="9" count="1" selected="0">
            <x v="51"/>
          </reference>
          <reference field="15" count="1">
            <x v="27"/>
          </reference>
        </references>
      </pivotArea>
    </format>
    <format dxfId="63">
      <pivotArea dataOnly="0" labelOnly="1" fieldPosition="0">
        <references count="2">
          <reference field="9" count="1" selected="0">
            <x v="52"/>
          </reference>
          <reference field="15" count="1">
            <x v="39"/>
          </reference>
        </references>
      </pivotArea>
    </format>
    <format dxfId="64">
      <pivotArea dataOnly="0" labelOnly="1" fieldPosition="0">
        <references count="2">
          <reference field="9" count="1" selected="0">
            <x v="53"/>
          </reference>
          <reference field="15" count="1">
            <x v="31"/>
          </reference>
        </references>
      </pivotArea>
    </format>
    <format dxfId="65">
      <pivotArea dataOnly="0" labelOnly="1" fieldPosition="0">
        <references count="2">
          <reference field="9" count="1" selected="0">
            <x v="54"/>
          </reference>
          <reference field="15" count="1">
            <x v="34"/>
          </reference>
        </references>
      </pivotArea>
    </format>
    <format dxfId="66">
      <pivotArea dataOnly="0" labelOnly="1" fieldPosition="0">
        <references count="2">
          <reference field="9" count="1" selected="0">
            <x v="55"/>
          </reference>
          <reference field="15" count="1">
            <x v="3"/>
          </reference>
        </references>
      </pivotArea>
    </format>
    <format dxfId="67">
      <pivotArea dataOnly="0" labelOnly="1" fieldPosition="0">
        <references count="2">
          <reference field="9" count="1" selected="0">
            <x v="56"/>
          </reference>
          <reference field="15" count="1">
            <x v="45"/>
          </reference>
        </references>
      </pivotArea>
    </format>
    <format dxfId="68">
      <pivotArea dataOnly="0" labelOnly="1" fieldPosition="0">
        <references count="2">
          <reference field="9" count="1" selected="0">
            <x v="57"/>
          </reference>
          <reference field="15" count="1">
            <x v="42"/>
          </reference>
        </references>
      </pivotArea>
    </format>
    <format dxfId="69">
      <pivotArea dataOnly="0" labelOnly="1" fieldPosition="0">
        <references count="2">
          <reference field="9" count="1" selected="0">
            <x v="58"/>
          </reference>
          <reference field="15" count="1">
            <x v="57"/>
          </reference>
        </references>
      </pivotArea>
    </format>
    <format dxfId="70">
      <pivotArea dataOnly="0" labelOnly="1" fieldPosition="0">
        <references count="2">
          <reference field="9" count="1" selected="0">
            <x v="59"/>
          </reference>
          <reference field="15" count="1">
            <x v="20"/>
          </reference>
        </references>
      </pivotArea>
    </format>
    <format dxfId="71">
      <pivotArea dataOnly="0" labelOnly="1" fieldPosition="0">
        <references count="2">
          <reference field="9" count="1" selected="0">
            <x v="60"/>
          </reference>
          <reference field="15" count="1">
            <x v="48"/>
          </reference>
        </references>
      </pivotArea>
    </format>
    <format dxfId="72">
      <pivotArea dataOnly="0" labelOnly="1" fieldPosition="0">
        <references count="2">
          <reference field="9" count="1" selected="0">
            <x v="61"/>
          </reference>
          <reference field="15" count="1">
            <x v="32"/>
          </reference>
        </references>
      </pivotArea>
    </format>
    <format dxfId="73">
      <pivotArea dataOnly="0" labelOnly="1" fieldPosition="0">
        <references count="2">
          <reference field="9" count="1" selected="0">
            <x v="62"/>
          </reference>
          <reference field="15" count="1">
            <x v="36"/>
          </reference>
        </references>
      </pivotArea>
    </format>
    <format dxfId="74">
      <pivotArea dataOnly="0" labelOnly="1" fieldPosition="0">
        <references count="3">
          <reference field="8" count="1">
            <x v="19"/>
          </reference>
          <reference field="9" count="1" selected="0">
            <x v="0"/>
          </reference>
          <reference field="15" count="1" selected="0">
            <x v="60"/>
          </reference>
        </references>
      </pivotArea>
    </format>
    <format dxfId="75">
      <pivotArea dataOnly="0" labelOnly="1" fieldPosition="0">
        <references count="3">
          <reference field="8" count="1">
            <x v="3"/>
          </reference>
          <reference field="9" count="1" selected="0">
            <x v="1"/>
          </reference>
          <reference field="15" count="1" selected="0">
            <x v="54"/>
          </reference>
        </references>
      </pivotArea>
    </format>
    <format dxfId="76">
      <pivotArea dataOnly="0" labelOnly="1" fieldPosition="0">
        <references count="3">
          <reference field="8" count="2">
            <x v="18"/>
            <x v="28"/>
          </reference>
          <reference field="9" count="1" selected="0">
            <x v="4"/>
          </reference>
          <reference field="15" count="1" selected="0">
            <x v="58"/>
          </reference>
        </references>
      </pivotArea>
    </format>
    <format dxfId="77">
      <pivotArea dataOnly="0" labelOnly="1" fieldPosition="0">
        <references count="3">
          <reference field="8" count="2">
            <x v="1"/>
            <x v="31"/>
          </reference>
          <reference field="9" count="1" selected="0">
            <x v="5"/>
          </reference>
          <reference field="15" count="1" selected="0">
            <x v="22"/>
          </reference>
        </references>
      </pivotArea>
    </format>
    <format dxfId="78">
      <pivotArea dataOnly="0" labelOnly="1" fieldPosition="0">
        <references count="3">
          <reference field="8" count="2">
            <x v="38"/>
            <x v="39"/>
          </reference>
          <reference field="9" count="1" selected="0">
            <x v="6"/>
          </reference>
          <reference field="15" count="1" selected="0">
            <x v="6"/>
          </reference>
        </references>
      </pivotArea>
    </format>
    <format dxfId="79">
      <pivotArea dataOnly="0" labelOnly="1" fieldPosition="0">
        <references count="3">
          <reference field="8" count="1">
            <x v="9"/>
          </reference>
          <reference field="9" count="1" selected="0">
            <x v="10"/>
          </reference>
          <reference field="15" count="1" selected="0">
            <x v="10"/>
          </reference>
        </references>
      </pivotArea>
    </format>
    <format dxfId="80">
      <pivotArea dataOnly="0" labelOnly="1" fieldPosition="0">
        <references count="3">
          <reference field="8" count="1">
            <x v="11"/>
          </reference>
          <reference field="9" count="1" selected="0">
            <x v="11"/>
          </reference>
          <reference field="15" count="1" selected="0">
            <x v="23"/>
          </reference>
        </references>
      </pivotArea>
    </format>
    <format dxfId="81">
      <pivotArea dataOnly="0" labelOnly="1" fieldPosition="0">
        <references count="3">
          <reference field="8" count="2">
            <x v="21"/>
            <x v="39"/>
          </reference>
          <reference field="9" count="1" selected="0">
            <x v="13"/>
          </reference>
          <reference field="15" count="1" selected="0">
            <x v="7"/>
          </reference>
        </references>
      </pivotArea>
    </format>
    <format dxfId="82">
      <pivotArea dataOnly="0" labelOnly="1" fieldPosition="0">
        <references count="3">
          <reference field="8" count="2">
            <x v="23"/>
            <x v="27"/>
          </reference>
          <reference field="9" count="1" selected="0">
            <x v="14"/>
          </reference>
          <reference field="15" count="1" selected="0">
            <x v="9"/>
          </reference>
        </references>
      </pivotArea>
    </format>
    <format dxfId="83">
      <pivotArea dataOnly="0" labelOnly="1" fieldPosition="0">
        <references count="3">
          <reference field="8" count="1">
            <x v="4"/>
          </reference>
          <reference field="9" count="1" selected="0">
            <x v="15"/>
          </reference>
          <reference field="15" count="1" selected="0">
            <x v="64"/>
          </reference>
        </references>
      </pivotArea>
    </format>
    <format dxfId="84">
      <pivotArea dataOnly="0" labelOnly="1" fieldPosition="0">
        <references count="3">
          <reference field="8" count="1">
            <x v="36"/>
          </reference>
          <reference field="9" count="1" selected="0">
            <x v="16"/>
          </reference>
          <reference field="15" count="1" selected="0">
            <x v="18"/>
          </reference>
        </references>
      </pivotArea>
    </format>
    <format dxfId="85">
      <pivotArea dataOnly="0" labelOnly="1" fieldPosition="0">
        <references count="3">
          <reference field="8" count="2">
            <x v="19"/>
            <x v="20"/>
          </reference>
          <reference field="9" count="1" selected="0">
            <x v="17"/>
          </reference>
          <reference field="15" count="1" selected="0">
            <x v="56"/>
          </reference>
        </references>
      </pivotArea>
    </format>
    <format dxfId="86">
      <pivotArea dataOnly="0" labelOnly="1" fieldPosition="0">
        <references count="3">
          <reference field="8" count="1">
            <x v="16"/>
          </reference>
          <reference field="9" count="1" selected="0">
            <x v="18"/>
          </reference>
          <reference field="15" count="1" selected="0">
            <x v="62"/>
          </reference>
        </references>
      </pivotArea>
    </format>
    <format dxfId="87">
      <pivotArea dataOnly="0" labelOnly="1" fieldPosition="0">
        <references count="3">
          <reference field="8" count="2">
            <x v="10"/>
            <x v="36"/>
          </reference>
          <reference field="9" count="1" selected="0">
            <x v="20"/>
          </reference>
          <reference field="15" count="1" selected="0">
            <x v="40"/>
          </reference>
        </references>
      </pivotArea>
    </format>
    <format dxfId="88">
      <pivotArea dataOnly="0" labelOnly="1" fieldPosition="0">
        <references count="3">
          <reference field="8" count="1">
            <x v="3"/>
          </reference>
          <reference field="9" count="1" selected="0">
            <x v="21"/>
          </reference>
          <reference field="15" count="1" selected="0">
            <x v="1"/>
          </reference>
        </references>
      </pivotArea>
    </format>
    <format dxfId="89">
      <pivotArea dataOnly="0" labelOnly="1" fieldPosition="0">
        <references count="3">
          <reference field="8" count="5">
            <x v="1"/>
            <x v="4"/>
            <x v="6"/>
            <x v="8"/>
            <x v="13"/>
          </reference>
          <reference field="9" count="1" selected="0">
            <x v="23"/>
          </reference>
          <reference field="15" count="1" selected="0">
            <x v="50"/>
          </reference>
        </references>
      </pivotArea>
    </format>
    <format dxfId="90">
      <pivotArea dataOnly="0" labelOnly="1" fieldPosition="0">
        <references count="3">
          <reference field="8" count="1">
            <x v="12"/>
          </reference>
          <reference field="9" count="1" selected="0">
            <x v="24"/>
          </reference>
          <reference field="15" count="1" selected="0">
            <x v="37"/>
          </reference>
        </references>
      </pivotArea>
    </format>
    <format dxfId="91">
      <pivotArea dataOnly="0" labelOnly="1" fieldPosition="0">
        <references count="3">
          <reference field="8" count="1">
            <x v="39"/>
          </reference>
          <reference field="9" count="1" selected="0">
            <x v="25"/>
          </reference>
          <reference field="15" count="1" selected="0">
            <x v="4"/>
          </reference>
        </references>
      </pivotArea>
    </format>
    <format dxfId="92">
      <pivotArea dataOnly="0" labelOnly="1" fieldPosition="0">
        <references count="3">
          <reference field="8" count="1">
            <x v="1"/>
          </reference>
          <reference field="9" count="1" selected="0">
            <x v="26"/>
          </reference>
          <reference field="15" count="1" selected="0">
            <x v="29"/>
          </reference>
        </references>
      </pivotArea>
    </format>
    <format dxfId="93">
      <pivotArea dataOnly="0" labelOnly="1" fieldPosition="0">
        <references count="3">
          <reference field="8" count="2">
            <x v="18"/>
            <x v="28"/>
          </reference>
          <reference field="9" count="1" selected="0">
            <x v="28"/>
          </reference>
          <reference field="15" count="1" selected="0">
            <x v="59"/>
          </reference>
        </references>
      </pivotArea>
    </format>
    <format dxfId="94">
      <pivotArea dataOnly="0" labelOnly="1" fieldPosition="0">
        <references count="3">
          <reference field="8" count="3">
            <x v="0"/>
            <x v="14"/>
            <x v="16"/>
          </reference>
          <reference field="9" count="1" selected="0">
            <x v="29"/>
          </reference>
          <reference field="15" count="1" selected="0">
            <x v="52"/>
          </reference>
        </references>
      </pivotArea>
    </format>
    <format dxfId="95">
      <pivotArea dataOnly="0" labelOnly="1" fieldPosition="0">
        <references count="3">
          <reference field="8" count="3">
            <x v="0"/>
            <x v="14"/>
            <x v="16"/>
          </reference>
          <reference field="9" count="1" selected="0">
            <x v="30"/>
          </reference>
          <reference field="15" count="1" selected="0">
            <x v="53"/>
          </reference>
        </references>
      </pivotArea>
    </format>
    <format dxfId="96">
      <pivotArea dataOnly="0" labelOnly="1" fieldPosition="0">
        <references count="3">
          <reference field="8" count="1">
            <x v="24"/>
          </reference>
          <reference field="9" count="1" selected="0">
            <x v="31"/>
          </reference>
          <reference field="15" count="1" selected="0">
            <x v="47"/>
          </reference>
        </references>
      </pivotArea>
    </format>
    <format dxfId="97">
      <pivotArea dataOnly="0" labelOnly="1" fieldPosition="0">
        <references count="3">
          <reference field="8" count="2">
            <x v="21"/>
            <x v="31"/>
          </reference>
          <reference field="9" count="1" selected="0">
            <x v="32"/>
          </reference>
          <reference field="15" count="1" selected="0">
            <x v="5"/>
          </reference>
        </references>
      </pivotArea>
    </format>
    <format dxfId="98">
      <pivotArea dataOnly="0" labelOnly="1" fieldPosition="0">
        <references count="3">
          <reference field="8" count="1">
            <x v="25"/>
          </reference>
          <reference field="9" count="1" selected="0">
            <x v="33"/>
          </reference>
          <reference field="15" count="1" selected="0">
            <x v="51"/>
          </reference>
        </references>
      </pivotArea>
    </format>
    <format dxfId="99">
      <pivotArea dataOnly="0" labelOnly="1" fieldPosition="0">
        <references count="3">
          <reference field="8" count="1">
            <x v="40"/>
          </reference>
          <reference field="9" count="1" selected="0">
            <x v="34"/>
          </reference>
          <reference field="15" count="1" selected="0">
            <x v="35"/>
          </reference>
        </references>
      </pivotArea>
    </format>
    <format dxfId="100">
      <pivotArea dataOnly="0" labelOnly="1" fieldPosition="0">
        <references count="3">
          <reference field="8" count="3">
            <x v="3"/>
            <x v="27"/>
            <x v="31"/>
          </reference>
          <reference field="9" count="1" selected="0">
            <x v="35"/>
          </reference>
          <reference field="15" count="1" selected="0">
            <x v="8"/>
          </reference>
        </references>
      </pivotArea>
    </format>
    <format dxfId="101">
      <pivotArea dataOnly="0" labelOnly="1" fieldPosition="0">
        <references count="3">
          <reference field="8" count="1">
            <x v="9"/>
          </reference>
          <reference field="9" count="1" selected="0">
            <x v="36"/>
          </reference>
          <reference field="15" count="1" selected="0">
            <x v="11"/>
          </reference>
        </references>
      </pivotArea>
    </format>
    <format dxfId="102">
      <pivotArea dataOnly="0" labelOnly="1" fieldPosition="0">
        <references count="3">
          <reference field="8" count="2">
            <x v="4"/>
            <x v="33"/>
          </reference>
          <reference field="9" count="1" selected="0">
            <x v="37"/>
          </reference>
          <reference field="15" count="1" selected="0">
            <x v="43"/>
          </reference>
        </references>
      </pivotArea>
    </format>
    <format dxfId="103">
      <pivotArea dataOnly="0" labelOnly="1" fieldPosition="0">
        <references count="3">
          <reference field="8" count="1">
            <x v="16"/>
          </reference>
          <reference field="9" count="1" selected="0">
            <x v="38"/>
          </reference>
          <reference field="15" count="1" selected="0">
            <x v="61"/>
          </reference>
        </references>
      </pivotArea>
    </format>
    <format dxfId="104">
      <pivotArea dataOnly="0" labelOnly="1" fieldPosition="0">
        <references count="3">
          <reference field="8" count="1">
            <x v="29"/>
          </reference>
          <reference field="9" count="1" selected="0">
            <x v="39"/>
          </reference>
          <reference field="15" count="1" selected="0">
            <x v="30"/>
          </reference>
        </references>
      </pivotArea>
    </format>
    <format dxfId="105">
      <pivotArea dataOnly="0" labelOnly="1" fieldPosition="0">
        <references count="3">
          <reference field="8" count="1">
            <x v="12"/>
          </reference>
          <reference field="9" count="1" selected="0">
            <x v="44"/>
          </reference>
          <reference field="15" count="1" selected="0">
            <x v="38"/>
          </reference>
        </references>
      </pivotArea>
    </format>
    <format dxfId="106">
      <pivotArea dataOnly="0" labelOnly="1" fieldPosition="0">
        <references count="3">
          <reference field="8" count="3">
            <x v="5"/>
            <x v="17"/>
            <x v="33"/>
          </reference>
          <reference field="9" count="1" selected="0">
            <x v="46"/>
          </reference>
          <reference field="15" count="1" selected="0">
            <x v="55"/>
          </reference>
        </references>
      </pivotArea>
    </format>
    <format dxfId="107">
      <pivotArea dataOnly="0" labelOnly="1" fieldPosition="0">
        <references count="3">
          <reference field="8" count="1">
            <x v="37"/>
          </reference>
          <reference field="9" count="1" selected="0">
            <x v="50"/>
          </reference>
          <reference field="15" count="1" selected="0">
            <x v="41"/>
          </reference>
        </references>
      </pivotArea>
    </format>
    <format dxfId="108">
      <pivotArea dataOnly="0" labelOnly="1" fieldPosition="0">
        <references count="3">
          <reference field="8" count="2">
            <x v="2"/>
            <x v="26"/>
          </reference>
          <reference field="9" count="1" selected="0">
            <x v="51"/>
          </reference>
          <reference field="15" count="1" selected="0">
            <x v="27"/>
          </reference>
        </references>
      </pivotArea>
    </format>
    <format dxfId="109">
      <pivotArea dataOnly="0" labelOnly="1" fieldPosition="0">
        <references count="3">
          <reference field="8" count="1">
            <x v="32"/>
          </reference>
          <reference field="9" count="1" selected="0">
            <x v="52"/>
          </reference>
          <reference field="15" count="1" selected="0">
            <x v="39"/>
          </reference>
        </references>
      </pivotArea>
    </format>
    <format dxfId="110">
      <pivotArea dataOnly="0" labelOnly="1" fieldPosition="0">
        <references count="3">
          <reference field="8" count="2">
            <x v="20"/>
            <x v="34"/>
          </reference>
          <reference field="9" count="1" selected="0">
            <x v="53"/>
          </reference>
          <reference field="15" count="1" selected="0">
            <x v="31"/>
          </reference>
        </references>
      </pivotArea>
    </format>
    <format dxfId="111">
      <pivotArea dataOnly="0" labelOnly="1" fieldPosition="0">
        <references count="3">
          <reference field="8" count="1">
            <x v="23"/>
          </reference>
          <reference field="9" count="1" selected="0">
            <x v="54"/>
          </reference>
          <reference field="15" count="1" selected="0">
            <x v="34"/>
          </reference>
        </references>
      </pivotArea>
    </format>
    <format dxfId="112">
      <pivotArea dataOnly="0" labelOnly="1" fieldPosition="0">
        <references count="3">
          <reference field="8" count="1">
            <x v="7"/>
          </reference>
          <reference field="9" count="1" selected="0">
            <x v="55"/>
          </reference>
          <reference field="15" count="1" selected="0">
            <x v="3"/>
          </reference>
        </references>
      </pivotArea>
    </format>
    <format dxfId="113">
      <pivotArea dataOnly="0" labelOnly="1" fieldPosition="0">
        <references count="3">
          <reference field="8" count="2">
            <x v="22"/>
            <x v="24"/>
          </reference>
          <reference field="9" count="1" selected="0">
            <x v="56"/>
          </reference>
          <reference field="15" count="1" selected="0">
            <x v="45"/>
          </reference>
        </references>
      </pivotArea>
    </format>
    <format dxfId="114">
      <pivotArea dataOnly="0" labelOnly="1" fieldPosition="0">
        <references count="3">
          <reference field="8" count="1">
            <x v="40"/>
          </reference>
          <reference field="9" count="1" selected="0">
            <x v="57"/>
          </reference>
          <reference field="15" count="1" selected="0">
            <x v="42"/>
          </reference>
        </references>
      </pivotArea>
    </format>
    <format dxfId="115">
      <pivotArea dataOnly="0" labelOnly="1" fieldPosition="0">
        <references count="3">
          <reference field="8" count="1">
            <x v="5"/>
          </reference>
          <reference field="9" count="1" selected="0">
            <x v="58"/>
          </reference>
          <reference field="15" count="1" selected="0">
            <x v="57"/>
          </reference>
        </references>
      </pivotArea>
    </format>
    <format dxfId="116">
      <pivotArea dataOnly="0" labelOnly="1" fieldPosition="0">
        <references count="3">
          <reference field="8" count="1">
            <x v="24"/>
          </reference>
          <reference field="9" count="1" selected="0">
            <x v="60"/>
          </reference>
          <reference field="15" count="1" selected="0">
            <x v="48"/>
          </reference>
        </references>
      </pivotArea>
    </format>
    <format dxfId="117">
      <pivotArea dataOnly="0" labelOnly="1" fieldPosition="0">
        <references count="4">
          <reference field="3" count="1">
            <x v="1"/>
          </reference>
          <reference field="8" count="1" selected="0">
            <x v="19"/>
          </reference>
          <reference field="9" count="1" selected="0">
            <x v="0"/>
          </reference>
          <reference field="15" count="1" selected="0">
            <x v="60"/>
          </reference>
        </references>
      </pivotArea>
    </format>
    <format dxfId="118">
      <pivotArea dataOnly="0" labelOnly="1" fieldPosition="0">
        <references count="4">
          <reference field="3" count="1">
            <x v="1"/>
          </reference>
          <reference field="8" count="1" selected="0">
            <x v="3"/>
          </reference>
          <reference field="9" count="1" selected="0">
            <x v="1"/>
          </reference>
          <reference field="15" count="1" selected="0">
            <x v="54"/>
          </reference>
        </references>
      </pivotArea>
    </format>
    <format dxfId="119">
      <pivotArea dataOnly="0" labelOnly="1" fieldPosition="0">
        <references count="4">
          <reference field="3" count="1">
            <x v="1"/>
          </reference>
          <reference field="8" count="1" selected="0">
            <x v="18"/>
          </reference>
          <reference field="9" count="1" selected="0">
            <x v="4"/>
          </reference>
          <reference field="15" count="1" selected="0">
            <x v="58"/>
          </reference>
        </references>
      </pivotArea>
    </format>
    <format dxfId="120">
      <pivotArea dataOnly="0" labelOnly="1" fieldPosition="0">
        <references count="4">
          <reference field="3" count="2">
            <x v="0"/>
            <x v="1"/>
          </reference>
          <reference field="8" count="1" selected="0">
            <x v="28"/>
          </reference>
          <reference field="9" count="1" selected="0">
            <x v="4"/>
          </reference>
          <reference field="15" count="1" selected="0">
            <x v="58"/>
          </reference>
        </references>
      </pivotArea>
    </format>
    <format dxfId="121">
      <pivotArea dataOnly="0" labelOnly="1" fieldPosition="0">
        <references count="4">
          <reference field="3" count="2">
            <x v="1"/>
            <x v="2"/>
          </reference>
          <reference field="8" count="1" selected="0">
            <x v="21"/>
          </reference>
          <reference field="9" count="1" selected="0">
            <x v="13"/>
          </reference>
          <reference field="15" count="1" selected="0">
            <x v="7"/>
          </reference>
        </references>
      </pivotArea>
    </format>
    <format dxfId="122">
      <pivotArea dataOnly="0" labelOnly="1" fieldPosition="0">
        <references count="4">
          <reference field="3" count="2">
            <x v="1"/>
            <x v="3"/>
          </reference>
          <reference field="8" count="1" selected="0">
            <x v="23"/>
          </reference>
          <reference field="9" count="1" selected="0">
            <x v="14"/>
          </reference>
          <reference field="15" count="1" selected="0">
            <x v="9"/>
          </reference>
        </references>
      </pivotArea>
    </format>
    <format dxfId="123">
      <pivotArea dataOnly="0" labelOnly="1" fieldPosition="0">
        <references count="4">
          <reference field="3" count="1">
            <x v="2"/>
          </reference>
          <reference field="8" count="1" selected="0">
            <x v="36"/>
          </reference>
          <reference field="9" count="1" selected="0">
            <x v="16"/>
          </reference>
          <reference field="15" count="1" selected="0">
            <x v="18"/>
          </reference>
        </references>
      </pivotArea>
    </format>
    <format dxfId="124">
      <pivotArea dataOnly="0" labelOnly="1" fieldPosition="0">
        <references count="4">
          <reference field="3" count="1">
            <x v="1"/>
          </reference>
          <reference field="8" count="1" selected="0">
            <x v="19"/>
          </reference>
          <reference field="9" count="1" selected="0">
            <x v="17"/>
          </reference>
          <reference field="15" count="1" selected="0">
            <x v="56"/>
          </reference>
        </references>
      </pivotArea>
    </format>
    <format dxfId="125">
      <pivotArea dataOnly="0" labelOnly="1" fieldPosition="0">
        <references count="4">
          <reference field="3" count="1">
            <x v="0"/>
          </reference>
          <reference field="8" count="1" selected="0">
            <x v="16"/>
          </reference>
          <reference field="9" count="1" selected="0">
            <x v="18"/>
          </reference>
          <reference field="15" count="1" selected="0">
            <x v="62"/>
          </reference>
        </references>
      </pivotArea>
    </format>
    <format dxfId="126">
      <pivotArea dataOnly="0" labelOnly="1" fieldPosition="0">
        <references count="4">
          <reference field="3" count="1">
            <x v="2"/>
          </reference>
          <reference field="8" count="1" selected="0">
            <x v="36"/>
          </reference>
          <reference field="9" count="1" selected="0">
            <x v="20"/>
          </reference>
          <reference field="15" count="1" selected="0">
            <x v="40"/>
          </reference>
        </references>
      </pivotArea>
    </format>
    <format dxfId="127">
      <pivotArea dataOnly="0" labelOnly="1" fieldPosition="0">
        <references count="4">
          <reference field="3" count="2">
            <x v="1"/>
            <x v="2"/>
          </reference>
          <reference field="8" count="1" selected="0">
            <x v="3"/>
          </reference>
          <reference field="9" count="1" selected="0">
            <x v="21"/>
          </reference>
          <reference field="15" count="1" selected="0">
            <x v="1"/>
          </reference>
        </references>
      </pivotArea>
    </format>
    <format dxfId="128">
      <pivotArea dataOnly="0" labelOnly="1" fieldPosition="0">
        <references count="4">
          <reference field="3" count="2">
            <x v="1"/>
            <x v="4"/>
          </reference>
          <reference field="8" count="1" selected="0">
            <x v="1"/>
          </reference>
          <reference field="9" count="1" selected="0">
            <x v="23"/>
          </reference>
          <reference field="15" count="1" selected="0">
            <x v="50"/>
          </reference>
        </references>
      </pivotArea>
    </format>
    <format dxfId="129">
      <pivotArea dataOnly="0" labelOnly="1" fieldPosition="0">
        <references count="4">
          <reference field="3" count="1">
            <x v="3"/>
          </reference>
          <reference field="8" count="1" selected="0">
            <x v="6"/>
          </reference>
          <reference field="9" count="1" selected="0">
            <x v="23"/>
          </reference>
          <reference field="15" count="1" selected="0">
            <x v="50"/>
          </reference>
        </references>
      </pivotArea>
    </format>
    <format dxfId="130">
      <pivotArea dataOnly="0" labelOnly="1" fieldPosition="0">
        <references count="4">
          <reference field="3" count="1">
            <x v="2"/>
          </reference>
          <reference field="8" count="1" selected="0">
            <x v="8"/>
          </reference>
          <reference field="9" count="1" selected="0">
            <x v="23"/>
          </reference>
          <reference field="15" count="1" selected="0">
            <x v="50"/>
          </reference>
        </references>
      </pivotArea>
    </format>
    <format dxfId="131">
      <pivotArea dataOnly="0" labelOnly="1" fieldPosition="0">
        <references count="4">
          <reference field="3" count="1">
            <x v="1"/>
          </reference>
          <reference field="8" count="1" selected="0">
            <x v="18"/>
          </reference>
          <reference field="9" count="1" selected="0">
            <x v="28"/>
          </reference>
          <reference field="15" count="1" selected="0">
            <x v="59"/>
          </reference>
        </references>
      </pivotArea>
    </format>
    <format dxfId="132">
      <pivotArea dataOnly="0" labelOnly="1" fieldPosition="0">
        <references count="4">
          <reference field="3" count="1">
            <x v="1"/>
          </reference>
          <reference field="8" count="1" selected="0">
            <x v="28"/>
          </reference>
          <reference field="9" count="1" selected="0">
            <x v="28"/>
          </reference>
          <reference field="15" count="1" selected="0">
            <x v="59"/>
          </reference>
        </references>
      </pivotArea>
    </format>
    <format dxfId="133">
      <pivotArea dataOnly="0" labelOnly="1" fieldPosition="0">
        <references count="4">
          <reference field="3" count="1">
            <x v="2"/>
          </reference>
          <reference field="8" count="1" selected="0">
            <x v="0"/>
          </reference>
          <reference field="9" count="1" selected="0">
            <x v="29"/>
          </reference>
          <reference field="15" count="1" selected="0">
            <x v="52"/>
          </reference>
        </references>
      </pivotArea>
    </format>
    <format dxfId="134">
      <pivotArea dataOnly="0" labelOnly="1" fieldPosition="0">
        <references count="4">
          <reference field="3" count="2">
            <x v="1"/>
            <x v="3"/>
          </reference>
          <reference field="8" count="1" selected="0">
            <x v="16"/>
          </reference>
          <reference field="9" count="1" selected="0">
            <x v="29"/>
          </reference>
          <reference field="15" count="1" selected="0">
            <x v="52"/>
          </reference>
        </references>
      </pivotArea>
    </format>
    <format dxfId="135">
      <pivotArea dataOnly="0" labelOnly="1" fieldPosition="0">
        <references count="4">
          <reference field="3" count="1">
            <x v="2"/>
          </reference>
          <reference field="8" count="1" selected="0">
            <x v="0"/>
          </reference>
          <reference field="9" count="1" selected="0">
            <x v="30"/>
          </reference>
          <reference field="15" count="1" selected="0">
            <x v="53"/>
          </reference>
        </references>
      </pivotArea>
    </format>
    <format dxfId="136">
      <pivotArea dataOnly="0" labelOnly="1" fieldPosition="0">
        <references count="4">
          <reference field="3" count="2">
            <x v="1"/>
            <x v="3"/>
          </reference>
          <reference field="8" count="1" selected="0">
            <x v="16"/>
          </reference>
          <reference field="9" count="1" selected="0">
            <x v="30"/>
          </reference>
          <reference field="15" count="1" selected="0">
            <x v="53"/>
          </reference>
        </references>
      </pivotArea>
    </format>
    <format dxfId="137">
      <pivotArea dataOnly="0" labelOnly="1" fieldPosition="0">
        <references count="4">
          <reference field="3" count="1">
            <x v="1"/>
          </reference>
          <reference field="8" count="1" selected="0">
            <x v="24"/>
          </reference>
          <reference field="9" count="1" selected="0">
            <x v="31"/>
          </reference>
          <reference field="15" count="1" selected="0">
            <x v="47"/>
          </reference>
        </references>
      </pivotArea>
    </format>
    <format dxfId="138">
      <pivotArea dataOnly="0" labelOnly="1" fieldPosition="0">
        <references count="4">
          <reference field="3" count="1">
            <x v="2"/>
          </reference>
          <reference field="8" count="1" selected="0">
            <x v="21"/>
          </reference>
          <reference field="9" count="1" selected="0">
            <x v="32"/>
          </reference>
          <reference field="15" count="1" selected="0">
            <x v="5"/>
          </reference>
        </references>
      </pivotArea>
    </format>
    <format dxfId="139">
      <pivotArea dataOnly="0" labelOnly="1" fieldPosition="0">
        <references count="4">
          <reference field="3" count="2">
            <x v="2"/>
            <x v="4"/>
          </reference>
          <reference field="8" count="1" selected="0">
            <x v="25"/>
          </reference>
          <reference field="9" count="1" selected="0">
            <x v="33"/>
          </reference>
          <reference field="15" count="1" selected="0">
            <x v="51"/>
          </reference>
        </references>
      </pivotArea>
    </format>
    <format dxfId="140">
      <pivotArea dataOnly="0" labelOnly="1" fieldPosition="0">
        <references count="4">
          <reference field="3" count="4">
            <x v="0"/>
            <x v="1"/>
            <x v="2"/>
            <x v="3"/>
          </reference>
          <reference field="8" count="1" selected="0">
            <x v="40"/>
          </reference>
          <reference field="9" count="1" selected="0">
            <x v="34"/>
          </reference>
          <reference field="15" count="1" selected="0">
            <x v="35"/>
          </reference>
        </references>
      </pivotArea>
    </format>
    <format dxfId="141">
      <pivotArea dataOnly="0" labelOnly="1" fieldPosition="0">
        <references count="4">
          <reference field="3" count="1">
            <x v="3"/>
          </reference>
          <reference field="8" count="1" selected="0">
            <x v="33"/>
          </reference>
          <reference field="9" count="1" selected="0">
            <x v="37"/>
          </reference>
          <reference field="15" count="1" selected="0">
            <x v="43"/>
          </reference>
        </references>
      </pivotArea>
    </format>
    <format dxfId="142">
      <pivotArea dataOnly="0" labelOnly="1" fieldPosition="0">
        <references count="4">
          <reference field="3" count="1">
            <x v="0"/>
          </reference>
          <reference field="8" count="1" selected="0">
            <x v="16"/>
          </reference>
          <reference field="9" count="1" selected="0">
            <x v="38"/>
          </reference>
          <reference field="15" count="1" selected="0">
            <x v="61"/>
          </reference>
        </references>
      </pivotArea>
    </format>
    <format dxfId="143">
      <pivotArea dataOnly="0" labelOnly="1" fieldPosition="0">
        <references count="4">
          <reference field="3" count="1">
            <x v="1"/>
          </reference>
          <reference field="8" count="1" selected="0">
            <x v="5"/>
          </reference>
          <reference field="9" count="1" selected="0">
            <x v="46"/>
          </reference>
          <reference field="15" count="1" selected="0">
            <x v="55"/>
          </reference>
        </references>
      </pivotArea>
    </format>
    <format dxfId="144">
      <pivotArea dataOnly="0" labelOnly="1" fieldPosition="0">
        <references count="4">
          <reference field="3" count="1">
            <x v="3"/>
          </reference>
          <reference field="8" count="1" selected="0">
            <x v="33"/>
          </reference>
          <reference field="9" count="1" selected="0">
            <x v="46"/>
          </reference>
          <reference field="15" count="1" selected="0">
            <x v="55"/>
          </reference>
        </references>
      </pivotArea>
    </format>
    <format dxfId="145">
      <pivotArea dataOnly="0" labelOnly="1" fieldPosition="0">
        <references count="4">
          <reference field="3" count="2">
            <x v="3"/>
            <x v="4"/>
          </reference>
          <reference field="8" count="1" selected="0">
            <x v="37"/>
          </reference>
          <reference field="9" count="1" selected="0">
            <x v="50"/>
          </reference>
          <reference field="15" count="1" selected="0">
            <x v="41"/>
          </reference>
        </references>
      </pivotArea>
    </format>
    <format dxfId="146">
      <pivotArea dataOnly="0" labelOnly="1" fieldPosition="0">
        <references count="4">
          <reference field="3" count="1">
            <x v="0"/>
          </reference>
          <reference field="8" count="1" selected="0">
            <x v="2"/>
          </reference>
          <reference field="9" count="1" selected="0">
            <x v="51"/>
          </reference>
          <reference field="15" count="1" selected="0">
            <x v="27"/>
          </reference>
        </references>
      </pivotArea>
    </format>
    <format dxfId="147">
      <pivotArea dataOnly="0" labelOnly="1" fieldPosition="0">
        <references count="4">
          <reference field="3" count="1">
            <x v="1"/>
          </reference>
          <reference field="8" count="1" selected="0">
            <x v="26"/>
          </reference>
          <reference field="9" count="1" selected="0">
            <x v="51"/>
          </reference>
          <reference field="15" count="1" selected="0">
            <x v="27"/>
          </reference>
        </references>
      </pivotArea>
    </format>
    <format dxfId="148">
      <pivotArea dataOnly="0" labelOnly="1" fieldPosition="0">
        <references count="4">
          <reference field="3" count="1">
            <x v="1"/>
          </reference>
          <reference field="8" count="1" selected="0">
            <x v="32"/>
          </reference>
          <reference field="9" count="1" selected="0">
            <x v="52"/>
          </reference>
          <reference field="15" count="1" selected="0">
            <x v="39"/>
          </reference>
        </references>
      </pivotArea>
    </format>
    <format dxfId="149">
      <pivotArea dataOnly="0" labelOnly="1" fieldPosition="0">
        <references count="4">
          <reference field="3" count="3">
            <x v="1"/>
            <x v="2"/>
            <x v="4"/>
          </reference>
          <reference field="8" count="1" selected="0">
            <x v="7"/>
          </reference>
          <reference field="9" count="1" selected="0">
            <x v="55"/>
          </reference>
          <reference field="15" count="1" selected="0">
            <x v="3"/>
          </reference>
        </references>
      </pivotArea>
    </format>
    <format dxfId="150">
      <pivotArea dataOnly="0" labelOnly="1" fieldPosition="0">
        <references count="4">
          <reference field="3" count="1">
            <x v="3"/>
          </reference>
          <reference field="8" count="1" selected="0">
            <x v="22"/>
          </reference>
          <reference field="9" count="1" selected="0">
            <x v="56"/>
          </reference>
          <reference field="15" count="1" selected="0">
            <x v="45"/>
          </reference>
        </references>
      </pivotArea>
    </format>
    <format dxfId="151">
      <pivotArea dataOnly="0" labelOnly="1" fieldPosition="0">
        <references count="4">
          <reference field="3" count="1">
            <x v="3"/>
          </reference>
          <reference field="8" count="1" selected="0">
            <x v="24"/>
          </reference>
          <reference field="9" count="1" selected="0">
            <x v="56"/>
          </reference>
          <reference field="15" count="1" selected="0">
            <x v="45"/>
          </reference>
        </references>
      </pivotArea>
    </format>
    <format dxfId="152">
      <pivotArea dataOnly="0" labelOnly="1" fieldPosition="0">
        <references count="4">
          <reference field="3" count="4">
            <x v="0"/>
            <x v="1"/>
            <x v="2"/>
            <x v="3"/>
          </reference>
          <reference field="8" count="1" selected="0">
            <x v="40"/>
          </reference>
          <reference field="9" count="1" selected="0">
            <x v="57"/>
          </reference>
          <reference field="15" count="1" selected="0">
            <x v="42"/>
          </reference>
        </references>
      </pivotArea>
    </format>
    <format dxfId="153">
      <pivotArea dataOnly="0" labelOnly="1" fieldPosition="0">
        <references count="4">
          <reference field="3" count="1">
            <x v="1"/>
          </reference>
          <reference field="8" count="1" selected="0">
            <x v="5"/>
          </reference>
          <reference field="9" count="1" selected="0">
            <x v="58"/>
          </reference>
          <reference field="15" count="1" selected="0">
            <x v="57"/>
          </reference>
        </references>
      </pivotArea>
    </format>
    <format dxfId="154">
      <pivotArea dataOnly="0" labelOnly="1" fieldPosition="0">
        <references count="4">
          <reference field="3" count="1">
            <x v="1"/>
          </reference>
          <reference field="8" count="1" selected="0">
            <x v="24"/>
          </reference>
          <reference field="9" count="1" selected="0">
            <x v="60"/>
          </reference>
          <reference field="15" count="1" selected="0">
            <x v="48"/>
          </reference>
        </references>
      </pivotArea>
    </format>
    <format dxfId="155">
      <pivotArea dataOnly="0" labelOnly="1" fieldPosition="0">
        <references count="5">
          <reference field="3" count="1" selected="0">
            <x v="1"/>
          </reference>
          <reference field="8" count="1" selected="0">
            <x v="19"/>
          </reference>
          <reference field="9" count="1" selected="0">
            <x v="0"/>
          </reference>
          <reference field="15" count="1" selected="0">
            <x v="60"/>
          </reference>
          <reference field="16" count="1">
            <x v="6"/>
          </reference>
        </references>
      </pivotArea>
    </format>
    <format dxfId="156">
      <pivotArea dataOnly="0" labelOnly="1" fieldPosition="0">
        <references count="5">
          <reference field="3" count="1" selected="0">
            <x v="1"/>
          </reference>
          <reference field="8" count="1" selected="0">
            <x v="3"/>
          </reference>
          <reference field="9" count="1" selected="0">
            <x v="1"/>
          </reference>
          <reference field="15" count="1" selected="0">
            <x v="54"/>
          </reference>
          <reference field="16" count="1">
            <x v="3"/>
          </reference>
        </references>
      </pivotArea>
    </format>
    <format dxfId="157">
      <pivotArea dataOnly="0" labelOnly="1" fieldPosition="0">
        <references count="5">
          <reference field="3" count="1" selected="0">
            <x v="1"/>
          </reference>
          <reference field="8" count="1" selected="0">
            <x v="18"/>
          </reference>
          <reference field="9" count="1" selected="0">
            <x v="4"/>
          </reference>
          <reference field="15" count="1" selected="0">
            <x v="58"/>
          </reference>
          <reference field="16" count="1">
            <x v="10"/>
          </reference>
        </references>
      </pivotArea>
    </format>
    <format dxfId="158">
      <pivotArea dataOnly="0" labelOnly="1" fieldPosition="0">
        <references count="5">
          <reference field="3" count="1" selected="0">
            <x v="0"/>
          </reference>
          <reference field="8" count="1" selected="0">
            <x v="28"/>
          </reference>
          <reference field="9" count="1" selected="0">
            <x v="4"/>
          </reference>
          <reference field="15" count="1" selected="0">
            <x v="58"/>
          </reference>
          <reference field="16" count="1">
            <x v="10"/>
          </reference>
        </references>
      </pivotArea>
    </format>
    <format dxfId="159">
      <pivotArea dataOnly="0" labelOnly="1" fieldPosition="0">
        <references count="5">
          <reference field="3" count="1" selected="0">
            <x v="1"/>
          </reference>
          <reference field="8" count="1" selected="0">
            <x v="28"/>
          </reference>
          <reference field="9" count="1" selected="0">
            <x v="4"/>
          </reference>
          <reference field="15" count="1" selected="0">
            <x v="58"/>
          </reference>
          <reference field="16" count="1">
            <x v="10"/>
          </reference>
        </references>
      </pivotArea>
    </format>
    <format dxfId="160">
      <pivotArea dataOnly="0" labelOnly="1" fieldPosition="0">
        <references count="5">
          <reference field="3" count="1" selected="0">
            <x v="1"/>
          </reference>
          <reference field="8" count="1" selected="0">
            <x v="21"/>
          </reference>
          <reference field="9" count="1" selected="0">
            <x v="13"/>
          </reference>
          <reference field="15" count="1" selected="0">
            <x v="7"/>
          </reference>
          <reference field="16" count="1">
            <x v="1"/>
          </reference>
        </references>
      </pivotArea>
    </format>
    <format dxfId="161">
      <pivotArea dataOnly="0" labelOnly="1" fieldPosition="0">
        <references count="5">
          <reference field="3" count="1" selected="0">
            <x v="2"/>
          </reference>
          <reference field="8" count="1" selected="0">
            <x v="21"/>
          </reference>
          <reference field="9" count="1" selected="0">
            <x v="13"/>
          </reference>
          <reference field="15" count="1" selected="0">
            <x v="7"/>
          </reference>
          <reference field="16" count="1">
            <x v="1"/>
          </reference>
        </references>
      </pivotArea>
    </format>
    <format dxfId="162">
      <pivotArea dataOnly="0" labelOnly="1" fieldPosition="0">
        <references count="5">
          <reference field="3" count="1" selected="0">
            <x v="1"/>
          </reference>
          <reference field="8" count="1" selected="0">
            <x v="23"/>
          </reference>
          <reference field="9" count="1" selected="0">
            <x v="14"/>
          </reference>
          <reference field="15" count="1" selected="0">
            <x v="9"/>
          </reference>
          <reference field="16" count="1">
            <x v="9"/>
          </reference>
        </references>
      </pivotArea>
    </format>
    <format dxfId="163">
      <pivotArea dataOnly="0" labelOnly="1" fieldPosition="0">
        <references count="5">
          <reference field="3" count="1" selected="0">
            <x v="3"/>
          </reference>
          <reference field="8" count="1" selected="0">
            <x v="23"/>
          </reference>
          <reference field="9" count="1" selected="0">
            <x v="14"/>
          </reference>
          <reference field="15" count="1" selected="0">
            <x v="9"/>
          </reference>
          <reference field="16" count="1">
            <x v="9"/>
          </reference>
        </references>
      </pivotArea>
    </format>
    <format dxfId="164">
      <pivotArea dataOnly="0" labelOnly="1" fieldPosition="0">
        <references count="5">
          <reference field="3" count="1" selected="0">
            <x v="2"/>
          </reference>
          <reference field="8" count="1" selected="0">
            <x v="36"/>
          </reference>
          <reference field="9" count="1" selected="0">
            <x v="16"/>
          </reference>
          <reference field="15" count="1" selected="0">
            <x v="18"/>
          </reference>
          <reference field="16" count="1">
            <x v="3"/>
          </reference>
        </references>
      </pivotArea>
    </format>
    <format dxfId="165">
      <pivotArea dataOnly="0" labelOnly="1" fieldPosition="0">
        <references count="5">
          <reference field="3" count="1" selected="0">
            <x v="1"/>
          </reference>
          <reference field="8" count="1" selected="0">
            <x v="19"/>
          </reference>
          <reference field="9" count="1" selected="0">
            <x v="17"/>
          </reference>
          <reference field="15" count="1" selected="0">
            <x v="56"/>
          </reference>
          <reference field="16" count="1">
            <x v="6"/>
          </reference>
        </references>
      </pivotArea>
    </format>
    <format dxfId="166">
      <pivotArea dataOnly="0" labelOnly="1" fieldPosition="0">
        <references count="5">
          <reference field="3" count="1" selected="0">
            <x v="0"/>
          </reference>
          <reference field="8" count="1" selected="0">
            <x v="16"/>
          </reference>
          <reference field="9" count="1" selected="0">
            <x v="18"/>
          </reference>
          <reference field="15" count="1" selected="0">
            <x v="62"/>
          </reference>
          <reference field="16" count="1">
            <x v="11"/>
          </reference>
        </references>
      </pivotArea>
    </format>
    <format dxfId="167">
      <pivotArea dataOnly="0" labelOnly="1" fieldPosition="0">
        <references count="5">
          <reference field="3" count="1" selected="0">
            <x v="2"/>
          </reference>
          <reference field="8" count="1" selected="0">
            <x v="36"/>
          </reference>
          <reference field="9" count="1" selected="0">
            <x v="20"/>
          </reference>
          <reference field="15" count="1" selected="0">
            <x v="40"/>
          </reference>
          <reference field="16" count="1">
            <x v="3"/>
          </reference>
        </references>
      </pivotArea>
    </format>
    <format dxfId="168">
      <pivotArea dataOnly="0" labelOnly="1" fieldPosition="0">
        <references count="5">
          <reference field="3" count="1" selected="0">
            <x v="1"/>
          </reference>
          <reference field="8" count="1" selected="0">
            <x v="3"/>
          </reference>
          <reference field="9" count="1" selected="0">
            <x v="21"/>
          </reference>
          <reference field="15" count="1" selected="0">
            <x v="1"/>
          </reference>
          <reference field="16" count="1">
            <x v="3"/>
          </reference>
        </references>
      </pivotArea>
    </format>
    <format dxfId="169">
      <pivotArea dataOnly="0" labelOnly="1" fieldPosition="0">
        <references count="5">
          <reference field="3" count="1" selected="0">
            <x v="2"/>
          </reference>
          <reference field="8" count="1" selected="0">
            <x v="3"/>
          </reference>
          <reference field="9" count="1" selected="0">
            <x v="21"/>
          </reference>
          <reference field="15" count="1" selected="0">
            <x v="1"/>
          </reference>
          <reference field="16" count="1">
            <x v="3"/>
          </reference>
        </references>
      </pivotArea>
    </format>
    <format dxfId="170">
      <pivotArea dataOnly="0" labelOnly="1" fieldPosition="0">
        <references count="5">
          <reference field="3" count="1" selected="0">
            <x v="1"/>
          </reference>
          <reference field="8" count="1" selected="0">
            <x v="1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11"/>
          </reference>
        </references>
      </pivotArea>
    </format>
    <format dxfId="171">
      <pivotArea dataOnly="0" labelOnly="1" fieldPosition="0">
        <references count="5">
          <reference field="3" count="1" selected="0">
            <x v="4"/>
          </reference>
          <reference field="8" count="1" selected="0">
            <x v="1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11"/>
          </reference>
        </references>
      </pivotArea>
    </format>
    <format dxfId="172">
      <pivotArea dataOnly="0" labelOnly="1" fieldPosition="0">
        <references count="5">
          <reference field="3" count="1" selected="0">
            <x v="3"/>
          </reference>
          <reference field="8" count="1" selected="0">
            <x v="6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3"/>
          </reference>
        </references>
      </pivotArea>
    </format>
    <format dxfId="173">
      <pivotArea dataOnly="0" labelOnly="1" fieldPosition="0">
        <references count="5">
          <reference field="3" count="1" selected="0">
            <x v="2"/>
          </reference>
          <reference field="8" count="1" selected="0">
            <x v="8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3"/>
          </reference>
        </references>
      </pivotArea>
    </format>
    <format dxfId="174">
      <pivotArea dataOnly="0" labelOnly="1" fieldPosition="0">
        <references count="5">
          <reference field="3" count="1" selected="0">
            <x v="1"/>
          </reference>
          <reference field="8" count="1" selected="0">
            <x v="18"/>
          </reference>
          <reference field="9" count="1" selected="0">
            <x v="28"/>
          </reference>
          <reference field="15" count="1" selected="0">
            <x v="59"/>
          </reference>
          <reference field="16" count="1">
            <x v="10"/>
          </reference>
        </references>
      </pivotArea>
    </format>
    <format dxfId="175">
      <pivotArea dataOnly="0" labelOnly="1" fieldPosition="0">
        <references count="5">
          <reference field="3" count="1" selected="0">
            <x v="1"/>
          </reference>
          <reference field="8" count="1" selected="0">
            <x v="28"/>
          </reference>
          <reference field="9" count="1" selected="0">
            <x v="28"/>
          </reference>
          <reference field="15" count="1" selected="0">
            <x v="59"/>
          </reference>
          <reference field="16" count="1">
            <x v="10"/>
          </reference>
        </references>
      </pivotArea>
    </format>
    <format dxfId="176">
      <pivotArea dataOnly="0" labelOnly="1" fieldPosition="0">
        <references count="5">
          <reference field="3" count="1" selected="0">
            <x v="2"/>
          </reference>
          <reference field="8" count="1" selected="0">
            <x v="0"/>
          </reference>
          <reference field="9" count="1" selected="0">
            <x v="29"/>
          </reference>
          <reference field="15" count="1" selected="0">
            <x v="52"/>
          </reference>
          <reference field="16" count="1">
            <x v="10"/>
          </reference>
        </references>
      </pivotArea>
    </format>
    <format dxfId="177">
      <pivotArea dataOnly="0" labelOnly="1" fieldPosition="0">
        <references count="5">
          <reference field="3" count="1" selected="0">
            <x v="1"/>
          </reference>
          <reference field="8" count="1" selected="0">
            <x v="16"/>
          </reference>
          <reference field="9" count="1" selected="0">
            <x v="29"/>
          </reference>
          <reference field="15" count="1" selected="0">
            <x v="52"/>
          </reference>
          <reference field="16" count="1">
            <x v="11"/>
          </reference>
        </references>
      </pivotArea>
    </format>
    <format dxfId="178">
      <pivotArea dataOnly="0" labelOnly="1" fieldPosition="0">
        <references count="5">
          <reference field="3" count="1" selected="0">
            <x v="3"/>
          </reference>
          <reference field="8" count="1" selected="0">
            <x v="16"/>
          </reference>
          <reference field="9" count="1" selected="0">
            <x v="29"/>
          </reference>
          <reference field="15" count="1" selected="0">
            <x v="52"/>
          </reference>
          <reference field="16" count="1">
            <x v="11"/>
          </reference>
        </references>
      </pivotArea>
    </format>
    <format dxfId="179">
      <pivotArea dataOnly="0" labelOnly="1" fieldPosition="0">
        <references count="5">
          <reference field="3" count="1" selected="0">
            <x v="2"/>
          </reference>
          <reference field="8" count="1" selected="0">
            <x v="0"/>
          </reference>
          <reference field="9" count="1" selected="0">
            <x v="30"/>
          </reference>
          <reference field="15" count="1" selected="0">
            <x v="53"/>
          </reference>
          <reference field="16" count="1">
            <x v="10"/>
          </reference>
        </references>
      </pivotArea>
    </format>
    <format dxfId="180">
      <pivotArea dataOnly="0" labelOnly="1" fieldPosition="0">
        <references count="5">
          <reference field="3" count="1" selected="0">
            <x v="1"/>
          </reference>
          <reference field="8" count="1" selected="0">
            <x v="16"/>
          </reference>
          <reference field="9" count="1" selected="0">
            <x v="30"/>
          </reference>
          <reference field="15" count="1" selected="0">
            <x v="53"/>
          </reference>
          <reference field="16" count="1">
            <x v="11"/>
          </reference>
        </references>
      </pivotArea>
    </format>
    <format dxfId="181">
      <pivotArea dataOnly="0" labelOnly="1" fieldPosition="0">
        <references count="5">
          <reference field="3" count="1" selected="0">
            <x v="3"/>
          </reference>
          <reference field="8" count="1" selected="0">
            <x v="16"/>
          </reference>
          <reference field="9" count="1" selected="0">
            <x v="30"/>
          </reference>
          <reference field="15" count="1" selected="0">
            <x v="53"/>
          </reference>
          <reference field="16" count="1">
            <x v="11"/>
          </reference>
        </references>
      </pivotArea>
    </format>
    <format dxfId="182">
      <pivotArea dataOnly="0" labelOnly="1" fieldPosition="0">
        <references count="5">
          <reference field="3" count="1" selected="0">
            <x v="1"/>
          </reference>
          <reference field="8" count="1" selected="0">
            <x v="24"/>
          </reference>
          <reference field="9" count="1" selected="0">
            <x v="31"/>
          </reference>
          <reference field="15" count="1" selected="0">
            <x v="47"/>
          </reference>
          <reference field="16" count="1">
            <x v="11"/>
          </reference>
        </references>
      </pivotArea>
    </format>
    <format dxfId="183">
      <pivotArea dataOnly="0" labelOnly="1" fieldPosition="0">
        <references count="5">
          <reference field="3" count="1" selected="0">
            <x v="2"/>
          </reference>
          <reference field="8" count="1" selected="0">
            <x v="21"/>
          </reference>
          <reference field="9" count="1" selected="0">
            <x v="32"/>
          </reference>
          <reference field="15" count="1" selected="0">
            <x v="5"/>
          </reference>
          <reference field="16" count="1">
            <x v="1"/>
          </reference>
        </references>
      </pivotArea>
    </format>
    <format dxfId="184">
      <pivotArea dataOnly="0" labelOnly="1" fieldPosition="0">
        <references count="5">
          <reference field="3" count="1" selected="0">
            <x v="2"/>
          </reference>
          <reference field="8" count="1" selected="0">
            <x v="25"/>
          </reference>
          <reference field="9" count="1" selected="0">
            <x v="33"/>
          </reference>
          <reference field="15" count="1" selected="0">
            <x v="51"/>
          </reference>
          <reference field="16" count="1">
            <x v="11"/>
          </reference>
        </references>
      </pivotArea>
    </format>
    <format dxfId="185">
      <pivotArea dataOnly="0" labelOnly="1" fieldPosition="0">
        <references count="5">
          <reference field="3" count="1" selected="0">
            <x v="4"/>
          </reference>
          <reference field="8" count="1" selected="0">
            <x v="25"/>
          </reference>
          <reference field="9" count="1" selected="0">
            <x v="33"/>
          </reference>
          <reference field="15" count="1" selected="0">
            <x v="51"/>
          </reference>
          <reference field="16" count="1">
            <x v="11"/>
          </reference>
        </references>
      </pivotArea>
    </format>
    <format dxfId="186">
      <pivotArea dataOnly="0" labelOnly="1" fieldPosition="0">
        <references count="5">
          <reference field="3" count="1" selected="0">
            <x v="0"/>
          </reference>
          <reference field="8" count="1" selected="0">
            <x v="40"/>
          </reference>
          <reference field="9" count="1" selected="0">
            <x v="34"/>
          </reference>
          <reference field="15" count="1" selected="0">
            <x v="35"/>
          </reference>
          <reference field="16" count="1">
            <x v="11"/>
          </reference>
        </references>
      </pivotArea>
    </format>
    <format dxfId="187">
      <pivotArea dataOnly="0" labelOnly="1" fieldPosition="0">
        <references count="5">
          <reference field="3" count="1" selected="0">
            <x v="1"/>
          </reference>
          <reference field="8" count="1" selected="0">
            <x v="40"/>
          </reference>
          <reference field="9" count="1" selected="0">
            <x v="34"/>
          </reference>
          <reference field="15" count="1" selected="0">
            <x v="35"/>
          </reference>
          <reference field="16" count="1">
            <x v="11"/>
          </reference>
        </references>
      </pivotArea>
    </format>
    <format dxfId="188">
      <pivotArea dataOnly="0" labelOnly="1" fieldPosition="0">
        <references count="5">
          <reference field="3" count="1" selected="0">
            <x v="2"/>
          </reference>
          <reference field="8" count="1" selected="0">
            <x v="40"/>
          </reference>
          <reference field="9" count="1" selected="0">
            <x v="34"/>
          </reference>
          <reference field="15" count="1" selected="0">
            <x v="35"/>
          </reference>
          <reference field="16" count="1">
            <x v="11"/>
          </reference>
        </references>
      </pivotArea>
    </format>
    <format dxfId="189">
      <pivotArea dataOnly="0" labelOnly="1" fieldPosition="0">
        <references count="5">
          <reference field="3" count="1" selected="0">
            <x v="3"/>
          </reference>
          <reference field="8" count="1" selected="0">
            <x v="40"/>
          </reference>
          <reference field="9" count="1" selected="0">
            <x v="34"/>
          </reference>
          <reference field="15" count="1" selected="0">
            <x v="35"/>
          </reference>
          <reference field="16" count="1">
            <x v="11"/>
          </reference>
        </references>
      </pivotArea>
    </format>
    <format dxfId="190">
      <pivotArea dataOnly="0" labelOnly="1" fieldPosition="0">
        <references count="5">
          <reference field="3" count="1" selected="0">
            <x v="3"/>
          </reference>
          <reference field="8" count="1" selected="0">
            <x v="33"/>
          </reference>
          <reference field="9" count="1" selected="0">
            <x v="37"/>
          </reference>
          <reference field="15" count="1" selected="0">
            <x v="43"/>
          </reference>
          <reference field="16" count="1">
            <x v="11"/>
          </reference>
        </references>
      </pivotArea>
    </format>
    <format dxfId="191">
      <pivotArea dataOnly="0" labelOnly="1" fieldPosition="0">
        <references count="5">
          <reference field="3" count="1" selected="0">
            <x v="0"/>
          </reference>
          <reference field="8" count="1" selected="0">
            <x v="16"/>
          </reference>
          <reference field="9" count="1" selected="0">
            <x v="38"/>
          </reference>
          <reference field="15" count="1" selected="0">
            <x v="61"/>
          </reference>
          <reference field="16" count="1">
            <x v="11"/>
          </reference>
        </references>
      </pivotArea>
    </format>
    <format dxfId="192">
      <pivotArea dataOnly="0" labelOnly="1" fieldPosition="0">
        <references count="5">
          <reference field="3" count="1" selected="0">
            <x v="1"/>
          </reference>
          <reference field="8" count="1" selected="0">
            <x v="5"/>
          </reference>
          <reference field="9" count="1" selected="0">
            <x v="46"/>
          </reference>
          <reference field="15" count="1" selected="0">
            <x v="55"/>
          </reference>
          <reference field="16" count="1">
            <x v="3"/>
          </reference>
        </references>
      </pivotArea>
    </format>
    <format dxfId="193">
      <pivotArea dataOnly="0" labelOnly="1" fieldPosition="0">
        <references count="5">
          <reference field="3" count="1" selected="0">
            <x v="3"/>
          </reference>
          <reference field="8" count="1" selected="0">
            <x v="33"/>
          </reference>
          <reference field="9" count="1" selected="0">
            <x v="46"/>
          </reference>
          <reference field="15" count="1" selected="0">
            <x v="55"/>
          </reference>
          <reference field="16" count="1">
            <x v="11"/>
          </reference>
        </references>
      </pivotArea>
    </format>
    <format dxfId="194">
      <pivotArea dataOnly="0" labelOnly="1" fieldPosition="0">
        <references count="5">
          <reference field="3" count="1" selected="0">
            <x v="3"/>
          </reference>
          <reference field="8" count="1" selected="0">
            <x v="37"/>
          </reference>
          <reference field="9" count="1" selected="0">
            <x v="50"/>
          </reference>
          <reference field="15" count="1" selected="0">
            <x v="41"/>
          </reference>
          <reference field="16" count="1">
            <x v="11"/>
          </reference>
        </references>
      </pivotArea>
    </format>
    <format dxfId="195">
      <pivotArea dataOnly="0" labelOnly="1" fieldPosition="0">
        <references count="5">
          <reference field="3" count="1" selected="0">
            <x v="4"/>
          </reference>
          <reference field="8" count="1" selected="0">
            <x v="37"/>
          </reference>
          <reference field="9" count="1" selected="0">
            <x v="50"/>
          </reference>
          <reference field="15" count="1" selected="0">
            <x v="41"/>
          </reference>
          <reference field="16" count="1">
            <x v="11"/>
          </reference>
        </references>
      </pivotArea>
    </format>
    <format dxfId="196">
      <pivotArea dataOnly="0" labelOnly="1" fieldPosition="0">
        <references count="5">
          <reference field="3" count="1" selected="0">
            <x v="0"/>
          </reference>
          <reference field="8" count="1" selected="0">
            <x v="2"/>
          </reference>
          <reference field="9" count="1" selected="0">
            <x v="51"/>
          </reference>
          <reference field="15" count="1" selected="0">
            <x v="27"/>
          </reference>
          <reference field="16" count="1">
            <x v="11"/>
          </reference>
        </references>
      </pivotArea>
    </format>
    <format dxfId="197">
      <pivotArea dataOnly="0" labelOnly="1" fieldPosition="0">
        <references count="5">
          <reference field="3" count="1" selected="0">
            <x v="1"/>
          </reference>
          <reference field="8" count="1" selected="0">
            <x v="26"/>
          </reference>
          <reference field="9" count="1" selected="0">
            <x v="51"/>
          </reference>
          <reference field="15" count="1" selected="0">
            <x v="27"/>
          </reference>
          <reference field="16" count="1">
            <x v="11"/>
          </reference>
        </references>
      </pivotArea>
    </format>
    <format dxfId="198">
      <pivotArea dataOnly="0" labelOnly="1" fieldPosition="0">
        <references count="5">
          <reference field="3" count="1" selected="0">
            <x v="1"/>
          </reference>
          <reference field="8" count="1" selected="0">
            <x v="32"/>
          </reference>
          <reference field="9" count="1" selected="0">
            <x v="52"/>
          </reference>
          <reference field="15" count="1" selected="0">
            <x v="39"/>
          </reference>
          <reference field="16" count="1">
            <x v="11"/>
          </reference>
        </references>
      </pivotArea>
    </format>
    <format dxfId="199">
      <pivotArea dataOnly="0" labelOnly="1" fieldPosition="0">
        <references count="5">
          <reference field="3" count="1" selected="0">
            <x v="1"/>
          </reference>
          <reference field="8" count="1" selected="0">
            <x v="7"/>
          </reference>
          <reference field="9" count="1" selected="0">
            <x v="55"/>
          </reference>
          <reference field="15" count="1" selected="0">
            <x v="3"/>
          </reference>
          <reference field="16" count="1">
            <x v="3"/>
          </reference>
        </references>
      </pivotArea>
    </format>
    <format dxfId="200">
      <pivotArea dataOnly="0" labelOnly="1" fieldPosition="0">
        <references count="5">
          <reference field="3" count="1" selected="0">
            <x v="2"/>
          </reference>
          <reference field="8" count="1" selected="0">
            <x v="7"/>
          </reference>
          <reference field="9" count="1" selected="0">
            <x v="55"/>
          </reference>
          <reference field="15" count="1" selected="0">
            <x v="3"/>
          </reference>
          <reference field="16" count="1">
            <x v="3"/>
          </reference>
        </references>
      </pivotArea>
    </format>
    <format dxfId="201">
      <pivotArea dataOnly="0" labelOnly="1" fieldPosition="0">
        <references count="5">
          <reference field="3" count="1" selected="0">
            <x v="4"/>
          </reference>
          <reference field="8" count="1" selected="0">
            <x v="7"/>
          </reference>
          <reference field="9" count="1" selected="0">
            <x v="55"/>
          </reference>
          <reference field="15" count="1" selected="0">
            <x v="3"/>
          </reference>
          <reference field="16" count="1">
            <x v="3"/>
          </reference>
        </references>
      </pivotArea>
    </format>
    <format dxfId="202">
      <pivotArea dataOnly="0" labelOnly="1" fieldPosition="0">
        <references count="5">
          <reference field="3" count="1" selected="0">
            <x v="3"/>
          </reference>
          <reference field="8" count="1" selected="0">
            <x v="22"/>
          </reference>
          <reference field="9" count="1" selected="0">
            <x v="56"/>
          </reference>
          <reference field="15" count="1" selected="0">
            <x v="45"/>
          </reference>
          <reference field="16" count="1">
            <x v="10"/>
          </reference>
        </references>
      </pivotArea>
    </format>
    <format dxfId="203">
      <pivotArea dataOnly="0" labelOnly="1" fieldPosition="0">
        <references count="5">
          <reference field="3" count="1" selected="0">
            <x v="3"/>
          </reference>
          <reference field="8" count="1" selected="0">
            <x v="24"/>
          </reference>
          <reference field="9" count="1" selected="0">
            <x v="56"/>
          </reference>
          <reference field="15" count="1" selected="0">
            <x v="45"/>
          </reference>
          <reference field="16" count="1">
            <x v="11"/>
          </reference>
        </references>
      </pivotArea>
    </format>
    <format dxfId="204">
      <pivotArea dataOnly="0" labelOnly="1" fieldPosition="0">
        <references count="5">
          <reference field="3" count="1" selected="0">
            <x v="0"/>
          </reference>
          <reference field="8" count="1" selected="0">
            <x v="40"/>
          </reference>
          <reference field="9" count="1" selected="0">
            <x v="57"/>
          </reference>
          <reference field="15" count="1" selected="0">
            <x v="42"/>
          </reference>
          <reference field="16" count="1">
            <x v="11"/>
          </reference>
        </references>
      </pivotArea>
    </format>
    <format dxfId="205">
      <pivotArea dataOnly="0" labelOnly="1" fieldPosition="0">
        <references count="5">
          <reference field="3" count="1" selected="0">
            <x v="1"/>
          </reference>
          <reference field="8" count="1" selected="0">
            <x v="40"/>
          </reference>
          <reference field="9" count="1" selected="0">
            <x v="57"/>
          </reference>
          <reference field="15" count="1" selected="0">
            <x v="42"/>
          </reference>
          <reference field="16" count="1">
            <x v="11"/>
          </reference>
        </references>
      </pivotArea>
    </format>
    <format dxfId="206">
      <pivotArea dataOnly="0" labelOnly="1" fieldPosition="0">
        <references count="5">
          <reference field="3" count="1" selected="0">
            <x v="2"/>
          </reference>
          <reference field="8" count="1" selected="0">
            <x v="40"/>
          </reference>
          <reference field="9" count="1" selected="0">
            <x v="57"/>
          </reference>
          <reference field="15" count="1" selected="0">
            <x v="42"/>
          </reference>
          <reference field="16" count="1">
            <x v="11"/>
          </reference>
        </references>
      </pivotArea>
    </format>
    <format dxfId="207">
      <pivotArea dataOnly="0" labelOnly="1" fieldPosition="0">
        <references count="5">
          <reference field="3" count="1" selected="0">
            <x v="3"/>
          </reference>
          <reference field="8" count="1" selected="0">
            <x v="40"/>
          </reference>
          <reference field="9" count="1" selected="0">
            <x v="57"/>
          </reference>
          <reference field="15" count="1" selected="0">
            <x v="42"/>
          </reference>
          <reference field="16" count="1">
            <x v="11"/>
          </reference>
        </references>
      </pivotArea>
    </format>
    <format dxfId="208">
      <pivotArea dataOnly="0" labelOnly="1" fieldPosition="0">
        <references count="5">
          <reference field="3" count="1" selected="0">
            <x v="1"/>
          </reference>
          <reference field="8" count="1" selected="0">
            <x v="5"/>
          </reference>
          <reference field="9" count="1" selected="0">
            <x v="58"/>
          </reference>
          <reference field="15" count="1" selected="0">
            <x v="57"/>
          </reference>
          <reference field="16" count="1">
            <x v="3"/>
          </reference>
        </references>
      </pivotArea>
    </format>
    <format dxfId="209">
      <pivotArea dataOnly="0" labelOnly="1" fieldPosition="0">
        <references count="5">
          <reference field="3" count="1" selected="0">
            <x v="1"/>
          </reference>
          <reference field="8" count="1" selected="0">
            <x v="24"/>
          </reference>
          <reference field="9" count="1" selected="0">
            <x v="60"/>
          </reference>
          <reference field="15" count="1" selected="0">
            <x v="48"/>
          </reference>
          <reference field="16" count="1">
            <x v="11"/>
          </reference>
        </references>
      </pivotArea>
    </format>
    <format dxfId="210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>
  <location ref="A3:F875" firstHeaderRow="1" firstDataRow="1" firstDataCol="5"/>
  <pivotFields count="17">
    <pivotField compact="0" outline="0" showAll="0">
      <items count="24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93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numFmtId="58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4">
        <item x="41"/>
        <item x="10"/>
        <item x="9"/>
        <item x="22"/>
        <item x="34"/>
        <item x="8"/>
        <item x="52"/>
        <item x="47"/>
        <item x="40"/>
        <item x="0"/>
        <item x="25"/>
        <item x="30"/>
        <item x="6"/>
        <item x="21"/>
        <item x="26"/>
        <item x="35"/>
        <item x="7"/>
        <item x="24"/>
        <item x="38"/>
        <item x="39"/>
        <item x="5"/>
        <item x="12"/>
        <item x="49"/>
        <item x="32"/>
        <item x="1"/>
        <item x="2"/>
        <item x="3"/>
        <item x="4"/>
        <item x="11"/>
        <item x="13"/>
        <item x="14"/>
        <item x="15"/>
        <item x="16"/>
        <item x="17"/>
        <item x="18"/>
        <item x="19"/>
        <item x="20"/>
        <item x="23"/>
        <item x="27"/>
        <item x="28"/>
        <item x="29"/>
        <item x="31"/>
        <item x="33"/>
        <item x="36"/>
        <item x="37"/>
        <item x="42"/>
        <item x="43"/>
        <item x="44"/>
        <item x="45"/>
        <item x="46"/>
        <item x="48"/>
        <item x="50"/>
        <item x="5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insertPageBreak="1" defaultSubtotal="0" outline="0" showAll="0" includeNewItemsInFilter="1">
      <items count="85">
        <item x="68"/>
        <item x="13"/>
        <item x="3"/>
        <item x="35"/>
        <item x="67"/>
        <item x="21"/>
        <item x="4"/>
        <item x="76"/>
        <item x="17"/>
        <item x="30"/>
        <item x="25"/>
        <item x="11"/>
        <item x="10"/>
        <item x="7"/>
        <item x="65"/>
        <item x="34"/>
        <item x="58"/>
        <item x="47"/>
        <item x="45"/>
        <item x="0"/>
        <item x="6"/>
        <item x="9"/>
        <item x="59"/>
        <item x="42"/>
        <item x="57"/>
        <item x="8"/>
        <item x="23"/>
        <item x="16"/>
        <item x="19"/>
        <item x="50"/>
        <item x="20"/>
        <item x="32"/>
        <item x="33"/>
        <item x="63"/>
        <item x="62"/>
        <item x="41"/>
        <item x="60"/>
        <item x="74"/>
        <item x="14"/>
        <item x="69"/>
        <item x="53"/>
        <item x="70"/>
        <item x="66"/>
        <item x="36"/>
        <item x="82"/>
        <item x="31"/>
        <item x="2"/>
        <item x="71"/>
        <item x="12"/>
        <item x="78"/>
        <item x="61"/>
        <item x="49"/>
        <item x="40"/>
        <item x="43"/>
        <item x="28"/>
        <item x="15"/>
        <item x="64"/>
        <item x="48"/>
        <item x="44"/>
        <item x="22"/>
        <item x="24"/>
        <item x="79"/>
        <item x="1"/>
        <item x="75"/>
        <item x="73"/>
        <item x="72"/>
        <item x="27"/>
        <item x="26"/>
        <item x="37"/>
        <item x="29"/>
        <item x="84"/>
        <item x="80"/>
        <item x="83"/>
        <item x="18"/>
        <item x="38"/>
        <item x="5"/>
        <item x="39"/>
        <item x="46"/>
        <item x="51"/>
        <item x="52"/>
        <item x="54"/>
        <item x="55"/>
        <item x="56"/>
        <item x="77"/>
        <item x="81"/>
      </items>
    </pivotField>
    <pivotField axis="axisRow" compact="0" outline="0" showAll="0">
      <items count="136">
        <item x="76"/>
        <item x="40"/>
        <item x="93"/>
        <item x="21"/>
        <item x="63"/>
        <item x="108"/>
        <item x="122"/>
        <item x="11"/>
        <item x="95"/>
        <item x="18"/>
        <item x="86"/>
        <item x="120"/>
        <item x="121"/>
        <item x="114"/>
        <item x="109"/>
        <item x="46"/>
        <item x="59"/>
        <item x="101"/>
        <item x="56"/>
        <item x="20"/>
        <item x="42"/>
        <item x="88"/>
        <item x="99"/>
        <item x="43"/>
        <item x="98"/>
        <item x="87"/>
        <item x="111"/>
        <item x="89"/>
        <item x="79"/>
        <item x="25"/>
        <item x="24"/>
        <item x="53"/>
        <item x="117"/>
        <item x="68"/>
        <item x="51"/>
        <item x="90"/>
        <item x="85"/>
        <item x="28"/>
        <item x="55"/>
        <item x="77"/>
        <item x="13"/>
        <item x="65"/>
        <item x="19"/>
        <item x="94"/>
        <item x="97"/>
        <item x="118"/>
        <item x="0"/>
        <item x="116"/>
        <item x="83"/>
        <item x="12"/>
        <item x="29"/>
        <item x="49"/>
        <item x="34"/>
        <item x="78"/>
        <item x="112"/>
        <item x="48"/>
        <item x="26"/>
        <item x="52"/>
        <item x="32"/>
        <item x="15"/>
        <item x="54"/>
        <item x="84"/>
        <item x="14"/>
        <item x="80"/>
        <item x="81"/>
        <item m="1" x="128"/>
        <item x="7"/>
        <item x="50"/>
        <item x="127"/>
        <item x="123"/>
        <item x="124"/>
        <item x="70"/>
        <item x="57"/>
        <item x="58"/>
        <item x="38"/>
        <item x="69"/>
        <item x="105"/>
        <item x="5"/>
        <item x="3"/>
        <item x="44"/>
        <item x="106"/>
        <item x="62"/>
        <item x="61"/>
        <item x="27"/>
        <item x="36"/>
        <item x="37"/>
        <item x="39"/>
        <item x="47"/>
        <item x="22"/>
        <item x="23"/>
        <item x="30"/>
        <item x="31"/>
        <item x="35"/>
        <item x="104"/>
        <item x="2"/>
        <item x="113"/>
        <item x="96"/>
        <item x="45"/>
        <item x="64"/>
        <item x="4"/>
        <item x="66"/>
        <item x="67"/>
        <item x="41"/>
        <item x="9"/>
        <item x="115"/>
        <item x="60"/>
        <item x="102"/>
        <item x="1"/>
        <item x="82"/>
        <item x="107"/>
        <item x="110"/>
        <item x="6"/>
        <item x="8"/>
        <item x="10"/>
        <item x="16"/>
        <item x="17"/>
        <item x="33"/>
        <item x="72"/>
        <item x="73"/>
        <item x="74"/>
        <item x="75"/>
        <item m="1" x="129"/>
        <item m="1" x="130"/>
        <item x="92"/>
        <item m="1" x="131"/>
        <item m="1" x="132"/>
        <item m="1" x="133"/>
        <item m="1" x="134"/>
        <item x="125"/>
        <item x="126"/>
        <item x="100"/>
        <item x="103"/>
        <item x="91"/>
        <item x="71"/>
        <item x="1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numFmtId="181" showAll="0">
      <items count="1112">
        <item x="40"/>
        <item x="502"/>
        <item x="536"/>
        <item x="489"/>
        <item x="377"/>
        <item x="405"/>
        <item x="378"/>
        <item x="458"/>
        <item x="371"/>
        <item x="456"/>
        <item x="459"/>
        <item x="434"/>
        <item x="477"/>
        <item x="1103"/>
        <item x="460"/>
        <item x="560"/>
        <item x="424"/>
        <item x="539"/>
        <item x="406"/>
        <item x="461"/>
        <item x="476"/>
        <item x="472"/>
        <item x="1098"/>
        <item x="1078"/>
        <item x="483"/>
        <item x="353"/>
        <item x="513"/>
        <item x="323"/>
        <item x="288"/>
        <item x="880"/>
        <item x="369"/>
        <item x="503"/>
        <item x="1089"/>
        <item x="379"/>
        <item x="548"/>
        <item x="435"/>
        <item x="831"/>
        <item x="478"/>
        <item x="298"/>
        <item x="376"/>
        <item x="508"/>
        <item x="526"/>
        <item x="480"/>
        <item x="407"/>
        <item x="843"/>
        <item x="467"/>
        <item x="744"/>
        <item x="527"/>
        <item x="368"/>
        <item x="436"/>
        <item x="500"/>
        <item x="429"/>
        <item x="569"/>
        <item x="750"/>
        <item x="563"/>
        <item x="366"/>
        <item x="899"/>
        <item x="540"/>
        <item x="632"/>
        <item x="1092"/>
        <item x="1071"/>
        <item x="1084"/>
        <item x="688"/>
        <item x="1101"/>
        <item x="352"/>
        <item x="660"/>
        <item x="109"/>
        <item x="301"/>
        <item x="1090"/>
        <item x="584"/>
        <item x="936"/>
        <item x="544"/>
        <item x="700"/>
        <item x="474"/>
        <item x="514"/>
        <item x="307"/>
        <item x="832"/>
        <item x="1068"/>
        <item x="826"/>
        <item x="713"/>
        <item x="551"/>
        <item x="1064"/>
        <item x="828"/>
        <item x="568"/>
        <item x="547"/>
        <item x="726"/>
        <item x="1079"/>
        <item x="715"/>
        <item x="92"/>
        <item x="506"/>
        <item x="1099"/>
        <item x="487"/>
        <item x="825"/>
        <item x="286"/>
        <item x="980"/>
        <item x="829"/>
        <item x="566"/>
        <item x="453"/>
        <item x="463"/>
        <item x="819"/>
        <item x="1085"/>
        <item x="745"/>
        <item x="921"/>
        <item x="1096"/>
        <item x="972"/>
        <item x="565"/>
        <item x="655"/>
        <item x="926"/>
        <item x="763"/>
        <item x="1081"/>
        <item x="830"/>
        <item x="861"/>
        <item x="965"/>
        <item x="833"/>
        <item x="658"/>
        <item x="1034"/>
        <item x="962"/>
        <item x="827"/>
        <item x="313"/>
        <item x="724"/>
        <item x="1072"/>
        <item x="721"/>
        <item x="1094"/>
        <item x="742"/>
        <item x="857"/>
        <item x="767"/>
        <item x="979"/>
        <item x="581"/>
        <item x="725"/>
        <item x="373"/>
        <item x="439"/>
        <item x="917"/>
        <item x="455"/>
        <item x="343"/>
        <item x="653"/>
        <item x="738"/>
        <item x="884"/>
        <item x="768"/>
        <item x="1033"/>
        <item x="509"/>
        <item x="807"/>
        <item x="931"/>
        <item x="1095"/>
        <item x="849"/>
        <item x="741"/>
        <item x="1075"/>
        <item x="678"/>
        <item x="928"/>
        <item x="815"/>
        <item x="994"/>
        <item x="543"/>
        <item x="493"/>
        <item x="654"/>
        <item x="870"/>
        <item x="292"/>
        <item x="645"/>
        <item x="898"/>
        <item x="973"/>
        <item x="718"/>
        <item x="874"/>
        <item x="818"/>
        <item x="638"/>
        <item x="1070"/>
        <item x="644"/>
        <item x="918"/>
        <item x="755"/>
        <item x="1027"/>
        <item x="656"/>
        <item x="934"/>
        <item x="816"/>
        <item x="1102"/>
        <item x="974"/>
        <item x="712"/>
        <item x="932"/>
        <item x="749"/>
        <item x="947"/>
        <item x="858"/>
        <item x="748"/>
        <item x="967"/>
        <item x="935"/>
        <item x="550"/>
        <item x="319"/>
        <item x="823"/>
        <item x="964"/>
        <item x="877"/>
        <item x="716"/>
        <item x="754"/>
        <item x="1030"/>
        <item x="990"/>
        <item x="388"/>
        <item x="762"/>
        <item x="1077"/>
        <item x="631"/>
        <item x="1058"/>
        <item x="978"/>
        <item x="312"/>
        <item x="683"/>
        <item x="419"/>
        <item x="966"/>
        <item x="853"/>
        <item x="704"/>
        <item x="736"/>
        <item x="1057"/>
        <item x="348"/>
        <item x="839"/>
        <item x="648"/>
        <item x="733"/>
        <item x="1069"/>
        <item x="879"/>
        <item x="702"/>
        <item x="751"/>
        <item x="963"/>
        <item x="848"/>
        <item x="705"/>
        <item x="814"/>
        <item x="958"/>
        <item x="919"/>
        <item x="647"/>
        <item x="579"/>
        <item x="940"/>
        <item x="847"/>
        <item x="657"/>
        <item x="91"/>
        <item x="316"/>
        <item x="989"/>
        <item x="485"/>
        <item x="758"/>
        <item x="1032"/>
        <item x="846"/>
        <item x="646"/>
        <item x="760"/>
        <item x="1048"/>
        <item x="842"/>
        <item x="714"/>
        <item x="730"/>
        <item x="723"/>
        <item x="735"/>
        <item x="953"/>
        <item x="924"/>
        <item x="673"/>
        <item x="770"/>
        <item x="957"/>
        <item x="852"/>
        <item x="997"/>
        <item x="882"/>
        <item x="676"/>
        <item x="743"/>
        <item x="1097"/>
        <item x="977"/>
        <item x="706"/>
        <item x="737"/>
        <item x="855"/>
        <item x="959"/>
        <item x="383"/>
        <item x="739"/>
        <item x="838"/>
        <item x="1044"/>
        <item x="995"/>
        <item x="731"/>
        <item x="923"/>
        <item x="948"/>
        <item x="633"/>
        <item x="868"/>
        <item x="949"/>
        <item x="710"/>
        <item x="795"/>
        <item x="845"/>
        <item x="981"/>
        <item x="679"/>
        <item x="766"/>
        <item x="872"/>
        <item x="1031"/>
        <item x="623"/>
        <item x="734"/>
        <item x="916"/>
        <item x="425"/>
        <item x="968"/>
        <item x="707"/>
        <item x="803"/>
        <item x="446"/>
        <item x="640"/>
        <item x="866"/>
        <item x="556"/>
        <item x="1028"/>
        <item x="975"/>
        <item x="511"/>
        <item x="773"/>
        <item x="869"/>
        <item x="465"/>
        <item x="987"/>
        <item x="804"/>
        <item x="630"/>
        <item x="946"/>
        <item x="820"/>
        <item x="659"/>
        <item x="883"/>
        <item x="993"/>
        <item x="765"/>
        <item x="703"/>
        <item x="95"/>
        <item x="844"/>
        <item x="1029"/>
        <item x="955"/>
        <item x="753"/>
        <item x="625"/>
        <item x="354"/>
        <item x="856"/>
        <item x="939"/>
        <item x="617"/>
        <item x="937"/>
        <item x="1065"/>
        <item x="960"/>
        <item x="696"/>
        <item x="915"/>
        <item x="284"/>
        <item x="998"/>
        <item x="752"/>
        <item x="693"/>
        <item x="876"/>
        <item x="1067"/>
        <item x="943"/>
        <item x="757"/>
        <item x="920"/>
        <item x="720"/>
        <item x="837"/>
        <item x="778"/>
        <item x="1083"/>
        <item x="971"/>
        <item x="933"/>
        <item x="813"/>
        <item x="1047"/>
        <item x="722"/>
        <item x="850"/>
        <item x="624"/>
        <item x="970"/>
        <item x="677"/>
        <item x="542"/>
        <item x="836"/>
        <item x="732"/>
        <item x="701"/>
        <item x="929"/>
        <item x="740"/>
        <item x="1063"/>
        <item x="537"/>
        <item x="711"/>
        <item x="529"/>
        <item x="824"/>
        <item x="1041"/>
        <item x="991"/>
        <item x="681"/>
        <item x="875"/>
        <item x="806"/>
        <item x="1042"/>
        <item x="695"/>
        <item x="927"/>
        <item x="788"/>
        <item x="1073"/>
        <item x="969"/>
        <item x="652"/>
        <item x="361"/>
        <item x="873"/>
        <item x="692"/>
        <item x="1088"/>
        <item x="865"/>
        <item x="662"/>
        <item x="834"/>
        <item x="672"/>
        <item x="988"/>
        <item x="871"/>
        <item x="759"/>
        <item x="717"/>
        <item x="152"/>
        <item x="854"/>
        <item x="475"/>
        <item x="583"/>
        <item x="772"/>
        <item x="885"/>
        <item x="687"/>
        <item x="1052"/>
        <item x="893"/>
        <item x="661"/>
        <item x="985"/>
        <item x="886"/>
        <item x="771"/>
        <item x="727"/>
        <item x="860"/>
        <item x="309"/>
        <item x="531"/>
        <item x="651"/>
        <item x="942"/>
        <item x="982"/>
        <item x="359"/>
        <item x="851"/>
        <item x="802"/>
        <item x="708"/>
        <item x="902"/>
        <item x="822"/>
        <item x="719"/>
        <item x="1066"/>
        <item x="1010"/>
        <item x="913"/>
        <item x="791"/>
        <item x="675"/>
        <item x="840"/>
        <item x="346"/>
        <item x="1049"/>
        <item x="1006"/>
        <item x="907"/>
        <item x="637"/>
        <item x="801"/>
        <item x="930"/>
        <item x="878"/>
        <item x="1074"/>
        <item x="800"/>
        <item x="956"/>
        <item x="444"/>
        <item x="746"/>
        <item x="282"/>
        <item x="945"/>
        <item x="761"/>
        <item x="616"/>
        <item x="881"/>
        <item x="777"/>
        <item x="728"/>
        <item x="1051"/>
        <item x="636"/>
        <item x="774"/>
        <item x="697"/>
        <item x="992"/>
        <item x="545"/>
        <item x="674"/>
        <item x="835"/>
        <item x="1082"/>
        <item x="951"/>
        <item x="325"/>
        <item x="922"/>
        <item x="665"/>
        <item x="986"/>
        <item x="106"/>
        <item x="792"/>
        <item x="698"/>
        <item x="570"/>
        <item x="793"/>
        <item x="629"/>
        <item x="944"/>
        <item x="1059"/>
        <item x="764"/>
        <item x="370"/>
        <item x="315"/>
        <item x="859"/>
        <item x="97"/>
        <item x="1054"/>
        <item x="892"/>
        <item x="691"/>
        <item x="1053"/>
        <item x="809"/>
        <item x="709"/>
        <item x="961"/>
        <item x="779"/>
        <item x="505"/>
        <item x="484"/>
        <item x="582"/>
        <item x="562"/>
        <item x="690"/>
        <item x="1087"/>
        <item x="817"/>
        <item x="686"/>
        <item x="1040"/>
        <item x="976"/>
        <item x="498"/>
        <item x="670"/>
        <item x="769"/>
        <item x="628"/>
        <item x="784"/>
        <item x="682"/>
        <item x="785"/>
        <item x="618"/>
        <item x="575"/>
        <item x="1036"/>
        <item x="863"/>
        <item x="619"/>
        <item x="290"/>
        <item x="925"/>
        <item x="669"/>
        <item x="1043"/>
        <item x="445"/>
        <item x="909"/>
        <item x="952"/>
        <item x="448"/>
        <item x="747"/>
        <item x="622"/>
        <item x="76"/>
        <item x="864"/>
        <item x="410"/>
        <item x="1017"/>
        <item x="386"/>
        <item x="306"/>
        <item x="781"/>
        <item x="667"/>
        <item x="808"/>
        <item x="1080"/>
        <item x="950"/>
        <item x="780"/>
        <item x="663"/>
        <item x="422"/>
        <item x="620"/>
        <item x="668"/>
        <item x="841"/>
        <item x="1004"/>
        <item x="903"/>
        <item x="380"/>
        <item x="126"/>
        <item x="390"/>
        <item x="782"/>
        <item x="1008"/>
        <item x="1009"/>
        <item x="908"/>
        <item x="1050"/>
        <item x="1018"/>
        <item x="786"/>
        <item x="1046"/>
        <item x="896"/>
        <item x="418"/>
        <item x="694"/>
        <item x="999"/>
        <item x="805"/>
        <item x="1045"/>
        <item x="684"/>
        <item x="680"/>
        <item x="518"/>
        <item x="1093"/>
        <item x="621"/>
        <item x="385"/>
        <item x="1055"/>
        <item x="954"/>
        <item x="911"/>
        <item x="1019"/>
        <item x="796"/>
        <item x="182"/>
        <item x="172"/>
        <item x="1015"/>
        <item x="897"/>
        <item x="588"/>
        <item x="364"/>
        <item x="402"/>
        <item x="1014"/>
        <item x="519"/>
        <item x="627"/>
        <item x="906"/>
        <item x="321"/>
        <item x="1086"/>
        <item x="887"/>
        <item x="1003"/>
        <item x="101"/>
        <item x="904"/>
        <item x="1038"/>
        <item x="437"/>
        <item x="626"/>
        <item x="1037"/>
        <item x="685"/>
        <item x="890"/>
        <item x="1100"/>
        <item x="664"/>
        <item x="905"/>
        <item x="811"/>
        <item x="1020"/>
        <item x="889"/>
        <item x="99"/>
        <item x="609"/>
        <item x="888"/>
        <item x="1011"/>
        <item x="1007"/>
        <item x="900"/>
        <item x="1021"/>
        <item x="635"/>
        <item x="1013"/>
        <item x="794"/>
        <item x="599"/>
        <item x="641"/>
        <item x="783"/>
        <item x="1002"/>
        <item x="787"/>
        <item x="1076"/>
        <item x="1026"/>
        <item x="1016"/>
        <item x="409"/>
        <item x="891"/>
        <item x="996"/>
        <item x="666"/>
        <item x="73"/>
        <item x="1001"/>
        <item x="524"/>
        <item x="650"/>
        <item x="188"/>
        <item x="867"/>
        <item x="634"/>
        <item x="559"/>
        <item x="297"/>
        <item x="776"/>
        <item x="1005"/>
        <item x="639"/>
        <item x="90"/>
        <item x="789"/>
        <item x="671"/>
        <item x="821"/>
        <item x="517"/>
        <item x="910"/>
        <item x="1000"/>
        <item x="1091"/>
        <item x="790"/>
        <item x="649"/>
        <item x="100"/>
        <item x="1056"/>
        <item x="350"/>
        <item x="553"/>
        <item x="567"/>
        <item x="941"/>
        <item x="901"/>
        <item x="699"/>
        <item x="365"/>
        <item x="160"/>
        <item x="515"/>
        <item x="124"/>
        <item x="357"/>
        <item x="530"/>
        <item x="615"/>
        <item x="1012"/>
        <item x="497"/>
        <item x="578"/>
        <item x="454"/>
        <item x="1039"/>
        <item x="137"/>
        <item x="984"/>
        <item x="642"/>
        <item x="912"/>
        <item x="178"/>
        <item x="311"/>
        <item x="797"/>
        <item x="279"/>
        <item x="469"/>
        <item x="432"/>
        <item x="294"/>
        <item x="96"/>
        <item x="400"/>
        <item x="812"/>
        <item x="499"/>
        <item x="397"/>
        <item x="600"/>
        <item x="894"/>
        <item x="62"/>
        <item x="756"/>
        <item x="296"/>
        <item x="26"/>
        <item x="412"/>
        <item x="242"/>
        <item x="1061"/>
        <item x="414"/>
        <item x="398"/>
        <item x="895"/>
        <item x="67"/>
        <item x="168"/>
        <item x="408"/>
        <item x="516"/>
        <item x="430"/>
        <item x="470"/>
        <item x="342"/>
        <item x="303"/>
        <item x="75"/>
        <item x="154"/>
        <item x="139"/>
        <item x="491"/>
        <item x="138"/>
        <item x="591"/>
        <item x="64"/>
        <item x="1060"/>
        <item x="571"/>
        <item x="574"/>
        <item x="355"/>
        <item x="125"/>
        <item x="554"/>
        <item x="192"/>
        <item x="520"/>
        <item x="643"/>
        <item x="413"/>
        <item x="1035"/>
        <item x="495"/>
        <item x="395"/>
        <item x="74"/>
        <item x="593"/>
        <item x="334"/>
        <item x="462"/>
        <item x="450"/>
        <item x="181"/>
        <item x="372"/>
        <item x="102"/>
        <item x="525"/>
        <item x="440"/>
        <item x="393"/>
        <item x="235"/>
        <item x="449"/>
        <item x="59"/>
        <item x="577"/>
        <item x="84"/>
        <item x="983"/>
        <item x="322"/>
        <item x="799"/>
        <item x="457"/>
        <item x="689"/>
        <item x="71"/>
        <item x="281"/>
        <item x="2"/>
        <item x="468"/>
        <item x="57"/>
        <item x="431"/>
        <item x="291"/>
        <item x="127"/>
        <item x="810"/>
        <item x="533"/>
        <item x="862"/>
        <item x="234"/>
        <item x="729"/>
        <item x="381"/>
        <item x="938"/>
        <item x="341"/>
        <item x="501"/>
        <item x="360"/>
        <item x="532"/>
        <item x="608"/>
        <item x="131"/>
        <item x="72"/>
        <item x="423"/>
        <item x="775"/>
        <item x="914"/>
        <item x="345"/>
        <item x="451"/>
        <item x="180"/>
        <item x="367"/>
        <item x="427"/>
        <item x="89"/>
        <item x="447"/>
        <item x="798"/>
        <item x="305"/>
        <item x="479"/>
        <item x="333"/>
        <item x="5"/>
        <item x="4"/>
        <item x="420"/>
        <item x="396"/>
        <item x="528"/>
        <item x="411"/>
        <item x="415"/>
        <item x="504"/>
        <item x="262"/>
        <item x="104"/>
        <item x="69"/>
        <item x="65"/>
        <item x="387"/>
        <item x="295"/>
        <item x="177"/>
        <item x="82"/>
        <item x="275"/>
        <item x="159"/>
        <item x="289"/>
        <item x="123"/>
        <item x="492"/>
        <item x="81"/>
        <item x="283"/>
        <item x="404"/>
        <item x="522"/>
        <item x="538"/>
        <item x="87"/>
        <item x="83"/>
        <item x="328"/>
        <item x="256"/>
        <item x="51"/>
        <item x="541"/>
        <item x="573"/>
        <item x="358"/>
        <item x="85"/>
        <item x="173"/>
        <item x="394"/>
        <item x="391"/>
        <item x="606"/>
        <item x="259"/>
        <item x="80"/>
        <item x="561"/>
        <item x="612"/>
        <item x="308"/>
        <item x="1062"/>
        <item x="61"/>
        <item x="327"/>
        <item x="255"/>
        <item x="228"/>
        <item x="88"/>
        <item x="336"/>
        <item x="356"/>
        <item x="507"/>
        <item x="442"/>
        <item x="108"/>
        <item x="66"/>
        <item x="549"/>
        <item x="141"/>
        <item x="196"/>
        <item x="441"/>
        <item x="121"/>
        <item x="320"/>
        <item x="332"/>
        <item x="276"/>
        <item x="206"/>
        <item x="466"/>
        <item x="597"/>
        <item x="589"/>
        <item x="1"/>
        <item x="17"/>
        <item x="349"/>
        <item x="300"/>
        <item x="258"/>
        <item x="122"/>
        <item x="293"/>
        <item x="3"/>
        <item x="605"/>
        <item x="557"/>
        <item x="601"/>
        <item x="60"/>
        <item x="481"/>
        <item x="490"/>
        <item x="318"/>
        <item x="175"/>
        <item x="267"/>
        <item x="382"/>
        <item x="211"/>
        <item x="602"/>
        <item x="169"/>
        <item x="523"/>
        <item x="50"/>
        <item x="317"/>
        <item x="79"/>
        <item x="257"/>
        <item x="337"/>
        <item x="374"/>
        <item x="70"/>
        <item x="254"/>
        <item x="161"/>
        <item x="299"/>
        <item x="52"/>
        <item x="274"/>
        <item x="426"/>
        <item x="261"/>
        <item x="98"/>
        <item x="56"/>
        <item x="344"/>
        <item x="268"/>
        <item x="179"/>
        <item x="217"/>
        <item x="552"/>
        <item x="331"/>
        <item x="266"/>
        <item x="595"/>
        <item x="464"/>
        <item x="174"/>
        <item x="473"/>
        <item x="416"/>
        <item x="253"/>
        <item x="222"/>
        <item x="229"/>
        <item x="314"/>
        <item x="310"/>
        <item x="120"/>
        <item x="534"/>
        <item x="564"/>
        <item x="103"/>
        <item x="265"/>
        <item x="134"/>
        <item x="389"/>
        <item x="592"/>
        <item x="132"/>
        <item x="194"/>
        <item x="421"/>
        <item x="285"/>
        <item x="263"/>
        <item x="220"/>
        <item x="162"/>
        <item x="287"/>
        <item x="133"/>
        <item x="221"/>
        <item x="610"/>
        <item x="107"/>
        <item x="230"/>
        <item x="585"/>
        <item x="403"/>
        <item x="183"/>
        <item x="572"/>
        <item x="278"/>
        <item x="198"/>
        <item x="214"/>
        <item x="598"/>
        <item x="252"/>
        <item x="49"/>
        <item x="53"/>
        <item x="68"/>
        <item x="452"/>
        <item x="324"/>
        <item x="351"/>
        <item x="362"/>
        <item x="207"/>
        <item x="384"/>
        <item x="94"/>
        <item x="184"/>
        <item x="199"/>
        <item x="347"/>
        <item x="604"/>
        <item x="488"/>
        <item x="213"/>
        <item x="46"/>
        <item x="78"/>
        <item x="270"/>
        <item x="580"/>
        <item x="251"/>
        <item x="156"/>
        <item x="63"/>
        <item x="329"/>
        <item x="219"/>
        <item x="417"/>
        <item x="153"/>
        <item x="136"/>
        <item x="486"/>
        <item x="246"/>
        <item x="140"/>
        <item x="1107"/>
        <item x="399"/>
        <item x="47"/>
        <item x="264"/>
        <item x="546"/>
        <item x="238"/>
        <item x="271"/>
        <item x="1106"/>
        <item x="521"/>
        <item x="236"/>
        <item x="166"/>
        <item x="392"/>
        <item x="471"/>
        <item x="594"/>
        <item x="223"/>
        <item x="205"/>
        <item x="215"/>
        <item x="158"/>
        <item x="245"/>
        <item x="55"/>
        <item x="280"/>
        <item x="165"/>
        <item x="210"/>
        <item x="185"/>
        <item x="607"/>
        <item x="596"/>
        <item x="0"/>
        <item x="201"/>
        <item x="164"/>
        <item x="260"/>
        <item x="208"/>
        <item x="237"/>
        <item x="218"/>
        <item x="200"/>
        <item x="244"/>
        <item x="129"/>
        <item x="269"/>
        <item x="216"/>
        <item x="58"/>
        <item x="202"/>
        <item x="375"/>
        <item x="204"/>
        <item x="401"/>
        <item x="510"/>
        <item x="1108"/>
        <item x="555"/>
        <item x="193"/>
        <item x="212"/>
        <item x="54"/>
        <item x="157"/>
        <item x="482"/>
        <item x="338"/>
        <item x="603"/>
        <item x="135"/>
        <item x="277"/>
        <item x="176"/>
        <item x="224"/>
        <item x="496"/>
        <item x="233"/>
        <item x="155"/>
        <item x="330"/>
        <item x="241"/>
        <item x="433"/>
        <item x="304"/>
        <item x="197"/>
        <item x="231"/>
        <item x="186"/>
        <item x="335"/>
        <item x="428"/>
        <item x="232"/>
        <item x="558"/>
        <item x="613"/>
        <item x="226"/>
        <item x="209"/>
        <item x="170"/>
        <item x="494"/>
        <item x="443"/>
        <item x="1023"/>
        <item x="302"/>
        <item x="576"/>
        <item x="250"/>
        <item x="614"/>
        <item x="590"/>
        <item x="363"/>
        <item x="512"/>
        <item x="203"/>
        <item x="128"/>
        <item x="12"/>
        <item x="118"/>
        <item x="195"/>
        <item x="247"/>
        <item x="22"/>
        <item x="587"/>
        <item x="326"/>
        <item x="112"/>
        <item x="171"/>
        <item x="225"/>
        <item x="77"/>
        <item x="240"/>
        <item x="117"/>
        <item x="130"/>
        <item x="13"/>
        <item x="273"/>
        <item x="611"/>
        <item x="86"/>
        <item x="16"/>
        <item x="227"/>
        <item x="14"/>
        <item x="93"/>
        <item x="116"/>
        <item x="249"/>
        <item x="1105"/>
        <item x="25"/>
        <item x="15"/>
        <item x="143"/>
        <item x="248"/>
        <item x="119"/>
        <item x="36"/>
        <item x="272"/>
        <item x="33"/>
        <item x="243"/>
        <item x="1104"/>
        <item x="110"/>
        <item x="20"/>
        <item x="187"/>
        <item x="24"/>
        <item x="239"/>
        <item x="19"/>
        <item x="23"/>
        <item x="30"/>
        <item x="21"/>
        <item x="34"/>
        <item x="167"/>
        <item x="535"/>
        <item x="8"/>
        <item x="29"/>
        <item x="28"/>
        <item x="115"/>
        <item x="11"/>
        <item x="10"/>
        <item x="41"/>
        <item x="105"/>
        <item x="38"/>
        <item x="45"/>
        <item x="31"/>
        <item x="18"/>
        <item x="48"/>
        <item x="43"/>
        <item x="39"/>
        <item x="9"/>
        <item x="37"/>
        <item x="32"/>
        <item x="35"/>
        <item x="44"/>
        <item x="27"/>
        <item x="1024"/>
        <item x="42"/>
        <item x="111"/>
        <item x="163"/>
        <item x="189"/>
        <item x="142"/>
        <item x="339"/>
        <item x="340"/>
        <item x="1109"/>
        <item x="586"/>
        <item x="438"/>
        <item x="114"/>
        <item x="190"/>
        <item x="191"/>
        <item x="113"/>
        <item x="7"/>
        <item x="6"/>
        <item x="151"/>
        <item x="147"/>
        <item x="148"/>
        <item x="150"/>
        <item x="149"/>
        <item x="146"/>
        <item x="145"/>
        <item x="144"/>
        <item x="1025"/>
        <item x="1022"/>
        <item x="11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insertPageBreak="1" defaultSubtotal="0" outline="0" showAll="0" includeNewItemsInFilter="1">
      <items count="125">
        <item x="6"/>
        <item x="87"/>
        <item x="114"/>
        <item x="47"/>
        <item x="86"/>
        <item x="115"/>
        <item x="118"/>
        <item x="112"/>
        <item x="89"/>
        <item x="107"/>
        <item x="85"/>
        <item x="84"/>
        <item x="88"/>
        <item x="20"/>
        <item x="92"/>
        <item x="18"/>
        <item x="93"/>
        <item x="82"/>
        <item x="58"/>
        <item x="116"/>
        <item x="15"/>
        <item x="19"/>
        <item x="106"/>
        <item x="16"/>
        <item x="17"/>
        <item x="10"/>
        <item x="11"/>
        <item x="48"/>
        <item x="13"/>
        <item x="109"/>
        <item x="76"/>
        <item x="77"/>
        <item x="83"/>
        <item x="91"/>
        <item x="110"/>
        <item x="50"/>
        <item x="14"/>
        <item x="96"/>
        <item x="95"/>
        <item x="33"/>
        <item x="41"/>
        <item x="29"/>
        <item x="51"/>
        <item x="28"/>
        <item x="64"/>
        <item x="26"/>
        <item x="21"/>
        <item x="52"/>
        <item x="53"/>
        <item x="12"/>
        <item x="42"/>
        <item x="67"/>
        <item x="25"/>
        <item x="24"/>
        <item x="39"/>
        <item x="0"/>
        <item x="99"/>
        <item x="32"/>
        <item x="62"/>
        <item x="78"/>
        <item x="75"/>
        <item x="54"/>
        <item x="55"/>
        <item x="97"/>
        <item x="45"/>
        <item x="79"/>
        <item x="80"/>
        <item x="117"/>
        <item x="7"/>
        <item x="49"/>
        <item x="122"/>
        <item x="119"/>
        <item x="120"/>
        <item m="1" x="124"/>
        <item x="56"/>
        <item x="57"/>
        <item x="37"/>
        <item x="68"/>
        <item x="103"/>
        <item x="5"/>
        <item x="3"/>
        <item x="43"/>
        <item x="104"/>
        <item x="61"/>
        <item x="60"/>
        <item x="27"/>
        <item x="35"/>
        <item x="36"/>
        <item x="38"/>
        <item x="46"/>
        <item x="22"/>
        <item x="23"/>
        <item x="30"/>
        <item x="31"/>
        <item x="34"/>
        <item x="102"/>
        <item x="2"/>
        <item x="111"/>
        <item x="94"/>
        <item x="44"/>
        <item x="63"/>
        <item x="4"/>
        <item x="65"/>
        <item x="66"/>
        <item x="40"/>
        <item m="1" x="123"/>
        <item x="113"/>
        <item x="59"/>
        <item x="100"/>
        <item x="1"/>
        <item x="101"/>
        <item x="81"/>
        <item x="105"/>
        <item x="108"/>
        <item x="71"/>
        <item x="72"/>
        <item x="73"/>
        <item x="74"/>
        <item x="90"/>
        <item x="121"/>
        <item x="98"/>
        <item x="8"/>
        <item x="70"/>
        <item x="9"/>
        <item x="69"/>
      </items>
    </pivotField>
    <pivotField axis="axisRow" compact="0" insertPageBreak="1" sumSubtotal="1" outline="0" showAll="0" includeNewItemsInFilter="1">
      <items count="27">
        <item x="9"/>
        <item x="11"/>
        <item x="10"/>
        <item x="2"/>
        <item x="1"/>
        <item x="6"/>
        <item x="7"/>
        <item x="13"/>
        <item x="8"/>
        <item x="12"/>
        <item x="5"/>
        <item x="0"/>
        <item x="4"/>
        <item x="14"/>
        <item x="3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t="sum"/>
      </items>
    </pivotField>
  </pivotFields>
  <rowFields count="5">
    <field x="16"/>
    <field x="9"/>
    <field x="15"/>
    <field x="8"/>
    <field x="3"/>
  </rowFields>
  <rowItems count="872">
    <i>
      <x/>
      <x v="132"/>
      <x/>
      <x v="78"/>
      <x v="37"/>
    </i>
    <i r="3">
      <x v="79"/>
      <x v="37"/>
    </i>
    <i r="3">
      <x v="80"/>
      <x v="10"/>
    </i>
    <i r="3">
      <x v="81"/>
      <x v="39"/>
    </i>
    <i r="3">
      <x v="82"/>
      <x v="39"/>
    </i>
    <i t="default" r="1">
      <x v="132"/>
    </i>
    <i t="sum">
      <x/>
    </i>
    <i>
      <x v="1"/>
      <x v="17"/>
      <x v="56"/>
      <x v="36"/>
      <x v="43"/>
    </i>
    <i r="4">
      <x v="46"/>
    </i>
    <i t="default" r="1">
      <x v="17"/>
    </i>
    <i r="1">
      <x v="32"/>
      <x v="5"/>
      <x v="37"/>
      <x v="45"/>
    </i>
    <i r="4">
      <x v="49"/>
    </i>
    <i t="default" r="1">
      <x v="32"/>
    </i>
    <i t="sum">
      <x v="1"/>
    </i>
    <i>
      <x v="2"/>
      <x v="70"/>
      <x v="72"/>
      <x v="44"/>
      <x v="7"/>
    </i>
    <i r="3">
      <x v="72"/>
      <x v="7"/>
    </i>
    <i r="3">
      <x v="84"/>
      <x v="7"/>
    </i>
    <i t="default" r="1">
      <x v="70"/>
    </i>
    <i r="1">
      <x v="123"/>
      <x v="118"/>
      <x v="40"/>
      <x v="10"/>
    </i>
    <i t="default" r="1">
      <x v="123"/>
    </i>
    <i t="sum">
      <x v="2"/>
    </i>
    <i>
      <x v="3"/>
      <x v="1"/>
      <x v="54"/>
      <x v="5"/>
      <x v="1"/>
    </i>
    <i r="4">
      <x v="2"/>
    </i>
    <i r="4">
      <x v="4"/>
    </i>
    <i r="4">
      <x v="5"/>
    </i>
    <i r="4">
      <x v="13"/>
    </i>
    <i r="4">
      <x v="14"/>
    </i>
    <i r="4">
      <x v="15"/>
    </i>
    <i r="4">
      <x v="21"/>
    </i>
    <i r="4">
      <x v="23"/>
    </i>
    <i t="default" r="1">
      <x v="1"/>
    </i>
    <i r="1">
      <x v="16"/>
      <x v="18"/>
      <x v="6"/>
      <x v="5"/>
    </i>
    <i r="4">
      <x v="23"/>
    </i>
    <i r="4">
      <x v="44"/>
    </i>
    <i t="default" r="1">
      <x v="16"/>
    </i>
    <i r="1">
      <x v="20"/>
      <x v="40"/>
      <x v="59"/>
      <x v="5"/>
    </i>
    <i r="4">
      <x v="15"/>
    </i>
    <i r="4">
      <x v="17"/>
    </i>
    <i r="4">
      <x v="23"/>
    </i>
    <i r="4">
      <x v="30"/>
    </i>
    <i r="4">
      <x v="42"/>
    </i>
    <i r="4">
      <x v="44"/>
    </i>
    <i t="default" r="1">
      <x v="20"/>
    </i>
    <i r="1">
      <x v="23"/>
      <x v="50"/>
      <x v="59"/>
      <x v="5"/>
    </i>
    <i r="4">
      <x v="15"/>
    </i>
    <i r="4">
      <x v="17"/>
    </i>
    <i r="4">
      <x v="23"/>
    </i>
    <i r="4">
      <x v="30"/>
    </i>
    <i r="4">
      <x v="42"/>
    </i>
    <i r="4">
      <x v="44"/>
    </i>
    <i t="default" r="1">
      <x v="23"/>
    </i>
    <i r="1">
      <x v="35"/>
      <x v="8"/>
      <x v="7"/>
      <x v="48"/>
    </i>
    <i r="4">
      <x v="51"/>
    </i>
    <i t="default" r="1">
      <x v="35"/>
    </i>
    <i r="1">
      <x v="51"/>
      <x v="27"/>
      <x v="10"/>
      <x v="1"/>
    </i>
    <i r="4">
      <x v="5"/>
    </i>
    <i r="4">
      <x v="43"/>
    </i>
    <i t="default" r="1">
      <x v="51"/>
    </i>
    <i r="1">
      <x v="55"/>
      <x v="3"/>
      <x v="10"/>
      <x v="1"/>
    </i>
    <i r="4">
      <x v="2"/>
    </i>
    <i r="4">
      <x v="5"/>
    </i>
    <i r="4">
      <x v="43"/>
    </i>
    <i t="default" r="1">
      <x v="55"/>
    </i>
    <i r="1">
      <x v="58"/>
      <x v="57"/>
      <x v="8"/>
      <x v="1"/>
    </i>
    <i r="4">
      <x v="2"/>
    </i>
    <i r="4">
      <x v="5"/>
    </i>
    <i r="4">
      <x v="16"/>
    </i>
    <i r="4">
      <x v="18"/>
    </i>
    <i r="4">
      <x v="19"/>
    </i>
    <i r="4">
      <x v="23"/>
    </i>
    <i r="4">
      <x v="32"/>
    </i>
    <i r="4">
      <x v="44"/>
    </i>
    <i t="default" r="1">
      <x v="58"/>
    </i>
    <i r="1">
      <x v="66"/>
      <x v="68"/>
      <x v="6"/>
      <x v="1"/>
    </i>
    <i r="4">
      <x v="24"/>
    </i>
    <i r="4">
      <x v="36"/>
    </i>
    <i r="3">
      <x v="67"/>
      <x v="5"/>
    </i>
    <i r="4">
      <x v="13"/>
    </i>
    <i t="default" r="1">
      <x v="66"/>
    </i>
    <i r="1">
      <x v="67"/>
      <x v="69"/>
      <x v="67"/>
      <x v="5"/>
    </i>
    <i r="4">
      <x v="13"/>
    </i>
    <i t="default" r="1">
      <x v="67"/>
    </i>
    <i r="1">
      <x v="72"/>
      <x v="74"/>
      <x v="9"/>
      <x v="1"/>
    </i>
    <i r="4">
      <x v="5"/>
    </i>
    <i r="4">
      <x v="13"/>
    </i>
    <i r="4">
      <x v="14"/>
    </i>
    <i r="4">
      <x v="15"/>
    </i>
    <i r="4">
      <x v="23"/>
    </i>
    <i r="4">
      <x v="44"/>
    </i>
    <i t="default" r="1">
      <x v="72"/>
    </i>
    <i r="1">
      <x v="73"/>
      <x v="75"/>
      <x v="9"/>
      <x v="1"/>
    </i>
    <i r="4">
      <x v="5"/>
    </i>
    <i r="4">
      <x v="13"/>
    </i>
    <i r="4">
      <x v="14"/>
    </i>
    <i r="4">
      <x v="15"/>
    </i>
    <i r="4">
      <x v="23"/>
    </i>
    <i r="4">
      <x v="44"/>
    </i>
    <i t="default" r="1">
      <x v="73"/>
    </i>
    <i r="1">
      <x v="77"/>
      <x v="79"/>
      <x v="8"/>
      <x v="5"/>
    </i>
    <i r="3">
      <x v="15"/>
      <x v="4"/>
    </i>
    <i r="4">
      <x v="19"/>
    </i>
    <i r="4">
      <x v="44"/>
    </i>
    <i t="default" r="1">
      <x v="77"/>
    </i>
    <i r="1">
      <x v="100"/>
      <x v="102"/>
      <x v="15"/>
      <x v="1"/>
    </i>
    <i r="4">
      <x v="5"/>
    </i>
    <i r="4">
      <x v="13"/>
    </i>
    <i r="4">
      <x v="18"/>
    </i>
    <i t="default" r="1">
      <x v="100"/>
    </i>
    <i r="1">
      <x v="101"/>
      <x v="103"/>
      <x v="15"/>
      <x v="1"/>
    </i>
    <i r="4">
      <x v="5"/>
    </i>
    <i r="4">
      <x v="13"/>
    </i>
    <i r="4">
      <x v="18"/>
    </i>
    <i t="default" r="1">
      <x v="101"/>
    </i>
    <i r="1">
      <x v="102"/>
      <x v="104"/>
      <x v="5"/>
      <x v="1"/>
    </i>
    <i r="4">
      <x v="2"/>
    </i>
    <i r="4">
      <x v="4"/>
    </i>
    <i r="4">
      <x v="5"/>
    </i>
    <i r="4">
      <x v="13"/>
    </i>
    <i r="4">
      <x v="14"/>
    </i>
    <i r="4">
      <x v="15"/>
    </i>
    <i r="4">
      <x v="21"/>
    </i>
    <i r="4">
      <x v="23"/>
    </i>
    <i t="default" r="1">
      <x v="102"/>
    </i>
    <i r="1">
      <x v="103"/>
      <x v="123"/>
      <x v="7"/>
      <x v="48"/>
    </i>
    <i t="default" r="1">
      <x v="103"/>
    </i>
    <i r="1">
      <x v="105"/>
      <x v="107"/>
      <x v="6"/>
      <x v="5"/>
    </i>
    <i r="4">
      <x v="23"/>
    </i>
    <i r="4">
      <x v="44"/>
    </i>
    <i t="default" r="1">
      <x v="105"/>
    </i>
    <i r="1">
      <x v="112"/>
      <x v="121"/>
      <x v="6"/>
      <x v="1"/>
    </i>
    <i r="4">
      <x v="24"/>
    </i>
    <i r="4">
      <x v="36"/>
    </i>
    <i r="3">
      <x v="8"/>
      <x v="2"/>
    </i>
    <i r="4">
      <x v="5"/>
    </i>
    <i r="4">
      <x v="19"/>
    </i>
    <i r="4">
      <x v="23"/>
    </i>
    <i r="4">
      <x v="32"/>
    </i>
    <i r="4">
      <x v="44"/>
    </i>
    <i t="default" r="1">
      <x v="112"/>
    </i>
    <i r="1">
      <x v="116"/>
      <x/>
      <x v="8"/>
      <x v="1"/>
    </i>
    <i r="4">
      <x v="5"/>
    </i>
    <i r="4">
      <x v="16"/>
    </i>
    <i t="default" r="1">
      <x v="116"/>
    </i>
    <i r="1">
      <x v="118"/>
      <x v="115"/>
      <x v="10"/>
      <x v="1"/>
    </i>
    <i r="4">
      <x v="2"/>
    </i>
    <i r="4">
      <x v="5"/>
    </i>
    <i r="4">
      <x v="10"/>
    </i>
    <i r="4">
      <x v="18"/>
    </i>
    <i t="default" r="1">
      <x v="118"/>
    </i>
    <i r="1">
      <x v="119"/>
      <x v="116"/>
      <x v="10"/>
      <x v="5"/>
    </i>
    <i r="4">
      <x v="10"/>
    </i>
    <i r="4">
      <x v="18"/>
    </i>
    <i t="default" r="1">
      <x v="119"/>
    </i>
    <i r="1">
      <x v="130"/>
      <x v="120"/>
      <x v="15"/>
      <x v="4"/>
    </i>
    <i r="4">
      <x v="19"/>
    </i>
    <i r="4">
      <x v="44"/>
    </i>
    <i t="default" r="1">
      <x v="130"/>
    </i>
    <i t="sum">
      <x v="3"/>
    </i>
    <i>
      <x v="4"/>
      <x v="6"/>
      <x v="6"/>
      <x v="61"/>
      <x v="49"/>
    </i>
    <i t="default" r="1">
      <x v="6"/>
    </i>
    <i r="1">
      <x v="27"/>
      <x v="12"/>
      <x v="47"/>
      <x v="48"/>
    </i>
    <i t="default" r="1">
      <x v="27"/>
    </i>
    <i r="1">
      <x v="94"/>
      <x v="96"/>
      <x v="62"/>
      <x v="1"/>
    </i>
    <i r="4">
      <x v="2"/>
    </i>
    <i r="4">
      <x v="9"/>
    </i>
    <i r="4">
      <x v="11"/>
    </i>
    <i r="4">
      <x v="14"/>
    </i>
    <i r="4">
      <x v="42"/>
    </i>
    <i r="4">
      <x v="49"/>
    </i>
    <i t="default" r="1">
      <x v="94"/>
    </i>
    <i r="1">
      <x v="103"/>
      <x v="123"/>
      <x v="47"/>
      <x v="48"/>
    </i>
    <i t="default" r="1">
      <x v="103"/>
    </i>
    <i r="1">
      <x v="104"/>
      <x v="106"/>
      <x v="47"/>
      <x v="8"/>
    </i>
    <i r="4">
      <x v="48"/>
    </i>
    <i r="4">
      <x v="49"/>
    </i>
    <i t="default" r="1">
      <x v="104"/>
    </i>
    <i t="sum">
      <x v="4"/>
    </i>
    <i>
      <x v="5"/>
      <x v="27"/>
      <x v="12"/>
      <x v="56"/>
      <x v="48"/>
    </i>
    <i t="default" r="1">
      <x v="27"/>
    </i>
    <i r="1">
      <x v="39"/>
      <x v="30"/>
      <x v="52"/>
      <x v="2"/>
    </i>
    <i r="4">
      <x v="29"/>
    </i>
    <i r="4">
      <x v="45"/>
    </i>
    <i r="4">
      <x v="49"/>
    </i>
    <i t="default" r="1">
      <x v="39"/>
    </i>
    <i r="1">
      <x v="108"/>
      <x v="111"/>
      <x v="58"/>
      <x v="1"/>
    </i>
    <i r="4">
      <x v="11"/>
    </i>
    <i r="4">
      <x v="23"/>
    </i>
    <i r="4">
      <x v="45"/>
    </i>
    <i r="4">
      <x v="47"/>
    </i>
    <i r="4">
      <x v="49"/>
    </i>
    <i t="default" r="1">
      <x v="108"/>
    </i>
    <i r="1">
      <x v="109"/>
      <x v="112"/>
      <x v="56"/>
      <x v="8"/>
    </i>
    <i r="4">
      <x v="18"/>
    </i>
    <i r="4">
      <x v="48"/>
    </i>
    <i r="4">
      <x v="49"/>
    </i>
    <i t="default" r="1">
      <x v="109"/>
    </i>
    <i t="sum">
      <x v="5"/>
    </i>
    <i>
      <x v="6"/>
      <x v="53"/>
      <x v="31"/>
      <x v="35"/>
      <x v="1"/>
    </i>
    <i r="4">
      <x v="2"/>
    </i>
    <i r="4">
      <x v="21"/>
    </i>
    <i r="4">
      <x v="45"/>
    </i>
    <i r="4">
      <x v="47"/>
    </i>
    <i r="4">
      <x v="49"/>
    </i>
    <i t="default" r="1">
      <x v="53"/>
    </i>
    <i r="1">
      <x v="93"/>
      <x v="95"/>
      <x v="33"/>
      <x v="43"/>
    </i>
    <i r="4">
      <x v="46"/>
    </i>
    <i r="4">
      <x v="47"/>
    </i>
    <i t="default" r="1">
      <x v="93"/>
    </i>
    <i r="1">
      <x v="106"/>
      <x v="108"/>
      <x v="50"/>
      <x v="43"/>
    </i>
    <i r="4">
      <x v="46"/>
    </i>
    <i r="4">
      <x v="47"/>
    </i>
    <i t="default" r="1">
      <x v="106"/>
    </i>
    <i r="1">
      <x v="131"/>
      <x v="110"/>
      <x v="34"/>
      <x v="43"/>
    </i>
    <i r="4">
      <x v="46"/>
    </i>
    <i t="default" r="1">
      <x v="131"/>
    </i>
    <i t="sum">
      <x v="6"/>
    </i>
    <i>
      <x v="7"/>
      <x v="69"/>
      <x v="71"/>
      <x v="71"/>
      <x v="7"/>
    </i>
    <i t="default" r="1">
      <x v="69"/>
    </i>
    <i r="1">
      <x v="134"/>
      <x v="67"/>
      <x v="49"/>
      <x v="48"/>
    </i>
    <i r="4">
      <x v="49"/>
    </i>
    <i t="default" r="1">
      <x v="134"/>
    </i>
    <i t="sum">
      <x v="7"/>
    </i>
    <i>
      <x v="8"/>
      <x/>
      <x v="60"/>
      <x v="53"/>
      <x/>
    </i>
    <i r="4">
      <x v="31"/>
    </i>
    <i t="default" r="1">
      <x/>
    </i>
    <i r="1">
      <x v="123"/>
      <x v="118"/>
      <x v="53"/>
      <x v="19"/>
    </i>
    <i r="4">
      <x v="23"/>
    </i>
    <i t="default" r="1">
      <x v="123"/>
    </i>
    <i t="sum">
      <x v="8"/>
    </i>
    <i>
      <x v="9"/>
      <x v="5"/>
      <x v="22"/>
      <x v="14"/>
      <x v="8"/>
    </i>
    <i r="4">
      <x v="48"/>
    </i>
    <i r="3">
      <x v="41"/>
      <x v="8"/>
    </i>
    <i t="default" r="1">
      <x v="5"/>
    </i>
    <i r="1">
      <x v="13"/>
      <x v="7"/>
      <x v="39"/>
      <x v="8"/>
    </i>
    <i r="4">
      <x v="48"/>
    </i>
    <i t="default" r="1">
      <x v="13"/>
    </i>
    <i r="1">
      <x v="14"/>
      <x v="9"/>
      <x v="42"/>
      <x v="8"/>
    </i>
    <i r="4">
      <x v="48"/>
    </i>
    <i r="4">
      <x v="49"/>
    </i>
    <i t="default" r="1">
      <x v="14"/>
    </i>
    <i r="1">
      <x v="26"/>
      <x v="29"/>
      <x v="14"/>
      <x v="8"/>
    </i>
    <i r="4">
      <x v="48"/>
    </i>
    <i t="default" r="1">
      <x v="26"/>
    </i>
    <i r="1">
      <x v="27"/>
      <x v="12"/>
      <x v="4"/>
      <x v="48"/>
    </i>
    <i r="3">
      <x v="39"/>
      <x v="48"/>
    </i>
    <i r="3">
      <x v="42"/>
      <x v="48"/>
    </i>
    <i t="default" r="1">
      <x v="27"/>
    </i>
    <i r="1">
      <x v="35"/>
      <x v="8"/>
      <x/>
      <x v="48"/>
    </i>
    <i r="3">
      <x v="4"/>
      <x v="48"/>
    </i>
    <i r="3">
      <x v="14"/>
      <x v="8"/>
    </i>
    <i r="4">
      <x v="48"/>
    </i>
    <i r="3">
      <x v="39"/>
      <x v="48"/>
    </i>
    <i r="3">
      <x v="41"/>
      <x v="8"/>
    </i>
    <i r="4">
      <x v="48"/>
    </i>
    <i t="default" r="1">
      <x v="35"/>
    </i>
    <i r="1">
      <x v="54"/>
      <x v="34"/>
      <x/>
      <x v="8"/>
    </i>
    <i r="4">
      <x v="48"/>
    </i>
    <i t="default" r="1">
      <x v="54"/>
    </i>
    <i r="1">
      <x v="95"/>
      <x v="97"/>
      <x v="41"/>
      <x v="8"/>
    </i>
    <i r="4">
      <x v="48"/>
    </i>
    <i t="default" r="1">
      <x v="95"/>
    </i>
    <i r="1">
      <x v="103"/>
      <x v="123"/>
      <x v="39"/>
      <x v="8"/>
    </i>
    <i t="default" r="1">
      <x v="103"/>
    </i>
    <i r="1">
      <x v="104"/>
      <x v="106"/>
      <x v="41"/>
      <x v="48"/>
    </i>
    <i t="default" r="1">
      <x v="104"/>
    </i>
    <i r="1">
      <x v="110"/>
      <x v="113"/>
      <x v="4"/>
      <x v="8"/>
    </i>
    <i r="4">
      <x v="48"/>
    </i>
    <i r="3">
      <x v="39"/>
      <x v="8"/>
    </i>
    <i t="default" r="1">
      <x v="110"/>
    </i>
    <i r="1">
      <x v="134"/>
      <x v="67"/>
      <x v="41"/>
      <x v="48"/>
    </i>
    <i t="default" r="1">
      <x v="134"/>
    </i>
    <i t="sum">
      <x v="9"/>
    </i>
    <i>
      <x v="10"/>
      <x v="4"/>
      <x v="58"/>
      <x v="32"/>
      <x v="1"/>
    </i>
    <i r="4">
      <x v="4"/>
    </i>
    <i r="4">
      <x v="5"/>
    </i>
    <i r="4">
      <x v="10"/>
    </i>
    <i r="4">
      <x v="13"/>
    </i>
    <i r="4">
      <x v="23"/>
    </i>
    <i r="4">
      <x v="38"/>
    </i>
    <i t="default" r="1">
      <x v="4"/>
    </i>
    <i r="1">
      <x v="16"/>
      <x v="18"/>
      <x v="48"/>
      <x v="2"/>
    </i>
    <i r="4">
      <x v="5"/>
    </i>
    <i r="4">
      <x v="11"/>
    </i>
    <i r="4">
      <x v="23"/>
    </i>
    <i t="default" r="1">
      <x v="16"/>
    </i>
    <i r="1">
      <x v="18"/>
      <x v="62"/>
      <x v="69"/>
      <x v="1"/>
    </i>
    <i r="4">
      <x v="2"/>
    </i>
    <i r="4">
      <x v="5"/>
    </i>
    <i r="4">
      <x v="23"/>
    </i>
    <i r="4">
      <x v="43"/>
    </i>
    <i r="4">
      <x v="52"/>
    </i>
    <i t="default" r="1">
      <x v="18"/>
    </i>
    <i r="1">
      <x v="28"/>
      <x v="59"/>
      <x v="32"/>
      <x v="1"/>
    </i>
    <i t="default" r="1">
      <x v="28"/>
    </i>
    <i r="1">
      <x v="29"/>
      <x v="52"/>
      <x v="1"/>
      <x v="1"/>
    </i>
    <i r="4">
      <x v="2"/>
    </i>
    <i r="4">
      <x v="5"/>
    </i>
    <i r="4">
      <x v="13"/>
    </i>
    <i r="4">
      <x v="14"/>
    </i>
    <i r="4">
      <x v="16"/>
    </i>
    <i r="4">
      <x v="18"/>
    </i>
    <i r="4">
      <x v="19"/>
    </i>
    <i r="4">
      <x v="20"/>
    </i>
    <i r="4">
      <x v="23"/>
    </i>
    <i r="4">
      <x v="44"/>
    </i>
    <i t="default" r="1">
      <x v="29"/>
    </i>
    <i r="1">
      <x v="30"/>
      <x v="53"/>
      <x v="1"/>
      <x v="1"/>
    </i>
    <i r="4">
      <x v="2"/>
    </i>
    <i r="4">
      <x v="5"/>
    </i>
    <i r="4">
      <x v="13"/>
    </i>
    <i r="4">
      <x v="14"/>
    </i>
    <i r="4">
      <x v="16"/>
    </i>
    <i r="4">
      <x v="18"/>
    </i>
    <i r="4">
      <x v="19"/>
    </i>
    <i r="4">
      <x v="20"/>
    </i>
    <i r="4">
      <x v="23"/>
    </i>
    <i r="4">
      <x v="44"/>
    </i>
    <i t="default" r="1">
      <x v="30"/>
    </i>
    <i r="1">
      <x v="38"/>
      <x v="61"/>
      <x v="69"/>
      <x v="1"/>
    </i>
    <i r="4">
      <x v="2"/>
    </i>
    <i r="4">
      <x v="4"/>
    </i>
    <i r="4">
      <x v="5"/>
    </i>
    <i r="4">
      <x v="11"/>
    </i>
    <i r="4">
      <x v="19"/>
    </i>
    <i r="4">
      <x v="23"/>
    </i>
    <i r="4">
      <x v="43"/>
    </i>
    <i r="4">
      <x v="52"/>
    </i>
    <i t="default" r="1">
      <x v="38"/>
    </i>
    <i r="1">
      <x v="41"/>
      <x v="44"/>
      <x v="69"/>
      <x v="2"/>
    </i>
    <i r="4">
      <x v="4"/>
    </i>
    <i r="4">
      <x v="5"/>
    </i>
    <i r="4">
      <x v="11"/>
    </i>
    <i r="4">
      <x v="19"/>
    </i>
    <i r="4">
      <x v="23"/>
    </i>
    <i t="default" r="1">
      <x v="41"/>
    </i>
    <i r="1">
      <x v="52"/>
      <x v="39"/>
      <x v="73"/>
      <x v="1"/>
    </i>
    <i r="4">
      <x v="5"/>
    </i>
    <i r="4">
      <x v="10"/>
    </i>
    <i r="4">
      <x v="15"/>
    </i>
    <i r="4">
      <x v="16"/>
    </i>
    <i r="4">
      <x v="18"/>
    </i>
    <i r="4">
      <x v="23"/>
    </i>
    <i t="default" r="1">
      <x v="52"/>
    </i>
    <i r="1">
      <x v="56"/>
      <x v="45"/>
      <x v="38"/>
      <x v="1"/>
    </i>
    <i r="4">
      <x v="5"/>
    </i>
    <i r="4">
      <x v="12"/>
    </i>
    <i r="4">
      <x v="16"/>
    </i>
    <i r="4">
      <x v="17"/>
    </i>
    <i r="4">
      <x v="18"/>
    </i>
    <i r="4">
      <x v="23"/>
    </i>
    <i t="default" r="1">
      <x v="56"/>
    </i>
    <i r="1">
      <x v="71"/>
      <x v="124"/>
      <x v="68"/>
      <x v="1"/>
    </i>
    <i r="4">
      <x v="2"/>
    </i>
    <i r="4">
      <x v="5"/>
    </i>
    <i r="4">
      <x v="10"/>
    </i>
    <i r="4">
      <x v="11"/>
    </i>
    <i r="4">
      <x v="13"/>
    </i>
    <i r="4">
      <x v="15"/>
    </i>
    <i r="4">
      <x v="23"/>
    </i>
    <i r="4">
      <x v="33"/>
    </i>
    <i r="4">
      <x v="39"/>
    </i>
    <i t="default" r="1">
      <x v="71"/>
    </i>
    <i r="1">
      <x v="83"/>
      <x v="85"/>
      <x v="38"/>
      <x v="1"/>
    </i>
    <i r="4">
      <x v="5"/>
    </i>
    <i r="4">
      <x v="12"/>
    </i>
    <i r="4">
      <x v="16"/>
    </i>
    <i r="4">
      <x v="17"/>
    </i>
    <i r="4">
      <x v="18"/>
    </i>
    <i r="4">
      <x v="23"/>
    </i>
    <i t="default" r="1">
      <x v="83"/>
    </i>
    <i r="1">
      <x v="88"/>
      <x v="90"/>
      <x v="48"/>
      <x v="2"/>
    </i>
    <i r="4">
      <x v="4"/>
    </i>
    <i r="4">
      <x v="5"/>
    </i>
    <i r="4">
      <x v="15"/>
    </i>
    <i r="4">
      <x v="18"/>
    </i>
    <i r="4">
      <x v="23"/>
    </i>
    <i r="4">
      <x v="27"/>
    </i>
    <i t="default" r="1">
      <x v="88"/>
    </i>
    <i r="1">
      <x v="89"/>
      <x v="91"/>
      <x v="48"/>
      <x v="2"/>
    </i>
    <i r="4">
      <x v="4"/>
    </i>
    <i r="4">
      <x v="5"/>
    </i>
    <i r="4">
      <x v="15"/>
    </i>
    <i r="4">
      <x v="18"/>
    </i>
    <i r="4">
      <x v="23"/>
    </i>
    <i r="4">
      <x v="27"/>
    </i>
    <i t="default" r="1">
      <x v="89"/>
    </i>
    <i r="1">
      <x v="92"/>
      <x v="94"/>
      <x v="73"/>
      <x v="1"/>
    </i>
    <i r="4">
      <x v="5"/>
    </i>
    <i r="4">
      <x v="10"/>
    </i>
    <i r="4">
      <x v="15"/>
    </i>
    <i r="4">
      <x v="16"/>
    </i>
    <i r="4">
      <x v="18"/>
    </i>
    <i r="4">
      <x v="23"/>
    </i>
    <i t="default" r="1">
      <x v="92"/>
    </i>
    <i r="1">
      <x v="98"/>
      <x v="100"/>
      <x v="32"/>
      <x v="1"/>
    </i>
    <i r="4">
      <x v="4"/>
    </i>
    <i r="4">
      <x v="5"/>
    </i>
    <i r="4">
      <x v="10"/>
    </i>
    <i r="4">
      <x v="13"/>
    </i>
    <i r="4">
      <x v="23"/>
    </i>
    <i r="4">
      <x v="38"/>
    </i>
    <i t="default" r="1">
      <x v="98"/>
    </i>
    <i r="1">
      <x v="105"/>
      <x v="107"/>
      <x v="48"/>
      <x v="2"/>
    </i>
    <i r="4">
      <x v="5"/>
    </i>
    <i r="4">
      <x v="11"/>
    </i>
    <i r="4">
      <x v="23"/>
    </i>
    <i t="default" r="1">
      <x v="105"/>
    </i>
    <i r="1">
      <x v="128"/>
      <x v="119"/>
      <x v="69"/>
      <x v="23"/>
    </i>
    <i t="default" r="1">
      <x v="128"/>
    </i>
    <i r="1">
      <x v="133"/>
      <x v="122"/>
      <x v="68"/>
      <x v="1"/>
    </i>
    <i r="4">
      <x v="2"/>
    </i>
    <i r="4">
      <x v="5"/>
    </i>
    <i r="4">
      <x v="10"/>
    </i>
    <i r="4">
      <x v="11"/>
    </i>
    <i r="4">
      <x v="13"/>
    </i>
    <i r="4">
      <x v="15"/>
    </i>
    <i r="4">
      <x v="23"/>
    </i>
    <i r="4">
      <x v="33"/>
    </i>
    <i r="4">
      <x v="39"/>
    </i>
    <i t="default" r="1">
      <x v="133"/>
    </i>
    <i t="sum">
      <x v="10"/>
    </i>
    <i>
      <x v="11"/>
      <x v="5"/>
      <x v="22"/>
      <x v="29"/>
      <x v="8"/>
    </i>
    <i r="4">
      <x v="48"/>
    </i>
    <i r="4">
      <x v="51"/>
    </i>
    <i t="default" r="1">
      <x v="5"/>
    </i>
    <i r="1">
      <x v="15"/>
      <x v="64"/>
      <x v="60"/>
      <x v="1"/>
    </i>
    <i r="4">
      <x v="5"/>
    </i>
    <i r="4">
      <x v="10"/>
    </i>
    <i r="4">
      <x v="15"/>
    </i>
    <i r="4">
      <x v="23"/>
    </i>
    <i r="4">
      <x v="38"/>
    </i>
    <i r="4">
      <x v="41"/>
    </i>
    <i t="default" r="1">
      <x v="15"/>
    </i>
    <i r="1">
      <x v="21"/>
      <x v="1"/>
      <x v="51"/>
      <x v="3"/>
    </i>
    <i r="4">
      <x v="48"/>
    </i>
    <i r="4">
      <x v="51"/>
    </i>
    <i t="default" r="1">
      <x v="21"/>
    </i>
    <i r="1">
      <x v="22"/>
      <x v="63"/>
      <x v="2"/>
      <x v="23"/>
    </i>
    <i t="default" r="1">
      <x v="22"/>
    </i>
    <i r="1">
      <x v="25"/>
      <x v="4"/>
      <x v="57"/>
      <x v="3"/>
    </i>
    <i r="4">
      <x v="8"/>
    </i>
    <i r="4">
      <x v="48"/>
    </i>
    <i r="4">
      <x v="51"/>
    </i>
    <i t="default" r="1">
      <x v="25"/>
    </i>
    <i r="1">
      <x v="26"/>
      <x v="29"/>
      <x v="29"/>
      <x v="48"/>
    </i>
    <i r="3">
      <x v="64"/>
      <x v="48"/>
    </i>
    <i t="default" r="1">
      <x v="26"/>
    </i>
    <i r="1">
      <x v="27"/>
      <x v="12"/>
      <x v="29"/>
      <x v="3"/>
    </i>
    <i r="3">
      <x v="64"/>
      <x v="8"/>
    </i>
    <i r="4">
      <x v="48"/>
    </i>
    <i r="4">
      <x v="51"/>
    </i>
    <i t="default" r="1">
      <x v="27"/>
    </i>
    <i r="1">
      <x v="31"/>
      <x v="47"/>
      <x v="43"/>
      <x v="5"/>
    </i>
    <i r="4">
      <x v="39"/>
    </i>
    <i r="4">
      <x v="44"/>
    </i>
    <i r="3">
      <x v="54"/>
      <x v="1"/>
    </i>
    <i r="4">
      <x v="2"/>
    </i>
    <i r="4">
      <x v="5"/>
    </i>
    <i r="4">
      <x v="11"/>
    </i>
    <i r="4">
      <x v="14"/>
    </i>
    <i r="4">
      <x v="23"/>
    </i>
    <i t="default" r="1">
      <x v="31"/>
    </i>
    <i r="1">
      <x v="33"/>
      <x v="51"/>
      <x v="3"/>
      <x v="1"/>
    </i>
    <i r="4">
      <x v="2"/>
    </i>
    <i r="4">
      <x v="5"/>
    </i>
    <i r="4">
      <x v="10"/>
    </i>
    <i r="4">
      <x v="11"/>
    </i>
    <i r="4">
      <x v="18"/>
    </i>
    <i r="4">
      <x v="23"/>
    </i>
    <i t="default" r="1">
      <x v="33"/>
    </i>
    <i r="1">
      <x v="34"/>
      <x v="35"/>
      <x v="66"/>
      <x/>
    </i>
    <i r="4">
      <x v="5"/>
    </i>
    <i r="4">
      <x v="10"/>
    </i>
    <i r="4">
      <x v="13"/>
    </i>
    <i r="4">
      <x v="38"/>
    </i>
    <i t="default" r="1">
      <x v="34"/>
    </i>
    <i r="1">
      <x v="35"/>
      <x v="8"/>
      <x v="29"/>
      <x v="3"/>
    </i>
    <i r="4">
      <x v="48"/>
    </i>
    <i r="3">
      <x v="57"/>
      <x v="48"/>
    </i>
    <i t="default" r="1">
      <x v="35"/>
    </i>
    <i r="1">
      <x v="37"/>
      <x v="43"/>
      <x v="55"/>
      <x v="2"/>
    </i>
    <i r="4">
      <x v="4"/>
    </i>
    <i r="4">
      <x v="5"/>
    </i>
    <i r="4">
      <x v="13"/>
    </i>
    <i r="4">
      <x v="14"/>
    </i>
    <i r="4">
      <x v="15"/>
    </i>
    <i r="4">
      <x v="16"/>
    </i>
    <i r="4">
      <x v="23"/>
    </i>
    <i r="4">
      <x v="29"/>
    </i>
    <i r="4">
      <x v="43"/>
    </i>
    <i r="4">
      <x v="44"/>
    </i>
    <i t="default" r="1">
      <x v="37"/>
    </i>
    <i r="1">
      <x v="39"/>
      <x v="30"/>
      <x v="19"/>
      <x v="23"/>
    </i>
    <i t="default" r="1">
      <x v="39"/>
    </i>
    <i r="1">
      <x v="45"/>
      <x v="19"/>
      <x v="63"/>
      <x v="48"/>
    </i>
    <i t="default" r="1">
      <x v="45"/>
    </i>
    <i r="1">
      <x v="46"/>
      <x v="55"/>
      <x v="19"/>
      <x v="1"/>
    </i>
    <i r="4">
      <x v="2"/>
    </i>
    <i r="4">
      <x v="5"/>
    </i>
    <i r="4">
      <x v="9"/>
    </i>
    <i r="4">
      <x v="11"/>
    </i>
    <i r="4">
      <x v="14"/>
    </i>
    <i r="4">
      <x v="15"/>
    </i>
    <i r="4">
      <x v="19"/>
    </i>
    <i r="4">
      <x v="23"/>
    </i>
    <i r="4">
      <x v="43"/>
    </i>
    <i t="default" r="1">
      <x v="46"/>
    </i>
    <i r="1">
      <x v="47"/>
      <x v="2"/>
      <x v="65"/>
      <x v="8"/>
    </i>
    <i r="4">
      <x v="48"/>
    </i>
    <i t="default" r="1">
      <x v="47"/>
    </i>
    <i r="1">
      <x v="50"/>
      <x v="41"/>
      <x v="27"/>
      <x v="5"/>
    </i>
    <i r="3">
      <x v="55"/>
      <x v="2"/>
    </i>
    <i r="4">
      <x v="4"/>
    </i>
    <i r="4">
      <x v="5"/>
    </i>
    <i r="4">
      <x v="13"/>
    </i>
    <i r="4">
      <x v="14"/>
    </i>
    <i r="4">
      <x v="15"/>
    </i>
    <i r="4">
      <x v="16"/>
    </i>
    <i r="4">
      <x v="29"/>
    </i>
    <i r="4">
      <x v="44"/>
    </i>
    <i t="default" r="1">
      <x v="50"/>
    </i>
    <i r="1">
      <x v="57"/>
      <x v="42"/>
      <x v="66"/>
      <x/>
    </i>
    <i r="4">
      <x v="1"/>
    </i>
    <i r="4">
      <x v="2"/>
    </i>
    <i r="4">
      <x v="5"/>
    </i>
    <i r="4">
      <x v="10"/>
    </i>
    <i r="4">
      <x v="13"/>
    </i>
    <i r="4">
      <x v="15"/>
    </i>
    <i r="4">
      <x v="23"/>
    </i>
    <i r="4">
      <x v="34"/>
    </i>
    <i r="4">
      <x v="38"/>
    </i>
    <i t="default" r="1">
      <x v="57"/>
    </i>
    <i r="1">
      <x v="60"/>
      <x v="48"/>
      <x v="43"/>
      <x v="5"/>
    </i>
    <i r="4">
      <x v="39"/>
    </i>
    <i r="4">
      <x v="44"/>
    </i>
    <i r="3">
      <x v="54"/>
      <x v="1"/>
    </i>
    <i r="4">
      <x v="2"/>
    </i>
    <i r="4">
      <x v="5"/>
    </i>
    <i r="4">
      <x v="11"/>
    </i>
    <i r="4">
      <x v="14"/>
    </i>
    <i r="4">
      <x v="23"/>
    </i>
    <i t="default" r="1">
      <x v="60"/>
    </i>
    <i r="1">
      <x v="74"/>
      <x v="76"/>
      <x v="30"/>
      <x v="1"/>
    </i>
    <i r="4">
      <x v="5"/>
    </i>
    <i r="4">
      <x v="16"/>
    </i>
    <i r="4">
      <x v="23"/>
    </i>
    <i r="4">
      <x v="41"/>
    </i>
    <i r="4">
      <x v="44"/>
    </i>
    <i r="3">
      <x v="45"/>
      <x v="1"/>
    </i>
    <i r="4">
      <x v="5"/>
    </i>
    <i r="4">
      <x v="15"/>
    </i>
    <i t="default" r="1">
      <x v="74"/>
    </i>
    <i r="1">
      <x v="75"/>
      <x v="77"/>
      <x v="3"/>
      <x v="1"/>
    </i>
    <i r="4">
      <x v="2"/>
    </i>
    <i r="4">
      <x v="5"/>
    </i>
    <i r="4">
      <x v="10"/>
    </i>
    <i r="4">
      <x v="11"/>
    </i>
    <i r="4">
      <x v="18"/>
    </i>
    <i r="4">
      <x v="23"/>
    </i>
    <i t="default" r="1">
      <x v="75"/>
    </i>
    <i r="1">
      <x v="76"/>
      <x v="78"/>
      <x v="30"/>
      <x v="18"/>
    </i>
    <i t="default" r="1">
      <x v="76"/>
    </i>
    <i r="1">
      <x v="77"/>
      <x v="79"/>
      <x v="2"/>
      <x v="1"/>
    </i>
    <i r="4">
      <x v="5"/>
    </i>
    <i r="4">
      <x v="24"/>
    </i>
    <i r="4">
      <x v="44"/>
    </i>
    <i r="3">
      <x v="45"/>
      <x v="15"/>
    </i>
    <i t="default" r="1">
      <x v="77"/>
    </i>
    <i r="1">
      <x v="78"/>
      <x v="80"/>
      <x v="46"/>
      <x v="1"/>
    </i>
    <i r="4">
      <x v="4"/>
    </i>
    <i r="4">
      <x v="5"/>
    </i>
    <i r="4">
      <x v="14"/>
    </i>
    <i r="4">
      <x v="15"/>
    </i>
    <i r="4">
      <x v="16"/>
    </i>
    <i r="4">
      <x v="22"/>
    </i>
    <i r="4">
      <x v="23"/>
    </i>
    <i r="4">
      <x v="24"/>
    </i>
    <i r="4">
      <x v="44"/>
    </i>
    <i t="default" r="1">
      <x v="78"/>
    </i>
    <i r="1">
      <x v="79"/>
      <x v="81"/>
      <x v="26"/>
      <x v="2"/>
    </i>
    <i r="4">
      <x v="5"/>
    </i>
    <i r="4">
      <x v="10"/>
    </i>
    <i r="4">
      <x v="11"/>
    </i>
    <i r="4">
      <x v="13"/>
    </i>
    <i r="4">
      <x v="15"/>
    </i>
    <i r="4">
      <x v="23"/>
    </i>
    <i r="4">
      <x v="38"/>
    </i>
    <i t="default" r="1">
      <x v="79"/>
    </i>
    <i r="1">
      <x v="80"/>
      <x v="82"/>
      <x v="30"/>
      <x v="18"/>
    </i>
    <i t="default" r="1">
      <x v="80"/>
    </i>
    <i r="1">
      <x v="81"/>
      <x v="83"/>
      <x v="31"/>
      <x v="1"/>
    </i>
    <i r="4">
      <x v="2"/>
    </i>
    <i r="4">
      <x v="5"/>
    </i>
    <i r="4">
      <x v="13"/>
    </i>
    <i r="4">
      <x v="14"/>
    </i>
    <i r="4">
      <x v="15"/>
    </i>
    <i r="4">
      <x v="19"/>
    </i>
    <i r="4">
      <x v="22"/>
    </i>
    <i r="4">
      <x v="23"/>
    </i>
    <i r="4">
      <x v="29"/>
    </i>
    <i r="4">
      <x v="39"/>
    </i>
    <i r="4">
      <x v="42"/>
    </i>
    <i r="4">
      <x v="44"/>
    </i>
    <i t="default" r="1">
      <x v="81"/>
    </i>
    <i r="1">
      <x v="82"/>
      <x v="84"/>
      <x v="31"/>
      <x v="1"/>
    </i>
    <i r="4">
      <x v="2"/>
    </i>
    <i r="4">
      <x v="5"/>
    </i>
    <i r="4">
      <x v="13"/>
    </i>
    <i r="4">
      <x v="14"/>
    </i>
    <i r="4">
      <x v="15"/>
    </i>
    <i r="4">
      <x v="19"/>
    </i>
    <i r="4">
      <x v="22"/>
    </i>
    <i r="4">
      <x v="23"/>
    </i>
    <i r="4">
      <x v="29"/>
    </i>
    <i r="4">
      <x v="39"/>
    </i>
    <i r="4">
      <x v="42"/>
    </i>
    <i r="4">
      <x v="44"/>
    </i>
    <i t="default" r="1">
      <x v="82"/>
    </i>
    <i r="1">
      <x v="84"/>
      <x v="86"/>
      <x v="28"/>
      <x v="1"/>
    </i>
    <i r="4">
      <x v="2"/>
    </i>
    <i r="4">
      <x v="5"/>
    </i>
    <i r="4">
      <x v="16"/>
    </i>
    <i r="4">
      <x v="44"/>
    </i>
    <i t="default" r="1">
      <x v="84"/>
    </i>
    <i r="1">
      <x v="85"/>
      <x v="87"/>
      <x v="28"/>
      <x v="1"/>
    </i>
    <i r="4">
      <x v="2"/>
    </i>
    <i r="4">
      <x v="5"/>
    </i>
    <i r="4">
      <x v="16"/>
    </i>
    <i r="4">
      <x v="44"/>
    </i>
    <i t="default" r="1">
      <x v="85"/>
    </i>
    <i r="1">
      <x v="86"/>
      <x v="88"/>
      <x v="30"/>
      <x v="1"/>
    </i>
    <i r="4">
      <x v="5"/>
    </i>
    <i r="4">
      <x v="16"/>
    </i>
    <i r="4">
      <x v="23"/>
    </i>
    <i r="4">
      <x v="41"/>
    </i>
    <i r="4">
      <x v="44"/>
    </i>
    <i r="3">
      <x v="45"/>
      <x v="1"/>
    </i>
    <i r="4">
      <x v="5"/>
    </i>
    <i r="4">
      <x v="15"/>
    </i>
    <i t="default" r="1">
      <x v="86"/>
    </i>
    <i r="1">
      <x v="87"/>
      <x v="89"/>
      <x v="60"/>
      <x v="1"/>
    </i>
    <i r="4">
      <x v="5"/>
    </i>
    <i r="4">
      <x v="10"/>
    </i>
    <i r="4">
      <x v="15"/>
    </i>
    <i r="4">
      <x v="23"/>
    </i>
    <i r="4">
      <x v="38"/>
    </i>
    <i r="4">
      <x v="41"/>
    </i>
    <i t="default" r="1">
      <x v="87"/>
    </i>
    <i r="1">
      <x v="88"/>
      <x v="90"/>
      <x v="2"/>
      <x v="1"/>
    </i>
    <i r="4">
      <x v="2"/>
    </i>
    <i r="4">
      <x v="5"/>
    </i>
    <i r="4">
      <x v="11"/>
    </i>
    <i r="4">
      <x v="16"/>
    </i>
    <i r="4">
      <x v="28"/>
    </i>
    <i r="4">
      <x v="42"/>
    </i>
    <i t="default" r="1">
      <x v="88"/>
    </i>
    <i r="1">
      <x v="89"/>
      <x v="91"/>
      <x v="2"/>
      <x v="1"/>
    </i>
    <i r="4">
      <x v="2"/>
    </i>
    <i r="4">
      <x v="5"/>
    </i>
    <i r="4">
      <x v="11"/>
    </i>
    <i r="4">
      <x v="16"/>
    </i>
    <i r="4">
      <x v="28"/>
    </i>
    <i r="4">
      <x v="42"/>
    </i>
    <i t="default" r="1">
      <x v="89"/>
    </i>
    <i r="1">
      <x v="90"/>
      <x v="92"/>
      <x v="27"/>
      <x v="1"/>
    </i>
    <i r="4">
      <x v="2"/>
    </i>
    <i r="4">
      <x v="5"/>
    </i>
    <i r="4">
      <x v="13"/>
    </i>
    <i r="4">
      <x v="14"/>
    </i>
    <i r="4">
      <x v="15"/>
    </i>
    <i r="4">
      <x v="16"/>
    </i>
    <i r="4">
      <x v="19"/>
    </i>
    <i r="3">
      <x v="55"/>
      <x v="5"/>
    </i>
    <i r="4">
      <x v="23"/>
    </i>
    <i r="4">
      <x v="43"/>
    </i>
    <i t="default" r="1">
      <x v="90"/>
    </i>
    <i r="1">
      <x v="91"/>
      <x v="93"/>
      <x v="27"/>
      <x v="1"/>
    </i>
    <i r="4">
      <x v="2"/>
    </i>
    <i r="4">
      <x v="5"/>
    </i>
    <i r="4">
      <x v="13"/>
    </i>
    <i r="4">
      <x v="14"/>
    </i>
    <i r="4">
      <x v="15"/>
    </i>
    <i r="4">
      <x v="16"/>
    </i>
    <i r="4">
      <x v="19"/>
    </i>
    <i r="4">
      <x v="23"/>
    </i>
    <i t="default" r="1">
      <x v="91"/>
    </i>
    <i r="1">
      <x v="97"/>
      <x v="99"/>
      <x v="26"/>
      <x v="2"/>
    </i>
    <i r="4">
      <x v="5"/>
    </i>
    <i r="4">
      <x v="10"/>
    </i>
    <i r="4">
      <x v="11"/>
    </i>
    <i r="4">
      <x v="13"/>
    </i>
    <i r="4">
      <x v="15"/>
    </i>
    <i r="4">
      <x v="23"/>
    </i>
    <i r="4">
      <x v="38"/>
    </i>
    <i t="default" r="1">
      <x v="97"/>
    </i>
    <i r="1">
      <x v="99"/>
      <x v="101"/>
      <x v="46"/>
      <x v="1"/>
    </i>
    <i r="4">
      <x v="4"/>
    </i>
    <i r="4">
      <x v="5"/>
    </i>
    <i r="4">
      <x v="14"/>
    </i>
    <i r="4">
      <x v="15"/>
    </i>
    <i r="4">
      <x v="16"/>
    </i>
    <i r="4">
      <x v="22"/>
    </i>
    <i r="4">
      <x v="23"/>
    </i>
    <i r="4">
      <x v="24"/>
    </i>
    <i r="4">
      <x v="44"/>
    </i>
    <i t="default" r="1">
      <x v="99"/>
    </i>
    <i r="1">
      <x v="103"/>
      <x v="123"/>
      <x v="29"/>
      <x v="48"/>
    </i>
    <i t="default" r="1">
      <x v="103"/>
    </i>
    <i r="1">
      <x v="107"/>
      <x v="109"/>
      <x v="19"/>
      <x v="1"/>
    </i>
    <i r="4">
      <x v="2"/>
    </i>
    <i r="4">
      <x v="5"/>
    </i>
    <i r="4">
      <x v="9"/>
    </i>
    <i r="4">
      <x v="11"/>
    </i>
    <i r="4">
      <x v="14"/>
    </i>
    <i r="4">
      <x v="15"/>
    </i>
    <i r="4">
      <x v="19"/>
    </i>
    <i r="4">
      <x v="23"/>
    </i>
    <i r="4">
      <x v="43"/>
    </i>
    <i t="default" r="1">
      <x v="107"/>
    </i>
    <i r="1">
      <x v="111"/>
      <x/>
      <x v="2"/>
      <x v="1"/>
    </i>
    <i r="4">
      <x v="5"/>
    </i>
    <i r="4">
      <x v="24"/>
    </i>
    <i r="4">
      <x v="44"/>
    </i>
    <i r="3">
      <x v="45"/>
      <x v="15"/>
    </i>
    <i t="default" r="1">
      <x v="111"/>
    </i>
    <i r="1">
      <x v="117"/>
      <x v="114"/>
      <x v="66"/>
      <x v="1"/>
    </i>
    <i r="4">
      <x v="2"/>
    </i>
    <i r="4">
      <x v="5"/>
    </i>
    <i r="4">
      <x v="15"/>
    </i>
    <i r="4">
      <x v="23"/>
    </i>
    <i r="4">
      <x v="34"/>
    </i>
    <i t="default" r="1">
      <x v="117"/>
    </i>
    <i r="1">
      <x v="129"/>
      <x/>
      <x v="27"/>
      <x v="23"/>
    </i>
    <i t="default" r="1">
      <x v="129"/>
    </i>
    <i t="sum">
      <x v="11"/>
    </i>
    <i>
      <x v="12"/>
      <x v="2"/>
      <x v="33"/>
      <x v="24"/>
      <x v="18"/>
    </i>
    <i r="4">
      <x v="40"/>
    </i>
    <i r="4">
      <x v="48"/>
    </i>
    <i r="4">
      <x v="50"/>
    </i>
    <i t="default" r="1">
      <x v="2"/>
    </i>
    <i r="1">
      <x v="3"/>
      <x v="46"/>
      <x v="11"/>
      <x v="26"/>
    </i>
    <i r="4">
      <x v="40"/>
    </i>
    <i r="4">
      <x v="48"/>
    </i>
    <i r="3">
      <x v="23"/>
      <x v="18"/>
    </i>
    <i t="default" r="1">
      <x v="3"/>
    </i>
    <i r="1">
      <x v="7"/>
      <x v="26"/>
      <x v="20"/>
      <x v="15"/>
    </i>
    <i r="4">
      <x v="18"/>
    </i>
    <i r="4">
      <x v="26"/>
    </i>
    <i r="4">
      <x v="27"/>
    </i>
    <i t="default" r="1">
      <x v="7"/>
    </i>
    <i r="1">
      <x v="8"/>
      <x v="16"/>
      <x v="16"/>
      <x v="18"/>
    </i>
    <i r="4">
      <x v="40"/>
    </i>
    <i t="default" r="1">
      <x v="8"/>
    </i>
    <i r="1">
      <x v="9"/>
      <x v="15"/>
      <x v="12"/>
      <x v="18"/>
    </i>
    <i r="4">
      <x v="26"/>
    </i>
    <i r="4">
      <x v="27"/>
    </i>
    <i t="default" r="1">
      <x v="9"/>
    </i>
    <i r="1">
      <x v="10"/>
      <x v="10"/>
      <x v="17"/>
      <x v="1"/>
    </i>
    <i r="4">
      <x v="18"/>
    </i>
    <i r="4">
      <x v="35"/>
    </i>
    <i r="4">
      <x v="40"/>
    </i>
    <i t="default" r="1">
      <x v="10"/>
    </i>
    <i r="1">
      <x v="11"/>
      <x v="23"/>
      <x v="21"/>
      <x v="48"/>
    </i>
    <i t="default" r="1">
      <x v="11"/>
    </i>
    <i r="1">
      <x v="12"/>
      <x v="24"/>
      <x v="21"/>
      <x v="48"/>
    </i>
    <i t="default" r="1">
      <x v="12"/>
    </i>
    <i r="1">
      <x v="19"/>
      <x v="13"/>
      <x v="11"/>
      <x v="13"/>
    </i>
    <i r="4">
      <x v="26"/>
    </i>
    <i r="4">
      <x v="40"/>
    </i>
    <i r="4">
      <x v="48"/>
    </i>
    <i t="default" r="1">
      <x v="19"/>
    </i>
    <i r="1">
      <x v="24"/>
      <x v="37"/>
      <x v="22"/>
      <x v="18"/>
    </i>
    <i r="4">
      <x v="40"/>
    </i>
    <i t="default" r="1">
      <x v="24"/>
    </i>
    <i r="1">
      <x v="36"/>
      <x v="11"/>
      <x v="17"/>
      <x v="1"/>
    </i>
    <i r="4">
      <x v="18"/>
    </i>
    <i r="4">
      <x v="35"/>
    </i>
    <i r="4">
      <x v="40"/>
    </i>
    <i t="default" r="1">
      <x v="36"/>
    </i>
    <i r="1">
      <x v="40"/>
      <x v="28"/>
      <x v="13"/>
      <x v="26"/>
    </i>
    <i r="4">
      <x v="35"/>
    </i>
    <i r="4">
      <x v="40"/>
    </i>
    <i r="4">
      <x v="48"/>
    </i>
    <i t="default" r="1">
      <x v="40"/>
    </i>
    <i r="1">
      <x v="42"/>
      <x v="21"/>
      <x v="12"/>
      <x v="18"/>
    </i>
    <i r="4">
      <x v="26"/>
    </i>
    <i r="4">
      <x v="27"/>
    </i>
    <i t="default" r="1">
      <x v="42"/>
    </i>
    <i r="1">
      <x v="43"/>
      <x v="14"/>
      <x v="24"/>
      <x v="18"/>
    </i>
    <i r="4">
      <x v="40"/>
    </i>
    <i r="4">
      <x v="48"/>
    </i>
    <i r="4">
      <x v="50"/>
    </i>
    <i t="default" r="1">
      <x v="43"/>
    </i>
    <i r="1">
      <x v="44"/>
      <x v="38"/>
      <x v="22"/>
      <x v="18"/>
    </i>
    <i r="4">
      <x v="40"/>
    </i>
    <i t="default" r="1">
      <x v="44"/>
    </i>
    <i r="1">
      <x v="48"/>
      <x v="17"/>
      <x v="18"/>
      <x v="1"/>
    </i>
    <i r="4">
      <x v="15"/>
    </i>
    <i r="4">
      <x v="40"/>
    </i>
    <i r="4">
      <x v="50"/>
    </i>
    <i t="default" r="1">
      <x v="48"/>
    </i>
    <i r="1">
      <x v="49"/>
      <x v="49"/>
      <x v="13"/>
      <x v="26"/>
    </i>
    <i r="4">
      <x v="35"/>
    </i>
    <i r="4">
      <x v="40"/>
    </i>
    <i r="4">
      <x v="48"/>
    </i>
    <i t="default" r="1">
      <x v="49"/>
    </i>
    <i r="1">
      <x v="59"/>
      <x v="20"/>
      <x v="25"/>
      <x v="1"/>
    </i>
    <i r="4">
      <x v="26"/>
    </i>
    <i r="4">
      <x v="27"/>
    </i>
    <i t="default" r="1">
      <x v="59"/>
    </i>
    <i r="1">
      <x v="61"/>
      <x v="32"/>
      <x v="18"/>
      <x v="1"/>
    </i>
    <i r="4">
      <x v="15"/>
    </i>
    <i r="4">
      <x v="40"/>
    </i>
    <i r="4">
      <x v="50"/>
    </i>
    <i t="default" r="1">
      <x v="61"/>
    </i>
    <i r="1">
      <x v="62"/>
      <x v="36"/>
      <x v="25"/>
      <x v="1"/>
    </i>
    <i r="4">
      <x v="26"/>
    </i>
    <i r="4">
      <x v="27"/>
    </i>
    <i t="default" r="1">
      <x v="62"/>
    </i>
    <i r="1">
      <x v="63"/>
      <x v="65"/>
      <x v="23"/>
      <x v="1"/>
    </i>
    <i r="4">
      <x v="39"/>
    </i>
    <i r="4">
      <x v="40"/>
    </i>
    <i t="default" r="1">
      <x v="63"/>
    </i>
    <i r="1">
      <x v="64"/>
      <x v="66"/>
      <x v="23"/>
      <x v="1"/>
    </i>
    <i r="4">
      <x v="39"/>
    </i>
    <i r="4">
      <x v="40"/>
    </i>
    <i t="default" r="1">
      <x v="64"/>
    </i>
    <i r="1">
      <x v="96"/>
      <x v="98"/>
      <x v="16"/>
      <x v="18"/>
    </i>
    <i r="4">
      <x v="40"/>
    </i>
    <i r="3">
      <x v="23"/>
      <x v="18"/>
    </i>
    <i r="4">
      <x v="48"/>
    </i>
    <i t="default" r="1">
      <x v="96"/>
    </i>
    <i r="1">
      <x v="113"/>
      <x v="25"/>
      <x v="20"/>
      <x v="15"/>
    </i>
    <i r="4">
      <x v="18"/>
    </i>
    <i r="4">
      <x v="26"/>
    </i>
    <i r="4">
      <x v="27"/>
    </i>
    <i t="default" r="1">
      <x v="113"/>
    </i>
    <i r="1">
      <x v="114"/>
      <x v="23"/>
      <x v="21"/>
      <x v="18"/>
    </i>
    <i r="4">
      <x v="26"/>
    </i>
    <i r="4">
      <x v="48"/>
    </i>
    <i t="default" r="1">
      <x v="114"/>
    </i>
    <i r="1">
      <x v="115"/>
      <x v="24"/>
      <x v="21"/>
      <x v="18"/>
    </i>
    <i r="4">
      <x v="26"/>
    </i>
    <i r="4">
      <x v="48"/>
    </i>
    <i t="default" r="1">
      <x v="115"/>
    </i>
    <i t="sum">
      <x v="12"/>
    </i>
    <i>
      <x v="13"/>
      <x v="68"/>
      <x v="70"/>
      <x v="70"/>
      <x v="6"/>
    </i>
    <i t="default" r="1">
      <x v="68"/>
    </i>
    <i t="sum">
      <x v="13"/>
    </i>
    <i>
      <x v="14"/>
      <x/>
      <x v="60"/>
      <x v="76"/>
      <x v="2"/>
    </i>
    <i t="default" r="1">
      <x/>
    </i>
    <i r="1">
      <x v="95"/>
      <x v="97"/>
      <x v="83"/>
      <x v="48"/>
    </i>
    <i t="default" r="1">
      <x v="95"/>
    </i>
    <i r="1">
      <x v="103"/>
      <x v="123"/>
      <x v="75"/>
      <x v="1"/>
    </i>
    <i r="4">
      <x v="2"/>
    </i>
    <i r="4">
      <x v="15"/>
    </i>
    <i r="4">
      <x v="25"/>
    </i>
    <i r="4">
      <x v="42"/>
    </i>
    <i r="4">
      <x v="45"/>
    </i>
    <i r="3">
      <x v="83"/>
      <x v="48"/>
    </i>
    <i t="default" r="1">
      <x v="103"/>
    </i>
    <i r="1">
      <x v="104"/>
      <x v="106"/>
      <x v="83"/>
      <x v="48"/>
    </i>
    <i t="default" r="1">
      <x v="104"/>
    </i>
    <i r="1">
      <x v="120"/>
      <x v="117"/>
      <x v="74"/>
      <x v="2"/>
    </i>
    <i r="4">
      <x v="10"/>
    </i>
    <i r="4">
      <x v="23"/>
    </i>
    <i r="4">
      <x v="37"/>
    </i>
    <i r="3">
      <x v="77"/>
      <x v="1"/>
    </i>
    <i r="4">
      <x v="23"/>
    </i>
    <i t="default" r="1">
      <x v="120"/>
    </i>
    <i t="sum">
      <x v="14"/>
    </i>
    <i t="grand">
      <x/>
    </i>
  </rowItems>
  <colItems count="1">
    <i/>
  </colItems>
  <dataFields count="1">
    <dataField name="Sum of DT tính lương lái xe" fld="14" baseField="0" baseItem="0" numFmtId="181"/>
  </dataFields>
  <formats count="567">
    <format dxfId="211">
      <pivotArea outline="0" fieldPosition="0">
        <references count="1">
          <reference field="16" count="1" selected="0" sumSubtotal="1">
            <x v="0"/>
          </reference>
        </references>
      </pivotArea>
    </format>
    <format dxfId="212">
      <pivotArea dataOnly="0" labelOnly="1" outline="0" fieldPosition="0">
        <references count="1">
          <reference field="16" count="1" sumSubtotal="1">
            <x v="0"/>
          </reference>
        </references>
      </pivotArea>
    </format>
    <format dxfId="213">
      <pivotArea outline="0" fieldPosition="0">
        <references count="1">
          <reference field="16" count="1" selected="0" sumSubtotal="1">
            <x v="1"/>
          </reference>
        </references>
      </pivotArea>
    </format>
    <format dxfId="214">
      <pivotArea dataOnly="0" labelOnly="1" outline="0" fieldPosition="0">
        <references count="1">
          <reference field="16" count="1" sumSubtotal="1">
            <x v="1"/>
          </reference>
        </references>
      </pivotArea>
    </format>
    <format dxfId="215">
      <pivotArea outline="0" fieldPosition="0">
        <references count="1">
          <reference field="16" count="1" selected="0" sumSubtotal="1">
            <x v="2"/>
          </reference>
        </references>
      </pivotArea>
    </format>
    <format dxfId="216">
      <pivotArea dataOnly="0" labelOnly="1" outline="0" fieldPosition="0">
        <references count="1">
          <reference field="16" count="1" sumSubtotal="1">
            <x v="2"/>
          </reference>
        </references>
      </pivotArea>
    </format>
    <format dxfId="217">
      <pivotArea outline="0" fieldPosition="0">
        <references count="1">
          <reference field="16" count="1" selected="0" sumSubtotal="1">
            <x v="3"/>
          </reference>
        </references>
      </pivotArea>
    </format>
    <format dxfId="218">
      <pivotArea dataOnly="0" labelOnly="1" outline="0" fieldPosition="0">
        <references count="1">
          <reference field="16" count="1" sumSubtotal="1">
            <x v="3"/>
          </reference>
        </references>
      </pivotArea>
    </format>
    <format dxfId="219">
      <pivotArea outline="0" fieldPosition="0">
        <references count="1">
          <reference field="16" count="1" selected="0" sumSubtotal="1">
            <x v="4"/>
          </reference>
        </references>
      </pivotArea>
    </format>
    <format dxfId="220">
      <pivotArea dataOnly="0" labelOnly="1" outline="0" fieldPosition="0">
        <references count="1">
          <reference field="16" count="1" sumSubtotal="1">
            <x v="4"/>
          </reference>
        </references>
      </pivotArea>
    </format>
    <format dxfId="221">
      <pivotArea outline="0" fieldPosition="0">
        <references count="1">
          <reference field="16" count="1" selected="0" sumSubtotal="1">
            <x v="5"/>
          </reference>
        </references>
      </pivotArea>
    </format>
    <format dxfId="222">
      <pivotArea dataOnly="0" labelOnly="1" outline="0" fieldPosition="0">
        <references count="1">
          <reference field="16" count="1" sumSubtotal="1">
            <x v="5"/>
          </reference>
        </references>
      </pivotArea>
    </format>
    <format dxfId="223">
      <pivotArea outline="0" fieldPosition="0">
        <references count="1">
          <reference field="16" count="1" selected="0" sumSubtotal="1">
            <x v="6"/>
          </reference>
        </references>
      </pivotArea>
    </format>
    <format dxfId="224">
      <pivotArea dataOnly="0" labelOnly="1" outline="0" fieldPosition="0">
        <references count="1">
          <reference field="16" count="1" sumSubtotal="1">
            <x v="6"/>
          </reference>
        </references>
      </pivotArea>
    </format>
    <format dxfId="225">
      <pivotArea outline="0" fieldPosition="0">
        <references count="1">
          <reference field="16" count="1" selected="0" sumSubtotal="1">
            <x v="7"/>
          </reference>
        </references>
      </pivotArea>
    </format>
    <format dxfId="226">
      <pivotArea dataOnly="0" labelOnly="1" outline="0" fieldPosition="0">
        <references count="1">
          <reference field="16" count="1" sumSubtotal="1">
            <x v="7"/>
          </reference>
        </references>
      </pivotArea>
    </format>
    <format dxfId="227">
      <pivotArea outline="0" fieldPosition="0">
        <references count="1">
          <reference field="16" count="1" selected="0" sumSubtotal="1">
            <x v="8"/>
          </reference>
        </references>
      </pivotArea>
    </format>
    <format dxfId="228">
      <pivotArea dataOnly="0" labelOnly="1" outline="0" fieldPosition="0">
        <references count="1">
          <reference field="16" count="1" sumSubtotal="1">
            <x v="8"/>
          </reference>
        </references>
      </pivotArea>
    </format>
    <format dxfId="229">
      <pivotArea outline="0" fieldPosition="0">
        <references count="1">
          <reference field="16" count="1" selected="0" sumSubtotal="1">
            <x v="9"/>
          </reference>
        </references>
      </pivotArea>
    </format>
    <format dxfId="230">
      <pivotArea dataOnly="0" labelOnly="1" outline="0" fieldPosition="0">
        <references count="1">
          <reference field="16" count="1" sumSubtotal="1">
            <x v="9"/>
          </reference>
        </references>
      </pivotArea>
    </format>
    <format dxfId="231">
      <pivotArea outline="0" fieldPosition="0">
        <references count="1">
          <reference field="16" count="1" selected="0" sumSubtotal="1">
            <x v="10"/>
          </reference>
        </references>
      </pivotArea>
    </format>
    <format dxfId="232">
      <pivotArea dataOnly="0" labelOnly="1" outline="0" fieldPosition="0">
        <references count="1">
          <reference field="16" count="1" sumSubtotal="1">
            <x v="10"/>
          </reference>
        </references>
      </pivotArea>
    </format>
    <format dxfId="233">
      <pivotArea outline="0" fieldPosition="0">
        <references count="1">
          <reference field="16" count="1" selected="0" sumSubtotal="1">
            <x v="11"/>
          </reference>
        </references>
      </pivotArea>
    </format>
    <format dxfId="234">
      <pivotArea dataOnly="0" labelOnly="1" outline="0" fieldPosition="0">
        <references count="1">
          <reference field="16" count="1" sumSubtotal="1">
            <x v="11"/>
          </reference>
        </references>
      </pivotArea>
    </format>
    <format dxfId="235">
      <pivotArea outline="0" fieldPosition="0">
        <references count="1">
          <reference field="16" count="1" selected="0" sumSubtotal="1">
            <x v="12"/>
          </reference>
        </references>
      </pivotArea>
    </format>
    <format dxfId="236">
      <pivotArea dataOnly="0" labelOnly="1" outline="0" fieldPosition="0">
        <references count="1">
          <reference field="16" count="1" sumSubtotal="1">
            <x v="12"/>
          </reference>
        </references>
      </pivotArea>
    </format>
    <format dxfId="237">
      <pivotArea type="all" dataOnly="0" outline="0" fieldPosition="0"/>
    </format>
    <format dxfId="238">
      <pivotArea outline="0" collapsedLevelsAreSubtotals="1" fieldPosition="0"/>
    </format>
    <format dxfId="239">
      <pivotArea field="16" type="button" dataOnly="0" labelOnly="1" outline="0" fieldPosition="0"/>
    </format>
    <format dxfId="240">
      <pivotArea field="9" type="button" dataOnly="0" labelOnly="1" outline="0" fieldPosition="0"/>
    </format>
    <format dxfId="241">
      <pivotArea field="15" type="button" dataOnly="0" labelOnly="1" outline="0" fieldPosition="0"/>
    </format>
    <format dxfId="242">
      <pivotArea field="8" type="button" dataOnly="0" labelOnly="1" outline="0" fieldPosition="0"/>
    </format>
    <format dxfId="243">
      <pivotArea field="3" type="button" dataOnly="0" labelOnly="1" outline="0" fieldPosition="0"/>
    </format>
    <format dxfId="244">
      <pivotArea dataOnly="0" labelOnly="1" outline="0" fieldPosition="0">
        <references count="1">
          <reference field="16" count="0"/>
        </references>
      </pivotArea>
    </format>
    <format dxfId="245">
      <pivotArea dataOnly="0" labelOnly="1" outline="0" fieldPosition="0">
        <references count="1">
          <reference field="16" count="0" sumSubtotal="1"/>
        </references>
      </pivotArea>
    </format>
    <format dxfId="246">
      <pivotArea dataOnly="0" labelOnly="1" grandRow="1" outline="0" fieldPosition="0"/>
    </format>
    <format dxfId="247">
      <pivotArea dataOnly="0" labelOnly="1" outline="0" fieldPosition="0">
        <references count="2">
          <reference field="9" count="3">
            <x v="1"/>
            <x v="13"/>
            <x v="32"/>
          </reference>
          <reference field="16" count="1" selected="0">
            <x v="1"/>
          </reference>
        </references>
      </pivotArea>
    </format>
    <format dxfId="248">
      <pivotArea dataOnly="0" labelOnly="1" outline="0" fieldPosition="0">
        <references count="2">
          <reference field="9" count="3" defaultSubtotal="1">
            <x v="1"/>
            <x v="13"/>
            <x v="32"/>
          </reference>
          <reference field="16" count="1" selected="0">
            <x v="1"/>
          </reference>
        </references>
      </pivotArea>
    </format>
    <format dxfId="249">
      <pivotArea dataOnly="0" labelOnly="1" outline="0" fieldPosition="0">
        <references count="2">
          <reference field="9" count="2">
            <x v="13"/>
            <x v="31"/>
          </reference>
          <reference field="16" count="1" selected="0">
            <x v="2"/>
          </reference>
        </references>
      </pivotArea>
    </format>
    <format dxfId="250">
      <pivotArea dataOnly="0" labelOnly="1" outline="0" fieldPosition="0">
        <references count="2">
          <reference field="9" count="2" defaultSubtotal="1">
            <x v="13"/>
            <x v="31"/>
          </reference>
          <reference field="16" count="1" selected="0">
            <x v="2"/>
          </reference>
        </references>
      </pivotArea>
    </format>
    <format dxfId="251">
      <pivotArea dataOnly="0" labelOnly="1" outline="0" fieldPosition="0">
        <references count="2">
          <reference field="9" count="11">
            <x v="1"/>
            <x v="15"/>
            <x v="16"/>
            <x v="20"/>
            <x v="21"/>
            <x v="22"/>
            <x v="23"/>
            <x v="35"/>
            <x v="37"/>
            <x v="41"/>
            <x v="46"/>
          </reference>
          <reference field="16" count="1" selected="0">
            <x v="3"/>
          </reference>
        </references>
      </pivotArea>
    </format>
    <format dxfId="252">
      <pivotArea dataOnly="0" labelOnly="1" outline="0" fieldPosition="0">
        <references count="2">
          <reference field="9" count="11" defaultSubtotal="1">
            <x v="1"/>
            <x v="15"/>
            <x v="16"/>
            <x v="20"/>
            <x v="21"/>
            <x v="22"/>
            <x v="23"/>
            <x v="35"/>
            <x v="37"/>
            <x v="41"/>
            <x v="46"/>
          </reference>
          <reference field="16" count="1" selected="0">
            <x v="3"/>
          </reference>
        </references>
      </pivotArea>
    </format>
    <format dxfId="253">
      <pivotArea dataOnly="0" labelOnly="1" outline="0" fieldPosition="0">
        <references count="2">
          <reference field="9" count="2">
            <x v="55"/>
            <x v="58"/>
          </reference>
          <reference field="16" count="1" selected="0">
            <x v="3"/>
          </reference>
        </references>
      </pivotArea>
    </format>
    <format dxfId="254">
      <pivotArea dataOnly="0" labelOnly="1" outline="0" fieldPosition="0">
        <references count="2">
          <reference field="9" count="2" defaultSubtotal="1">
            <x v="55"/>
            <x v="58"/>
          </reference>
          <reference field="16" count="1" selected="0">
            <x v="3"/>
          </reference>
        </references>
      </pivotArea>
    </format>
    <format dxfId="255">
      <pivotArea dataOnly="0" labelOnly="1" outline="0" fieldPosition="0">
        <references count="2">
          <reference field="9" count="5">
            <x v="6"/>
            <x v="13"/>
            <x v="14"/>
            <x v="25"/>
            <x v="35"/>
          </reference>
          <reference field="16" count="1" selected="0">
            <x v="4"/>
          </reference>
        </references>
      </pivotArea>
    </format>
    <format dxfId="256">
      <pivotArea dataOnly="0" labelOnly="1" outline="0" fieldPosition="0">
        <references count="2">
          <reference field="9" count="5" defaultSubtotal="1">
            <x v="6"/>
            <x v="13"/>
            <x v="14"/>
            <x v="25"/>
            <x v="35"/>
          </reference>
          <reference field="16" count="1" selected="0">
            <x v="4"/>
          </reference>
        </references>
      </pivotArea>
    </format>
    <format dxfId="257">
      <pivotArea dataOnly="0" labelOnly="1" outline="0" fieldPosition="0">
        <references count="2">
          <reference field="9" count="5">
            <x v="5"/>
            <x v="6"/>
            <x v="32"/>
            <x v="35"/>
            <x v="53"/>
          </reference>
          <reference field="16" count="1" selected="0">
            <x v="5"/>
          </reference>
        </references>
      </pivotArea>
    </format>
    <format dxfId="258">
      <pivotArea dataOnly="0" labelOnly="1" outline="0" fieldPosition="0">
        <references count="2">
          <reference field="9" count="5" defaultSubtotal="1">
            <x v="5"/>
            <x v="6"/>
            <x v="32"/>
            <x v="35"/>
            <x v="53"/>
          </reference>
          <reference field="16" count="1" selected="0">
            <x v="5"/>
          </reference>
        </references>
      </pivotArea>
    </format>
    <format dxfId="259">
      <pivotArea dataOnly="0" labelOnly="1" outline="0" fieldPosition="0">
        <references count="2">
          <reference field="9" count="3">
            <x v="0"/>
            <x v="17"/>
            <x v="53"/>
          </reference>
          <reference field="16" count="1" selected="0">
            <x v="6"/>
          </reference>
        </references>
      </pivotArea>
    </format>
    <format dxfId="260">
      <pivotArea dataOnly="0" labelOnly="1" outline="0" fieldPosition="0">
        <references count="2">
          <reference field="9" count="3" defaultSubtotal="1">
            <x v="0"/>
            <x v="17"/>
            <x v="53"/>
          </reference>
          <reference field="16" count="1" selected="0">
            <x v="6"/>
          </reference>
        </references>
      </pivotArea>
    </format>
    <format dxfId="261">
      <pivotArea dataOnly="0" labelOnly="1" outline="0" fieldPosition="0">
        <references count="2">
          <reference field="9" count="1">
            <x v="39"/>
          </reference>
          <reference field="16" count="1" selected="0">
            <x v="7"/>
          </reference>
        </references>
      </pivotArea>
    </format>
    <format dxfId="262">
      <pivotArea dataOnly="0" labelOnly="1" outline="0" fieldPosition="0">
        <references count="2">
          <reference field="9" count="1" defaultSubtotal="1">
            <x v="39"/>
          </reference>
          <reference field="16" count="1" selected="0">
            <x v="7"/>
          </reference>
        </references>
      </pivotArea>
    </format>
    <format dxfId="263">
      <pivotArea dataOnly="0" labelOnly="1" outline="0" fieldPosition="0">
        <references count="2">
          <reference field="9" count="1">
            <x v="0"/>
          </reference>
          <reference field="16" count="1" selected="0">
            <x v="8"/>
          </reference>
        </references>
      </pivotArea>
    </format>
    <format dxfId="264">
      <pivotArea dataOnly="0" labelOnly="1" outline="0" fieldPosition="0">
        <references count="2">
          <reference field="9" count="1" defaultSubtotal="1">
            <x v="0"/>
          </reference>
          <reference field="16" count="1" selected="0">
            <x v="8"/>
          </reference>
        </references>
      </pivotArea>
    </format>
    <format dxfId="265">
      <pivotArea dataOnly="0" labelOnly="1" outline="0" fieldPosition="0">
        <references count="2">
          <reference field="9" count="8">
            <x v="5"/>
            <x v="13"/>
            <x v="14"/>
            <x v="25"/>
            <x v="35"/>
            <x v="45"/>
            <x v="47"/>
            <x v="54"/>
          </reference>
          <reference field="16" count="1" selected="0">
            <x v="9"/>
          </reference>
        </references>
      </pivotArea>
    </format>
    <format dxfId="266">
      <pivotArea dataOnly="0" labelOnly="1" outline="0" fieldPosition="0">
        <references count="2">
          <reference field="9" count="8" defaultSubtotal="1">
            <x v="5"/>
            <x v="13"/>
            <x v="14"/>
            <x v="25"/>
            <x v="35"/>
            <x v="45"/>
            <x v="47"/>
            <x v="54"/>
          </reference>
          <reference field="16" count="1" selected="0">
            <x v="9"/>
          </reference>
        </references>
      </pivotArea>
    </format>
    <format dxfId="267">
      <pivotArea dataOnly="0" labelOnly="1" outline="0" fieldPosition="0">
        <references count="2">
          <reference field="9" count="5">
            <x v="4"/>
            <x v="28"/>
            <x v="29"/>
            <x v="30"/>
            <x v="56"/>
          </reference>
          <reference field="16" count="1" selected="0">
            <x v="10"/>
          </reference>
        </references>
      </pivotArea>
    </format>
    <format dxfId="268">
      <pivotArea dataOnly="0" labelOnly="1" outline="0" fieldPosition="0">
        <references count="2">
          <reference field="9" count="5" defaultSubtotal="1">
            <x v="4"/>
            <x v="28"/>
            <x v="29"/>
            <x v="30"/>
            <x v="56"/>
          </reference>
          <reference field="16" count="1" selected="0">
            <x v="10"/>
          </reference>
        </references>
      </pivotArea>
    </format>
    <format dxfId="269">
      <pivotArea dataOnly="0" labelOnly="1" outline="0" fieldPosition="0">
        <references count="2">
          <reference field="9" count="12">
            <x v="1"/>
            <x v="5"/>
            <x v="18"/>
            <x v="20"/>
            <x v="21"/>
            <x v="23"/>
            <x v="25"/>
            <x v="26"/>
            <x v="27"/>
            <x v="29"/>
            <x v="30"/>
            <x v="31"/>
          </reference>
          <reference field="16" count="1" selected="0">
            <x v="11"/>
          </reference>
        </references>
      </pivotArea>
    </format>
    <format dxfId="270">
      <pivotArea dataOnly="0" labelOnly="1" outline="0" fieldPosition="0">
        <references count="2">
          <reference field="9" count="12" defaultSubtotal="1">
            <x v="1"/>
            <x v="5"/>
            <x v="18"/>
            <x v="20"/>
            <x v="21"/>
            <x v="23"/>
            <x v="25"/>
            <x v="26"/>
            <x v="27"/>
            <x v="29"/>
            <x v="30"/>
            <x v="31"/>
          </reference>
          <reference field="16" count="1" selected="0">
            <x v="11"/>
          </reference>
        </references>
      </pivotArea>
    </format>
    <format dxfId="271">
      <pivotArea dataOnly="0" labelOnly="1" outline="0" fieldPosition="0">
        <references count="2">
          <reference field="9" count="7">
            <x v="33"/>
            <x v="34"/>
            <x v="35"/>
            <x v="37"/>
            <x v="38"/>
            <x v="46"/>
            <x v="47"/>
          </reference>
          <reference field="16" count="1" selected="0">
            <x v="11"/>
          </reference>
        </references>
      </pivotArea>
    </format>
    <format dxfId="272">
      <pivotArea dataOnly="0" labelOnly="1" outline="0" fieldPosition="0">
        <references count="2">
          <reference field="9" count="7" defaultSubtotal="1">
            <x v="33"/>
            <x v="34"/>
            <x v="35"/>
            <x v="37"/>
            <x v="38"/>
            <x v="46"/>
            <x v="47"/>
          </reference>
          <reference field="16" count="1" selected="0">
            <x v="11"/>
          </reference>
        </references>
      </pivotArea>
    </format>
    <format dxfId="273">
      <pivotArea dataOnly="0" labelOnly="1" outline="0" fieldPosition="0">
        <references count="2">
          <reference field="9" count="7">
            <x v="50"/>
            <x v="51"/>
            <x v="52"/>
            <x v="54"/>
            <x v="56"/>
            <x v="57"/>
            <x v="60"/>
          </reference>
          <reference field="16" count="1" selected="0">
            <x v="11"/>
          </reference>
        </references>
      </pivotArea>
    </format>
    <format dxfId="274">
      <pivotArea dataOnly="0" labelOnly="1" outline="0" fieldPosition="0">
        <references count="2">
          <reference field="9" count="7" defaultSubtotal="1">
            <x v="50"/>
            <x v="51"/>
            <x v="52"/>
            <x v="54"/>
            <x v="56"/>
            <x v="57"/>
            <x v="60"/>
          </reference>
          <reference field="16" count="1" selected="0">
            <x v="11"/>
          </reference>
        </references>
      </pivotArea>
    </format>
    <format dxfId="275">
      <pivotArea dataOnly="0" labelOnly="1" outline="0" fieldPosition="0">
        <references count="2">
          <reference field="9" count="20">
            <x v="2"/>
            <x v="3"/>
            <x v="7"/>
            <x v="8"/>
            <x v="9"/>
            <x v="10"/>
            <x v="11"/>
            <x v="12"/>
            <x v="19"/>
            <x v="24"/>
            <x v="36"/>
            <x v="40"/>
            <x v="42"/>
            <x v="43"/>
            <x v="44"/>
            <x v="48"/>
            <x v="49"/>
            <x v="59"/>
            <x v="61"/>
            <x v="62"/>
          </reference>
          <reference field="16" count="1" selected="0">
            <x v="12"/>
          </reference>
        </references>
      </pivotArea>
    </format>
    <format dxfId="276">
      <pivotArea dataOnly="0" labelOnly="1" outline="0" fieldPosition="0">
        <references count="2">
          <reference field="9" count="20" defaultSubtotal="1">
            <x v="2"/>
            <x v="3"/>
            <x v="7"/>
            <x v="8"/>
            <x v="9"/>
            <x v="10"/>
            <x v="11"/>
            <x v="12"/>
            <x v="19"/>
            <x v="24"/>
            <x v="36"/>
            <x v="40"/>
            <x v="42"/>
            <x v="43"/>
            <x v="44"/>
            <x v="48"/>
            <x v="49"/>
            <x v="59"/>
            <x v="61"/>
            <x v="62"/>
          </reference>
          <reference field="16" count="1" selected="0">
            <x v="12"/>
          </reference>
        </references>
      </pivotArea>
    </format>
    <format dxfId="277">
      <pivotArea dataOnly="0" labelOnly="1" outline="0" fieldPosition="0">
        <references count="3">
          <reference field="9" count="1" selected="0">
            <x v="1"/>
          </reference>
          <reference field="15" count="1">
            <x v="54"/>
          </reference>
          <reference field="16" count="1" selected="0">
            <x v="1"/>
          </reference>
        </references>
      </pivotArea>
    </format>
    <format dxfId="278">
      <pivotArea dataOnly="0" labelOnly="1" outline="0" fieldPosition="0">
        <references count="3">
          <reference field="9" count="1" selected="0">
            <x v="13"/>
          </reference>
          <reference field="15" count="1">
            <x v="7"/>
          </reference>
          <reference field="16" count="1" selected="0">
            <x v="1"/>
          </reference>
        </references>
      </pivotArea>
    </format>
    <format dxfId="279">
      <pivotArea dataOnly="0" labelOnly="1" outline="0" fieldPosition="0">
        <references count="3">
          <reference field="9" count="1" selected="0">
            <x v="32"/>
          </reference>
          <reference field="15" count="1">
            <x v="5"/>
          </reference>
          <reference field="16" count="1" selected="0">
            <x v="1"/>
          </reference>
        </references>
      </pivotArea>
    </format>
    <format dxfId="280">
      <pivotArea dataOnly="0" labelOnly="1" outline="0" fieldPosition="0">
        <references count="3">
          <reference field="9" count="1" selected="0">
            <x v="13"/>
          </reference>
          <reference field="15" count="1">
            <x v="7"/>
          </reference>
          <reference field="16" count="1" selected="0">
            <x v="2"/>
          </reference>
        </references>
      </pivotArea>
    </format>
    <format dxfId="281">
      <pivotArea dataOnly="0" labelOnly="1" outline="0" fieldPosition="0">
        <references count="3">
          <reference field="9" count="1" selected="0">
            <x v="31"/>
          </reference>
          <reference field="15" count="1">
            <x v="47"/>
          </reference>
          <reference field="16" count="1" selected="0">
            <x v="2"/>
          </reference>
        </references>
      </pivotArea>
    </format>
    <format dxfId="282">
      <pivotArea dataOnly="0" labelOnly="1" outline="0" fieldPosition="0">
        <references count="3">
          <reference field="9" count="1" selected="0">
            <x v="1"/>
          </reference>
          <reference field="15" count="1">
            <x v="54"/>
          </reference>
          <reference field="16" count="1" selected="0">
            <x v="3"/>
          </reference>
        </references>
      </pivotArea>
    </format>
    <format dxfId="283">
      <pivotArea dataOnly="0" labelOnly="1" outline="0" fieldPosition="0">
        <references count="3">
          <reference field="9" count="1" selected="0">
            <x v="15"/>
          </reference>
          <reference field="15" count="1">
            <x v="64"/>
          </reference>
          <reference field="16" count="1" selected="0">
            <x v="3"/>
          </reference>
        </references>
      </pivotArea>
    </format>
    <format dxfId="284">
      <pivotArea dataOnly="0" labelOnly="1" outline="0" fieldPosition="0">
        <references count="3">
          <reference field="9" count="1" selected="0">
            <x v="16"/>
          </reference>
          <reference field="15" count="1">
            <x v="18"/>
          </reference>
          <reference field="16" count="1" selected="0">
            <x v="3"/>
          </reference>
        </references>
      </pivotArea>
    </format>
    <format dxfId="285">
      <pivotArea dataOnly="0" labelOnly="1" outline="0" fieldPosition="0">
        <references count="3">
          <reference field="9" count="1" selected="0">
            <x v="20"/>
          </reference>
          <reference field="15" count="1">
            <x v="40"/>
          </reference>
          <reference field="16" count="1" selected="0">
            <x v="3"/>
          </reference>
        </references>
      </pivotArea>
    </format>
    <format dxfId="286">
      <pivotArea dataOnly="0" labelOnly="1" outline="0" fieldPosition="0">
        <references count="3">
          <reference field="9" count="1" selected="0">
            <x v="21"/>
          </reference>
          <reference field="15" count="1">
            <x v="1"/>
          </reference>
          <reference field="16" count="1" selected="0">
            <x v="3"/>
          </reference>
        </references>
      </pivotArea>
    </format>
    <format dxfId="287">
      <pivotArea dataOnly="0" labelOnly="1" outline="0" fieldPosition="0">
        <references count="3">
          <reference field="9" count="1" selected="0">
            <x v="22"/>
          </reference>
          <reference field="15" count="1">
            <x v="63"/>
          </reference>
          <reference field="16" count="1" selected="0">
            <x v="3"/>
          </reference>
        </references>
      </pivotArea>
    </format>
    <format dxfId="288">
      <pivotArea dataOnly="0" labelOnly="1" outline="0" fieldPosition="0">
        <references count="3">
          <reference field="9" count="1" selected="0">
            <x v="23"/>
          </reference>
          <reference field="15" count="1">
            <x v="50"/>
          </reference>
          <reference field="16" count="1" selected="0">
            <x v="3"/>
          </reference>
        </references>
      </pivotArea>
    </format>
    <format dxfId="289">
      <pivotArea dataOnly="0" labelOnly="1" outline="0" fieldPosition="0">
        <references count="3">
          <reference field="9" count="1" selected="0">
            <x v="35"/>
          </reference>
          <reference field="15" count="1">
            <x v="8"/>
          </reference>
          <reference field="16" count="1" selected="0">
            <x v="3"/>
          </reference>
        </references>
      </pivotArea>
    </format>
    <format dxfId="290">
      <pivotArea dataOnly="0" labelOnly="1" outline="0" fieldPosition="0">
        <references count="3">
          <reference field="9" count="1" selected="0">
            <x v="37"/>
          </reference>
          <reference field="15" count="1">
            <x v="43"/>
          </reference>
          <reference field="16" count="1" selected="0">
            <x v="3"/>
          </reference>
        </references>
      </pivotArea>
    </format>
    <format dxfId="291">
      <pivotArea dataOnly="0" labelOnly="1" outline="0" fieldPosition="0">
        <references count="3">
          <reference field="9" count="1" selected="0">
            <x v="41"/>
          </reference>
          <reference field="15" count="1">
            <x v="44"/>
          </reference>
          <reference field="16" count="1" selected="0">
            <x v="3"/>
          </reference>
        </references>
      </pivotArea>
    </format>
    <format dxfId="292">
      <pivotArea dataOnly="0" labelOnly="1" outline="0" fieldPosition="0">
        <references count="3">
          <reference field="9" count="1" selected="0">
            <x v="46"/>
          </reference>
          <reference field="15" count="1">
            <x v="55"/>
          </reference>
          <reference field="16" count="1" selected="0">
            <x v="3"/>
          </reference>
        </references>
      </pivotArea>
    </format>
    <format dxfId="293">
      <pivotArea dataOnly="0" labelOnly="1" outline="0" fieldPosition="0">
        <references count="3">
          <reference field="9" count="1" selected="0">
            <x v="55"/>
          </reference>
          <reference field="15" count="1">
            <x v="3"/>
          </reference>
          <reference field="16" count="1" selected="0">
            <x v="3"/>
          </reference>
        </references>
      </pivotArea>
    </format>
    <format dxfId="294">
      <pivotArea dataOnly="0" labelOnly="1" outline="0" fieldPosition="0">
        <references count="3">
          <reference field="9" count="1" selected="0">
            <x v="58"/>
          </reference>
          <reference field="15" count="1">
            <x v="57"/>
          </reference>
          <reference field="16" count="1" selected="0">
            <x v="3"/>
          </reference>
        </references>
      </pivotArea>
    </format>
    <format dxfId="295">
      <pivotArea dataOnly="0" labelOnly="1" outline="0" fieldPosition="0">
        <references count="3">
          <reference field="9" count="1" selected="0">
            <x v="6"/>
          </reference>
          <reference field="15" count="1">
            <x v="6"/>
          </reference>
          <reference field="16" count="1" selected="0">
            <x v="4"/>
          </reference>
        </references>
      </pivotArea>
    </format>
    <format dxfId="296">
      <pivotArea dataOnly="0" labelOnly="1" outline="0" fieldPosition="0">
        <references count="3">
          <reference field="9" count="1" selected="0">
            <x v="13"/>
          </reference>
          <reference field="15" count="1">
            <x v="7"/>
          </reference>
          <reference field="16" count="1" selected="0">
            <x v="4"/>
          </reference>
        </references>
      </pivotArea>
    </format>
    <format dxfId="297">
      <pivotArea dataOnly="0" labelOnly="1" outline="0" fieldPosition="0">
        <references count="3">
          <reference field="9" count="1" selected="0">
            <x v="14"/>
          </reference>
          <reference field="15" count="1">
            <x v="9"/>
          </reference>
          <reference field="16" count="1" selected="0">
            <x v="4"/>
          </reference>
        </references>
      </pivotArea>
    </format>
    <format dxfId="298">
      <pivotArea dataOnly="0" labelOnly="1" outline="0" fieldPosition="0">
        <references count="3">
          <reference field="9" count="1" selected="0">
            <x v="25"/>
          </reference>
          <reference field="15" count="1">
            <x v="4"/>
          </reference>
          <reference field="16" count="1" selected="0">
            <x v="4"/>
          </reference>
        </references>
      </pivotArea>
    </format>
    <format dxfId="299">
      <pivotArea dataOnly="0" labelOnly="1" outline="0" fieldPosition="0">
        <references count="3">
          <reference field="9" count="1" selected="0">
            <x v="35"/>
          </reference>
          <reference field="15" count="1">
            <x v="8"/>
          </reference>
          <reference field="16" count="1" selected="0">
            <x v="4"/>
          </reference>
        </references>
      </pivotArea>
    </format>
    <format dxfId="300">
      <pivotArea dataOnly="0" labelOnly="1" outline="0" fieldPosition="0">
        <references count="3">
          <reference field="9" count="1" selected="0">
            <x v="5"/>
          </reference>
          <reference field="15" count="1">
            <x v="22"/>
          </reference>
          <reference field="16" count="1" selected="0">
            <x v="5"/>
          </reference>
        </references>
      </pivotArea>
    </format>
    <format dxfId="301">
      <pivotArea dataOnly="0" labelOnly="1" outline="0" fieldPosition="0">
        <references count="3">
          <reference field="9" count="1" selected="0">
            <x v="6"/>
          </reference>
          <reference field="15" count="1">
            <x v="6"/>
          </reference>
          <reference field="16" count="1" selected="0">
            <x v="5"/>
          </reference>
        </references>
      </pivotArea>
    </format>
    <format dxfId="302">
      <pivotArea dataOnly="0" labelOnly="1" outline="0" fieldPosition="0">
        <references count="3">
          <reference field="9" count="1" selected="0">
            <x v="32"/>
          </reference>
          <reference field="15" count="1">
            <x v="5"/>
          </reference>
          <reference field="16" count="1" selected="0">
            <x v="5"/>
          </reference>
        </references>
      </pivotArea>
    </format>
    <format dxfId="303">
      <pivotArea dataOnly="0" labelOnly="1" outline="0" fieldPosition="0">
        <references count="3">
          <reference field="9" count="1" selected="0">
            <x v="35"/>
          </reference>
          <reference field="15" count="1">
            <x v="8"/>
          </reference>
          <reference field="16" count="1" selected="0">
            <x v="5"/>
          </reference>
        </references>
      </pivotArea>
    </format>
    <format dxfId="304">
      <pivotArea dataOnly="0" labelOnly="1" outline="0" fieldPosition="0">
        <references count="3">
          <reference field="9" count="1" selected="0">
            <x v="53"/>
          </reference>
          <reference field="15" count="1">
            <x v="31"/>
          </reference>
          <reference field="16" count="1" selected="0">
            <x v="5"/>
          </reference>
        </references>
      </pivotArea>
    </format>
    <format dxfId="305">
      <pivotArea dataOnly="0" labelOnly="1" outline="0" fieldPosition="0">
        <references count="3">
          <reference field="9" count="1" selected="0">
            <x v="0"/>
          </reference>
          <reference field="15" count="1">
            <x v="60"/>
          </reference>
          <reference field="16" count="1" selected="0">
            <x v="6"/>
          </reference>
        </references>
      </pivotArea>
    </format>
    <format dxfId="306">
      <pivotArea dataOnly="0" labelOnly="1" outline="0" fieldPosition="0">
        <references count="3">
          <reference field="9" count="1" selected="0">
            <x v="17"/>
          </reference>
          <reference field="15" count="1">
            <x v="56"/>
          </reference>
          <reference field="16" count="1" selected="0">
            <x v="6"/>
          </reference>
        </references>
      </pivotArea>
    </format>
    <format dxfId="307">
      <pivotArea dataOnly="0" labelOnly="1" outline="0" fieldPosition="0">
        <references count="3">
          <reference field="9" count="1" selected="0">
            <x v="53"/>
          </reference>
          <reference field="15" count="1">
            <x v="31"/>
          </reference>
          <reference field="16" count="1" selected="0">
            <x v="6"/>
          </reference>
        </references>
      </pivotArea>
    </format>
    <format dxfId="308">
      <pivotArea dataOnly="0" labelOnly="1" outline="0" fieldPosition="0">
        <references count="3">
          <reference field="9" count="1" selected="0">
            <x v="39"/>
          </reference>
          <reference field="15" count="1">
            <x v="30"/>
          </reference>
          <reference field="16" count="1" selected="0">
            <x v="7"/>
          </reference>
        </references>
      </pivotArea>
    </format>
    <format dxfId="309">
      <pivotArea dataOnly="0" labelOnly="1" outline="0" fieldPosition="0">
        <references count="3">
          <reference field="9" count="1" selected="0">
            <x v="0"/>
          </reference>
          <reference field="15" count="1">
            <x v="60"/>
          </reference>
          <reference field="16" count="1" selected="0">
            <x v="8"/>
          </reference>
        </references>
      </pivotArea>
    </format>
    <format dxfId="310">
      <pivotArea dataOnly="0" labelOnly="1" outline="0" fieldPosition="0">
        <references count="3">
          <reference field="9" count="1" selected="0">
            <x v="5"/>
          </reference>
          <reference field="15" count="1">
            <x v="22"/>
          </reference>
          <reference field="16" count="1" selected="0">
            <x v="9"/>
          </reference>
        </references>
      </pivotArea>
    </format>
    <format dxfId="311">
      <pivotArea dataOnly="0" labelOnly="1" outline="0" fieldPosition="0">
        <references count="3">
          <reference field="9" count="1" selected="0">
            <x v="13"/>
          </reference>
          <reference field="15" count="1">
            <x v="7"/>
          </reference>
          <reference field="16" count="1" selected="0">
            <x v="9"/>
          </reference>
        </references>
      </pivotArea>
    </format>
    <format dxfId="312">
      <pivotArea dataOnly="0" labelOnly="1" outline="0" fieldPosition="0">
        <references count="3">
          <reference field="9" count="1" selected="0">
            <x v="14"/>
          </reference>
          <reference field="15" count="1">
            <x v="9"/>
          </reference>
          <reference field="16" count="1" selected="0">
            <x v="9"/>
          </reference>
        </references>
      </pivotArea>
    </format>
    <format dxfId="313">
      <pivotArea dataOnly="0" labelOnly="1" outline="0" fieldPosition="0">
        <references count="3">
          <reference field="9" count="1" selected="0">
            <x v="25"/>
          </reference>
          <reference field="15" count="1">
            <x v="4"/>
          </reference>
          <reference field="16" count="1" selected="0">
            <x v="9"/>
          </reference>
        </references>
      </pivotArea>
    </format>
    <format dxfId="314">
      <pivotArea dataOnly="0" labelOnly="1" outline="0" fieldPosition="0">
        <references count="3">
          <reference field="9" count="1" selected="0">
            <x v="35"/>
          </reference>
          <reference field="15" count="1">
            <x v="8"/>
          </reference>
          <reference field="16" count="1" selected="0">
            <x v="9"/>
          </reference>
        </references>
      </pivotArea>
    </format>
    <format dxfId="315">
      <pivotArea dataOnly="0" labelOnly="1" outline="0" fieldPosition="0">
        <references count="3">
          <reference field="9" count="1" selected="0">
            <x v="45"/>
          </reference>
          <reference field="15" count="1">
            <x v="19"/>
          </reference>
          <reference field="16" count="1" selected="0">
            <x v="9"/>
          </reference>
        </references>
      </pivotArea>
    </format>
    <format dxfId="316">
      <pivotArea dataOnly="0" labelOnly="1" outline="0" fieldPosition="0">
        <references count="3">
          <reference field="9" count="1" selected="0">
            <x v="47"/>
          </reference>
          <reference field="15" count="1">
            <x v="2"/>
          </reference>
          <reference field="16" count="1" selected="0">
            <x v="9"/>
          </reference>
        </references>
      </pivotArea>
    </format>
    <format dxfId="317">
      <pivotArea dataOnly="0" labelOnly="1" outline="0" fieldPosition="0">
        <references count="3">
          <reference field="9" count="1" selected="0">
            <x v="54"/>
          </reference>
          <reference field="15" count="1">
            <x v="34"/>
          </reference>
          <reference field="16" count="1" selected="0">
            <x v="9"/>
          </reference>
        </references>
      </pivotArea>
    </format>
    <format dxfId="318">
      <pivotArea dataOnly="0" labelOnly="1" outline="0" fieldPosition="0">
        <references count="3">
          <reference field="9" count="1" selected="0">
            <x v="4"/>
          </reference>
          <reference field="15" count="1">
            <x v="58"/>
          </reference>
          <reference field="16" count="1" selected="0">
            <x v="10"/>
          </reference>
        </references>
      </pivotArea>
    </format>
    <format dxfId="319">
      <pivotArea dataOnly="0" labelOnly="1" outline="0" fieldPosition="0">
        <references count="3">
          <reference field="9" count="1" selected="0">
            <x v="28"/>
          </reference>
          <reference field="15" count="1">
            <x v="59"/>
          </reference>
          <reference field="16" count="1" selected="0">
            <x v="10"/>
          </reference>
        </references>
      </pivotArea>
    </format>
    <format dxfId="320">
      <pivotArea dataOnly="0" labelOnly="1" outline="0" fieldPosition="0">
        <references count="3">
          <reference field="9" count="1" selected="0">
            <x v="29"/>
          </reference>
          <reference field="15" count="1">
            <x v="52"/>
          </reference>
          <reference field="16" count="1" selected="0">
            <x v="10"/>
          </reference>
        </references>
      </pivotArea>
    </format>
    <format dxfId="321">
      <pivotArea dataOnly="0" labelOnly="1" outline="0" fieldPosition="0">
        <references count="3">
          <reference field="9" count="1" selected="0">
            <x v="30"/>
          </reference>
          <reference field="15" count="1">
            <x v="53"/>
          </reference>
          <reference field="16" count="1" selected="0">
            <x v="10"/>
          </reference>
        </references>
      </pivotArea>
    </format>
    <format dxfId="322">
      <pivotArea dataOnly="0" labelOnly="1" outline="0" fieldPosition="0">
        <references count="3">
          <reference field="9" count="1" selected="0">
            <x v="56"/>
          </reference>
          <reference field="15" count="1">
            <x v="45"/>
          </reference>
          <reference field="16" count="1" selected="0">
            <x v="10"/>
          </reference>
        </references>
      </pivotArea>
    </format>
    <format dxfId="323">
      <pivotArea dataOnly="0" labelOnly="1" outline="0" fieldPosition="0">
        <references count="3">
          <reference field="9" count="1" selected="0">
            <x v="1"/>
          </reference>
          <reference field="15" count="1">
            <x v="54"/>
          </reference>
          <reference field="16" count="1" selected="0">
            <x v="11"/>
          </reference>
        </references>
      </pivotArea>
    </format>
    <format dxfId="324">
      <pivotArea dataOnly="0" labelOnly="1" outline="0" fieldPosition="0">
        <references count="3">
          <reference field="9" count="1" selected="0">
            <x v="5"/>
          </reference>
          <reference field="15" count="1">
            <x v="22"/>
          </reference>
          <reference field="16" count="1" selected="0">
            <x v="11"/>
          </reference>
        </references>
      </pivotArea>
    </format>
    <format dxfId="325">
      <pivotArea dataOnly="0" labelOnly="1" outline="0" fieldPosition="0">
        <references count="3">
          <reference field="9" count="1" selected="0">
            <x v="18"/>
          </reference>
          <reference field="15" count="1">
            <x v="62"/>
          </reference>
          <reference field="16" count="1" selected="0">
            <x v="11"/>
          </reference>
        </references>
      </pivotArea>
    </format>
    <format dxfId="326">
      <pivotArea dataOnly="0" labelOnly="1" outline="0" fieldPosition="0">
        <references count="3">
          <reference field="9" count="1" selected="0">
            <x v="20"/>
          </reference>
          <reference field="15" count="1">
            <x v="40"/>
          </reference>
          <reference field="16" count="1" selected="0">
            <x v="11"/>
          </reference>
        </references>
      </pivotArea>
    </format>
    <format dxfId="327">
      <pivotArea dataOnly="0" labelOnly="1" outline="0" fieldPosition="0">
        <references count="3">
          <reference field="9" count="1" selected="0">
            <x v="21"/>
          </reference>
          <reference field="15" count="1">
            <x v="1"/>
          </reference>
          <reference field="16" count="1" selected="0">
            <x v="11"/>
          </reference>
        </references>
      </pivotArea>
    </format>
    <format dxfId="328">
      <pivotArea dataOnly="0" labelOnly="1" outline="0" fieldPosition="0">
        <references count="3">
          <reference field="9" count="1" selected="0">
            <x v="23"/>
          </reference>
          <reference field="15" count="1">
            <x v="50"/>
          </reference>
          <reference field="16" count="1" selected="0">
            <x v="11"/>
          </reference>
        </references>
      </pivotArea>
    </format>
    <format dxfId="329">
      <pivotArea dataOnly="0" labelOnly="1" outline="0" fieldPosition="0">
        <references count="3">
          <reference field="9" count="1" selected="0">
            <x v="25"/>
          </reference>
          <reference field="15" count="1">
            <x v="4"/>
          </reference>
          <reference field="16" count="1" selected="0">
            <x v="11"/>
          </reference>
        </references>
      </pivotArea>
    </format>
    <format dxfId="330">
      <pivotArea dataOnly="0" labelOnly="1" outline="0" fieldPosition="0">
        <references count="3">
          <reference field="9" count="1" selected="0">
            <x v="26"/>
          </reference>
          <reference field="15" count="1">
            <x v="29"/>
          </reference>
          <reference field="16" count="1" selected="0">
            <x v="11"/>
          </reference>
        </references>
      </pivotArea>
    </format>
    <format dxfId="331">
      <pivotArea dataOnly="0" labelOnly="1" outline="0" fieldPosition="0">
        <references count="3">
          <reference field="9" count="1" selected="0">
            <x v="27"/>
          </reference>
          <reference field="15" count="1">
            <x v="12"/>
          </reference>
          <reference field="16" count="1" selected="0">
            <x v="11"/>
          </reference>
        </references>
      </pivotArea>
    </format>
    <format dxfId="332">
      <pivotArea dataOnly="0" labelOnly="1" outline="0" fieldPosition="0">
        <references count="3">
          <reference field="9" count="1" selected="0">
            <x v="29"/>
          </reference>
          <reference field="15" count="1">
            <x v="52"/>
          </reference>
          <reference field="16" count="1" selected="0">
            <x v="11"/>
          </reference>
        </references>
      </pivotArea>
    </format>
    <format dxfId="333">
      <pivotArea dataOnly="0" labelOnly="1" outline="0" fieldPosition="0">
        <references count="3">
          <reference field="9" count="1" selected="0">
            <x v="30"/>
          </reference>
          <reference field="15" count="1">
            <x v="53"/>
          </reference>
          <reference field="16" count="1" selected="0">
            <x v="11"/>
          </reference>
        </references>
      </pivotArea>
    </format>
    <format dxfId="334">
      <pivotArea dataOnly="0" labelOnly="1" outline="0" fieldPosition="0">
        <references count="3">
          <reference field="9" count="1" selected="0">
            <x v="31"/>
          </reference>
          <reference field="15" count="1">
            <x v="47"/>
          </reference>
          <reference field="16" count="1" selected="0">
            <x v="11"/>
          </reference>
        </references>
      </pivotArea>
    </format>
    <format dxfId="335">
      <pivotArea dataOnly="0" labelOnly="1" outline="0" fieldPosition="0">
        <references count="3">
          <reference field="9" count="1" selected="0">
            <x v="33"/>
          </reference>
          <reference field="15" count="1">
            <x v="51"/>
          </reference>
          <reference field="16" count="1" selected="0">
            <x v="11"/>
          </reference>
        </references>
      </pivotArea>
    </format>
    <format dxfId="336">
      <pivotArea dataOnly="0" labelOnly="1" outline="0" fieldPosition="0">
        <references count="3">
          <reference field="9" count="1" selected="0">
            <x v="34"/>
          </reference>
          <reference field="15" count="1">
            <x v="35"/>
          </reference>
          <reference field="16" count="1" selected="0">
            <x v="11"/>
          </reference>
        </references>
      </pivotArea>
    </format>
    <format dxfId="337">
      <pivotArea dataOnly="0" labelOnly="1" outline="0" fieldPosition="0">
        <references count="3">
          <reference field="9" count="1" selected="0">
            <x v="35"/>
          </reference>
          <reference field="15" count="1">
            <x v="8"/>
          </reference>
          <reference field="16" count="1" selected="0">
            <x v="11"/>
          </reference>
        </references>
      </pivotArea>
    </format>
    <format dxfId="338">
      <pivotArea dataOnly="0" labelOnly="1" outline="0" fieldPosition="0">
        <references count="3">
          <reference field="9" count="1" selected="0">
            <x v="37"/>
          </reference>
          <reference field="15" count="1">
            <x v="43"/>
          </reference>
          <reference field="16" count="1" selected="0">
            <x v="11"/>
          </reference>
        </references>
      </pivotArea>
    </format>
    <format dxfId="339">
      <pivotArea dataOnly="0" labelOnly="1" outline="0" fieldPosition="0">
        <references count="3">
          <reference field="9" count="1" selected="0">
            <x v="38"/>
          </reference>
          <reference field="15" count="1">
            <x v="61"/>
          </reference>
          <reference field="16" count="1" selected="0">
            <x v="11"/>
          </reference>
        </references>
      </pivotArea>
    </format>
    <format dxfId="340">
      <pivotArea dataOnly="0" labelOnly="1" outline="0" fieldPosition="0">
        <references count="3">
          <reference field="9" count="1" selected="0">
            <x v="46"/>
          </reference>
          <reference field="15" count="1">
            <x v="55"/>
          </reference>
          <reference field="16" count="1" selected="0">
            <x v="11"/>
          </reference>
        </references>
      </pivotArea>
    </format>
    <format dxfId="341">
      <pivotArea dataOnly="0" labelOnly="1" outline="0" fieldPosition="0">
        <references count="3">
          <reference field="9" count="1" selected="0">
            <x v="47"/>
          </reference>
          <reference field="15" count="1">
            <x v="2"/>
          </reference>
          <reference field="16" count="1" selected="0">
            <x v="11"/>
          </reference>
        </references>
      </pivotArea>
    </format>
    <format dxfId="342">
      <pivotArea dataOnly="0" labelOnly="1" outline="0" fieldPosition="0">
        <references count="3">
          <reference field="9" count="1" selected="0">
            <x v="50"/>
          </reference>
          <reference field="15" count="1">
            <x v="41"/>
          </reference>
          <reference field="16" count="1" selected="0">
            <x v="11"/>
          </reference>
        </references>
      </pivotArea>
    </format>
    <format dxfId="343">
      <pivotArea dataOnly="0" labelOnly="1" outline="0" fieldPosition="0">
        <references count="3">
          <reference field="9" count="1" selected="0">
            <x v="51"/>
          </reference>
          <reference field="15" count="1">
            <x v="27"/>
          </reference>
          <reference field="16" count="1" selected="0">
            <x v="11"/>
          </reference>
        </references>
      </pivotArea>
    </format>
    <format dxfId="344">
      <pivotArea dataOnly="0" labelOnly="1" outline="0" fieldPosition="0">
        <references count="3">
          <reference field="9" count="1" selected="0">
            <x v="52"/>
          </reference>
          <reference field="15" count="1">
            <x v="39"/>
          </reference>
          <reference field="16" count="1" selected="0">
            <x v="11"/>
          </reference>
        </references>
      </pivotArea>
    </format>
    <format dxfId="345">
      <pivotArea dataOnly="0" labelOnly="1" outline="0" fieldPosition="0">
        <references count="3">
          <reference field="9" count="1" selected="0">
            <x v="54"/>
          </reference>
          <reference field="15" count="1">
            <x v="34"/>
          </reference>
          <reference field="16" count="1" selected="0">
            <x v="11"/>
          </reference>
        </references>
      </pivotArea>
    </format>
    <format dxfId="346">
      <pivotArea dataOnly="0" labelOnly="1" outline="0" fieldPosition="0">
        <references count="3">
          <reference field="9" count="1" selected="0">
            <x v="56"/>
          </reference>
          <reference field="15" count="1">
            <x v="45"/>
          </reference>
          <reference field="16" count="1" selected="0">
            <x v="11"/>
          </reference>
        </references>
      </pivotArea>
    </format>
    <format dxfId="347">
      <pivotArea dataOnly="0" labelOnly="1" outline="0" fieldPosition="0">
        <references count="3">
          <reference field="9" count="1" selected="0">
            <x v="57"/>
          </reference>
          <reference field="15" count="1">
            <x v="42"/>
          </reference>
          <reference field="16" count="1" selected="0">
            <x v="11"/>
          </reference>
        </references>
      </pivotArea>
    </format>
    <format dxfId="348">
      <pivotArea dataOnly="0" labelOnly="1" outline="0" fieldPosition="0">
        <references count="3">
          <reference field="9" count="1" selected="0">
            <x v="60"/>
          </reference>
          <reference field="15" count="1">
            <x v="48"/>
          </reference>
          <reference field="16" count="1" selected="0">
            <x v="11"/>
          </reference>
        </references>
      </pivotArea>
    </format>
    <format dxfId="349">
      <pivotArea dataOnly="0" labelOnly="1" outline="0" fieldPosition="0">
        <references count="3">
          <reference field="9" count="1" selected="0">
            <x v="2"/>
          </reference>
          <reference field="15" count="1">
            <x v="33"/>
          </reference>
          <reference field="16" count="1" selected="0">
            <x v="12"/>
          </reference>
        </references>
      </pivotArea>
    </format>
    <format dxfId="350">
      <pivotArea dataOnly="0" labelOnly="1" outline="0" fieldPosition="0">
        <references count="3">
          <reference field="9" count="1" selected="0">
            <x v="3"/>
          </reference>
          <reference field="15" count="1">
            <x v="46"/>
          </reference>
          <reference field="16" count="1" selected="0">
            <x v="12"/>
          </reference>
        </references>
      </pivotArea>
    </format>
    <format dxfId="351">
      <pivotArea dataOnly="0" labelOnly="1" outline="0" fieldPosition="0">
        <references count="3">
          <reference field="9" count="1" selected="0">
            <x v="7"/>
          </reference>
          <reference field="15" count="1">
            <x v="26"/>
          </reference>
          <reference field="16" count="1" selected="0">
            <x v="12"/>
          </reference>
        </references>
      </pivotArea>
    </format>
    <format dxfId="352">
      <pivotArea dataOnly="0" labelOnly="1" outline="0" fieldPosition="0">
        <references count="3">
          <reference field="9" count="1" selected="0">
            <x v="8"/>
          </reference>
          <reference field="15" count="1">
            <x v="16"/>
          </reference>
          <reference field="16" count="1" selected="0">
            <x v="12"/>
          </reference>
        </references>
      </pivotArea>
    </format>
    <format dxfId="353">
      <pivotArea dataOnly="0" labelOnly="1" outline="0" fieldPosition="0">
        <references count="3">
          <reference field="9" count="1" selected="0">
            <x v="9"/>
          </reference>
          <reference field="15" count="1">
            <x v="15"/>
          </reference>
          <reference field="16" count="1" selected="0">
            <x v="12"/>
          </reference>
        </references>
      </pivotArea>
    </format>
    <format dxfId="354">
      <pivotArea dataOnly="0" labelOnly="1" outline="0" fieldPosition="0">
        <references count="3">
          <reference field="9" count="1" selected="0">
            <x v="10"/>
          </reference>
          <reference field="15" count="1">
            <x v="10"/>
          </reference>
          <reference field="16" count="1" selected="0">
            <x v="12"/>
          </reference>
        </references>
      </pivotArea>
    </format>
    <format dxfId="355">
      <pivotArea dataOnly="0" labelOnly="1" outline="0" fieldPosition="0">
        <references count="3">
          <reference field="9" count="1" selected="0">
            <x v="11"/>
          </reference>
          <reference field="15" count="1">
            <x v="23"/>
          </reference>
          <reference field="16" count="1" selected="0">
            <x v="12"/>
          </reference>
        </references>
      </pivotArea>
    </format>
    <format dxfId="356">
      <pivotArea dataOnly="0" labelOnly="1" outline="0" fieldPosition="0">
        <references count="3">
          <reference field="9" count="1" selected="0">
            <x v="12"/>
          </reference>
          <reference field="15" count="1">
            <x v="24"/>
          </reference>
          <reference field="16" count="1" selected="0">
            <x v="12"/>
          </reference>
        </references>
      </pivotArea>
    </format>
    <format dxfId="357">
      <pivotArea dataOnly="0" labelOnly="1" outline="0" fieldPosition="0">
        <references count="3">
          <reference field="9" count="1" selected="0">
            <x v="19"/>
          </reference>
          <reference field="15" count="1">
            <x v="13"/>
          </reference>
          <reference field="16" count="1" selected="0">
            <x v="12"/>
          </reference>
        </references>
      </pivotArea>
    </format>
    <format dxfId="358">
      <pivotArea dataOnly="0" labelOnly="1" outline="0" fieldPosition="0">
        <references count="3">
          <reference field="9" count="1" selected="0">
            <x v="24"/>
          </reference>
          <reference field="15" count="1">
            <x v="37"/>
          </reference>
          <reference field="16" count="1" selected="0">
            <x v="12"/>
          </reference>
        </references>
      </pivotArea>
    </format>
    <format dxfId="359">
      <pivotArea dataOnly="0" labelOnly="1" outline="0" fieldPosition="0">
        <references count="3">
          <reference field="9" count="1" selected="0">
            <x v="36"/>
          </reference>
          <reference field="15" count="1">
            <x v="11"/>
          </reference>
          <reference field="16" count="1" selected="0">
            <x v="12"/>
          </reference>
        </references>
      </pivotArea>
    </format>
    <format dxfId="360">
      <pivotArea dataOnly="0" labelOnly="1" outline="0" fieldPosition="0">
        <references count="3">
          <reference field="9" count="1" selected="0">
            <x v="40"/>
          </reference>
          <reference field="15" count="1">
            <x v="28"/>
          </reference>
          <reference field="16" count="1" selected="0">
            <x v="12"/>
          </reference>
        </references>
      </pivotArea>
    </format>
    <format dxfId="361">
      <pivotArea dataOnly="0" labelOnly="1" outline="0" fieldPosition="0">
        <references count="3">
          <reference field="9" count="1" selected="0">
            <x v="42"/>
          </reference>
          <reference field="15" count="1">
            <x v="21"/>
          </reference>
          <reference field="16" count="1" selected="0">
            <x v="12"/>
          </reference>
        </references>
      </pivotArea>
    </format>
    <format dxfId="362">
      <pivotArea dataOnly="0" labelOnly="1" outline="0" fieldPosition="0">
        <references count="3">
          <reference field="9" count="1" selected="0">
            <x v="43"/>
          </reference>
          <reference field="15" count="1">
            <x v="14"/>
          </reference>
          <reference field="16" count="1" selected="0">
            <x v="12"/>
          </reference>
        </references>
      </pivotArea>
    </format>
    <format dxfId="363">
      <pivotArea dataOnly="0" labelOnly="1" outline="0" fieldPosition="0">
        <references count="3">
          <reference field="9" count="1" selected="0">
            <x v="44"/>
          </reference>
          <reference field="15" count="1">
            <x v="38"/>
          </reference>
          <reference field="16" count="1" selected="0">
            <x v="12"/>
          </reference>
        </references>
      </pivotArea>
    </format>
    <format dxfId="364">
      <pivotArea dataOnly="0" labelOnly="1" outline="0" fieldPosition="0">
        <references count="3">
          <reference field="9" count="1" selected="0">
            <x v="48"/>
          </reference>
          <reference field="15" count="1">
            <x v="17"/>
          </reference>
          <reference field="16" count="1" selected="0">
            <x v="12"/>
          </reference>
        </references>
      </pivotArea>
    </format>
    <format dxfId="365">
      <pivotArea dataOnly="0" labelOnly="1" outline="0" fieldPosition="0">
        <references count="3">
          <reference field="9" count="1" selected="0">
            <x v="49"/>
          </reference>
          <reference field="15" count="1">
            <x v="49"/>
          </reference>
          <reference field="16" count="1" selected="0">
            <x v="12"/>
          </reference>
        </references>
      </pivotArea>
    </format>
    <format dxfId="366">
      <pivotArea dataOnly="0" labelOnly="1" outline="0" fieldPosition="0">
        <references count="3">
          <reference field="9" count="1" selected="0">
            <x v="59"/>
          </reference>
          <reference field="15" count="1">
            <x v="20"/>
          </reference>
          <reference field="16" count="1" selected="0">
            <x v="12"/>
          </reference>
        </references>
      </pivotArea>
    </format>
    <format dxfId="367">
      <pivotArea dataOnly="0" labelOnly="1" outline="0" fieldPosition="0">
        <references count="3">
          <reference field="9" count="1" selected="0">
            <x v="61"/>
          </reference>
          <reference field="15" count="1">
            <x v="32"/>
          </reference>
          <reference field="16" count="1" selected="0">
            <x v="12"/>
          </reference>
        </references>
      </pivotArea>
    </format>
    <format dxfId="368">
      <pivotArea dataOnly="0" labelOnly="1" outline="0" fieldPosition="0">
        <references count="3">
          <reference field="9" count="1" selected="0">
            <x v="62"/>
          </reference>
          <reference field="15" count="1">
            <x v="36"/>
          </reference>
          <reference field="16" count="1" selected="0">
            <x v="12"/>
          </reference>
        </references>
      </pivotArea>
    </format>
    <format dxfId="369">
      <pivotArea dataOnly="0" labelOnly="1" outline="0" fieldPosition="0">
        <references count="4">
          <reference field="8" count="1">
            <x v="36"/>
          </reference>
          <reference field="9" count="1" selected="0">
            <x v="1"/>
          </reference>
          <reference field="15" count="1" selected="0">
            <x v="54"/>
          </reference>
          <reference field="16" count="1" selected="0">
            <x v="1"/>
          </reference>
        </references>
      </pivotArea>
    </format>
    <format dxfId="370">
      <pivotArea dataOnly="0" labelOnly="1" outline="0" fieldPosition="0">
        <references count="4">
          <reference field="8" count="1">
            <x v="37"/>
          </reference>
          <reference field="9" count="1" selected="0">
            <x v="13"/>
          </reference>
          <reference field="15" count="1" selected="0">
            <x v="7"/>
          </reference>
          <reference field="16" count="1" selected="0">
            <x v="1"/>
          </reference>
        </references>
      </pivotArea>
    </format>
    <format dxfId="371">
      <pivotArea dataOnly="0" labelOnly="1" outline="0" fieldPosition="0">
        <references count="4">
          <reference field="8" count="1">
            <x v="37"/>
          </reference>
          <reference field="9" count="1" selected="0">
            <x v="32"/>
          </reference>
          <reference field="15" count="1" selected="0">
            <x v="5"/>
          </reference>
          <reference field="16" count="1" selected="0">
            <x v="1"/>
          </reference>
        </references>
      </pivotArea>
    </format>
    <format dxfId="372">
      <pivotArea dataOnly="0" labelOnly="1" outline="0" fieldPosition="0">
        <references count="4">
          <reference field="8" count="1">
            <x v="44"/>
          </reference>
          <reference field="9" count="1" selected="0">
            <x v="13"/>
          </reference>
          <reference field="15" count="1" selected="0">
            <x v="7"/>
          </reference>
          <reference field="16" count="1" selected="0">
            <x v="2"/>
          </reference>
        </references>
      </pivotArea>
    </format>
    <format dxfId="373">
      <pivotArea dataOnly="0" labelOnly="1" outline="0" fieldPosition="0">
        <references count="4">
          <reference field="8" count="1">
            <x v="40"/>
          </reference>
          <reference field="9" count="1" selected="0">
            <x v="31"/>
          </reference>
          <reference field="15" count="1" selected="0">
            <x v="47"/>
          </reference>
          <reference field="16" count="1" selected="0">
            <x v="2"/>
          </reference>
        </references>
      </pivotArea>
    </format>
    <format dxfId="374">
      <pivotArea dataOnly="0" labelOnly="1" outline="0" fieldPosition="0">
        <references count="4">
          <reference field="8" count="1">
            <x v="5"/>
          </reference>
          <reference field="9" count="1" selected="0">
            <x v="1"/>
          </reference>
          <reference field="15" count="1" selected="0">
            <x v="54"/>
          </reference>
          <reference field="16" count="1" selected="0">
            <x v="3"/>
          </reference>
        </references>
      </pivotArea>
    </format>
    <format dxfId="375">
      <pivotArea dataOnly="0" labelOnly="1" outline="0" fieldPosition="0">
        <references count="4">
          <reference field="8" count="1">
            <x v="6"/>
          </reference>
          <reference field="9" count="1" selected="0">
            <x v="15"/>
          </reference>
          <reference field="15" count="1" selected="0">
            <x v="64"/>
          </reference>
          <reference field="16" count="1" selected="0">
            <x v="3"/>
          </reference>
        </references>
      </pivotArea>
    </format>
    <format dxfId="376">
      <pivotArea dataOnly="0" labelOnly="1" outline="0" fieldPosition="0">
        <references count="4">
          <reference field="8" count="1">
            <x v="59"/>
          </reference>
          <reference field="9" count="1" selected="0">
            <x v="16"/>
          </reference>
          <reference field="15" count="1" selected="0">
            <x v="18"/>
          </reference>
          <reference field="16" count="1" selected="0">
            <x v="3"/>
          </reference>
        </references>
      </pivotArea>
    </format>
    <format dxfId="377">
      <pivotArea dataOnly="0" labelOnly="1" outline="0" fieldPosition="0">
        <references count="4">
          <reference field="8" count="1">
            <x v="59"/>
          </reference>
          <reference field="9" count="1" selected="0">
            <x v="20"/>
          </reference>
          <reference field="15" count="1" selected="0">
            <x v="40"/>
          </reference>
          <reference field="16" count="1" selected="0">
            <x v="3"/>
          </reference>
        </references>
      </pivotArea>
    </format>
    <format dxfId="378">
      <pivotArea dataOnly="0" labelOnly="1" outline="0" fieldPosition="0">
        <references count="4">
          <reference field="8" count="1">
            <x v="5"/>
          </reference>
          <reference field="9" count="1" selected="0">
            <x v="21"/>
          </reference>
          <reference field="15" count="1" selected="0">
            <x v="1"/>
          </reference>
          <reference field="16" count="1" selected="0">
            <x v="3"/>
          </reference>
        </references>
      </pivotArea>
    </format>
    <format dxfId="379">
      <pivotArea dataOnly="0" labelOnly="1" outline="0" fieldPosition="0">
        <references count="4">
          <reference field="8" count="3">
            <x v="6"/>
            <x v="9"/>
            <x v="15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3"/>
          </reference>
        </references>
      </pivotArea>
    </format>
    <format dxfId="380">
      <pivotArea dataOnly="0" labelOnly="1" outline="0" fieldPosition="0">
        <references count="4">
          <reference field="8" count="1">
            <x v="5"/>
          </reference>
          <reference field="9" count="1" selected="0">
            <x v="35"/>
          </reference>
          <reference field="15" count="1" selected="0">
            <x v="8"/>
          </reference>
          <reference field="16" count="1" selected="0">
            <x v="3"/>
          </reference>
        </references>
      </pivotArea>
    </format>
    <format dxfId="381">
      <pivotArea dataOnly="0" labelOnly="1" outline="0" fieldPosition="0">
        <references count="4">
          <reference field="8" count="1">
            <x v="6"/>
          </reference>
          <reference field="9" count="1" selected="0">
            <x v="37"/>
          </reference>
          <reference field="15" count="1" selected="0">
            <x v="43"/>
          </reference>
          <reference field="16" count="1" selected="0">
            <x v="3"/>
          </reference>
        </references>
      </pivotArea>
    </format>
    <format dxfId="382">
      <pivotArea dataOnly="0" labelOnly="1" outline="0" fieldPosition="0">
        <references count="4">
          <reference field="8" count="1">
            <x v="8"/>
          </reference>
          <reference field="9" count="1" selected="0">
            <x v="46"/>
          </reference>
          <reference field="15" count="1" selected="0">
            <x v="55"/>
          </reference>
          <reference field="16" count="1" selected="0">
            <x v="3"/>
          </reference>
        </references>
      </pivotArea>
    </format>
    <format dxfId="383">
      <pivotArea dataOnly="0" labelOnly="1" outline="0" fieldPosition="0">
        <references count="4">
          <reference field="8" count="1">
            <x v="10"/>
          </reference>
          <reference field="9" count="1" selected="0">
            <x v="55"/>
          </reference>
          <reference field="15" count="1" selected="0">
            <x v="3"/>
          </reference>
          <reference field="16" count="1" selected="0">
            <x v="3"/>
          </reference>
        </references>
      </pivotArea>
    </format>
    <format dxfId="384">
      <pivotArea dataOnly="0" labelOnly="1" outline="0" fieldPosition="0">
        <references count="4">
          <reference field="8" count="1">
            <x v="8"/>
          </reference>
          <reference field="9" count="1" selected="0">
            <x v="58"/>
          </reference>
          <reference field="15" count="1" selected="0">
            <x v="57"/>
          </reference>
          <reference field="16" count="1" selected="0">
            <x v="3"/>
          </reference>
        </references>
      </pivotArea>
    </format>
    <format dxfId="385">
      <pivotArea dataOnly="0" labelOnly="1" outline="0" fieldPosition="0">
        <references count="4">
          <reference field="8" count="2">
            <x v="61"/>
            <x v="62"/>
          </reference>
          <reference field="9" count="1" selected="0">
            <x v="6"/>
          </reference>
          <reference field="15" count="1" selected="0">
            <x v="6"/>
          </reference>
          <reference field="16" count="1" selected="0">
            <x v="4"/>
          </reference>
        </references>
      </pivotArea>
    </format>
    <format dxfId="386">
      <pivotArea dataOnly="0" labelOnly="1" outline="0" fieldPosition="0">
        <references count="4">
          <reference field="8" count="1">
            <x v="62"/>
          </reference>
          <reference field="9" count="1" selected="0">
            <x v="13"/>
          </reference>
          <reference field="15" count="1" selected="0">
            <x v="7"/>
          </reference>
          <reference field="16" count="1" selected="0">
            <x v="4"/>
          </reference>
        </references>
      </pivotArea>
    </format>
    <format dxfId="387">
      <pivotArea dataOnly="0" labelOnly="1" outline="0" fieldPosition="0">
        <references count="4">
          <reference field="8" count="1">
            <x v="47"/>
          </reference>
          <reference field="9" count="1" selected="0">
            <x v="14"/>
          </reference>
          <reference field="15" count="1" selected="0">
            <x v="9"/>
          </reference>
          <reference field="16" count="1" selected="0">
            <x v="4"/>
          </reference>
        </references>
      </pivotArea>
    </format>
    <format dxfId="388">
      <pivotArea dataOnly="0" labelOnly="1" outline="0" fieldPosition="0">
        <references count="4">
          <reference field="8" count="1">
            <x v="62"/>
          </reference>
          <reference field="9" count="1" selected="0">
            <x v="25"/>
          </reference>
          <reference field="15" count="1" selected="0">
            <x v="4"/>
          </reference>
          <reference field="16" count="1" selected="0">
            <x v="4"/>
          </reference>
        </references>
      </pivotArea>
    </format>
    <format dxfId="389">
      <pivotArea dataOnly="0" labelOnly="1" outline="0" fieldPosition="0">
        <references count="4">
          <reference field="8" count="1">
            <x v="47"/>
          </reference>
          <reference field="9" count="1" selected="0">
            <x v="35"/>
          </reference>
          <reference field="15" count="1" selected="0">
            <x v="8"/>
          </reference>
          <reference field="16" count="1" selected="0">
            <x v="4"/>
          </reference>
        </references>
      </pivotArea>
    </format>
    <format dxfId="390">
      <pivotArea dataOnly="0" labelOnly="1" outline="0" fieldPosition="0">
        <references count="4">
          <reference field="8" count="1">
            <x v="52"/>
          </reference>
          <reference field="9" count="1" selected="0">
            <x v="5"/>
          </reference>
          <reference field="15" count="1" selected="0">
            <x v="22"/>
          </reference>
          <reference field="16" count="1" selected="0">
            <x v="5"/>
          </reference>
        </references>
      </pivotArea>
    </format>
    <format dxfId="391">
      <pivotArea dataOnly="0" labelOnly="1" outline="0" fieldPosition="0">
        <references count="4">
          <reference field="8" count="1">
            <x v="52"/>
          </reference>
          <reference field="9" count="1" selected="0">
            <x v="6"/>
          </reference>
          <reference field="15" count="1" selected="0">
            <x v="6"/>
          </reference>
          <reference field="16" count="1" selected="0">
            <x v="5"/>
          </reference>
        </references>
      </pivotArea>
    </format>
    <format dxfId="392">
      <pivotArea dataOnly="0" labelOnly="1" outline="0" fieldPosition="0">
        <references count="4">
          <reference field="8" count="1">
            <x v="52"/>
          </reference>
          <reference field="9" count="1" selected="0">
            <x v="32"/>
          </reference>
          <reference field="15" count="1" selected="0">
            <x v="5"/>
          </reference>
          <reference field="16" count="1" selected="0">
            <x v="5"/>
          </reference>
        </references>
      </pivotArea>
    </format>
    <format dxfId="393">
      <pivotArea dataOnly="0" labelOnly="1" outline="0" fieldPosition="0">
        <references count="4">
          <reference field="8" count="1">
            <x v="52"/>
          </reference>
          <reference field="9" count="1" selected="0">
            <x v="35"/>
          </reference>
          <reference field="15" count="1" selected="0">
            <x v="8"/>
          </reference>
          <reference field="16" count="1" selected="0">
            <x v="5"/>
          </reference>
        </references>
      </pivotArea>
    </format>
    <format dxfId="394">
      <pivotArea dataOnly="0" labelOnly="1" outline="0" fieldPosition="0">
        <references count="4">
          <reference field="8" count="1">
            <x v="56"/>
          </reference>
          <reference field="9" count="1" selected="0">
            <x v="53"/>
          </reference>
          <reference field="15" count="1" selected="0">
            <x v="31"/>
          </reference>
          <reference field="16" count="1" selected="0">
            <x v="5"/>
          </reference>
        </references>
      </pivotArea>
    </format>
    <format dxfId="395">
      <pivotArea dataOnly="0" labelOnly="1" outline="0" fieldPosition="0">
        <references count="4">
          <reference field="8" count="1">
            <x v="34"/>
          </reference>
          <reference field="9" count="1" selected="0">
            <x v="0"/>
          </reference>
          <reference field="15" count="1" selected="0">
            <x v="60"/>
          </reference>
          <reference field="16" count="1" selected="0">
            <x v="6"/>
          </reference>
        </references>
      </pivotArea>
    </format>
    <format dxfId="396">
      <pivotArea dataOnly="0" labelOnly="1" outline="0" fieldPosition="0">
        <references count="4">
          <reference field="8" count="2">
            <x v="34"/>
            <x v="35"/>
          </reference>
          <reference field="9" count="1" selected="0">
            <x v="17"/>
          </reference>
          <reference field="15" count="1" selected="0">
            <x v="56"/>
          </reference>
          <reference field="16" count="1" selected="0">
            <x v="6"/>
          </reference>
        </references>
      </pivotArea>
    </format>
    <format dxfId="397">
      <pivotArea dataOnly="0" labelOnly="1" outline="0" fieldPosition="0">
        <references count="4">
          <reference field="8" count="1">
            <x v="35"/>
          </reference>
          <reference field="9" count="1" selected="0">
            <x v="53"/>
          </reference>
          <reference field="15" count="1" selected="0">
            <x v="31"/>
          </reference>
          <reference field="16" count="1" selected="0">
            <x v="6"/>
          </reference>
        </references>
      </pivotArea>
    </format>
    <format dxfId="398">
      <pivotArea dataOnly="0" labelOnly="1" outline="0" fieldPosition="0">
        <references count="4">
          <reference field="8" count="1">
            <x v="49"/>
          </reference>
          <reference field="9" count="1" selected="0">
            <x v="39"/>
          </reference>
          <reference field="15" count="1" selected="0">
            <x v="30"/>
          </reference>
          <reference field="16" count="1" selected="0">
            <x v="7"/>
          </reference>
        </references>
      </pivotArea>
    </format>
    <format dxfId="399">
      <pivotArea dataOnly="0" labelOnly="1" outline="0" fieldPosition="0">
        <references count="4">
          <reference field="8" count="1">
            <x v="53"/>
          </reference>
          <reference field="9" count="1" selected="0">
            <x v="0"/>
          </reference>
          <reference field="15" count="1" selected="0">
            <x v="60"/>
          </reference>
          <reference field="16" count="1" selected="0">
            <x v="8"/>
          </reference>
        </references>
      </pivotArea>
    </format>
    <format dxfId="400">
      <pivotArea dataOnly="0" labelOnly="1" outline="0" fieldPosition="0">
        <references count="4">
          <reference field="8" count="2">
            <x v="0"/>
            <x v="14"/>
          </reference>
          <reference field="9" count="1" selected="0">
            <x v="5"/>
          </reference>
          <reference field="15" count="1" selected="0">
            <x v="22"/>
          </reference>
          <reference field="16" count="1" selected="0">
            <x v="9"/>
          </reference>
        </references>
      </pivotArea>
    </format>
    <format dxfId="401">
      <pivotArea dataOnly="0" labelOnly="1" outline="0" fieldPosition="0">
        <references count="4">
          <reference field="8" count="1">
            <x v="39"/>
          </reference>
          <reference field="9" count="1" selected="0">
            <x v="13"/>
          </reference>
          <reference field="15" count="1" selected="0">
            <x v="7"/>
          </reference>
          <reference field="16" count="1" selected="0">
            <x v="9"/>
          </reference>
        </references>
      </pivotArea>
    </format>
    <format dxfId="402">
      <pivotArea dataOnly="0" labelOnly="1" outline="0" fieldPosition="0">
        <references count="4">
          <reference field="8" count="2">
            <x v="0"/>
            <x v="42"/>
          </reference>
          <reference field="9" count="1" selected="0">
            <x v="14"/>
          </reference>
          <reference field="15" count="1" selected="0">
            <x v="9"/>
          </reference>
          <reference field="16" count="1" selected="0">
            <x v="9"/>
          </reference>
        </references>
      </pivotArea>
    </format>
    <format dxfId="403">
      <pivotArea dataOnly="0" labelOnly="1" outline="0" fieldPosition="0">
        <references count="4">
          <reference field="8" count="2">
            <x v="4"/>
            <x v="14"/>
          </reference>
          <reference field="9" count="1" selected="0">
            <x v="25"/>
          </reference>
          <reference field="15" count="1" selected="0">
            <x v="4"/>
          </reference>
          <reference field="16" count="1" selected="0">
            <x v="9"/>
          </reference>
        </references>
      </pivotArea>
    </format>
    <format dxfId="404">
      <pivotArea dataOnly="0" labelOnly="1" outline="0" fieldPosition="0">
        <references count="4">
          <reference field="8" count="2">
            <x v="0"/>
            <x v="14"/>
          </reference>
          <reference field="9" count="1" selected="0">
            <x v="35"/>
          </reference>
          <reference field="15" count="1" selected="0">
            <x v="8"/>
          </reference>
          <reference field="16" count="1" selected="0">
            <x v="9"/>
          </reference>
        </references>
      </pivotArea>
    </format>
    <format dxfId="405">
      <pivotArea dataOnly="0" labelOnly="1" outline="0" fieldPosition="0">
        <references count="4">
          <reference field="8" count="1">
            <x v="41"/>
          </reference>
          <reference field="9" count="1" selected="0">
            <x v="45"/>
          </reference>
          <reference field="15" count="1" selected="0">
            <x v="19"/>
          </reference>
          <reference field="16" count="1" selected="0">
            <x v="9"/>
          </reference>
        </references>
      </pivotArea>
    </format>
    <format dxfId="406">
      <pivotArea dataOnly="0" labelOnly="1" outline="0" fieldPosition="0">
        <references count="4">
          <reference field="8" count="2">
            <x v="0"/>
            <x v="39"/>
          </reference>
          <reference field="9" count="1" selected="0">
            <x v="47"/>
          </reference>
          <reference field="15" count="1" selected="0">
            <x v="2"/>
          </reference>
          <reference field="16" count="1" selected="0">
            <x v="9"/>
          </reference>
        </references>
      </pivotArea>
    </format>
    <format dxfId="407">
      <pivotArea dataOnly="0" labelOnly="1" outline="0" fieldPosition="0">
        <references count="4">
          <reference field="8" count="3">
            <x v="0"/>
            <x v="39"/>
            <x v="42"/>
          </reference>
          <reference field="9" count="1" selected="0">
            <x v="54"/>
          </reference>
          <reference field="15" count="1" selected="0">
            <x v="34"/>
          </reference>
          <reference field="16" count="1" selected="0">
            <x v="9"/>
          </reference>
        </references>
      </pivotArea>
    </format>
    <format dxfId="408">
      <pivotArea dataOnly="0" labelOnly="1" outline="0" fieldPosition="0">
        <references count="4">
          <reference field="8" count="2">
            <x v="32"/>
            <x v="48"/>
          </reference>
          <reference field="9" count="1" selected="0">
            <x v="4"/>
          </reference>
          <reference field="15" count="1" selected="0">
            <x v="58"/>
          </reference>
          <reference field="16" count="1" selected="0">
            <x v="10"/>
          </reference>
        </references>
      </pivotArea>
    </format>
    <format dxfId="409">
      <pivotArea dataOnly="0" labelOnly="1" outline="0" fieldPosition="0">
        <references count="4">
          <reference field="8" count="2">
            <x v="32"/>
            <x v="48"/>
          </reference>
          <reference field="9" count="1" selected="0">
            <x v="28"/>
          </reference>
          <reference field="15" count="1" selected="0">
            <x v="59"/>
          </reference>
          <reference field="16" count="1" selected="0">
            <x v="10"/>
          </reference>
        </references>
      </pivotArea>
    </format>
    <format dxfId="410">
      <pivotArea dataOnly="0" labelOnly="1" outline="0" fieldPosition="0">
        <references count="4">
          <reference field="8" count="1">
            <x v="1"/>
          </reference>
          <reference field="9" count="1" selected="0">
            <x v="29"/>
          </reference>
          <reference field="15" count="1" selected="0">
            <x v="52"/>
          </reference>
          <reference field="16" count="1" selected="0">
            <x v="10"/>
          </reference>
        </references>
      </pivotArea>
    </format>
    <format dxfId="411">
      <pivotArea dataOnly="0" labelOnly="1" outline="0" fieldPosition="0">
        <references count="4">
          <reference field="8" count="1">
            <x v="1"/>
          </reference>
          <reference field="9" count="1" selected="0">
            <x v="30"/>
          </reference>
          <reference field="15" count="1" selected="0">
            <x v="53"/>
          </reference>
          <reference field="16" count="1" selected="0">
            <x v="10"/>
          </reference>
        </references>
      </pivotArea>
    </format>
    <format dxfId="412">
      <pivotArea dataOnly="0" labelOnly="1" outline="0" fieldPosition="0">
        <references count="4">
          <reference field="8" count="1">
            <x v="38"/>
          </reference>
          <reference field="9" count="1" selected="0">
            <x v="56"/>
          </reference>
          <reference field="15" count="1" selected="0">
            <x v="45"/>
          </reference>
          <reference field="16" count="1" selected="0">
            <x v="10"/>
          </reference>
        </references>
      </pivotArea>
    </format>
    <format dxfId="413">
      <pivotArea dataOnly="0" labelOnly="1" outline="0" fieldPosition="0">
        <references count="4">
          <reference field="8" count="1">
            <x v="29"/>
          </reference>
          <reference field="9" count="1" selected="0">
            <x v="1"/>
          </reference>
          <reference field="15" count="1" selected="0">
            <x v="54"/>
          </reference>
          <reference field="16" count="1" selected="0">
            <x v="11"/>
          </reference>
        </references>
      </pivotArea>
    </format>
    <format dxfId="414">
      <pivotArea dataOnly="0" labelOnly="1" outline="0" fieldPosition="0">
        <references count="4">
          <reference field="8" count="2">
            <x v="2"/>
            <x v="29"/>
          </reference>
          <reference field="9" count="1" selected="0">
            <x v="5"/>
          </reference>
          <reference field="15" count="1" selected="0">
            <x v="22"/>
          </reference>
          <reference field="16" count="1" selected="0">
            <x v="11"/>
          </reference>
        </references>
      </pivotArea>
    </format>
    <format dxfId="415">
      <pivotArea dataOnly="0" labelOnly="1" outline="0" fieldPosition="0">
        <references count="4">
          <reference field="8" count="1">
            <x v="30"/>
          </reference>
          <reference field="9" count="1" selected="0">
            <x v="18"/>
          </reference>
          <reference field="15" count="1" selected="0">
            <x v="62"/>
          </reference>
          <reference field="16" count="1" selected="0">
            <x v="11"/>
          </reference>
        </references>
      </pivotArea>
    </format>
    <format dxfId="416">
      <pivotArea dataOnly="0" labelOnly="1" outline="0" fieldPosition="0">
        <references count="4">
          <reference field="8" count="1">
            <x v="19"/>
          </reference>
          <reference field="9" count="1" selected="0">
            <x v="20"/>
          </reference>
          <reference field="15" count="1" selected="0">
            <x v="40"/>
          </reference>
          <reference field="16" count="1" selected="0">
            <x v="11"/>
          </reference>
        </references>
      </pivotArea>
    </format>
    <format dxfId="417">
      <pivotArea dataOnly="0" labelOnly="1" outline="0" fieldPosition="0">
        <references count="4">
          <reference field="8" count="1">
            <x v="51"/>
          </reference>
          <reference field="9" count="1" selected="0">
            <x v="21"/>
          </reference>
          <reference field="15" count="1" selected="0">
            <x v="1"/>
          </reference>
          <reference field="16" count="1" selected="0">
            <x v="11"/>
          </reference>
        </references>
      </pivotArea>
    </format>
    <format dxfId="418">
      <pivotArea dataOnly="0" labelOnly="1" outline="0" fieldPosition="0">
        <references count="4">
          <reference field="8" count="2">
            <x v="2"/>
            <x v="26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11"/>
          </reference>
        </references>
      </pivotArea>
    </format>
    <format dxfId="419">
      <pivotArea dataOnly="0" labelOnly="1" outline="0" fieldPosition="0">
        <references count="4">
          <reference field="8" count="2">
            <x v="63"/>
            <x v="64"/>
          </reference>
          <reference field="9" count="1" selected="0">
            <x v="25"/>
          </reference>
          <reference field="15" count="1" selected="0">
            <x v="4"/>
          </reference>
          <reference field="16" count="1" selected="0">
            <x v="11"/>
          </reference>
        </references>
      </pivotArea>
    </format>
    <format dxfId="420">
      <pivotArea dataOnly="0" labelOnly="1" outline="0" fieldPosition="0">
        <references count="4">
          <reference field="8" count="2">
            <x v="2"/>
            <x v="29"/>
          </reference>
          <reference field="9" count="1" selected="0">
            <x v="26"/>
          </reference>
          <reference field="15" count="1" selected="0">
            <x v="29"/>
          </reference>
          <reference field="16" count="1" selected="0">
            <x v="11"/>
          </reference>
        </references>
      </pivotArea>
    </format>
    <format dxfId="421">
      <pivotArea dataOnly="0" labelOnly="1" outline="0" fieldPosition="0">
        <references count="4">
          <reference field="8" count="3">
            <x v="51"/>
            <x v="57"/>
            <x v="64"/>
          </reference>
          <reference field="9" count="1" selected="0">
            <x v="27"/>
          </reference>
          <reference field="15" count="1" selected="0">
            <x v="12"/>
          </reference>
          <reference field="16" count="1" selected="0">
            <x v="11"/>
          </reference>
        </references>
      </pivotArea>
    </format>
    <format dxfId="422">
      <pivotArea dataOnly="0" labelOnly="1" outline="0" fieldPosition="0">
        <references count="4">
          <reference field="8" count="2">
            <x v="27"/>
            <x v="30"/>
          </reference>
          <reference field="9" count="1" selected="0">
            <x v="29"/>
          </reference>
          <reference field="15" count="1" selected="0">
            <x v="52"/>
          </reference>
          <reference field="16" count="1" selected="0">
            <x v="11"/>
          </reference>
        </references>
      </pivotArea>
    </format>
    <format dxfId="423">
      <pivotArea dataOnly="0" labelOnly="1" outline="0" fieldPosition="0">
        <references count="4">
          <reference field="8" count="2">
            <x v="27"/>
            <x v="30"/>
          </reference>
          <reference field="9" count="1" selected="0">
            <x v="30"/>
          </reference>
          <reference field="15" count="1" selected="0">
            <x v="53"/>
          </reference>
          <reference field="16" count="1" selected="0">
            <x v="11"/>
          </reference>
        </references>
      </pivotArea>
    </format>
    <format dxfId="424">
      <pivotArea dataOnly="0" labelOnly="1" outline="0" fieldPosition="0">
        <references count="4">
          <reference field="8" count="1">
            <x v="43"/>
          </reference>
          <reference field="9" count="1" selected="0">
            <x v="31"/>
          </reference>
          <reference field="15" count="1" selected="0">
            <x v="47"/>
          </reference>
          <reference field="16" count="1" selected="0">
            <x v="11"/>
          </reference>
        </references>
      </pivotArea>
    </format>
    <format dxfId="425">
      <pivotArea dataOnly="0" labelOnly="1" outline="0" fieldPosition="0">
        <references count="4">
          <reference field="8" count="1">
            <x v="45"/>
          </reference>
          <reference field="9" count="1" selected="0">
            <x v="33"/>
          </reference>
          <reference field="15" count="1" selected="0">
            <x v="51"/>
          </reference>
          <reference field="16" count="1" selected="0">
            <x v="11"/>
          </reference>
        </references>
      </pivotArea>
    </format>
    <format dxfId="426">
      <pivotArea dataOnly="0" labelOnly="1" outline="0" fieldPosition="0">
        <references count="4">
          <reference field="8" count="1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 selected="0">
            <x v="11"/>
          </reference>
        </references>
      </pivotArea>
    </format>
    <format dxfId="427">
      <pivotArea dataOnly="0" labelOnly="1" outline="0" fieldPosition="0">
        <references count="4">
          <reference field="8" count="1">
            <x v="51"/>
          </reference>
          <reference field="9" count="1" selected="0">
            <x v="35"/>
          </reference>
          <reference field="15" count="1" selected="0">
            <x v="8"/>
          </reference>
          <reference field="16" count="1" selected="0">
            <x v="11"/>
          </reference>
        </references>
      </pivotArea>
    </format>
    <format dxfId="428">
      <pivotArea dataOnly="0" labelOnly="1" outline="0" fieldPosition="0">
        <references count="4">
          <reference field="8" count="1">
            <x v="55"/>
          </reference>
          <reference field="9" count="1" selected="0">
            <x v="37"/>
          </reference>
          <reference field="15" count="1" selected="0">
            <x v="43"/>
          </reference>
          <reference field="16" count="1" selected="0">
            <x v="11"/>
          </reference>
        </references>
      </pivotArea>
    </format>
    <format dxfId="429">
      <pivotArea dataOnly="0" labelOnly="1" outline="0" fieldPosition="0">
        <references count="4">
          <reference field="8" count="1">
            <x v="30"/>
          </reference>
          <reference field="9" count="1" selected="0">
            <x v="38"/>
          </reference>
          <reference field="15" count="1" selected="0">
            <x v="61"/>
          </reference>
          <reference field="16" count="1" selected="0">
            <x v="11"/>
          </reference>
        </references>
      </pivotArea>
    </format>
    <format dxfId="430">
      <pivotArea dataOnly="0" labelOnly="1" outline="0" fieldPosition="0">
        <references count="4">
          <reference field="8" count="2">
            <x v="31"/>
            <x v="55"/>
          </reference>
          <reference field="9" count="1" selected="0">
            <x v="46"/>
          </reference>
          <reference field="15" count="1" selected="0">
            <x v="55"/>
          </reference>
          <reference field="16" count="1" selected="0">
            <x v="11"/>
          </reference>
        </references>
      </pivotArea>
    </format>
    <format dxfId="431">
      <pivotArea dataOnly="0" labelOnly="1" outline="0" fieldPosition="0">
        <references count="4">
          <reference field="8" count="1">
            <x v="65"/>
          </reference>
          <reference field="9" count="1" selected="0">
            <x v="47"/>
          </reference>
          <reference field="15" count="1" selected="0">
            <x v="2"/>
          </reference>
          <reference field="16" count="1" selected="0">
            <x v="11"/>
          </reference>
        </references>
      </pivotArea>
    </format>
    <format dxfId="432">
      <pivotArea dataOnly="0" labelOnly="1" outline="0" fieldPosition="0">
        <references count="4">
          <reference field="8" count="1">
            <x v="60"/>
          </reference>
          <reference field="9" count="1" selected="0">
            <x v="50"/>
          </reference>
          <reference field="15" count="1" selected="0">
            <x v="41"/>
          </reference>
          <reference field="16" count="1" selected="0">
            <x v="11"/>
          </reference>
        </references>
      </pivotArea>
    </format>
    <format dxfId="433">
      <pivotArea dataOnly="0" labelOnly="1" outline="0" fieldPosition="0">
        <references count="4">
          <reference field="8" count="2">
            <x v="3"/>
            <x v="46"/>
          </reference>
          <reference field="9" count="1" selected="0">
            <x v="51"/>
          </reference>
          <reference field="15" count="1" selected="0">
            <x v="27"/>
          </reference>
          <reference field="16" count="1" selected="0">
            <x v="11"/>
          </reference>
        </references>
      </pivotArea>
    </format>
    <format dxfId="434">
      <pivotArea dataOnly="0" labelOnly="1" outline="0" fieldPosition="0">
        <references count="4">
          <reference field="8" count="1">
            <x v="54"/>
          </reference>
          <reference field="9" count="1" selected="0">
            <x v="52"/>
          </reference>
          <reference field="15" count="1" selected="0">
            <x v="39"/>
          </reference>
          <reference field="16" count="1" selected="0">
            <x v="11"/>
          </reference>
        </references>
      </pivotArea>
    </format>
    <format dxfId="435">
      <pivotArea dataOnly="0" labelOnly="1" outline="0" fieldPosition="0">
        <references count="4">
          <reference field="8" count="1">
            <x v="51"/>
          </reference>
          <reference field="9" count="1" selected="0">
            <x v="54"/>
          </reference>
          <reference field="15" count="1" selected="0">
            <x v="34"/>
          </reference>
          <reference field="16" count="1" selected="0">
            <x v="11"/>
          </reference>
        </references>
      </pivotArea>
    </format>
    <format dxfId="436">
      <pivotArea dataOnly="0" labelOnly="1" outline="0" fieldPosition="0">
        <references count="4">
          <reference field="8" count="1">
            <x v="43"/>
          </reference>
          <reference field="9" count="1" selected="0">
            <x v="56"/>
          </reference>
          <reference field="15" count="1" selected="0">
            <x v="45"/>
          </reference>
          <reference field="16" count="1" selected="0">
            <x v="11"/>
          </reference>
        </references>
      </pivotArea>
    </format>
    <format dxfId="437">
      <pivotArea dataOnly="0" labelOnly="1" outline="0" fieldPosition="0">
        <references count="4">
          <reference field="8" count="1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 selected="0">
            <x v="11"/>
          </reference>
        </references>
      </pivotArea>
    </format>
    <format dxfId="438">
      <pivotArea dataOnly="0" labelOnly="1" outline="0" fieldPosition="0">
        <references count="4">
          <reference field="8" count="1">
            <x v="43"/>
          </reference>
          <reference field="9" count="1" selected="0">
            <x v="60"/>
          </reference>
          <reference field="15" count="1" selected="0">
            <x v="48"/>
          </reference>
          <reference field="16" count="1" selected="0">
            <x v="11"/>
          </reference>
        </references>
      </pivotArea>
    </format>
    <format dxfId="439">
      <pivotArea dataOnly="0" labelOnly="1" outline="0" fieldPosition="0">
        <references count="4">
          <reference field="8" count="2">
            <x v="13"/>
            <x v="24"/>
          </reference>
          <reference field="9" count="1" selected="0">
            <x v="2"/>
          </reference>
          <reference field="15" count="1" selected="0">
            <x v="33"/>
          </reference>
          <reference field="16" count="1" selected="0">
            <x v="12"/>
          </reference>
        </references>
      </pivotArea>
    </format>
    <format dxfId="440">
      <pivotArea dataOnly="0" labelOnly="1" outline="0" fieldPosition="0">
        <references count="4">
          <reference field="8" count="1">
            <x v="11"/>
          </reference>
          <reference field="9" count="1" selected="0">
            <x v="3"/>
          </reference>
          <reference field="15" count="1" selected="0">
            <x v="46"/>
          </reference>
          <reference field="16" count="1" selected="0">
            <x v="12"/>
          </reference>
        </references>
      </pivotArea>
    </format>
    <format dxfId="441">
      <pivotArea dataOnly="0" labelOnly="1" outline="0" fieldPosition="0">
        <references count="4">
          <reference field="8" count="1">
            <x v="20"/>
          </reference>
          <reference field="9" count="1" selected="0">
            <x v="7"/>
          </reference>
          <reference field="15" count="1" selected="0">
            <x v="26"/>
          </reference>
          <reference field="16" count="1" selected="0">
            <x v="12"/>
          </reference>
        </references>
      </pivotArea>
    </format>
    <format dxfId="442">
      <pivotArea dataOnly="0" labelOnly="1" outline="0" fieldPosition="0">
        <references count="4">
          <reference field="8" count="1">
            <x v="16"/>
          </reference>
          <reference field="9" count="1" selected="0">
            <x v="8"/>
          </reference>
          <reference field="15" count="1" selected="0">
            <x v="16"/>
          </reference>
          <reference field="16" count="1" selected="0">
            <x v="12"/>
          </reference>
        </references>
      </pivotArea>
    </format>
    <format dxfId="443">
      <pivotArea dataOnly="0" labelOnly="1" outline="0" fieldPosition="0">
        <references count="4">
          <reference field="8" count="1">
            <x v="12"/>
          </reference>
          <reference field="9" count="1" selected="0">
            <x v="9"/>
          </reference>
          <reference field="15" count="1" selected="0">
            <x v="15"/>
          </reference>
          <reference field="16" count="1" selected="0">
            <x v="12"/>
          </reference>
        </references>
      </pivotArea>
    </format>
    <format dxfId="444">
      <pivotArea dataOnly="0" labelOnly="1" outline="0" fieldPosition="0">
        <references count="4">
          <reference field="8" count="1">
            <x v="17"/>
          </reference>
          <reference field="9" count="1" selected="0">
            <x v="10"/>
          </reference>
          <reference field="15" count="1" selected="0">
            <x v="10"/>
          </reference>
          <reference field="16" count="1" selected="0">
            <x v="12"/>
          </reference>
        </references>
      </pivotArea>
    </format>
    <format dxfId="445">
      <pivotArea dataOnly="0" labelOnly="1" outline="0" fieldPosition="0">
        <references count="4">
          <reference field="8" count="1">
            <x v="21"/>
          </reference>
          <reference field="9" count="1" selected="0">
            <x v="11"/>
          </reference>
          <reference field="15" count="1" selected="0">
            <x v="23"/>
          </reference>
          <reference field="16" count="1" selected="0">
            <x v="12"/>
          </reference>
        </references>
      </pivotArea>
    </format>
    <format dxfId="446">
      <pivotArea dataOnly="0" labelOnly="1" outline="0" fieldPosition="0">
        <references count="4">
          <reference field="8" count="1">
            <x v="21"/>
          </reference>
          <reference field="9" count="1" selected="0">
            <x v="12"/>
          </reference>
          <reference field="15" count="1" selected="0">
            <x v="24"/>
          </reference>
          <reference field="16" count="1" selected="0">
            <x v="12"/>
          </reference>
        </references>
      </pivotArea>
    </format>
    <format dxfId="447">
      <pivotArea dataOnly="0" labelOnly="1" outline="0" fieldPosition="0">
        <references count="4">
          <reference field="8" count="1">
            <x v="11"/>
          </reference>
          <reference field="9" count="1" selected="0">
            <x v="19"/>
          </reference>
          <reference field="15" count="1" selected="0">
            <x v="13"/>
          </reference>
          <reference field="16" count="1" selected="0">
            <x v="12"/>
          </reference>
        </references>
      </pivotArea>
    </format>
    <format dxfId="448">
      <pivotArea dataOnly="0" labelOnly="1" outline="0" fieldPosition="0">
        <references count="4">
          <reference field="8" count="1">
            <x v="22"/>
          </reference>
          <reference field="9" count="1" selected="0">
            <x v="24"/>
          </reference>
          <reference field="15" count="1" selected="0">
            <x v="37"/>
          </reference>
          <reference field="16" count="1" selected="0">
            <x v="12"/>
          </reference>
        </references>
      </pivotArea>
    </format>
    <format dxfId="449">
      <pivotArea dataOnly="0" labelOnly="1" outline="0" fieldPosition="0">
        <references count="4">
          <reference field="8" count="1">
            <x v="17"/>
          </reference>
          <reference field="9" count="1" selected="0">
            <x v="36"/>
          </reference>
          <reference field="15" count="1" selected="0">
            <x v="11"/>
          </reference>
          <reference field="16" count="1" selected="0">
            <x v="12"/>
          </reference>
        </references>
      </pivotArea>
    </format>
    <format dxfId="450">
      <pivotArea dataOnly="0" labelOnly="1" outline="0" fieldPosition="0">
        <references count="4">
          <reference field="8" count="1">
            <x v="13"/>
          </reference>
          <reference field="9" count="1" selected="0">
            <x v="40"/>
          </reference>
          <reference field="15" count="1" selected="0">
            <x v="28"/>
          </reference>
          <reference field="16" count="1" selected="0">
            <x v="12"/>
          </reference>
        </references>
      </pivotArea>
    </format>
    <format dxfId="451">
      <pivotArea dataOnly="0" labelOnly="1" outline="0" fieldPosition="0">
        <references count="4">
          <reference field="8" count="1">
            <x v="12"/>
          </reference>
          <reference field="9" count="1" selected="0">
            <x v="42"/>
          </reference>
          <reference field="15" count="1" selected="0">
            <x v="21"/>
          </reference>
          <reference field="16" count="1" selected="0">
            <x v="12"/>
          </reference>
        </references>
      </pivotArea>
    </format>
    <format dxfId="452">
      <pivotArea dataOnly="0" labelOnly="1" outline="0" fieldPosition="0">
        <references count="4">
          <reference field="8" count="1">
            <x v="24"/>
          </reference>
          <reference field="9" count="1" selected="0">
            <x v="43"/>
          </reference>
          <reference field="15" count="1" selected="0">
            <x v="14"/>
          </reference>
          <reference field="16" count="1" selected="0">
            <x v="12"/>
          </reference>
        </references>
      </pivotArea>
    </format>
    <format dxfId="453">
      <pivotArea dataOnly="0" labelOnly="1" outline="0" fieldPosition="0">
        <references count="4">
          <reference field="8" count="1">
            <x v="22"/>
          </reference>
          <reference field="9" count="1" selected="0">
            <x v="44"/>
          </reference>
          <reference field="15" count="1" selected="0">
            <x v="38"/>
          </reference>
          <reference field="16" count="1" selected="0">
            <x v="12"/>
          </reference>
        </references>
      </pivotArea>
    </format>
    <format dxfId="454">
      <pivotArea dataOnly="0" labelOnly="1" outline="0" fieldPosition="0">
        <references count="4">
          <reference field="8" count="1">
            <x v="18"/>
          </reference>
          <reference field="9" count="1" selected="0">
            <x v="48"/>
          </reference>
          <reference field="15" count="1" selected="0">
            <x v="17"/>
          </reference>
          <reference field="16" count="1" selected="0">
            <x v="12"/>
          </reference>
        </references>
      </pivotArea>
    </format>
    <format dxfId="455">
      <pivotArea dataOnly="0" labelOnly="1" outline="0" fieldPosition="0">
        <references count="4">
          <reference field="8" count="1">
            <x v="23"/>
          </reference>
          <reference field="9" count="1" selected="0">
            <x v="49"/>
          </reference>
          <reference field="15" count="1" selected="0">
            <x v="49"/>
          </reference>
          <reference field="16" count="1" selected="0">
            <x v="12"/>
          </reference>
        </references>
      </pivotArea>
    </format>
    <format dxfId="456">
      <pivotArea dataOnly="0" labelOnly="1" outline="0" fieldPosition="0">
        <references count="4">
          <reference field="8" count="1">
            <x v="25"/>
          </reference>
          <reference field="9" count="1" selected="0">
            <x v="59"/>
          </reference>
          <reference field="15" count="1" selected="0">
            <x v="20"/>
          </reference>
          <reference field="16" count="1" selected="0">
            <x v="12"/>
          </reference>
        </references>
      </pivotArea>
    </format>
    <format dxfId="457">
      <pivotArea dataOnly="0" labelOnly="1" outline="0" fieldPosition="0">
        <references count="4">
          <reference field="8" count="1">
            <x v="18"/>
          </reference>
          <reference field="9" count="1" selected="0">
            <x v="61"/>
          </reference>
          <reference field="15" count="1" selected="0">
            <x v="32"/>
          </reference>
          <reference field="16" count="1" selected="0">
            <x v="12"/>
          </reference>
        </references>
      </pivotArea>
    </format>
    <format dxfId="458">
      <pivotArea dataOnly="0" labelOnly="1" outline="0" fieldPosition="0">
        <references count="4">
          <reference field="8" count="1">
            <x v="25"/>
          </reference>
          <reference field="9" count="1" selected="0">
            <x v="62"/>
          </reference>
          <reference field="15" count="1" selected="0">
            <x v="36"/>
          </reference>
          <reference field="16" count="1" selected="0">
            <x v="12"/>
          </reference>
        </references>
      </pivotArea>
    </format>
    <format dxfId="459">
      <pivotArea dataOnly="0" labelOnly="1" outline="0" fieldPosition="0">
        <references count="5">
          <reference field="3" count="2">
            <x v="1"/>
            <x v="2"/>
          </reference>
          <reference field="8" count="1" selected="0">
            <x v="37"/>
          </reference>
          <reference field="9" count="1" selected="0">
            <x v="13"/>
          </reference>
          <reference field="15" count="1" selected="0">
            <x v="7"/>
          </reference>
          <reference field="16" count="1" selected="0">
            <x v="1"/>
          </reference>
        </references>
      </pivotArea>
    </format>
    <format dxfId="460">
      <pivotArea dataOnly="0" labelOnly="1" outline="0" fieldPosition="0">
        <references count="5">
          <reference field="3" count="1">
            <x v="2"/>
          </reference>
          <reference field="8" count="1" selected="0">
            <x v="37"/>
          </reference>
          <reference field="9" count="1" selected="0">
            <x v="32"/>
          </reference>
          <reference field="15" count="1" selected="0">
            <x v="5"/>
          </reference>
          <reference field="16" count="1" selected="0">
            <x v="1"/>
          </reference>
        </references>
      </pivotArea>
    </format>
    <format dxfId="461">
      <pivotArea dataOnly="0" labelOnly="1" outline="0" fieldPosition="0">
        <references count="5">
          <reference field="3" count="1">
            <x v="1"/>
          </reference>
          <reference field="8" count="1" selected="0">
            <x v="5"/>
          </reference>
          <reference field="9" count="1" selected="0">
            <x v="1"/>
          </reference>
          <reference field="15" count="1" selected="0">
            <x v="54"/>
          </reference>
          <reference field="16" count="1" selected="0">
            <x v="3"/>
          </reference>
        </references>
      </pivotArea>
    </format>
    <format dxfId="462">
      <pivotArea dataOnly="0" labelOnly="1" outline="0" fieldPosition="0">
        <references count="5">
          <reference field="3" count="1">
            <x v="2"/>
          </reference>
          <reference field="8" count="1" selected="0">
            <x v="59"/>
          </reference>
          <reference field="9" count="1" selected="0">
            <x v="16"/>
          </reference>
          <reference field="15" count="1" selected="0">
            <x v="18"/>
          </reference>
          <reference field="16" count="1" selected="0">
            <x v="3"/>
          </reference>
        </references>
      </pivotArea>
    </format>
    <format dxfId="463">
      <pivotArea dataOnly="0" labelOnly="1" outline="0" fieldPosition="0">
        <references count="5">
          <reference field="3" count="1">
            <x v="2"/>
          </reference>
          <reference field="8" count="1" selected="0">
            <x v="59"/>
          </reference>
          <reference field="9" count="1" selected="0">
            <x v="20"/>
          </reference>
          <reference field="15" count="1" selected="0">
            <x v="40"/>
          </reference>
          <reference field="16" count="1" selected="0">
            <x v="3"/>
          </reference>
        </references>
      </pivotArea>
    </format>
    <format dxfId="464">
      <pivotArea dataOnly="0" labelOnly="1" outline="0" fieldPosition="0">
        <references count="5">
          <reference field="3" count="2">
            <x v="1"/>
            <x v="2"/>
          </reference>
          <reference field="8" count="1" selected="0">
            <x v="5"/>
          </reference>
          <reference field="9" count="1" selected="0">
            <x v="21"/>
          </reference>
          <reference field="15" count="1" selected="0">
            <x v="1"/>
          </reference>
          <reference field="16" count="1" selected="0">
            <x v="3"/>
          </reference>
        </references>
      </pivotArea>
    </format>
    <format dxfId="465">
      <pivotArea dataOnly="0" labelOnly="1" outline="0" fieldPosition="0">
        <references count="5">
          <reference field="3" count="1">
            <x v="3"/>
          </reference>
          <reference field="8" count="1" selected="0">
            <x v="9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3"/>
          </reference>
        </references>
      </pivotArea>
    </format>
    <format dxfId="466">
      <pivotArea dataOnly="0" labelOnly="1" outline="0" fieldPosition="0">
        <references count="5">
          <reference field="3" count="1">
            <x v="2"/>
          </reference>
          <reference field="8" count="1" selected="0">
            <x v="15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3"/>
          </reference>
        </references>
      </pivotArea>
    </format>
    <format dxfId="467">
      <pivotArea dataOnly="0" labelOnly="1" outline="0" fieldPosition="0">
        <references count="5">
          <reference field="3" count="1">
            <x v="1"/>
          </reference>
          <reference field="8" count="1" selected="0">
            <x v="8"/>
          </reference>
          <reference field="9" count="1" selected="0">
            <x v="46"/>
          </reference>
          <reference field="15" count="1" selected="0">
            <x v="55"/>
          </reference>
          <reference field="16" count="1" selected="0">
            <x v="3"/>
          </reference>
        </references>
      </pivotArea>
    </format>
    <format dxfId="468">
      <pivotArea dataOnly="0" labelOnly="1" outline="0" fieldPosition="0">
        <references count="5">
          <reference field="3" count="3">
            <x v="1"/>
            <x v="2"/>
            <x v="4"/>
          </reference>
          <reference field="8" count="1" selected="0">
            <x v="10"/>
          </reference>
          <reference field="9" count="1" selected="0">
            <x v="55"/>
          </reference>
          <reference field="15" count="1" selected="0">
            <x v="3"/>
          </reference>
          <reference field="16" count="1" selected="0">
            <x v="3"/>
          </reference>
        </references>
      </pivotArea>
    </format>
    <format dxfId="469">
      <pivotArea dataOnly="0" labelOnly="1" outline="0" fieldPosition="0">
        <references count="5">
          <reference field="3" count="1">
            <x v="1"/>
          </reference>
          <reference field="8" count="1" selected="0">
            <x v="8"/>
          </reference>
          <reference field="9" count="1" selected="0">
            <x v="58"/>
          </reference>
          <reference field="15" count="1" selected="0">
            <x v="57"/>
          </reference>
          <reference field="16" count="1" selected="0">
            <x v="3"/>
          </reference>
        </references>
      </pivotArea>
    </format>
    <format dxfId="470">
      <pivotArea dataOnly="0" labelOnly="1" outline="0" fieldPosition="0">
        <references count="5">
          <reference field="3" count="1">
            <x v="1"/>
          </reference>
          <reference field="8" count="1" selected="0">
            <x v="34"/>
          </reference>
          <reference field="9" count="1" selected="0">
            <x v="0"/>
          </reference>
          <reference field="15" count="1" selected="0">
            <x v="60"/>
          </reference>
          <reference field="16" count="1" selected="0">
            <x v="6"/>
          </reference>
        </references>
      </pivotArea>
    </format>
    <format dxfId="471">
      <pivotArea dataOnly="0" labelOnly="1" outline="0" fieldPosition="0">
        <references count="5">
          <reference field="3" count="1">
            <x v="1"/>
          </reference>
          <reference field="8" count="1" selected="0">
            <x v="34"/>
          </reference>
          <reference field="9" count="1" selected="0">
            <x v="17"/>
          </reference>
          <reference field="15" count="1" selected="0">
            <x v="56"/>
          </reference>
          <reference field="16" count="1" selected="0">
            <x v="6"/>
          </reference>
        </references>
      </pivotArea>
    </format>
    <format dxfId="472">
      <pivotArea dataOnly="0" labelOnly="1" outline="0" fieldPosition="0">
        <references count="5">
          <reference field="3" count="1">
            <x v="2"/>
          </reference>
          <reference field="8" count="1" selected="0">
            <x v="53"/>
          </reference>
          <reference field="9" count="1" selected="0">
            <x v="0"/>
          </reference>
          <reference field="15" count="1" selected="0">
            <x v="60"/>
          </reference>
          <reference field="16" count="1" selected="0">
            <x v="8"/>
          </reference>
        </references>
      </pivotArea>
    </format>
    <format dxfId="473">
      <pivotArea dataOnly="0" labelOnly="1" outline="0" fieldPosition="0">
        <references count="5">
          <reference field="3" count="2">
            <x v="1"/>
            <x v="3"/>
          </reference>
          <reference field="8" count="1" selected="0">
            <x v="42"/>
          </reference>
          <reference field="9" count="1" selected="0">
            <x v="14"/>
          </reference>
          <reference field="15" count="1" selected="0">
            <x v="9"/>
          </reference>
          <reference field="16" count="1" selected="0">
            <x v="9"/>
          </reference>
        </references>
      </pivotArea>
    </format>
    <format dxfId="474">
      <pivotArea dataOnly="0" labelOnly="1" outline="0" fieldPosition="0">
        <references count="5">
          <reference field="3" count="1">
            <x v="1"/>
          </reference>
          <reference field="8" count="1" selected="0">
            <x v="32"/>
          </reference>
          <reference field="9" count="1" selected="0">
            <x v="4"/>
          </reference>
          <reference field="15" count="1" selected="0">
            <x v="58"/>
          </reference>
          <reference field="16" count="1" selected="0">
            <x v="10"/>
          </reference>
        </references>
      </pivotArea>
    </format>
    <format dxfId="475">
      <pivotArea dataOnly="0" labelOnly="1" outline="0" fieldPosition="0">
        <references count="5">
          <reference field="3" count="2">
            <x v="0"/>
            <x v="1"/>
          </reference>
          <reference field="8" count="1" selected="0">
            <x v="48"/>
          </reference>
          <reference field="9" count="1" selected="0">
            <x v="4"/>
          </reference>
          <reference field="15" count="1" selected="0">
            <x v="58"/>
          </reference>
          <reference field="16" count="1" selected="0">
            <x v="10"/>
          </reference>
        </references>
      </pivotArea>
    </format>
    <format dxfId="476">
      <pivotArea dataOnly="0" labelOnly="1" outline="0" fieldPosition="0">
        <references count="5">
          <reference field="3" count="1">
            <x v="1"/>
          </reference>
          <reference field="8" count="1" selected="0">
            <x v="32"/>
          </reference>
          <reference field="9" count="1" selected="0">
            <x v="28"/>
          </reference>
          <reference field="15" count="1" selected="0">
            <x v="59"/>
          </reference>
          <reference field="16" count="1" selected="0">
            <x v="10"/>
          </reference>
        </references>
      </pivotArea>
    </format>
    <format dxfId="477">
      <pivotArea dataOnly="0" labelOnly="1" outline="0" fieldPosition="0">
        <references count="5">
          <reference field="3" count="1">
            <x v="1"/>
          </reference>
          <reference field="8" count="1" selected="0">
            <x v="48"/>
          </reference>
          <reference field="9" count="1" selected="0">
            <x v="28"/>
          </reference>
          <reference field="15" count="1" selected="0">
            <x v="59"/>
          </reference>
          <reference field="16" count="1" selected="0">
            <x v="10"/>
          </reference>
        </references>
      </pivotArea>
    </format>
    <format dxfId="478">
      <pivotArea dataOnly="0" labelOnly="1" outline="0" fieldPosition="0">
        <references count="5">
          <reference field="3" count="1">
            <x v="2"/>
          </reference>
          <reference field="8" count="1" selected="0">
            <x v="1"/>
          </reference>
          <reference field="9" count="1" selected="0">
            <x v="29"/>
          </reference>
          <reference field="15" count="1" selected="0">
            <x v="52"/>
          </reference>
          <reference field="16" count="1" selected="0">
            <x v="10"/>
          </reference>
        </references>
      </pivotArea>
    </format>
    <format dxfId="479">
      <pivotArea dataOnly="0" labelOnly="1" outline="0" fieldPosition="0">
        <references count="5">
          <reference field="3" count="1">
            <x v="2"/>
          </reference>
          <reference field="8" count="1" selected="0">
            <x v="1"/>
          </reference>
          <reference field="9" count="1" selected="0">
            <x v="30"/>
          </reference>
          <reference field="15" count="1" selected="0">
            <x v="53"/>
          </reference>
          <reference field="16" count="1" selected="0">
            <x v="10"/>
          </reference>
        </references>
      </pivotArea>
    </format>
    <format dxfId="480">
      <pivotArea dataOnly="0" labelOnly="1" outline="0" fieldPosition="0">
        <references count="5">
          <reference field="3" count="1">
            <x v="3"/>
          </reference>
          <reference field="8" count="1" selected="0">
            <x v="38"/>
          </reference>
          <reference field="9" count="1" selected="0">
            <x v="56"/>
          </reference>
          <reference field="15" count="1" selected="0">
            <x v="45"/>
          </reference>
          <reference field="16" count="1" selected="0">
            <x v="10"/>
          </reference>
        </references>
      </pivotArea>
    </format>
    <format dxfId="481">
      <pivotArea dataOnly="0" labelOnly="1" outline="0" fieldPosition="0">
        <references count="5">
          <reference field="3" count="2">
            <x v="2"/>
            <x v="4"/>
          </reference>
          <reference field="8" count="1" selected="0">
            <x v="29"/>
          </reference>
          <reference field="9" count="1" selected="0">
            <x v="1"/>
          </reference>
          <reference field="15" count="1" selected="0">
            <x v="54"/>
          </reference>
          <reference field="16" count="1" selected="0">
            <x v="11"/>
          </reference>
        </references>
      </pivotArea>
    </format>
    <format dxfId="482">
      <pivotArea dataOnly="0" labelOnly="1" outline="0" fieldPosition="0">
        <references count="5">
          <reference field="3" count="1">
            <x v="0"/>
          </reference>
          <reference field="8" count="1" selected="0">
            <x v="30"/>
          </reference>
          <reference field="9" count="1" selected="0">
            <x v="18"/>
          </reference>
          <reference field="15" count="1" selected="0">
            <x v="62"/>
          </reference>
          <reference field="16" count="1" selected="0">
            <x v="11"/>
          </reference>
        </references>
      </pivotArea>
    </format>
    <format dxfId="483">
      <pivotArea dataOnly="0" labelOnly="1" outline="0" fieldPosition="0">
        <references count="5">
          <reference field="3" count="2">
            <x v="1"/>
            <x v="3"/>
          </reference>
          <reference field="8" count="1" selected="0">
            <x v="51"/>
          </reference>
          <reference field="9" count="1" selected="0">
            <x v="21"/>
          </reference>
          <reference field="15" count="1" selected="0">
            <x v="1"/>
          </reference>
          <reference field="16" count="1" selected="0">
            <x v="11"/>
          </reference>
        </references>
      </pivotArea>
    </format>
    <format dxfId="484">
      <pivotArea dataOnly="0" labelOnly="1" outline="0" fieldPosition="0">
        <references count="5">
          <reference field="3" count="2">
            <x v="1"/>
            <x v="4"/>
          </reference>
          <reference field="8" count="1" selected="0">
            <x v="2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11"/>
          </reference>
        </references>
      </pivotArea>
    </format>
    <format dxfId="485">
      <pivotArea dataOnly="0" labelOnly="1" outline="0" fieldPosition="0">
        <references count="5">
          <reference field="3" count="1">
            <x v="3"/>
          </reference>
          <reference field="8" count="1" selected="0">
            <x v="57"/>
          </reference>
          <reference field="9" count="1" selected="0">
            <x v="27"/>
          </reference>
          <reference field="15" count="1" selected="0">
            <x v="12"/>
          </reference>
          <reference field="16" count="1" selected="0">
            <x v="11"/>
          </reference>
        </references>
      </pivotArea>
    </format>
    <format dxfId="486">
      <pivotArea dataOnly="0" labelOnly="1" outline="0" fieldPosition="0">
        <references count="5">
          <reference field="3" count="1">
            <x v="2"/>
          </reference>
          <reference field="8" count="1" selected="0">
            <x v="64"/>
          </reference>
          <reference field="9" count="1" selected="0">
            <x v="27"/>
          </reference>
          <reference field="15" count="1" selected="0">
            <x v="12"/>
          </reference>
          <reference field="16" count="1" selected="0">
            <x v="11"/>
          </reference>
        </references>
      </pivotArea>
    </format>
    <format dxfId="487">
      <pivotArea dataOnly="0" labelOnly="1" outline="0" fieldPosition="0">
        <references count="5">
          <reference field="3" count="2">
            <x v="1"/>
            <x v="3"/>
          </reference>
          <reference field="8" count="1" selected="0">
            <x v="30"/>
          </reference>
          <reference field="9" count="1" selected="0">
            <x v="29"/>
          </reference>
          <reference field="15" count="1" selected="0">
            <x v="52"/>
          </reference>
          <reference field="16" count="1" selected="0">
            <x v="11"/>
          </reference>
        </references>
      </pivotArea>
    </format>
    <format dxfId="488">
      <pivotArea dataOnly="0" labelOnly="1" outline="0" fieldPosition="0">
        <references count="5">
          <reference field="3" count="2">
            <x v="1"/>
            <x v="3"/>
          </reference>
          <reference field="8" count="1" selected="0">
            <x v="30"/>
          </reference>
          <reference field="9" count="1" selected="0">
            <x v="30"/>
          </reference>
          <reference field="15" count="1" selected="0">
            <x v="53"/>
          </reference>
          <reference field="16" count="1" selected="0">
            <x v="11"/>
          </reference>
        </references>
      </pivotArea>
    </format>
    <format dxfId="489">
      <pivotArea dataOnly="0" labelOnly="1" outline="0" fieldPosition="0">
        <references count="5">
          <reference field="3" count="1">
            <x v="1"/>
          </reference>
          <reference field="8" count="1" selected="0">
            <x v="43"/>
          </reference>
          <reference field="9" count="1" selected="0">
            <x v="31"/>
          </reference>
          <reference field="15" count="1" selected="0">
            <x v="47"/>
          </reference>
          <reference field="16" count="1" selected="0">
            <x v="11"/>
          </reference>
        </references>
      </pivotArea>
    </format>
    <format dxfId="490">
      <pivotArea dataOnly="0" labelOnly="1" outline="0" fieldPosition="0">
        <references count="5">
          <reference field="3" count="2">
            <x v="2"/>
            <x v="4"/>
          </reference>
          <reference field="8" count="1" selected="0">
            <x v="45"/>
          </reference>
          <reference field="9" count="1" selected="0">
            <x v="33"/>
          </reference>
          <reference field="15" count="1" selected="0">
            <x v="51"/>
          </reference>
          <reference field="16" count="1" selected="0">
            <x v="11"/>
          </reference>
        </references>
      </pivotArea>
    </format>
    <format dxfId="491">
      <pivotArea dataOnly="0" labelOnly="1" outline="0" fieldPosition="0">
        <references count="5">
          <reference field="3" count="4">
            <x v="0"/>
            <x v="1"/>
            <x v="2"/>
            <x v="3"/>
          </reference>
          <reference field="8" count="1" selected="0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 selected="0">
            <x v="11"/>
          </reference>
        </references>
      </pivotArea>
    </format>
    <format dxfId="492">
      <pivotArea dataOnly="0" labelOnly="1" outline="0" fieldPosition="0">
        <references count="5">
          <reference field="3" count="1">
            <x v="3"/>
          </reference>
          <reference field="8" count="1" selected="0">
            <x v="55"/>
          </reference>
          <reference field="9" count="1" selected="0">
            <x v="37"/>
          </reference>
          <reference field="15" count="1" selected="0">
            <x v="43"/>
          </reference>
          <reference field="16" count="1" selected="0">
            <x v="11"/>
          </reference>
        </references>
      </pivotArea>
    </format>
    <format dxfId="493">
      <pivotArea dataOnly="0" labelOnly="1" outline="0" fieldPosition="0">
        <references count="5">
          <reference field="3" count="1">
            <x v="0"/>
          </reference>
          <reference field="8" count="1" selected="0">
            <x v="30"/>
          </reference>
          <reference field="9" count="1" selected="0">
            <x v="38"/>
          </reference>
          <reference field="15" count="1" selected="0">
            <x v="61"/>
          </reference>
          <reference field="16" count="1" selected="0">
            <x v="11"/>
          </reference>
        </references>
      </pivotArea>
    </format>
    <format dxfId="494">
      <pivotArea dataOnly="0" labelOnly="1" outline="0" fieldPosition="0">
        <references count="5">
          <reference field="3" count="1">
            <x v="3"/>
          </reference>
          <reference field="8" count="1" selected="0">
            <x v="55"/>
          </reference>
          <reference field="9" count="1" selected="0">
            <x v="46"/>
          </reference>
          <reference field="15" count="1" selected="0">
            <x v="55"/>
          </reference>
          <reference field="16" count="1" selected="0">
            <x v="11"/>
          </reference>
        </references>
      </pivotArea>
    </format>
    <format dxfId="495">
      <pivotArea dataOnly="0" labelOnly="1" outline="0" fieldPosition="0">
        <references count="5">
          <reference field="3" count="2">
            <x v="3"/>
            <x v="4"/>
          </reference>
          <reference field="8" count="1" selected="0">
            <x v="60"/>
          </reference>
          <reference field="9" count="1" selected="0">
            <x v="50"/>
          </reference>
          <reference field="15" count="1" selected="0">
            <x v="41"/>
          </reference>
          <reference field="16" count="1" selected="0">
            <x v="11"/>
          </reference>
        </references>
      </pivotArea>
    </format>
    <format dxfId="496">
      <pivotArea dataOnly="0" labelOnly="1" outline="0" fieldPosition="0">
        <references count="5">
          <reference field="3" count="1">
            <x v="0"/>
          </reference>
          <reference field="8" count="1" selected="0">
            <x v="3"/>
          </reference>
          <reference field="9" count="1" selected="0">
            <x v="51"/>
          </reference>
          <reference field="15" count="1" selected="0">
            <x v="27"/>
          </reference>
          <reference field="16" count="1" selected="0">
            <x v="11"/>
          </reference>
        </references>
      </pivotArea>
    </format>
    <format dxfId="497">
      <pivotArea dataOnly="0" labelOnly="1" outline="0" fieldPosition="0">
        <references count="5">
          <reference field="3" count="1">
            <x v="1"/>
          </reference>
          <reference field="8" count="1" selected="0">
            <x v="46"/>
          </reference>
          <reference field="9" count="1" selected="0">
            <x v="51"/>
          </reference>
          <reference field="15" count="1" selected="0">
            <x v="27"/>
          </reference>
          <reference field="16" count="1" selected="0">
            <x v="11"/>
          </reference>
        </references>
      </pivotArea>
    </format>
    <format dxfId="498">
      <pivotArea dataOnly="0" labelOnly="1" outline="0" fieldPosition="0">
        <references count="5">
          <reference field="3" count="1">
            <x v="1"/>
          </reference>
          <reference field="8" count="1" selected="0">
            <x v="54"/>
          </reference>
          <reference field="9" count="1" selected="0">
            <x v="52"/>
          </reference>
          <reference field="15" count="1" selected="0">
            <x v="39"/>
          </reference>
          <reference field="16" count="1" selected="0">
            <x v="11"/>
          </reference>
        </references>
      </pivotArea>
    </format>
    <format dxfId="499">
      <pivotArea dataOnly="0" labelOnly="1" outline="0" fieldPosition="0">
        <references count="5">
          <reference field="3" count="1">
            <x v="3"/>
          </reference>
          <reference field="8" count="1" selected="0">
            <x v="43"/>
          </reference>
          <reference field="9" count="1" selected="0">
            <x v="56"/>
          </reference>
          <reference field="15" count="1" selected="0">
            <x v="45"/>
          </reference>
          <reference field="16" count="1" selected="0">
            <x v="11"/>
          </reference>
        </references>
      </pivotArea>
    </format>
    <format dxfId="500">
      <pivotArea dataOnly="0" labelOnly="1" outline="0" fieldPosition="0">
        <references count="5">
          <reference field="3" count="4">
            <x v="0"/>
            <x v="1"/>
            <x v="2"/>
            <x v="3"/>
          </reference>
          <reference field="8" count="1" selected="0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 selected="0">
            <x v="11"/>
          </reference>
        </references>
      </pivotArea>
    </format>
    <format dxfId="501">
      <pivotArea dataOnly="0" labelOnly="1" outline="0" fieldPosition="0">
        <references count="5">
          <reference field="3" count="1">
            <x v="1"/>
          </reference>
          <reference field="8" count="1" selected="0">
            <x v="43"/>
          </reference>
          <reference field="9" count="1" selected="0">
            <x v="60"/>
          </reference>
          <reference field="15" count="1" selected="0">
            <x v="48"/>
          </reference>
          <reference field="16" count="1" selected="0">
            <x v="11"/>
          </reference>
        </references>
      </pivotArea>
    </format>
    <format dxfId="502">
      <pivotArea dataOnly="0" labelOnly="1" outline="0" fieldPosition="0"/>
    </format>
    <format dxfId="503">
      <pivotArea type="all" dataOnly="0" outline="0" fieldPosition="0"/>
    </format>
    <format dxfId="504">
      <pivotArea outline="0" collapsedLevelsAreSubtotals="1" fieldPosition="0"/>
    </format>
    <format dxfId="505">
      <pivotArea field="16" type="button" dataOnly="0" labelOnly="1" outline="0" fieldPosition="0"/>
    </format>
    <format dxfId="506">
      <pivotArea field="9" type="button" dataOnly="0" labelOnly="1" outline="0" fieldPosition="0"/>
    </format>
    <format dxfId="507">
      <pivotArea field="15" type="button" dataOnly="0" labelOnly="1" outline="0" fieldPosition="0"/>
    </format>
    <format dxfId="508">
      <pivotArea field="8" type="button" dataOnly="0" labelOnly="1" outline="0" fieldPosition="0"/>
    </format>
    <format dxfId="509">
      <pivotArea field="3" type="button" dataOnly="0" labelOnly="1" outline="0" fieldPosition="0"/>
    </format>
    <format dxfId="510">
      <pivotArea dataOnly="0" labelOnly="1" outline="0" fieldPosition="0">
        <references count="1">
          <reference field="16" count="0"/>
        </references>
      </pivotArea>
    </format>
    <format dxfId="511">
      <pivotArea dataOnly="0" labelOnly="1" outline="0" fieldPosition="0">
        <references count="1">
          <reference field="16" count="0" sumSubtotal="1"/>
        </references>
      </pivotArea>
    </format>
    <format dxfId="512">
      <pivotArea dataOnly="0" labelOnly="1" grandRow="1" outline="0" fieldPosition="0"/>
    </format>
    <format dxfId="513">
      <pivotArea dataOnly="0" labelOnly="1" outline="0" fieldPosition="0">
        <references count="2">
          <reference field="9" count="2">
            <x v="0"/>
            <x v="32"/>
          </reference>
          <reference field="16" count="1" selected="0">
            <x v="1"/>
          </reference>
        </references>
      </pivotArea>
    </format>
    <format dxfId="514">
      <pivotArea dataOnly="0" labelOnly="1" outline="0" fieldPosition="0">
        <references count="2">
          <reference field="9" count="2" defaultSubtotal="1">
            <x v="0"/>
            <x v="32"/>
          </reference>
          <reference field="16" count="1" selected="0">
            <x v="1"/>
          </reference>
        </references>
      </pivotArea>
    </format>
    <format dxfId="515">
      <pivotArea dataOnly="0" labelOnly="1" outline="0" fieldPosition="0">
        <references count="2">
          <reference field="9" count="3">
            <x v="0"/>
            <x v="14"/>
            <x v="39"/>
          </reference>
          <reference field="16" count="1" selected="0">
            <x v="2"/>
          </reference>
        </references>
      </pivotArea>
    </format>
    <format dxfId="516">
      <pivotArea dataOnly="0" labelOnly="1" outline="0" fieldPosition="0">
        <references count="2">
          <reference field="9" count="3" defaultSubtotal="1">
            <x v="0"/>
            <x v="14"/>
            <x v="39"/>
          </reference>
          <reference field="16" count="1" selected="0">
            <x v="2"/>
          </reference>
        </references>
      </pivotArea>
    </format>
    <format dxfId="517">
      <pivotArea dataOnly="0" labelOnly="1" outline="0" fieldPosition="0">
        <references count="2">
          <reference field="9" count="11">
            <x v="1"/>
            <x v="16"/>
            <x v="18"/>
            <x v="20"/>
            <x v="22"/>
            <x v="23"/>
            <x v="38"/>
            <x v="41"/>
            <x v="46"/>
            <x v="55"/>
            <x v="58"/>
          </reference>
          <reference field="16" count="1" selected="0">
            <x v="3"/>
          </reference>
        </references>
      </pivotArea>
    </format>
    <format dxfId="518">
      <pivotArea dataOnly="0" labelOnly="1" outline="0" fieldPosition="0">
        <references count="2">
          <reference field="9" count="11" defaultSubtotal="1">
            <x v="1"/>
            <x v="16"/>
            <x v="18"/>
            <x v="20"/>
            <x v="22"/>
            <x v="23"/>
            <x v="38"/>
            <x v="41"/>
            <x v="46"/>
            <x v="55"/>
            <x v="58"/>
          </reference>
          <reference field="16" count="1" selected="0">
            <x v="3"/>
          </reference>
        </references>
      </pivotArea>
    </format>
    <format dxfId="519">
      <pivotArea dataOnly="0" labelOnly="1" outline="0" fieldPosition="0">
        <references count="2">
          <reference field="9" count="2">
            <x v="66"/>
            <x v="67"/>
          </reference>
          <reference field="16" count="1" selected="0">
            <x v="3"/>
          </reference>
        </references>
      </pivotArea>
    </format>
    <format dxfId="520">
      <pivotArea dataOnly="0" labelOnly="1" outline="0" fieldPosition="0">
        <references count="2">
          <reference field="9" count="2" defaultSubtotal="1">
            <x v="66"/>
            <x v="67"/>
          </reference>
          <reference field="16" count="1" selected="0">
            <x v="3"/>
          </reference>
        </references>
      </pivotArea>
    </format>
    <format dxfId="521">
      <pivotArea dataOnly="0" labelOnly="1" outline="0" fieldPosition="0">
        <references count="2">
          <reference field="9" count="7">
            <x v="5"/>
            <x v="6"/>
            <x v="25"/>
            <x v="26"/>
            <x v="32"/>
            <x v="39"/>
            <x v="65"/>
          </reference>
          <reference field="16" count="1" selected="0">
            <x v="4"/>
          </reference>
        </references>
      </pivotArea>
    </format>
    <format dxfId="522">
      <pivotArea dataOnly="0" labelOnly="1" outline="0" fieldPosition="0">
        <references count="2">
          <reference field="9" count="7" defaultSubtotal="1">
            <x v="5"/>
            <x v="6"/>
            <x v="25"/>
            <x v="26"/>
            <x v="32"/>
            <x v="39"/>
            <x v="65"/>
          </reference>
          <reference field="16" count="1" selected="0">
            <x v="4"/>
          </reference>
        </references>
      </pivotArea>
    </format>
    <format dxfId="523">
      <pivotArea dataOnly="0" labelOnly="1" outline="0" fieldPosition="0">
        <references count="2">
          <reference field="9" count="7">
            <x v="5"/>
            <x v="26"/>
            <x v="27"/>
            <x v="39"/>
            <x v="47"/>
            <x v="54"/>
            <x v="65"/>
          </reference>
          <reference field="16" count="1" selected="0">
            <x v="5"/>
          </reference>
        </references>
      </pivotArea>
    </format>
    <format dxfId="524">
      <pivotArea dataOnly="0" labelOnly="1" outline="0" fieldPosition="0">
        <references count="2">
          <reference field="9" count="7" defaultSubtotal="1">
            <x v="5"/>
            <x v="26"/>
            <x v="27"/>
            <x v="39"/>
            <x v="47"/>
            <x v="54"/>
            <x v="65"/>
          </reference>
          <reference field="16" count="1" selected="0">
            <x v="5"/>
          </reference>
        </references>
      </pivotArea>
    </format>
    <format dxfId="525">
      <pivotArea dataOnly="0" labelOnly="1" outline="0" fieldPosition="0">
        <references count="2">
          <reference field="9" count="3">
            <x v="0"/>
            <x v="17"/>
            <x v="53"/>
          </reference>
          <reference field="16" count="1" selected="0">
            <x v="6"/>
          </reference>
        </references>
      </pivotArea>
    </format>
    <format dxfId="526">
      <pivotArea dataOnly="0" labelOnly="1" outline="0" fieldPosition="0">
        <references count="2">
          <reference field="9" count="3" defaultSubtotal="1">
            <x v="0"/>
            <x v="17"/>
            <x v="53"/>
          </reference>
          <reference field="16" count="1" selected="0">
            <x v="6"/>
          </reference>
        </references>
      </pivotArea>
    </format>
    <format dxfId="527">
      <pivotArea dataOnly="0" labelOnly="1" outline="0" fieldPosition="0">
        <references count="2">
          <reference field="9" count="2">
            <x v="39"/>
            <x v="65"/>
          </reference>
          <reference field="16" count="1" selected="0">
            <x v="7"/>
          </reference>
        </references>
      </pivotArea>
    </format>
    <format dxfId="528">
      <pivotArea dataOnly="0" labelOnly="1" outline="0" fieldPosition="0">
        <references count="2">
          <reference field="9" count="2" defaultSubtotal="1">
            <x v="39"/>
            <x v="65"/>
          </reference>
          <reference field="16" count="1" selected="0">
            <x v="7"/>
          </reference>
        </references>
      </pivotArea>
    </format>
    <format dxfId="529">
      <pivotArea dataOnly="0" labelOnly="1" outline="0" fieldPosition="0">
        <references count="2">
          <reference field="9" count="8">
            <x v="5"/>
            <x v="13"/>
            <x v="14"/>
            <x v="25"/>
            <x v="26"/>
            <x v="35"/>
            <x v="45"/>
            <x v="54"/>
          </reference>
          <reference field="16" count="1" selected="0">
            <x v="9"/>
          </reference>
        </references>
      </pivotArea>
    </format>
    <format dxfId="530">
      <pivotArea dataOnly="0" labelOnly="1" outline="0" fieldPosition="0">
        <references count="2">
          <reference field="9" count="8" defaultSubtotal="1">
            <x v="5"/>
            <x v="13"/>
            <x v="14"/>
            <x v="25"/>
            <x v="26"/>
            <x v="35"/>
            <x v="45"/>
            <x v="54"/>
          </reference>
          <reference field="16" count="1" selected="0">
            <x v="9"/>
          </reference>
        </references>
      </pivotArea>
    </format>
    <format dxfId="531">
      <pivotArea dataOnly="0" labelOnly="1" outline="0" fieldPosition="0">
        <references count="2">
          <reference field="9" count="7">
            <x v="4"/>
            <x v="18"/>
            <x v="28"/>
            <x v="29"/>
            <x v="30"/>
            <x v="38"/>
            <x v="56"/>
          </reference>
          <reference field="16" count="1" selected="0">
            <x v="10"/>
          </reference>
        </references>
      </pivotArea>
    </format>
    <format dxfId="532">
      <pivotArea dataOnly="0" labelOnly="1" outline="0" fieldPosition="0">
        <references count="2">
          <reference field="9" count="7" defaultSubtotal="1">
            <x v="4"/>
            <x v="18"/>
            <x v="28"/>
            <x v="29"/>
            <x v="30"/>
            <x v="38"/>
            <x v="56"/>
          </reference>
          <reference field="16" count="1" selected="0">
            <x v="10"/>
          </reference>
        </references>
      </pivotArea>
    </format>
    <format dxfId="533">
      <pivotArea dataOnly="0" labelOnly="1" outline="0" fieldPosition="0">
        <references count="2">
          <reference field="9" count="13">
            <x v="5"/>
            <x v="15"/>
            <x v="16"/>
            <x v="18"/>
            <x v="20"/>
            <x v="21"/>
            <x v="23"/>
            <x v="26"/>
            <x v="27"/>
            <x v="31"/>
            <x v="33"/>
            <x v="34"/>
            <x v="35"/>
          </reference>
          <reference field="16" count="1" selected="0">
            <x v="11"/>
          </reference>
        </references>
      </pivotArea>
    </format>
    <format dxfId="534">
      <pivotArea dataOnly="0" labelOnly="1" outline="0" fieldPosition="0">
        <references count="2">
          <reference field="9" count="13" defaultSubtotal="1">
            <x v="5"/>
            <x v="15"/>
            <x v="16"/>
            <x v="18"/>
            <x v="20"/>
            <x v="21"/>
            <x v="23"/>
            <x v="26"/>
            <x v="27"/>
            <x v="31"/>
            <x v="33"/>
            <x v="34"/>
            <x v="35"/>
          </reference>
          <reference field="16" count="1" selected="0">
            <x v="11"/>
          </reference>
        </references>
      </pivotArea>
    </format>
    <format dxfId="535">
      <pivotArea dataOnly="0" labelOnly="1" outline="0" fieldPosition="0">
        <references count="2">
          <reference field="9" count="10">
            <x v="37"/>
            <x v="38"/>
            <x v="46"/>
            <x v="47"/>
            <x v="50"/>
            <x v="51"/>
            <x v="52"/>
            <x v="54"/>
            <x v="57"/>
            <x v="60"/>
          </reference>
          <reference field="16" count="1" selected="0">
            <x v="11"/>
          </reference>
        </references>
      </pivotArea>
    </format>
    <format dxfId="536">
      <pivotArea dataOnly="0" labelOnly="1" outline="0" fieldPosition="0">
        <references count="2">
          <reference field="9" count="10" defaultSubtotal="1">
            <x v="37"/>
            <x v="38"/>
            <x v="46"/>
            <x v="47"/>
            <x v="50"/>
            <x v="51"/>
            <x v="52"/>
            <x v="54"/>
            <x v="57"/>
            <x v="60"/>
          </reference>
          <reference field="16" count="1" selected="0">
            <x v="11"/>
          </reference>
        </references>
      </pivotArea>
    </format>
    <format dxfId="537">
      <pivotArea dataOnly="0" labelOnly="1" outline="0" fieldPosition="0">
        <references count="2">
          <reference field="9" count="21">
            <x v="2"/>
            <x v="3"/>
            <x v="7"/>
            <x v="8"/>
            <x v="9"/>
            <x v="10"/>
            <x v="11"/>
            <x v="12"/>
            <x v="19"/>
            <x v="24"/>
            <x v="36"/>
            <x v="40"/>
            <x v="42"/>
            <x v="43"/>
            <x v="44"/>
            <x v="48"/>
            <x v="49"/>
            <x v="59"/>
            <x v="61"/>
            <x v="62"/>
            <x v="63"/>
          </reference>
          <reference field="16" count="1" selected="0">
            <x v="12"/>
          </reference>
        </references>
      </pivotArea>
    </format>
    <format dxfId="538">
      <pivotArea dataOnly="0" labelOnly="1" outline="0" fieldPosition="0">
        <references count="2">
          <reference field="9" count="21" defaultSubtotal="1">
            <x v="2"/>
            <x v="3"/>
            <x v="7"/>
            <x v="8"/>
            <x v="9"/>
            <x v="10"/>
            <x v="11"/>
            <x v="12"/>
            <x v="19"/>
            <x v="24"/>
            <x v="36"/>
            <x v="40"/>
            <x v="42"/>
            <x v="43"/>
            <x v="44"/>
            <x v="48"/>
            <x v="49"/>
            <x v="59"/>
            <x v="61"/>
            <x v="62"/>
            <x v="63"/>
          </reference>
          <reference field="16" count="1" selected="0">
            <x v="12"/>
          </reference>
        </references>
      </pivotArea>
    </format>
    <format dxfId="539">
      <pivotArea dataOnly="0" labelOnly="1" outline="0" fieldPosition="0">
        <references count="2">
          <reference field="9" count="1">
            <x v="64"/>
          </reference>
          <reference field="16" count="1" selected="0">
            <x v="12"/>
          </reference>
        </references>
      </pivotArea>
    </format>
    <format dxfId="540">
      <pivotArea dataOnly="0" labelOnly="1" outline="0" fieldPosition="0">
        <references count="2">
          <reference field="9" count="1" defaultSubtotal="1">
            <x v="64"/>
          </reference>
          <reference field="16" count="1" selected="0">
            <x v="12"/>
          </reference>
        </references>
      </pivotArea>
    </format>
    <format dxfId="541">
      <pivotArea dataOnly="0" labelOnly="1" outline="0" fieldPosition="0">
        <references count="2">
          <reference field="9" count="1">
            <x v="68"/>
          </reference>
          <reference field="16" count="1" selected="0">
            <x v="13"/>
          </reference>
        </references>
      </pivotArea>
    </format>
    <format dxfId="542">
      <pivotArea dataOnly="0" labelOnly="1" outline="0" fieldPosition="0">
        <references count="2">
          <reference field="9" count="1" defaultSubtotal="1">
            <x v="68"/>
          </reference>
          <reference field="16" count="1" selected="0">
            <x v="13"/>
          </reference>
        </references>
      </pivotArea>
    </format>
    <format dxfId="543">
      <pivotArea dataOnly="0" labelOnly="1" outline="0" fieldPosition="0">
        <references count="3">
          <reference field="9" count="1" selected="0">
            <x v="0"/>
          </reference>
          <reference field="15" count="1">
            <x v="60"/>
          </reference>
          <reference field="16" count="1" selected="0">
            <x v="1"/>
          </reference>
        </references>
      </pivotArea>
    </format>
    <format dxfId="544">
      <pivotArea dataOnly="0" labelOnly="1" outline="0" fieldPosition="0">
        <references count="3">
          <reference field="9" count="1" selected="0">
            <x v="32"/>
          </reference>
          <reference field="15" count="1">
            <x v="5"/>
          </reference>
          <reference field="16" count="1" selected="0">
            <x v="1"/>
          </reference>
        </references>
      </pivotArea>
    </format>
    <format dxfId="545">
      <pivotArea dataOnly="0" labelOnly="1" outline="0" fieldPosition="0">
        <references count="3">
          <reference field="9" count="1" selected="0">
            <x v="0"/>
          </reference>
          <reference field="15" count="1">
            <x v="60"/>
          </reference>
          <reference field="16" count="1" selected="0">
            <x v="2"/>
          </reference>
        </references>
      </pivotArea>
    </format>
    <format dxfId="546">
      <pivotArea dataOnly="0" labelOnly="1" outline="0" fieldPosition="0">
        <references count="3">
          <reference field="9" count="1" selected="0">
            <x v="14"/>
          </reference>
          <reference field="15" count="1">
            <x v="9"/>
          </reference>
          <reference field="16" count="1" selected="0">
            <x v="2"/>
          </reference>
        </references>
      </pivotArea>
    </format>
    <format dxfId="547">
      <pivotArea dataOnly="0" labelOnly="1" outline="0" fieldPosition="0">
        <references count="3">
          <reference field="9" count="1" selected="0">
            <x v="39"/>
          </reference>
          <reference field="15" count="1">
            <x v="30"/>
          </reference>
          <reference field="16" count="1" selected="0">
            <x v="2"/>
          </reference>
        </references>
      </pivotArea>
    </format>
    <format dxfId="548">
      <pivotArea dataOnly="0" labelOnly="1" outline="0" fieldPosition="0">
        <references count="3">
          <reference field="9" count="1" selected="0">
            <x v="1"/>
          </reference>
          <reference field="15" count="1">
            <x v="54"/>
          </reference>
          <reference field="16" count="1" selected="0">
            <x v="3"/>
          </reference>
        </references>
      </pivotArea>
    </format>
    <format dxfId="549">
      <pivotArea dataOnly="0" labelOnly="1" outline="0" fieldPosition="0">
        <references count="3">
          <reference field="9" count="1" selected="0">
            <x v="16"/>
          </reference>
          <reference field="15" count="1">
            <x v="18"/>
          </reference>
          <reference field="16" count="1" selected="0">
            <x v="3"/>
          </reference>
        </references>
      </pivotArea>
    </format>
    <format dxfId="550">
      <pivotArea dataOnly="0" labelOnly="1" outline="0" fieldPosition="0">
        <references count="3">
          <reference field="9" count="1" selected="0">
            <x v="18"/>
          </reference>
          <reference field="15" count="1">
            <x v="62"/>
          </reference>
          <reference field="16" count="1" selected="0">
            <x v="3"/>
          </reference>
        </references>
      </pivotArea>
    </format>
    <format dxfId="551">
      <pivotArea dataOnly="0" labelOnly="1" outline="0" fieldPosition="0">
        <references count="3">
          <reference field="9" count="1" selected="0">
            <x v="20"/>
          </reference>
          <reference field="15" count="1">
            <x v="40"/>
          </reference>
          <reference field="16" count="1" selected="0">
            <x v="3"/>
          </reference>
        </references>
      </pivotArea>
    </format>
    <format dxfId="552">
      <pivotArea dataOnly="0" labelOnly="1" outline="0" fieldPosition="0">
        <references count="3">
          <reference field="9" count="1" selected="0">
            <x v="22"/>
          </reference>
          <reference field="15" count="1">
            <x v="63"/>
          </reference>
          <reference field="16" count="1" selected="0">
            <x v="3"/>
          </reference>
        </references>
      </pivotArea>
    </format>
    <format dxfId="553">
      <pivotArea dataOnly="0" labelOnly="1" outline="0" fieldPosition="0">
        <references count="3">
          <reference field="9" count="1" selected="0">
            <x v="23"/>
          </reference>
          <reference field="15" count="1">
            <x v="50"/>
          </reference>
          <reference field="16" count="1" selected="0">
            <x v="3"/>
          </reference>
        </references>
      </pivotArea>
    </format>
    <format dxfId="554">
      <pivotArea dataOnly="0" labelOnly="1" outline="0" fieldPosition="0">
        <references count="3">
          <reference field="9" count="1" selected="0">
            <x v="38"/>
          </reference>
          <reference field="15" count="1">
            <x v="61"/>
          </reference>
          <reference field="16" count="1" selected="0">
            <x v="3"/>
          </reference>
        </references>
      </pivotArea>
    </format>
    <format dxfId="555">
      <pivotArea dataOnly="0" labelOnly="1" outline="0" fieldPosition="0">
        <references count="3">
          <reference field="9" count="1" selected="0">
            <x v="41"/>
          </reference>
          <reference field="15" count="1">
            <x v="44"/>
          </reference>
          <reference field="16" count="1" selected="0">
            <x v="3"/>
          </reference>
        </references>
      </pivotArea>
    </format>
    <format dxfId="556">
      <pivotArea dataOnly="0" labelOnly="1" outline="0" fieldPosition="0">
        <references count="3">
          <reference field="9" count="1" selected="0">
            <x v="46"/>
          </reference>
          <reference field="15" count="1">
            <x v="55"/>
          </reference>
          <reference field="16" count="1" selected="0">
            <x v="3"/>
          </reference>
        </references>
      </pivotArea>
    </format>
    <format dxfId="557">
      <pivotArea dataOnly="0" labelOnly="1" outline="0" fieldPosition="0">
        <references count="3">
          <reference field="9" count="1" selected="0">
            <x v="55"/>
          </reference>
          <reference field="15" count="1">
            <x v="3"/>
          </reference>
          <reference field="16" count="1" selected="0">
            <x v="3"/>
          </reference>
        </references>
      </pivotArea>
    </format>
    <format dxfId="558">
      <pivotArea dataOnly="0" labelOnly="1" outline="0" fieldPosition="0">
        <references count="3">
          <reference field="9" count="1" selected="0">
            <x v="58"/>
          </reference>
          <reference field="15" count="1">
            <x v="57"/>
          </reference>
          <reference field="16" count="1" selected="0">
            <x v="3"/>
          </reference>
        </references>
      </pivotArea>
    </format>
    <format dxfId="559">
      <pivotArea dataOnly="0" labelOnly="1" outline="0" fieldPosition="0">
        <references count="3">
          <reference field="9" count="1" selected="0">
            <x v="66"/>
          </reference>
          <reference field="15" count="1">
            <x v="68"/>
          </reference>
          <reference field="16" count="1" selected="0">
            <x v="3"/>
          </reference>
        </references>
      </pivotArea>
    </format>
    <format dxfId="560">
      <pivotArea dataOnly="0" labelOnly="1" outline="0" fieldPosition="0">
        <references count="3">
          <reference field="9" count="1" selected="0">
            <x v="67"/>
          </reference>
          <reference field="15" count="1">
            <x v="69"/>
          </reference>
          <reference field="16" count="1" selected="0">
            <x v="3"/>
          </reference>
        </references>
      </pivotArea>
    </format>
    <format dxfId="561">
      <pivotArea dataOnly="0" labelOnly="1" outline="0" fieldPosition="0">
        <references count="3">
          <reference field="9" count="1" selected="0">
            <x v="5"/>
          </reference>
          <reference field="15" count="1">
            <x v="22"/>
          </reference>
          <reference field="16" count="1" selected="0">
            <x v="4"/>
          </reference>
        </references>
      </pivotArea>
    </format>
    <format dxfId="562">
      <pivotArea dataOnly="0" labelOnly="1" outline="0" fieldPosition="0">
        <references count="3">
          <reference field="9" count="1" selected="0">
            <x v="6"/>
          </reference>
          <reference field="15" count="1">
            <x v="6"/>
          </reference>
          <reference field="16" count="1" selected="0">
            <x v="4"/>
          </reference>
        </references>
      </pivotArea>
    </format>
    <format dxfId="563">
      <pivotArea dataOnly="0" labelOnly="1" outline="0" fieldPosition="0">
        <references count="3">
          <reference field="9" count="1" selected="0">
            <x v="25"/>
          </reference>
          <reference field="15" count="1">
            <x v="4"/>
          </reference>
          <reference field="16" count="1" selected="0">
            <x v="4"/>
          </reference>
        </references>
      </pivotArea>
    </format>
    <format dxfId="564">
      <pivotArea dataOnly="0" labelOnly="1" outline="0" fieldPosition="0">
        <references count="3">
          <reference field="9" count="1" selected="0">
            <x v="26"/>
          </reference>
          <reference field="15" count="1">
            <x v="29"/>
          </reference>
          <reference field="16" count="1" selected="0">
            <x v="4"/>
          </reference>
        </references>
      </pivotArea>
    </format>
    <format dxfId="565">
      <pivotArea dataOnly="0" labelOnly="1" outline="0" fieldPosition="0">
        <references count="3">
          <reference field="9" count="1" selected="0">
            <x v="32"/>
          </reference>
          <reference field="15" count="1">
            <x v="5"/>
          </reference>
          <reference field="16" count="1" selected="0">
            <x v="4"/>
          </reference>
        </references>
      </pivotArea>
    </format>
    <format dxfId="566">
      <pivotArea dataOnly="0" labelOnly="1" outline="0" fieldPosition="0">
        <references count="3">
          <reference field="9" count="1" selected="0">
            <x v="39"/>
          </reference>
          <reference field="15" count="1">
            <x v="30"/>
          </reference>
          <reference field="16" count="1" selected="0">
            <x v="4"/>
          </reference>
        </references>
      </pivotArea>
    </format>
    <format dxfId="567">
      <pivotArea dataOnly="0" labelOnly="1" outline="0" fieldPosition="0">
        <references count="3">
          <reference field="9" count="1" selected="0">
            <x v="65"/>
          </reference>
          <reference field="15" count="1">
            <x v="67"/>
          </reference>
          <reference field="16" count="1" selected="0">
            <x v="4"/>
          </reference>
        </references>
      </pivotArea>
    </format>
    <format dxfId="568">
      <pivotArea dataOnly="0" labelOnly="1" outline="0" fieldPosition="0">
        <references count="3">
          <reference field="9" count="1" selected="0">
            <x v="5"/>
          </reference>
          <reference field="15" count="1">
            <x v="22"/>
          </reference>
          <reference field="16" count="1" selected="0">
            <x v="5"/>
          </reference>
        </references>
      </pivotArea>
    </format>
    <format dxfId="569">
      <pivotArea dataOnly="0" labelOnly="1" outline="0" fieldPosition="0">
        <references count="3">
          <reference field="9" count="1" selected="0">
            <x v="26"/>
          </reference>
          <reference field="15" count="1">
            <x v="29"/>
          </reference>
          <reference field="16" count="1" selected="0">
            <x v="5"/>
          </reference>
        </references>
      </pivotArea>
    </format>
    <format dxfId="570">
      <pivotArea dataOnly="0" labelOnly="1" outline="0" fieldPosition="0">
        <references count="3">
          <reference field="9" count="1" selected="0">
            <x v="27"/>
          </reference>
          <reference field="15" count="1">
            <x v="12"/>
          </reference>
          <reference field="16" count="1" selected="0">
            <x v="5"/>
          </reference>
        </references>
      </pivotArea>
    </format>
    <format dxfId="571">
      <pivotArea dataOnly="0" labelOnly="1" outline="0" fieldPosition="0">
        <references count="3">
          <reference field="9" count="1" selected="0">
            <x v="39"/>
          </reference>
          <reference field="15" count="1">
            <x v="30"/>
          </reference>
          <reference field="16" count="1" selected="0">
            <x v="5"/>
          </reference>
        </references>
      </pivotArea>
    </format>
    <format dxfId="572">
      <pivotArea dataOnly="0" labelOnly="1" outline="0" fieldPosition="0">
        <references count="3">
          <reference field="9" count="1" selected="0">
            <x v="47"/>
          </reference>
          <reference field="15" count="1">
            <x v="2"/>
          </reference>
          <reference field="16" count="1" selected="0">
            <x v="5"/>
          </reference>
        </references>
      </pivotArea>
    </format>
    <format dxfId="573">
      <pivotArea dataOnly="0" labelOnly="1" outline="0" fieldPosition="0">
        <references count="3">
          <reference field="9" count="1" selected="0">
            <x v="54"/>
          </reference>
          <reference field="15" count="1">
            <x v="34"/>
          </reference>
          <reference field="16" count="1" selected="0">
            <x v="5"/>
          </reference>
        </references>
      </pivotArea>
    </format>
    <format dxfId="574">
      <pivotArea dataOnly="0" labelOnly="1" outline="0" fieldPosition="0">
        <references count="3">
          <reference field="9" count="1" selected="0">
            <x v="65"/>
          </reference>
          <reference field="15" count="1">
            <x v="67"/>
          </reference>
          <reference field="16" count="1" selected="0">
            <x v="5"/>
          </reference>
        </references>
      </pivotArea>
    </format>
    <format dxfId="575">
      <pivotArea dataOnly="0" labelOnly="1" outline="0" fieldPosition="0">
        <references count="3">
          <reference field="9" count="1" selected="0">
            <x v="0"/>
          </reference>
          <reference field="15" count="1">
            <x v="60"/>
          </reference>
          <reference field="16" count="1" selected="0">
            <x v="6"/>
          </reference>
        </references>
      </pivotArea>
    </format>
    <format dxfId="576">
      <pivotArea dataOnly="0" labelOnly="1" outline="0" fieldPosition="0">
        <references count="3">
          <reference field="9" count="1" selected="0">
            <x v="17"/>
          </reference>
          <reference field="15" count="1">
            <x v="56"/>
          </reference>
          <reference field="16" count="1" selected="0">
            <x v="6"/>
          </reference>
        </references>
      </pivotArea>
    </format>
    <format dxfId="577">
      <pivotArea dataOnly="0" labelOnly="1" outline="0" fieldPosition="0">
        <references count="3">
          <reference field="9" count="1" selected="0">
            <x v="53"/>
          </reference>
          <reference field="15" count="1">
            <x v="31"/>
          </reference>
          <reference field="16" count="1" selected="0">
            <x v="6"/>
          </reference>
        </references>
      </pivotArea>
    </format>
    <format dxfId="578">
      <pivotArea dataOnly="0" labelOnly="1" outline="0" fieldPosition="0">
        <references count="3">
          <reference field="9" count="1" selected="0">
            <x v="39"/>
          </reference>
          <reference field="15" count="1">
            <x v="30"/>
          </reference>
          <reference field="16" count="1" selected="0">
            <x v="7"/>
          </reference>
        </references>
      </pivotArea>
    </format>
    <format dxfId="579">
      <pivotArea dataOnly="0" labelOnly="1" outline="0" fieldPosition="0">
        <references count="3">
          <reference field="9" count="1" selected="0">
            <x v="65"/>
          </reference>
          <reference field="15" count="1">
            <x v="67"/>
          </reference>
          <reference field="16" count="1" selected="0">
            <x v="7"/>
          </reference>
        </references>
      </pivotArea>
    </format>
    <format dxfId="580">
      <pivotArea dataOnly="0" labelOnly="1" outline="0" fieldPosition="0">
        <references count="3">
          <reference field="9" count="1" selected="0">
            <x v="5"/>
          </reference>
          <reference field="15" count="1">
            <x v="22"/>
          </reference>
          <reference field="16" count="1" selected="0">
            <x v="9"/>
          </reference>
        </references>
      </pivotArea>
    </format>
    <format dxfId="581">
      <pivotArea dataOnly="0" labelOnly="1" outline="0" fieldPosition="0">
        <references count="3">
          <reference field="9" count="1" selected="0">
            <x v="13"/>
          </reference>
          <reference field="15" count="1">
            <x v="7"/>
          </reference>
          <reference field="16" count="1" selected="0">
            <x v="9"/>
          </reference>
        </references>
      </pivotArea>
    </format>
    <format dxfId="582">
      <pivotArea dataOnly="0" labelOnly="1" outline="0" fieldPosition="0">
        <references count="3">
          <reference field="9" count="1" selected="0">
            <x v="14"/>
          </reference>
          <reference field="15" count="1">
            <x v="9"/>
          </reference>
          <reference field="16" count="1" selected="0">
            <x v="9"/>
          </reference>
        </references>
      </pivotArea>
    </format>
    <format dxfId="583">
      <pivotArea dataOnly="0" labelOnly="1" outline="0" fieldPosition="0">
        <references count="3">
          <reference field="9" count="1" selected="0">
            <x v="25"/>
          </reference>
          <reference field="15" count="1">
            <x v="4"/>
          </reference>
          <reference field="16" count="1" selected="0">
            <x v="9"/>
          </reference>
        </references>
      </pivotArea>
    </format>
    <format dxfId="584">
      <pivotArea dataOnly="0" labelOnly="1" outline="0" fieldPosition="0">
        <references count="3">
          <reference field="9" count="1" selected="0">
            <x v="26"/>
          </reference>
          <reference field="15" count="1">
            <x v="29"/>
          </reference>
          <reference field="16" count="1" selected="0">
            <x v="9"/>
          </reference>
        </references>
      </pivotArea>
    </format>
    <format dxfId="585">
      <pivotArea dataOnly="0" labelOnly="1" outline="0" fieldPosition="0">
        <references count="3">
          <reference field="9" count="1" selected="0">
            <x v="35"/>
          </reference>
          <reference field="15" count="1">
            <x v="8"/>
          </reference>
          <reference field="16" count="1" selected="0">
            <x v="9"/>
          </reference>
        </references>
      </pivotArea>
    </format>
    <format dxfId="586">
      <pivotArea dataOnly="0" labelOnly="1" outline="0" fieldPosition="0">
        <references count="3">
          <reference field="9" count="1" selected="0">
            <x v="45"/>
          </reference>
          <reference field="15" count="1">
            <x v="19"/>
          </reference>
          <reference field="16" count="1" selected="0">
            <x v="9"/>
          </reference>
        </references>
      </pivotArea>
    </format>
    <format dxfId="587">
      <pivotArea dataOnly="0" labelOnly="1" outline="0" fieldPosition="0">
        <references count="3">
          <reference field="9" count="1" selected="0">
            <x v="54"/>
          </reference>
          <reference field="15" count="1">
            <x v="34"/>
          </reference>
          <reference field="16" count="1" selected="0">
            <x v="9"/>
          </reference>
        </references>
      </pivotArea>
    </format>
    <format dxfId="588">
      <pivotArea dataOnly="0" labelOnly="1" outline="0" fieldPosition="0">
        <references count="3">
          <reference field="9" count="1" selected="0">
            <x v="4"/>
          </reference>
          <reference field="15" count="1">
            <x v="58"/>
          </reference>
          <reference field="16" count="1" selected="0">
            <x v="10"/>
          </reference>
        </references>
      </pivotArea>
    </format>
    <format dxfId="589">
      <pivotArea dataOnly="0" labelOnly="1" outline="0" fieldPosition="0">
        <references count="3">
          <reference field="9" count="1" selected="0">
            <x v="18"/>
          </reference>
          <reference field="15" count="1">
            <x v="62"/>
          </reference>
          <reference field="16" count="1" selected="0">
            <x v="10"/>
          </reference>
        </references>
      </pivotArea>
    </format>
    <format dxfId="590">
      <pivotArea dataOnly="0" labelOnly="1" outline="0" fieldPosition="0">
        <references count="3">
          <reference field="9" count="1" selected="0">
            <x v="28"/>
          </reference>
          <reference field="15" count="1">
            <x v="59"/>
          </reference>
          <reference field="16" count="1" selected="0">
            <x v="10"/>
          </reference>
        </references>
      </pivotArea>
    </format>
    <format dxfId="591">
      <pivotArea dataOnly="0" labelOnly="1" outline="0" fieldPosition="0">
        <references count="3">
          <reference field="9" count="1" selected="0">
            <x v="29"/>
          </reference>
          <reference field="15" count="1">
            <x v="52"/>
          </reference>
          <reference field="16" count="1" selected="0">
            <x v="10"/>
          </reference>
        </references>
      </pivotArea>
    </format>
    <format dxfId="592">
      <pivotArea dataOnly="0" labelOnly="1" outline="0" fieldPosition="0">
        <references count="3">
          <reference field="9" count="1" selected="0">
            <x v="30"/>
          </reference>
          <reference field="15" count="1">
            <x v="53"/>
          </reference>
          <reference field="16" count="1" selected="0">
            <x v="10"/>
          </reference>
        </references>
      </pivotArea>
    </format>
    <format dxfId="593">
      <pivotArea dataOnly="0" labelOnly="1" outline="0" fieldPosition="0">
        <references count="3">
          <reference field="9" count="1" selected="0">
            <x v="38"/>
          </reference>
          <reference field="15" count="1">
            <x v="61"/>
          </reference>
          <reference field="16" count="1" selected="0">
            <x v="10"/>
          </reference>
        </references>
      </pivotArea>
    </format>
    <format dxfId="594">
      <pivotArea dataOnly="0" labelOnly="1" outline="0" fieldPosition="0">
        <references count="3">
          <reference field="9" count="1" selected="0">
            <x v="56"/>
          </reference>
          <reference field="15" count="1">
            <x v="45"/>
          </reference>
          <reference field="16" count="1" selected="0">
            <x v="10"/>
          </reference>
        </references>
      </pivotArea>
    </format>
    <format dxfId="595">
      <pivotArea dataOnly="0" labelOnly="1" outline="0" fieldPosition="0">
        <references count="3">
          <reference field="9" count="1" selected="0">
            <x v="5"/>
          </reference>
          <reference field="15" count="1">
            <x v="22"/>
          </reference>
          <reference field="16" count="1" selected="0">
            <x v="11"/>
          </reference>
        </references>
      </pivotArea>
    </format>
    <format dxfId="596">
      <pivotArea dataOnly="0" labelOnly="1" outline="0" fieldPosition="0">
        <references count="3">
          <reference field="9" count="1" selected="0">
            <x v="15"/>
          </reference>
          <reference field="15" count="1">
            <x v="64"/>
          </reference>
          <reference field="16" count="1" selected="0">
            <x v="11"/>
          </reference>
        </references>
      </pivotArea>
    </format>
    <format dxfId="597">
      <pivotArea dataOnly="0" labelOnly="1" outline="0" fieldPosition="0">
        <references count="3">
          <reference field="9" count="1" selected="0">
            <x v="16"/>
          </reference>
          <reference field="15" count="1">
            <x v="18"/>
          </reference>
          <reference field="16" count="1" selected="0">
            <x v="11"/>
          </reference>
        </references>
      </pivotArea>
    </format>
    <format dxfId="598">
      <pivotArea dataOnly="0" labelOnly="1" outline="0" fieldPosition="0">
        <references count="3">
          <reference field="9" count="1" selected="0">
            <x v="18"/>
          </reference>
          <reference field="15" count="1">
            <x v="62"/>
          </reference>
          <reference field="16" count="1" selected="0">
            <x v="11"/>
          </reference>
        </references>
      </pivotArea>
    </format>
    <format dxfId="599">
      <pivotArea dataOnly="0" labelOnly="1" outline="0" fieldPosition="0">
        <references count="3">
          <reference field="9" count="1" selected="0">
            <x v="20"/>
          </reference>
          <reference field="15" count="1">
            <x v="40"/>
          </reference>
          <reference field="16" count="1" selected="0">
            <x v="11"/>
          </reference>
        </references>
      </pivotArea>
    </format>
    <format dxfId="600">
      <pivotArea dataOnly="0" labelOnly="1" outline="0" fieldPosition="0">
        <references count="3">
          <reference field="9" count="1" selected="0">
            <x v="21"/>
          </reference>
          <reference field="15" count="1">
            <x v="1"/>
          </reference>
          <reference field="16" count="1" selected="0">
            <x v="11"/>
          </reference>
        </references>
      </pivotArea>
    </format>
    <format dxfId="601">
      <pivotArea dataOnly="0" labelOnly="1" outline="0" fieldPosition="0">
        <references count="3">
          <reference field="9" count="1" selected="0">
            <x v="23"/>
          </reference>
          <reference field="15" count="1">
            <x v="50"/>
          </reference>
          <reference field="16" count="1" selected="0">
            <x v="11"/>
          </reference>
        </references>
      </pivotArea>
    </format>
    <format dxfId="602">
      <pivotArea dataOnly="0" labelOnly="1" outline="0" fieldPosition="0">
        <references count="3">
          <reference field="9" count="1" selected="0">
            <x v="26"/>
          </reference>
          <reference field="15" count="1">
            <x v="29"/>
          </reference>
          <reference field="16" count="1" selected="0">
            <x v="11"/>
          </reference>
        </references>
      </pivotArea>
    </format>
    <format dxfId="603">
      <pivotArea dataOnly="0" labelOnly="1" outline="0" fieldPosition="0">
        <references count="3">
          <reference field="9" count="1" selected="0">
            <x v="27"/>
          </reference>
          <reference field="15" count="1">
            <x v="12"/>
          </reference>
          <reference field="16" count="1" selected="0">
            <x v="11"/>
          </reference>
        </references>
      </pivotArea>
    </format>
    <format dxfId="604">
      <pivotArea dataOnly="0" labelOnly="1" outline="0" fieldPosition="0">
        <references count="3">
          <reference field="9" count="1" selected="0">
            <x v="31"/>
          </reference>
          <reference field="15" count="1">
            <x v="47"/>
          </reference>
          <reference field="16" count="1" selected="0">
            <x v="11"/>
          </reference>
        </references>
      </pivotArea>
    </format>
    <format dxfId="605">
      <pivotArea dataOnly="0" labelOnly="1" outline="0" fieldPosition="0">
        <references count="3">
          <reference field="9" count="1" selected="0">
            <x v="33"/>
          </reference>
          <reference field="15" count="1">
            <x v="51"/>
          </reference>
          <reference field="16" count="1" selected="0">
            <x v="11"/>
          </reference>
        </references>
      </pivotArea>
    </format>
    <format dxfId="606">
      <pivotArea dataOnly="0" labelOnly="1" outline="0" fieldPosition="0">
        <references count="3">
          <reference field="9" count="1" selected="0">
            <x v="34"/>
          </reference>
          <reference field="15" count="1">
            <x v="35"/>
          </reference>
          <reference field="16" count="1" selected="0">
            <x v="11"/>
          </reference>
        </references>
      </pivotArea>
    </format>
    <format dxfId="607">
      <pivotArea dataOnly="0" labelOnly="1" outline="0" fieldPosition="0">
        <references count="3">
          <reference field="9" count="1" selected="0">
            <x v="35"/>
          </reference>
          <reference field="15" count="1">
            <x v="8"/>
          </reference>
          <reference field="16" count="1" selected="0">
            <x v="11"/>
          </reference>
        </references>
      </pivotArea>
    </format>
    <format dxfId="608">
      <pivotArea dataOnly="0" labelOnly="1" outline="0" fieldPosition="0">
        <references count="3">
          <reference field="9" count="1" selected="0">
            <x v="37"/>
          </reference>
          <reference field="15" count="1">
            <x v="43"/>
          </reference>
          <reference field="16" count="1" selected="0">
            <x v="11"/>
          </reference>
        </references>
      </pivotArea>
    </format>
    <format dxfId="609">
      <pivotArea dataOnly="0" labelOnly="1" outline="0" fieldPosition="0">
        <references count="3">
          <reference field="9" count="1" selected="0">
            <x v="38"/>
          </reference>
          <reference field="15" count="1">
            <x v="61"/>
          </reference>
          <reference field="16" count="1" selected="0">
            <x v="11"/>
          </reference>
        </references>
      </pivotArea>
    </format>
    <format dxfId="610">
      <pivotArea dataOnly="0" labelOnly="1" outline="0" fieldPosition="0">
        <references count="3">
          <reference field="9" count="1" selected="0">
            <x v="46"/>
          </reference>
          <reference field="15" count="1">
            <x v="55"/>
          </reference>
          <reference field="16" count="1" selected="0">
            <x v="11"/>
          </reference>
        </references>
      </pivotArea>
    </format>
    <format dxfId="611">
      <pivotArea dataOnly="0" labelOnly="1" outline="0" fieldPosition="0">
        <references count="3">
          <reference field="9" count="1" selected="0">
            <x v="47"/>
          </reference>
          <reference field="15" count="1">
            <x v="2"/>
          </reference>
          <reference field="16" count="1" selected="0">
            <x v="11"/>
          </reference>
        </references>
      </pivotArea>
    </format>
    <format dxfId="612">
      <pivotArea dataOnly="0" labelOnly="1" outline="0" fieldPosition="0">
        <references count="3">
          <reference field="9" count="1" selected="0">
            <x v="50"/>
          </reference>
          <reference field="15" count="1">
            <x v="41"/>
          </reference>
          <reference field="16" count="1" selected="0">
            <x v="11"/>
          </reference>
        </references>
      </pivotArea>
    </format>
    <format dxfId="613">
      <pivotArea dataOnly="0" labelOnly="1" outline="0" fieldPosition="0">
        <references count="3">
          <reference field="9" count="1" selected="0">
            <x v="51"/>
          </reference>
          <reference field="15" count="1">
            <x v="27"/>
          </reference>
          <reference field="16" count="1" selected="0">
            <x v="11"/>
          </reference>
        </references>
      </pivotArea>
    </format>
    <format dxfId="614">
      <pivotArea dataOnly="0" labelOnly="1" outline="0" fieldPosition="0">
        <references count="3">
          <reference field="9" count="1" selected="0">
            <x v="52"/>
          </reference>
          <reference field="15" count="1">
            <x v="39"/>
          </reference>
          <reference field="16" count="1" selected="0">
            <x v="11"/>
          </reference>
        </references>
      </pivotArea>
    </format>
    <format dxfId="615">
      <pivotArea dataOnly="0" labelOnly="1" outline="0" fieldPosition="0">
        <references count="3">
          <reference field="9" count="1" selected="0">
            <x v="54"/>
          </reference>
          <reference field="15" count="1">
            <x v="34"/>
          </reference>
          <reference field="16" count="1" selected="0">
            <x v="11"/>
          </reference>
        </references>
      </pivotArea>
    </format>
    <format dxfId="616">
      <pivotArea dataOnly="0" labelOnly="1" outline="0" fieldPosition="0">
        <references count="3">
          <reference field="9" count="1" selected="0">
            <x v="57"/>
          </reference>
          <reference field="15" count="1">
            <x v="42"/>
          </reference>
          <reference field="16" count="1" selected="0">
            <x v="11"/>
          </reference>
        </references>
      </pivotArea>
    </format>
    <format dxfId="617">
      <pivotArea dataOnly="0" labelOnly="1" outline="0" fieldPosition="0">
        <references count="3">
          <reference field="9" count="1" selected="0">
            <x v="60"/>
          </reference>
          <reference field="15" count="1">
            <x v="48"/>
          </reference>
          <reference field="16" count="1" selected="0">
            <x v="11"/>
          </reference>
        </references>
      </pivotArea>
    </format>
    <format dxfId="618">
      <pivotArea dataOnly="0" labelOnly="1" outline="0" fieldPosition="0">
        <references count="3">
          <reference field="9" count="1" selected="0">
            <x v="2"/>
          </reference>
          <reference field="15" count="1">
            <x v="33"/>
          </reference>
          <reference field="16" count="1" selected="0">
            <x v="12"/>
          </reference>
        </references>
      </pivotArea>
    </format>
    <format dxfId="619">
      <pivotArea dataOnly="0" labelOnly="1" outline="0" fieldPosition="0">
        <references count="3">
          <reference field="9" count="1" selected="0">
            <x v="3"/>
          </reference>
          <reference field="15" count="1">
            <x v="46"/>
          </reference>
          <reference field="16" count="1" selected="0">
            <x v="12"/>
          </reference>
        </references>
      </pivotArea>
    </format>
    <format dxfId="620">
      <pivotArea dataOnly="0" labelOnly="1" outline="0" fieldPosition="0">
        <references count="3">
          <reference field="9" count="1" selected="0">
            <x v="7"/>
          </reference>
          <reference field="15" count="1">
            <x v="26"/>
          </reference>
          <reference field="16" count="1" selected="0">
            <x v="12"/>
          </reference>
        </references>
      </pivotArea>
    </format>
    <format dxfId="621">
      <pivotArea dataOnly="0" labelOnly="1" outline="0" fieldPosition="0">
        <references count="3">
          <reference field="9" count="1" selected="0">
            <x v="8"/>
          </reference>
          <reference field="15" count="1">
            <x v="16"/>
          </reference>
          <reference field="16" count="1" selected="0">
            <x v="12"/>
          </reference>
        </references>
      </pivotArea>
    </format>
    <format dxfId="622">
      <pivotArea dataOnly="0" labelOnly="1" outline="0" fieldPosition="0">
        <references count="3">
          <reference field="9" count="1" selected="0">
            <x v="9"/>
          </reference>
          <reference field="15" count="1">
            <x v="15"/>
          </reference>
          <reference field="16" count="1" selected="0">
            <x v="12"/>
          </reference>
        </references>
      </pivotArea>
    </format>
    <format dxfId="623">
      <pivotArea dataOnly="0" labelOnly="1" outline="0" fieldPosition="0">
        <references count="3">
          <reference field="9" count="1" selected="0">
            <x v="10"/>
          </reference>
          <reference field="15" count="1">
            <x v="10"/>
          </reference>
          <reference field="16" count="1" selected="0">
            <x v="12"/>
          </reference>
        </references>
      </pivotArea>
    </format>
    <format dxfId="624">
      <pivotArea dataOnly="0" labelOnly="1" outline="0" fieldPosition="0">
        <references count="3">
          <reference field="9" count="1" selected="0">
            <x v="11"/>
          </reference>
          <reference field="15" count="1">
            <x v="23"/>
          </reference>
          <reference field="16" count="1" selected="0">
            <x v="12"/>
          </reference>
        </references>
      </pivotArea>
    </format>
    <format dxfId="625">
      <pivotArea dataOnly="0" labelOnly="1" outline="0" fieldPosition="0">
        <references count="3">
          <reference field="9" count="1" selected="0">
            <x v="12"/>
          </reference>
          <reference field="15" count="1">
            <x v="24"/>
          </reference>
          <reference field="16" count="1" selected="0">
            <x v="12"/>
          </reference>
        </references>
      </pivotArea>
    </format>
    <format dxfId="626">
      <pivotArea dataOnly="0" labelOnly="1" outline="0" fieldPosition="0">
        <references count="3">
          <reference field="9" count="1" selected="0">
            <x v="19"/>
          </reference>
          <reference field="15" count="1">
            <x v="13"/>
          </reference>
          <reference field="16" count="1" selected="0">
            <x v="12"/>
          </reference>
        </references>
      </pivotArea>
    </format>
    <format dxfId="627">
      <pivotArea dataOnly="0" labelOnly="1" outline="0" fieldPosition="0">
        <references count="3">
          <reference field="9" count="1" selected="0">
            <x v="24"/>
          </reference>
          <reference field="15" count="1">
            <x v="37"/>
          </reference>
          <reference field="16" count="1" selected="0">
            <x v="12"/>
          </reference>
        </references>
      </pivotArea>
    </format>
    <format dxfId="628">
      <pivotArea dataOnly="0" labelOnly="1" outline="0" fieldPosition="0">
        <references count="3">
          <reference field="9" count="1" selected="0">
            <x v="36"/>
          </reference>
          <reference field="15" count="1">
            <x v="11"/>
          </reference>
          <reference field="16" count="1" selected="0">
            <x v="12"/>
          </reference>
        </references>
      </pivotArea>
    </format>
    <format dxfId="629">
      <pivotArea dataOnly="0" labelOnly="1" outline="0" fieldPosition="0">
        <references count="3">
          <reference field="9" count="1" selected="0">
            <x v="40"/>
          </reference>
          <reference field="15" count="1">
            <x v="28"/>
          </reference>
          <reference field="16" count="1" selected="0">
            <x v="12"/>
          </reference>
        </references>
      </pivotArea>
    </format>
    <format dxfId="630">
      <pivotArea dataOnly="0" labelOnly="1" outline="0" fieldPosition="0">
        <references count="3">
          <reference field="9" count="1" selected="0">
            <x v="42"/>
          </reference>
          <reference field="15" count="1">
            <x v="21"/>
          </reference>
          <reference field="16" count="1" selected="0">
            <x v="12"/>
          </reference>
        </references>
      </pivotArea>
    </format>
    <format dxfId="631">
      <pivotArea dataOnly="0" labelOnly="1" outline="0" fieldPosition="0">
        <references count="3">
          <reference field="9" count="1" selected="0">
            <x v="43"/>
          </reference>
          <reference field="15" count="1">
            <x v="14"/>
          </reference>
          <reference field="16" count="1" selected="0">
            <x v="12"/>
          </reference>
        </references>
      </pivotArea>
    </format>
    <format dxfId="632">
      <pivotArea dataOnly="0" labelOnly="1" outline="0" fieldPosition="0">
        <references count="3">
          <reference field="9" count="1" selected="0">
            <x v="44"/>
          </reference>
          <reference field="15" count="1">
            <x v="38"/>
          </reference>
          <reference field="16" count="1" selected="0">
            <x v="12"/>
          </reference>
        </references>
      </pivotArea>
    </format>
    <format dxfId="633">
      <pivotArea dataOnly="0" labelOnly="1" outline="0" fieldPosition="0">
        <references count="3">
          <reference field="9" count="1" selected="0">
            <x v="48"/>
          </reference>
          <reference field="15" count="1">
            <x v="17"/>
          </reference>
          <reference field="16" count="1" selected="0">
            <x v="12"/>
          </reference>
        </references>
      </pivotArea>
    </format>
    <format dxfId="634">
      <pivotArea dataOnly="0" labelOnly="1" outline="0" fieldPosition="0">
        <references count="3">
          <reference field="9" count="1" selected="0">
            <x v="49"/>
          </reference>
          <reference field="15" count="1">
            <x v="49"/>
          </reference>
          <reference field="16" count="1" selected="0">
            <x v="12"/>
          </reference>
        </references>
      </pivotArea>
    </format>
    <format dxfId="635">
      <pivotArea dataOnly="0" labelOnly="1" outline="0" fieldPosition="0">
        <references count="3">
          <reference field="9" count="1" selected="0">
            <x v="59"/>
          </reference>
          <reference field="15" count="1">
            <x v="20"/>
          </reference>
          <reference field="16" count="1" selected="0">
            <x v="12"/>
          </reference>
        </references>
      </pivotArea>
    </format>
    <format dxfId="636">
      <pivotArea dataOnly="0" labelOnly="1" outline="0" fieldPosition="0">
        <references count="3">
          <reference field="9" count="1" selected="0">
            <x v="61"/>
          </reference>
          <reference field="15" count="1">
            <x v="32"/>
          </reference>
          <reference field="16" count="1" selected="0">
            <x v="12"/>
          </reference>
        </references>
      </pivotArea>
    </format>
    <format dxfId="637">
      <pivotArea dataOnly="0" labelOnly="1" outline="0" fieldPosition="0">
        <references count="3">
          <reference field="9" count="1" selected="0">
            <x v="62"/>
          </reference>
          <reference field="15" count="1">
            <x v="36"/>
          </reference>
          <reference field="16" count="1" selected="0">
            <x v="12"/>
          </reference>
        </references>
      </pivotArea>
    </format>
    <format dxfId="638">
      <pivotArea dataOnly="0" labelOnly="1" outline="0" fieldPosition="0">
        <references count="3">
          <reference field="9" count="1" selected="0">
            <x v="63"/>
          </reference>
          <reference field="15" count="1">
            <x v="65"/>
          </reference>
          <reference field="16" count="1" selected="0">
            <x v="12"/>
          </reference>
        </references>
      </pivotArea>
    </format>
    <format dxfId="639">
      <pivotArea dataOnly="0" labelOnly="1" outline="0" fieldPosition="0">
        <references count="3">
          <reference field="9" count="1" selected="0">
            <x v="64"/>
          </reference>
          <reference field="15" count="1">
            <x v="66"/>
          </reference>
          <reference field="16" count="1" selected="0">
            <x v="12"/>
          </reference>
        </references>
      </pivotArea>
    </format>
    <format dxfId="640">
      <pivotArea dataOnly="0" labelOnly="1" outline="0" fieldPosition="0">
        <references count="3">
          <reference field="9" count="1" selected="0">
            <x v="68"/>
          </reference>
          <reference field="15" count="1">
            <x v="70"/>
          </reference>
          <reference field="16" count="1" selected="0">
            <x v="13"/>
          </reference>
        </references>
      </pivotArea>
    </format>
    <format dxfId="641">
      <pivotArea dataOnly="0" labelOnly="1" outline="0" fieldPosition="0">
        <references count="4">
          <reference field="8" count="1">
            <x v="36"/>
          </reference>
          <reference field="9" count="1" selected="0">
            <x v="0"/>
          </reference>
          <reference field="15" count="1" selected="0">
            <x v="60"/>
          </reference>
          <reference field="16" count="1" selected="0">
            <x v="1"/>
          </reference>
        </references>
      </pivotArea>
    </format>
    <format dxfId="642">
      <pivotArea dataOnly="0" labelOnly="1" outline="0" fieldPosition="0">
        <references count="4">
          <reference field="8" count="1">
            <x v="37"/>
          </reference>
          <reference field="9" count="1" selected="0">
            <x v="32"/>
          </reference>
          <reference field="15" count="1" selected="0">
            <x v="5"/>
          </reference>
          <reference field="16" count="1" selected="0">
            <x v="1"/>
          </reference>
        </references>
      </pivotArea>
    </format>
    <format dxfId="643">
      <pivotArea dataOnly="0" labelOnly="1" outline="0" fieldPosition="0">
        <references count="4">
          <reference field="8" count="1">
            <x v="40"/>
          </reference>
          <reference field="9" count="1" selected="0">
            <x v="0"/>
          </reference>
          <reference field="15" count="1" selected="0">
            <x v="60"/>
          </reference>
          <reference field="16" count="1" selected="0">
            <x v="2"/>
          </reference>
        </references>
      </pivotArea>
    </format>
    <format dxfId="644">
      <pivotArea dataOnly="0" labelOnly="1" outline="0" fieldPosition="0">
        <references count="4">
          <reference field="8" count="1">
            <x v="44"/>
          </reference>
          <reference field="9" count="1" selected="0">
            <x v="14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645">
      <pivotArea dataOnly="0" labelOnly="1" outline="0" fieldPosition="0">
        <references count="4">
          <reference field="8" count="1">
            <x v="44"/>
          </reference>
          <reference field="9" count="1" selected="0">
            <x v="39"/>
          </reference>
          <reference field="15" count="1" selected="0">
            <x v="30"/>
          </reference>
          <reference field="16" count="1" selected="0">
            <x v="2"/>
          </reference>
        </references>
      </pivotArea>
    </format>
    <format dxfId="646">
      <pivotArea dataOnly="0" labelOnly="1" outline="0" fieldPosition="0">
        <references count="4">
          <reference field="8" count="1">
            <x v="5"/>
          </reference>
          <reference field="9" count="1" selected="0">
            <x v="1"/>
          </reference>
          <reference field="15" count="1" selected="0">
            <x v="54"/>
          </reference>
          <reference field="16" count="1" selected="0">
            <x v="3"/>
          </reference>
        </references>
      </pivotArea>
    </format>
    <format dxfId="647">
      <pivotArea dataOnly="0" labelOnly="1" outline="0" fieldPosition="0">
        <references count="4">
          <reference field="8" count="1">
            <x v="6"/>
          </reference>
          <reference field="9" count="1" selected="0">
            <x v="16"/>
          </reference>
          <reference field="15" count="1" selected="0">
            <x v="18"/>
          </reference>
          <reference field="16" count="1" selected="0">
            <x v="3"/>
          </reference>
        </references>
      </pivotArea>
    </format>
    <format dxfId="648">
      <pivotArea dataOnly="0" labelOnly="1" outline="0" fieldPosition="0">
        <references count="4">
          <reference field="8" count="1">
            <x v="8"/>
          </reference>
          <reference field="9" count="1" selected="0">
            <x v="18"/>
          </reference>
          <reference field="15" count="1" selected="0">
            <x v="62"/>
          </reference>
          <reference field="16" count="1" selected="0">
            <x v="3"/>
          </reference>
        </references>
      </pivotArea>
    </format>
    <format dxfId="649">
      <pivotArea dataOnly="0" labelOnly="1" outline="0" fieldPosition="0">
        <references count="4">
          <reference field="8" count="1">
            <x v="6"/>
          </reference>
          <reference field="9" count="1" selected="0">
            <x v="20"/>
          </reference>
          <reference field="15" count="1" selected="0">
            <x v="40"/>
          </reference>
          <reference field="16" count="1" selected="0">
            <x v="3"/>
          </reference>
        </references>
      </pivotArea>
    </format>
    <format dxfId="650">
      <pivotArea dataOnly="0" labelOnly="1" outline="0" fieldPosition="0">
        <references count="4">
          <reference field="8" count="1">
            <x v="10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3"/>
          </reference>
        </references>
      </pivotArea>
    </format>
    <format dxfId="651">
      <pivotArea dataOnly="0" labelOnly="1" outline="0" fieldPosition="0">
        <references count="4">
          <reference field="8" count="1">
            <x v="8"/>
          </reference>
          <reference field="9" count="1" selected="0">
            <x v="38"/>
          </reference>
          <reference field="15" count="1" selected="0">
            <x v="61"/>
          </reference>
          <reference field="16" count="1" selected="0">
            <x v="3"/>
          </reference>
        </references>
      </pivotArea>
    </format>
    <format dxfId="652">
      <pivotArea dataOnly="0" labelOnly="1" outline="0" fieldPosition="0">
        <references count="4">
          <reference field="8" count="1">
            <x v="6"/>
          </reference>
          <reference field="9" count="1" selected="0">
            <x v="46"/>
          </reference>
          <reference field="15" count="1" selected="0">
            <x v="55"/>
          </reference>
          <reference field="16" count="1" selected="0">
            <x v="3"/>
          </reference>
        </references>
      </pivotArea>
    </format>
    <format dxfId="653">
      <pivotArea dataOnly="0" labelOnly="1" outline="0" fieldPosition="0">
        <references count="4">
          <reference field="8" count="1">
            <x v="10"/>
          </reference>
          <reference field="9" count="1" selected="0">
            <x v="55"/>
          </reference>
          <reference field="15" count="1" selected="0">
            <x v="3"/>
          </reference>
          <reference field="16" count="1" selected="0">
            <x v="3"/>
          </reference>
        </references>
      </pivotArea>
    </format>
    <format dxfId="654">
      <pivotArea dataOnly="0" labelOnly="1" outline="0" fieldPosition="0">
        <references count="4">
          <reference field="8" count="1">
            <x v="8"/>
          </reference>
          <reference field="9" count="1" selected="0">
            <x v="58"/>
          </reference>
          <reference field="15" count="1" selected="0">
            <x v="57"/>
          </reference>
          <reference field="16" count="1" selected="0">
            <x v="3"/>
          </reference>
        </references>
      </pivotArea>
    </format>
    <format dxfId="655">
      <pivotArea dataOnly="0" labelOnly="1" outline="0" fieldPosition="0">
        <references count="4">
          <reference field="8" count="1">
            <x v="67"/>
          </reference>
          <reference field="9" count="1" selected="0">
            <x v="66"/>
          </reference>
          <reference field="15" count="1" selected="0">
            <x v="68"/>
          </reference>
          <reference field="16" count="1" selected="0">
            <x v="3"/>
          </reference>
        </references>
      </pivotArea>
    </format>
    <format dxfId="656">
      <pivotArea dataOnly="0" labelOnly="1" outline="0" fieldPosition="0">
        <references count="4">
          <reference field="8" count="1">
            <x v="67"/>
          </reference>
          <reference field="9" count="1" selected="0">
            <x v="67"/>
          </reference>
          <reference field="15" count="1" selected="0">
            <x v="69"/>
          </reference>
          <reference field="16" count="1" selected="0">
            <x v="3"/>
          </reference>
        </references>
      </pivotArea>
    </format>
    <format dxfId="657">
      <pivotArea dataOnly="0" labelOnly="1" outline="0" fieldPosition="0">
        <references count="4">
          <reference field="8" count="1">
            <x v="62"/>
          </reference>
          <reference field="9" count="1" selected="0">
            <x v="5"/>
          </reference>
          <reference field="15" count="1" selected="0">
            <x v="22"/>
          </reference>
          <reference field="16" count="1" selected="0">
            <x v="4"/>
          </reference>
        </references>
      </pivotArea>
    </format>
    <format dxfId="658">
      <pivotArea dataOnly="0" labelOnly="1" outline="0" fieldPosition="0">
        <references count="4">
          <reference field="8" count="1">
            <x v="61"/>
          </reference>
          <reference field="9" count="1" selected="0">
            <x v="6"/>
          </reference>
          <reference field="15" count="1" selected="0">
            <x v="6"/>
          </reference>
          <reference field="16" count="1" selected="0">
            <x v="4"/>
          </reference>
        </references>
      </pivotArea>
    </format>
    <format dxfId="659">
      <pivotArea dataOnly="0" labelOnly="1" outline="0" fieldPosition="0">
        <references count="4">
          <reference field="8" count="1">
            <x v="62"/>
          </reference>
          <reference field="9" count="1" selected="0">
            <x v="25"/>
          </reference>
          <reference field="15" count="1" selected="0">
            <x v="4"/>
          </reference>
          <reference field="16" count="1" selected="0">
            <x v="4"/>
          </reference>
        </references>
      </pivotArea>
    </format>
    <format dxfId="660">
      <pivotArea dataOnly="0" labelOnly="1" outline="0" fieldPosition="0">
        <references count="4">
          <reference field="8" count="1">
            <x v="62"/>
          </reference>
          <reference field="9" count="1" selected="0">
            <x v="26"/>
          </reference>
          <reference field="15" count="1" selected="0">
            <x v="29"/>
          </reference>
          <reference field="16" count="1" selected="0">
            <x v="4"/>
          </reference>
        </references>
      </pivotArea>
    </format>
    <format dxfId="661">
      <pivotArea dataOnly="0" labelOnly="1" outline="0" fieldPosition="0">
        <references count="4">
          <reference field="8" count="1">
            <x v="62"/>
          </reference>
          <reference field="9" count="1" selected="0">
            <x v="32"/>
          </reference>
          <reference field="15" count="1" selected="0">
            <x v="5"/>
          </reference>
          <reference field="16" count="1" selected="0">
            <x v="4"/>
          </reference>
        </references>
      </pivotArea>
    </format>
    <format dxfId="662">
      <pivotArea dataOnly="0" labelOnly="1" outline="0" fieldPosition="0">
        <references count="4">
          <reference field="8" count="1">
            <x v="47"/>
          </reference>
          <reference field="9" count="1" selected="0">
            <x v="39"/>
          </reference>
          <reference field="15" count="1" selected="0">
            <x v="30"/>
          </reference>
          <reference field="16" count="1" selected="0">
            <x v="4"/>
          </reference>
        </references>
      </pivotArea>
    </format>
    <format dxfId="663">
      <pivotArea dataOnly="0" labelOnly="1" outline="0" fieldPosition="0">
        <references count="4">
          <reference field="8" count="2">
            <x v="47"/>
            <x v="62"/>
          </reference>
          <reference field="9" count="1" selected="0">
            <x v="65"/>
          </reference>
          <reference field="15" count="1" selected="0">
            <x v="67"/>
          </reference>
          <reference field="16" count="1" selected="0">
            <x v="4"/>
          </reference>
        </references>
      </pivotArea>
    </format>
    <format dxfId="664">
      <pivotArea dataOnly="0" labelOnly="1" outline="0" fieldPosition="0">
        <references count="4">
          <reference field="8" count="1">
            <x v="56"/>
          </reference>
          <reference field="9" count="1" selected="0">
            <x v="5"/>
          </reference>
          <reference field="15" count="1" selected="0">
            <x v="22"/>
          </reference>
          <reference field="16" count="1" selected="0">
            <x v="5"/>
          </reference>
        </references>
      </pivotArea>
    </format>
    <format dxfId="665">
      <pivotArea dataOnly="0" labelOnly="1" outline="0" fieldPosition="0">
        <references count="4">
          <reference field="8" count="1">
            <x v="56"/>
          </reference>
          <reference field="9" count="1" selected="0">
            <x v="26"/>
          </reference>
          <reference field="15" count="1" selected="0">
            <x v="29"/>
          </reference>
          <reference field="16" count="1" selected="0">
            <x v="5"/>
          </reference>
        </references>
      </pivotArea>
    </format>
    <format dxfId="666">
      <pivotArea dataOnly="0" labelOnly="1" outline="0" fieldPosition="0">
        <references count="4">
          <reference field="8" count="1">
            <x v="56"/>
          </reference>
          <reference field="9" count="1" selected="0">
            <x v="27"/>
          </reference>
          <reference field="15" count="1" selected="0">
            <x v="12"/>
          </reference>
          <reference field="16" count="1" selected="0">
            <x v="5"/>
          </reference>
        </references>
      </pivotArea>
    </format>
    <format dxfId="667">
      <pivotArea dataOnly="0" labelOnly="1" outline="0" fieldPosition="0">
        <references count="4">
          <reference field="8" count="1">
            <x v="52"/>
          </reference>
          <reference field="9" count="1" selected="0">
            <x v="39"/>
          </reference>
          <reference field="15" count="1" selected="0">
            <x v="30"/>
          </reference>
          <reference field="16" count="1" selected="0">
            <x v="5"/>
          </reference>
        </references>
      </pivotArea>
    </format>
    <format dxfId="668">
      <pivotArea dataOnly="0" labelOnly="1" outline="0" fieldPosition="0">
        <references count="4">
          <reference field="8" count="1">
            <x v="56"/>
          </reference>
          <reference field="9" count="1" selected="0">
            <x v="47"/>
          </reference>
          <reference field="15" count="1" selected="0">
            <x v="2"/>
          </reference>
          <reference field="16" count="1" selected="0">
            <x v="5"/>
          </reference>
        </references>
      </pivotArea>
    </format>
    <format dxfId="669">
      <pivotArea dataOnly="0" labelOnly="1" outline="0" fieldPosition="0">
        <references count="4">
          <reference field="8" count="1">
            <x v="56"/>
          </reference>
          <reference field="9" count="1" selected="0">
            <x v="54"/>
          </reference>
          <reference field="15" count="1" selected="0">
            <x v="34"/>
          </reference>
          <reference field="16" count="1" selected="0">
            <x v="5"/>
          </reference>
        </references>
      </pivotArea>
    </format>
    <format dxfId="670">
      <pivotArea dataOnly="0" labelOnly="1" outline="0" fieldPosition="0">
        <references count="4">
          <reference field="8" count="1">
            <x v="56"/>
          </reference>
          <reference field="9" count="1" selected="0">
            <x v="65"/>
          </reference>
          <reference field="15" count="1" selected="0">
            <x v="67"/>
          </reference>
          <reference field="16" count="1" selected="0">
            <x v="5"/>
          </reference>
        </references>
      </pivotArea>
    </format>
    <format dxfId="671">
      <pivotArea dataOnly="0" labelOnly="1" outline="0" fieldPosition="0">
        <references count="4">
          <reference field="8" count="1">
            <x v="50"/>
          </reference>
          <reference field="9" count="1" selected="0">
            <x v="0"/>
          </reference>
          <reference field="15" count="1" selected="0">
            <x v="60"/>
          </reference>
          <reference field="16" count="1" selected="0">
            <x v="6"/>
          </reference>
        </references>
      </pivotArea>
    </format>
    <format dxfId="672">
      <pivotArea dataOnly="0" labelOnly="1" outline="0" fieldPosition="0">
        <references count="4">
          <reference field="8" count="1">
            <x v="34"/>
          </reference>
          <reference field="9" count="1" selected="0">
            <x v="17"/>
          </reference>
          <reference field="15" count="1" selected="0">
            <x v="56"/>
          </reference>
          <reference field="16" count="1" selected="0">
            <x v="6"/>
          </reference>
        </references>
      </pivotArea>
    </format>
    <format dxfId="673">
      <pivotArea dataOnly="0" labelOnly="1" outline="0" fieldPosition="0">
        <references count="4">
          <reference field="8" count="1">
            <x v="35"/>
          </reference>
          <reference field="9" count="1" selected="0">
            <x v="53"/>
          </reference>
          <reference field="15" count="1" selected="0">
            <x v="31"/>
          </reference>
          <reference field="16" count="1" selected="0">
            <x v="6"/>
          </reference>
        </references>
      </pivotArea>
    </format>
    <format dxfId="674">
      <pivotArea dataOnly="0" labelOnly="1" outline="0" fieldPosition="0">
        <references count="4">
          <reference field="8" count="1">
            <x v="49"/>
          </reference>
          <reference field="9" count="1" selected="0">
            <x v="39"/>
          </reference>
          <reference field="15" count="1" selected="0">
            <x v="30"/>
          </reference>
          <reference field="16" count="1" selected="0">
            <x v="7"/>
          </reference>
        </references>
      </pivotArea>
    </format>
    <format dxfId="675">
      <pivotArea dataOnly="0" labelOnly="1" outline="0" fieldPosition="0">
        <references count="4">
          <reference field="8" count="1">
            <x v="49"/>
          </reference>
          <reference field="9" count="1" selected="0">
            <x v="65"/>
          </reference>
          <reference field="15" count="1" selected="0">
            <x v="67"/>
          </reference>
          <reference field="16" count="1" selected="0">
            <x v="7"/>
          </reference>
        </references>
      </pivotArea>
    </format>
    <format dxfId="676">
      <pivotArea dataOnly="0" labelOnly="1" outline="0" fieldPosition="0">
        <references count="4">
          <reference field="8" count="1">
            <x v="39"/>
          </reference>
          <reference field="9" count="1" selected="0">
            <x v="5"/>
          </reference>
          <reference field="15" count="1" selected="0">
            <x v="22"/>
          </reference>
          <reference field="16" count="1" selected="0">
            <x v="9"/>
          </reference>
        </references>
      </pivotArea>
    </format>
    <format dxfId="677">
      <pivotArea dataOnly="0" labelOnly="1" outline="0" fieldPosition="0">
        <references count="4">
          <reference field="8" count="2">
            <x v="14"/>
            <x v="39"/>
          </reference>
          <reference field="9" count="1" selected="0">
            <x v="13"/>
          </reference>
          <reference field="15" count="1" selected="0">
            <x v="7"/>
          </reference>
          <reference field="16" count="1" selected="0">
            <x v="9"/>
          </reference>
        </references>
      </pivotArea>
    </format>
    <format dxfId="678">
      <pivotArea dataOnly="0" labelOnly="1" outline="0" fieldPosition="0">
        <references count="4">
          <reference field="8" count="1">
            <x v="42"/>
          </reference>
          <reference field="9" count="1" selected="0">
            <x v="14"/>
          </reference>
          <reference field="15" count="1" selected="0">
            <x v="9"/>
          </reference>
          <reference field="16" count="1" selected="0">
            <x v="9"/>
          </reference>
        </references>
      </pivotArea>
    </format>
    <format dxfId="679">
      <pivotArea dataOnly="0" labelOnly="1" outline="0" fieldPosition="0">
        <references count="4">
          <reference field="8" count="2">
            <x v="4"/>
            <x v="14"/>
          </reference>
          <reference field="9" count="1" selected="0">
            <x v="25"/>
          </reference>
          <reference field="15" count="1" selected="0">
            <x v="4"/>
          </reference>
          <reference field="16" count="1" selected="0">
            <x v="9"/>
          </reference>
        </references>
      </pivotArea>
    </format>
    <format dxfId="680">
      <pivotArea dataOnly="0" labelOnly="1" outline="0" fieldPosition="0">
        <references count="4">
          <reference field="8" count="1">
            <x v="4"/>
          </reference>
          <reference field="9" count="1" selected="0">
            <x v="26"/>
          </reference>
          <reference field="15" count="1" selected="0">
            <x v="29"/>
          </reference>
          <reference field="16" count="1" selected="0">
            <x v="9"/>
          </reference>
        </references>
      </pivotArea>
    </format>
    <format dxfId="681">
      <pivotArea dataOnly="0" labelOnly="1" outline="0" fieldPosition="0">
        <references count="4">
          <reference field="8" count="4">
            <x v="0"/>
            <x v="4"/>
            <x v="14"/>
            <x v="39"/>
          </reference>
          <reference field="9" count="1" selected="0">
            <x v="35"/>
          </reference>
          <reference field="15" count="1" selected="0">
            <x v="8"/>
          </reference>
          <reference field="16" count="1" selected="0">
            <x v="9"/>
          </reference>
        </references>
      </pivotArea>
    </format>
    <format dxfId="682">
      <pivotArea dataOnly="0" labelOnly="1" outline="0" fieldPosition="0">
        <references count="4">
          <reference field="8" count="1">
            <x v="41"/>
          </reference>
          <reference field="9" count="1" selected="0">
            <x v="45"/>
          </reference>
          <reference field="15" count="1" selected="0">
            <x v="19"/>
          </reference>
          <reference field="16" count="1" selected="0">
            <x v="9"/>
          </reference>
        </references>
      </pivotArea>
    </format>
    <format dxfId="683">
      <pivotArea dataOnly="0" labelOnly="1" outline="0" fieldPosition="0">
        <references count="4">
          <reference field="8" count="1">
            <x v="0"/>
          </reference>
          <reference field="9" count="1" selected="0">
            <x v="54"/>
          </reference>
          <reference field="15" count="1" selected="0">
            <x v="34"/>
          </reference>
          <reference field="16" count="1" selected="0">
            <x v="9"/>
          </reference>
        </references>
      </pivotArea>
    </format>
    <format dxfId="684">
      <pivotArea dataOnly="0" labelOnly="1" outline="0" fieldPosition="0">
        <references count="4">
          <reference field="8" count="1">
            <x v="32"/>
          </reference>
          <reference field="9" count="1" selected="0">
            <x v="4"/>
          </reference>
          <reference field="15" count="1" selected="0">
            <x v="58"/>
          </reference>
          <reference field="16" count="1" selected="0">
            <x v="10"/>
          </reference>
        </references>
      </pivotArea>
    </format>
    <format dxfId="685">
      <pivotArea dataOnly="0" labelOnly="1" outline="0" fieldPosition="0">
        <references count="4">
          <reference field="8" count="1">
            <x v="69"/>
          </reference>
          <reference field="9" count="1" selected="0">
            <x v="18"/>
          </reference>
          <reference field="15" count="1" selected="0">
            <x v="62"/>
          </reference>
          <reference field="16" count="1" selected="0">
            <x v="10"/>
          </reference>
        </references>
      </pivotArea>
    </format>
    <format dxfId="686">
      <pivotArea dataOnly="0" labelOnly="1" outline="0" fieldPosition="0">
        <references count="4">
          <reference field="8" count="1">
            <x v="32"/>
          </reference>
          <reference field="9" count="1" selected="0">
            <x v="28"/>
          </reference>
          <reference field="15" count="1" selected="0">
            <x v="59"/>
          </reference>
          <reference field="16" count="1" selected="0">
            <x v="10"/>
          </reference>
        </references>
      </pivotArea>
    </format>
    <format dxfId="687">
      <pivotArea dataOnly="0" labelOnly="1" outline="0" fieldPosition="0">
        <references count="4">
          <reference field="8" count="1">
            <x v="1"/>
          </reference>
          <reference field="9" count="1" selected="0">
            <x v="29"/>
          </reference>
          <reference field="15" count="1" selected="0">
            <x v="52"/>
          </reference>
          <reference field="16" count="1" selected="0">
            <x v="10"/>
          </reference>
        </references>
      </pivotArea>
    </format>
    <format dxfId="688">
      <pivotArea dataOnly="0" labelOnly="1" outline="0" fieldPosition="0">
        <references count="4">
          <reference field="8" count="1">
            <x v="1"/>
          </reference>
          <reference field="9" count="1" selected="0">
            <x v="30"/>
          </reference>
          <reference field="15" count="1" selected="0">
            <x v="53"/>
          </reference>
          <reference field="16" count="1" selected="0">
            <x v="10"/>
          </reference>
        </references>
      </pivotArea>
    </format>
    <format dxfId="689">
      <pivotArea dataOnly="0" labelOnly="1" outline="0" fieldPosition="0">
        <references count="4">
          <reference field="8" count="1">
            <x v="69"/>
          </reference>
          <reference field="9" count="1" selected="0">
            <x v="38"/>
          </reference>
          <reference field="15" count="1" selected="0">
            <x v="61"/>
          </reference>
          <reference field="16" count="1" selected="0">
            <x v="10"/>
          </reference>
        </references>
      </pivotArea>
    </format>
    <format dxfId="690">
      <pivotArea dataOnly="0" labelOnly="1" outline="0" fieldPosition="0">
        <references count="4">
          <reference field="8" count="1">
            <x v="38"/>
          </reference>
          <reference field="9" count="1" selected="0">
            <x v="56"/>
          </reference>
          <reference field="15" count="1" selected="0">
            <x v="45"/>
          </reference>
          <reference field="16" count="1" selected="0">
            <x v="10"/>
          </reference>
        </references>
      </pivotArea>
    </format>
    <format dxfId="691">
      <pivotArea dataOnly="0" labelOnly="1" outline="0" fieldPosition="0">
        <references count="4">
          <reference field="8" count="2">
            <x v="29"/>
            <x v="63"/>
          </reference>
          <reference field="9" count="1" selected="0">
            <x v="5"/>
          </reference>
          <reference field="15" count="1" selected="0">
            <x v="22"/>
          </reference>
          <reference field="16" count="1" selected="0">
            <x v="11"/>
          </reference>
        </references>
      </pivotArea>
    </format>
    <format dxfId="692">
      <pivotArea dataOnly="0" labelOnly="1" outline="0" fieldPosition="0">
        <references count="4">
          <reference field="8" count="1">
            <x v="55"/>
          </reference>
          <reference field="9" count="1" selected="0">
            <x v="15"/>
          </reference>
          <reference field="15" count="1" selected="0">
            <x v="64"/>
          </reference>
          <reference field="16" count="1" selected="0">
            <x v="11"/>
          </reference>
        </references>
      </pivotArea>
    </format>
    <format dxfId="693">
      <pivotArea dataOnly="0" labelOnly="1" outline="0" fieldPosition="0">
        <references count="4">
          <reference field="8" count="3">
            <x v="19"/>
            <x v="43"/>
            <x v="54"/>
          </reference>
          <reference field="9" count="1" selected="0">
            <x v="16"/>
          </reference>
          <reference field="15" count="1" selected="0">
            <x v="18"/>
          </reference>
          <reference field="16" count="1" selected="0">
            <x v="11"/>
          </reference>
        </references>
      </pivotArea>
    </format>
    <format dxfId="694">
      <pivotArea dataOnly="0" labelOnly="1" outline="0" fieldPosition="0">
        <references count="4">
          <reference field="8" count="1">
            <x v="30"/>
          </reference>
          <reference field="9" count="1" selected="0">
            <x v="18"/>
          </reference>
          <reference field="15" count="1" selected="0">
            <x v="62"/>
          </reference>
          <reference field="16" count="1" selected="0">
            <x v="11"/>
          </reference>
        </references>
      </pivotArea>
    </format>
    <format dxfId="695">
      <pivotArea dataOnly="0" labelOnly="1" outline="0" fieldPosition="0">
        <references count="4">
          <reference field="8" count="2">
            <x v="19"/>
            <x v="43"/>
          </reference>
          <reference field="9" count="1" selected="0">
            <x v="20"/>
          </reference>
          <reference field="15" count="1" selected="0">
            <x v="40"/>
          </reference>
          <reference field="16" count="1" selected="0">
            <x v="11"/>
          </reference>
        </references>
      </pivotArea>
    </format>
    <format dxfId="696">
      <pivotArea dataOnly="0" labelOnly="1" outline="0" fieldPosition="0">
        <references count="4">
          <reference field="8" count="1">
            <x v="51"/>
          </reference>
          <reference field="9" count="1" selected="0">
            <x v="21"/>
          </reference>
          <reference field="15" count="1" selected="0">
            <x v="1"/>
          </reference>
          <reference field="16" count="1" selected="0">
            <x v="11"/>
          </reference>
        </references>
      </pivotArea>
    </format>
    <format dxfId="697">
      <pivotArea dataOnly="0" labelOnly="1" outline="0" fieldPosition="0">
        <references count="4">
          <reference field="8" count="1">
            <x v="26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11"/>
          </reference>
        </references>
      </pivotArea>
    </format>
    <format dxfId="698">
      <pivotArea dataOnly="0" labelOnly="1" outline="0" fieldPosition="0">
        <references count="4">
          <reference field="8" count="2">
            <x v="2"/>
            <x v="29"/>
          </reference>
          <reference field="9" count="1" selected="0">
            <x v="26"/>
          </reference>
          <reference field="15" count="1" selected="0">
            <x v="29"/>
          </reference>
          <reference field="16" count="1" selected="0">
            <x v="11"/>
          </reference>
        </references>
      </pivotArea>
    </format>
    <format dxfId="699">
      <pivotArea dataOnly="0" labelOnly="1" outline="0" fieldPosition="0">
        <references count="4">
          <reference field="8" count="2">
            <x v="29"/>
            <x v="64"/>
          </reference>
          <reference field="9" count="1" selected="0">
            <x v="27"/>
          </reference>
          <reference field="15" count="1" selected="0">
            <x v="12"/>
          </reference>
          <reference field="16" count="1" selected="0">
            <x v="11"/>
          </reference>
        </references>
      </pivotArea>
    </format>
    <format dxfId="700">
      <pivotArea dataOnly="0" labelOnly="1" outline="0" fieldPosition="0">
        <references count="4">
          <reference field="8" count="3">
            <x v="2"/>
            <x v="27"/>
            <x v="43"/>
          </reference>
          <reference field="9" count="1" selected="0">
            <x v="31"/>
          </reference>
          <reference field="15" count="1" selected="0">
            <x v="47"/>
          </reference>
          <reference field="16" count="1" selected="0">
            <x v="11"/>
          </reference>
        </references>
      </pivotArea>
    </format>
    <format dxfId="701">
      <pivotArea dataOnly="0" labelOnly="1" outline="0" fieldPosition="0">
        <references count="4">
          <reference field="8" count="1">
            <x v="45"/>
          </reference>
          <reference field="9" count="1" selected="0">
            <x v="33"/>
          </reference>
          <reference field="15" count="1" selected="0">
            <x v="51"/>
          </reference>
          <reference field="16" count="1" selected="0">
            <x v="11"/>
          </reference>
        </references>
      </pivotArea>
    </format>
    <format dxfId="702">
      <pivotArea dataOnly="0" labelOnly="1" outline="0" fieldPosition="0">
        <references count="4">
          <reference field="8" count="1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 selected="0">
            <x v="11"/>
          </reference>
        </references>
      </pivotArea>
    </format>
    <format dxfId="703">
      <pivotArea dataOnly="0" labelOnly="1" outline="0" fieldPosition="0">
        <references count="4">
          <reference field="8" count="3">
            <x v="57"/>
            <x v="63"/>
            <x v="64"/>
          </reference>
          <reference field="9" count="1" selected="0">
            <x v="35"/>
          </reference>
          <reference field="15" count="1" selected="0">
            <x v="8"/>
          </reference>
          <reference field="16" count="1" selected="0">
            <x v="11"/>
          </reference>
        </references>
      </pivotArea>
    </format>
    <format dxfId="704">
      <pivotArea dataOnly="0" labelOnly="1" outline="0" fieldPosition="0">
        <references count="4">
          <reference field="8" count="1">
            <x v="55"/>
          </reference>
          <reference field="9" count="1" selected="0">
            <x v="37"/>
          </reference>
          <reference field="15" count="1" selected="0">
            <x v="43"/>
          </reference>
          <reference field="16" count="1" selected="0">
            <x v="11"/>
          </reference>
        </references>
      </pivotArea>
    </format>
    <format dxfId="705">
      <pivotArea dataOnly="0" labelOnly="1" outline="0" fieldPosition="0">
        <references count="4">
          <reference field="8" count="1">
            <x v="30"/>
          </reference>
          <reference field="9" count="1" selected="0">
            <x v="38"/>
          </reference>
          <reference field="15" count="1" selected="0">
            <x v="61"/>
          </reference>
          <reference field="16" count="1" selected="0">
            <x v="11"/>
          </reference>
        </references>
      </pivotArea>
    </format>
    <format dxfId="706">
      <pivotArea dataOnly="0" labelOnly="1" outline="0" fieldPosition="0">
        <references count="4">
          <reference field="8" count="1">
            <x v="19"/>
          </reference>
          <reference field="9" count="1" selected="0">
            <x v="46"/>
          </reference>
          <reference field="15" count="1" selected="0">
            <x v="55"/>
          </reference>
          <reference field="16" count="1" selected="0">
            <x v="11"/>
          </reference>
        </references>
      </pivotArea>
    </format>
    <format dxfId="707">
      <pivotArea dataOnly="0" labelOnly="1" outline="0" fieldPosition="0">
        <references count="4">
          <reference field="8" count="2">
            <x v="57"/>
            <x v="65"/>
          </reference>
          <reference field="9" count="1" selected="0">
            <x v="47"/>
          </reference>
          <reference field="15" count="1" selected="0">
            <x v="2"/>
          </reference>
          <reference field="16" count="1" selected="0">
            <x v="11"/>
          </reference>
        </references>
      </pivotArea>
    </format>
    <format dxfId="708">
      <pivotArea dataOnly="0" labelOnly="1" outline="0" fieldPosition="0">
        <references count="4">
          <reference field="8" count="2">
            <x v="3"/>
            <x v="60"/>
          </reference>
          <reference field="9" count="1" selected="0">
            <x v="50"/>
          </reference>
          <reference field="15" count="1" selected="0">
            <x v="41"/>
          </reference>
          <reference field="16" count="1" selected="0">
            <x v="11"/>
          </reference>
        </references>
      </pivotArea>
    </format>
    <format dxfId="709">
      <pivotArea dataOnly="0" labelOnly="1" outline="0" fieldPosition="0">
        <references count="4">
          <reference field="8" count="1">
            <x v="46"/>
          </reference>
          <reference field="9" count="1" selected="0">
            <x v="51"/>
          </reference>
          <reference field="15" count="1" selected="0">
            <x v="27"/>
          </reference>
          <reference field="16" count="1" selected="0">
            <x v="11"/>
          </reference>
        </references>
      </pivotArea>
    </format>
    <format dxfId="710">
      <pivotArea dataOnly="0" labelOnly="1" outline="0" fieldPosition="0">
        <references count="4">
          <reference field="8" count="1">
            <x v="54"/>
          </reference>
          <reference field="9" count="1" selected="0">
            <x v="52"/>
          </reference>
          <reference field="15" count="1" selected="0">
            <x v="39"/>
          </reference>
          <reference field="16" count="1" selected="0">
            <x v="11"/>
          </reference>
        </references>
      </pivotArea>
    </format>
    <format dxfId="711">
      <pivotArea dataOnly="0" labelOnly="1" outline="0" fieldPosition="0">
        <references count="4">
          <reference field="8" count="1">
            <x v="29"/>
          </reference>
          <reference field="9" count="1" selected="0">
            <x v="54"/>
          </reference>
          <reference field="15" count="1" selected="0">
            <x v="34"/>
          </reference>
          <reference field="16" count="1" selected="0">
            <x v="11"/>
          </reference>
        </references>
      </pivotArea>
    </format>
    <format dxfId="712">
      <pivotArea dataOnly="0" labelOnly="1" outline="0" fieldPosition="0">
        <references count="4">
          <reference field="8" count="1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 selected="0">
            <x v="11"/>
          </reference>
        </references>
      </pivotArea>
    </format>
    <format dxfId="713">
      <pivotArea dataOnly="0" labelOnly="1" outline="0" fieldPosition="0">
        <references count="4">
          <reference field="8" count="3">
            <x v="2"/>
            <x v="27"/>
            <x v="43"/>
          </reference>
          <reference field="9" count="1" selected="0">
            <x v="60"/>
          </reference>
          <reference field="15" count="1" selected="0">
            <x v="48"/>
          </reference>
          <reference field="16" count="1" selected="0">
            <x v="11"/>
          </reference>
        </references>
      </pivotArea>
    </format>
    <format dxfId="714">
      <pivotArea dataOnly="0" labelOnly="1" outline="0" fieldPosition="0">
        <references count="4">
          <reference field="8" count="1">
            <x v="24"/>
          </reference>
          <reference field="9" count="1" selected="0">
            <x v="2"/>
          </reference>
          <reference field="15" count="1" selected="0">
            <x v="33"/>
          </reference>
          <reference field="16" count="1" selected="0">
            <x v="12"/>
          </reference>
        </references>
      </pivotArea>
    </format>
    <format dxfId="715">
      <pivotArea dataOnly="0" labelOnly="1" outline="0" fieldPosition="0">
        <references count="4">
          <reference field="8" count="1">
            <x v="11"/>
          </reference>
          <reference field="9" count="1" selected="0">
            <x v="3"/>
          </reference>
          <reference field="15" count="1" selected="0">
            <x v="46"/>
          </reference>
          <reference field="16" count="1" selected="0">
            <x v="12"/>
          </reference>
        </references>
      </pivotArea>
    </format>
    <format dxfId="716">
      <pivotArea dataOnly="0" labelOnly="1" outline="0" fieldPosition="0">
        <references count="4">
          <reference field="8" count="1">
            <x v="20"/>
          </reference>
          <reference field="9" count="1" selected="0">
            <x v="7"/>
          </reference>
          <reference field="15" count="1" selected="0">
            <x v="26"/>
          </reference>
          <reference field="16" count="1" selected="0">
            <x v="12"/>
          </reference>
        </references>
      </pivotArea>
    </format>
    <format dxfId="717">
      <pivotArea dataOnly="0" labelOnly="1" outline="0" fieldPosition="0">
        <references count="4">
          <reference field="8" count="1">
            <x v="16"/>
          </reference>
          <reference field="9" count="1" selected="0">
            <x v="8"/>
          </reference>
          <reference field="15" count="1" selected="0">
            <x v="16"/>
          </reference>
          <reference field="16" count="1" selected="0">
            <x v="12"/>
          </reference>
        </references>
      </pivotArea>
    </format>
    <format dxfId="718">
      <pivotArea dataOnly="0" labelOnly="1" outline="0" fieldPosition="0">
        <references count="4">
          <reference field="8" count="1">
            <x v="12"/>
          </reference>
          <reference field="9" count="1" selected="0">
            <x v="9"/>
          </reference>
          <reference field="15" count="1" selected="0">
            <x v="15"/>
          </reference>
          <reference field="16" count="1" selected="0">
            <x v="12"/>
          </reference>
        </references>
      </pivotArea>
    </format>
    <format dxfId="719">
      <pivotArea dataOnly="0" labelOnly="1" outline="0" fieldPosition="0">
        <references count="4">
          <reference field="8" count="1">
            <x v="17"/>
          </reference>
          <reference field="9" count="1" selected="0">
            <x v="10"/>
          </reference>
          <reference field="15" count="1" selected="0">
            <x v="10"/>
          </reference>
          <reference field="16" count="1" selected="0">
            <x v="12"/>
          </reference>
        </references>
      </pivotArea>
    </format>
    <format dxfId="720">
      <pivotArea dataOnly="0" labelOnly="1" outline="0" fieldPosition="0">
        <references count="4">
          <reference field="8" count="1">
            <x v="21"/>
          </reference>
          <reference field="9" count="1" selected="0">
            <x v="11"/>
          </reference>
          <reference field="15" count="1" selected="0">
            <x v="23"/>
          </reference>
          <reference field="16" count="1" selected="0">
            <x v="12"/>
          </reference>
        </references>
      </pivotArea>
    </format>
    <format dxfId="721">
      <pivotArea dataOnly="0" labelOnly="1" outline="0" fieldPosition="0">
        <references count="4">
          <reference field="8" count="1">
            <x v="21"/>
          </reference>
          <reference field="9" count="1" selected="0">
            <x v="12"/>
          </reference>
          <reference field="15" count="1" selected="0">
            <x v="24"/>
          </reference>
          <reference field="16" count="1" selected="0">
            <x v="12"/>
          </reference>
        </references>
      </pivotArea>
    </format>
    <format dxfId="722">
      <pivotArea dataOnly="0" labelOnly="1" outline="0" fieldPosition="0">
        <references count="4">
          <reference field="8" count="1">
            <x v="11"/>
          </reference>
          <reference field="9" count="1" selected="0">
            <x v="19"/>
          </reference>
          <reference field="15" count="1" selected="0">
            <x v="13"/>
          </reference>
          <reference field="16" count="1" selected="0">
            <x v="12"/>
          </reference>
        </references>
      </pivotArea>
    </format>
    <format dxfId="723">
      <pivotArea dataOnly="0" labelOnly="1" outline="0" fieldPosition="0">
        <references count="4">
          <reference field="8" count="1">
            <x v="22"/>
          </reference>
          <reference field="9" count="1" selected="0">
            <x v="24"/>
          </reference>
          <reference field="15" count="1" selected="0">
            <x v="37"/>
          </reference>
          <reference field="16" count="1" selected="0">
            <x v="12"/>
          </reference>
        </references>
      </pivotArea>
    </format>
    <format dxfId="724">
      <pivotArea dataOnly="0" labelOnly="1" outline="0" fieldPosition="0">
        <references count="4">
          <reference field="8" count="1">
            <x v="17"/>
          </reference>
          <reference field="9" count="1" selected="0">
            <x v="36"/>
          </reference>
          <reference field="15" count="1" selected="0">
            <x v="11"/>
          </reference>
          <reference field="16" count="1" selected="0">
            <x v="12"/>
          </reference>
        </references>
      </pivotArea>
    </format>
    <format dxfId="725">
      <pivotArea dataOnly="0" labelOnly="1" outline="0" fieldPosition="0">
        <references count="4">
          <reference field="8" count="1">
            <x v="13"/>
          </reference>
          <reference field="9" count="1" selected="0">
            <x v="40"/>
          </reference>
          <reference field="15" count="1" selected="0">
            <x v="28"/>
          </reference>
          <reference field="16" count="1" selected="0">
            <x v="12"/>
          </reference>
        </references>
      </pivotArea>
    </format>
    <format dxfId="726">
      <pivotArea dataOnly="0" labelOnly="1" outline="0" fieldPosition="0">
        <references count="4">
          <reference field="8" count="1">
            <x v="12"/>
          </reference>
          <reference field="9" count="1" selected="0">
            <x v="42"/>
          </reference>
          <reference field="15" count="1" selected="0">
            <x v="21"/>
          </reference>
          <reference field="16" count="1" selected="0">
            <x v="12"/>
          </reference>
        </references>
      </pivotArea>
    </format>
    <format dxfId="727">
      <pivotArea dataOnly="0" labelOnly="1" outline="0" fieldPosition="0">
        <references count="4">
          <reference field="8" count="1">
            <x v="24"/>
          </reference>
          <reference field="9" count="1" selected="0">
            <x v="43"/>
          </reference>
          <reference field="15" count="1" selected="0">
            <x v="14"/>
          </reference>
          <reference field="16" count="1" selected="0">
            <x v="12"/>
          </reference>
        </references>
      </pivotArea>
    </format>
    <format dxfId="728">
      <pivotArea dataOnly="0" labelOnly="1" outline="0" fieldPosition="0">
        <references count="4">
          <reference field="8" count="1">
            <x v="22"/>
          </reference>
          <reference field="9" count="1" selected="0">
            <x v="44"/>
          </reference>
          <reference field="15" count="1" selected="0">
            <x v="38"/>
          </reference>
          <reference field="16" count="1" selected="0">
            <x v="12"/>
          </reference>
        </references>
      </pivotArea>
    </format>
    <format dxfId="729">
      <pivotArea dataOnly="0" labelOnly="1" outline="0" fieldPosition="0">
        <references count="4">
          <reference field="8" count="1">
            <x v="18"/>
          </reference>
          <reference field="9" count="1" selected="0">
            <x v="48"/>
          </reference>
          <reference field="15" count="1" selected="0">
            <x v="17"/>
          </reference>
          <reference field="16" count="1" selected="0">
            <x v="12"/>
          </reference>
        </references>
      </pivotArea>
    </format>
    <format dxfId="730">
      <pivotArea dataOnly="0" labelOnly="1" outline="0" fieldPosition="0">
        <references count="4">
          <reference field="8" count="2">
            <x v="13"/>
            <x v="23"/>
          </reference>
          <reference field="9" count="1" selected="0">
            <x v="49"/>
          </reference>
          <reference field="15" count="1" selected="0">
            <x v="49"/>
          </reference>
          <reference field="16" count="1" selected="0">
            <x v="12"/>
          </reference>
        </references>
      </pivotArea>
    </format>
    <format dxfId="731">
      <pivotArea dataOnly="0" labelOnly="1" outline="0" fieldPosition="0">
        <references count="4">
          <reference field="8" count="1">
            <x v="25"/>
          </reference>
          <reference field="9" count="1" selected="0">
            <x v="59"/>
          </reference>
          <reference field="15" count="1" selected="0">
            <x v="20"/>
          </reference>
          <reference field="16" count="1" selected="0">
            <x v="12"/>
          </reference>
        </references>
      </pivotArea>
    </format>
    <format dxfId="732">
      <pivotArea dataOnly="0" labelOnly="1" outline="0" fieldPosition="0">
        <references count="4">
          <reference field="8" count="1">
            <x v="18"/>
          </reference>
          <reference field="9" count="1" selected="0">
            <x v="61"/>
          </reference>
          <reference field="15" count="1" selected="0">
            <x v="32"/>
          </reference>
          <reference field="16" count="1" selected="0">
            <x v="12"/>
          </reference>
        </references>
      </pivotArea>
    </format>
    <format dxfId="733">
      <pivotArea dataOnly="0" labelOnly="1" outline="0" fieldPosition="0">
        <references count="4">
          <reference field="8" count="1">
            <x v="25"/>
          </reference>
          <reference field="9" count="1" selected="0">
            <x v="62"/>
          </reference>
          <reference field="15" count="1" selected="0">
            <x v="36"/>
          </reference>
          <reference field="16" count="1" selected="0">
            <x v="12"/>
          </reference>
        </references>
      </pivotArea>
    </format>
    <format dxfId="734">
      <pivotArea dataOnly="0" labelOnly="1" outline="0" fieldPosition="0">
        <references count="4">
          <reference field="8" count="1">
            <x v="23"/>
          </reference>
          <reference field="9" count="1" selected="0">
            <x v="63"/>
          </reference>
          <reference field="15" count="1" selected="0">
            <x v="65"/>
          </reference>
          <reference field="16" count="1" selected="0">
            <x v="12"/>
          </reference>
        </references>
      </pivotArea>
    </format>
    <format dxfId="735">
      <pivotArea dataOnly="0" labelOnly="1" outline="0" fieldPosition="0">
        <references count="4">
          <reference field="8" count="1">
            <x v="23"/>
          </reference>
          <reference field="9" count="1" selected="0">
            <x v="64"/>
          </reference>
          <reference field="15" count="1" selected="0">
            <x v="66"/>
          </reference>
          <reference field="16" count="1" selected="0">
            <x v="12"/>
          </reference>
        </references>
      </pivotArea>
    </format>
    <format dxfId="736">
      <pivotArea dataOnly="0" labelOnly="1" outline="0" fieldPosition="0">
        <references count="4">
          <reference field="8" count="1">
            <x v="70"/>
          </reference>
          <reference field="9" count="1" selected="0">
            <x v="68"/>
          </reference>
          <reference field="15" count="1" selected="0">
            <x v="70"/>
          </reference>
          <reference field="16" count="1" selected="0">
            <x v="13"/>
          </reference>
        </references>
      </pivotArea>
    </format>
    <format dxfId="737">
      <pivotArea dataOnly="0" labelOnly="1" outline="0" fieldPosition="0">
        <references count="5">
          <reference field="3" count="2">
            <x v="1"/>
            <x v="4"/>
          </reference>
          <reference field="8" count="1" selected="0">
            <x v="5"/>
          </reference>
          <reference field="9" count="1" selected="0">
            <x v="1"/>
          </reference>
          <reference field="15" count="1" selected="0">
            <x v="54"/>
          </reference>
          <reference field="16" count="1" selected="0">
            <x v="3"/>
          </reference>
        </references>
      </pivotArea>
    </format>
    <format dxfId="738">
      <pivotArea dataOnly="0" labelOnly="1" outline="0" fieldPosition="0">
        <references count="5">
          <reference field="3" count="1">
            <x v="5"/>
          </reference>
          <reference field="8" count="1" selected="0">
            <x v="6"/>
          </reference>
          <reference field="9" count="1" selected="0">
            <x v="16"/>
          </reference>
          <reference field="15" count="1" selected="0">
            <x v="18"/>
          </reference>
          <reference field="16" count="1" selected="0">
            <x v="3"/>
          </reference>
        </references>
      </pivotArea>
    </format>
    <format dxfId="739">
      <pivotArea dataOnly="0" labelOnly="1" outline="0" fieldPosition="0">
        <references count="5">
          <reference field="3" count="1">
            <x v="5"/>
          </reference>
          <reference field="8" count="1" selected="0">
            <x v="6"/>
          </reference>
          <reference field="9" count="1" selected="0">
            <x v="20"/>
          </reference>
          <reference field="15" count="1" selected="0">
            <x v="40"/>
          </reference>
          <reference field="16" count="1" selected="0">
            <x v="3"/>
          </reference>
        </references>
      </pivotArea>
    </format>
    <format dxfId="740">
      <pivotArea dataOnly="0" labelOnly="1" outline="0" fieldPosition="0">
        <references count="5">
          <reference field="3" count="1">
            <x v="5"/>
          </reference>
          <reference field="8" count="1" selected="0">
            <x v="10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3"/>
          </reference>
        </references>
      </pivotArea>
    </format>
    <format dxfId="741">
      <pivotArea dataOnly="0" labelOnly="1" outline="0" fieldPosition="0">
        <references count="5">
          <reference field="3" count="2">
            <x v="3"/>
            <x v="5"/>
          </reference>
          <reference field="8" count="1" selected="0">
            <x v="6"/>
          </reference>
          <reference field="9" count="1" selected="0">
            <x v="46"/>
          </reference>
          <reference field="15" count="1" selected="0">
            <x v="55"/>
          </reference>
          <reference field="16" count="1" selected="0">
            <x v="3"/>
          </reference>
        </references>
      </pivotArea>
    </format>
    <format dxfId="742">
      <pivotArea dataOnly="0" labelOnly="1" outline="0" fieldPosition="0">
        <references count="5">
          <reference field="3" count="1">
            <x v="5"/>
          </reference>
          <reference field="8" count="1" selected="0">
            <x v="10"/>
          </reference>
          <reference field="9" count="1" selected="0">
            <x v="55"/>
          </reference>
          <reference field="15" count="1" selected="0">
            <x v="3"/>
          </reference>
          <reference field="16" count="1" selected="0">
            <x v="3"/>
          </reference>
        </references>
      </pivotArea>
    </format>
    <format dxfId="743">
      <pivotArea dataOnly="0" labelOnly="1" outline="0" fieldPosition="0">
        <references count="5">
          <reference field="3" count="2">
            <x v="1"/>
            <x v="4"/>
          </reference>
          <reference field="8" count="1" selected="0">
            <x v="8"/>
          </reference>
          <reference field="9" count="1" selected="0">
            <x v="58"/>
          </reference>
          <reference field="15" count="1" selected="0">
            <x v="57"/>
          </reference>
          <reference field="16" count="1" selected="0">
            <x v="3"/>
          </reference>
        </references>
      </pivotArea>
    </format>
    <format dxfId="744">
      <pivotArea dataOnly="0" labelOnly="1" outline="0" fieldPosition="0">
        <references count="5">
          <reference field="3" count="2">
            <x v="1"/>
            <x v="5"/>
          </reference>
          <reference field="8" count="1" selected="0">
            <x v="67"/>
          </reference>
          <reference field="9" count="1" selected="0">
            <x v="66"/>
          </reference>
          <reference field="15" count="1" selected="0">
            <x v="68"/>
          </reference>
          <reference field="16" count="1" selected="0">
            <x v="3"/>
          </reference>
        </references>
      </pivotArea>
    </format>
    <format dxfId="745">
      <pivotArea dataOnly="0" labelOnly="1" outline="0" fieldPosition="0">
        <references count="5">
          <reference field="3" count="2">
            <x v="1"/>
            <x v="5"/>
          </reference>
          <reference field="8" count="1" selected="0">
            <x v="67"/>
          </reference>
          <reference field="9" count="1" selected="0">
            <x v="67"/>
          </reference>
          <reference field="15" count="1" selected="0">
            <x v="69"/>
          </reference>
          <reference field="16" count="1" selected="0">
            <x v="3"/>
          </reference>
        </references>
      </pivotArea>
    </format>
    <format dxfId="746">
      <pivotArea dataOnly="0" labelOnly="1" outline="0" fieldPosition="0">
        <references count="5">
          <reference field="3" count="1">
            <x v="3"/>
          </reference>
          <reference field="8" count="1" selected="0">
            <x v="39"/>
          </reference>
          <reference field="9" count="1" selected="0">
            <x v="5"/>
          </reference>
          <reference field="15" count="1" selected="0">
            <x v="22"/>
          </reference>
          <reference field="16" count="1" selected="0">
            <x v="9"/>
          </reference>
        </references>
      </pivotArea>
    </format>
    <format dxfId="747">
      <pivotArea dataOnly="0" labelOnly="1" outline="0" fieldPosition="0">
        <references count="5">
          <reference field="3" count="1">
            <x v="3"/>
          </reference>
          <reference field="8" count="1" selected="0">
            <x v="39"/>
          </reference>
          <reference field="9" count="1" selected="0">
            <x v="13"/>
          </reference>
          <reference field="15" count="1" selected="0">
            <x v="7"/>
          </reference>
          <reference field="16" count="1" selected="0">
            <x v="9"/>
          </reference>
        </references>
      </pivotArea>
    </format>
    <format dxfId="748">
      <pivotArea dataOnly="0" labelOnly="1" outline="0" fieldPosition="0">
        <references count="5">
          <reference field="3" count="1">
            <x v="3"/>
          </reference>
          <reference field="8" count="1" selected="0">
            <x v="0"/>
          </reference>
          <reference field="9" count="1" selected="0">
            <x v="54"/>
          </reference>
          <reference field="15" count="1" selected="0">
            <x v="34"/>
          </reference>
          <reference field="16" count="1" selected="0">
            <x v="9"/>
          </reference>
        </references>
      </pivotArea>
    </format>
    <format dxfId="749">
      <pivotArea dataOnly="0" labelOnly="1" outline="0" fieldPosition="0">
        <references count="5">
          <reference field="3" count="1">
            <x v="1"/>
          </reference>
          <reference field="8" count="1" selected="0">
            <x v="32"/>
          </reference>
          <reference field="9" count="1" selected="0">
            <x v="4"/>
          </reference>
          <reference field="15" count="1" selected="0">
            <x v="58"/>
          </reference>
          <reference field="16" count="1" selected="0">
            <x v="10"/>
          </reference>
        </references>
      </pivotArea>
    </format>
    <format dxfId="750">
      <pivotArea dataOnly="0" labelOnly="1" outline="0" fieldPosition="0">
        <references count="5">
          <reference field="3" count="1">
            <x v="1"/>
          </reference>
          <reference field="8" count="1" selected="0">
            <x v="69"/>
          </reference>
          <reference field="9" count="1" selected="0">
            <x v="18"/>
          </reference>
          <reference field="15" count="1" selected="0">
            <x v="62"/>
          </reference>
          <reference field="16" count="1" selected="0">
            <x v="10"/>
          </reference>
        </references>
      </pivotArea>
    </format>
    <format dxfId="751">
      <pivotArea dataOnly="0" labelOnly="1" outline="0" fieldPosition="0">
        <references count="5">
          <reference field="3" count="1">
            <x v="1"/>
          </reference>
          <reference field="8" count="1" selected="0">
            <x v="32"/>
          </reference>
          <reference field="9" count="1" selected="0">
            <x v="28"/>
          </reference>
          <reference field="15" count="1" selected="0">
            <x v="59"/>
          </reference>
          <reference field="16" count="1" selected="0">
            <x v="10"/>
          </reference>
        </references>
      </pivotArea>
    </format>
    <format dxfId="752">
      <pivotArea dataOnly="0" labelOnly="1" outline="0" fieldPosition="0">
        <references count="5">
          <reference field="3" count="3">
            <x v="0"/>
            <x v="1"/>
            <x v="4"/>
          </reference>
          <reference field="8" count="1" selected="0">
            <x v="1"/>
          </reference>
          <reference field="9" count="1" selected="0">
            <x v="29"/>
          </reference>
          <reference field="15" count="1" selected="0">
            <x v="52"/>
          </reference>
          <reference field="16" count="1" selected="0">
            <x v="10"/>
          </reference>
        </references>
      </pivotArea>
    </format>
    <format dxfId="753">
      <pivotArea dataOnly="0" labelOnly="1" outline="0" fieldPosition="0">
        <references count="5">
          <reference field="3" count="3">
            <x v="0"/>
            <x v="1"/>
            <x v="4"/>
          </reference>
          <reference field="8" count="1" selected="0">
            <x v="1"/>
          </reference>
          <reference field="9" count="1" selected="0">
            <x v="30"/>
          </reference>
          <reference field="15" count="1" selected="0">
            <x v="53"/>
          </reference>
          <reference field="16" count="1" selected="0">
            <x v="10"/>
          </reference>
        </references>
      </pivotArea>
    </format>
    <format dxfId="754">
      <pivotArea dataOnly="0" labelOnly="1" outline="0" fieldPosition="0">
        <references count="5">
          <reference field="3" count="1">
            <x v="1"/>
          </reference>
          <reference field="8" count="1" selected="0">
            <x v="69"/>
          </reference>
          <reference field="9" count="1" selected="0">
            <x v="38"/>
          </reference>
          <reference field="15" count="1" selected="0">
            <x v="61"/>
          </reference>
          <reference field="16" count="1" selected="0">
            <x v="10"/>
          </reference>
        </references>
      </pivotArea>
    </format>
    <format dxfId="755">
      <pivotArea dataOnly="0" labelOnly="1" outline="0" fieldPosition="0">
        <references count="5">
          <reference field="3" count="3">
            <x v="0"/>
            <x v="2"/>
            <x v="3"/>
          </reference>
          <reference field="8" count="1" selected="0">
            <x v="38"/>
          </reference>
          <reference field="9" count="1" selected="0">
            <x v="56"/>
          </reference>
          <reference field="15" count="1" selected="0">
            <x v="45"/>
          </reference>
          <reference field="16" count="1" selected="0">
            <x v="10"/>
          </reference>
        </references>
      </pivotArea>
    </format>
    <format dxfId="756">
      <pivotArea dataOnly="0" labelOnly="1" outline="0" fieldPosition="0">
        <references count="5">
          <reference field="3" count="1">
            <x v="0"/>
          </reference>
          <reference field="8" count="1" selected="0">
            <x v="55"/>
          </reference>
          <reference field="9" count="1" selected="0">
            <x v="15"/>
          </reference>
          <reference field="15" count="1" selected="0">
            <x v="64"/>
          </reference>
          <reference field="16" count="1" selected="0">
            <x v="11"/>
          </reference>
        </references>
      </pivotArea>
    </format>
    <format dxfId="757">
      <pivotArea dataOnly="0" labelOnly="1" outline="0" fieldPosition="0">
        <references count="5">
          <reference field="3" count="1">
            <x v="3"/>
          </reference>
          <reference field="8" count="1" selected="0">
            <x v="19"/>
          </reference>
          <reference field="9" count="1" selected="0">
            <x v="16"/>
          </reference>
          <reference field="15" count="1" selected="0">
            <x v="18"/>
          </reference>
          <reference field="16" count="1" selected="0">
            <x v="11"/>
          </reference>
        </references>
      </pivotArea>
    </format>
    <format dxfId="758">
      <pivotArea dataOnly="0" labelOnly="1" outline="0" fieldPosition="0">
        <references count="5">
          <reference field="3" count="1">
            <x v="3"/>
          </reference>
          <reference field="8" count="1" selected="0">
            <x v="54"/>
          </reference>
          <reference field="9" count="1" selected="0">
            <x v="16"/>
          </reference>
          <reference field="15" count="1" selected="0">
            <x v="18"/>
          </reference>
          <reference field="16" count="1" selected="0">
            <x v="11"/>
          </reference>
        </references>
      </pivotArea>
    </format>
    <format dxfId="759">
      <pivotArea dataOnly="0" labelOnly="1" outline="0" fieldPosition="0">
        <references count="5">
          <reference field="3" count="2">
            <x v="0"/>
            <x v="1"/>
          </reference>
          <reference field="8" count="1" selected="0">
            <x v="30"/>
          </reference>
          <reference field="9" count="1" selected="0">
            <x v="18"/>
          </reference>
          <reference field="15" count="1" selected="0">
            <x v="62"/>
          </reference>
          <reference field="16" count="1" selected="0">
            <x v="11"/>
          </reference>
        </references>
      </pivotArea>
    </format>
    <format dxfId="760">
      <pivotArea dataOnly="0" labelOnly="1" outline="0" fieldPosition="0">
        <references count="5">
          <reference field="3" count="4">
            <x v="1"/>
            <x v="2"/>
            <x v="3"/>
            <x v="4"/>
          </reference>
          <reference field="8" count="1" selected="0">
            <x v="19"/>
          </reference>
          <reference field="9" count="1" selected="0">
            <x v="20"/>
          </reference>
          <reference field="15" count="1" selected="0">
            <x v="40"/>
          </reference>
          <reference field="16" count="1" selected="0">
            <x v="11"/>
          </reference>
        </references>
      </pivotArea>
    </format>
    <format dxfId="761">
      <pivotArea dataOnly="0" labelOnly="1" outline="0" fieldPosition="0">
        <references count="5">
          <reference field="3" count="1">
            <x v="3"/>
          </reference>
          <reference field="8" count="1" selected="0">
            <x v="51"/>
          </reference>
          <reference field="9" count="1" selected="0">
            <x v="21"/>
          </reference>
          <reference field="15" count="1" selected="0">
            <x v="1"/>
          </reference>
          <reference field="16" count="1" selected="0">
            <x v="11"/>
          </reference>
        </references>
      </pivotArea>
    </format>
    <format dxfId="762">
      <pivotArea dataOnly="0" labelOnly="1" outline="0" fieldPosition="0">
        <references count="5">
          <reference field="3" count="1">
            <x v="1"/>
          </reference>
          <reference field="8" count="1" selected="0">
            <x v="26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11"/>
          </reference>
        </references>
      </pivotArea>
    </format>
    <format dxfId="763">
      <pivotArea dataOnly="0" labelOnly="1" outline="0" fieldPosition="0">
        <references count="5">
          <reference field="3" count="1">
            <x v="3"/>
          </reference>
          <reference field="8" count="1" selected="0">
            <x v="29"/>
          </reference>
          <reference field="9" count="1" selected="0">
            <x v="26"/>
          </reference>
          <reference field="15" count="1" selected="0">
            <x v="29"/>
          </reference>
          <reference field="16" count="1" selected="0">
            <x v="11"/>
          </reference>
        </references>
      </pivotArea>
    </format>
    <format dxfId="764">
      <pivotArea dataOnly="0" labelOnly="1" outline="0" fieldPosition="0">
        <references count="5">
          <reference field="3" count="1">
            <x v="0"/>
          </reference>
          <reference field="8" count="1" selected="0">
            <x v="27"/>
          </reference>
          <reference field="9" count="1" selected="0">
            <x v="31"/>
          </reference>
          <reference field="15" count="1" selected="0">
            <x v="47"/>
          </reference>
          <reference field="16" count="1" selected="0">
            <x v="11"/>
          </reference>
        </references>
      </pivotArea>
    </format>
    <format dxfId="765">
      <pivotArea dataOnly="0" labelOnly="1" outline="0" fieldPosition="0">
        <references count="5">
          <reference field="3" count="2">
            <x v="4"/>
            <x v="5"/>
          </reference>
          <reference field="8" count="1" selected="0">
            <x v="45"/>
          </reference>
          <reference field="9" count="1" selected="0">
            <x v="33"/>
          </reference>
          <reference field="15" count="1" selected="0">
            <x v="51"/>
          </reference>
          <reference field="16" count="1" selected="0">
            <x v="11"/>
          </reference>
        </references>
      </pivotArea>
    </format>
    <format dxfId="766">
      <pivotArea dataOnly="0" labelOnly="1" outline="0" fieldPosition="0">
        <references count="5">
          <reference field="3" count="1">
            <x v="3"/>
          </reference>
          <reference field="8" count="1" selected="0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 selected="0">
            <x v="11"/>
          </reference>
        </references>
      </pivotArea>
    </format>
    <format dxfId="767">
      <pivotArea dataOnly="0" labelOnly="1" outline="0" fieldPosition="0">
        <references count="5">
          <reference field="3" count="1">
            <x v="0"/>
          </reference>
          <reference field="8" count="1" selected="0">
            <x v="55"/>
          </reference>
          <reference field="9" count="1" selected="0">
            <x v="37"/>
          </reference>
          <reference field="15" count="1" selected="0">
            <x v="43"/>
          </reference>
          <reference field="16" count="1" selected="0">
            <x v="11"/>
          </reference>
        </references>
      </pivotArea>
    </format>
    <format dxfId="768">
      <pivotArea dataOnly="0" labelOnly="1" outline="0" fieldPosition="0">
        <references count="5">
          <reference field="3" count="2">
            <x v="0"/>
            <x v="1"/>
          </reference>
          <reference field="8" count="1" selected="0">
            <x v="30"/>
          </reference>
          <reference field="9" count="1" selected="0">
            <x v="38"/>
          </reference>
          <reference field="15" count="1" selected="0">
            <x v="61"/>
          </reference>
          <reference field="16" count="1" selected="0">
            <x v="11"/>
          </reference>
        </references>
      </pivotArea>
    </format>
    <format dxfId="769">
      <pivotArea dataOnly="0" labelOnly="1" outline="0" fieldPosition="0">
        <references count="5">
          <reference field="3" count="1">
            <x v="4"/>
          </reference>
          <reference field="8" count="1" selected="0">
            <x v="19"/>
          </reference>
          <reference field="9" count="1" selected="0">
            <x v="46"/>
          </reference>
          <reference field="15" count="1" selected="0">
            <x v="55"/>
          </reference>
          <reference field="16" count="1" selected="0">
            <x v="11"/>
          </reference>
        </references>
      </pivotArea>
    </format>
    <format dxfId="770">
      <pivotArea dataOnly="0" labelOnly="1" outline="0" fieldPosition="0">
        <references count="5">
          <reference field="3" count="1">
            <x v="3"/>
          </reference>
          <reference field="8" count="1" selected="0">
            <x v="57"/>
          </reference>
          <reference field="9" count="1" selected="0">
            <x v="47"/>
          </reference>
          <reference field="15" count="1" selected="0">
            <x v="2"/>
          </reference>
          <reference field="16" count="1" selected="0">
            <x v="11"/>
          </reference>
        </references>
      </pivotArea>
    </format>
    <format dxfId="771">
      <pivotArea dataOnly="0" labelOnly="1" outline="0" fieldPosition="0">
        <references count="5">
          <reference field="3" count="2">
            <x v="0"/>
            <x v="3"/>
          </reference>
          <reference field="8" count="1" selected="0">
            <x v="3"/>
          </reference>
          <reference field="9" count="1" selected="0">
            <x v="50"/>
          </reference>
          <reference field="15" count="1" selected="0">
            <x v="41"/>
          </reference>
          <reference field="16" count="1" selected="0">
            <x v="11"/>
          </reference>
        </references>
      </pivotArea>
    </format>
    <format dxfId="772">
      <pivotArea dataOnly="0" labelOnly="1" outline="0" fieldPosition="0">
        <references count="5">
          <reference field="3" count="1">
            <x v="0"/>
          </reference>
          <reference field="8" count="1" selected="0">
            <x v="46"/>
          </reference>
          <reference field="9" count="1" selected="0">
            <x v="51"/>
          </reference>
          <reference field="15" count="1" selected="0">
            <x v="27"/>
          </reference>
          <reference field="16" count="1" selected="0">
            <x v="11"/>
          </reference>
        </references>
      </pivotArea>
    </format>
    <format dxfId="773">
      <pivotArea dataOnly="0" labelOnly="1" outline="0" fieldPosition="0">
        <references count="5">
          <reference field="3" count="1">
            <x v="0"/>
          </reference>
          <reference field="8" count="1" selected="0">
            <x v="54"/>
          </reference>
          <reference field="9" count="1" selected="0">
            <x v="52"/>
          </reference>
          <reference field="15" count="1" selected="0">
            <x v="39"/>
          </reference>
          <reference field="16" count="1" selected="0">
            <x v="11"/>
          </reference>
        </references>
      </pivotArea>
    </format>
    <format dxfId="774">
      <pivotArea dataOnly="0" labelOnly="1" outline="0" fieldPosition="0">
        <references count="5">
          <reference field="3" count="1">
            <x v="3"/>
          </reference>
          <reference field="8" count="1" selected="0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 selected="0">
            <x v="11"/>
          </reference>
        </references>
      </pivotArea>
    </format>
    <format dxfId="775">
      <pivotArea dataOnly="0" labelOnly="1" outline="0" fieldPosition="0">
        <references count="5">
          <reference field="3" count="1">
            <x v="0"/>
          </reference>
          <reference field="8" count="1" selected="0">
            <x v="27"/>
          </reference>
          <reference field="9" count="1" selected="0">
            <x v="60"/>
          </reference>
          <reference field="15" count="1" selected="0">
            <x v="48"/>
          </reference>
          <reference field="16" count="1" selected="0">
            <x v="11"/>
          </reference>
        </references>
      </pivotArea>
    </format>
    <format dxfId="776">
      <pivotArea dataOnly="0" labelOnly="1" outline="0" fieldPosition="0">
        <references count="5">
          <reference field="3" count="1">
            <x v="6"/>
          </reference>
          <reference field="8" count="1" selected="0">
            <x v="70"/>
          </reference>
          <reference field="9" count="1" selected="0">
            <x v="68"/>
          </reference>
          <reference field="15" count="1" selected="0">
            <x v="70"/>
          </reference>
          <reference field="16" count="1" selected="0">
            <x v="13"/>
          </reference>
        </references>
      </pivotArea>
    </format>
    <format dxfId="77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F762" firstHeaderRow="1" firstDataRow="1" firstDataCol="5"/>
  <pivotFields count="17">
    <pivotField showAll="0">
      <items count="24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939"/>
        <item t="default"/>
      </items>
    </pivotField>
    <pivotField numFmtId="58" showAll="0"/>
    <pivotField showAll="0"/>
    <pivotField axis="axisRow" insertPageBreak="1" sumSubtotal="1" outline="0" showAll="0" includeNewItemsInFilter="1">
      <items count="54">
        <item x="41"/>
        <item x="10"/>
        <item x="9"/>
        <item x="22"/>
        <item x="34"/>
        <item x="8"/>
        <item x="52"/>
        <item x="47"/>
        <item x="40"/>
        <item x="0"/>
        <item x="25"/>
        <item x="30"/>
        <item x="6"/>
        <item x="21"/>
        <item x="26"/>
        <item x="35"/>
        <item x="7"/>
        <item x="24"/>
        <item x="38"/>
        <item x="39"/>
        <item x="5"/>
        <item x="12"/>
        <item x="49"/>
        <item x="32"/>
        <item x="1"/>
        <item x="2"/>
        <item x="3"/>
        <item x="4"/>
        <item x="11"/>
        <item x="13"/>
        <item x="14"/>
        <item x="15"/>
        <item x="16"/>
        <item x="17"/>
        <item x="18"/>
        <item x="19"/>
        <item x="20"/>
        <item x="23"/>
        <item x="27"/>
        <item x="28"/>
        <item x="29"/>
        <item x="31"/>
        <item x="33"/>
        <item x="36"/>
        <item x="37"/>
        <item x="42"/>
        <item x="43"/>
        <item x="44"/>
        <item x="45"/>
        <item x="46"/>
        <item x="48"/>
        <item x="50"/>
        <item x="51"/>
        <item t="sum"/>
      </items>
    </pivotField>
    <pivotField showAll="0"/>
    <pivotField showAll="0"/>
    <pivotField showAll="0"/>
    <pivotField showAll="0"/>
    <pivotField axis="axisRow" insertPageBreak="1" defaultSubtotal="0" outline="0" showAll="0" includeNewItemsInFilter="1">
      <items count="85">
        <item x="68"/>
        <item x="13"/>
        <item x="3"/>
        <item x="35"/>
        <item x="67"/>
        <item x="21"/>
        <item x="4"/>
        <item x="76"/>
        <item x="17"/>
        <item x="30"/>
        <item x="25"/>
        <item x="11"/>
        <item x="10"/>
        <item x="7"/>
        <item x="65"/>
        <item x="34"/>
        <item x="58"/>
        <item x="47"/>
        <item x="45"/>
        <item x="0"/>
        <item x="6"/>
        <item x="9"/>
        <item x="59"/>
        <item x="42"/>
        <item x="57"/>
        <item x="8"/>
        <item x="23"/>
        <item x="16"/>
        <item x="19"/>
        <item x="50"/>
        <item x="20"/>
        <item x="32"/>
        <item x="33"/>
        <item x="63"/>
        <item x="62"/>
        <item x="41"/>
        <item x="60"/>
        <item x="74"/>
        <item x="14"/>
        <item x="69"/>
        <item x="53"/>
        <item x="70"/>
        <item x="66"/>
        <item x="36"/>
        <item x="82"/>
        <item x="31"/>
        <item x="2"/>
        <item x="71"/>
        <item x="12"/>
        <item x="78"/>
        <item x="61"/>
        <item x="49"/>
        <item x="40"/>
        <item x="43"/>
        <item x="28"/>
        <item x="15"/>
        <item x="64"/>
        <item x="48"/>
        <item x="44"/>
        <item x="22"/>
        <item x="24"/>
        <item x="79"/>
        <item x="1"/>
        <item x="75"/>
        <item x="73"/>
        <item x="72"/>
        <item x="27"/>
        <item x="26"/>
        <item x="37"/>
        <item x="29"/>
        <item x="84"/>
        <item x="80"/>
        <item x="83"/>
        <item x="18"/>
        <item x="38"/>
        <item x="5"/>
        <item x="39"/>
        <item x="46"/>
        <item x="51"/>
        <item x="52"/>
        <item x="54"/>
        <item x="55"/>
        <item x="56"/>
        <item x="77"/>
        <item x="81"/>
      </items>
    </pivotField>
    <pivotField axis="axisRow" insertPageBreak="1" defaultSubtotal="0" outline="0" showAll="0" includeNewItemsInFilter="1">
      <items count="135">
        <item x="76"/>
        <item x="40"/>
        <item x="93"/>
        <item x="21"/>
        <item x="63"/>
        <item x="108"/>
        <item x="122"/>
        <item x="11"/>
        <item x="95"/>
        <item x="18"/>
        <item x="86"/>
        <item x="120"/>
        <item x="121"/>
        <item x="114"/>
        <item x="109"/>
        <item x="46"/>
        <item x="59"/>
        <item x="101"/>
        <item x="56"/>
        <item x="20"/>
        <item x="42"/>
        <item x="88"/>
        <item x="99"/>
        <item x="43"/>
        <item x="98"/>
        <item x="87"/>
        <item x="111"/>
        <item x="89"/>
        <item x="79"/>
        <item x="25"/>
        <item x="24"/>
        <item x="53"/>
        <item x="117"/>
        <item x="68"/>
        <item x="51"/>
        <item x="90"/>
        <item x="85"/>
        <item x="28"/>
        <item x="55"/>
        <item x="77"/>
        <item x="13"/>
        <item x="65"/>
        <item x="19"/>
        <item x="94"/>
        <item x="97"/>
        <item x="118"/>
        <item x="0"/>
        <item x="116"/>
        <item x="83"/>
        <item x="12"/>
        <item x="29"/>
        <item x="49"/>
        <item x="34"/>
        <item x="78"/>
        <item x="112"/>
        <item x="48"/>
        <item x="26"/>
        <item x="52"/>
        <item x="32"/>
        <item x="15"/>
        <item x="54"/>
        <item x="84"/>
        <item x="14"/>
        <item x="80"/>
        <item x="81"/>
        <item m="1" x="128"/>
        <item x="7"/>
        <item x="50"/>
        <item x="127"/>
        <item x="123"/>
        <item x="124"/>
        <item x="70"/>
        <item x="57"/>
        <item x="58"/>
        <item x="38"/>
        <item x="69"/>
        <item x="105"/>
        <item x="5"/>
        <item x="3"/>
        <item x="44"/>
        <item x="106"/>
        <item x="62"/>
        <item x="61"/>
        <item x="27"/>
        <item x="36"/>
        <item x="37"/>
        <item x="39"/>
        <item x="47"/>
        <item x="22"/>
        <item x="23"/>
        <item x="30"/>
        <item x="31"/>
        <item x="35"/>
        <item x="104"/>
        <item x="2"/>
        <item x="113"/>
        <item x="96"/>
        <item x="45"/>
        <item x="64"/>
        <item x="4"/>
        <item x="66"/>
        <item x="67"/>
        <item x="41"/>
        <item x="9"/>
        <item x="115"/>
        <item x="60"/>
        <item x="102"/>
        <item x="1"/>
        <item x="82"/>
        <item x="107"/>
        <item x="110"/>
        <item x="6"/>
        <item x="8"/>
        <item x="10"/>
        <item x="16"/>
        <item x="17"/>
        <item x="33"/>
        <item x="72"/>
        <item x="73"/>
        <item x="74"/>
        <item x="75"/>
        <item m="1" x="129"/>
        <item m="1" x="130"/>
        <item x="92"/>
        <item m="1" x="131"/>
        <item m="1" x="132"/>
        <item m="1" x="133"/>
        <item m="1" x="134"/>
        <item x="125"/>
        <item x="126"/>
        <item x="100"/>
        <item x="103"/>
        <item x="91"/>
        <item x="71"/>
        <item x="119"/>
      </items>
    </pivotField>
    <pivotField showAll="0"/>
    <pivotField showAll="0"/>
    <pivotField showAll="0"/>
    <pivotField showAll="0"/>
    <pivotField dataField="1" numFmtId="181" showAll="0">
      <items count="1112">
        <item x="40"/>
        <item x="502"/>
        <item x="536"/>
        <item x="489"/>
        <item x="377"/>
        <item x="405"/>
        <item x="378"/>
        <item x="458"/>
        <item x="371"/>
        <item x="456"/>
        <item x="459"/>
        <item x="434"/>
        <item x="477"/>
        <item x="1103"/>
        <item x="460"/>
        <item x="560"/>
        <item x="424"/>
        <item x="539"/>
        <item x="406"/>
        <item x="461"/>
        <item x="476"/>
        <item x="472"/>
        <item x="1098"/>
        <item x="1078"/>
        <item x="483"/>
        <item x="353"/>
        <item x="513"/>
        <item x="323"/>
        <item x="288"/>
        <item x="880"/>
        <item x="369"/>
        <item x="503"/>
        <item x="1089"/>
        <item x="379"/>
        <item x="548"/>
        <item x="435"/>
        <item x="831"/>
        <item x="478"/>
        <item x="298"/>
        <item x="376"/>
        <item x="508"/>
        <item x="526"/>
        <item x="480"/>
        <item x="407"/>
        <item x="843"/>
        <item x="467"/>
        <item x="744"/>
        <item x="527"/>
        <item x="368"/>
        <item x="436"/>
        <item x="500"/>
        <item x="429"/>
        <item x="569"/>
        <item x="750"/>
        <item x="563"/>
        <item x="366"/>
        <item x="899"/>
        <item x="540"/>
        <item x="632"/>
        <item x="1092"/>
        <item x="1071"/>
        <item x="1084"/>
        <item x="688"/>
        <item x="1101"/>
        <item x="352"/>
        <item x="660"/>
        <item x="109"/>
        <item x="301"/>
        <item x="1090"/>
        <item x="584"/>
        <item x="936"/>
        <item x="544"/>
        <item x="700"/>
        <item x="474"/>
        <item x="514"/>
        <item x="307"/>
        <item x="832"/>
        <item x="1068"/>
        <item x="826"/>
        <item x="713"/>
        <item x="551"/>
        <item x="1064"/>
        <item x="828"/>
        <item x="568"/>
        <item x="547"/>
        <item x="726"/>
        <item x="1079"/>
        <item x="715"/>
        <item x="92"/>
        <item x="506"/>
        <item x="1099"/>
        <item x="487"/>
        <item x="825"/>
        <item x="286"/>
        <item x="980"/>
        <item x="829"/>
        <item x="566"/>
        <item x="453"/>
        <item x="463"/>
        <item x="819"/>
        <item x="1085"/>
        <item x="745"/>
        <item x="921"/>
        <item x="1096"/>
        <item x="972"/>
        <item x="565"/>
        <item x="655"/>
        <item x="926"/>
        <item x="763"/>
        <item x="1081"/>
        <item x="830"/>
        <item x="861"/>
        <item x="965"/>
        <item x="833"/>
        <item x="658"/>
        <item x="1034"/>
        <item x="962"/>
        <item x="827"/>
        <item x="313"/>
        <item x="724"/>
        <item x="1072"/>
        <item x="721"/>
        <item x="1094"/>
        <item x="742"/>
        <item x="857"/>
        <item x="767"/>
        <item x="979"/>
        <item x="581"/>
        <item x="725"/>
        <item x="373"/>
        <item x="439"/>
        <item x="917"/>
        <item x="455"/>
        <item x="343"/>
        <item x="653"/>
        <item x="738"/>
        <item x="884"/>
        <item x="768"/>
        <item x="1033"/>
        <item x="509"/>
        <item x="807"/>
        <item x="931"/>
        <item x="1095"/>
        <item x="849"/>
        <item x="741"/>
        <item x="1075"/>
        <item x="678"/>
        <item x="928"/>
        <item x="815"/>
        <item x="994"/>
        <item x="543"/>
        <item x="493"/>
        <item x="654"/>
        <item x="870"/>
        <item x="292"/>
        <item x="645"/>
        <item x="898"/>
        <item x="973"/>
        <item x="718"/>
        <item x="874"/>
        <item x="818"/>
        <item x="638"/>
        <item x="1070"/>
        <item x="644"/>
        <item x="918"/>
        <item x="755"/>
        <item x="1027"/>
        <item x="656"/>
        <item x="934"/>
        <item x="816"/>
        <item x="1102"/>
        <item x="974"/>
        <item x="712"/>
        <item x="932"/>
        <item x="749"/>
        <item x="947"/>
        <item x="858"/>
        <item x="748"/>
        <item x="967"/>
        <item x="935"/>
        <item x="550"/>
        <item x="319"/>
        <item x="823"/>
        <item x="964"/>
        <item x="877"/>
        <item x="716"/>
        <item x="754"/>
        <item x="1030"/>
        <item x="990"/>
        <item x="388"/>
        <item x="762"/>
        <item x="1077"/>
        <item x="631"/>
        <item x="1058"/>
        <item x="978"/>
        <item x="312"/>
        <item x="683"/>
        <item x="419"/>
        <item x="966"/>
        <item x="853"/>
        <item x="704"/>
        <item x="736"/>
        <item x="1057"/>
        <item x="348"/>
        <item x="839"/>
        <item x="648"/>
        <item x="733"/>
        <item x="1069"/>
        <item x="879"/>
        <item x="702"/>
        <item x="751"/>
        <item x="963"/>
        <item x="848"/>
        <item x="705"/>
        <item x="814"/>
        <item x="958"/>
        <item x="919"/>
        <item x="647"/>
        <item x="579"/>
        <item x="940"/>
        <item x="847"/>
        <item x="657"/>
        <item x="91"/>
        <item x="316"/>
        <item x="989"/>
        <item x="485"/>
        <item x="758"/>
        <item x="1032"/>
        <item x="846"/>
        <item x="646"/>
        <item x="760"/>
        <item x="1048"/>
        <item x="842"/>
        <item x="714"/>
        <item x="730"/>
        <item x="723"/>
        <item x="735"/>
        <item x="953"/>
        <item x="924"/>
        <item x="673"/>
        <item x="770"/>
        <item x="957"/>
        <item x="852"/>
        <item x="997"/>
        <item x="882"/>
        <item x="676"/>
        <item x="743"/>
        <item x="1097"/>
        <item x="977"/>
        <item x="706"/>
        <item x="737"/>
        <item x="855"/>
        <item x="959"/>
        <item x="383"/>
        <item x="739"/>
        <item x="838"/>
        <item x="1044"/>
        <item x="995"/>
        <item x="731"/>
        <item x="923"/>
        <item x="948"/>
        <item x="633"/>
        <item x="868"/>
        <item x="949"/>
        <item x="710"/>
        <item x="795"/>
        <item x="845"/>
        <item x="981"/>
        <item x="679"/>
        <item x="766"/>
        <item x="872"/>
        <item x="1031"/>
        <item x="623"/>
        <item x="734"/>
        <item x="916"/>
        <item x="425"/>
        <item x="968"/>
        <item x="707"/>
        <item x="803"/>
        <item x="446"/>
        <item x="640"/>
        <item x="866"/>
        <item x="556"/>
        <item x="1028"/>
        <item x="975"/>
        <item x="511"/>
        <item x="773"/>
        <item x="869"/>
        <item x="465"/>
        <item x="987"/>
        <item x="804"/>
        <item x="630"/>
        <item x="946"/>
        <item x="820"/>
        <item x="659"/>
        <item x="883"/>
        <item x="993"/>
        <item x="765"/>
        <item x="703"/>
        <item x="95"/>
        <item x="844"/>
        <item x="1029"/>
        <item x="955"/>
        <item x="753"/>
        <item x="625"/>
        <item x="354"/>
        <item x="856"/>
        <item x="939"/>
        <item x="617"/>
        <item x="937"/>
        <item x="1065"/>
        <item x="960"/>
        <item x="696"/>
        <item x="915"/>
        <item x="284"/>
        <item x="998"/>
        <item x="752"/>
        <item x="693"/>
        <item x="876"/>
        <item x="1067"/>
        <item x="943"/>
        <item x="757"/>
        <item x="920"/>
        <item x="720"/>
        <item x="837"/>
        <item x="778"/>
        <item x="1083"/>
        <item x="971"/>
        <item x="933"/>
        <item x="813"/>
        <item x="1047"/>
        <item x="722"/>
        <item x="850"/>
        <item x="624"/>
        <item x="970"/>
        <item x="677"/>
        <item x="542"/>
        <item x="836"/>
        <item x="732"/>
        <item x="701"/>
        <item x="929"/>
        <item x="740"/>
        <item x="1063"/>
        <item x="537"/>
        <item x="711"/>
        <item x="529"/>
        <item x="824"/>
        <item x="1041"/>
        <item x="991"/>
        <item x="681"/>
        <item x="875"/>
        <item x="806"/>
        <item x="1042"/>
        <item x="695"/>
        <item x="927"/>
        <item x="788"/>
        <item x="1073"/>
        <item x="969"/>
        <item x="652"/>
        <item x="361"/>
        <item x="873"/>
        <item x="692"/>
        <item x="1088"/>
        <item x="865"/>
        <item x="662"/>
        <item x="834"/>
        <item x="672"/>
        <item x="988"/>
        <item x="871"/>
        <item x="759"/>
        <item x="717"/>
        <item x="152"/>
        <item x="854"/>
        <item x="475"/>
        <item x="583"/>
        <item x="772"/>
        <item x="885"/>
        <item x="687"/>
        <item x="1052"/>
        <item x="893"/>
        <item x="661"/>
        <item x="985"/>
        <item x="886"/>
        <item x="771"/>
        <item x="727"/>
        <item x="860"/>
        <item x="309"/>
        <item x="531"/>
        <item x="651"/>
        <item x="942"/>
        <item x="982"/>
        <item x="359"/>
        <item x="851"/>
        <item x="802"/>
        <item x="708"/>
        <item x="902"/>
        <item x="822"/>
        <item x="719"/>
        <item x="1066"/>
        <item x="1010"/>
        <item x="913"/>
        <item x="791"/>
        <item x="675"/>
        <item x="840"/>
        <item x="346"/>
        <item x="1049"/>
        <item x="1006"/>
        <item x="907"/>
        <item x="637"/>
        <item x="801"/>
        <item x="930"/>
        <item x="878"/>
        <item x="1074"/>
        <item x="800"/>
        <item x="956"/>
        <item x="444"/>
        <item x="746"/>
        <item x="282"/>
        <item x="945"/>
        <item x="761"/>
        <item x="616"/>
        <item x="881"/>
        <item x="777"/>
        <item x="728"/>
        <item x="1051"/>
        <item x="636"/>
        <item x="774"/>
        <item x="697"/>
        <item x="992"/>
        <item x="545"/>
        <item x="674"/>
        <item x="835"/>
        <item x="1082"/>
        <item x="951"/>
        <item x="325"/>
        <item x="922"/>
        <item x="665"/>
        <item x="986"/>
        <item x="106"/>
        <item x="792"/>
        <item x="698"/>
        <item x="570"/>
        <item x="793"/>
        <item x="629"/>
        <item x="944"/>
        <item x="1059"/>
        <item x="764"/>
        <item x="370"/>
        <item x="315"/>
        <item x="859"/>
        <item x="97"/>
        <item x="1054"/>
        <item x="892"/>
        <item x="691"/>
        <item x="1053"/>
        <item x="809"/>
        <item x="709"/>
        <item x="961"/>
        <item x="779"/>
        <item x="505"/>
        <item x="484"/>
        <item x="582"/>
        <item x="562"/>
        <item x="690"/>
        <item x="1087"/>
        <item x="817"/>
        <item x="686"/>
        <item x="1040"/>
        <item x="976"/>
        <item x="498"/>
        <item x="670"/>
        <item x="769"/>
        <item x="628"/>
        <item x="784"/>
        <item x="682"/>
        <item x="785"/>
        <item x="618"/>
        <item x="575"/>
        <item x="1036"/>
        <item x="863"/>
        <item x="619"/>
        <item x="290"/>
        <item x="925"/>
        <item x="669"/>
        <item x="1043"/>
        <item x="445"/>
        <item x="909"/>
        <item x="952"/>
        <item x="448"/>
        <item x="747"/>
        <item x="622"/>
        <item x="76"/>
        <item x="864"/>
        <item x="410"/>
        <item x="1017"/>
        <item x="386"/>
        <item x="306"/>
        <item x="781"/>
        <item x="667"/>
        <item x="808"/>
        <item x="1080"/>
        <item x="950"/>
        <item x="780"/>
        <item x="663"/>
        <item x="422"/>
        <item x="620"/>
        <item x="668"/>
        <item x="841"/>
        <item x="1004"/>
        <item x="903"/>
        <item x="380"/>
        <item x="126"/>
        <item x="390"/>
        <item x="782"/>
        <item x="1008"/>
        <item x="1009"/>
        <item x="908"/>
        <item x="1050"/>
        <item x="1018"/>
        <item x="786"/>
        <item x="1046"/>
        <item x="896"/>
        <item x="418"/>
        <item x="694"/>
        <item x="999"/>
        <item x="805"/>
        <item x="1045"/>
        <item x="684"/>
        <item x="680"/>
        <item x="518"/>
        <item x="1093"/>
        <item x="621"/>
        <item x="385"/>
        <item x="1055"/>
        <item x="954"/>
        <item x="911"/>
        <item x="1019"/>
        <item x="796"/>
        <item x="182"/>
        <item x="172"/>
        <item x="1015"/>
        <item x="897"/>
        <item x="588"/>
        <item x="364"/>
        <item x="402"/>
        <item x="1014"/>
        <item x="519"/>
        <item x="627"/>
        <item x="906"/>
        <item x="321"/>
        <item x="1086"/>
        <item x="887"/>
        <item x="1003"/>
        <item x="101"/>
        <item x="904"/>
        <item x="1038"/>
        <item x="437"/>
        <item x="626"/>
        <item x="1037"/>
        <item x="685"/>
        <item x="890"/>
        <item x="1100"/>
        <item x="664"/>
        <item x="905"/>
        <item x="811"/>
        <item x="1020"/>
        <item x="889"/>
        <item x="99"/>
        <item x="609"/>
        <item x="888"/>
        <item x="1011"/>
        <item x="1007"/>
        <item x="900"/>
        <item x="1021"/>
        <item x="635"/>
        <item x="1013"/>
        <item x="794"/>
        <item x="599"/>
        <item x="641"/>
        <item x="783"/>
        <item x="1002"/>
        <item x="787"/>
        <item x="1076"/>
        <item x="1026"/>
        <item x="1016"/>
        <item x="409"/>
        <item x="891"/>
        <item x="996"/>
        <item x="666"/>
        <item x="73"/>
        <item x="1001"/>
        <item x="524"/>
        <item x="650"/>
        <item x="188"/>
        <item x="867"/>
        <item x="634"/>
        <item x="559"/>
        <item x="297"/>
        <item x="776"/>
        <item x="1005"/>
        <item x="639"/>
        <item x="90"/>
        <item x="789"/>
        <item x="671"/>
        <item x="821"/>
        <item x="517"/>
        <item x="910"/>
        <item x="1000"/>
        <item x="1091"/>
        <item x="790"/>
        <item x="649"/>
        <item x="100"/>
        <item x="1056"/>
        <item x="350"/>
        <item x="553"/>
        <item x="567"/>
        <item x="941"/>
        <item x="901"/>
        <item x="699"/>
        <item x="365"/>
        <item x="160"/>
        <item x="515"/>
        <item x="124"/>
        <item x="357"/>
        <item x="530"/>
        <item x="615"/>
        <item x="1012"/>
        <item x="497"/>
        <item x="578"/>
        <item x="454"/>
        <item x="1039"/>
        <item x="137"/>
        <item x="984"/>
        <item x="642"/>
        <item x="912"/>
        <item x="178"/>
        <item x="311"/>
        <item x="797"/>
        <item x="279"/>
        <item x="469"/>
        <item x="432"/>
        <item x="294"/>
        <item x="96"/>
        <item x="400"/>
        <item x="812"/>
        <item x="499"/>
        <item x="397"/>
        <item x="600"/>
        <item x="894"/>
        <item x="62"/>
        <item x="756"/>
        <item x="296"/>
        <item x="26"/>
        <item x="412"/>
        <item x="242"/>
        <item x="1061"/>
        <item x="414"/>
        <item x="398"/>
        <item x="895"/>
        <item x="67"/>
        <item x="168"/>
        <item x="408"/>
        <item x="516"/>
        <item x="430"/>
        <item x="470"/>
        <item x="342"/>
        <item x="303"/>
        <item x="75"/>
        <item x="154"/>
        <item x="139"/>
        <item x="491"/>
        <item x="138"/>
        <item x="591"/>
        <item x="64"/>
        <item x="1060"/>
        <item x="571"/>
        <item x="574"/>
        <item x="355"/>
        <item x="125"/>
        <item x="554"/>
        <item x="192"/>
        <item x="520"/>
        <item x="643"/>
        <item x="413"/>
        <item x="1035"/>
        <item x="495"/>
        <item x="395"/>
        <item x="74"/>
        <item x="593"/>
        <item x="334"/>
        <item x="462"/>
        <item x="450"/>
        <item x="181"/>
        <item x="372"/>
        <item x="102"/>
        <item x="525"/>
        <item x="440"/>
        <item x="393"/>
        <item x="235"/>
        <item x="449"/>
        <item x="59"/>
        <item x="577"/>
        <item x="84"/>
        <item x="983"/>
        <item x="322"/>
        <item x="799"/>
        <item x="457"/>
        <item x="689"/>
        <item x="71"/>
        <item x="281"/>
        <item x="2"/>
        <item x="468"/>
        <item x="57"/>
        <item x="431"/>
        <item x="291"/>
        <item x="127"/>
        <item x="810"/>
        <item x="533"/>
        <item x="862"/>
        <item x="234"/>
        <item x="729"/>
        <item x="381"/>
        <item x="938"/>
        <item x="341"/>
        <item x="501"/>
        <item x="360"/>
        <item x="532"/>
        <item x="608"/>
        <item x="131"/>
        <item x="72"/>
        <item x="423"/>
        <item x="775"/>
        <item x="914"/>
        <item x="345"/>
        <item x="451"/>
        <item x="180"/>
        <item x="367"/>
        <item x="427"/>
        <item x="89"/>
        <item x="447"/>
        <item x="798"/>
        <item x="305"/>
        <item x="479"/>
        <item x="333"/>
        <item x="5"/>
        <item x="4"/>
        <item x="420"/>
        <item x="396"/>
        <item x="528"/>
        <item x="411"/>
        <item x="415"/>
        <item x="504"/>
        <item x="262"/>
        <item x="104"/>
        <item x="69"/>
        <item x="65"/>
        <item x="387"/>
        <item x="295"/>
        <item x="177"/>
        <item x="82"/>
        <item x="275"/>
        <item x="159"/>
        <item x="289"/>
        <item x="123"/>
        <item x="492"/>
        <item x="81"/>
        <item x="283"/>
        <item x="404"/>
        <item x="522"/>
        <item x="538"/>
        <item x="87"/>
        <item x="83"/>
        <item x="328"/>
        <item x="256"/>
        <item x="51"/>
        <item x="541"/>
        <item x="573"/>
        <item x="358"/>
        <item x="85"/>
        <item x="173"/>
        <item x="394"/>
        <item x="391"/>
        <item x="606"/>
        <item x="259"/>
        <item x="80"/>
        <item x="561"/>
        <item x="612"/>
        <item x="308"/>
        <item x="1062"/>
        <item x="61"/>
        <item x="327"/>
        <item x="255"/>
        <item x="228"/>
        <item x="88"/>
        <item x="336"/>
        <item x="356"/>
        <item x="507"/>
        <item x="442"/>
        <item x="108"/>
        <item x="66"/>
        <item x="549"/>
        <item x="141"/>
        <item x="196"/>
        <item x="441"/>
        <item x="121"/>
        <item x="320"/>
        <item x="332"/>
        <item x="276"/>
        <item x="206"/>
        <item x="466"/>
        <item x="597"/>
        <item x="589"/>
        <item x="1"/>
        <item x="17"/>
        <item x="349"/>
        <item x="300"/>
        <item x="258"/>
        <item x="122"/>
        <item x="293"/>
        <item x="3"/>
        <item x="605"/>
        <item x="557"/>
        <item x="601"/>
        <item x="60"/>
        <item x="481"/>
        <item x="490"/>
        <item x="318"/>
        <item x="175"/>
        <item x="267"/>
        <item x="382"/>
        <item x="211"/>
        <item x="602"/>
        <item x="169"/>
        <item x="523"/>
        <item x="50"/>
        <item x="317"/>
        <item x="79"/>
        <item x="257"/>
        <item x="337"/>
        <item x="374"/>
        <item x="70"/>
        <item x="254"/>
        <item x="161"/>
        <item x="299"/>
        <item x="52"/>
        <item x="274"/>
        <item x="426"/>
        <item x="261"/>
        <item x="98"/>
        <item x="56"/>
        <item x="344"/>
        <item x="268"/>
        <item x="179"/>
        <item x="217"/>
        <item x="552"/>
        <item x="331"/>
        <item x="266"/>
        <item x="595"/>
        <item x="464"/>
        <item x="174"/>
        <item x="473"/>
        <item x="416"/>
        <item x="253"/>
        <item x="222"/>
        <item x="229"/>
        <item x="314"/>
        <item x="310"/>
        <item x="120"/>
        <item x="534"/>
        <item x="564"/>
        <item x="103"/>
        <item x="265"/>
        <item x="134"/>
        <item x="389"/>
        <item x="592"/>
        <item x="132"/>
        <item x="194"/>
        <item x="421"/>
        <item x="285"/>
        <item x="263"/>
        <item x="220"/>
        <item x="162"/>
        <item x="287"/>
        <item x="133"/>
        <item x="221"/>
        <item x="610"/>
        <item x="107"/>
        <item x="230"/>
        <item x="585"/>
        <item x="403"/>
        <item x="183"/>
        <item x="572"/>
        <item x="278"/>
        <item x="198"/>
        <item x="214"/>
        <item x="598"/>
        <item x="252"/>
        <item x="49"/>
        <item x="53"/>
        <item x="68"/>
        <item x="452"/>
        <item x="324"/>
        <item x="351"/>
        <item x="362"/>
        <item x="207"/>
        <item x="384"/>
        <item x="94"/>
        <item x="184"/>
        <item x="199"/>
        <item x="347"/>
        <item x="604"/>
        <item x="488"/>
        <item x="213"/>
        <item x="46"/>
        <item x="78"/>
        <item x="270"/>
        <item x="580"/>
        <item x="251"/>
        <item x="156"/>
        <item x="63"/>
        <item x="329"/>
        <item x="219"/>
        <item x="417"/>
        <item x="153"/>
        <item x="136"/>
        <item x="486"/>
        <item x="246"/>
        <item x="140"/>
        <item x="1107"/>
        <item x="399"/>
        <item x="47"/>
        <item x="264"/>
        <item x="546"/>
        <item x="238"/>
        <item x="271"/>
        <item x="1106"/>
        <item x="521"/>
        <item x="236"/>
        <item x="166"/>
        <item x="392"/>
        <item x="471"/>
        <item x="594"/>
        <item x="223"/>
        <item x="205"/>
        <item x="215"/>
        <item x="158"/>
        <item x="245"/>
        <item x="55"/>
        <item x="280"/>
        <item x="165"/>
        <item x="210"/>
        <item x="185"/>
        <item x="607"/>
        <item x="596"/>
        <item x="0"/>
        <item x="201"/>
        <item x="164"/>
        <item x="260"/>
        <item x="208"/>
        <item x="237"/>
        <item x="218"/>
        <item x="200"/>
        <item x="244"/>
        <item x="129"/>
        <item x="269"/>
        <item x="216"/>
        <item x="58"/>
        <item x="202"/>
        <item x="375"/>
        <item x="204"/>
        <item x="401"/>
        <item x="510"/>
        <item x="1108"/>
        <item x="555"/>
        <item x="193"/>
        <item x="212"/>
        <item x="54"/>
        <item x="157"/>
        <item x="482"/>
        <item x="338"/>
        <item x="603"/>
        <item x="135"/>
        <item x="277"/>
        <item x="176"/>
        <item x="224"/>
        <item x="496"/>
        <item x="233"/>
        <item x="155"/>
        <item x="330"/>
        <item x="241"/>
        <item x="433"/>
        <item x="304"/>
        <item x="197"/>
        <item x="231"/>
        <item x="186"/>
        <item x="335"/>
        <item x="428"/>
        <item x="232"/>
        <item x="558"/>
        <item x="613"/>
        <item x="226"/>
        <item x="209"/>
        <item x="170"/>
        <item x="494"/>
        <item x="443"/>
        <item x="1023"/>
        <item x="302"/>
        <item x="576"/>
        <item x="250"/>
        <item x="614"/>
        <item x="590"/>
        <item x="363"/>
        <item x="512"/>
        <item x="203"/>
        <item x="128"/>
        <item x="12"/>
        <item x="118"/>
        <item x="195"/>
        <item x="247"/>
        <item x="22"/>
        <item x="587"/>
        <item x="326"/>
        <item x="112"/>
        <item x="171"/>
        <item x="225"/>
        <item x="77"/>
        <item x="240"/>
        <item x="117"/>
        <item x="130"/>
        <item x="13"/>
        <item x="273"/>
        <item x="611"/>
        <item x="86"/>
        <item x="16"/>
        <item x="227"/>
        <item x="14"/>
        <item x="93"/>
        <item x="116"/>
        <item x="249"/>
        <item x="1105"/>
        <item x="25"/>
        <item x="15"/>
        <item x="143"/>
        <item x="248"/>
        <item x="119"/>
        <item x="36"/>
        <item x="272"/>
        <item x="33"/>
        <item x="243"/>
        <item x="1104"/>
        <item x="110"/>
        <item x="20"/>
        <item x="187"/>
        <item x="24"/>
        <item x="239"/>
        <item x="19"/>
        <item x="23"/>
        <item x="30"/>
        <item x="21"/>
        <item x="34"/>
        <item x="167"/>
        <item x="535"/>
        <item x="8"/>
        <item x="29"/>
        <item x="28"/>
        <item x="115"/>
        <item x="11"/>
        <item x="10"/>
        <item x="41"/>
        <item x="105"/>
        <item x="38"/>
        <item x="45"/>
        <item x="31"/>
        <item x="18"/>
        <item x="48"/>
        <item x="43"/>
        <item x="39"/>
        <item x="9"/>
        <item x="37"/>
        <item x="32"/>
        <item x="35"/>
        <item x="44"/>
        <item x="27"/>
        <item x="1024"/>
        <item x="42"/>
        <item x="111"/>
        <item x="163"/>
        <item x="189"/>
        <item x="142"/>
        <item x="339"/>
        <item x="340"/>
        <item x="1109"/>
        <item x="586"/>
        <item x="438"/>
        <item x="114"/>
        <item x="190"/>
        <item x="191"/>
        <item x="113"/>
        <item x="7"/>
        <item x="6"/>
        <item x="151"/>
        <item x="147"/>
        <item x="148"/>
        <item x="150"/>
        <item x="149"/>
        <item x="146"/>
        <item x="145"/>
        <item x="144"/>
        <item x="1025"/>
        <item x="1022"/>
        <item x="1110"/>
        <item t="default"/>
      </items>
    </pivotField>
    <pivotField axis="axisRow" insertPageBreak="1" defaultSubtotal="0" outline="0" showAll="0" includeNewItemsInFilter="1">
      <items count="125">
        <item x="6"/>
        <item x="87"/>
        <item x="114"/>
        <item x="47"/>
        <item x="86"/>
        <item x="115"/>
        <item x="118"/>
        <item x="112"/>
        <item x="89"/>
        <item x="107"/>
        <item x="85"/>
        <item x="84"/>
        <item x="88"/>
        <item x="20"/>
        <item x="92"/>
        <item x="18"/>
        <item x="93"/>
        <item x="82"/>
        <item x="58"/>
        <item x="116"/>
        <item x="15"/>
        <item x="19"/>
        <item x="106"/>
        <item x="16"/>
        <item x="17"/>
        <item x="10"/>
        <item x="11"/>
        <item x="48"/>
        <item sd="0" x="13"/>
        <item x="109"/>
        <item x="76"/>
        <item x="77"/>
        <item x="83"/>
        <item x="91"/>
        <item x="110"/>
        <item x="50"/>
        <item x="14"/>
        <item x="96"/>
        <item x="95"/>
        <item x="33"/>
        <item x="41"/>
        <item x="29"/>
        <item x="51"/>
        <item x="28"/>
        <item x="64"/>
        <item x="26"/>
        <item x="21"/>
        <item x="52"/>
        <item x="53"/>
        <item x="12"/>
        <item x="42"/>
        <item x="67"/>
        <item x="25"/>
        <item x="24"/>
        <item x="39"/>
        <item x="0"/>
        <item x="99"/>
        <item x="32"/>
        <item x="62"/>
        <item x="78"/>
        <item x="75"/>
        <item x="54"/>
        <item x="55"/>
        <item x="97"/>
        <item x="45"/>
        <item x="79"/>
        <item x="80"/>
        <item x="117"/>
        <item x="7"/>
        <item x="49"/>
        <item x="122"/>
        <item x="119"/>
        <item x="120"/>
        <item m="1" x="124"/>
        <item x="56"/>
        <item x="57"/>
        <item x="37"/>
        <item x="68"/>
        <item x="103"/>
        <item x="5"/>
        <item x="3"/>
        <item x="43"/>
        <item x="104"/>
        <item x="61"/>
        <item x="60"/>
        <item x="27"/>
        <item x="35"/>
        <item x="36"/>
        <item x="38"/>
        <item x="46"/>
        <item x="22"/>
        <item x="23"/>
        <item x="30"/>
        <item x="31"/>
        <item x="34"/>
        <item x="102"/>
        <item x="2"/>
        <item x="111"/>
        <item x="94"/>
        <item x="44"/>
        <item x="63"/>
        <item x="4"/>
        <item x="65"/>
        <item x="66"/>
        <item x="40"/>
        <item m="1" x="123"/>
        <item x="113"/>
        <item x="59"/>
        <item x="100"/>
        <item x="1"/>
        <item x="101"/>
        <item x="81"/>
        <item x="105"/>
        <item x="108"/>
        <item x="71"/>
        <item x="72"/>
        <item x="73"/>
        <item x="74"/>
        <item x="90"/>
        <item x="121"/>
        <item x="98"/>
        <item x="8"/>
        <item x="70"/>
        <item x="9"/>
        <item x="69"/>
      </items>
    </pivotField>
    <pivotField axis="axisRow" insertPageBreak="1" defaultSubtotal="0" outline="0" showAll="0" includeNewItemsInFilter="1">
      <items count="26">
        <item x="9"/>
        <item x="11"/>
        <item x="10"/>
        <item x="2"/>
        <item x="1"/>
        <item x="6"/>
        <item x="7"/>
        <item x="13"/>
        <item x="8"/>
        <item x="12"/>
        <item x="5"/>
        <item x="0"/>
        <item x="4"/>
        <item x="14"/>
        <item x="3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</items>
    </pivotField>
  </pivotFields>
  <rowFields count="5">
    <field x="3"/>
    <field x="9"/>
    <field x="15"/>
    <field x="8"/>
    <field x="16"/>
  </rowFields>
  <rowItems count="759">
    <i>
      <x/>
      <x/>
      <x v="60"/>
      <x v="53"/>
      <x v="8"/>
    </i>
    <i r="1">
      <x v="34"/>
      <x v="35"/>
      <x v="66"/>
      <x v="11"/>
    </i>
    <i r="1">
      <x v="57"/>
      <x v="42"/>
      <x v="66"/>
      <x v="11"/>
    </i>
    <i t="sum">
      <x/>
    </i>
    <i>
      <x v="1"/>
      <x v="1"/>
      <x v="54"/>
      <x v="5"/>
      <x v="3"/>
    </i>
    <i r="1">
      <x v="4"/>
      <x v="58"/>
      <x v="32"/>
      <x v="10"/>
    </i>
    <i r="1">
      <x v="10"/>
      <x v="10"/>
      <x v="17"/>
      <x v="12"/>
    </i>
    <i r="1">
      <x v="15"/>
      <x v="64"/>
      <x v="60"/>
      <x v="11"/>
    </i>
    <i r="1">
      <x v="18"/>
      <x v="62"/>
      <x v="69"/>
      <x v="10"/>
    </i>
    <i r="1">
      <x v="28"/>
      <x v="59"/>
      <x v="32"/>
      <x v="10"/>
    </i>
    <i r="1">
      <x v="29"/>
      <x v="52"/>
      <x v="1"/>
      <x v="10"/>
    </i>
    <i r="1">
      <x v="30"/>
      <x v="53"/>
      <x v="1"/>
      <x v="10"/>
    </i>
    <i r="1">
      <x v="31"/>
      <x v="47"/>
      <x v="54"/>
      <x v="11"/>
    </i>
    <i r="1">
      <x v="33"/>
      <x v="51"/>
      <x v="3"/>
      <x v="11"/>
    </i>
    <i r="1">
      <x v="36"/>
      <x v="11"/>
      <x v="17"/>
      <x v="12"/>
    </i>
    <i r="1">
      <x v="38"/>
      <x v="61"/>
      <x v="69"/>
      <x v="10"/>
    </i>
    <i r="1">
      <x v="46"/>
      <x v="55"/>
      <x v="19"/>
      <x v="11"/>
    </i>
    <i r="1">
      <x v="48"/>
      <x v="17"/>
      <x v="18"/>
      <x v="12"/>
    </i>
    <i r="1">
      <x v="51"/>
      <x v="27"/>
      <x v="10"/>
      <x v="3"/>
    </i>
    <i r="1">
      <x v="52"/>
      <x v="39"/>
      <x v="73"/>
      <x v="10"/>
    </i>
    <i r="1">
      <x v="53"/>
      <x v="31"/>
      <x v="35"/>
      <x v="6"/>
    </i>
    <i r="1">
      <x v="55"/>
      <x v="3"/>
      <x v="10"/>
      <x v="3"/>
    </i>
    <i r="1">
      <x v="56"/>
      <x v="45"/>
      <x v="38"/>
      <x v="10"/>
    </i>
    <i r="1">
      <x v="57"/>
      <x v="42"/>
      <x v="66"/>
      <x v="11"/>
    </i>
    <i r="1">
      <x v="58"/>
      <x v="57"/>
      <x v="8"/>
      <x v="3"/>
    </i>
    <i r="1">
      <x v="59"/>
      <x v="20"/>
      <x v="25"/>
      <x v="12"/>
    </i>
    <i r="1">
      <x v="60"/>
      <x v="48"/>
      <x v="54"/>
      <x v="11"/>
    </i>
    <i r="1">
      <x v="61"/>
      <x v="32"/>
      <x v="18"/>
      <x v="12"/>
    </i>
    <i r="1">
      <x v="62"/>
      <x v="36"/>
      <x v="25"/>
      <x v="12"/>
    </i>
    <i r="1">
      <x v="63"/>
      <x v="65"/>
      <x v="23"/>
      <x v="12"/>
    </i>
    <i r="1">
      <x v="64"/>
      <x v="66"/>
      <x v="23"/>
      <x v="12"/>
    </i>
    <i r="1">
      <x v="66"/>
      <x v="68"/>
      <x v="6"/>
      <x v="3"/>
    </i>
    <i r="1">
      <x v="71"/>
      <x v="124"/>
      <x v="68"/>
      <x v="10"/>
    </i>
    <i r="1">
      <x v="72"/>
      <x v="74"/>
      <x v="9"/>
      <x v="3"/>
    </i>
    <i r="1">
      <x v="73"/>
      <x v="75"/>
      <x v="9"/>
      <x v="3"/>
    </i>
    <i r="1">
      <x v="74"/>
      <x v="76"/>
      <x v="30"/>
      <x v="11"/>
    </i>
    <i r="3">
      <x v="45"/>
      <x v="11"/>
    </i>
    <i r="1">
      <x v="75"/>
      <x v="77"/>
      <x v="3"/>
      <x v="11"/>
    </i>
    <i r="1">
      <x v="77"/>
      <x v="79"/>
      <x v="2"/>
      <x v="11"/>
    </i>
    <i r="1">
      <x v="78"/>
      <x v="80"/>
      <x v="46"/>
      <x v="11"/>
    </i>
    <i r="1">
      <x v="81"/>
      <x v="83"/>
      <x v="31"/>
      <x v="11"/>
    </i>
    <i r="1">
      <x v="82"/>
      <x v="84"/>
      <x v="31"/>
      <x v="11"/>
    </i>
    <i r="1">
      <x v="83"/>
      <x v="85"/>
      <x v="38"/>
      <x v="10"/>
    </i>
    <i r="1">
      <x v="84"/>
      <x v="86"/>
      <x v="28"/>
      <x v="11"/>
    </i>
    <i r="1">
      <x v="85"/>
      <x v="87"/>
      <x v="28"/>
      <x v="11"/>
    </i>
    <i r="1">
      <x v="86"/>
      <x v="88"/>
      <x v="30"/>
      <x v="11"/>
    </i>
    <i r="3">
      <x v="45"/>
      <x v="11"/>
    </i>
    <i r="1">
      <x v="87"/>
      <x v="89"/>
      <x v="60"/>
      <x v="11"/>
    </i>
    <i r="1">
      <x v="88"/>
      <x v="90"/>
      <x v="2"/>
      <x v="11"/>
    </i>
    <i r="1">
      <x v="89"/>
      <x v="91"/>
      <x v="2"/>
      <x v="11"/>
    </i>
    <i r="1">
      <x v="90"/>
      <x v="92"/>
      <x v="27"/>
      <x v="11"/>
    </i>
    <i r="1">
      <x v="91"/>
      <x v="93"/>
      <x v="27"/>
      <x v="11"/>
    </i>
    <i r="1">
      <x v="92"/>
      <x v="94"/>
      <x v="73"/>
      <x v="10"/>
    </i>
    <i r="1">
      <x v="94"/>
      <x v="96"/>
      <x v="62"/>
      <x v="4"/>
    </i>
    <i r="1">
      <x v="98"/>
      <x v="100"/>
      <x v="32"/>
      <x v="10"/>
    </i>
    <i r="1">
      <x v="99"/>
      <x v="101"/>
      <x v="46"/>
      <x v="11"/>
    </i>
    <i r="1">
      <x v="100"/>
      <x v="102"/>
      <x v="15"/>
      <x v="3"/>
    </i>
    <i r="1">
      <x v="101"/>
      <x v="103"/>
      <x v="15"/>
      <x v="3"/>
    </i>
    <i r="1">
      <x v="102"/>
      <x v="104"/>
      <x v="5"/>
      <x v="3"/>
    </i>
    <i r="1">
      <x v="103"/>
      <x v="123"/>
      <x v="75"/>
      <x v="14"/>
    </i>
    <i r="1">
      <x v="107"/>
      <x v="109"/>
      <x v="19"/>
      <x v="11"/>
    </i>
    <i r="1">
      <x v="108"/>
      <x v="111"/>
      <x v="58"/>
      <x v="5"/>
    </i>
    <i r="1">
      <x v="111"/>
      <x/>
      <x v="2"/>
      <x v="11"/>
    </i>
    <i r="1">
      <x v="112"/>
      <x v="121"/>
      <x v="6"/>
      <x v="3"/>
    </i>
    <i r="1">
      <x v="116"/>
      <x/>
      <x v="8"/>
      <x v="3"/>
    </i>
    <i r="1">
      <x v="117"/>
      <x v="114"/>
      <x v="66"/>
      <x v="11"/>
    </i>
    <i r="1">
      <x v="118"/>
      <x v="115"/>
      <x v="10"/>
      <x v="3"/>
    </i>
    <i r="1">
      <x v="120"/>
      <x v="117"/>
      <x v="77"/>
      <x v="14"/>
    </i>
    <i r="1">
      <x v="133"/>
      <x v="122"/>
      <x v="68"/>
      <x v="10"/>
    </i>
    <i t="sum">
      <x v="1"/>
    </i>
    <i>
      <x v="2"/>
      <x/>
      <x v="60"/>
      <x v="76"/>
      <x v="14"/>
    </i>
    <i r="1">
      <x v="1"/>
      <x v="54"/>
      <x v="5"/>
      <x v="3"/>
    </i>
    <i r="1">
      <x v="16"/>
      <x v="18"/>
      <x v="48"/>
      <x v="10"/>
    </i>
    <i r="1">
      <x v="18"/>
      <x v="62"/>
      <x v="69"/>
      <x v="10"/>
    </i>
    <i r="1">
      <x v="29"/>
      <x v="52"/>
      <x v="1"/>
      <x v="10"/>
    </i>
    <i r="1">
      <x v="30"/>
      <x v="53"/>
      <x v="1"/>
      <x v="10"/>
    </i>
    <i r="1">
      <x v="31"/>
      <x v="47"/>
      <x v="54"/>
      <x v="11"/>
    </i>
    <i r="1">
      <x v="33"/>
      <x v="51"/>
      <x v="3"/>
      <x v="11"/>
    </i>
    <i r="1">
      <x v="37"/>
      <x v="43"/>
      <x v="55"/>
      <x v="11"/>
    </i>
    <i r="1">
      <x v="38"/>
      <x v="61"/>
      <x v="69"/>
      <x v="10"/>
    </i>
    <i r="1">
      <x v="39"/>
      <x v="30"/>
      <x v="52"/>
      <x v="5"/>
    </i>
    <i r="1">
      <x v="41"/>
      <x v="44"/>
      <x v="69"/>
      <x v="10"/>
    </i>
    <i r="1">
      <x v="46"/>
      <x v="55"/>
      <x v="19"/>
      <x v="11"/>
    </i>
    <i r="1">
      <x v="50"/>
      <x v="41"/>
      <x v="55"/>
      <x v="11"/>
    </i>
    <i r="1">
      <x v="53"/>
      <x v="31"/>
      <x v="35"/>
      <x v="6"/>
    </i>
    <i r="1">
      <x v="55"/>
      <x v="3"/>
      <x v="10"/>
      <x v="3"/>
    </i>
    <i r="1">
      <x v="57"/>
      <x v="42"/>
      <x v="66"/>
      <x v="11"/>
    </i>
    <i r="1">
      <x v="58"/>
      <x v="57"/>
      <x v="8"/>
      <x v="3"/>
    </i>
    <i r="1">
      <x v="60"/>
      <x v="48"/>
      <x v="54"/>
      <x v="11"/>
    </i>
    <i r="1">
      <x v="71"/>
      <x v="124"/>
      <x v="68"/>
      <x v="10"/>
    </i>
    <i r="1">
      <x v="75"/>
      <x v="77"/>
      <x v="3"/>
      <x v="11"/>
    </i>
    <i r="1">
      <x v="79"/>
      <x v="81"/>
      <x v="26"/>
      <x v="11"/>
    </i>
    <i r="1">
      <x v="81"/>
      <x v="83"/>
      <x v="31"/>
      <x v="11"/>
    </i>
    <i r="1">
      <x v="82"/>
      <x v="84"/>
      <x v="31"/>
      <x v="11"/>
    </i>
    <i r="1">
      <x v="84"/>
      <x v="86"/>
      <x v="28"/>
      <x v="11"/>
    </i>
    <i r="1">
      <x v="85"/>
      <x v="87"/>
      <x v="28"/>
      <x v="11"/>
    </i>
    <i r="1">
      <x v="88"/>
      <x v="90"/>
      <x v="2"/>
      <x v="11"/>
    </i>
    <i r="3">
      <x v="48"/>
      <x v="10"/>
    </i>
    <i r="1">
      <x v="89"/>
      <x v="91"/>
      <x v="2"/>
      <x v="11"/>
    </i>
    <i r="3">
      <x v="48"/>
      <x v="10"/>
    </i>
    <i r="1">
      <x v="90"/>
      <x v="92"/>
      <x v="27"/>
      <x v="11"/>
    </i>
    <i r="1">
      <x v="91"/>
      <x v="93"/>
      <x v="27"/>
      <x v="11"/>
    </i>
    <i r="1">
      <x v="94"/>
      <x v="96"/>
      <x v="62"/>
      <x v="4"/>
    </i>
    <i r="1">
      <x v="97"/>
      <x v="99"/>
      <x v="26"/>
      <x v="11"/>
    </i>
    <i r="1">
      <x v="102"/>
      <x v="104"/>
      <x v="5"/>
      <x v="3"/>
    </i>
    <i r="1">
      <x v="103"/>
      <x v="123"/>
      <x v="75"/>
      <x v="14"/>
    </i>
    <i r="1">
      <x v="105"/>
      <x v="107"/>
      <x v="48"/>
      <x v="10"/>
    </i>
    <i r="1">
      <x v="107"/>
      <x v="109"/>
      <x v="19"/>
      <x v="11"/>
    </i>
    <i r="1">
      <x v="112"/>
      <x v="121"/>
      <x v="8"/>
      <x v="3"/>
    </i>
    <i r="1">
      <x v="117"/>
      <x v="114"/>
      <x v="66"/>
      <x v="11"/>
    </i>
    <i r="1">
      <x v="118"/>
      <x v="115"/>
      <x v="10"/>
      <x v="3"/>
    </i>
    <i r="1">
      <x v="120"/>
      <x v="117"/>
      <x v="74"/>
      <x v="14"/>
    </i>
    <i r="1">
      <x v="133"/>
      <x v="122"/>
      <x v="68"/>
      <x v="10"/>
    </i>
    <i t="sum">
      <x v="2"/>
    </i>
    <i>
      <x v="3"/>
      <x v="21"/>
      <x v="1"/>
      <x v="51"/>
      <x v="11"/>
    </i>
    <i r="1">
      <x v="25"/>
      <x v="4"/>
      <x v="57"/>
      <x v="11"/>
    </i>
    <i r="1">
      <x v="27"/>
      <x v="12"/>
      <x v="29"/>
      <x v="11"/>
    </i>
    <i r="1">
      <x v="35"/>
      <x v="8"/>
      <x v="29"/>
      <x v="11"/>
    </i>
    <i t="sum">
      <x v="3"/>
    </i>
    <i>
      <x v="4"/>
      <x v="1"/>
      <x v="54"/>
      <x v="5"/>
      <x v="3"/>
    </i>
    <i r="1">
      <x v="4"/>
      <x v="58"/>
      <x v="32"/>
      <x v="10"/>
    </i>
    <i r="1">
      <x v="37"/>
      <x v="43"/>
      <x v="55"/>
      <x v="11"/>
    </i>
    <i r="1">
      <x v="38"/>
      <x v="61"/>
      <x v="69"/>
      <x v="10"/>
    </i>
    <i r="1">
      <x v="41"/>
      <x v="44"/>
      <x v="69"/>
      <x v="10"/>
    </i>
    <i r="1">
      <x v="50"/>
      <x v="41"/>
      <x v="55"/>
      <x v="11"/>
    </i>
    <i r="1">
      <x v="77"/>
      <x v="79"/>
      <x v="15"/>
      <x v="3"/>
    </i>
    <i r="1">
      <x v="78"/>
      <x v="80"/>
      <x v="46"/>
      <x v="11"/>
    </i>
    <i r="1">
      <x v="88"/>
      <x v="90"/>
      <x v="48"/>
      <x v="10"/>
    </i>
    <i r="1">
      <x v="89"/>
      <x v="91"/>
      <x v="48"/>
      <x v="10"/>
    </i>
    <i r="1">
      <x v="98"/>
      <x v="100"/>
      <x v="32"/>
      <x v="10"/>
    </i>
    <i r="1">
      <x v="99"/>
      <x v="101"/>
      <x v="46"/>
      <x v="11"/>
    </i>
    <i r="1">
      <x v="102"/>
      <x v="104"/>
      <x v="5"/>
      <x v="3"/>
    </i>
    <i r="1">
      <x v="130"/>
      <x v="120"/>
      <x v="15"/>
      <x v="3"/>
    </i>
    <i t="sum">
      <x v="4"/>
    </i>
    <i>
      <x v="5"/>
      <x v="1"/>
      <x v="54"/>
      <x v="5"/>
      <x v="3"/>
    </i>
    <i r="1">
      <x v="4"/>
      <x v="58"/>
      <x v="32"/>
      <x v="10"/>
    </i>
    <i r="1">
      <x v="15"/>
      <x v="64"/>
      <x v="60"/>
      <x v="11"/>
    </i>
    <i r="1">
      <x v="16"/>
      <x v="18"/>
      <x v="6"/>
      <x v="3"/>
    </i>
    <i r="3">
      <x v="48"/>
      <x v="10"/>
    </i>
    <i r="1">
      <x v="18"/>
      <x v="62"/>
      <x v="69"/>
      <x v="10"/>
    </i>
    <i r="1">
      <x v="20"/>
      <x v="40"/>
      <x v="59"/>
      <x v="3"/>
    </i>
    <i r="1">
      <x v="23"/>
      <x v="50"/>
      <x v="59"/>
      <x v="3"/>
    </i>
    <i r="1">
      <x v="29"/>
      <x v="52"/>
      <x v="1"/>
      <x v="10"/>
    </i>
    <i r="1">
      <x v="30"/>
      <x v="53"/>
      <x v="1"/>
      <x v="10"/>
    </i>
    <i r="1">
      <x v="31"/>
      <x v="47"/>
      <x v="43"/>
      <x v="11"/>
    </i>
    <i r="3">
      <x v="54"/>
      <x v="11"/>
    </i>
    <i r="1">
      <x v="33"/>
      <x v="51"/>
      <x v="3"/>
      <x v="11"/>
    </i>
    <i r="1">
      <x v="34"/>
      <x v="35"/>
      <x v="66"/>
      <x v="11"/>
    </i>
    <i r="1">
      <x v="37"/>
      <x v="43"/>
      <x v="55"/>
      <x v="11"/>
    </i>
    <i r="1">
      <x v="38"/>
      <x v="61"/>
      <x v="69"/>
      <x v="10"/>
    </i>
    <i r="1">
      <x v="41"/>
      <x v="44"/>
      <x v="69"/>
      <x v="10"/>
    </i>
    <i r="1">
      <x v="46"/>
      <x v="55"/>
      <x v="19"/>
      <x v="11"/>
    </i>
    <i r="1">
      <x v="50"/>
      <x v="41"/>
      <x v="27"/>
      <x v="11"/>
    </i>
    <i r="3">
      <x v="55"/>
      <x v="11"/>
    </i>
    <i r="1">
      <x v="51"/>
      <x v="27"/>
      <x v="10"/>
      <x v="3"/>
    </i>
    <i r="1">
      <x v="52"/>
      <x v="39"/>
      <x v="73"/>
      <x v="10"/>
    </i>
    <i r="1">
      <x v="55"/>
      <x v="3"/>
      <x v="10"/>
      <x v="3"/>
    </i>
    <i r="1">
      <x v="56"/>
      <x v="45"/>
      <x v="38"/>
      <x v="10"/>
    </i>
    <i r="1">
      <x v="57"/>
      <x v="42"/>
      <x v="66"/>
      <x v="11"/>
    </i>
    <i r="1">
      <x v="58"/>
      <x v="57"/>
      <x v="8"/>
      <x v="3"/>
    </i>
    <i r="1">
      <x v="60"/>
      <x v="48"/>
      <x v="43"/>
      <x v="11"/>
    </i>
    <i r="3">
      <x v="54"/>
      <x v="11"/>
    </i>
    <i r="1">
      <x v="66"/>
      <x v="68"/>
      <x v="67"/>
      <x v="3"/>
    </i>
    <i r="1">
      <x v="67"/>
      <x v="69"/>
      <x v="67"/>
      <x v="3"/>
    </i>
    <i r="1">
      <x v="71"/>
      <x v="124"/>
      <x v="68"/>
      <x v="10"/>
    </i>
    <i r="1">
      <x v="72"/>
      <x v="74"/>
      <x v="9"/>
      <x v="3"/>
    </i>
    <i r="1">
      <x v="73"/>
      <x v="75"/>
      <x v="9"/>
      <x v="3"/>
    </i>
    <i r="1">
      <x v="74"/>
      <x v="76"/>
      <x v="30"/>
      <x v="11"/>
    </i>
    <i r="3">
      <x v="45"/>
      <x v="11"/>
    </i>
    <i r="1">
      <x v="75"/>
      <x v="77"/>
      <x v="3"/>
      <x v="11"/>
    </i>
    <i r="1">
      <x v="77"/>
      <x v="79"/>
      <x v="2"/>
      <x v="11"/>
    </i>
    <i r="3">
      <x v="8"/>
      <x v="3"/>
    </i>
    <i r="1">
      <x v="78"/>
      <x v="80"/>
      <x v="46"/>
      <x v="11"/>
    </i>
    <i r="1">
      <x v="79"/>
      <x v="81"/>
      <x v="26"/>
      <x v="11"/>
    </i>
    <i r="1">
      <x v="81"/>
      <x v="83"/>
      <x v="31"/>
      <x v="11"/>
    </i>
    <i r="1">
      <x v="82"/>
      <x v="84"/>
      <x v="31"/>
      <x v="11"/>
    </i>
    <i r="1">
      <x v="83"/>
      <x v="85"/>
      <x v="38"/>
      <x v="10"/>
    </i>
    <i r="1">
      <x v="84"/>
      <x v="86"/>
      <x v="28"/>
      <x v="11"/>
    </i>
    <i r="1">
      <x v="85"/>
      <x v="87"/>
      <x v="28"/>
      <x v="11"/>
    </i>
    <i r="1">
      <x v="86"/>
      <x v="88"/>
      <x v="30"/>
      <x v="11"/>
    </i>
    <i r="3">
      <x v="45"/>
      <x v="11"/>
    </i>
    <i r="1">
      <x v="87"/>
      <x v="89"/>
      <x v="60"/>
      <x v="11"/>
    </i>
    <i r="1">
      <x v="88"/>
      <x v="90"/>
      <x v="2"/>
      <x v="11"/>
    </i>
    <i r="3">
      <x v="48"/>
      <x v="10"/>
    </i>
    <i r="1">
      <x v="89"/>
      <x v="91"/>
      <x v="2"/>
      <x v="11"/>
    </i>
    <i r="3">
      <x v="48"/>
      <x v="10"/>
    </i>
    <i r="1">
      <x v="90"/>
      <x v="92"/>
      <x v="27"/>
      <x v="11"/>
    </i>
    <i r="3">
      <x v="55"/>
      <x v="11"/>
    </i>
    <i r="1">
      <x v="91"/>
      <x v="93"/>
      <x v="27"/>
      <x v="11"/>
    </i>
    <i r="1">
      <x v="92"/>
      <x v="94"/>
      <x v="73"/>
      <x v="10"/>
    </i>
    <i r="1">
      <x v="97"/>
      <x v="99"/>
      <x v="26"/>
      <x v="11"/>
    </i>
    <i r="1">
      <x v="98"/>
      <x v="100"/>
      <x v="32"/>
      <x v="10"/>
    </i>
    <i r="1">
      <x v="99"/>
      <x v="101"/>
      <x v="46"/>
      <x v="11"/>
    </i>
    <i r="1">
      <x v="100"/>
      <x v="102"/>
      <x v="15"/>
      <x v="3"/>
    </i>
    <i r="1">
      <x v="101"/>
      <x v="103"/>
      <x v="15"/>
      <x v="3"/>
    </i>
    <i r="1">
      <x v="102"/>
      <x v="104"/>
      <x v="5"/>
      <x v="3"/>
    </i>
    <i r="1">
      <x v="105"/>
      <x v="107"/>
      <x v="6"/>
      <x v="3"/>
    </i>
    <i r="3">
      <x v="48"/>
      <x v="10"/>
    </i>
    <i r="1">
      <x v="107"/>
      <x v="109"/>
      <x v="19"/>
      <x v="11"/>
    </i>
    <i r="1">
      <x v="111"/>
      <x/>
      <x v="2"/>
      <x v="11"/>
    </i>
    <i r="1">
      <x v="112"/>
      <x v="121"/>
      <x v="8"/>
      <x v="3"/>
    </i>
    <i r="1">
      <x v="116"/>
      <x/>
      <x v="8"/>
      <x v="3"/>
    </i>
    <i r="1">
      <x v="117"/>
      <x v="114"/>
      <x v="66"/>
      <x v="11"/>
    </i>
    <i r="1">
      <x v="118"/>
      <x v="115"/>
      <x v="10"/>
      <x v="3"/>
    </i>
    <i r="1">
      <x v="119"/>
      <x v="116"/>
      <x v="10"/>
      <x v="3"/>
    </i>
    <i r="1">
      <x v="133"/>
      <x v="122"/>
      <x v="68"/>
      <x v="10"/>
    </i>
    <i t="sum">
      <x v="5"/>
    </i>
    <i>
      <x v="6"/>
      <x v="68"/>
      <x v="70"/>
      <x v="70"/>
      <x v="13"/>
    </i>
    <i t="sum">
      <x v="6"/>
    </i>
    <i>
      <x v="7"/>
      <x v="69"/>
      <x v="71"/>
      <x v="71"/>
      <x v="7"/>
    </i>
    <i r="1">
      <x v="70"/>
      <x v="72"/>
      <x v="44"/>
      <x v="2"/>
    </i>
    <i r="3">
      <x v="72"/>
      <x v="2"/>
    </i>
    <i r="3">
      <x v="84"/>
      <x v="2"/>
    </i>
    <i t="sum">
      <x v="7"/>
    </i>
    <i>
      <x v="8"/>
      <x v="5"/>
      <x v="22"/>
      <x v="14"/>
      <x v="9"/>
    </i>
    <i r="3">
      <x v="29"/>
      <x v="11"/>
    </i>
    <i r="3">
      <x v="41"/>
      <x v="9"/>
    </i>
    <i r="1">
      <x v="13"/>
      <x v="7"/>
      <x v="39"/>
      <x v="9"/>
    </i>
    <i r="1">
      <x v="14"/>
      <x v="9"/>
      <x v="42"/>
      <x v="9"/>
    </i>
    <i r="1">
      <x v="25"/>
      <x v="4"/>
      <x v="57"/>
      <x v="11"/>
    </i>
    <i r="1">
      <x v="26"/>
      <x v="29"/>
      <x v="14"/>
      <x v="9"/>
    </i>
    <i r="1">
      <x v="27"/>
      <x v="12"/>
      <x v="64"/>
      <x v="11"/>
    </i>
    <i r="1">
      <x v="35"/>
      <x v="8"/>
      <x v="14"/>
      <x v="9"/>
    </i>
    <i r="3">
      <x v="41"/>
      <x v="9"/>
    </i>
    <i r="1">
      <x v="47"/>
      <x v="2"/>
      <x v="65"/>
      <x v="11"/>
    </i>
    <i r="1">
      <x v="54"/>
      <x v="34"/>
      <x/>
      <x v="9"/>
    </i>
    <i r="1">
      <x v="95"/>
      <x v="97"/>
      <x v="41"/>
      <x v="9"/>
    </i>
    <i r="1">
      <x v="103"/>
      <x v="123"/>
      <x v="39"/>
      <x v="9"/>
    </i>
    <i r="1">
      <x v="104"/>
      <x v="106"/>
      <x v="47"/>
      <x v="4"/>
    </i>
    <i r="1">
      <x v="109"/>
      <x v="112"/>
      <x v="56"/>
      <x v="5"/>
    </i>
    <i r="1">
      <x v="110"/>
      <x v="113"/>
      <x v="4"/>
      <x v="9"/>
    </i>
    <i r="3">
      <x v="39"/>
      <x v="9"/>
    </i>
    <i t="sum">
      <x v="8"/>
    </i>
    <i>
      <x v="9"/>
      <x v="46"/>
      <x v="55"/>
      <x v="19"/>
      <x v="11"/>
    </i>
    <i r="1">
      <x v="94"/>
      <x v="96"/>
      <x v="62"/>
      <x v="4"/>
    </i>
    <i r="1">
      <x v="107"/>
      <x v="109"/>
      <x v="19"/>
      <x v="11"/>
    </i>
    <i t="sum">
      <x v="9"/>
    </i>
    <i>
      <x v="10"/>
      <x v="4"/>
      <x v="58"/>
      <x v="32"/>
      <x v="10"/>
    </i>
    <i r="1">
      <x v="15"/>
      <x v="64"/>
      <x v="60"/>
      <x v="11"/>
    </i>
    <i r="1">
      <x v="33"/>
      <x v="51"/>
      <x v="3"/>
      <x v="11"/>
    </i>
    <i r="1">
      <x v="34"/>
      <x v="35"/>
      <x v="66"/>
      <x v="11"/>
    </i>
    <i r="1">
      <x v="52"/>
      <x v="39"/>
      <x v="73"/>
      <x v="10"/>
    </i>
    <i r="1">
      <x v="57"/>
      <x v="42"/>
      <x v="66"/>
      <x v="11"/>
    </i>
    <i r="1">
      <x v="71"/>
      <x v="124"/>
      <x v="68"/>
      <x v="10"/>
    </i>
    <i r="1">
      <x v="75"/>
      <x v="77"/>
      <x v="3"/>
      <x v="11"/>
    </i>
    <i r="1">
      <x v="79"/>
      <x v="81"/>
      <x v="26"/>
      <x v="11"/>
    </i>
    <i r="1">
      <x v="87"/>
      <x v="89"/>
      <x v="60"/>
      <x v="11"/>
    </i>
    <i r="1">
      <x v="92"/>
      <x v="94"/>
      <x v="73"/>
      <x v="10"/>
    </i>
    <i r="1">
      <x v="97"/>
      <x v="99"/>
      <x v="26"/>
      <x v="11"/>
    </i>
    <i r="1">
      <x v="98"/>
      <x v="100"/>
      <x v="32"/>
      <x v="10"/>
    </i>
    <i r="1">
      <x v="118"/>
      <x v="115"/>
      <x v="10"/>
      <x v="3"/>
    </i>
    <i r="1">
      <x v="119"/>
      <x v="116"/>
      <x v="10"/>
      <x v="3"/>
    </i>
    <i r="1">
      <x v="120"/>
      <x v="117"/>
      <x v="74"/>
      <x v="14"/>
    </i>
    <i r="1">
      <x v="123"/>
      <x v="118"/>
      <x v="40"/>
      <x v="2"/>
    </i>
    <i r="1">
      <x v="132"/>
      <x/>
      <x v="80"/>
      <x/>
    </i>
    <i r="1">
      <x v="133"/>
      <x v="122"/>
      <x v="68"/>
      <x v="10"/>
    </i>
    <i t="sum">
      <x v="10"/>
    </i>
    <i>
      <x v="11"/>
      <x v="16"/>
      <x v="18"/>
      <x v="48"/>
      <x v="10"/>
    </i>
    <i r="1">
      <x v="31"/>
      <x v="47"/>
      <x v="54"/>
      <x v="11"/>
    </i>
    <i r="1">
      <x v="33"/>
      <x v="51"/>
      <x v="3"/>
      <x v="11"/>
    </i>
    <i r="1">
      <x v="38"/>
      <x v="61"/>
      <x v="69"/>
      <x v="10"/>
    </i>
    <i r="1">
      <x v="41"/>
      <x v="44"/>
      <x v="69"/>
      <x v="10"/>
    </i>
    <i r="1">
      <x v="46"/>
      <x v="55"/>
      <x v="19"/>
      <x v="11"/>
    </i>
    <i r="1">
      <x v="60"/>
      <x v="48"/>
      <x v="54"/>
      <x v="11"/>
    </i>
    <i r="1">
      <x v="71"/>
      <x v="124"/>
      <x v="68"/>
      <x v="10"/>
    </i>
    <i r="1">
      <x v="75"/>
      <x v="77"/>
      <x v="3"/>
      <x v="11"/>
    </i>
    <i r="1">
      <x v="79"/>
      <x v="81"/>
      <x v="26"/>
      <x v="11"/>
    </i>
    <i r="1">
      <x v="88"/>
      <x v="90"/>
      <x v="2"/>
      <x v="11"/>
    </i>
    <i r="1">
      <x v="89"/>
      <x v="91"/>
      <x v="2"/>
      <x v="11"/>
    </i>
    <i r="1">
      <x v="94"/>
      <x v="96"/>
      <x v="62"/>
      <x v="4"/>
    </i>
    <i r="1">
      <x v="97"/>
      <x v="99"/>
      <x v="26"/>
      <x v="11"/>
    </i>
    <i r="1">
      <x v="105"/>
      <x v="107"/>
      <x v="48"/>
      <x v="10"/>
    </i>
    <i r="1">
      <x v="107"/>
      <x v="109"/>
      <x v="19"/>
      <x v="11"/>
    </i>
    <i r="1">
      <x v="108"/>
      <x v="111"/>
      <x v="58"/>
      <x v="5"/>
    </i>
    <i r="1">
      <x v="133"/>
      <x v="122"/>
      <x v="68"/>
      <x v="10"/>
    </i>
    <i t="sum">
      <x v="11"/>
    </i>
    <i>
      <x v="12"/>
      <x v="56"/>
      <x v="45"/>
      <x v="38"/>
      <x v="10"/>
    </i>
    <i r="1">
      <x v="83"/>
      <x v="85"/>
      <x v="38"/>
      <x v="10"/>
    </i>
    <i t="sum">
      <x v="12"/>
    </i>
    <i>
      <x v="13"/>
      <x v="1"/>
      <x v="54"/>
      <x v="5"/>
      <x v="3"/>
    </i>
    <i r="1">
      <x v="4"/>
      <x v="58"/>
      <x v="32"/>
      <x v="10"/>
    </i>
    <i r="1">
      <x v="19"/>
      <x v="13"/>
      <x v="11"/>
      <x v="12"/>
    </i>
    <i r="1">
      <x v="29"/>
      <x v="52"/>
      <x v="1"/>
      <x v="10"/>
    </i>
    <i r="1">
      <x v="30"/>
      <x v="53"/>
      <x v="1"/>
      <x v="10"/>
    </i>
    <i r="1">
      <x v="34"/>
      <x v="35"/>
      <x v="66"/>
      <x v="11"/>
    </i>
    <i r="1">
      <x v="37"/>
      <x v="43"/>
      <x v="55"/>
      <x v="11"/>
    </i>
    <i r="1">
      <x v="50"/>
      <x v="41"/>
      <x v="55"/>
      <x v="11"/>
    </i>
    <i r="1">
      <x v="57"/>
      <x v="42"/>
      <x v="66"/>
      <x v="11"/>
    </i>
    <i r="1">
      <x v="66"/>
      <x v="68"/>
      <x v="67"/>
      <x v="3"/>
    </i>
    <i r="1">
      <x v="67"/>
      <x v="69"/>
      <x v="67"/>
      <x v="3"/>
    </i>
    <i r="1">
      <x v="71"/>
      <x v="124"/>
      <x v="68"/>
      <x v="10"/>
    </i>
    <i r="1">
      <x v="72"/>
      <x v="74"/>
      <x v="9"/>
      <x v="3"/>
    </i>
    <i r="1">
      <x v="73"/>
      <x v="75"/>
      <x v="9"/>
      <x v="3"/>
    </i>
    <i r="1">
      <x v="79"/>
      <x v="81"/>
      <x v="26"/>
      <x v="11"/>
    </i>
    <i r="1">
      <x v="81"/>
      <x v="83"/>
      <x v="31"/>
      <x v="11"/>
    </i>
    <i r="1">
      <x v="82"/>
      <x v="84"/>
      <x v="31"/>
      <x v="11"/>
    </i>
    <i r="1">
      <x v="90"/>
      <x v="92"/>
      <x v="27"/>
      <x v="11"/>
    </i>
    <i r="1">
      <x v="91"/>
      <x v="93"/>
      <x v="27"/>
      <x v="11"/>
    </i>
    <i r="1">
      <x v="97"/>
      <x v="99"/>
      <x v="26"/>
      <x v="11"/>
    </i>
    <i r="1">
      <x v="98"/>
      <x v="100"/>
      <x v="32"/>
      <x v="10"/>
    </i>
    <i r="1">
      <x v="100"/>
      <x v="102"/>
      <x v="15"/>
      <x v="3"/>
    </i>
    <i r="1">
      <x v="101"/>
      <x v="103"/>
      <x v="15"/>
      <x v="3"/>
    </i>
    <i r="1">
      <x v="102"/>
      <x v="104"/>
      <x v="5"/>
      <x v="3"/>
    </i>
    <i r="1">
      <x v="133"/>
      <x v="122"/>
      <x v="68"/>
      <x v="10"/>
    </i>
    <i t="sum">
      <x v="13"/>
    </i>
    <i>
      <x v="14"/>
      <x v="1"/>
      <x v="54"/>
      <x v="5"/>
      <x v="3"/>
    </i>
    <i r="1">
      <x v="29"/>
      <x v="52"/>
      <x v="1"/>
      <x v="10"/>
    </i>
    <i r="1">
      <x v="30"/>
      <x v="53"/>
      <x v="1"/>
      <x v="10"/>
    </i>
    <i r="1">
      <x v="31"/>
      <x v="47"/>
      <x v="54"/>
      <x v="11"/>
    </i>
    <i r="1">
      <x v="37"/>
      <x v="43"/>
      <x v="55"/>
      <x v="11"/>
    </i>
    <i r="1">
      <x v="46"/>
      <x v="55"/>
      <x v="19"/>
      <x v="11"/>
    </i>
    <i r="1">
      <x v="50"/>
      <x v="41"/>
      <x v="55"/>
      <x v="11"/>
    </i>
    <i r="1">
      <x v="60"/>
      <x v="48"/>
      <x v="54"/>
      <x v="11"/>
    </i>
    <i r="1">
      <x v="72"/>
      <x v="74"/>
      <x v="9"/>
      <x v="3"/>
    </i>
    <i r="1">
      <x v="73"/>
      <x v="75"/>
      <x v="9"/>
      <x v="3"/>
    </i>
    <i r="1">
      <x v="78"/>
      <x v="80"/>
      <x v="46"/>
      <x v="11"/>
    </i>
    <i r="1">
      <x v="81"/>
      <x v="83"/>
      <x v="31"/>
      <x v="11"/>
    </i>
    <i r="1">
      <x v="82"/>
      <x v="84"/>
      <x v="31"/>
      <x v="11"/>
    </i>
    <i r="1">
      <x v="90"/>
      <x v="92"/>
      <x v="27"/>
      <x v="11"/>
    </i>
    <i r="1">
      <x v="91"/>
      <x v="93"/>
      <x v="27"/>
      <x v="11"/>
    </i>
    <i r="1">
      <x v="94"/>
      <x v="96"/>
      <x v="62"/>
      <x v="4"/>
    </i>
    <i r="1">
      <x v="99"/>
      <x v="101"/>
      <x v="46"/>
      <x v="11"/>
    </i>
    <i r="1">
      <x v="102"/>
      <x v="104"/>
      <x v="5"/>
      <x v="3"/>
    </i>
    <i r="1">
      <x v="107"/>
      <x v="109"/>
      <x v="19"/>
      <x v="11"/>
    </i>
    <i t="sum">
      <x v="14"/>
    </i>
    <i>
      <x v="15"/>
      <x v="1"/>
      <x v="54"/>
      <x v="5"/>
      <x v="3"/>
    </i>
    <i r="1">
      <x v="7"/>
      <x v="26"/>
      <x v="20"/>
      <x v="12"/>
    </i>
    <i r="1">
      <x v="15"/>
      <x v="64"/>
      <x v="60"/>
      <x v="11"/>
    </i>
    <i r="1">
      <x v="20"/>
      <x v="40"/>
      <x v="59"/>
      <x v="3"/>
    </i>
    <i r="1">
      <x v="23"/>
      <x v="50"/>
      <x v="59"/>
      <x v="3"/>
    </i>
    <i r="1">
      <x v="37"/>
      <x v="43"/>
      <x v="55"/>
      <x v="11"/>
    </i>
    <i r="1">
      <x v="46"/>
      <x v="55"/>
      <x v="19"/>
      <x v="11"/>
    </i>
    <i r="1">
      <x v="48"/>
      <x v="17"/>
      <x v="18"/>
      <x v="12"/>
    </i>
    <i r="1">
      <x v="50"/>
      <x v="41"/>
      <x v="55"/>
      <x v="11"/>
    </i>
    <i r="1">
      <x v="52"/>
      <x v="39"/>
      <x v="73"/>
      <x v="10"/>
    </i>
    <i r="1">
      <x v="57"/>
      <x v="42"/>
      <x v="66"/>
      <x v="11"/>
    </i>
    <i r="1">
      <x v="61"/>
      <x v="32"/>
      <x v="18"/>
      <x v="12"/>
    </i>
    <i r="1">
      <x v="71"/>
      <x v="124"/>
      <x v="68"/>
      <x v="10"/>
    </i>
    <i r="1">
      <x v="72"/>
      <x v="74"/>
      <x v="9"/>
      <x v="3"/>
    </i>
    <i r="1">
      <x v="73"/>
      <x v="75"/>
      <x v="9"/>
      <x v="3"/>
    </i>
    <i r="1">
      <x v="74"/>
      <x v="76"/>
      <x v="45"/>
      <x v="11"/>
    </i>
    <i r="1">
      <x v="77"/>
      <x v="79"/>
      <x v="45"/>
      <x v="11"/>
    </i>
    <i r="1">
      <x v="78"/>
      <x v="80"/>
      <x v="46"/>
      <x v="11"/>
    </i>
    <i r="1">
      <x v="79"/>
      <x v="81"/>
      <x v="26"/>
      <x v="11"/>
    </i>
    <i r="1">
      <x v="81"/>
      <x v="83"/>
      <x v="31"/>
      <x v="11"/>
    </i>
    <i r="1">
      <x v="82"/>
      <x v="84"/>
      <x v="31"/>
      <x v="11"/>
    </i>
    <i r="1">
      <x v="86"/>
      <x v="88"/>
      <x v="45"/>
      <x v="11"/>
    </i>
    <i r="1">
      <x v="87"/>
      <x v="89"/>
      <x v="60"/>
      <x v="11"/>
    </i>
    <i r="1">
      <x v="88"/>
      <x v="90"/>
      <x v="48"/>
      <x v="10"/>
    </i>
    <i r="1">
      <x v="89"/>
      <x v="91"/>
      <x v="48"/>
      <x v="10"/>
    </i>
    <i r="1">
      <x v="90"/>
      <x v="92"/>
      <x v="27"/>
      <x v="11"/>
    </i>
    <i r="1">
      <x v="91"/>
      <x v="93"/>
      <x v="27"/>
      <x v="11"/>
    </i>
    <i r="1">
      <x v="92"/>
      <x v="94"/>
      <x v="73"/>
      <x v="10"/>
    </i>
    <i r="1">
      <x v="97"/>
      <x v="99"/>
      <x v="26"/>
      <x v="11"/>
    </i>
    <i r="1">
      <x v="99"/>
      <x v="101"/>
      <x v="46"/>
      <x v="11"/>
    </i>
    <i r="1">
      <x v="102"/>
      <x v="104"/>
      <x v="5"/>
      <x v="3"/>
    </i>
    <i r="1">
      <x v="103"/>
      <x v="123"/>
      <x v="75"/>
      <x v="14"/>
    </i>
    <i r="1">
      <x v="107"/>
      <x v="109"/>
      <x v="19"/>
      <x v="11"/>
    </i>
    <i r="1">
      <x v="111"/>
      <x/>
      <x v="45"/>
      <x v="11"/>
    </i>
    <i r="1">
      <x v="113"/>
      <x v="25"/>
      <x v="20"/>
      <x v="12"/>
    </i>
    <i r="1">
      <x v="117"/>
      <x v="114"/>
      <x v="66"/>
      <x v="11"/>
    </i>
    <i r="1">
      <x v="133"/>
      <x v="122"/>
      <x v="68"/>
      <x v="10"/>
    </i>
    <i t="sum">
      <x v="15"/>
    </i>
    <i>
      <x v="16"/>
      <x v="29"/>
      <x v="52"/>
      <x v="1"/>
      <x v="10"/>
    </i>
    <i r="1">
      <x v="30"/>
      <x v="53"/>
      <x v="1"/>
      <x v="10"/>
    </i>
    <i r="1">
      <x v="37"/>
      <x v="43"/>
      <x v="55"/>
      <x v="11"/>
    </i>
    <i r="1">
      <x v="50"/>
      <x v="41"/>
      <x v="55"/>
      <x v="11"/>
    </i>
    <i r="1">
      <x v="52"/>
      <x v="39"/>
      <x v="73"/>
      <x v="10"/>
    </i>
    <i r="1">
      <x v="56"/>
      <x v="45"/>
      <x v="38"/>
      <x v="10"/>
    </i>
    <i r="1">
      <x v="58"/>
      <x v="57"/>
      <x v="8"/>
      <x v="3"/>
    </i>
    <i r="1">
      <x v="74"/>
      <x v="76"/>
      <x v="30"/>
      <x v="11"/>
    </i>
    <i r="1">
      <x v="78"/>
      <x v="80"/>
      <x v="46"/>
      <x v="11"/>
    </i>
    <i r="1">
      <x v="83"/>
      <x v="85"/>
      <x v="38"/>
      <x v="10"/>
    </i>
    <i r="1">
      <x v="84"/>
      <x v="86"/>
      <x v="28"/>
      <x v="11"/>
    </i>
    <i r="1">
      <x v="85"/>
      <x v="87"/>
      <x v="28"/>
      <x v="11"/>
    </i>
    <i r="1">
      <x v="86"/>
      <x v="88"/>
      <x v="30"/>
      <x v="11"/>
    </i>
    <i r="1">
      <x v="88"/>
      <x v="90"/>
      <x v="2"/>
      <x v="11"/>
    </i>
    <i r="1">
      <x v="89"/>
      <x v="91"/>
      <x v="2"/>
      <x v="11"/>
    </i>
    <i r="1">
      <x v="90"/>
      <x v="92"/>
      <x v="27"/>
      <x v="11"/>
    </i>
    <i r="1">
      <x v="91"/>
      <x v="93"/>
      <x v="27"/>
      <x v="11"/>
    </i>
    <i r="1">
      <x v="92"/>
      <x v="94"/>
      <x v="73"/>
      <x v="10"/>
    </i>
    <i r="1">
      <x v="99"/>
      <x v="101"/>
      <x v="46"/>
      <x v="11"/>
    </i>
    <i r="1">
      <x v="116"/>
      <x/>
      <x v="8"/>
      <x v="3"/>
    </i>
    <i t="sum">
      <x v="16"/>
    </i>
    <i>
      <x v="17"/>
      <x v="20"/>
      <x v="40"/>
      <x v="59"/>
      <x v="3"/>
    </i>
    <i r="1">
      <x v="23"/>
      <x v="50"/>
      <x v="59"/>
      <x v="3"/>
    </i>
    <i r="1">
      <x v="56"/>
      <x v="45"/>
      <x v="38"/>
      <x v="10"/>
    </i>
    <i r="1">
      <x v="83"/>
      <x v="85"/>
      <x v="38"/>
      <x v="10"/>
    </i>
    <i t="sum">
      <x v="17"/>
    </i>
    <i>
      <x v="18"/>
      <x v="2"/>
      <x v="33"/>
      <x v="24"/>
      <x v="12"/>
    </i>
    <i r="1">
      <x v="3"/>
      <x v="46"/>
      <x v="23"/>
      <x v="12"/>
    </i>
    <i r="1">
      <x v="7"/>
      <x v="26"/>
      <x v="20"/>
      <x v="12"/>
    </i>
    <i r="1">
      <x v="8"/>
      <x v="16"/>
      <x v="16"/>
      <x v="12"/>
    </i>
    <i r="1">
      <x v="9"/>
      <x v="15"/>
      <x v="12"/>
      <x v="12"/>
    </i>
    <i r="1">
      <x v="10"/>
      <x v="10"/>
      <x v="17"/>
      <x v="12"/>
    </i>
    <i r="1">
      <x v="24"/>
      <x v="37"/>
      <x v="22"/>
      <x v="12"/>
    </i>
    <i r="1">
      <x v="29"/>
      <x v="52"/>
      <x v="1"/>
      <x v="10"/>
    </i>
    <i r="1">
      <x v="30"/>
      <x v="53"/>
      <x v="1"/>
      <x v="10"/>
    </i>
    <i r="1">
      <x v="33"/>
      <x v="51"/>
      <x v="3"/>
      <x v="11"/>
    </i>
    <i r="1">
      <x v="36"/>
      <x v="11"/>
      <x v="17"/>
      <x v="12"/>
    </i>
    <i r="1">
      <x v="42"/>
      <x v="21"/>
      <x v="12"/>
      <x v="12"/>
    </i>
    <i r="1">
      <x v="43"/>
      <x v="14"/>
      <x v="24"/>
      <x v="12"/>
    </i>
    <i r="1">
      <x v="44"/>
      <x v="38"/>
      <x v="22"/>
      <x v="12"/>
    </i>
    <i r="1">
      <x v="52"/>
      <x v="39"/>
      <x v="73"/>
      <x v="10"/>
    </i>
    <i r="1">
      <x v="56"/>
      <x v="45"/>
      <x v="38"/>
      <x v="10"/>
    </i>
    <i r="1">
      <x v="58"/>
      <x v="57"/>
      <x v="8"/>
      <x v="3"/>
    </i>
    <i r="1">
      <x v="75"/>
      <x v="77"/>
      <x v="3"/>
      <x v="11"/>
    </i>
    <i r="1">
      <x v="76"/>
      <x v="78"/>
      <x v="30"/>
      <x v="11"/>
    </i>
    <i r="1">
      <x v="80"/>
      <x v="82"/>
      <x v="30"/>
      <x v="11"/>
    </i>
    <i r="1">
      <x v="83"/>
      <x v="85"/>
      <x v="38"/>
      <x v="10"/>
    </i>
    <i r="1">
      <x v="88"/>
      <x v="90"/>
      <x v="48"/>
      <x v="10"/>
    </i>
    <i r="1">
      <x v="89"/>
      <x v="91"/>
      <x v="48"/>
      <x v="10"/>
    </i>
    <i r="1">
      <x v="92"/>
      <x v="94"/>
      <x v="73"/>
      <x v="10"/>
    </i>
    <i r="1">
      <x v="96"/>
      <x v="98"/>
      <x v="16"/>
      <x v="12"/>
    </i>
    <i r="3">
      <x v="23"/>
      <x v="12"/>
    </i>
    <i r="1">
      <x v="100"/>
      <x v="102"/>
      <x v="15"/>
      <x v="3"/>
    </i>
    <i r="1">
      <x v="101"/>
      <x v="103"/>
      <x v="15"/>
      <x v="3"/>
    </i>
    <i r="1">
      <x v="109"/>
      <x v="112"/>
      <x v="56"/>
      <x v="5"/>
    </i>
    <i r="1">
      <x v="113"/>
      <x v="25"/>
      <x v="20"/>
      <x v="12"/>
    </i>
    <i r="1">
      <x v="114"/>
      <x v="23"/>
      <x v="21"/>
      <x v="12"/>
    </i>
    <i r="1">
      <x v="115"/>
      <x v="24"/>
      <x v="21"/>
      <x v="12"/>
    </i>
    <i r="1">
      <x v="118"/>
      <x v="115"/>
      <x v="10"/>
      <x v="3"/>
    </i>
    <i r="1">
      <x v="119"/>
      <x v="116"/>
      <x v="10"/>
      <x v="3"/>
    </i>
    <i t="sum">
      <x v="18"/>
    </i>
    <i>
      <x v="19"/>
      <x v="29"/>
      <x v="52"/>
      <x v="1"/>
      <x v="10"/>
    </i>
    <i r="1">
      <x v="30"/>
      <x v="53"/>
      <x v="1"/>
      <x v="10"/>
    </i>
    <i r="1">
      <x v="38"/>
      <x v="61"/>
      <x v="69"/>
      <x v="10"/>
    </i>
    <i r="1">
      <x v="41"/>
      <x v="44"/>
      <x v="69"/>
      <x v="10"/>
    </i>
    <i r="1">
      <x v="46"/>
      <x v="55"/>
      <x v="19"/>
      <x v="11"/>
    </i>
    <i r="1">
      <x v="58"/>
      <x v="57"/>
      <x v="8"/>
      <x v="3"/>
    </i>
    <i r="1">
      <x v="77"/>
      <x v="79"/>
      <x v="15"/>
      <x v="3"/>
    </i>
    <i r="1">
      <x v="81"/>
      <x v="83"/>
      <x v="31"/>
      <x v="11"/>
    </i>
    <i r="1">
      <x v="82"/>
      <x v="84"/>
      <x v="31"/>
      <x v="11"/>
    </i>
    <i r="1">
      <x v="90"/>
      <x v="92"/>
      <x v="27"/>
      <x v="11"/>
    </i>
    <i r="1">
      <x v="91"/>
      <x v="93"/>
      <x v="27"/>
      <x v="11"/>
    </i>
    <i r="1">
      <x v="107"/>
      <x v="109"/>
      <x v="19"/>
      <x v="11"/>
    </i>
    <i r="1">
      <x v="112"/>
      <x v="121"/>
      <x v="8"/>
      <x v="3"/>
    </i>
    <i r="1">
      <x v="123"/>
      <x v="118"/>
      <x v="53"/>
      <x v="8"/>
    </i>
    <i r="1">
      <x v="130"/>
      <x v="120"/>
      <x v="15"/>
      <x v="3"/>
    </i>
    <i t="sum">
      <x v="19"/>
    </i>
    <i>
      <x v="20"/>
      <x v="29"/>
      <x v="52"/>
      <x v="1"/>
      <x v="10"/>
    </i>
    <i r="1">
      <x v="30"/>
      <x v="53"/>
      <x v="1"/>
      <x v="10"/>
    </i>
    <i t="sum">
      <x v="20"/>
    </i>
    <i>
      <x v="21"/>
      <x v="1"/>
      <x v="54"/>
      <x v="5"/>
      <x v="3"/>
    </i>
    <i r="1">
      <x v="53"/>
      <x v="31"/>
      <x v="35"/>
      <x v="6"/>
    </i>
    <i r="1">
      <x v="102"/>
      <x v="104"/>
      <x v="5"/>
      <x v="3"/>
    </i>
    <i t="sum">
      <x v="21"/>
    </i>
    <i>
      <x v="22"/>
      <x v="78"/>
      <x v="80"/>
      <x v="46"/>
      <x v="11"/>
    </i>
    <i r="1">
      <x v="81"/>
      <x v="83"/>
      <x v="31"/>
      <x v="11"/>
    </i>
    <i r="1">
      <x v="82"/>
      <x v="84"/>
      <x v="31"/>
      <x v="11"/>
    </i>
    <i r="1">
      <x v="99"/>
      <x v="101"/>
      <x v="46"/>
      <x v="11"/>
    </i>
    <i t="sum">
      <x v="22"/>
    </i>
    <i>
      <x v="23"/>
      <x v="1"/>
      <x v="54"/>
      <x v="5"/>
      <x v="3"/>
    </i>
    <i r="1">
      <x v="4"/>
      <x v="58"/>
      <x v="32"/>
      <x v="10"/>
    </i>
    <i r="1">
      <x v="15"/>
      <x v="64"/>
      <x v="60"/>
      <x v="11"/>
    </i>
    <i r="1">
      <x v="16"/>
      <x v="18"/>
      <x v="6"/>
      <x v="3"/>
    </i>
    <i r="3">
      <x v="48"/>
      <x v="10"/>
    </i>
    <i r="1">
      <x v="18"/>
      <x v="62"/>
      <x v="69"/>
      <x v="10"/>
    </i>
    <i r="1">
      <x v="20"/>
      <x v="40"/>
      <x v="59"/>
      <x v="3"/>
    </i>
    <i r="1">
      <x v="22"/>
      <x v="63"/>
      <x v="2"/>
      <x v="11"/>
    </i>
    <i r="1">
      <x v="23"/>
      <x v="50"/>
      <x v="59"/>
      <x v="3"/>
    </i>
    <i r="1">
      <x v="29"/>
      <x v="52"/>
      <x v="1"/>
      <x v="10"/>
    </i>
    <i r="1">
      <x v="30"/>
      <x v="53"/>
      <x v="1"/>
      <x v="10"/>
    </i>
    <i r="1">
      <x v="31"/>
      <x v="47"/>
      <x v="54"/>
      <x v="11"/>
    </i>
    <i r="1">
      <x v="33"/>
      <x v="51"/>
      <x v="3"/>
      <x v="11"/>
    </i>
    <i r="1">
      <x v="37"/>
      <x v="43"/>
      <x v="55"/>
      <x v="11"/>
    </i>
    <i r="1">
      <x v="38"/>
      <x v="61"/>
      <x v="69"/>
      <x v="10"/>
    </i>
    <i r="1">
      <x v="39"/>
      <x v="30"/>
      <x v="19"/>
      <x v="11"/>
    </i>
    <i r="1">
      <x v="41"/>
      <x v="44"/>
      <x v="69"/>
      <x v="10"/>
    </i>
    <i r="1">
      <x v="46"/>
      <x v="55"/>
      <x v="19"/>
      <x v="11"/>
    </i>
    <i r="1">
      <x v="52"/>
      <x v="39"/>
      <x v="73"/>
      <x v="10"/>
    </i>
    <i r="1">
      <x v="56"/>
      <x v="45"/>
      <x v="38"/>
      <x v="10"/>
    </i>
    <i r="1">
      <x v="57"/>
      <x v="42"/>
      <x v="66"/>
      <x v="11"/>
    </i>
    <i r="1">
      <x v="58"/>
      <x v="57"/>
      <x v="8"/>
      <x v="3"/>
    </i>
    <i r="1">
      <x v="60"/>
      <x v="48"/>
      <x v="54"/>
      <x v="11"/>
    </i>
    <i r="1">
      <x v="71"/>
      <x v="124"/>
      <x v="68"/>
      <x v="10"/>
    </i>
    <i r="1">
      <x v="72"/>
      <x v="74"/>
      <x v="9"/>
      <x v="3"/>
    </i>
    <i r="1">
      <x v="73"/>
      <x v="75"/>
      <x v="9"/>
      <x v="3"/>
    </i>
    <i r="1">
      <x v="74"/>
      <x v="76"/>
      <x v="30"/>
      <x v="11"/>
    </i>
    <i r="1">
      <x v="75"/>
      <x v="77"/>
      <x v="3"/>
      <x v="11"/>
    </i>
    <i r="1">
      <x v="78"/>
      <x v="80"/>
      <x v="46"/>
      <x v="11"/>
    </i>
    <i r="1">
      <x v="79"/>
      <x v="81"/>
      <x v="26"/>
      <x v="11"/>
    </i>
    <i r="1">
      <x v="81"/>
      <x v="83"/>
      <x v="31"/>
      <x v="11"/>
    </i>
    <i r="1">
      <x v="82"/>
      <x v="84"/>
      <x v="31"/>
      <x v="11"/>
    </i>
    <i r="1">
      <x v="83"/>
      <x v="85"/>
      <x v="38"/>
      <x v="10"/>
    </i>
    <i r="1">
      <x v="86"/>
      <x v="88"/>
      <x v="30"/>
      <x v="11"/>
    </i>
    <i r="1">
      <x v="87"/>
      <x v="89"/>
      <x v="60"/>
      <x v="11"/>
    </i>
    <i r="1">
      <x v="88"/>
      <x v="90"/>
      <x v="48"/>
      <x v="10"/>
    </i>
    <i r="1">
      <x v="89"/>
      <x v="91"/>
      <x v="48"/>
      <x v="10"/>
    </i>
    <i r="1">
      <x v="90"/>
      <x v="92"/>
      <x v="55"/>
      <x v="11"/>
    </i>
    <i r="1">
      <x v="91"/>
      <x v="93"/>
      <x v="27"/>
      <x v="11"/>
    </i>
    <i r="1">
      <x v="92"/>
      <x v="94"/>
      <x v="73"/>
      <x v="10"/>
    </i>
    <i r="1">
      <x v="97"/>
      <x v="99"/>
      <x v="26"/>
      <x v="11"/>
    </i>
    <i r="1">
      <x v="98"/>
      <x v="100"/>
      <x v="32"/>
      <x v="10"/>
    </i>
    <i r="1">
      <x v="99"/>
      <x v="101"/>
      <x v="46"/>
      <x v="11"/>
    </i>
    <i r="1">
      <x v="102"/>
      <x v="104"/>
      <x v="5"/>
      <x v="3"/>
    </i>
    <i r="1">
      <x v="105"/>
      <x v="107"/>
      <x v="6"/>
      <x v="3"/>
    </i>
    <i r="3">
      <x v="48"/>
      <x v="10"/>
    </i>
    <i r="1">
      <x v="107"/>
      <x v="109"/>
      <x v="19"/>
      <x v="11"/>
    </i>
    <i r="1">
      <x v="108"/>
      <x v="111"/>
      <x v="58"/>
      <x v="5"/>
    </i>
    <i r="1">
      <x v="112"/>
      <x v="121"/>
      <x v="8"/>
      <x v="3"/>
    </i>
    <i r="1">
      <x v="117"/>
      <x v="114"/>
      <x v="66"/>
      <x v="11"/>
    </i>
    <i r="1">
      <x v="120"/>
      <x v="117"/>
      <x v="74"/>
      <x v="14"/>
    </i>
    <i r="3">
      <x v="77"/>
      <x v="14"/>
    </i>
    <i r="1">
      <x v="123"/>
      <x v="118"/>
      <x v="53"/>
      <x v="8"/>
    </i>
    <i r="1">
      <x v="128"/>
      <x v="119"/>
      <x v="69"/>
      <x v="10"/>
    </i>
    <i r="1">
      <x v="129"/>
      <x/>
      <x v="27"/>
      <x v="11"/>
    </i>
    <i r="1">
      <x v="133"/>
      <x v="122"/>
      <x v="68"/>
      <x v="10"/>
    </i>
    <i t="sum">
      <x v="23"/>
    </i>
    <i>
      <x v="24"/>
      <x v="66"/>
      <x v="68"/>
      <x v="6"/>
      <x v="3"/>
    </i>
    <i r="1">
      <x v="77"/>
      <x v="79"/>
      <x v="2"/>
      <x v="11"/>
    </i>
    <i r="1">
      <x v="78"/>
      <x v="80"/>
      <x v="46"/>
      <x v="11"/>
    </i>
    <i r="1">
      <x v="99"/>
      <x v="101"/>
      <x v="46"/>
      <x v="11"/>
    </i>
    <i r="1">
      <x v="111"/>
      <x/>
      <x v="2"/>
      <x v="11"/>
    </i>
    <i r="1">
      <x v="112"/>
      <x v="121"/>
      <x v="6"/>
      <x v="3"/>
    </i>
    <i t="sum">
      <x v="24"/>
    </i>
    <i>
      <x v="25"/>
      <x v="103"/>
      <x v="123"/>
      <x v="75"/>
      <x v="14"/>
    </i>
    <i t="sum">
      <x v="25"/>
    </i>
    <i>
      <x v="26"/>
      <x v="3"/>
      <x v="46"/>
      <x v="11"/>
      <x v="12"/>
    </i>
    <i r="1">
      <x v="7"/>
      <x v="26"/>
      <x v="20"/>
      <x v="12"/>
    </i>
    <i r="1">
      <x v="9"/>
      <x v="15"/>
      <x v="12"/>
      <x v="12"/>
    </i>
    <i r="1">
      <x v="19"/>
      <x v="13"/>
      <x v="11"/>
      <x v="12"/>
    </i>
    <i r="1">
      <x v="40"/>
      <x v="28"/>
    </i>
    <i r="1">
      <x v="42"/>
      <x v="21"/>
      <x v="12"/>
      <x v="12"/>
    </i>
    <i r="1">
      <x v="49"/>
      <x v="49"/>
      <x v="13"/>
      <x v="12"/>
    </i>
    <i r="1">
      <x v="59"/>
      <x v="20"/>
      <x v="25"/>
      <x v="12"/>
    </i>
    <i r="1">
      <x v="62"/>
      <x v="36"/>
      <x v="25"/>
      <x v="12"/>
    </i>
    <i r="1">
      <x v="113"/>
      <x v="25"/>
      <x v="20"/>
      <x v="12"/>
    </i>
    <i r="1">
      <x v="114"/>
      <x v="23"/>
      <x v="21"/>
      <x v="12"/>
    </i>
    <i r="1">
      <x v="115"/>
      <x v="24"/>
      <x v="21"/>
      <x v="12"/>
    </i>
    <i t="sum">
      <x v="26"/>
    </i>
    <i>
      <x v="27"/>
      <x v="7"/>
      <x v="26"/>
      <x v="20"/>
      <x v="12"/>
    </i>
    <i r="1">
      <x v="9"/>
      <x v="15"/>
      <x v="12"/>
      <x v="12"/>
    </i>
    <i r="1">
      <x v="42"/>
      <x v="21"/>
      <x v="12"/>
      <x v="12"/>
    </i>
    <i r="1">
      <x v="59"/>
      <x v="20"/>
      <x v="25"/>
      <x v="12"/>
    </i>
    <i r="1">
      <x v="62"/>
      <x v="36"/>
      <x v="25"/>
      <x v="12"/>
    </i>
    <i r="1">
      <x v="88"/>
      <x v="90"/>
      <x v="48"/>
      <x v="10"/>
    </i>
    <i r="1">
      <x v="89"/>
      <x v="91"/>
      <x v="48"/>
      <x v="10"/>
    </i>
    <i r="1">
      <x v="113"/>
      <x v="25"/>
      <x v="20"/>
      <x v="12"/>
    </i>
    <i t="sum">
      <x v="27"/>
    </i>
    <i>
      <x v="28"/>
      <x v="88"/>
      <x v="90"/>
      <x v="2"/>
      <x v="11"/>
    </i>
    <i r="1">
      <x v="89"/>
      <x v="91"/>
      <x v="2"/>
      <x v="11"/>
    </i>
    <i t="sum">
      <x v="28"/>
    </i>
    <i>
      <x v="29"/>
      <x v="37"/>
      <x v="43"/>
      <x v="55"/>
      <x v="11"/>
    </i>
    <i r="1">
      <x v="39"/>
      <x v="30"/>
      <x v="52"/>
      <x v="5"/>
    </i>
    <i r="1">
      <x v="50"/>
      <x v="41"/>
      <x v="55"/>
      <x v="11"/>
    </i>
    <i r="1">
      <x v="81"/>
      <x v="83"/>
      <x v="31"/>
      <x v="11"/>
    </i>
    <i r="1">
      <x v="82"/>
      <x v="84"/>
      <x v="31"/>
      <x v="11"/>
    </i>
    <i t="sum">
      <x v="29"/>
    </i>
    <i>
      <x v="30"/>
      <x v="20"/>
      <x v="40"/>
      <x v="59"/>
      <x v="3"/>
    </i>
    <i r="1">
      <x v="23"/>
      <x v="50"/>
      <x v="59"/>
      <x v="3"/>
    </i>
    <i t="sum">
      <x v="30"/>
    </i>
    <i>
      <x v="31"/>
      <x/>
      <x v="60"/>
      <x v="53"/>
      <x v="8"/>
    </i>
    <i t="sum">
      <x v="31"/>
    </i>
    <i>
      <x v="32"/>
      <x v="58"/>
      <x v="57"/>
      <x v="8"/>
      <x v="3"/>
    </i>
    <i r="1">
      <x v="112"/>
      <x v="121"/>
      <x v="8"/>
      <x v="3"/>
    </i>
    <i t="sum">
      <x v="32"/>
    </i>
    <i>
      <x v="33"/>
      <x v="71"/>
      <x v="124"/>
      <x v="68"/>
      <x v="10"/>
    </i>
    <i r="1">
      <x v="133"/>
      <x v="122"/>
      <x v="68"/>
      <x v="10"/>
    </i>
    <i t="sum">
      <x v="33"/>
    </i>
    <i>
      <x v="34"/>
      <x v="57"/>
      <x v="42"/>
      <x v="66"/>
      <x v="11"/>
    </i>
    <i r="1">
      <x v="117"/>
      <x v="114"/>
      <x v="66"/>
      <x v="11"/>
    </i>
    <i t="sum">
      <x v="34"/>
    </i>
    <i>
      <x v="35"/>
      <x v="10"/>
      <x v="10"/>
      <x v="17"/>
      <x v="12"/>
    </i>
    <i r="1">
      <x v="36"/>
      <x v="11"/>
      <x v="17"/>
      <x v="12"/>
    </i>
    <i r="1">
      <x v="40"/>
      <x v="28"/>
    </i>
    <i r="1">
      <x v="49"/>
      <x v="49"/>
      <x v="13"/>
      <x v="12"/>
    </i>
    <i t="sum">
      <x v="35"/>
    </i>
    <i>
      <x v="36"/>
      <x v="66"/>
      <x v="68"/>
      <x v="6"/>
      <x v="3"/>
    </i>
    <i r="1">
      <x v="112"/>
      <x v="121"/>
      <x v="6"/>
      <x v="3"/>
    </i>
    <i t="sum">
      <x v="36"/>
    </i>
    <i>
      <x v="37"/>
      <x v="120"/>
      <x v="117"/>
      <x v="74"/>
      <x v="14"/>
    </i>
    <i r="1">
      <x v="132"/>
      <x/>
      <x v="78"/>
      <x/>
    </i>
    <i r="3">
      <x v="79"/>
      <x/>
    </i>
    <i t="sum">
      <x v="37"/>
    </i>
    <i>
      <x v="38"/>
      <x v="4"/>
      <x v="58"/>
      <x v="32"/>
      <x v="10"/>
    </i>
    <i r="1">
      <x v="15"/>
      <x v="64"/>
      <x v="60"/>
      <x v="11"/>
    </i>
    <i r="1">
      <x v="34"/>
      <x v="35"/>
      <x v="66"/>
      <x v="11"/>
    </i>
    <i r="1">
      <x v="57"/>
      <x v="42"/>
      <x v="66"/>
      <x v="11"/>
    </i>
    <i r="1">
      <x v="79"/>
      <x v="81"/>
      <x v="26"/>
      <x v="11"/>
    </i>
    <i r="1">
      <x v="87"/>
      <x v="89"/>
      <x v="60"/>
      <x v="11"/>
    </i>
    <i r="1">
      <x v="97"/>
      <x v="99"/>
      <x v="26"/>
      <x v="11"/>
    </i>
    <i r="1">
      <x v="98"/>
      <x v="100"/>
      <x v="32"/>
      <x v="10"/>
    </i>
    <i t="sum">
      <x v="38"/>
    </i>
    <i>
      <x v="39"/>
      <x v="31"/>
      <x v="47"/>
      <x v="43"/>
      <x v="11"/>
    </i>
    <i r="1">
      <x v="60"/>
      <x v="48"/>
      <x v="43"/>
      <x v="11"/>
    </i>
    <i r="1">
      <x v="63"/>
      <x v="65"/>
      <x v="23"/>
      <x v="12"/>
    </i>
    <i r="1">
      <x v="64"/>
      <x v="66"/>
      <x v="23"/>
      <x v="12"/>
    </i>
    <i r="1">
      <x v="71"/>
      <x v="124"/>
      <x v="68"/>
      <x v="10"/>
    </i>
    <i r="1">
      <x v="81"/>
      <x v="83"/>
      <x v="31"/>
      <x v="11"/>
    </i>
    <i r="1">
      <x v="82"/>
      <x v="84"/>
      <x v="31"/>
      <x v="11"/>
    </i>
    <i r="1">
      <x v="132"/>
      <x/>
      <x v="81"/>
      <x/>
    </i>
    <i r="3">
      <x v="82"/>
      <x/>
    </i>
    <i r="1">
      <x v="133"/>
      <x v="122"/>
      <x v="68"/>
      <x v="10"/>
    </i>
    <i t="sum">
      <x v="39"/>
    </i>
    <i>
      <x v="40"/>
      <x v="2"/>
      <x v="33"/>
      <x v="24"/>
      <x v="12"/>
    </i>
    <i r="1">
      <x v="3"/>
      <x v="46"/>
      <x v="11"/>
      <x v="12"/>
    </i>
    <i r="1">
      <x v="8"/>
      <x v="16"/>
      <x v="16"/>
      <x v="12"/>
    </i>
    <i r="1">
      <x v="10"/>
      <x v="10"/>
      <x v="17"/>
      <x v="12"/>
    </i>
    <i r="1">
      <x v="19"/>
      <x v="13"/>
      <x v="11"/>
      <x v="12"/>
    </i>
    <i r="1">
      <x v="24"/>
      <x v="37"/>
      <x v="22"/>
      <x v="12"/>
    </i>
    <i r="1">
      <x v="36"/>
      <x v="11"/>
      <x v="17"/>
      <x v="12"/>
    </i>
    <i r="1">
      <x v="40"/>
      <x v="28"/>
    </i>
    <i r="1">
      <x v="43"/>
      <x v="14"/>
      <x v="24"/>
      <x v="12"/>
    </i>
    <i r="1">
      <x v="44"/>
      <x v="38"/>
      <x v="22"/>
      <x v="12"/>
    </i>
    <i r="1">
      <x v="48"/>
      <x v="17"/>
      <x v="18"/>
      <x v="12"/>
    </i>
    <i r="1">
      <x v="49"/>
      <x v="49"/>
      <x v="13"/>
      <x v="12"/>
    </i>
    <i r="1">
      <x v="61"/>
      <x v="32"/>
      <x v="18"/>
      <x v="12"/>
    </i>
    <i r="1">
      <x v="63"/>
      <x v="65"/>
      <x v="23"/>
      <x v="12"/>
    </i>
    <i r="1">
      <x v="64"/>
      <x v="66"/>
      <x v="23"/>
      <x v="12"/>
    </i>
    <i r="1">
      <x v="96"/>
      <x v="98"/>
      <x v="16"/>
      <x v="12"/>
    </i>
    <i t="sum">
      <x v="40"/>
    </i>
    <i>
      <x v="41"/>
      <x v="15"/>
      <x v="64"/>
      <x v="60"/>
      <x v="11"/>
    </i>
    <i r="1">
      <x v="74"/>
      <x v="76"/>
      <x v="30"/>
      <x v="11"/>
    </i>
    <i r="1">
      <x v="86"/>
      <x v="88"/>
      <x v="30"/>
      <x v="11"/>
    </i>
    <i r="1">
      <x v="87"/>
      <x v="89"/>
      <x v="60"/>
      <x v="11"/>
    </i>
    <i t="sum">
      <x v="41"/>
    </i>
    <i>
      <x v="42"/>
      <x v="20"/>
      <x v="40"/>
      <x v="59"/>
      <x v="3"/>
    </i>
    <i r="1">
      <x v="23"/>
      <x v="50"/>
      <x v="59"/>
      <x v="3"/>
    </i>
    <i r="1">
      <x v="81"/>
      <x v="83"/>
      <x v="31"/>
      <x v="11"/>
    </i>
    <i r="1">
      <x v="82"/>
      <x v="84"/>
      <x v="31"/>
      <x v="11"/>
    </i>
    <i r="1">
      <x v="88"/>
      <x v="90"/>
      <x v="2"/>
      <x v="11"/>
    </i>
    <i r="1">
      <x v="89"/>
      <x v="91"/>
      <x v="2"/>
      <x v="11"/>
    </i>
    <i r="1">
      <x v="94"/>
      <x v="96"/>
      <x v="62"/>
      <x v="4"/>
    </i>
    <i r="1">
      <x v="103"/>
      <x v="123"/>
      <x v="75"/>
      <x v="14"/>
    </i>
    <i t="sum">
      <x v="42"/>
    </i>
    <i>
      <x v="43"/>
      <x v="17"/>
      <x v="56"/>
      <x v="36"/>
      <x v="1"/>
    </i>
    <i r="1">
      <x v="18"/>
      <x v="62"/>
      <x v="69"/>
      <x v="10"/>
    </i>
    <i r="1">
      <x v="37"/>
      <x v="43"/>
      <x v="55"/>
      <x v="11"/>
    </i>
    <i r="1">
      <x v="38"/>
      <x v="61"/>
      <x v="69"/>
      <x v="10"/>
    </i>
    <i r="1">
      <x v="46"/>
      <x v="55"/>
      <x v="19"/>
      <x v="11"/>
    </i>
    <i r="1">
      <x v="51"/>
      <x v="27"/>
      <x v="10"/>
      <x v="3"/>
    </i>
    <i r="1">
      <x v="55"/>
      <x v="3"/>
      <x v="10"/>
      <x v="3"/>
    </i>
    <i r="1">
      <x v="90"/>
      <x v="92"/>
      <x v="55"/>
      <x v="11"/>
    </i>
    <i r="1">
      <x v="93"/>
      <x v="95"/>
      <x v="33"/>
      <x v="6"/>
    </i>
    <i r="1">
      <x v="106"/>
      <x v="108"/>
      <x v="50"/>
      <x v="6"/>
    </i>
    <i r="1">
      <x v="107"/>
      <x v="109"/>
      <x v="19"/>
      <x v="11"/>
    </i>
    <i r="1">
      <x v="131"/>
      <x v="110"/>
      <x v="34"/>
      <x v="6"/>
    </i>
    <i t="sum">
      <x v="43"/>
    </i>
    <i>
      <x v="44"/>
      <x v="16"/>
      <x v="18"/>
      <x v="6"/>
      <x v="3"/>
    </i>
    <i r="1">
      <x v="20"/>
      <x v="40"/>
      <x v="59"/>
      <x v="3"/>
    </i>
    <i r="1">
      <x v="23"/>
      <x v="50"/>
      <x v="59"/>
      <x v="3"/>
    </i>
    <i r="1">
      <x v="29"/>
      <x v="52"/>
      <x v="1"/>
      <x v="10"/>
    </i>
    <i r="1">
      <x v="30"/>
      <x v="53"/>
      <x v="1"/>
      <x v="10"/>
    </i>
    <i r="1">
      <x v="31"/>
      <x v="47"/>
      <x v="43"/>
      <x v="11"/>
    </i>
    <i r="1">
      <x v="37"/>
      <x v="43"/>
      <x v="55"/>
      <x v="11"/>
    </i>
    <i r="1">
      <x v="50"/>
      <x v="41"/>
      <x v="55"/>
      <x v="11"/>
    </i>
    <i r="1">
      <x v="58"/>
      <x v="57"/>
      <x v="8"/>
      <x v="3"/>
    </i>
    <i r="1">
      <x v="60"/>
      <x v="48"/>
      <x v="43"/>
      <x v="11"/>
    </i>
    <i r="1">
      <x v="72"/>
      <x v="74"/>
      <x v="9"/>
      <x v="3"/>
    </i>
    <i r="1">
      <x v="73"/>
      <x v="75"/>
      <x v="9"/>
      <x v="3"/>
    </i>
    <i r="1">
      <x v="74"/>
      <x v="76"/>
      <x v="30"/>
      <x v="11"/>
    </i>
    <i r="1">
      <x v="77"/>
      <x v="79"/>
      <x v="2"/>
      <x v="11"/>
    </i>
    <i r="3">
      <x v="15"/>
      <x v="3"/>
    </i>
    <i r="1">
      <x v="78"/>
      <x v="80"/>
      <x v="46"/>
      <x v="11"/>
    </i>
    <i r="1">
      <x v="81"/>
      <x v="83"/>
      <x v="31"/>
      <x v="11"/>
    </i>
    <i r="1">
      <x v="82"/>
      <x v="84"/>
      <x v="31"/>
      <x v="11"/>
    </i>
    <i r="1">
      <x v="84"/>
      <x v="86"/>
      <x v="28"/>
      <x v="11"/>
    </i>
    <i r="1">
      <x v="85"/>
      <x v="87"/>
      <x v="28"/>
      <x v="11"/>
    </i>
    <i r="1">
      <x v="86"/>
      <x v="88"/>
      <x v="30"/>
      <x v="11"/>
    </i>
    <i r="1">
      <x v="99"/>
      <x v="101"/>
      <x v="46"/>
      <x v="11"/>
    </i>
    <i r="1">
      <x v="105"/>
      <x v="107"/>
      <x v="6"/>
      <x v="3"/>
    </i>
    <i r="1">
      <x v="111"/>
      <x/>
      <x v="2"/>
      <x v="11"/>
    </i>
    <i r="1">
      <x v="112"/>
      <x v="121"/>
      <x v="8"/>
      <x v="3"/>
    </i>
    <i r="1">
      <x v="130"/>
      <x v="120"/>
      <x v="15"/>
      <x v="3"/>
    </i>
    <i t="sum">
      <x v="44"/>
    </i>
    <i>
      <x v="45"/>
      <x v="32"/>
      <x v="5"/>
      <x v="37"/>
      <x v="1"/>
    </i>
    <i r="1">
      <x v="39"/>
      <x v="30"/>
      <x v="52"/>
      <x v="5"/>
    </i>
    <i r="1">
      <x v="53"/>
      <x v="31"/>
      <x v="35"/>
      <x v="6"/>
    </i>
    <i r="1">
      <x v="103"/>
      <x v="123"/>
      <x v="75"/>
      <x v="14"/>
    </i>
    <i r="1">
      <x v="108"/>
      <x v="111"/>
      <x v="58"/>
      <x v="5"/>
    </i>
    <i t="sum">
      <x v="45"/>
    </i>
    <i>
      <x v="46"/>
      <x v="17"/>
      <x v="56"/>
      <x v="36"/>
      <x v="1"/>
    </i>
    <i r="1">
      <x v="93"/>
      <x v="95"/>
      <x v="33"/>
      <x v="6"/>
    </i>
    <i r="1">
      <x v="106"/>
      <x v="108"/>
      <x v="50"/>
      <x v="6"/>
    </i>
    <i r="1">
      <x v="131"/>
      <x v="110"/>
      <x v="34"/>
      <x v="6"/>
    </i>
    <i t="sum">
      <x v="46"/>
    </i>
    <i>
      <x v="47"/>
      <x v="53"/>
      <x v="31"/>
      <x v="35"/>
      <x v="6"/>
    </i>
    <i r="1">
      <x v="93"/>
      <x v="95"/>
      <x v="33"/>
      <x v="6"/>
    </i>
    <i r="1">
      <x v="106"/>
      <x v="108"/>
      <x v="50"/>
      <x v="6"/>
    </i>
    <i r="1">
      <x v="108"/>
      <x v="111"/>
      <x v="58"/>
      <x v="5"/>
    </i>
    <i t="sum">
      <x v="47"/>
    </i>
    <i>
      <x v="48"/>
      <x v="2"/>
      <x v="33"/>
      <x v="24"/>
      <x v="12"/>
    </i>
    <i r="1">
      <x v="3"/>
      <x v="46"/>
      <x v="11"/>
      <x v="12"/>
    </i>
    <i r="1">
      <x v="5"/>
      <x v="22"/>
      <x v="14"/>
      <x v="9"/>
    </i>
    <i r="3">
      <x v="29"/>
      <x v="11"/>
    </i>
    <i r="1">
      <x v="11"/>
      <x v="23"/>
      <x v="21"/>
      <x v="12"/>
    </i>
    <i r="1">
      <x v="12"/>
      <x v="24"/>
      <x v="21"/>
      <x v="12"/>
    </i>
    <i r="1">
      <x v="13"/>
      <x v="7"/>
      <x v="39"/>
      <x v="9"/>
    </i>
    <i r="1">
      <x v="14"/>
      <x v="9"/>
      <x v="42"/>
      <x v="9"/>
    </i>
    <i r="1">
      <x v="19"/>
      <x v="13"/>
      <x v="11"/>
      <x v="12"/>
    </i>
    <i r="1">
      <x v="21"/>
      <x v="1"/>
      <x v="51"/>
      <x v="11"/>
    </i>
    <i r="1">
      <x v="25"/>
      <x v="4"/>
      <x v="57"/>
      <x v="11"/>
    </i>
    <i r="1">
      <x v="26"/>
      <x v="29"/>
      <x v="14"/>
      <x v="9"/>
    </i>
    <i r="3">
      <x v="29"/>
      <x v="11"/>
    </i>
    <i r="3">
      <x v="64"/>
      <x v="11"/>
    </i>
    <i r="1">
      <x v="27"/>
      <x v="12"/>
      <x v="4"/>
      <x v="9"/>
    </i>
    <i r="3">
      <x v="39"/>
      <x v="9"/>
    </i>
    <i r="3">
      <x v="42"/>
      <x v="9"/>
    </i>
    <i r="3">
      <x v="47"/>
      <x v="4"/>
    </i>
    <i r="3">
      <x v="56"/>
      <x v="5"/>
    </i>
    <i r="3">
      <x v="64"/>
      <x v="11"/>
    </i>
    <i r="1">
      <x v="35"/>
      <x v="8"/>
      <x/>
      <x v="9"/>
    </i>
    <i r="3">
      <x v="4"/>
      <x v="9"/>
    </i>
    <i r="3">
      <x v="7"/>
      <x v="3"/>
    </i>
    <i r="3">
      <x v="14"/>
      <x v="9"/>
    </i>
    <i r="3">
      <x v="29"/>
      <x v="11"/>
    </i>
    <i r="3">
      <x v="39"/>
      <x v="9"/>
    </i>
    <i r="3">
      <x v="41"/>
      <x v="9"/>
    </i>
    <i r="3">
      <x v="57"/>
      <x v="11"/>
    </i>
    <i r="1">
      <x v="40"/>
      <x v="28"/>
    </i>
    <i r="1">
      <x v="43"/>
      <x v="14"/>
      <x v="24"/>
      <x v="12"/>
    </i>
    <i r="1">
      <x v="45"/>
      <x v="19"/>
      <x v="63"/>
      <x v="11"/>
    </i>
    <i r="1">
      <x v="47"/>
      <x v="2"/>
      <x v="65"/>
      <x v="11"/>
    </i>
    <i r="1">
      <x v="49"/>
      <x v="49"/>
      <x v="13"/>
      <x v="12"/>
    </i>
    <i r="1">
      <x v="54"/>
      <x v="34"/>
      <x/>
      <x v="9"/>
    </i>
    <i r="1">
      <x v="95"/>
      <x v="97"/>
      <x v="41"/>
      <x v="9"/>
    </i>
    <i r="3">
      <x v="83"/>
      <x v="14"/>
    </i>
    <i r="1">
      <x v="96"/>
      <x v="98"/>
      <x v="23"/>
      <x v="12"/>
    </i>
    <i r="1">
      <x v="103"/>
      <x v="123"/>
      <x v="7"/>
      <x v="3"/>
    </i>
    <i r="3">
      <x v="29"/>
      <x v="11"/>
    </i>
    <i r="3">
      <x v="47"/>
      <x v="4"/>
    </i>
    <i r="3">
      <x v="83"/>
      <x v="14"/>
    </i>
    <i r="1">
      <x v="104"/>
      <x v="106"/>
      <x v="41"/>
      <x v="9"/>
    </i>
    <i r="3">
      <x v="47"/>
      <x v="4"/>
    </i>
    <i r="3">
      <x v="83"/>
      <x v="14"/>
    </i>
    <i r="1">
      <x v="109"/>
      <x v="112"/>
      <x v="56"/>
      <x v="5"/>
    </i>
    <i r="1">
      <x v="110"/>
      <x v="113"/>
      <x v="4"/>
      <x v="9"/>
    </i>
    <i r="1">
      <x v="114"/>
      <x v="23"/>
      <x v="21"/>
      <x v="12"/>
    </i>
    <i r="1">
      <x v="115"/>
      <x v="24"/>
      <x v="21"/>
      <x v="12"/>
    </i>
    <i r="1">
      <x v="134"/>
      <x v="67"/>
      <x v="41"/>
      <x v="9"/>
    </i>
    <i r="3">
      <x v="49"/>
      <x v="7"/>
    </i>
    <i t="sum">
      <x v="48"/>
    </i>
    <i>
      <x v="49"/>
      <x v="6"/>
      <x v="6"/>
      <x v="61"/>
      <x v="4"/>
    </i>
    <i r="1">
      <x v="14"/>
      <x v="9"/>
      <x v="42"/>
      <x v="9"/>
    </i>
    <i r="1">
      <x v="32"/>
      <x v="5"/>
      <x v="37"/>
      <x v="1"/>
    </i>
    <i r="1">
      <x v="39"/>
      <x v="30"/>
      <x v="52"/>
      <x v="5"/>
    </i>
    <i r="1">
      <x v="53"/>
      <x v="31"/>
      <x v="35"/>
      <x v="6"/>
    </i>
    <i r="1">
      <x v="94"/>
      <x v="96"/>
      <x v="62"/>
      <x v="4"/>
    </i>
    <i r="1">
      <x v="104"/>
      <x v="106"/>
      <x v="47"/>
      <x v="4"/>
    </i>
    <i r="1">
      <x v="108"/>
      <x v="111"/>
      <x v="58"/>
      <x v="5"/>
    </i>
    <i r="1">
      <x v="109"/>
      <x v="112"/>
      <x v="56"/>
      <x v="5"/>
    </i>
    <i r="1">
      <x v="134"/>
      <x v="67"/>
      <x v="49"/>
      <x v="7"/>
    </i>
    <i t="sum">
      <x v="49"/>
    </i>
    <i>
      <x v="50"/>
      <x v="2"/>
      <x v="33"/>
      <x v="24"/>
      <x v="12"/>
    </i>
    <i r="1">
      <x v="43"/>
      <x v="14"/>
      <x v="24"/>
      <x v="12"/>
    </i>
    <i r="1">
      <x v="48"/>
      <x v="17"/>
      <x v="18"/>
      <x v="12"/>
    </i>
    <i r="1">
      <x v="61"/>
      <x v="32"/>
      <x v="18"/>
      <x v="12"/>
    </i>
    <i t="sum">
      <x v="50"/>
    </i>
    <i>
      <x v="51"/>
      <x v="5"/>
      <x v="22"/>
      <x v="29"/>
      <x v="11"/>
    </i>
    <i r="1">
      <x v="21"/>
      <x v="1"/>
      <x v="51"/>
      <x v="11"/>
    </i>
    <i r="1">
      <x v="25"/>
      <x v="4"/>
      <x v="57"/>
      <x v="11"/>
    </i>
    <i r="1">
      <x v="27"/>
      <x v="12"/>
      <x v="64"/>
      <x v="11"/>
    </i>
    <i r="1">
      <x v="35"/>
      <x v="8"/>
      <x v="7"/>
      <x v="3"/>
    </i>
    <i t="sum">
      <x v="51"/>
    </i>
    <i>
      <x v="52"/>
      <x v="18"/>
      <x v="62"/>
      <x v="69"/>
      <x v="10"/>
    </i>
    <i r="1">
      <x v="38"/>
      <x v="61"/>
      <x v="69"/>
      <x v="10"/>
    </i>
    <i t="sum">
      <x v="52"/>
    </i>
    <i t="grand">
      <x/>
    </i>
  </rowItems>
  <colItems count="1">
    <i/>
  </colItems>
  <dataFields count="1">
    <dataField name="Sum of DT tính lương lái xe" fld="14" baseField="0" baseItem="0" numFmtId="181"/>
  </dataFields>
  <formats count="394">
    <format dxfId="778">
      <pivotArea outline="0" collapsedLevelsAreSubtotals="1" fieldPosition="0">
        <references count="1">
          <reference field="3" count="1" selected="0" sumSubtotal="1">
            <x v="0"/>
          </reference>
        </references>
      </pivotArea>
    </format>
    <format dxfId="779">
      <pivotArea dataOnly="0" labelOnly="1" fieldPosition="0">
        <references count="1">
          <reference field="3" count="1" sumSubtotal="1">
            <x v="0"/>
          </reference>
        </references>
      </pivotArea>
    </format>
    <format dxfId="780">
      <pivotArea outline="0" collapsedLevelsAreSubtotals="1" fieldPosition="0">
        <references count="1">
          <reference field="3" count="1" selected="0" sumSubtotal="1">
            <x v="1"/>
          </reference>
        </references>
      </pivotArea>
    </format>
    <format dxfId="781">
      <pivotArea dataOnly="0" labelOnly="1" fieldPosition="0">
        <references count="1">
          <reference field="3" count="1" sumSubtotal="1">
            <x v="1"/>
          </reference>
        </references>
      </pivotArea>
    </format>
    <format dxfId="782">
      <pivotArea outline="0" collapsedLevelsAreSubtotals="1" fieldPosition="0">
        <references count="1">
          <reference field="3" count="1" selected="0" sumSubtotal="1">
            <x v="2"/>
          </reference>
        </references>
      </pivotArea>
    </format>
    <format dxfId="783">
      <pivotArea dataOnly="0" labelOnly="1" fieldPosition="0">
        <references count="1">
          <reference field="3" count="1" sumSubtotal="1">
            <x v="2"/>
          </reference>
        </references>
      </pivotArea>
    </format>
    <format dxfId="784">
      <pivotArea outline="0" collapsedLevelsAreSubtotals="1" fieldPosition="0">
        <references count="1">
          <reference field="3" count="1" selected="0" sumSubtotal="1">
            <x v="3"/>
          </reference>
        </references>
      </pivotArea>
    </format>
    <format dxfId="785">
      <pivotArea dataOnly="0" labelOnly="1" fieldPosition="0">
        <references count="1">
          <reference field="3" count="1" sumSubtotal="1">
            <x v="3"/>
          </reference>
        </references>
      </pivotArea>
    </format>
    <format dxfId="786">
      <pivotArea outline="0" collapsedLevelsAreSubtotals="1" fieldPosition="0">
        <references count="1">
          <reference field="3" count="1" selected="0" sumSubtotal="1">
            <x v="4"/>
          </reference>
        </references>
      </pivotArea>
    </format>
    <format dxfId="787">
      <pivotArea dataOnly="0" labelOnly="1" fieldPosition="0">
        <references count="1">
          <reference field="3" count="1" sumSubtotal="1">
            <x v="4"/>
          </reference>
        </references>
      </pivotArea>
    </format>
    <format dxfId="788">
      <pivotArea type="all" dataOnly="0" outline="0" fieldPosition="0"/>
    </format>
    <format dxfId="789">
      <pivotArea outline="0" collapsedLevelsAreSubtotals="1" fieldPosition="0"/>
    </format>
    <format dxfId="790">
      <pivotArea field="3" type="button" dataOnly="0" labelOnly="1" outline="0" fieldPosition="0"/>
    </format>
    <format dxfId="791">
      <pivotArea field="9" type="button" dataOnly="0" labelOnly="1" outline="0" fieldPosition="0"/>
    </format>
    <format dxfId="792">
      <pivotArea field="15" type="button" dataOnly="0" labelOnly="1" outline="0" fieldPosition="0"/>
    </format>
    <format dxfId="793">
      <pivotArea field="8" type="button" dataOnly="0" labelOnly="1" outline="0" fieldPosition="0"/>
    </format>
    <format dxfId="794">
      <pivotArea field="16" type="button" dataOnly="0" labelOnly="1" outline="0" fieldPosition="0"/>
    </format>
    <format dxfId="795">
      <pivotArea dataOnly="0" labelOnly="1" fieldPosition="0">
        <references count="1">
          <reference field="3" count="4">
            <x v="0"/>
            <x v="1"/>
            <x v="2"/>
            <x v="3"/>
          </reference>
        </references>
      </pivotArea>
    </format>
    <format dxfId="796">
      <pivotArea dataOnly="0" labelOnly="1" fieldPosition="0">
        <references count="1">
          <reference field="3" count="4" sumSubtotal="1">
            <x v="0"/>
            <x v="1"/>
            <x v="2"/>
            <x v="3"/>
          </reference>
        </references>
      </pivotArea>
    </format>
    <format dxfId="797">
      <pivotArea dataOnly="0" labelOnly="1" fieldPosition="0">
        <references count="1">
          <reference field="3" count="1">
            <x v="4"/>
          </reference>
        </references>
      </pivotArea>
    </format>
    <format dxfId="798">
      <pivotArea dataOnly="0" labelOnly="1" fieldPosition="0">
        <references count="1">
          <reference field="3" count="1" sumSubtotal="1">
            <x v="4"/>
          </reference>
        </references>
      </pivotArea>
    </format>
    <format dxfId="799">
      <pivotArea dataOnly="0" labelOnly="1" grandRow="1" outline="0" fieldPosition="0"/>
    </format>
    <format dxfId="800">
      <pivotArea dataOnly="0" labelOnly="1" fieldPosition="0">
        <references count="2">
          <reference field="3" count="1" selected="0">
            <x v="0"/>
          </reference>
          <reference field="9" count="6">
            <x v="4"/>
            <x v="18"/>
            <x v="34"/>
            <x v="38"/>
            <x v="51"/>
            <x v="57"/>
          </reference>
        </references>
      </pivotArea>
    </format>
    <format dxfId="801">
      <pivotArea dataOnly="0" labelOnly="1" fieldPosition="0">
        <references count="2">
          <reference field="3" count="1" selected="0">
            <x v="1"/>
          </reference>
          <reference field="9" count="22">
            <x v="0"/>
            <x v="1"/>
            <x v="4"/>
            <x v="13"/>
            <x v="14"/>
            <x v="17"/>
            <x v="21"/>
            <x v="23"/>
            <x v="28"/>
            <x v="29"/>
            <x v="30"/>
            <x v="31"/>
            <x v="34"/>
            <x v="37"/>
            <x v="41"/>
            <x v="46"/>
            <x v="51"/>
            <x v="52"/>
            <x v="55"/>
            <x v="57"/>
            <x v="58"/>
            <x v="60"/>
          </reference>
        </references>
      </pivotArea>
    </format>
    <format dxfId="802">
      <pivotArea dataOnly="0" labelOnly="1" fieldPosition="0">
        <references count="2">
          <reference field="3" count="1" selected="0">
            <x v="2"/>
          </reference>
          <reference field="9" count="17">
            <x v="0"/>
            <x v="1"/>
            <x v="13"/>
            <x v="16"/>
            <x v="20"/>
            <x v="21"/>
            <x v="23"/>
            <x v="27"/>
            <x v="29"/>
            <x v="30"/>
            <x v="32"/>
            <x v="33"/>
            <x v="34"/>
            <x v="37"/>
            <x v="41"/>
            <x v="55"/>
            <x v="57"/>
          </reference>
        </references>
      </pivotArea>
    </format>
    <format dxfId="803">
      <pivotArea dataOnly="0" labelOnly="1" fieldPosition="0">
        <references count="2">
          <reference field="3" count="1" selected="0">
            <x v="3"/>
          </reference>
          <reference field="9" count="12">
            <x v="14"/>
            <x v="21"/>
            <x v="23"/>
            <x v="27"/>
            <x v="29"/>
            <x v="30"/>
            <x v="34"/>
            <x v="37"/>
            <x v="46"/>
            <x v="50"/>
            <x v="56"/>
            <x v="57"/>
          </reference>
        </references>
      </pivotArea>
    </format>
    <format dxfId="804">
      <pivotArea dataOnly="0" labelOnly="1" fieldPosition="0">
        <references count="2">
          <reference field="3" count="1" selected="0">
            <x v="4"/>
          </reference>
          <reference field="9" count="5">
            <x v="1"/>
            <x v="23"/>
            <x v="33"/>
            <x v="50"/>
            <x v="55"/>
          </reference>
        </references>
      </pivotArea>
    </format>
    <format dxfId="805">
      <pivotArea dataOnly="0" labelOnly="1" fieldPosition="0">
        <references count="3">
          <reference field="3" count="1" selected="0">
            <x v="0"/>
          </reference>
          <reference field="9" count="1" selected="0">
            <x v="4"/>
          </reference>
          <reference field="15" count="1">
            <x v="58"/>
          </reference>
        </references>
      </pivotArea>
    </format>
    <format dxfId="806">
      <pivotArea dataOnly="0" labelOnly="1" fieldPosition="0">
        <references count="3">
          <reference field="3" count="1" selected="0">
            <x v="0"/>
          </reference>
          <reference field="9" count="1" selected="0">
            <x v="18"/>
          </reference>
          <reference field="15" count="1">
            <x v="62"/>
          </reference>
        </references>
      </pivotArea>
    </format>
    <format dxfId="807">
      <pivotArea dataOnly="0" labelOnly="1" fieldPosition="0">
        <references count="3">
          <reference field="3" count="1" selected="0">
            <x v="0"/>
          </reference>
          <reference field="9" count="1" selected="0">
            <x v="34"/>
          </reference>
          <reference field="15" count="1">
            <x v="35"/>
          </reference>
        </references>
      </pivotArea>
    </format>
    <format dxfId="808">
      <pivotArea dataOnly="0" labelOnly="1" fieldPosition="0">
        <references count="3">
          <reference field="3" count="1" selected="0">
            <x v="0"/>
          </reference>
          <reference field="9" count="1" selected="0">
            <x v="38"/>
          </reference>
          <reference field="15" count="1">
            <x v="61"/>
          </reference>
        </references>
      </pivotArea>
    </format>
    <format dxfId="809">
      <pivotArea dataOnly="0" labelOnly="1" fieldPosition="0">
        <references count="3">
          <reference field="3" count="1" selected="0">
            <x v="0"/>
          </reference>
          <reference field="9" count="1" selected="0">
            <x v="51"/>
          </reference>
          <reference field="15" count="1">
            <x v="27"/>
          </reference>
        </references>
      </pivotArea>
    </format>
    <format dxfId="810">
      <pivotArea dataOnly="0" labelOnly="1" fieldPosition="0">
        <references count="3">
          <reference field="3" count="1" selected="0">
            <x v="0"/>
          </reference>
          <reference field="9" count="1" selected="0">
            <x v="57"/>
          </reference>
          <reference field="15" count="1">
            <x v="42"/>
          </reference>
        </references>
      </pivotArea>
    </format>
    <format dxfId="811">
      <pivotArea dataOnly="0" labelOnly="1" fieldPosition="0">
        <references count="3">
          <reference field="3" count="1" selected="0">
            <x v="1"/>
          </reference>
          <reference field="9" count="1" selected="0">
            <x v="0"/>
          </reference>
          <reference field="15" count="1">
            <x v="60"/>
          </reference>
        </references>
      </pivotArea>
    </format>
    <format dxfId="812">
      <pivotArea dataOnly="0" labelOnly="1" fieldPosition="0">
        <references count="3">
          <reference field="3" count="1" selected="0">
            <x v="1"/>
          </reference>
          <reference field="9" count="1" selected="0">
            <x v="1"/>
          </reference>
          <reference field="15" count="1">
            <x v="54"/>
          </reference>
        </references>
      </pivotArea>
    </format>
    <format dxfId="813">
      <pivotArea dataOnly="0" labelOnly="1" fieldPosition="0">
        <references count="3">
          <reference field="3" count="1" selected="0">
            <x v="1"/>
          </reference>
          <reference field="9" count="1" selected="0">
            <x v="4"/>
          </reference>
          <reference field="15" count="1">
            <x v="58"/>
          </reference>
        </references>
      </pivotArea>
    </format>
    <format dxfId="814">
      <pivotArea dataOnly="0" labelOnly="1" fieldPosition="0">
        <references count="3">
          <reference field="3" count="1" selected="0">
            <x v="1"/>
          </reference>
          <reference field="9" count="1" selected="0">
            <x v="13"/>
          </reference>
          <reference field="15" count="1">
            <x v="7"/>
          </reference>
        </references>
      </pivotArea>
    </format>
    <format dxfId="815">
      <pivotArea dataOnly="0" labelOnly="1" fieldPosition="0">
        <references count="3">
          <reference field="3" count="1" selected="0">
            <x v="1"/>
          </reference>
          <reference field="9" count="1" selected="0">
            <x v="14"/>
          </reference>
          <reference field="15" count="1">
            <x v="9"/>
          </reference>
        </references>
      </pivotArea>
    </format>
    <format dxfId="816">
      <pivotArea dataOnly="0" labelOnly="1" fieldPosition="0">
        <references count="3">
          <reference field="3" count="1" selected="0">
            <x v="1"/>
          </reference>
          <reference field="9" count="1" selected="0">
            <x v="17"/>
          </reference>
          <reference field="15" count="1">
            <x v="56"/>
          </reference>
        </references>
      </pivotArea>
    </format>
    <format dxfId="817">
      <pivotArea dataOnly="0" labelOnly="1" fieldPosition="0">
        <references count="3">
          <reference field="3" count="1" selected="0">
            <x v="1"/>
          </reference>
          <reference field="9" count="1" selected="0">
            <x v="21"/>
          </reference>
          <reference field="15" count="1">
            <x v="1"/>
          </reference>
        </references>
      </pivotArea>
    </format>
    <format dxfId="818">
      <pivotArea dataOnly="0" labelOnly="1" fieldPosition="0">
        <references count="3">
          <reference field="3" count="1" selected="0">
            <x v="1"/>
          </reference>
          <reference field="9" count="1" selected="0">
            <x v="23"/>
          </reference>
          <reference field="15" count="1">
            <x v="50"/>
          </reference>
        </references>
      </pivotArea>
    </format>
    <format dxfId="819">
      <pivotArea dataOnly="0" labelOnly="1" fieldPosition="0">
        <references count="3">
          <reference field="3" count="1" selected="0">
            <x v="1"/>
          </reference>
          <reference field="9" count="1" selected="0">
            <x v="28"/>
          </reference>
          <reference field="15" count="1">
            <x v="59"/>
          </reference>
        </references>
      </pivotArea>
    </format>
    <format dxfId="820">
      <pivotArea dataOnly="0" labelOnly="1" fieldPosition="0">
        <references count="3">
          <reference field="3" count="1" selected="0">
            <x v="1"/>
          </reference>
          <reference field="9" count="1" selected="0">
            <x v="29"/>
          </reference>
          <reference field="15" count="1">
            <x v="52"/>
          </reference>
        </references>
      </pivotArea>
    </format>
    <format dxfId="821">
      <pivotArea dataOnly="0" labelOnly="1" fieldPosition="0">
        <references count="3">
          <reference field="3" count="1" selected="0">
            <x v="1"/>
          </reference>
          <reference field="9" count="1" selected="0">
            <x v="30"/>
          </reference>
          <reference field="15" count="1">
            <x v="53"/>
          </reference>
        </references>
      </pivotArea>
    </format>
    <format dxfId="822">
      <pivotArea dataOnly="0" labelOnly="1" fieldPosition="0">
        <references count="3">
          <reference field="3" count="1" selected="0">
            <x v="1"/>
          </reference>
          <reference field="9" count="1" selected="0">
            <x v="31"/>
          </reference>
          <reference field="15" count="1">
            <x v="47"/>
          </reference>
        </references>
      </pivotArea>
    </format>
    <format dxfId="823">
      <pivotArea dataOnly="0" labelOnly="1" fieldPosition="0">
        <references count="3">
          <reference field="3" count="1" selected="0">
            <x v="1"/>
          </reference>
          <reference field="9" count="1" selected="0">
            <x v="34"/>
          </reference>
          <reference field="15" count="1">
            <x v="35"/>
          </reference>
        </references>
      </pivotArea>
    </format>
    <format dxfId="824">
      <pivotArea dataOnly="0" labelOnly="1" fieldPosition="0">
        <references count="3">
          <reference field="3" count="1" selected="0">
            <x v="1"/>
          </reference>
          <reference field="9" count="1" selected="0">
            <x v="37"/>
          </reference>
          <reference field="15" count="1">
            <x v="43"/>
          </reference>
        </references>
      </pivotArea>
    </format>
    <format dxfId="825">
      <pivotArea dataOnly="0" labelOnly="1" fieldPosition="0">
        <references count="3">
          <reference field="3" count="1" selected="0">
            <x v="1"/>
          </reference>
          <reference field="9" count="1" selected="0">
            <x v="41"/>
          </reference>
          <reference field="15" count="1">
            <x v="44"/>
          </reference>
        </references>
      </pivotArea>
    </format>
    <format dxfId="826">
      <pivotArea dataOnly="0" labelOnly="1" fieldPosition="0">
        <references count="3">
          <reference field="3" count="1" selected="0">
            <x v="1"/>
          </reference>
          <reference field="9" count="1" selected="0">
            <x v="46"/>
          </reference>
          <reference field="15" count="1">
            <x v="55"/>
          </reference>
        </references>
      </pivotArea>
    </format>
    <format dxfId="827">
      <pivotArea dataOnly="0" labelOnly="1" fieldPosition="0">
        <references count="3">
          <reference field="3" count="1" selected="0">
            <x v="1"/>
          </reference>
          <reference field="9" count="1" selected="0">
            <x v="51"/>
          </reference>
          <reference field="15" count="1">
            <x v="27"/>
          </reference>
        </references>
      </pivotArea>
    </format>
    <format dxfId="828">
      <pivotArea dataOnly="0" labelOnly="1" fieldPosition="0">
        <references count="3">
          <reference field="3" count="1" selected="0">
            <x v="1"/>
          </reference>
          <reference field="9" count="1" selected="0">
            <x v="52"/>
          </reference>
          <reference field="15" count="1">
            <x v="39"/>
          </reference>
        </references>
      </pivotArea>
    </format>
    <format dxfId="829">
      <pivotArea dataOnly="0" labelOnly="1" fieldPosition="0">
        <references count="3">
          <reference field="3" count="1" selected="0">
            <x v="1"/>
          </reference>
          <reference field="9" count="1" selected="0">
            <x v="55"/>
          </reference>
          <reference field="15" count="1">
            <x v="3"/>
          </reference>
        </references>
      </pivotArea>
    </format>
    <format dxfId="830">
      <pivotArea dataOnly="0" labelOnly="1" fieldPosition="0">
        <references count="3">
          <reference field="3" count="1" selected="0">
            <x v="1"/>
          </reference>
          <reference field="9" count="1" selected="0">
            <x v="57"/>
          </reference>
          <reference field="15" count="1">
            <x v="42"/>
          </reference>
        </references>
      </pivotArea>
    </format>
    <format dxfId="831">
      <pivotArea dataOnly="0" labelOnly="1" fieldPosition="0">
        <references count="3">
          <reference field="3" count="1" selected="0">
            <x v="1"/>
          </reference>
          <reference field="9" count="1" selected="0">
            <x v="58"/>
          </reference>
          <reference field="15" count="1">
            <x v="57"/>
          </reference>
        </references>
      </pivotArea>
    </format>
    <format dxfId="832">
      <pivotArea dataOnly="0" labelOnly="1" fieldPosition="0">
        <references count="3">
          <reference field="3" count="1" selected="0">
            <x v="1"/>
          </reference>
          <reference field="9" count="1" selected="0">
            <x v="60"/>
          </reference>
          <reference field="15" count="1">
            <x v="48"/>
          </reference>
        </references>
      </pivotArea>
    </format>
    <format dxfId="833">
      <pivotArea dataOnly="0" labelOnly="1" fieldPosition="0">
        <references count="3">
          <reference field="3" count="1" selected="0">
            <x v="2"/>
          </reference>
          <reference field="9" count="1" selected="0">
            <x v="0"/>
          </reference>
          <reference field="15" count="1">
            <x v="60"/>
          </reference>
        </references>
      </pivotArea>
    </format>
    <format dxfId="834">
      <pivotArea dataOnly="0" labelOnly="1" fieldPosition="0">
        <references count="3">
          <reference field="3" count="1" selected="0">
            <x v="2"/>
          </reference>
          <reference field="9" count="1" selected="0">
            <x v="1"/>
          </reference>
          <reference field="15" count="1">
            <x v="54"/>
          </reference>
        </references>
      </pivotArea>
    </format>
    <format dxfId="835">
      <pivotArea dataOnly="0" labelOnly="1" fieldPosition="0">
        <references count="3">
          <reference field="3" count="1" selected="0">
            <x v="2"/>
          </reference>
          <reference field="9" count="1" selected="0">
            <x v="13"/>
          </reference>
          <reference field="15" count="1">
            <x v="7"/>
          </reference>
        </references>
      </pivotArea>
    </format>
    <format dxfId="836">
      <pivotArea dataOnly="0" labelOnly="1" fieldPosition="0">
        <references count="3">
          <reference field="3" count="1" selected="0">
            <x v="2"/>
          </reference>
          <reference field="9" count="1" selected="0">
            <x v="16"/>
          </reference>
          <reference field="15" count="1">
            <x v="18"/>
          </reference>
        </references>
      </pivotArea>
    </format>
    <format dxfId="837">
      <pivotArea dataOnly="0" labelOnly="1" fieldPosition="0">
        <references count="3">
          <reference field="3" count="1" selected="0">
            <x v="2"/>
          </reference>
          <reference field="9" count="1" selected="0">
            <x v="20"/>
          </reference>
          <reference field="15" count="1">
            <x v="40"/>
          </reference>
        </references>
      </pivotArea>
    </format>
    <format dxfId="838">
      <pivotArea dataOnly="0" labelOnly="1" fieldPosition="0">
        <references count="3">
          <reference field="3" count="1" selected="0">
            <x v="2"/>
          </reference>
          <reference field="9" count="1" selected="0">
            <x v="21"/>
          </reference>
          <reference field="15" count="1">
            <x v="1"/>
          </reference>
        </references>
      </pivotArea>
    </format>
    <format dxfId="839">
      <pivotArea dataOnly="0" labelOnly="1" fieldPosition="0">
        <references count="3">
          <reference field="3" count="1" selected="0">
            <x v="2"/>
          </reference>
          <reference field="9" count="1" selected="0">
            <x v="23"/>
          </reference>
          <reference field="15" count="1">
            <x v="50"/>
          </reference>
        </references>
      </pivotArea>
    </format>
    <format dxfId="840">
      <pivotArea dataOnly="0" labelOnly="1" fieldPosition="0">
        <references count="3">
          <reference field="3" count="1" selected="0">
            <x v="2"/>
          </reference>
          <reference field="9" count="1" selected="0">
            <x v="27"/>
          </reference>
          <reference field="15" count="1">
            <x v="12"/>
          </reference>
        </references>
      </pivotArea>
    </format>
    <format dxfId="841">
      <pivotArea dataOnly="0" labelOnly="1" fieldPosition="0">
        <references count="3">
          <reference field="3" count="1" selected="0">
            <x v="2"/>
          </reference>
          <reference field="9" count="1" selected="0">
            <x v="29"/>
          </reference>
          <reference field="15" count="1">
            <x v="52"/>
          </reference>
        </references>
      </pivotArea>
    </format>
    <format dxfId="842">
      <pivotArea dataOnly="0" labelOnly="1" fieldPosition="0">
        <references count="3">
          <reference field="3" count="1" selected="0">
            <x v="2"/>
          </reference>
          <reference field="9" count="1" selected="0">
            <x v="30"/>
          </reference>
          <reference field="15" count="1">
            <x v="53"/>
          </reference>
        </references>
      </pivotArea>
    </format>
    <format dxfId="843">
      <pivotArea dataOnly="0" labelOnly="1" fieldPosition="0">
        <references count="3">
          <reference field="3" count="1" selected="0">
            <x v="2"/>
          </reference>
          <reference field="9" count="1" selected="0">
            <x v="32"/>
          </reference>
          <reference field="15" count="1">
            <x v="5"/>
          </reference>
        </references>
      </pivotArea>
    </format>
    <format dxfId="844">
      <pivotArea dataOnly="0" labelOnly="1" fieldPosition="0">
        <references count="3">
          <reference field="3" count="1" selected="0">
            <x v="2"/>
          </reference>
          <reference field="9" count="1" selected="0">
            <x v="33"/>
          </reference>
          <reference field="15" count="1">
            <x v="51"/>
          </reference>
        </references>
      </pivotArea>
    </format>
    <format dxfId="845">
      <pivotArea dataOnly="0" labelOnly="1" fieldPosition="0">
        <references count="3">
          <reference field="3" count="1" selected="0">
            <x v="2"/>
          </reference>
          <reference field="9" count="1" selected="0">
            <x v="34"/>
          </reference>
          <reference field="15" count="1">
            <x v="35"/>
          </reference>
        </references>
      </pivotArea>
    </format>
    <format dxfId="846">
      <pivotArea dataOnly="0" labelOnly="1" fieldPosition="0">
        <references count="3">
          <reference field="3" count="1" selected="0">
            <x v="2"/>
          </reference>
          <reference field="9" count="1" selected="0">
            <x v="37"/>
          </reference>
          <reference field="15" count="1">
            <x v="43"/>
          </reference>
        </references>
      </pivotArea>
    </format>
    <format dxfId="847">
      <pivotArea dataOnly="0" labelOnly="1" fieldPosition="0">
        <references count="3">
          <reference field="3" count="1" selected="0">
            <x v="2"/>
          </reference>
          <reference field="9" count="1" selected="0">
            <x v="41"/>
          </reference>
          <reference field="15" count="1">
            <x v="44"/>
          </reference>
        </references>
      </pivotArea>
    </format>
    <format dxfId="848">
      <pivotArea dataOnly="0" labelOnly="1" fieldPosition="0">
        <references count="3">
          <reference field="3" count="1" selected="0">
            <x v="2"/>
          </reference>
          <reference field="9" count="1" selected="0">
            <x v="55"/>
          </reference>
          <reference field="15" count="1">
            <x v="3"/>
          </reference>
        </references>
      </pivotArea>
    </format>
    <format dxfId="849">
      <pivotArea dataOnly="0" labelOnly="1" fieldPosition="0">
        <references count="3">
          <reference field="3" count="1" selected="0">
            <x v="2"/>
          </reference>
          <reference field="9" count="1" selected="0">
            <x v="57"/>
          </reference>
          <reference field="15" count="1">
            <x v="42"/>
          </reference>
        </references>
      </pivotArea>
    </format>
    <format dxfId="850">
      <pivotArea dataOnly="0" labelOnly="1" fieldPosition="0">
        <references count="3">
          <reference field="3" count="1" selected="0">
            <x v="3"/>
          </reference>
          <reference field="9" count="1" selected="0">
            <x v="14"/>
          </reference>
          <reference field="15" count="1">
            <x v="9"/>
          </reference>
        </references>
      </pivotArea>
    </format>
    <format dxfId="851">
      <pivotArea dataOnly="0" labelOnly="1" fieldPosition="0">
        <references count="3">
          <reference field="3" count="1" selected="0">
            <x v="3"/>
          </reference>
          <reference field="9" count="1" selected="0">
            <x v="21"/>
          </reference>
          <reference field="15" count="1">
            <x v="1"/>
          </reference>
        </references>
      </pivotArea>
    </format>
    <format dxfId="852">
      <pivotArea dataOnly="0" labelOnly="1" fieldPosition="0">
        <references count="3">
          <reference field="3" count="1" selected="0">
            <x v="3"/>
          </reference>
          <reference field="9" count="1" selected="0">
            <x v="23"/>
          </reference>
          <reference field="15" count="1">
            <x v="50"/>
          </reference>
        </references>
      </pivotArea>
    </format>
    <format dxfId="853">
      <pivotArea dataOnly="0" labelOnly="1" fieldPosition="0">
        <references count="3">
          <reference field="3" count="1" selected="0">
            <x v="3"/>
          </reference>
          <reference field="9" count="1" selected="0">
            <x v="27"/>
          </reference>
          <reference field="15" count="1">
            <x v="12"/>
          </reference>
        </references>
      </pivotArea>
    </format>
    <format dxfId="854">
      <pivotArea dataOnly="0" labelOnly="1" fieldPosition="0">
        <references count="3">
          <reference field="3" count="1" selected="0">
            <x v="3"/>
          </reference>
          <reference field="9" count="1" selected="0">
            <x v="29"/>
          </reference>
          <reference field="15" count="1">
            <x v="52"/>
          </reference>
        </references>
      </pivotArea>
    </format>
    <format dxfId="855">
      <pivotArea dataOnly="0" labelOnly="1" fieldPosition="0">
        <references count="3">
          <reference field="3" count="1" selected="0">
            <x v="3"/>
          </reference>
          <reference field="9" count="1" selected="0">
            <x v="30"/>
          </reference>
          <reference field="15" count="1">
            <x v="53"/>
          </reference>
        </references>
      </pivotArea>
    </format>
    <format dxfId="856">
      <pivotArea dataOnly="0" labelOnly="1" fieldPosition="0">
        <references count="3">
          <reference field="3" count="1" selected="0">
            <x v="3"/>
          </reference>
          <reference field="9" count="1" selected="0">
            <x v="34"/>
          </reference>
          <reference field="15" count="1">
            <x v="35"/>
          </reference>
        </references>
      </pivotArea>
    </format>
    <format dxfId="857">
      <pivotArea dataOnly="0" labelOnly="1" fieldPosition="0">
        <references count="3">
          <reference field="3" count="1" selected="0">
            <x v="3"/>
          </reference>
          <reference field="9" count="1" selected="0">
            <x v="37"/>
          </reference>
          <reference field="15" count="1">
            <x v="43"/>
          </reference>
        </references>
      </pivotArea>
    </format>
    <format dxfId="858">
      <pivotArea dataOnly="0" labelOnly="1" fieldPosition="0">
        <references count="3">
          <reference field="3" count="1" selected="0">
            <x v="3"/>
          </reference>
          <reference field="9" count="1" selected="0">
            <x v="46"/>
          </reference>
          <reference field="15" count="1">
            <x v="55"/>
          </reference>
        </references>
      </pivotArea>
    </format>
    <format dxfId="859">
      <pivotArea dataOnly="0" labelOnly="1" fieldPosition="0">
        <references count="3">
          <reference field="3" count="1" selected="0">
            <x v="3"/>
          </reference>
          <reference field="9" count="1" selected="0">
            <x v="50"/>
          </reference>
          <reference field="15" count="1">
            <x v="41"/>
          </reference>
        </references>
      </pivotArea>
    </format>
    <format dxfId="860">
      <pivotArea dataOnly="0" labelOnly="1" fieldPosition="0">
        <references count="3">
          <reference field="3" count="1" selected="0">
            <x v="3"/>
          </reference>
          <reference field="9" count="1" selected="0">
            <x v="56"/>
          </reference>
          <reference field="15" count="1">
            <x v="45"/>
          </reference>
        </references>
      </pivotArea>
    </format>
    <format dxfId="861">
      <pivotArea dataOnly="0" labelOnly="1" fieldPosition="0">
        <references count="3">
          <reference field="3" count="1" selected="0">
            <x v="3"/>
          </reference>
          <reference field="9" count="1" selected="0">
            <x v="57"/>
          </reference>
          <reference field="15" count="1">
            <x v="42"/>
          </reference>
        </references>
      </pivotArea>
    </format>
    <format dxfId="862">
      <pivotArea dataOnly="0" labelOnly="1" fieldPosition="0">
        <references count="3">
          <reference field="3" count="1" selected="0">
            <x v="4"/>
          </reference>
          <reference field="9" count="1" selected="0">
            <x v="1"/>
          </reference>
          <reference field="15" count="1">
            <x v="54"/>
          </reference>
        </references>
      </pivotArea>
    </format>
    <format dxfId="863">
      <pivotArea dataOnly="0" labelOnly="1" fieldPosition="0">
        <references count="3">
          <reference field="3" count="1" selected="0">
            <x v="4"/>
          </reference>
          <reference field="9" count="1" selected="0">
            <x v="23"/>
          </reference>
          <reference field="15" count="1">
            <x v="50"/>
          </reference>
        </references>
      </pivotArea>
    </format>
    <format dxfId="864">
      <pivotArea dataOnly="0" labelOnly="1" fieldPosition="0">
        <references count="3">
          <reference field="3" count="1" selected="0">
            <x v="4"/>
          </reference>
          <reference field="9" count="1" selected="0">
            <x v="33"/>
          </reference>
          <reference field="15" count="1">
            <x v="51"/>
          </reference>
        </references>
      </pivotArea>
    </format>
    <format dxfId="865">
      <pivotArea dataOnly="0" labelOnly="1" fieldPosition="0">
        <references count="3">
          <reference field="3" count="1" selected="0">
            <x v="4"/>
          </reference>
          <reference field="9" count="1" selected="0">
            <x v="50"/>
          </reference>
          <reference field="15" count="1">
            <x v="41"/>
          </reference>
        </references>
      </pivotArea>
    </format>
    <format dxfId="866">
      <pivotArea dataOnly="0" labelOnly="1" fieldPosition="0">
        <references count="3">
          <reference field="3" count="1" selected="0">
            <x v="4"/>
          </reference>
          <reference field="9" count="1" selected="0">
            <x v="55"/>
          </reference>
          <reference field="15" count="1">
            <x v="3"/>
          </reference>
        </references>
      </pivotArea>
    </format>
    <format dxfId="867">
      <pivotArea dataOnly="0" labelOnly="1" fieldPosition="0">
        <references count="4">
          <reference field="3" count="1" selected="0">
            <x v="0"/>
          </reference>
          <reference field="8" count="1">
            <x v="48"/>
          </reference>
          <reference field="9" count="1" selected="0">
            <x v="4"/>
          </reference>
          <reference field="15" count="1" selected="0">
            <x v="58"/>
          </reference>
        </references>
      </pivotArea>
    </format>
    <format dxfId="868">
      <pivotArea dataOnly="0" labelOnly="1" fieldPosition="0">
        <references count="4">
          <reference field="3" count="1" selected="0">
            <x v="0"/>
          </reference>
          <reference field="8" count="1">
            <x v="30"/>
          </reference>
          <reference field="9" count="1" selected="0">
            <x v="18"/>
          </reference>
          <reference field="15" count="1" selected="0">
            <x v="62"/>
          </reference>
        </references>
      </pivotArea>
    </format>
    <format dxfId="869">
      <pivotArea dataOnly="0" labelOnly="1" fieldPosition="0">
        <references count="4">
          <reference field="3" count="1" selected="0">
            <x v="0"/>
          </reference>
          <reference field="8" count="1">
            <x v="66"/>
          </reference>
          <reference field="9" count="1" selected="0">
            <x v="34"/>
          </reference>
          <reference field="15" count="1" selected="0">
            <x v="35"/>
          </reference>
        </references>
      </pivotArea>
    </format>
    <format dxfId="870">
      <pivotArea dataOnly="0" labelOnly="1" fieldPosition="0">
        <references count="4">
          <reference field="3" count="1" selected="0">
            <x v="0"/>
          </reference>
          <reference field="8" count="1">
            <x v="30"/>
          </reference>
          <reference field="9" count="1" selected="0">
            <x v="38"/>
          </reference>
          <reference field="15" count="1" selected="0">
            <x v="61"/>
          </reference>
        </references>
      </pivotArea>
    </format>
    <format dxfId="871">
      <pivotArea dataOnly="0" labelOnly="1" fieldPosition="0">
        <references count="4">
          <reference field="3" count="1" selected="0">
            <x v="0"/>
          </reference>
          <reference field="8" count="1">
            <x v="3"/>
          </reference>
          <reference field="9" count="1" selected="0">
            <x v="51"/>
          </reference>
          <reference field="15" count="1" selected="0">
            <x v="27"/>
          </reference>
        </references>
      </pivotArea>
    </format>
    <format dxfId="872">
      <pivotArea dataOnly="0" labelOnly="1" fieldPosition="0">
        <references count="4">
          <reference field="3" count="1" selected="0">
            <x v="0"/>
          </reference>
          <reference field="8" count="1">
            <x v="66"/>
          </reference>
          <reference field="9" count="1" selected="0">
            <x v="57"/>
          </reference>
          <reference field="15" count="1" selected="0">
            <x v="42"/>
          </reference>
        </references>
      </pivotArea>
    </format>
    <format dxfId="873">
      <pivotArea dataOnly="0" labelOnly="1" fieldPosition="0">
        <references count="4">
          <reference field="3" count="1" selected="0">
            <x v="1"/>
          </reference>
          <reference field="8" count="1">
            <x v="34"/>
          </reference>
          <reference field="9" count="1" selected="0">
            <x v="0"/>
          </reference>
          <reference field="15" count="1" selected="0">
            <x v="60"/>
          </reference>
        </references>
      </pivotArea>
    </format>
    <format dxfId="874">
      <pivotArea dataOnly="0" labelOnly="1" fieldPosition="0">
        <references count="4">
          <reference field="3" count="1" selected="0">
            <x v="1"/>
          </reference>
          <reference field="8" count="1">
            <x v="5"/>
          </reference>
          <reference field="9" count="1" selected="0">
            <x v="1"/>
          </reference>
          <reference field="15" count="1" selected="0">
            <x v="54"/>
          </reference>
        </references>
      </pivotArea>
    </format>
    <format dxfId="875">
      <pivotArea dataOnly="0" labelOnly="1" fieldPosition="0">
        <references count="4">
          <reference field="3" count="1" selected="0">
            <x v="1"/>
          </reference>
          <reference field="8" count="2">
            <x v="32"/>
            <x v="48"/>
          </reference>
          <reference field="9" count="1" selected="0">
            <x v="4"/>
          </reference>
          <reference field="15" count="1" selected="0">
            <x v="58"/>
          </reference>
        </references>
      </pivotArea>
    </format>
    <format dxfId="876">
      <pivotArea dataOnly="0" labelOnly="1" fieldPosition="0">
        <references count="4">
          <reference field="3" count="1" selected="0">
            <x v="1"/>
          </reference>
          <reference field="8" count="1">
            <x v="37"/>
          </reference>
          <reference field="9" count="1" selected="0">
            <x v="13"/>
          </reference>
          <reference field="15" count="1" selected="0">
            <x v="7"/>
          </reference>
        </references>
      </pivotArea>
    </format>
    <format dxfId="877">
      <pivotArea dataOnly="0" labelOnly="1" fieldPosition="0">
        <references count="4">
          <reference field="3" count="1" selected="0">
            <x v="1"/>
          </reference>
          <reference field="8" count="1">
            <x v="42"/>
          </reference>
          <reference field="9" count="1" selected="0">
            <x v="14"/>
          </reference>
          <reference field="15" count="1" selected="0">
            <x v="9"/>
          </reference>
        </references>
      </pivotArea>
    </format>
    <format dxfId="878">
      <pivotArea dataOnly="0" labelOnly="1" fieldPosition="0">
        <references count="4">
          <reference field="3" count="1" selected="0">
            <x v="1"/>
          </reference>
          <reference field="8" count="1">
            <x v="34"/>
          </reference>
          <reference field="9" count="1" selected="0">
            <x v="17"/>
          </reference>
          <reference field="15" count="1" selected="0">
            <x v="56"/>
          </reference>
        </references>
      </pivotArea>
    </format>
    <format dxfId="879">
      <pivotArea dataOnly="0" labelOnly="1" fieldPosition="0">
        <references count="4">
          <reference field="3" count="1" selected="0">
            <x v="1"/>
          </reference>
          <reference field="8" count="2">
            <x v="5"/>
            <x v="51"/>
          </reference>
          <reference field="9" count="1" selected="0">
            <x v="21"/>
          </reference>
          <reference field="15" count="1" selected="0">
            <x v="1"/>
          </reference>
        </references>
      </pivotArea>
    </format>
    <format dxfId="880">
      <pivotArea dataOnly="0" labelOnly="1" fieldPosition="0">
        <references count="4">
          <reference field="3" count="1" selected="0">
            <x v="1"/>
          </reference>
          <reference field="8" count="1">
            <x v="2"/>
          </reference>
          <reference field="9" count="1" selected="0">
            <x v="23"/>
          </reference>
          <reference field="15" count="1" selected="0">
            <x v="50"/>
          </reference>
        </references>
      </pivotArea>
    </format>
    <format dxfId="881">
      <pivotArea dataOnly="0" labelOnly="1" fieldPosition="0">
        <references count="4">
          <reference field="3" count="1" selected="0">
            <x v="1"/>
          </reference>
          <reference field="8" count="2">
            <x v="32"/>
            <x v="48"/>
          </reference>
          <reference field="9" count="1" selected="0">
            <x v="28"/>
          </reference>
          <reference field="15" count="1" selected="0">
            <x v="59"/>
          </reference>
        </references>
      </pivotArea>
    </format>
    <format dxfId="882">
      <pivotArea dataOnly="0" labelOnly="1" fieldPosition="0">
        <references count="4">
          <reference field="3" count="1" selected="0">
            <x v="1"/>
          </reference>
          <reference field="8" count="1">
            <x v="30"/>
          </reference>
          <reference field="9" count="1" selected="0">
            <x v="29"/>
          </reference>
          <reference field="15" count="1" selected="0">
            <x v="52"/>
          </reference>
        </references>
      </pivotArea>
    </format>
    <format dxfId="883">
      <pivotArea dataOnly="0" labelOnly="1" fieldPosition="0">
        <references count="4">
          <reference field="3" count="1" selected="0">
            <x v="1"/>
          </reference>
          <reference field="8" count="1">
            <x v="30"/>
          </reference>
          <reference field="9" count="1" selected="0">
            <x v="30"/>
          </reference>
          <reference field="15" count="1" selected="0">
            <x v="53"/>
          </reference>
        </references>
      </pivotArea>
    </format>
    <format dxfId="884">
      <pivotArea dataOnly="0" labelOnly="1" fieldPosition="0">
        <references count="4">
          <reference field="3" count="1" selected="0">
            <x v="1"/>
          </reference>
          <reference field="8" count="1">
            <x v="43"/>
          </reference>
          <reference field="9" count="1" selected="0">
            <x v="31"/>
          </reference>
          <reference field="15" count="1" selected="0">
            <x v="47"/>
          </reference>
        </references>
      </pivotArea>
    </format>
    <format dxfId="885">
      <pivotArea dataOnly="0" labelOnly="1" fieldPosition="0">
        <references count="4">
          <reference field="3" count="1" selected="0">
            <x v="1"/>
          </reference>
          <reference field="8" count="1">
            <x v="66"/>
          </reference>
          <reference field="9" count="1" selected="0">
            <x v="34"/>
          </reference>
          <reference field="15" count="1" selected="0">
            <x v="35"/>
          </reference>
        </references>
      </pivotArea>
    </format>
    <format dxfId="886">
      <pivotArea dataOnly="0" labelOnly="1" fieldPosition="0">
        <references count="4">
          <reference field="3" count="1" selected="0">
            <x v="1"/>
          </reference>
          <reference field="8" count="1">
            <x v="8"/>
          </reference>
          <reference field="9" count="1" selected="0">
            <x v="46"/>
          </reference>
          <reference field="15" count="1" selected="0">
            <x v="55"/>
          </reference>
        </references>
      </pivotArea>
    </format>
    <format dxfId="887">
      <pivotArea dataOnly="0" labelOnly="1" fieldPosition="0">
        <references count="4">
          <reference field="3" count="1" selected="0">
            <x v="1"/>
          </reference>
          <reference field="8" count="1">
            <x v="46"/>
          </reference>
          <reference field="9" count="1" selected="0">
            <x v="51"/>
          </reference>
          <reference field="15" count="1" selected="0">
            <x v="27"/>
          </reference>
        </references>
      </pivotArea>
    </format>
    <format dxfId="888">
      <pivotArea dataOnly="0" labelOnly="1" fieldPosition="0">
        <references count="4">
          <reference field="3" count="1" selected="0">
            <x v="1"/>
          </reference>
          <reference field="8" count="1">
            <x v="54"/>
          </reference>
          <reference field="9" count="1" selected="0">
            <x v="52"/>
          </reference>
          <reference field="15" count="1" selected="0">
            <x v="39"/>
          </reference>
        </references>
      </pivotArea>
    </format>
    <format dxfId="889">
      <pivotArea dataOnly="0" labelOnly="1" fieldPosition="0">
        <references count="4">
          <reference field="3" count="1" selected="0">
            <x v="1"/>
          </reference>
          <reference field="8" count="1">
            <x v="10"/>
          </reference>
          <reference field="9" count="1" selected="0">
            <x v="55"/>
          </reference>
          <reference field="15" count="1" selected="0">
            <x v="3"/>
          </reference>
        </references>
      </pivotArea>
    </format>
    <format dxfId="890">
      <pivotArea dataOnly="0" labelOnly="1" fieldPosition="0">
        <references count="4">
          <reference field="3" count="1" selected="0">
            <x v="1"/>
          </reference>
          <reference field="8" count="1">
            <x v="66"/>
          </reference>
          <reference field="9" count="1" selected="0">
            <x v="57"/>
          </reference>
          <reference field="15" count="1" selected="0">
            <x v="42"/>
          </reference>
        </references>
      </pivotArea>
    </format>
    <format dxfId="891">
      <pivotArea dataOnly="0" labelOnly="1" fieldPosition="0">
        <references count="4">
          <reference field="3" count="1" selected="0">
            <x v="1"/>
          </reference>
          <reference field="8" count="1">
            <x v="8"/>
          </reference>
          <reference field="9" count="1" selected="0">
            <x v="58"/>
          </reference>
          <reference field="15" count="1" selected="0">
            <x v="57"/>
          </reference>
        </references>
      </pivotArea>
    </format>
    <format dxfId="892">
      <pivotArea dataOnly="0" labelOnly="1" fieldPosition="0">
        <references count="4">
          <reference field="3" count="1" selected="0">
            <x v="1"/>
          </reference>
          <reference field="8" count="1">
            <x v="43"/>
          </reference>
          <reference field="9" count="1" selected="0">
            <x v="60"/>
          </reference>
          <reference field="15" count="1" selected="0">
            <x v="48"/>
          </reference>
        </references>
      </pivotArea>
    </format>
    <format dxfId="893">
      <pivotArea dataOnly="0" labelOnly="1" fieldPosition="0">
        <references count="4">
          <reference field="3" count="1" selected="0">
            <x v="2"/>
          </reference>
          <reference field="8" count="1">
            <x v="53"/>
          </reference>
          <reference field="9" count="1" selected="0">
            <x v="0"/>
          </reference>
          <reference field="15" count="1" selected="0">
            <x v="60"/>
          </reference>
        </references>
      </pivotArea>
    </format>
    <format dxfId="894">
      <pivotArea dataOnly="0" labelOnly="1" fieldPosition="0">
        <references count="4">
          <reference field="3" count="1" selected="0">
            <x v="2"/>
          </reference>
          <reference field="8" count="1">
            <x v="29"/>
          </reference>
          <reference field="9" count="1" selected="0">
            <x v="1"/>
          </reference>
          <reference field="15" count="1" selected="0">
            <x v="54"/>
          </reference>
        </references>
      </pivotArea>
    </format>
    <format dxfId="895">
      <pivotArea dataOnly="0" labelOnly="1" fieldPosition="0">
        <references count="4">
          <reference field="3" count="1" selected="0">
            <x v="2"/>
          </reference>
          <reference field="8" count="1">
            <x v="37"/>
          </reference>
          <reference field="9" count="1" selected="0">
            <x v="13"/>
          </reference>
          <reference field="15" count="1" selected="0">
            <x v="7"/>
          </reference>
        </references>
      </pivotArea>
    </format>
    <format dxfId="896">
      <pivotArea dataOnly="0" labelOnly="1" fieldPosition="0">
        <references count="4">
          <reference field="3" count="1" selected="0">
            <x v="2"/>
          </reference>
          <reference field="8" count="1">
            <x v="59"/>
          </reference>
          <reference field="9" count="1" selected="0">
            <x v="16"/>
          </reference>
          <reference field="15" count="1" selected="0">
            <x v="18"/>
          </reference>
        </references>
      </pivotArea>
    </format>
    <format dxfId="897">
      <pivotArea dataOnly="0" labelOnly="1" fieldPosition="0">
        <references count="4">
          <reference field="3" count="1" selected="0">
            <x v="2"/>
          </reference>
          <reference field="8" count="1">
            <x v="5"/>
          </reference>
          <reference field="9" count="1" selected="0">
            <x v="21"/>
          </reference>
          <reference field="15" count="1" selected="0">
            <x v="1"/>
          </reference>
        </references>
      </pivotArea>
    </format>
    <format dxfId="898">
      <pivotArea dataOnly="0" labelOnly="1" fieldPosition="0">
        <references count="4">
          <reference field="3" count="1" selected="0">
            <x v="2"/>
          </reference>
          <reference field="8" count="1">
            <x v="15"/>
          </reference>
          <reference field="9" count="1" selected="0">
            <x v="23"/>
          </reference>
          <reference field="15" count="1" selected="0">
            <x v="50"/>
          </reference>
        </references>
      </pivotArea>
    </format>
    <format dxfId="899">
      <pivotArea dataOnly="0" labelOnly="1" fieldPosition="0">
        <references count="4">
          <reference field="3" count="1" selected="0">
            <x v="2"/>
          </reference>
          <reference field="8" count="1">
            <x v="64"/>
          </reference>
          <reference field="9" count="1" selected="0">
            <x v="27"/>
          </reference>
          <reference field="15" count="1" selected="0">
            <x v="12"/>
          </reference>
        </references>
      </pivotArea>
    </format>
    <format dxfId="900">
      <pivotArea dataOnly="0" labelOnly="1" fieldPosition="0">
        <references count="4">
          <reference field="3" count="1" selected="0">
            <x v="2"/>
          </reference>
          <reference field="8" count="1">
            <x v="1"/>
          </reference>
          <reference field="9" count="1" selected="0">
            <x v="29"/>
          </reference>
          <reference field="15" count="1" selected="0">
            <x v="52"/>
          </reference>
        </references>
      </pivotArea>
    </format>
    <format dxfId="901">
      <pivotArea dataOnly="0" labelOnly="1" fieldPosition="0">
        <references count="4">
          <reference field="3" count="1" selected="0">
            <x v="2"/>
          </reference>
          <reference field="8" count="1">
            <x v="37"/>
          </reference>
          <reference field="9" count="1" selected="0">
            <x v="32"/>
          </reference>
          <reference field="15" count="1" selected="0">
            <x v="5"/>
          </reference>
        </references>
      </pivotArea>
    </format>
    <format dxfId="902">
      <pivotArea dataOnly="0" labelOnly="1" fieldPosition="0">
        <references count="4">
          <reference field="3" count="1" selected="0">
            <x v="2"/>
          </reference>
          <reference field="8" count="1">
            <x v="45"/>
          </reference>
          <reference field="9" count="1" selected="0">
            <x v="33"/>
          </reference>
          <reference field="15" count="1" selected="0">
            <x v="51"/>
          </reference>
        </references>
      </pivotArea>
    </format>
    <format dxfId="903">
      <pivotArea dataOnly="0" labelOnly="1" fieldPosition="0">
        <references count="4">
          <reference field="3" count="1" selected="0">
            <x v="2"/>
          </reference>
          <reference field="8" count="1">
            <x v="66"/>
          </reference>
          <reference field="9" count="1" selected="0">
            <x v="34"/>
          </reference>
          <reference field="15" count="1" selected="0">
            <x v="35"/>
          </reference>
        </references>
      </pivotArea>
    </format>
    <format dxfId="904">
      <pivotArea dataOnly="0" labelOnly="1" fieldPosition="0">
        <references count="4">
          <reference field="3" count="1" selected="0">
            <x v="2"/>
          </reference>
          <reference field="8" count="1">
            <x v="10"/>
          </reference>
          <reference field="9" count="1" selected="0">
            <x v="55"/>
          </reference>
          <reference field="15" count="1" selected="0">
            <x v="3"/>
          </reference>
        </references>
      </pivotArea>
    </format>
    <format dxfId="905">
      <pivotArea dataOnly="0" labelOnly="1" fieldPosition="0">
        <references count="4">
          <reference field="3" count="1" selected="0">
            <x v="2"/>
          </reference>
          <reference field="8" count="1">
            <x v="66"/>
          </reference>
          <reference field="9" count="1" selected="0">
            <x v="57"/>
          </reference>
          <reference field="15" count="1" selected="0">
            <x v="42"/>
          </reference>
        </references>
      </pivotArea>
    </format>
    <format dxfId="906">
      <pivotArea dataOnly="0" labelOnly="1" fieldPosition="0">
        <references count="4">
          <reference field="3" count="1" selected="0">
            <x v="3"/>
          </reference>
          <reference field="8" count="1">
            <x v="42"/>
          </reference>
          <reference field="9" count="1" selected="0">
            <x v="14"/>
          </reference>
          <reference field="15" count="1" selected="0">
            <x v="9"/>
          </reference>
        </references>
      </pivotArea>
    </format>
    <format dxfId="907">
      <pivotArea dataOnly="0" labelOnly="1" fieldPosition="0">
        <references count="4">
          <reference field="3" count="1" selected="0">
            <x v="3"/>
          </reference>
          <reference field="8" count="1">
            <x v="51"/>
          </reference>
          <reference field="9" count="1" selected="0">
            <x v="21"/>
          </reference>
          <reference field="15" count="1" selected="0">
            <x v="1"/>
          </reference>
        </references>
      </pivotArea>
    </format>
    <format dxfId="908">
      <pivotArea dataOnly="0" labelOnly="1" fieldPosition="0">
        <references count="4">
          <reference field="3" count="1" selected="0">
            <x v="3"/>
          </reference>
          <reference field="8" count="1">
            <x v="9"/>
          </reference>
          <reference field="9" count="1" selected="0">
            <x v="23"/>
          </reference>
          <reference field="15" count="1" selected="0">
            <x v="50"/>
          </reference>
        </references>
      </pivotArea>
    </format>
    <format dxfId="909">
      <pivotArea dataOnly="0" labelOnly="1" fieldPosition="0">
        <references count="4">
          <reference field="3" count="1" selected="0">
            <x v="3"/>
          </reference>
          <reference field="8" count="1">
            <x v="57"/>
          </reference>
          <reference field="9" count="1" selected="0">
            <x v="27"/>
          </reference>
          <reference field="15" count="1" selected="0">
            <x v="12"/>
          </reference>
        </references>
      </pivotArea>
    </format>
    <format dxfId="910">
      <pivotArea dataOnly="0" labelOnly="1" fieldPosition="0">
        <references count="4">
          <reference field="3" count="1" selected="0">
            <x v="3"/>
          </reference>
          <reference field="8" count="1">
            <x v="30"/>
          </reference>
          <reference field="9" count="1" selected="0">
            <x v="29"/>
          </reference>
          <reference field="15" count="1" selected="0">
            <x v="52"/>
          </reference>
        </references>
      </pivotArea>
    </format>
    <format dxfId="911">
      <pivotArea dataOnly="0" labelOnly="1" fieldPosition="0">
        <references count="4">
          <reference field="3" count="1" selected="0">
            <x v="3"/>
          </reference>
          <reference field="8" count="1">
            <x v="30"/>
          </reference>
          <reference field="9" count="1" selected="0">
            <x v="30"/>
          </reference>
          <reference field="15" count="1" selected="0">
            <x v="53"/>
          </reference>
        </references>
      </pivotArea>
    </format>
    <format dxfId="912">
      <pivotArea dataOnly="0" labelOnly="1" fieldPosition="0">
        <references count="4">
          <reference field="3" count="1" selected="0">
            <x v="3"/>
          </reference>
          <reference field="8" count="1">
            <x v="66"/>
          </reference>
          <reference field="9" count="1" selected="0">
            <x v="34"/>
          </reference>
          <reference field="15" count="1" selected="0">
            <x v="35"/>
          </reference>
        </references>
      </pivotArea>
    </format>
    <format dxfId="913">
      <pivotArea dataOnly="0" labelOnly="1" fieldPosition="0">
        <references count="4">
          <reference field="3" count="1" selected="0">
            <x v="3"/>
          </reference>
          <reference field="8" count="1">
            <x v="55"/>
          </reference>
          <reference field="9" count="1" selected="0">
            <x v="37"/>
          </reference>
          <reference field="15" count="1" selected="0">
            <x v="43"/>
          </reference>
        </references>
      </pivotArea>
    </format>
    <format dxfId="914">
      <pivotArea dataOnly="0" labelOnly="1" fieldPosition="0">
        <references count="4">
          <reference field="3" count="1" selected="0">
            <x v="3"/>
          </reference>
          <reference field="8" count="1">
            <x v="55"/>
          </reference>
          <reference field="9" count="1" selected="0">
            <x v="46"/>
          </reference>
          <reference field="15" count="1" selected="0">
            <x v="55"/>
          </reference>
        </references>
      </pivotArea>
    </format>
    <format dxfId="915">
      <pivotArea dataOnly="0" labelOnly="1" fieldPosition="0">
        <references count="4">
          <reference field="3" count="1" selected="0">
            <x v="3"/>
          </reference>
          <reference field="8" count="1">
            <x v="60"/>
          </reference>
          <reference field="9" count="1" selected="0">
            <x v="50"/>
          </reference>
          <reference field="15" count="1" selected="0">
            <x v="41"/>
          </reference>
        </references>
      </pivotArea>
    </format>
    <format dxfId="916">
      <pivotArea dataOnly="0" labelOnly="1" fieldPosition="0">
        <references count="4">
          <reference field="3" count="1" selected="0">
            <x v="3"/>
          </reference>
          <reference field="8" count="2">
            <x v="38"/>
            <x v="43"/>
          </reference>
          <reference field="9" count="1" selected="0">
            <x v="56"/>
          </reference>
          <reference field="15" count="1" selected="0">
            <x v="45"/>
          </reference>
        </references>
      </pivotArea>
    </format>
    <format dxfId="917">
      <pivotArea dataOnly="0" labelOnly="1" fieldPosition="0">
        <references count="4">
          <reference field="3" count="1" selected="0">
            <x v="3"/>
          </reference>
          <reference field="8" count="1">
            <x v="66"/>
          </reference>
          <reference field="9" count="1" selected="0">
            <x v="57"/>
          </reference>
          <reference field="15" count="1" selected="0">
            <x v="42"/>
          </reference>
        </references>
      </pivotArea>
    </format>
    <format dxfId="918">
      <pivotArea dataOnly="0" labelOnly="1" fieldPosition="0">
        <references count="4">
          <reference field="3" count="1" selected="0">
            <x v="4"/>
          </reference>
          <reference field="8" count="1">
            <x v="29"/>
          </reference>
          <reference field="9" count="1" selected="0">
            <x v="1"/>
          </reference>
          <reference field="15" count="1" selected="0">
            <x v="54"/>
          </reference>
        </references>
      </pivotArea>
    </format>
    <format dxfId="919">
      <pivotArea dataOnly="0" labelOnly="1" fieldPosition="0">
        <references count="4">
          <reference field="3" count="1" selected="0">
            <x v="4"/>
          </reference>
          <reference field="8" count="1">
            <x v="45"/>
          </reference>
          <reference field="9" count="1" selected="0">
            <x v="33"/>
          </reference>
          <reference field="15" count="1" selected="0">
            <x v="51"/>
          </reference>
        </references>
      </pivotArea>
    </format>
    <format dxfId="920">
      <pivotArea dataOnly="0" labelOnly="1" fieldPosition="0">
        <references count="4">
          <reference field="3" count="1" selected="0">
            <x v="4"/>
          </reference>
          <reference field="8" count="1">
            <x v="60"/>
          </reference>
          <reference field="9" count="1" selected="0">
            <x v="50"/>
          </reference>
          <reference field="15" count="1" selected="0">
            <x v="41"/>
          </reference>
        </references>
      </pivotArea>
    </format>
    <format dxfId="921">
      <pivotArea dataOnly="0" labelOnly="1" fieldPosition="0">
        <references count="4">
          <reference field="3" count="1" selected="0">
            <x v="4"/>
          </reference>
          <reference field="8" count="1">
            <x v="10"/>
          </reference>
          <reference field="9" count="1" selected="0">
            <x v="55"/>
          </reference>
          <reference field="15" count="1" selected="0">
            <x v="3"/>
          </reference>
        </references>
      </pivotArea>
    </format>
    <format dxfId="922">
      <pivotArea dataOnly="0" labelOnly="1" fieldPosition="0">
        <references count="5">
          <reference field="3" count="1" selected="0">
            <x v="0"/>
          </reference>
          <reference field="8" count="1" selected="0">
            <x v="48"/>
          </reference>
          <reference field="9" count="1" selected="0">
            <x v="4"/>
          </reference>
          <reference field="15" count="1" selected="0">
            <x v="58"/>
          </reference>
          <reference field="16" count="1">
            <x v="10"/>
          </reference>
        </references>
      </pivotArea>
    </format>
    <format dxfId="923">
      <pivotArea dataOnly="0" labelOnly="1" fieldPosition="0">
        <references count="5">
          <reference field="3" count="1" selected="0">
            <x v="0"/>
          </reference>
          <reference field="8" count="1" selected="0">
            <x v="30"/>
          </reference>
          <reference field="9" count="1" selected="0">
            <x v="18"/>
          </reference>
          <reference field="15" count="1" selected="0">
            <x v="62"/>
          </reference>
          <reference field="16" count="1">
            <x v="11"/>
          </reference>
        </references>
      </pivotArea>
    </format>
    <format dxfId="924">
      <pivotArea dataOnly="0" labelOnly="1" fieldPosition="0">
        <references count="5">
          <reference field="3" count="1" selected="0">
            <x v="0"/>
          </reference>
          <reference field="8" count="1" selected="0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>
            <x v="11"/>
          </reference>
        </references>
      </pivotArea>
    </format>
    <format dxfId="925">
      <pivotArea dataOnly="0" labelOnly="1" fieldPosition="0">
        <references count="5">
          <reference field="3" count="1" selected="0">
            <x v="0"/>
          </reference>
          <reference field="8" count="1" selected="0">
            <x v="30"/>
          </reference>
          <reference field="9" count="1" selected="0">
            <x v="38"/>
          </reference>
          <reference field="15" count="1" selected="0">
            <x v="61"/>
          </reference>
          <reference field="16" count="1">
            <x v="11"/>
          </reference>
        </references>
      </pivotArea>
    </format>
    <format dxfId="926">
      <pivotArea dataOnly="0" labelOnly="1" fieldPosition="0">
        <references count="5">
          <reference field="3" count="1" selected="0">
            <x v="0"/>
          </reference>
          <reference field="8" count="1" selected="0">
            <x v="3"/>
          </reference>
          <reference field="9" count="1" selected="0">
            <x v="51"/>
          </reference>
          <reference field="15" count="1" selected="0">
            <x v="27"/>
          </reference>
          <reference field="16" count="1">
            <x v="11"/>
          </reference>
        </references>
      </pivotArea>
    </format>
    <format dxfId="927">
      <pivotArea dataOnly="0" labelOnly="1" fieldPosition="0">
        <references count="5">
          <reference field="3" count="1" selected="0">
            <x v="0"/>
          </reference>
          <reference field="8" count="1" selected="0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>
            <x v="11"/>
          </reference>
        </references>
      </pivotArea>
    </format>
    <format dxfId="928">
      <pivotArea dataOnly="0" labelOnly="1" fieldPosition="0">
        <references count="5">
          <reference field="3" count="1" selected="0">
            <x v="1"/>
          </reference>
          <reference field="8" count="1" selected="0">
            <x v="34"/>
          </reference>
          <reference field="9" count="1" selected="0">
            <x v="0"/>
          </reference>
          <reference field="15" count="1" selected="0">
            <x v="60"/>
          </reference>
          <reference field="16" count="1">
            <x v="6"/>
          </reference>
        </references>
      </pivotArea>
    </format>
    <format dxfId="929">
      <pivotArea dataOnly="0" labelOnly="1" fieldPosition="0">
        <references count="5">
          <reference field="3" count="1" selected="0">
            <x v="1"/>
          </reference>
          <reference field="8" count="1" selected="0">
            <x v="5"/>
          </reference>
          <reference field="9" count="1" selected="0">
            <x v="1"/>
          </reference>
          <reference field="15" count="1" selected="0">
            <x v="54"/>
          </reference>
          <reference field="16" count="1">
            <x v="3"/>
          </reference>
        </references>
      </pivotArea>
    </format>
    <format dxfId="930">
      <pivotArea dataOnly="0" labelOnly="1" fieldPosition="0">
        <references count="5">
          <reference field="3" count="1" selected="0">
            <x v="1"/>
          </reference>
          <reference field="8" count="1" selected="0">
            <x v="32"/>
          </reference>
          <reference field="9" count="1" selected="0">
            <x v="4"/>
          </reference>
          <reference field="15" count="1" selected="0">
            <x v="58"/>
          </reference>
          <reference field="16" count="1">
            <x v="10"/>
          </reference>
        </references>
      </pivotArea>
    </format>
    <format dxfId="931">
      <pivotArea dataOnly="0" labelOnly="1" fieldPosition="0">
        <references count="5">
          <reference field="3" count="1" selected="0">
            <x v="1"/>
          </reference>
          <reference field="8" count="1" selected="0">
            <x v="48"/>
          </reference>
          <reference field="9" count="1" selected="0">
            <x v="4"/>
          </reference>
          <reference field="15" count="1" selected="0">
            <x v="58"/>
          </reference>
          <reference field="16" count="1">
            <x v="10"/>
          </reference>
        </references>
      </pivotArea>
    </format>
    <format dxfId="932">
      <pivotArea dataOnly="0" labelOnly="1" fieldPosition="0">
        <references count="5">
          <reference field="3" count="1" selected="0">
            <x v="1"/>
          </reference>
          <reference field="8" count="1" selected="0">
            <x v="37"/>
          </reference>
          <reference field="9" count="1" selected="0">
            <x v="13"/>
          </reference>
          <reference field="15" count="1" selected="0">
            <x v="7"/>
          </reference>
          <reference field="16" count="1">
            <x v="1"/>
          </reference>
        </references>
      </pivotArea>
    </format>
    <format dxfId="933">
      <pivotArea dataOnly="0" labelOnly="1" fieldPosition="0">
        <references count="5">
          <reference field="3" count="1" selected="0">
            <x v="1"/>
          </reference>
          <reference field="8" count="1" selected="0">
            <x v="42"/>
          </reference>
          <reference field="9" count="1" selected="0">
            <x v="14"/>
          </reference>
          <reference field="15" count="1" selected="0">
            <x v="9"/>
          </reference>
          <reference field="16" count="1">
            <x v="9"/>
          </reference>
        </references>
      </pivotArea>
    </format>
    <format dxfId="934">
      <pivotArea dataOnly="0" labelOnly="1" fieldPosition="0">
        <references count="5">
          <reference field="3" count="1" selected="0">
            <x v="1"/>
          </reference>
          <reference field="8" count="1" selected="0">
            <x v="34"/>
          </reference>
          <reference field="9" count="1" selected="0">
            <x v="17"/>
          </reference>
          <reference field="15" count="1" selected="0">
            <x v="56"/>
          </reference>
          <reference field="16" count="1">
            <x v="6"/>
          </reference>
        </references>
      </pivotArea>
    </format>
    <format dxfId="935">
      <pivotArea dataOnly="0" labelOnly="1" fieldPosition="0">
        <references count="5">
          <reference field="3" count="1" selected="0">
            <x v="1"/>
          </reference>
          <reference field="8" count="1" selected="0">
            <x v="5"/>
          </reference>
          <reference field="9" count="1" selected="0">
            <x v="21"/>
          </reference>
          <reference field="15" count="1" selected="0">
            <x v="1"/>
          </reference>
          <reference field="16" count="1">
            <x v="3"/>
          </reference>
        </references>
      </pivotArea>
    </format>
    <format dxfId="936">
      <pivotArea dataOnly="0" labelOnly="1" fieldPosition="0">
        <references count="5">
          <reference field="3" count="1" selected="0">
            <x v="1"/>
          </reference>
          <reference field="8" count="1" selected="0">
            <x v="51"/>
          </reference>
          <reference field="9" count="1" selected="0">
            <x v="21"/>
          </reference>
          <reference field="15" count="1" selected="0">
            <x v="1"/>
          </reference>
          <reference field="16" count="1">
            <x v="11"/>
          </reference>
        </references>
      </pivotArea>
    </format>
    <format dxfId="937">
      <pivotArea dataOnly="0" labelOnly="1" fieldPosition="0">
        <references count="5">
          <reference field="3" count="1" selected="0">
            <x v="1"/>
          </reference>
          <reference field="8" count="1" selected="0">
            <x v="2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11"/>
          </reference>
        </references>
      </pivotArea>
    </format>
    <format dxfId="938">
      <pivotArea dataOnly="0" labelOnly="1" fieldPosition="0">
        <references count="5">
          <reference field="3" count="1" selected="0">
            <x v="1"/>
          </reference>
          <reference field="8" count="1" selected="0">
            <x v="32"/>
          </reference>
          <reference field="9" count="1" selected="0">
            <x v="28"/>
          </reference>
          <reference field="15" count="1" selected="0">
            <x v="59"/>
          </reference>
          <reference field="16" count="1">
            <x v="10"/>
          </reference>
        </references>
      </pivotArea>
    </format>
    <format dxfId="939">
      <pivotArea dataOnly="0" labelOnly="1" fieldPosition="0">
        <references count="5">
          <reference field="3" count="1" selected="0">
            <x v="1"/>
          </reference>
          <reference field="8" count="1" selected="0">
            <x v="48"/>
          </reference>
          <reference field="9" count="1" selected="0">
            <x v="28"/>
          </reference>
          <reference field="15" count="1" selected="0">
            <x v="59"/>
          </reference>
          <reference field="16" count="1">
            <x v="10"/>
          </reference>
        </references>
      </pivotArea>
    </format>
    <format dxfId="940">
      <pivotArea dataOnly="0" labelOnly="1" fieldPosition="0">
        <references count="5">
          <reference field="3" count="1" selected="0">
            <x v="1"/>
          </reference>
          <reference field="8" count="1" selected="0">
            <x v="30"/>
          </reference>
          <reference field="9" count="1" selected="0">
            <x v="29"/>
          </reference>
          <reference field="15" count="1" selected="0">
            <x v="52"/>
          </reference>
          <reference field="16" count="1">
            <x v="11"/>
          </reference>
        </references>
      </pivotArea>
    </format>
    <format dxfId="941">
      <pivotArea dataOnly="0" labelOnly="1" fieldPosition="0">
        <references count="5">
          <reference field="3" count="1" selected="0">
            <x v="1"/>
          </reference>
          <reference field="8" count="1" selected="0">
            <x v="30"/>
          </reference>
          <reference field="9" count="1" selected="0">
            <x v="30"/>
          </reference>
          <reference field="15" count="1" selected="0">
            <x v="53"/>
          </reference>
          <reference field="16" count="1">
            <x v="11"/>
          </reference>
        </references>
      </pivotArea>
    </format>
    <format dxfId="942">
      <pivotArea dataOnly="0" labelOnly="1" fieldPosition="0">
        <references count="5">
          <reference field="3" count="1" selected="0">
            <x v="1"/>
          </reference>
          <reference field="8" count="1" selected="0">
            <x v="43"/>
          </reference>
          <reference field="9" count="1" selected="0">
            <x v="31"/>
          </reference>
          <reference field="15" count="1" selected="0">
            <x v="47"/>
          </reference>
          <reference field="16" count="1">
            <x v="11"/>
          </reference>
        </references>
      </pivotArea>
    </format>
    <format dxfId="943">
      <pivotArea dataOnly="0" labelOnly="1" fieldPosition="0">
        <references count="5">
          <reference field="3" count="1" selected="0">
            <x v="1"/>
          </reference>
          <reference field="8" count="1" selected="0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>
            <x v="11"/>
          </reference>
        </references>
      </pivotArea>
    </format>
    <format dxfId="944">
      <pivotArea dataOnly="0" labelOnly="1" fieldPosition="0">
        <references count="5">
          <reference field="3" count="1" selected="0">
            <x v="1"/>
          </reference>
          <reference field="8" count="1" selected="0">
            <x v="8"/>
          </reference>
          <reference field="9" count="1" selected="0">
            <x v="46"/>
          </reference>
          <reference field="15" count="1" selected="0">
            <x v="55"/>
          </reference>
          <reference field="16" count="1">
            <x v="3"/>
          </reference>
        </references>
      </pivotArea>
    </format>
    <format dxfId="945">
      <pivotArea dataOnly="0" labelOnly="1" fieldPosition="0">
        <references count="5">
          <reference field="3" count="1" selected="0">
            <x v="1"/>
          </reference>
          <reference field="8" count="1" selected="0">
            <x v="46"/>
          </reference>
          <reference field="9" count="1" selected="0">
            <x v="51"/>
          </reference>
          <reference field="15" count="1" selected="0">
            <x v="27"/>
          </reference>
          <reference field="16" count="1">
            <x v="11"/>
          </reference>
        </references>
      </pivotArea>
    </format>
    <format dxfId="946">
      <pivotArea dataOnly="0" labelOnly="1" fieldPosition="0">
        <references count="5">
          <reference field="3" count="1" selected="0">
            <x v="1"/>
          </reference>
          <reference field="8" count="1" selected="0">
            <x v="54"/>
          </reference>
          <reference field="9" count="1" selected="0">
            <x v="52"/>
          </reference>
          <reference field="15" count="1" selected="0">
            <x v="39"/>
          </reference>
          <reference field="16" count="1">
            <x v="11"/>
          </reference>
        </references>
      </pivotArea>
    </format>
    <format dxfId="947">
      <pivotArea dataOnly="0" labelOnly="1" fieldPosition="0">
        <references count="5">
          <reference field="3" count="1" selected="0">
            <x v="1"/>
          </reference>
          <reference field="8" count="1" selected="0">
            <x v="10"/>
          </reference>
          <reference field="9" count="1" selected="0">
            <x v="55"/>
          </reference>
          <reference field="15" count="1" selected="0">
            <x v="3"/>
          </reference>
          <reference field="16" count="1">
            <x v="3"/>
          </reference>
        </references>
      </pivotArea>
    </format>
    <format dxfId="948">
      <pivotArea dataOnly="0" labelOnly="1" fieldPosition="0">
        <references count="5">
          <reference field="3" count="1" selected="0">
            <x v="1"/>
          </reference>
          <reference field="8" count="1" selected="0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>
            <x v="11"/>
          </reference>
        </references>
      </pivotArea>
    </format>
    <format dxfId="949">
      <pivotArea dataOnly="0" labelOnly="1" fieldPosition="0">
        <references count="5">
          <reference field="3" count="1" selected="0">
            <x v="1"/>
          </reference>
          <reference field="8" count="1" selected="0">
            <x v="8"/>
          </reference>
          <reference field="9" count="1" selected="0">
            <x v="58"/>
          </reference>
          <reference field="15" count="1" selected="0">
            <x v="57"/>
          </reference>
          <reference field="16" count="1">
            <x v="3"/>
          </reference>
        </references>
      </pivotArea>
    </format>
    <format dxfId="950">
      <pivotArea dataOnly="0" labelOnly="1" fieldPosition="0">
        <references count="5">
          <reference field="3" count="1" selected="0">
            <x v="1"/>
          </reference>
          <reference field="8" count="1" selected="0">
            <x v="43"/>
          </reference>
          <reference field="9" count="1" selected="0">
            <x v="60"/>
          </reference>
          <reference field="15" count="1" selected="0">
            <x v="48"/>
          </reference>
          <reference field="16" count="1">
            <x v="11"/>
          </reference>
        </references>
      </pivotArea>
    </format>
    <format dxfId="951">
      <pivotArea dataOnly="0" labelOnly="1" fieldPosition="0">
        <references count="5">
          <reference field="3" count="1" selected="0">
            <x v="2"/>
          </reference>
          <reference field="8" count="1" selected="0">
            <x v="53"/>
          </reference>
          <reference field="9" count="1" selected="0">
            <x v="0"/>
          </reference>
          <reference field="15" count="1" selected="0">
            <x v="60"/>
          </reference>
          <reference field="16" count="1">
            <x v="8"/>
          </reference>
        </references>
      </pivotArea>
    </format>
    <format dxfId="952">
      <pivotArea dataOnly="0" labelOnly="1" fieldPosition="0">
        <references count="5">
          <reference field="3" count="1" selected="0">
            <x v="2"/>
          </reference>
          <reference field="8" count="1" selected="0">
            <x v="29"/>
          </reference>
          <reference field="9" count="1" selected="0">
            <x v="1"/>
          </reference>
          <reference field="15" count="1" selected="0">
            <x v="54"/>
          </reference>
          <reference field="16" count="1">
            <x v="11"/>
          </reference>
        </references>
      </pivotArea>
    </format>
    <format dxfId="953">
      <pivotArea dataOnly="0" labelOnly="1" fieldPosition="0">
        <references count="5">
          <reference field="3" count="1" selected="0">
            <x v="2"/>
          </reference>
          <reference field="8" count="1" selected="0">
            <x v="37"/>
          </reference>
          <reference field="9" count="1" selected="0">
            <x v="13"/>
          </reference>
          <reference field="15" count="1" selected="0">
            <x v="7"/>
          </reference>
          <reference field="16" count="1">
            <x v="1"/>
          </reference>
        </references>
      </pivotArea>
    </format>
    <format dxfId="954">
      <pivotArea dataOnly="0" labelOnly="1" fieldPosition="0">
        <references count="5">
          <reference field="3" count="1" selected="0">
            <x v="2"/>
          </reference>
          <reference field="8" count="1" selected="0">
            <x v="59"/>
          </reference>
          <reference field="9" count="1" selected="0">
            <x v="16"/>
          </reference>
          <reference field="15" count="1" selected="0">
            <x v="18"/>
          </reference>
          <reference field="16" count="1">
            <x v="3"/>
          </reference>
        </references>
      </pivotArea>
    </format>
    <format dxfId="955">
      <pivotArea dataOnly="0" labelOnly="1" fieldPosition="0">
        <references count="5">
          <reference field="3" count="1" selected="0">
            <x v="2"/>
          </reference>
          <reference field="8" count="1" selected="0">
            <x v="59"/>
          </reference>
          <reference field="9" count="1" selected="0">
            <x v="20"/>
          </reference>
          <reference field="15" count="1" selected="0">
            <x v="40"/>
          </reference>
          <reference field="16" count="1">
            <x v="3"/>
          </reference>
        </references>
      </pivotArea>
    </format>
    <format dxfId="956">
      <pivotArea dataOnly="0" labelOnly="1" fieldPosition="0">
        <references count="5">
          <reference field="3" count="1" selected="0">
            <x v="2"/>
          </reference>
          <reference field="8" count="1" selected="0">
            <x v="5"/>
          </reference>
          <reference field="9" count="1" selected="0">
            <x v="21"/>
          </reference>
          <reference field="15" count="1" selected="0">
            <x v="1"/>
          </reference>
          <reference field="16" count="1">
            <x v="3"/>
          </reference>
        </references>
      </pivotArea>
    </format>
    <format dxfId="957">
      <pivotArea dataOnly="0" labelOnly="1" fieldPosition="0">
        <references count="5">
          <reference field="3" count="1" selected="0">
            <x v="2"/>
          </reference>
          <reference field="8" count="1" selected="0">
            <x v="15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3"/>
          </reference>
        </references>
      </pivotArea>
    </format>
    <format dxfId="958">
      <pivotArea dataOnly="0" labelOnly="1" fieldPosition="0">
        <references count="5">
          <reference field="3" count="1" selected="0">
            <x v="2"/>
          </reference>
          <reference field="8" count="1" selected="0">
            <x v="64"/>
          </reference>
          <reference field="9" count="1" selected="0">
            <x v="27"/>
          </reference>
          <reference field="15" count="1" selected="0">
            <x v="12"/>
          </reference>
          <reference field="16" count="1">
            <x v="11"/>
          </reference>
        </references>
      </pivotArea>
    </format>
    <format dxfId="959">
      <pivotArea dataOnly="0" labelOnly="1" fieldPosition="0">
        <references count="5">
          <reference field="3" count="1" selected="0">
            <x v="2"/>
          </reference>
          <reference field="8" count="1" selected="0">
            <x v="1"/>
          </reference>
          <reference field="9" count="1" selected="0">
            <x v="29"/>
          </reference>
          <reference field="15" count="1" selected="0">
            <x v="52"/>
          </reference>
          <reference field="16" count="1">
            <x v="10"/>
          </reference>
        </references>
      </pivotArea>
    </format>
    <format dxfId="960">
      <pivotArea dataOnly="0" labelOnly="1" fieldPosition="0">
        <references count="5">
          <reference field="3" count="1" selected="0">
            <x v="2"/>
          </reference>
          <reference field="8" count="1" selected="0">
            <x v="1"/>
          </reference>
          <reference field="9" count="1" selected="0">
            <x v="30"/>
          </reference>
          <reference field="15" count="1" selected="0">
            <x v="53"/>
          </reference>
          <reference field="16" count="1">
            <x v="10"/>
          </reference>
        </references>
      </pivotArea>
    </format>
    <format dxfId="961">
      <pivotArea dataOnly="0" labelOnly="1" fieldPosition="0">
        <references count="5">
          <reference field="3" count="1" selected="0">
            <x v="2"/>
          </reference>
          <reference field="8" count="1" selected="0">
            <x v="37"/>
          </reference>
          <reference field="9" count="1" selected="0">
            <x v="32"/>
          </reference>
          <reference field="15" count="1" selected="0">
            <x v="5"/>
          </reference>
          <reference field="16" count="1">
            <x v="1"/>
          </reference>
        </references>
      </pivotArea>
    </format>
    <format dxfId="962">
      <pivotArea dataOnly="0" labelOnly="1" fieldPosition="0">
        <references count="5">
          <reference field="3" count="1" selected="0">
            <x v="2"/>
          </reference>
          <reference field="8" count="1" selected="0">
            <x v="45"/>
          </reference>
          <reference field="9" count="1" selected="0">
            <x v="33"/>
          </reference>
          <reference field="15" count="1" selected="0">
            <x v="51"/>
          </reference>
          <reference field="16" count="1">
            <x v="11"/>
          </reference>
        </references>
      </pivotArea>
    </format>
    <format dxfId="963">
      <pivotArea dataOnly="0" labelOnly="1" fieldPosition="0">
        <references count="5">
          <reference field="3" count="1" selected="0">
            <x v="2"/>
          </reference>
          <reference field="8" count="1" selected="0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>
            <x v="11"/>
          </reference>
        </references>
      </pivotArea>
    </format>
    <format dxfId="964">
      <pivotArea dataOnly="0" labelOnly="1" fieldPosition="0">
        <references count="5">
          <reference field="3" count="1" selected="0">
            <x v="2"/>
          </reference>
          <reference field="8" count="1" selected="0">
            <x v="10"/>
          </reference>
          <reference field="9" count="1" selected="0">
            <x v="55"/>
          </reference>
          <reference field="15" count="1" selected="0">
            <x v="3"/>
          </reference>
          <reference field="16" count="1">
            <x v="3"/>
          </reference>
        </references>
      </pivotArea>
    </format>
    <format dxfId="965">
      <pivotArea dataOnly="0" labelOnly="1" fieldPosition="0">
        <references count="5">
          <reference field="3" count="1" selected="0">
            <x v="2"/>
          </reference>
          <reference field="8" count="1" selected="0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>
            <x v="11"/>
          </reference>
        </references>
      </pivotArea>
    </format>
    <format dxfId="966">
      <pivotArea dataOnly="0" labelOnly="1" fieldPosition="0">
        <references count="5">
          <reference field="3" count="1" selected="0">
            <x v="3"/>
          </reference>
          <reference field="8" count="1" selected="0">
            <x v="42"/>
          </reference>
          <reference field="9" count="1" selected="0">
            <x v="14"/>
          </reference>
          <reference field="15" count="1" selected="0">
            <x v="9"/>
          </reference>
          <reference field="16" count="1">
            <x v="9"/>
          </reference>
        </references>
      </pivotArea>
    </format>
    <format dxfId="967">
      <pivotArea dataOnly="0" labelOnly="1" fieldPosition="0">
        <references count="5">
          <reference field="3" count="1" selected="0">
            <x v="3"/>
          </reference>
          <reference field="8" count="1" selected="0">
            <x v="51"/>
          </reference>
          <reference field="9" count="1" selected="0">
            <x v="21"/>
          </reference>
          <reference field="15" count="1" selected="0">
            <x v="1"/>
          </reference>
          <reference field="16" count="1">
            <x v="11"/>
          </reference>
        </references>
      </pivotArea>
    </format>
    <format dxfId="968">
      <pivotArea dataOnly="0" labelOnly="1" fieldPosition="0">
        <references count="5">
          <reference field="3" count="1" selected="0">
            <x v="3"/>
          </reference>
          <reference field="8" count="1" selected="0">
            <x v="9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3"/>
          </reference>
        </references>
      </pivotArea>
    </format>
    <format dxfId="969">
      <pivotArea dataOnly="0" labelOnly="1" fieldPosition="0">
        <references count="5">
          <reference field="3" count="1" selected="0">
            <x v="3"/>
          </reference>
          <reference field="8" count="1" selected="0">
            <x v="57"/>
          </reference>
          <reference field="9" count="1" selected="0">
            <x v="27"/>
          </reference>
          <reference field="15" count="1" selected="0">
            <x v="12"/>
          </reference>
          <reference field="16" count="1">
            <x v="11"/>
          </reference>
        </references>
      </pivotArea>
    </format>
    <format dxfId="970">
      <pivotArea dataOnly="0" labelOnly="1" fieldPosition="0">
        <references count="5">
          <reference field="3" count="1" selected="0">
            <x v="3"/>
          </reference>
          <reference field="8" count="1" selected="0">
            <x v="30"/>
          </reference>
          <reference field="9" count="1" selected="0">
            <x v="29"/>
          </reference>
          <reference field="15" count="1" selected="0">
            <x v="52"/>
          </reference>
          <reference field="16" count="1">
            <x v="11"/>
          </reference>
        </references>
      </pivotArea>
    </format>
    <format dxfId="971">
      <pivotArea dataOnly="0" labelOnly="1" fieldPosition="0">
        <references count="5">
          <reference field="3" count="1" selected="0">
            <x v="3"/>
          </reference>
          <reference field="8" count="1" selected="0">
            <x v="30"/>
          </reference>
          <reference field="9" count="1" selected="0">
            <x v="30"/>
          </reference>
          <reference field="15" count="1" selected="0">
            <x v="53"/>
          </reference>
          <reference field="16" count="1">
            <x v="11"/>
          </reference>
        </references>
      </pivotArea>
    </format>
    <format dxfId="972">
      <pivotArea dataOnly="0" labelOnly="1" fieldPosition="0">
        <references count="5">
          <reference field="3" count="1" selected="0">
            <x v="3"/>
          </reference>
          <reference field="8" count="1" selected="0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>
            <x v="11"/>
          </reference>
        </references>
      </pivotArea>
    </format>
    <format dxfId="973">
      <pivotArea dataOnly="0" labelOnly="1" fieldPosition="0">
        <references count="5">
          <reference field="3" count="1" selected="0">
            <x v="3"/>
          </reference>
          <reference field="8" count="1" selected="0">
            <x v="55"/>
          </reference>
          <reference field="9" count="1" selected="0">
            <x v="37"/>
          </reference>
          <reference field="15" count="1" selected="0">
            <x v="43"/>
          </reference>
          <reference field="16" count="1">
            <x v="11"/>
          </reference>
        </references>
      </pivotArea>
    </format>
    <format dxfId="974">
      <pivotArea dataOnly="0" labelOnly="1" fieldPosition="0">
        <references count="5">
          <reference field="3" count="1" selected="0">
            <x v="3"/>
          </reference>
          <reference field="8" count="1" selected="0">
            <x v="55"/>
          </reference>
          <reference field="9" count="1" selected="0">
            <x v="46"/>
          </reference>
          <reference field="15" count="1" selected="0">
            <x v="55"/>
          </reference>
          <reference field="16" count="1">
            <x v="11"/>
          </reference>
        </references>
      </pivotArea>
    </format>
    <format dxfId="975">
      <pivotArea dataOnly="0" labelOnly="1" fieldPosition="0">
        <references count="5">
          <reference field="3" count="1" selected="0">
            <x v="3"/>
          </reference>
          <reference field="8" count="1" selected="0">
            <x v="60"/>
          </reference>
          <reference field="9" count="1" selected="0">
            <x v="50"/>
          </reference>
          <reference field="15" count="1" selected="0">
            <x v="41"/>
          </reference>
          <reference field="16" count="1">
            <x v="11"/>
          </reference>
        </references>
      </pivotArea>
    </format>
    <format dxfId="976">
      <pivotArea dataOnly="0" labelOnly="1" fieldPosition="0">
        <references count="5">
          <reference field="3" count="1" selected="0">
            <x v="3"/>
          </reference>
          <reference field="8" count="1" selected="0">
            <x v="38"/>
          </reference>
          <reference field="9" count="1" selected="0">
            <x v="56"/>
          </reference>
          <reference field="15" count="1" selected="0">
            <x v="45"/>
          </reference>
          <reference field="16" count="1">
            <x v="10"/>
          </reference>
        </references>
      </pivotArea>
    </format>
    <format dxfId="977">
      <pivotArea dataOnly="0" labelOnly="1" fieldPosition="0">
        <references count="5">
          <reference field="3" count="1" selected="0">
            <x v="3"/>
          </reference>
          <reference field="8" count="1" selected="0">
            <x v="43"/>
          </reference>
          <reference field="9" count="1" selected="0">
            <x v="56"/>
          </reference>
          <reference field="15" count="1" selected="0">
            <x v="45"/>
          </reference>
          <reference field="16" count="1">
            <x v="11"/>
          </reference>
        </references>
      </pivotArea>
    </format>
    <format dxfId="978">
      <pivotArea dataOnly="0" labelOnly="1" fieldPosition="0">
        <references count="5">
          <reference field="3" count="1" selected="0">
            <x v="3"/>
          </reference>
          <reference field="8" count="1" selected="0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>
            <x v="11"/>
          </reference>
        </references>
      </pivotArea>
    </format>
    <format dxfId="979">
      <pivotArea dataOnly="0" labelOnly="1" fieldPosition="0">
        <references count="5">
          <reference field="3" count="1" selected="0">
            <x v="4"/>
          </reference>
          <reference field="8" count="1" selected="0">
            <x v="29"/>
          </reference>
          <reference field="9" count="1" selected="0">
            <x v="1"/>
          </reference>
          <reference field="15" count="1" selected="0">
            <x v="54"/>
          </reference>
          <reference field="16" count="1">
            <x v="11"/>
          </reference>
        </references>
      </pivotArea>
    </format>
    <format dxfId="980">
      <pivotArea dataOnly="0" labelOnly="1" fieldPosition="0">
        <references count="5">
          <reference field="3" count="1" selected="0">
            <x v="4"/>
          </reference>
          <reference field="8" count="1" selected="0">
            <x v="2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11"/>
          </reference>
        </references>
      </pivotArea>
    </format>
    <format dxfId="981">
      <pivotArea dataOnly="0" labelOnly="1" fieldPosition="0">
        <references count="5">
          <reference field="3" count="1" selected="0">
            <x v="4"/>
          </reference>
          <reference field="8" count="1" selected="0">
            <x v="45"/>
          </reference>
          <reference field="9" count="1" selected="0">
            <x v="33"/>
          </reference>
          <reference field="15" count="1" selected="0">
            <x v="51"/>
          </reference>
          <reference field="16" count="1">
            <x v="11"/>
          </reference>
        </references>
      </pivotArea>
    </format>
    <format dxfId="982">
      <pivotArea dataOnly="0" labelOnly="1" fieldPosition="0">
        <references count="5">
          <reference field="3" count="1" selected="0">
            <x v="4"/>
          </reference>
          <reference field="8" count="1" selected="0">
            <x v="60"/>
          </reference>
          <reference field="9" count="1" selected="0">
            <x v="50"/>
          </reference>
          <reference field="15" count="1" selected="0">
            <x v="41"/>
          </reference>
          <reference field="16" count="1">
            <x v="11"/>
          </reference>
        </references>
      </pivotArea>
    </format>
    <format dxfId="983">
      <pivotArea dataOnly="0" labelOnly="1" fieldPosition="0">
        <references count="5">
          <reference field="3" count="1" selected="0">
            <x v="4"/>
          </reference>
          <reference field="8" count="1" selected="0">
            <x v="10"/>
          </reference>
          <reference field="9" count="1" selected="0">
            <x v="55"/>
          </reference>
          <reference field="15" count="1" selected="0">
            <x v="3"/>
          </reference>
          <reference field="16" count="1">
            <x v="3"/>
          </reference>
        </references>
      </pivotArea>
    </format>
    <format dxfId="984">
      <pivotArea dataOnly="0" labelOnly="1" outline="0" fieldPosition="0"/>
    </format>
    <format dxfId="985">
      <pivotArea type="all" dataOnly="0" outline="0" fieldPosition="0"/>
    </format>
    <format dxfId="986">
      <pivotArea outline="0" collapsedLevelsAreSubtotals="1" fieldPosition="0"/>
    </format>
    <format dxfId="987">
      <pivotArea field="3" type="button" dataOnly="0" labelOnly="1" outline="0" fieldPosition="0"/>
    </format>
    <format dxfId="988">
      <pivotArea field="9" type="button" dataOnly="0" labelOnly="1" outline="0" fieldPosition="0"/>
    </format>
    <format dxfId="989">
      <pivotArea field="15" type="button" dataOnly="0" labelOnly="1" outline="0" fieldPosition="0"/>
    </format>
    <format dxfId="990">
      <pivotArea field="8" type="button" dataOnly="0" labelOnly="1" outline="0" fieldPosition="0"/>
    </format>
    <format dxfId="991">
      <pivotArea field="16" type="button" dataOnly="0" labelOnly="1" outline="0" fieldPosition="0"/>
    </format>
    <format dxfId="992">
      <pivotArea dataOnly="0" labelOnly="1" fieldPosition="0">
        <references count="1">
          <reference field="3" count="6">
            <x v="0"/>
            <x v="1"/>
            <x v="2"/>
            <x v="3"/>
            <x v="4"/>
            <x v="5"/>
          </reference>
        </references>
      </pivotArea>
    </format>
    <format dxfId="993">
      <pivotArea dataOnly="0" labelOnly="1" fieldPosition="0">
        <references count="1">
          <reference field="3" count="6" sumSubtotal="1">
            <x v="0"/>
            <x v="1"/>
            <x v="2"/>
            <x v="3"/>
            <x v="4"/>
            <x v="5"/>
          </reference>
        </references>
      </pivotArea>
    </format>
    <format dxfId="994">
      <pivotArea dataOnly="0" labelOnly="1" fieldPosition="0">
        <references count="1">
          <reference field="3" count="1">
            <x v="6"/>
          </reference>
        </references>
      </pivotArea>
    </format>
    <format dxfId="995">
      <pivotArea dataOnly="0" labelOnly="1" fieldPosition="0">
        <references count="1">
          <reference field="3" count="1" sumSubtotal="1">
            <x v="6"/>
          </reference>
        </references>
      </pivotArea>
    </format>
    <format dxfId="996">
      <pivotArea dataOnly="0" labelOnly="1" grandRow="1" outline="0" fieldPosition="0"/>
    </format>
    <format dxfId="997">
      <pivotArea dataOnly="0" labelOnly="1" fieldPosition="0">
        <references count="2">
          <reference field="3" count="1" selected="0">
            <x v="0"/>
          </reference>
          <reference field="9" count="12">
            <x v="15"/>
            <x v="18"/>
            <x v="29"/>
            <x v="30"/>
            <x v="31"/>
            <x v="37"/>
            <x v="38"/>
            <x v="50"/>
            <x v="51"/>
            <x v="52"/>
            <x v="56"/>
            <x v="60"/>
          </reference>
        </references>
      </pivotArea>
    </format>
    <format dxfId="998">
      <pivotArea dataOnly="0" labelOnly="1" fieldPosition="0">
        <references count="2">
          <reference field="3" count="1" selected="0">
            <x v="1"/>
          </reference>
          <reference field="9" count="14">
            <x v="1"/>
            <x v="4"/>
            <x v="18"/>
            <x v="20"/>
            <x v="22"/>
            <x v="23"/>
            <x v="28"/>
            <x v="29"/>
            <x v="30"/>
            <x v="38"/>
            <x v="41"/>
            <x v="58"/>
            <x v="66"/>
            <x v="67"/>
          </reference>
        </references>
      </pivotArea>
    </format>
    <format dxfId="999">
      <pivotArea dataOnly="0" labelOnly="1" fieldPosition="0">
        <references count="2">
          <reference field="3" count="1" selected="0">
            <x v="2"/>
          </reference>
          <reference field="9" count="2">
            <x v="20"/>
            <x v="56"/>
          </reference>
        </references>
      </pivotArea>
    </format>
    <format dxfId="1000">
      <pivotArea dataOnly="0" labelOnly="1" fieldPosition="0">
        <references count="2">
          <reference field="3" count="1" selected="0">
            <x v="3"/>
          </reference>
          <reference field="9" count="13">
            <x v="5"/>
            <x v="13"/>
            <x v="16"/>
            <x v="20"/>
            <x v="21"/>
            <x v="26"/>
            <x v="34"/>
            <x v="46"/>
            <x v="47"/>
            <x v="50"/>
            <x v="54"/>
            <x v="56"/>
            <x v="57"/>
          </reference>
        </references>
      </pivotArea>
    </format>
    <format dxfId="1001">
      <pivotArea dataOnly="0" labelOnly="1" fieldPosition="0">
        <references count="2">
          <reference field="3" count="1" selected="0">
            <x v="4"/>
          </reference>
          <reference field="9" count="9">
            <x v="1"/>
            <x v="20"/>
            <x v="22"/>
            <x v="29"/>
            <x v="30"/>
            <x v="33"/>
            <x v="41"/>
            <x v="46"/>
            <x v="58"/>
          </reference>
        </references>
      </pivotArea>
    </format>
    <format dxfId="1002">
      <pivotArea dataOnly="0" labelOnly="1" fieldPosition="0">
        <references count="2">
          <reference field="3" count="1" selected="0">
            <x v="5"/>
          </reference>
          <reference field="9" count="10">
            <x v="16"/>
            <x v="20"/>
            <x v="22"/>
            <x v="23"/>
            <x v="33"/>
            <x v="41"/>
            <x v="46"/>
            <x v="55"/>
            <x v="66"/>
            <x v="67"/>
          </reference>
        </references>
      </pivotArea>
    </format>
    <format dxfId="1003">
      <pivotArea dataOnly="0" labelOnly="1" fieldPosition="0">
        <references count="2">
          <reference field="3" count="1" selected="0">
            <x v="6"/>
          </reference>
          <reference field="9" count="1">
            <x v="68"/>
          </reference>
        </references>
      </pivotArea>
    </format>
    <format dxfId="1004">
      <pivotArea dataOnly="0" labelOnly="1" fieldPosition="0">
        <references count="3">
          <reference field="3" count="1" selected="0">
            <x v="0"/>
          </reference>
          <reference field="9" count="1" selected="0">
            <x v="15"/>
          </reference>
          <reference field="15" count="1">
            <x v="64"/>
          </reference>
        </references>
      </pivotArea>
    </format>
    <format dxfId="1005">
      <pivotArea dataOnly="0" labelOnly="1" fieldPosition="0">
        <references count="3">
          <reference field="3" count="1" selected="0">
            <x v="0"/>
          </reference>
          <reference field="9" count="1" selected="0">
            <x v="18"/>
          </reference>
          <reference field="15" count="1">
            <x v="62"/>
          </reference>
        </references>
      </pivotArea>
    </format>
    <format dxfId="1006">
      <pivotArea dataOnly="0" labelOnly="1" fieldPosition="0">
        <references count="3">
          <reference field="3" count="1" selected="0">
            <x v="0"/>
          </reference>
          <reference field="9" count="1" selected="0">
            <x v="29"/>
          </reference>
          <reference field="15" count="1">
            <x v="52"/>
          </reference>
        </references>
      </pivotArea>
    </format>
    <format dxfId="1007">
      <pivotArea dataOnly="0" labelOnly="1" fieldPosition="0">
        <references count="3">
          <reference field="3" count="1" selected="0">
            <x v="0"/>
          </reference>
          <reference field="9" count="1" selected="0">
            <x v="30"/>
          </reference>
          <reference field="15" count="1">
            <x v="53"/>
          </reference>
        </references>
      </pivotArea>
    </format>
    <format dxfId="1008">
      <pivotArea dataOnly="0" labelOnly="1" fieldPosition="0">
        <references count="3">
          <reference field="3" count="1" selected="0">
            <x v="0"/>
          </reference>
          <reference field="9" count="1" selected="0">
            <x v="31"/>
          </reference>
          <reference field="15" count="1">
            <x v="47"/>
          </reference>
        </references>
      </pivotArea>
    </format>
    <format dxfId="1009">
      <pivotArea dataOnly="0" labelOnly="1" fieldPosition="0">
        <references count="3">
          <reference field="3" count="1" selected="0">
            <x v="0"/>
          </reference>
          <reference field="9" count="1" selected="0">
            <x v="37"/>
          </reference>
          <reference field="15" count="1">
            <x v="43"/>
          </reference>
        </references>
      </pivotArea>
    </format>
    <format dxfId="1010">
      <pivotArea dataOnly="0" labelOnly="1" fieldPosition="0">
        <references count="3">
          <reference field="3" count="1" selected="0">
            <x v="0"/>
          </reference>
          <reference field="9" count="1" selected="0">
            <x v="38"/>
          </reference>
          <reference field="15" count="1">
            <x v="61"/>
          </reference>
        </references>
      </pivotArea>
    </format>
    <format dxfId="1011">
      <pivotArea dataOnly="0" labelOnly="1" fieldPosition="0">
        <references count="3">
          <reference field="3" count="1" selected="0">
            <x v="0"/>
          </reference>
          <reference field="9" count="1" selected="0">
            <x v="50"/>
          </reference>
          <reference field="15" count="1">
            <x v="41"/>
          </reference>
        </references>
      </pivotArea>
    </format>
    <format dxfId="1012">
      <pivotArea dataOnly="0" labelOnly="1" fieldPosition="0">
        <references count="3">
          <reference field="3" count="1" selected="0">
            <x v="0"/>
          </reference>
          <reference field="9" count="1" selected="0">
            <x v="51"/>
          </reference>
          <reference field="15" count="1">
            <x v="27"/>
          </reference>
        </references>
      </pivotArea>
    </format>
    <format dxfId="1013">
      <pivotArea dataOnly="0" labelOnly="1" fieldPosition="0">
        <references count="3">
          <reference field="3" count="1" selected="0">
            <x v="0"/>
          </reference>
          <reference field="9" count="1" selected="0">
            <x v="52"/>
          </reference>
          <reference field="15" count="1">
            <x v="39"/>
          </reference>
        </references>
      </pivotArea>
    </format>
    <format dxfId="1014">
      <pivotArea dataOnly="0" labelOnly="1" fieldPosition="0">
        <references count="3">
          <reference field="3" count="1" selected="0">
            <x v="0"/>
          </reference>
          <reference field="9" count="1" selected="0">
            <x v="56"/>
          </reference>
          <reference field="15" count="1">
            <x v="45"/>
          </reference>
        </references>
      </pivotArea>
    </format>
    <format dxfId="1015">
      <pivotArea dataOnly="0" labelOnly="1" fieldPosition="0">
        <references count="3">
          <reference field="3" count="1" selected="0">
            <x v="0"/>
          </reference>
          <reference field="9" count="1" selected="0">
            <x v="60"/>
          </reference>
          <reference field="15" count="1">
            <x v="48"/>
          </reference>
        </references>
      </pivotArea>
    </format>
    <format dxfId="1016">
      <pivotArea dataOnly="0" labelOnly="1" fieldPosition="0">
        <references count="3">
          <reference field="3" count="1" selected="0">
            <x v="1"/>
          </reference>
          <reference field="9" count="1" selected="0">
            <x v="1"/>
          </reference>
          <reference field="15" count="1">
            <x v="54"/>
          </reference>
        </references>
      </pivotArea>
    </format>
    <format dxfId="1017">
      <pivotArea dataOnly="0" labelOnly="1" fieldPosition="0">
        <references count="3">
          <reference field="3" count="1" selected="0">
            <x v="1"/>
          </reference>
          <reference field="9" count="1" selected="0">
            <x v="4"/>
          </reference>
          <reference field="15" count="1">
            <x v="58"/>
          </reference>
        </references>
      </pivotArea>
    </format>
    <format dxfId="1018">
      <pivotArea dataOnly="0" labelOnly="1" fieldPosition="0">
        <references count="3">
          <reference field="3" count="1" selected="0">
            <x v="1"/>
          </reference>
          <reference field="9" count="1" selected="0">
            <x v="18"/>
          </reference>
          <reference field="15" count="1">
            <x v="62"/>
          </reference>
        </references>
      </pivotArea>
    </format>
    <format dxfId="1019">
      <pivotArea dataOnly="0" labelOnly="1" fieldPosition="0">
        <references count="3">
          <reference field="3" count="1" selected="0">
            <x v="1"/>
          </reference>
          <reference field="9" count="1" selected="0">
            <x v="20"/>
          </reference>
          <reference field="15" count="1">
            <x v="40"/>
          </reference>
        </references>
      </pivotArea>
    </format>
    <format dxfId="1020">
      <pivotArea dataOnly="0" labelOnly="1" fieldPosition="0">
        <references count="3">
          <reference field="3" count="1" selected="0">
            <x v="1"/>
          </reference>
          <reference field="9" count="1" selected="0">
            <x v="22"/>
          </reference>
          <reference field="15" count="1">
            <x v="63"/>
          </reference>
        </references>
      </pivotArea>
    </format>
    <format dxfId="1021">
      <pivotArea dataOnly="0" labelOnly="1" fieldPosition="0">
        <references count="3">
          <reference field="3" count="1" selected="0">
            <x v="1"/>
          </reference>
          <reference field="9" count="1" selected="0">
            <x v="23"/>
          </reference>
          <reference field="15" count="1">
            <x v="50"/>
          </reference>
        </references>
      </pivotArea>
    </format>
    <format dxfId="1022">
      <pivotArea dataOnly="0" labelOnly="1" fieldPosition="0">
        <references count="3">
          <reference field="3" count="1" selected="0">
            <x v="1"/>
          </reference>
          <reference field="9" count="1" selected="0">
            <x v="28"/>
          </reference>
          <reference field="15" count="1">
            <x v="59"/>
          </reference>
        </references>
      </pivotArea>
    </format>
    <format dxfId="1023">
      <pivotArea dataOnly="0" labelOnly="1" fieldPosition="0">
        <references count="3">
          <reference field="3" count="1" selected="0">
            <x v="1"/>
          </reference>
          <reference field="9" count="1" selected="0">
            <x v="29"/>
          </reference>
          <reference field="15" count="1">
            <x v="52"/>
          </reference>
        </references>
      </pivotArea>
    </format>
    <format dxfId="1024">
      <pivotArea dataOnly="0" labelOnly="1" fieldPosition="0">
        <references count="3">
          <reference field="3" count="1" selected="0">
            <x v="1"/>
          </reference>
          <reference field="9" count="1" selected="0">
            <x v="30"/>
          </reference>
          <reference field="15" count="1">
            <x v="53"/>
          </reference>
        </references>
      </pivotArea>
    </format>
    <format dxfId="1025">
      <pivotArea dataOnly="0" labelOnly="1" fieldPosition="0">
        <references count="3">
          <reference field="3" count="1" selected="0">
            <x v="1"/>
          </reference>
          <reference field="9" count="1" selected="0">
            <x v="38"/>
          </reference>
          <reference field="15" count="1">
            <x v="61"/>
          </reference>
        </references>
      </pivotArea>
    </format>
    <format dxfId="1026">
      <pivotArea dataOnly="0" labelOnly="1" fieldPosition="0">
        <references count="3">
          <reference field="3" count="1" selected="0">
            <x v="1"/>
          </reference>
          <reference field="9" count="1" selected="0">
            <x v="41"/>
          </reference>
          <reference field="15" count="1">
            <x v="44"/>
          </reference>
        </references>
      </pivotArea>
    </format>
    <format dxfId="1027">
      <pivotArea dataOnly="0" labelOnly="1" fieldPosition="0">
        <references count="3">
          <reference field="3" count="1" selected="0">
            <x v="1"/>
          </reference>
          <reference field="9" count="1" selected="0">
            <x v="58"/>
          </reference>
          <reference field="15" count="1">
            <x v="57"/>
          </reference>
        </references>
      </pivotArea>
    </format>
    <format dxfId="1028">
      <pivotArea dataOnly="0" labelOnly="1" fieldPosition="0">
        <references count="3">
          <reference field="3" count="1" selected="0">
            <x v="1"/>
          </reference>
          <reference field="9" count="1" selected="0">
            <x v="66"/>
          </reference>
          <reference field="15" count="1">
            <x v="68"/>
          </reference>
        </references>
      </pivotArea>
    </format>
    <format dxfId="1029">
      <pivotArea dataOnly="0" labelOnly="1" fieldPosition="0">
        <references count="3">
          <reference field="3" count="1" selected="0">
            <x v="1"/>
          </reference>
          <reference field="9" count="1" selected="0">
            <x v="67"/>
          </reference>
          <reference field="15" count="1">
            <x v="69"/>
          </reference>
        </references>
      </pivotArea>
    </format>
    <format dxfId="1030">
      <pivotArea dataOnly="0" labelOnly="1" fieldPosition="0">
        <references count="3">
          <reference field="3" count="1" selected="0">
            <x v="2"/>
          </reference>
          <reference field="9" count="1" selected="0">
            <x v="20"/>
          </reference>
          <reference field="15" count="1">
            <x v="40"/>
          </reference>
        </references>
      </pivotArea>
    </format>
    <format dxfId="1031">
      <pivotArea dataOnly="0" labelOnly="1" fieldPosition="0">
        <references count="3">
          <reference field="3" count="1" selected="0">
            <x v="2"/>
          </reference>
          <reference field="9" count="1" selected="0">
            <x v="56"/>
          </reference>
          <reference field="15" count="1">
            <x v="45"/>
          </reference>
        </references>
      </pivotArea>
    </format>
    <format dxfId="1032">
      <pivotArea dataOnly="0" labelOnly="1" fieldPosition="0">
        <references count="3">
          <reference field="3" count="1" selected="0">
            <x v="3"/>
          </reference>
          <reference field="9" count="1" selected="0">
            <x v="5"/>
          </reference>
          <reference field="15" count="1">
            <x v="22"/>
          </reference>
        </references>
      </pivotArea>
    </format>
    <format dxfId="1033">
      <pivotArea dataOnly="0" labelOnly="1" fieldPosition="0">
        <references count="3">
          <reference field="3" count="1" selected="0">
            <x v="3"/>
          </reference>
          <reference field="9" count="1" selected="0">
            <x v="13"/>
          </reference>
          <reference field="15" count="1">
            <x v="7"/>
          </reference>
        </references>
      </pivotArea>
    </format>
    <format dxfId="1034">
      <pivotArea dataOnly="0" labelOnly="1" fieldPosition="0">
        <references count="3">
          <reference field="3" count="1" selected="0">
            <x v="3"/>
          </reference>
          <reference field="9" count="1" selected="0">
            <x v="16"/>
          </reference>
          <reference field="15" count="1">
            <x v="18"/>
          </reference>
        </references>
      </pivotArea>
    </format>
    <format dxfId="1035">
      <pivotArea dataOnly="0" labelOnly="1" fieldPosition="0">
        <references count="3">
          <reference field="3" count="1" selected="0">
            <x v="3"/>
          </reference>
          <reference field="9" count="1" selected="0">
            <x v="20"/>
          </reference>
          <reference field="15" count="1">
            <x v="40"/>
          </reference>
        </references>
      </pivotArea>
    </format>
    <format dxfId="1036">
      <pivotArea dataOnly="0" labelOnly="1" fieldPosition="0">
        <references count="3">
          <reference field="3" count="1" selected="0">
            <x v="3"/>
          </reference>
          <reference field="9" count="1" selected="0">
            <x v="21"/>
          </reference>
          <reference field="15" count="1">
            <x v="1"/>
          </reference>
        </references>
      </pivotArea>
    </format>
    <format dxfId="1037">
      <pivotArea dataOnly="0" labelOnly="1" fieldPosition="0">
        <references count="3">
          <reference field="3" count="1" selected="0">
            <x v="3"/>
          </reference>
          <reference field="9" count="1" selected="0">
            <x v="26"/>
          </reference>
          <reference field="15" count="1">
            <x v="29"/>
          </reference>
        </references>
      </pivotArea>
    </format>
    <format dxfId="1038">
      <pivotArea dataOnly="0" labelOnly="1" fieldPosition="0">
        <references count="3">
          <reference field="3" count="1" selected="0">
            <x v="3"/>
          </reference>
          <reference field="9" count="1" selected="0">
            <x v="34"/>
          </reference>
          <reference field="15" count="1">
            <x v="35"/>
          </reference>
        </references>
      </pivotArea>
    </format>
    <format dxfId="1039">
      <pivotArea dataOnly="0" labelOnly="1" fieldPosition="0">
        <references count="3">
          <reference field="3" count="1" selected="0">
            <x v="3"/>
          </reference>
          <reference field="9" count="1" selected="0">
            <x v="46"/>
          </reference>
          <reference field="15" count="1">
            <x v="55"/>
          </reference>
        </references>
      </pivotArea>
    </format>
    <format dxfId="1040">
      <pivotArea dataOnly="0" labelOnly="1" fieldPosition="0">
        <references count="3">
          <reference field="3" count="1" selected="0">
            <x v="3"/>
          </reference>
          <reference field="9" count="1" selected="0">
            <x v="47"/>
          </reference>
          <reference field="15" count="1">
            <x v="2"/>
          </reference>
        </references>
      </pivotArea>
    </format>
    <format dxfId="1041">
      <pivotArea dataOnly="0" labelOnly="1" fieldPosition="0">
        <references count="3">
          <reference field="3" count="1" selected="0">
            <x v="3"/>
          </reference>
          <reference field="9" count="1" selected="0">
            <x v="50"/>
          </reference>
          <reference field="15" count="1">
            <x v="41"/>
          </reference>
        </references>
      </pivotArea>
    </format>
    <format dxfId="1042">
      <pivotArea dataOnly="0" labelOnly="1" fieldPosition="0">
        <references count="3">
          <reference field="3" count="1" selected="0">
            <x v="3"/>
          </reference>
          <reference field="9" count="1" selected="0">
            <x v="54"/>
          </reference>
          <reference field="15" count="1">
            <x v="34"/>
          </reference>
        </references>
      </pivotArea>
    </format>
    <format dxfId="1043">
      <pivotArea dataOnly="0" labelOnly="1" fieldPosition="0">
        <references count="3">
          <reference field="3" count="1" selected="0">
            <x v="3"/>
          </reference>
          <reference field="9" count="1" selected="0">
            <x v="56"/>
          </reference>
          <reference field="15" count="1">
            <x v="45"/>
          </reference>
        </references>
      </pivotArea>
    </format>
    <format dxfId="1044">
      <pivotArea dataOnly="0" labelOnly="1" fieldPosition="0">
        <references count="3">
          <reference field="3" count="1" selected="0">
            <x v="3"/>
          </reference>
          <reference field="9" count="1" selected="0">
            <x v="57"/>
          </reference>
          <reference field="15" count="1">
            <x v="42"/>
          </reference>
        </references>
      </pivotArea>
    </format>
    <format dxfId="1045">
      <pivotArea dataOnly="0" labelOnly="1" fieldPosition="0">
        <references count="3">
          <reference field="3" count="1" selected="0">
            <x v="4"/>
          </reference>
          <reference field="9" count="1" selected="0">
            <x v="1"/>
          </reference>
          <reference field="15" count="1">
            <x v="54"/>
          </reference>
        </references>
      </pivotArea>
    </format>
    <format dxfId="1046">
      <pivotArea dataOnly="0" labelOnly="1" fieldPosition="0">
        <references count="3">
          <reference field="3" count="1" selected="0">
            <x v="4"/>
          </reference>
          <reference field="9" count="1" selected="0">
            <x v="20"/>
          </reference>
          <reference field="15" count="1">
            <x v="40"/>
          </reference>
        </references>
      </pivotArea>
    </format>
    <format dxfId="1047">
      <pivotArea dataOnly="0" labelOnly="1" fieldPosition="0">
        <references count="3">
          <reference field="3" count="1" selected="0">
            <x v="4"/>
          </reference>
          <reference field="9" count="1" selected="0">
            <x v="22"/>
          </reference>
          <reference field="15" count="1">
            <x v="63"/>
          </reference>
        </references>
      </pivotArea>
    </format>
    <format dxfId="1048">
      <pivotArea dataOnly="0" labelOnly="1" fieldPosition="0">
        <references count="3">
          <reference field="3" count="1" selected="0">
            <x v="4"/>
          </reference>
          <reference field="9" count="1" selected="0">
            <x v="29"/>
          </reference>
          <reference field="15" count="1">
            <x v="52"/>
          </reference>
        </references>
      </pivotArea>
    </format>
    <format dxfId="1049">
      <pivotArea dataOnly="0" labelOnly="1" fieldPosition="0">
        <references count="3">
          <reference field="3" count="1" selected="0">
            <x v="4"/>
          </reference>
          <reference field="9" count="1" selected="0">
            <x v="30"/>
          </reference>
          <reference field="15" count="1">
            <x v="53"/>
          </reference>
        </references>
      </pivotArea>
    </format>
    <format dxfId="1050">
      <pivotArea dataOnly="0" labelOnly="1" fieldPosition="0">
        <references count="3">
          <reference field="3" count="1" selected="0">
            <x v="4"/>
          </reference>
          <reference field="9" count="1" selected="0">
            <x v="33"/>
          </reference>
          <reference field="15" count="1">
            <x v="51"/>
          </reference>
        </references>
      </pivotArea>
    </format>
    <format dxfId="1051">
      <pivotArea dataOnly="0" labelOnly="1" fieldPosition="0">
        <references count="3">
          <reference field="3" count="1" selected="0">
            <x v="4"/>
          </reference>
          <reference field="9" count="1" selected="0">
            <x v="41"/>
          </reference>
          <reference field="15" count="1">
            <x v="44"/>
          </reference>
        </references>
      </pivotArea>
    </format>
    <format dxfId="1052">
      <pivotArea dataOnly="0" labelOnly="1" fieldPosition="0">
        <references count="3">
          <reference field="3" count="1" selected="0">
            <x v="4"/>
          </reference>
          <reference field="9" count="1" selected="0">
            <x v="46"/>
          </reference>
          <reference field="15" count="1">
            <x v="55"/>
          </reference>
        </references>
      </pivotArea>
    </format>
    <format dxfId="1053">
      <pivotArea dataOnly="0" labelOnly="1" fieldPosition="0">
        <references count="3">
          <reference field="3" count="1" selected="0">
            <x v="4"/>
          </reference>
          <reference field="9" count="1" selected="0">
            <x v="58"/>
          </reference>
          <reference field="15" count="1">
            <x v="57"/>
          </reference>
        </references>
      </pivotArea>
    </format>
    <format dxfId="1054">
      <pivotArea dataOnly="0" labelOnly="1" fieldPosition="0">
        <references count="3">
          <reference field="3" count="1" selected="0">
            <x v="5"/>
          </reference>
          <reference field="9" count="1" selected="0">
            <x v="16"/>
          </reference>
          <reference field="15" count="1">
            <x v="18"/>
          </reference>
        </references>
      </pivotArea>
    </format>
    <format dxfId="1055">
      <pivotArea dataOnly="0" labelOnly="1" fieldPosition="0">
        <references count="3">
          <reference field="3" count="1" selected="0">
            <x v="5"/>
          </reference>
          <reference field="9" count="1" selected="0">
            <x v="20"/>
          </reference>
          <reference field="15" count="1">
            <x v="40"/>
          </reference>
        </references>
      </pivotArea>
    </format>
    <format dxfId="1056">
      <pivotArea dataOnly="0" labelOnly="1" fieldPosition="0">
        <references count="3">
          <reference field="3" count="1" selected="0">
            <x v="5"/>
          </reference>
          <reference field="9" count="1" selected="0">
            <x v="22"/>
          </reference>
          <reference field="15" count="1">
            <x v="63"/>
          </reference>
        </references>
      </pivotArea>
    </format>
    <format dxfId="1057">
      <pivotArea dataOnly="0" labelOnly="1" fieldPosition="0">
        <references count="3">
          <reference field="3" count="1" selected="0">
            <x v="5"/>
          </reference>
          <reference field="9" count="1" selected="0">
            <x v="23"/>
          </reference>
          <reference field="15" count="1">
            <x v="50"/>
          </reference>
        </references>
      </pivotArea>
    </format>
    <format dxfId="1058">
      <pivotArea dataOnly="0" labelOnly="1" fieldPosition="0">
        <references count="3">
          <reference field="3" count="1" selected="0">
            <x v="5"/>
          </reference>
          <reference field="9" count="1" selected="0">
            <x v="33"/>
          </reference>
          <reference field="15" count="1">
            <x v="51"/>
          </reference>
        </references>
      </pivotArea>
    </format>
    <format dxfId="1059">
      <pivotArea dataOnly="0" labelOnly="1" fieldPosition="0">
        <references count="3">
          <reference field="3" count="1" selected="0">
            <x v="5"/>
          </reference>
          <reference field="9" count="1" selected="0">
            <x v="41"/>
          </reference>
          <reference field="15" count="1">
            <x v="44"/>
          </reference>
        </references>
      </pivotArea>
    </format>
    <format dxfId="1060">
      <pivotArea dataOnly="0" labelOnly="1" fieldPosition="0">
        <references count="3">
          <reference field="3" count="1" selected="0">
            <x v="5"/>
          </reference>
          <reference field="9" count="1" selected="0">
            <x v="46"/>
          </reference>
          <reference field="15" count="1">
            <x v="55"/>
          </reference>
        </references>
      </pivotArea>
    </format>
    <format dxfId="1061">
      <pivotArea dataOnly="0" labelOnly="1" fieldPosition="0">
        <references count="3">
          <reference field="3" count="1" selected="0">
            <x v="5"/>
          </reference>
          <reference field="9" count="1" selected="0">
            <x v="55"/>
          </reference>
          <reference field="15" count="1">
            <x v="3"/>
          </reference>
        </references>
      </pivotArea>
    </format>
    <format dxfId="1062">
      <pivotArea dataOnly="0" labelOnly="1" fieldPosition="0">
        <references count="3">
          <reference field="3" count="1" selected="0">
            <x v="5"/>
          </reference>
          <reference field="9" count="1" selected="0">
            <x v="66"/>
          </reference>
          <reference field="15" count="1">
            <x v="68"/>
          </reference>
        </references>
      </pivotArea>
    </format>
    <format dxfId="1063">
      <pivotArea dataOnly="0" labelOnly="1" fieldPosition="0">
        <references count="3">
          <reference field="3" count="1" selected="0">
            <x v="5"/>
          </reference>
          <reference field="9" count="1" selected="0">
            <x v="67"/>
          </reference>
          <reference field="15" count="1">
            <x v="69"/>
          </reference>
        </references>
      </pivotArea>
    </format>
    <format dxfId="1064">
      <pivotArea dataOnly="0" labelOnly="1" fieldPosition="0">
        <references count="3">
          <reference field="3" count="1" selected="0">
            <x v="6"/>
          </reference>
          <reference field="9" count="1" selected="0">
            <x v="68"/>
          </reference>
          <reference field="15" count="1">
            <x v="70"/>
          </reference>
        </references>
      </pivotArea>
    </format>
    <format dxfId="1065">
      <pivotArea dataOnly="0" labelOnly="1" fieldPosition="0">
        <references count="4">
          <reference field="3" count="1" selected="0">
            <x v="0"/>
          </reference>
          <reference field="8" count="1">
            <x v="55"/>
          </reference>
          <reference field="9" count="1" selected="0">
            <x v="15"/>
          </reference>
          <reference field="15" count="1" selected="0">
            <x v="64"/>
          </reference>
        </references>
      </pivotArea>
    </format>
    <format dxfId="1066">
      <pivotArea dataOnly="0" labelOnly="1" fieldPosition="0">
        <references count="4">
          <reference field="3" count="1" selected="0">
            <x v="0"/>
          </reference>
          <reference field="8" count="1">
            <x v="30"/>
          </reference>
          <reference field="9" count="1" selected="0">
            <x v="18"/>
          </reference>
          <reference field="15" count="1" selected="0">
            <x v="62"/>
          </reference>
        </references>
      </pivotArea>
    </format>
    <format dxfId="1067">
      <pivotArea dataOnly="0" labelOnly="1" fieldPosition="0">
        <references count="4">
          <reference field="3" count="1" selected="0">
            <x v="0"/>
          </reference>
          <reference field="8" count="1">
            <x v="1"/>
          </reference>
          <reference field="9" count="1" selected="0">
            <x v="29"/>
          </reference>
          <reference field="15" count="1" selected="0">
            <x v="52"/>
          </reference>
        </references>
      </pivotArea>
    </format>
    <format dxfId="1068">
      <pivotArea dataOnly="0" labelOnly="1" fieldPosition="0">
        <references count="4">
          <reference field="3" count="1" selected="0">
            <x v="0"/>
          </reference>
          <reference field="8" count="1">
            <x v="27"/>
          </reference>
          <reference field="9" count="1" selected="0">
            <x v="31"/>
          </reference>
          <reference field="15" count="1" selected="0">
            <x v="47"/>
          </reference>
        </references>
      </pivotArea>
    </format>
    <format dxfId="1069">
      <pivotArea dataOnly="0" labelOnly="1" fieldPosition="0">
        <references count="4">
          <reference field="3" count="1" selected="0">
            <x v="0"/>
          </reference>
          <reference field="8" count="1">
            <x v="55"/>
          </reference>
          <reference field="9" count="1" selected="0">
            <x v="37"/>
          </reference>
          <reference field="15" count="1" selected="0">
            <x v="43"/>
          </reference>
        </references>
      </pivotArea>
    </format>
    <format dxfId="1070">
      <pivotArea dataOnly="0" labelOnly="1" fieldPosition="0">
        <references count="4">
          <reference field="3" count="1" selected="0">
            <x v="0"/>
          </reference>
          <reference field="8" count="1">
            <x v="30"/>
          </reference>
          <reference field="9" count="1" selected="0">
            <x v="38"/>
          </reference>
          <reference field="15" count="1" selected="0">
            <x v="61"/>
          </reference>
        </references>
      </pivotArea>
    </format>
    <format dxfId="1071">
      <pivotArea dataOnly="0" labelOnly="1" fieldPosition="0">
        <references count="4">
          <reference field="3" count="1" selected="0">
            <x v="0"/>
          </reference>
          <reference field="8" count="1">
            <x v="3"/>
          </reference>
          <reference field="9" count="1" selected="0">
            <x v="50"/>
          </reference>
          <reference field="15" count="1" selected="0">
            <x v="41"/>
          </reference>
        </references>
      </pivotArea>
    </format>
    <format dxfId="1072">
      <pivotArea dataOnly="0" labelOnly="1" fieldPosition="0">
        <references count="4">
          <reference field="3" count="1" selected="0">
            <x v="0"/>
          </reference>
          <reference field="8" count="1">
            <x v="46"/>
          </reference>
          <reference field="9" count="1" selected="0">
            <x v="51"/>
          </reference>
          <reference field="15" count="1" selected="0">
            <x v="27"/>
          </reference>
        </references>
      </pivotArea>
    </format>
    <format dxfId="1073">
      <pivotArea dataOnly="0" labelOnly="1" fieldPosition="0">
        <references count="4">
          <reference field="3" count="1" selected="0">
            <x v="0"/>
          </reference>
          <reference field="8" count="1">
            <x v="54"/>
          </reference>
          <reference field="9" count="1" selected="0">
            <x v="52"/>
          </reference>
          <reference field="15" count="1" selected="0">
            <x v="39"/>
          </reference>
        </references>
      </pivotArea>
    </format>
    <format dxfId="1074">
      <pivotArea dataOnly="0" labelOnly="1" fieldPosition="0">
        <references count="4">
          <reference field="3" count="1" selected="0">
            <x v="0"/>
          </reference>
          <reference field="8" count="1">
            <x v="38"/>
          </reference>
          <reference field="9" count="1" selected="0">
            <x v="56"/>
          </reference>
          <reference field="15" count="1" selected="0">
            <x v="45"/>
          </reference>
        </references>
      </pivotArea>
    </format>
    <format dxfId="1075">
      <pivotArea dataOnly="0" labelOnly="1" fieldPosition="0">
        <references count="4">
          <reference field="3" count="1" selected="0">
            <x v="0"/>
          </reference>
          <reference field="8" count="1">
            <x v="27"/>
          </reference>
          <reference field="9" count="1" selected="0">
            <x v="60"/>
          </reference>
          <reference field="15" count="1" selected="0">
            <x v="48"/>
          </reference>
        </references>
      </pivotArea>
    </format>
    <format dxfId="1076">
      <pivotArea dataOnly="0" labelOnly="1" fieldPosition="0">
        <references count="4">
          <reference field="3" count="1" selected="0">
            <x v="1"/>
          </reference>
          <reference field="8" count="1">
            <x v="5"/>
          </reference>
          <reference field="9" count="1" selected="0">
            <x v="1"/>
          </reference>
          <reference field="15" count="1" selected="0">
            <x v="54"/>
          </reference>
        </references>
      </pivotArea>
    </format>
    <format dxfId="1077">
      <pivotArea dataOnly="0" labelOnly="1" fieldPosition="0">
        <references count="4">
          <reference field="3" count="1" selected="0">
            <x v="1"/>
          </reference>
          <reference field="8" count="1">
            <x v="32"/>
          </reference>
          <reference field="9" count="1" selected="0">
            <x v="4"/>
          </reference>
          <reference field="15" count="1" selected="0">
            <x v="58"/>
          </reference>
        </references>
      </pivotArea>
    </format>
    <format dxfId="1078">
      <pivotArea dataOnly="0" labelOnly="1" fieldPosition="0">
        <references count="4">
          <reference field="3" count="1" selected="0">
            <x v="1"/>
          </reference>
          <reference field="8" count="2">
            <x v="30"/>
            <x v="69"/>
          </reference>
          <reference field="9" count="1" selected="0">
            <x v="18"/>
          </reference>
          <reference field="15" count="1" selected="0">
            <x v="62"/>
          </reference>
        </references>
      </pivotArea>
    </format>
    <format dxfId="1079">
      <pivotArea dataOnly="0" labelOnly="1" fieldPosition="0">
        <references count="4">
          <reference field="3" count="1" selected="0">
            <x v="1"/>
          </reference>
          <reference field="8" count="1">
            <x v="19"/>
          </reference>
          <reference field="9" count="1" selected="0">
            <x v="20"/>
          </reference>
          <reference field="15" count="1" selected="0">
            <x v="40"/>
          </reference>
        </references>
      </pivotArea>
    </format>
    <format dxfId="1080">
      <pivotArea dataOnly="0" labelOnly="1" fieldPosition="0">
        <references count="4">
          <reference field="3" count="1" selected="0">
            <x v="1"/>
          </reference>
          <reference field="8" count="1">
            <x v="26"/>
          </reference>
          <reference field="9" count="1" selected="0">
            <x v="23"/>
          </reference>
          <reference field="15" count="1" selected="0">
            <x v="50"/>
          </reference>
        </references>
      </pivotArea>
    </format>
    <format dxfId="1081">
      <pivotArea dataOnly="0" labelOnly="1" fieldPosition="0">
        <references count="4">
          <reference field="3" count="1" selected="0">
            <x v="1"/>
          </reference>
          <reference field="8" count="1">
            <x v="32"/>
          </reference>
          <reference field="9" count="1" selected="0">
            <x v="28"/>
          </reference>
          <reference field="15" count="1" selected="0">
            <x v="59"/>
          </reference>
        </references>
      </pivotArea>
    </format>
    <format dxfId="1082">
      <pivotArea dataOnly="0" labelOnly="1" fieldPosition="0">
        <references count="4">
          <reference field="3" count="1" selected="0">
            <x v="1"/>
          </reference>
          <reference field="8" count="1">
            <x v="1"/>
          </reference>
          <reference field="9" count="1" selected="0">
            <x v="29"/>
          </reference>
          <reference field="15" count="1" selected="0">
            <x v="52"/>
          </reference>
        </references>
      </pivotArea>
    </format>
    <format dxfId="1083">
      <pivotArea dataOnly="0" labelOnly="1" fieldPosition="0">
        <references count="4">
          <reference field="3" count="1" selected="0">
            <x v="1"/>
          </reference>
          <reference field="8" count="1">
            <x v="1"/>
          </reference>
          <reference field="9" count="1" selected="0">
            <x v="30"/>
          </reference>
          <reference field="15" count="1" selected="0">
            <x v="53"/>
          </reference>
        </references>
      </pivotArea>
    </format>
    <format dxfId="1084">
      <pivotArea dataOnly="0" labelOnly="1" fieldPosition="0">
        <references count="4">
          <reference field="3" count="1" selected="0">
            <x v="1"/>
          </reference>
          <reference field="8" count="2">
            <x v="30"/>
            <x v="69"/>
          </reference>
          <reference field="9" count="1" selected="0">
            <x v="38"/>
          </reference>
          <reference field="15" count="1" selected="0">
            <x v="61"/>
          </reference>
        </references>
      </pivotArea>
    </format>
    <format dxfId="1085">
      <pivotArea dataOnly="0" labelOnly="1" fieldPosition="0">
        <references count="4">
          <reference field="3" count="1" selected="0">
            <x v="1"/>
          </reference>
          <reference field="8" count="1">
            <x v="8"/>
          </reference>
          <reference field="9" count="1" selected="0">
            <x v="58"/>
          </reference>
          <reference field="15" count="1" selected="0">
            <x v="57"/>
          </reference>
        </references>
      </pivotArea>
    </format>
    <format dxfId="1086">
      <pivotArea dataOnly="0" labelOnly="1" fieldPosition="0">
        <references count="4">
          <reference field="3" count="1" selected="0">
            <x v="1"/>
          </reference>
          <reference field="8" count="1">
            <x v="67"/>
          </reference>
          <reference field="9" count="1" selected="0">
            <x v="66"/>
          </reference>
          <reference field="15" count="1" selected="0">
            <x v="68"/>
          </reference>
        </references>
      </pivotArea>
    </format>
    <format dxfId="1087">
      <pivotArea dataOnly="0" labelOnly="1" fieldPosition="0">
        <references count="4">
          <reference field="3" count="1" selected="0">
            <x v="2"/>
          </reference>
          <reference field="8" count="1">
            <x v="19"/>
          </reference>
          <reference field="9" count="1" selected="0">
            <x v="20"/>
          </reference>
          <reference field="15" count="1" selected="0">
            <x v="40"/>
          </reference>
        </references>
      </pivotArea>
    </format>
    <format dxfId="1088">
      <pivotArea dataOnly="0" labelOnly="1" fieldPosition="0">
        <references count="4">
          <reference field="3" count="1" selected="0">
            <x v="2"/>
          </reference>
          <reference field="8" count="1">
            <x v="38"/>
          </reference>
          <reference field="9" count="1" selected="0">
            <x v="56"/>
          </reference>
          <reference field="15" count="1" selected="0">
            <x v="45"/>
          </reference>
        </references>
      </pivotArea>
    </format>
    <format dxfId="1089">
      <pivotArea dataOnly="0" labelOnly="1" fieldPosition="0">
        <references count="4">
          <reference field="3" count="1" selected="0">
            <x v="3"/>
          </reference>
          <reference field="8" count="1">
            <x v="39"/>
          </reference>
          <reference field="9" count="1" selected="0">
            <x v="5"/>
          </reference>
          <reference field="15" count="1" selected="0">
            <x v="22"/>
          </reference>
        </references>
      </pivotArea>
    </format>
    <format dxfId="1090">
      <pivotArea dataOnly="0" labelOnly="1" fieldPosition="0">
        <references count="4">
          <reference field="3" count="1" selected="0">
            <x v="3"/>
          </reference>
          <reference field="8" count="2">
            <x v="19"/>
            <x v="54"/>
          </reference>
          <reference field="9" count="1" selected="0">
            <x v="16"/>
          </reference>
          <reference field="15" count="1" selected="0">
            <x v="18"/>
          </reference>
        </references>
      </pivotArea>
    </format>
    <format dxfId="1091">
      <pivotArea dataOnly="0" labelOnly="1" fieldPosition="0">
        <references count="4">
          <reference field="3" count="1" selected="0">
            <x v="3"/>
          </reference>
          <reference field="8" count="1">
            <x v="19"/>
          </reference>
          <reference field="9" count="1" selected="0">
            <x v="20"/>
          </reference>
          <reference field="15" count="1" selected="0">
            <x v="40"/>
          </reference>
        </references>
      </pivotArea>
    </format>
    <format dxfId="1092">
      <pivotArea dataOnly="0" labelOnly="1" fieldPosition="0">
        <references count="4">
          <reference field="3" count="1" selected="0">
            <x v="3"/>
          </reference>
          <reference field="8" count="1">
            <x v="51"/>
          </reference>
          <reference field="9" count="1" selected="0">
            <x v="21"/>
          </reference>
          <reference field="15" count="1" selected="0">
            <x v="1"/>
          </reference>
        </references>
      </pivotArea>
    </format>
    <format dxfId="1093">
      <pivotArea dataOnly="0" labelOnly="1" fieldPosition="0">
        <references count="4">
          <reference field="3" count="1" selected="0">
            <x v="3"/>
          </reference>
          <reference field="8" count="1">
            <x v="29"/>
          </reference>
          <reference field="9" count="1" selected="0">
            <x v="26"/>
          </reference>
          <reference field="15" count="1" selected="0">
            <x v="29"/>
          </reference>
        </references>
      </pivotArea>
    </format>
    <format dxfId="1094">
      <pivotArea dataOnly="0" labelOnly="1" fieldPosition="0">
        <references count="4">
          <reference field="3" count="1" selected="0">
            <x v="3"/>
          </reference>
          <reference field="8" count="1">
            <x v="66"/>
          </reference>
          <reference field="9" count="1" selected="0">
            <x v="34"/>
          </reference>
          <reference field="15" count="1" selected="0">
            <x v="35"/>
          </reference>
        </references>
      </pivotArea>
    </format>
    <format dxfId="1095">
      <pivotArea dataOnly="0" labelOnly="1" fieldPosition="0">
        <references count="4">
          <reference field="3" count="1" selected="0">
            <x v="3"/>
          </reference>
          <reference field="8" count="1">
            <x v="6"/>
          </reference>
          <reference field="9" count="1" selected="0">
            <x v="46"/>
          </reference>
          <reference field="15" count="1" selected="0">
            <x v="55"/>
          </reference>
        </references>
      </pivotArea>
    </format>
    <format dxfId="1096">
      <pivotArea dataOnly="0" labelOnly="1" fieldPosition="0">
        <references count="4">
          <reference field="3" count="1" selected="0">
            <x v="3"/>
          </reference>
          <reference field="8" count="1">
            <x v="57"/>
          </reference>
          <reference field="9" count="1" selected="0">
            <x v="47"/>
          </reference>
          <reference field="15" count="1" selected="0">
            <x v="2"/>
          </reference>
        </references>
      </pivotArea>
    </format>
    <format dxfId="1097">
      <pivotArea dataOnly="0" labelOnly="1" fieldPosition="0">
        <references count="4">
          <reference field="3" count="1" selected="0">
            <x v="3"/>
          </reference>
          <reference field="8" count="1">
            <x v="3"/>
          </reference>
          <reference field="9" count="1" selected="0">
            <x v="50"/>
          </reference>
          <reference field="15" count="1" selected="0">
            <x v="41"/>
          </reference>
        </references>
      </pivotArea>
    </format>
    <format dxfId="1098">
      <pivotArea dataOnly="0" labelOnly="1" fieldPosition="0">
        <references count="4">
          <reference field="3" count="1" selected="0">
            <x v="3"/>
          </reference>
          <reference field="8" count="1">
            <x v="0"/>
          </reference>
          <reference field="9" count="1" selected="0">
            <x v="54"/>
          </reference>
          <reference field="15" count="1" selected="0">
            <x v="34"/>
          </reference>
        </references>
      </pivotArea>
    </format>
    <format dxfId="1099">
      <pivotArea dataOnly="0" labelOnly="1" fieldPosition="0">
        <references count="4">
          <reference field="3" count="1" selected="0">
            <x v="3"/>
          </reference>
          <reference field="8" count="1">
            <x v="38"/>
          </reference>
          <reference field="9" count="1" selected="0">
            <x v="56"/>
          </reference>
          <reference field="15" count="1" selected="0">
            <x v="45"/>
          </reference>
        </references>
      </pivotArea>
    </format>
    <format dxfId="1100">
      <pivotArea dataOnly="0" labelOnly="1" fieldPosition="0">
        <references count="4">
          <reference field="3" count="1" selected="0">
            <x v="3"/>
          </reference>
          <reference field="8" count="1">
            <x v="66"/>
          </reference>
          <reference field="9" count="1" selected="0">
            <x v="57"/>
          </reference>
          <reference field="15" count="1" selected="0">
            <x v="42"/>
          </reference>
        </references>
      </pivotArea>
    </format>
    <format dxfId="1101">
      <pivotArea dataOnly="0" labelOnly="1" fieldPosition="0">
        <references count="4">
          <reference field="3" count="1" selected="0">
            <x v="4"/>
          </reference>
          <reference field="8" count="1">
            <x v="5"/>
          </reference>
          <reference field="9" count="1" selected="0">
            <x v="1"/>
          </reference>
          <reference field="15" count="1" selected="0">
            <x v="54"/>
          </reference>
        </references>
      </pivotArea>
    </format>
    <format dxfId="1102">
      <pivotArea dataOnly="0" labelOnly="1" fieldPosition="0">
        <references count="4">
          <reference field="3" count="1" selected="0">
            <x v="4"/>
          </reference>
          <reference field="8" count="1">
            <x v="19"/>
          </reference>
          <reference field="9" count="1" selected="0">
            <x v="20"/>
          </reference>
          <reference field="15" count="1" selected="0">
            <x v="40"/>
          </reference>
        </references>
      </pivotArea>
    </format>
    <format dxfId="1103">
      <pivotArea dataOnly="0" labelOnly="1" fieldPosition="0">
        <references count="4">
          <reference field="3" count="1" selected="0">
            <x v="4"/>
          </reference>
          <reference field="8" count="1">
            <x v="1"/>
          </reference>
          <reference field="9" count="1" selected="0">
            <x v="29"/>
          </reference>
          <reference field="15" count="1" selected="0">
            <x v="52"/>
          </reference>
        </references>
      </pivotArea>
    </format>
    <format dxfId="1104">
      <pivotArea dataOnly="0" labelOnly="1" fieldPosition="0">
        <references count="4">
          <reference field="3" count="1" selected="0">
            <x v="4"/>
          </reference>
          <reference field="8" count="1">
            <x v="1"/>
          </reference>
          <reference field="9" count="1" selected="0">
            <x v="30"/>
          </reference>
          <reference field="15" count="1" selected="0">
            <x v="53"/>
          </reference>
        </references>
      </pivotArea>
    </format>
    <format dxfId="1105">
      <pivotArea dataOnly="0" labelOnly="1" fieldPosition="0">
        <references count="4">
          <reference field="3" count="1" selected="0">
            <x v="4"/>
          </reference>
          <reference field="8" count="1">
            <x v="45"/>
          </reference>
          <reference field="9" count="1" selected="0">
            <x v="33"/>
          </reference>
          <reference field="15" count="1" selected="0">
            <x v="51"/>
          </reference>
        </references>
      </pivotArea>
    </format>
    <format dxfId="1106">
      <pivotArea dataOnly="0" labelOnly="1" fieldPosition="0">
        <references count="4">
          <reference field="3" count="1" selected="0">
            <x v="4"/>
          </reference>
          <reference field="8" count="1">
            <x v="8"/>
          </reference>
          <reference field="9" count="1" selected="0">
            <x v="58"/>
          </reference>
          <reference field="15" count="1" selected="0">
            <x v="57"/>
          </reference>
        </references>
      </pivotArea>
    </format>
    <format dxfId="1107">
      <pivotArea dataOnly="0" labelOnly="1" fieldPosition="0">
        <references count="4">
          <reference field="3" count="1" selected="0">
            <x v="5"/>
          </reference>
          <reference field="8" count="1">
            <x v="6"/>
          </reference>
          <reference field="9" count="1" selected="0">
            <x v="16"/>
          </reference>
          <reference field="15" count="1" selected="0">
            <x v="18"/>
          </reference>
        </references>
      </pivotArea>
    </format>
    <format dxfId="1108">
      <pivotArea dataOnly="0" labelOnly="1" fieldPosition="0">
        <references count="4">
          <reference field="3" count="1" selected="0">
            <x v="5"/>
          </reference>
          <reference field="8" count="1">
            <x v="10"/>
          </reference>
          <reference field="9" count="1" selected="0">
            <x v="23"/>
          </reference>
          <reference field="15" count="1" selected="0">
            <x v="50"/>
          </reference>
        </references>
      </pivotArea>
    </format>
    <format dxfId="1109">
      <pivotArea dataOnly="0" labelOnly="1" fieldPosition="0">
        <references count="4">
          <reference field="3" count="1" selected="0">
            <x v="5"/>
          </reference>
          <reference field="8" count="1">
            <x v="45"/>
          </reference>
          <reference field="9" count="1" selected="0">
            <x v="33"/>
          </reference>
          <reference field="15" count="1" selected="0">
            <x v="51"/>
          </reference>
        </references>
      </pivotArea>
    </format>
    <format dxfId="1110">
      <pivotArea dataOnly="0" labelOnly="1" fieldPosition="0">
        <references count="4">
          <reference field="3" count="1" selected="0">
            <x v="5"/>
          </reference>
          <reference field="8" count="1">
            <x v="10"/>
          </reference>
          <reference field="9" count="1" selected="0">
            <x v="55"/>
          </reference>
          <reference field="15" count="1" selected="0">
            <x v="3"/>
          </reference>
        </references>
      </pivotArea>
    </format>
    <format dxfId="1111">
      <pivotArea dataOnly="0" labelOnly="1" fieldPosition="0">
        <references count="4">
          <reference field="3" count="1" selected="0">
            <x v="5"/>
          </reference>
          <reference field="8" count="1">
            <x v="67"/>
          </reference>
          <reference field="9" count="1" selected="0">
            <x v="66"/>
          </reference>
          <reference field="15" count="1" selected="0">
            <x v="68"/>
          </reference>
        </references>
      </pivotArea>
    </format>
    <format dxfId="1112">
      <pivotArea dataOnly="0" labelOnly="1" fieldPosition="0">
        <references count="4">
          <reference field="3" count="1" selected="0">
            <x v="6"/>
          </reference>
          <reference field="8" count="1">
            <x v="70"/>
          </reference>
          <reference field="9" count="1" selected="0">
            <x v="68"/>
          </reference>
          <reference field="15" count="1" selected="0">
            <x v="70"/>
          </reference>
        </references>
      </pivotArea>
    </format>
    <format dxfId="1113">
      <pivotArea dataOnly="0" labelOnly="1" fieldPosition="0">
        <references count="5">
          <reference field="3" count="1" selected="0">
            <x v="0"/>
          </reference>
          <reference field="8" count="1" selected="0">
            <x v="55"/>
          </reference>
          <reference field="9" count="1" selected="0">
            <x v="15"/>
          </reference>
          <reference field="15" count="1" selected="0">
            <x v="64"/>
          </reference>
          <reference field="16" count="1">
            <x v="11"/>
          </reference>
        </references>
      </pivotArea>
    </format>
    <format dxfId="1114">
      <pivotArea dataOnly="0" labelOnly="1" fieldPosition="0">
        <references count="5">
          <reference field="3" count="1" selected="0">
            <x v="0"/>
          </reference>
          <reference field="8" count="1" selected="0">
            <x v="30"/>
          </reference>
          <reference field="9" count="1" selected="0">
            <x v="18"/>
          </reference>
          <reference field="15" count="1" selected="0">
            <x v="62"/>
          </reference>
          <reference field="16" count="1">
            <x v="11"/>
          </reference>
        </references>
      </pivotArea>
    </format>
    <format dxfId="1115">
      <pivotArea dataOnly="0" labelOnly="1" fieldPosition="0">
        <references count="5">
          <reference field="3" count="1" selected="0">
            <x v="0"/>
          </reference>
          <reference field="8" count="1" selected="0">
            <x v="1"/>
          </reference>
          <reference field="9" count="1" selected="0">
            <x v="29"/>
          </reference>
          <reference field="15" count="1" selected="0">
            <x v="52"/>
          </reference>
          <reference field="16" count="1">
            <x v="10"/>
          </reference>
        </references>
      </pivotArea>
    </format>
    <format dxfId="1116">
      <pivotArea dataOnly="0" labelOnly="1" fieldPosition="0">
        <references count="5">
          <reference field="3" count="1" selected="0">
            <x v="0"/>
          </reference>
          <reference field="8" count="1" selected="0">
            <x v="1"/>
          </reference>
          <reference field="9" count="1" selected="0">
            <x v="30"/>
          </reference>
          <reference field="15" count="1" selected="0">
            <x v="53"/>
          </reference>
          <reference field="16" count="1">
            <x v="10"/>
          </reference>
        </references>
      </pivotArea>
    </format>
    <format dxfId="1117">
      <pivotArea dataOnly="0" labelOnly="1" fieldPosition="0">
        <references count="5">
          <reference field="3" count="1" selected="0">
            <x v="0"/>
          </reference>
          <reference field="8" count="1" selected="0">
            <x v="27"/>
          </reference>
          <reference field="9" count="1" selected="0">
            <x v="31"/>
          </reference>
          <reference field="15" count="1" selected="0">
            <x v="47"/>
          </reference>
          <reference field="16" count="1">
            <x v="11"/>
          </reference>
        </references>
      </pivotArea>
    </format>
    <format dxfId="1118">
      <pivotArea dataOnly="0" labelOnly="1" fieldPosition="0">
        <references count="5">
          <reference field="3" count="1" selected="0">
            <x v="0"/>
          </reference>
          <reference field="8" count="1" selected="0">
            <x v="55"/>
          </reference>
          <reference field="9" count="1" selected="0">
            <x v="37"/>
          </reference>
          <reference field="15" count="1" selected="0">
            <x v="43"/>
          </reference>
          <reference field="16" count="1">
            <x v="11"/>
          </reference>
        </references>
      </pivotArea>
    </format>
    <format dxfId="1119">
      <pivotArea dataOnly="0" labelOnly="1" fieldPosition="0">
        <references count="5">
          <reference field="3" count="1" selected="0">
            <x v="0"/>
          </reference>
          <reference field="8" count="1" selected="0">
            <x v="30"/>
          </reference>
          <reference field="9" count="1" selected="0">
            <x v="38"/>
          </reference>
          <reference field="15" count="1" selected="0">
            <x v="61"/>
          </reference>
          <reference field="16" count="1">
            <x v="11"/>
          </reference>
        </references>
      </pivotArea>
    </format>
    <format dxfId="1120">
      <pivotArea dataOnly="0" labelOnly="1" fieldPosition="0">
        <references count="5">
          <reference field="3" count="1" selected="0">
            <x v="0"/>
          </reference>
          <reference field="8" count="1" selected="0">
            <x v="3"/>
          </reference>
          <reference field="9" count="1" selected="0">
            <x v="50"/>
          </reference>
          <reference field="15" count="1" selected="0">
            <x v="41"/>
          </reference>
          <reference field="16" count="1">
            <x v="11"/>
          </reference>
        </references>
      </pivotArea>
    </format>
    <format dxfId="1121">
      <pivotArea dataOnly="0" labelOnly="1" fieldPosition="0">
        <references count="5">
          <reference field="3" count="1" selected="0">
            <x v="0"/>
          </reference>
          <reference field="8" count="1" selected="0">
            <x v="46"/>
          </reference>
          <reference field="9" count="1" selected="0">
            <x v="51"/>
          </reference>
          <reference field="15" count="1" selected="0">
            <x v="27"/>
          </reference>
          <reference field="16" count="1">
            <x v="11"/>
          </reference>
        </references>
      </pivotArea>
    </format>
    <format dxfId="1122">
      <pivotArea dataOnly="0" labelOnly="1" fieldPosition="0">
        <references count="5">
          <reference field="3" count="1" selected="0">
            <x v="0"/>
          </reference>
          <reference field="8" count="1" selected="0">
            <x v="54"/>
          </reference>
          <reference field="9" count="1" selected="0">
            <x v="52"/>
          </reference>
          <reference field="15" count="1" selected="0">
            <x v="39"/>
          </reference>
          <reference field="16" count="1">
            <x v="11"/>
          </reference>
        </references>
      </pivotArea>
    </format>
    <format dxfId="1123">
      <pivotArea dataOnly="0" labelOnly="1" fieldPosition="0">
        <references count="5">
          <reference field="3" count="1" selected="0">
            <x v="0"/>
          </reference>
          <reference field="8" count="1" selected="0">
            <x v="38"/>
          </reference>
          <reference field="9" count="1" selected="0">
            <x v="56"/>
          </reference>
          <reference field="15" count="1" selected="0">
            <x v="45"/>
          </reference>
          <reference field="16" count="1">
            <x v="10"/>
          </reference>
        </references>
      </pivotArea>
    </format>
    <format dxfId="1124">
      <pivotArea dataOnly="0" labelOnly="1" fieldPosition="0">
        <references count="5">
          <reference field="3" count="1" selected="0">
            <x v="0"/>
          </reference>
          <reference field="8" count="1" selected="0">
            <x v="27"/>
          </reference>
          <reference field="9" count="1" selected="0">
            <x v="60"/>
          </reference>
          <reference field="15" count="1" selected="0">
            <x v="48"/>
          </reference>
          <reference field="16" count="1">
            <x v="11"/>
          </reference>
        </references>
      </pivotArea>
    </format>
    <format dxfId="1125">
      <pivotArea dataOnly="0" labelOnly="1" fieldPosition="0">
        <references count="5">
          <reference field="3" count="1" selected="0">
            <x v="1"/>
          </reference>
          <reference field="8" count="1" selected="0">
            <x v="5"/>
          </reference>
          <reference field="9" count="1" selected="0">
            <x v="1"/>
          </reference>
          <reference field="15" count="1" selected="0">
            <x v="54"/>
          </reference>
          <reference field="16" count="1">
            <x v="3"/>
          </reference>
        </references>
      </pivotArea>
    </format>
    <format dxfId="1126">
      <pivotArea dataOnly="0" labelOnly="1" fieldPosition="0">
        <references count="5">
          <reference field="3" count="1" selected="0">
            <x v="1"/>
          </reference>
          <reference field="8" count="1" selected="0">
            <x v="32"/>
          </reference>
          <reference field="9" count="1" selected="0">
            <x v="4"/>
          </reference>
          <reference field="15" count="1" selected="0">
            <x v="58"/>
          </reference>
          <reference field="16" count="1">
            <x v="10"/>
          </reference>
        </references>
      </pivotArea>
    </format>
    <format dxfId="1127">
      <pivotArea dataOnly="0" labelOnly="1" fieldPosition="0">
        <references count="5">
          <reference field="3" count="1" selected="0">
            <x v="1"/>
          </reference>
          <reference field="8" count="1" selected="0">
            <x v="30"/>
          </reference>
          <reference field="9" count="1" selected="0">
            <x v="18"/>
          </reference>
          <reference field="15" count="1" selected="0">
            <x v="62"/>
          </reference>
          <reference field="16" count="1">
            <x v="11"/>
          </reference>
        </references>
      </pivotArea>
    </format>
    <format dxfId="1128">
      <pivotArea dataOnly="0" labelOnly="1" fieldPosition="0">
        <references count="5">
          <reference field="3" count="1" selected="0">
            <x v="1"/>
          </reference>
          <reference field="8" count="1" selected="0">
            <x v="69"/>
          </reference>
          <reference field="9" count="1" selected="0">
            <x v="18"/>
          </reference>
          <reference field="15" count="1" selected="0">
            <x v="62"/>
          </reference>
          <reference field="16" count="1">
            <x v="10"/>
          </reference>
        </references>
      </pivotArea>
    </format>
    <format dxfId="1129">
      <pivotArea dataOnly="0" labelOnly="1" fieldPosition="0">
        <references count="5">
          <reference field="3" count="1" selected="0">
            <x v="1"/>
          </reference>
          <reference field="8" count="1" selected="0">
            <x v="19"/>
          </reference>
          <reference field="9" count="1" selected="0">
            <x v="20"/>
          </reference>
          <reference field="15" count="1" selected="0">
            <x v="40"/>
          </reference>
          <reference field="16" count="1">
            <x v="11"/>
          </reference>
        </references>
      </pivotArea>
    </format>
    <format dxfId="1130">
      <pivotArea dataOnly="0" labelOnly="1" fieldPosition="0">
        <references count="5">
          <reference field="3" count="1" selected="0">
            <x v="1"/>
          </reference>
          <reference field="8" count="1" selected="0">
            <x v="26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11"/>
          </reference>
        </references>
      </pivotArea>
    </format>
    <format dxfId="1131">
      <pivotArea dataOnly="0" labelOnly="1" fieldPosition="0">
        <references count="5">
          <reference field="3" count="1" selected="0">
            <x v="1"/>
          </reference>
          <reference field="8" count="1" selected="0">
            <x v="32"/>
          </reference>
          <reference field="9" count="1" selected="0">
            <x v="28"/>
          </reference>
          <reference field="15" count="1" selected="0">
            <x v="59"/>
          </reference>
          <reference field="16" count="1">
            <x v="10"/>
          </reference>
        </references>
      </pivotArea>
    </format>
    <format dxfId="1132">
      <pivotArea dataOnly="0" labelOnly="1" fieldPosition="0">
        <references count="5">
          <reference field="3" count="1" selected="0">
            <x v="1"/>
          </reference>
          <reference field="8" count="1" selected="0">
            <x v="1"/>
          </reference>
          <reference field="9" count="1" selected="0">
            <x v="29"/>
          </reference>
          <reference field="15" count="1" selected="0">
            <x v="52"/>
          </reference>
          <reference field="16" count="1">
            <x v="10"/>
          </reference>
        </references>
      </pivotArea>
    </format>
    <format dxfId="1133">
      <pivotArea dataOnly="0" labelOnly="1" fieldPosition="0">
        <references count="5">
          <reference field="3" count="1" selected="0">
            <x v="1"/>
          </reference>
          <reference field="8" count="1" selected="0">
            <x v="1"/>
          </reference>
          <reference field="9" count="1" selected="0">
            <x v="30"/>
          </reference>
          <reference field="15" count="1" selected="0">
            <x v="53"/>
          </reference>
          <reference field="16" count="1">
            <x v="10"/>
          </reference>
        </references>
      </pivotArea>
    </format>
    <format dxfId="1134">
      <pivotArea dataOnly="0" labelOnly="1" fieldPosition="0">
        <references count="5">
          <reference field="3" count="1" selected="0">
            <x v="1"/>
          </reference>
          <reference field="8" count="1" selected="0">
            <x v="30"/>
          </reference>
          <reference field="9" count="1" selected="0">
            <x v="38"/>
          </reference>
          <reference field="15" count="1" selected="0">
            <x v="61"/>
          </reference>
          <reference field="16" count="1">
            <x v="11"/>
          </reference>
        </references>
      </pivotArea>
    </format>
    <format dxfId="1135">
      <pivotArea dataOnly="0" labelOnly="1" fieldPosition="0">
        <references count="5">
          <reference field="3" count="1" selected="0">
            <x v="1"/>
          </reference>
          <reference field="8" count="1" selected="0">
            <x v="69"/>
          </reference>
          <reference field="9" count="1" selected="0">
            <x v="38"/>
          </reference>
          <reference field="15" count="1" selected="0">
            <x v="61"/>
          </reference>
          <reference field="16" count="1">
            <x v="10"/>
          </reference>
        </references>
      </pivotArea>
    </format>
    <format dxfId="1136">
      <pivotArea dataOnly="0" labelOnly="1" fieldPosition="0">
        <references count="5">
          <reference field="3" count="1" selected="0">
            <x v="1"/>
          </reference>
          <reference field="8" count="1" selected="0">
            <x v="8"/>
          </reference>
          <reference field="9" count="1" selected="0">
            <x v="58"/>
          </reference>
          <reference field="15" count="1" selected="0">
            <x v="57"/>
          </reference>
          <reference field="16" count="1">
            <x v="3"/>
          </reference>
        </references>
      </pivotArea>
    </format>
    <format dxfId="1137">
      <pivotArea dataOnly="0" labelOnly="1" fieldPosition="0">
        <references count="5">
          <reference field="3" count="1" selected="0">
            <x v="1"/>
          </reference>
          <reference field="8" count="1" selected="0">
            <x v="67"/>
          </reference>
          <reference field="9" count="1" selected="0">
            <x v="66"/>
          </reference>
          <reference field="15" count="1" selected="0">
            <x v="68"/>
          </reference>
          <reference field="16" count="1">
            <x v="3"/>
          </reference>
        </references>
      </pivotArea>
    </format>
    <format dxfId="1138">
      <pivotArea dataOnly="0" labelOnly="1" fieldPosition="0">
        <references count="5">
          <reference field="3" count="1" selected="0">
            <x v="1"/>
          </reference>
          <reference field="8" count="1" selected="0">
            <x v="67"/>
          </reference>
          <reference field="9" count="1" selected="0">
            <x v="67"/>
          </reference>
          <reference field="15" count="1" selected="0">
            <x v="69"/>
          </reference>
          <reference field="16" count="1">
            <x v="3"/>
          </reference>
        </references>
      </pivotArea>
    </format>
    <format dxfId="1139">
      <pivotArea dataOnly="0" labelOnly="1" fieldPosition="0">
        <references count="5">
          <reference field="3" count="1" selected="0">
            <x v="2"/>
          </reference>
          <reference field="8" count="1" selected="0">
            <x v="19"/>
          </reference>
          <reference field="9" count="1" selected="0">
            <x v="20"/>
          </reference>
          <reference field="15" count="1" selected="0">
            <x v="40"/>
          </reference>
          <reference field="16" count="1">
            <x v="11"/>
          </reference>
        </references>
      </pivotArea>
    </format>
    <format dxfId="1140">
      <pivotArea dataOnly="0" labelOnly="1" fieldPosition="0">
        <references count="5">
          <reference field="3" count="1" selected="0">
            <x v="2"/>
          </reference>
          <reference field="8" count="1" selected="0">
            <x v="38"/>
          </reference>
          <reference field="9" count="1" selected="0">
            <x v="56"/>
          </reference>
          <reference field="15" count="1" selected="0">
            <x v="45"/>
          </reference>
          <reference field="16" count="1">
            <x v="10"/>
          </reference>
        </references>
      </pivotArea>
    </format>
    <format dxfId="1141">
      <pivotArea dataOnly="0" labelOnly="1" fieldPosition="0">
        <references count="5">
          <reference field="3" count="1" selected="0">
            <x v="3"/>
          </reference>
          <reference field="8" count="1" selected="0">
            <x v="39"/>
          </reference>
          <reference field="9" count="1" selected="0">
            <x v="5"/>
          </reference>
          <reference field="15" count="1" selected="0">
            <x v="22"/>
          </reference>
          <reference field="16" count="1">
            <x v="9"/>
          </reference>
        </references>
      </pivotArea>
    </format>
    <format dxfId="1142">
      <pivotArea dataOnly="0" labelOnly="1" fieldPosition="0">
        <references count="5">
          <reference field="3" count="1" selected="0">
            <x v="3"/>
          </reference>
          <reference field="8" count="1" selected="0">
            <x v="39"/>
          </reference>
          <reference field="9" count="1" selected="0">
            <x v="13"/>
          </reference>
          <reference field="15" count="1" selected="0">
            <x v="7"/>
          </reference>
          <reference field="16" count="1">
            <x v="9"/>
          </reference>
        </references>
      </pivotArea>
    </format>
    <format dxfId="1143">
      <pivotArea dataOnly="0" labelOnly="1" fieldPosition="0">
        <references count="5">
          <reference field="3" count="1" selected="0">
            <x v="3"/>
          </reference>
          <reference field="8" count="1" selected="0">
            <x v="19"/>
          </reference>
          <reference field="9" count="1" selected="0">
            <x v="16"/>
          </reference>
          <reference field="15" count="1" selected="0">
            <x v="18"/>
          </reference>
          <reference field="16" count="1">
            <x v="11"/>
          </reference>
        </references>
      </pivotArea>
    </format>
    <format dxfId="1144">
      <pivotArea dataOnly="0" labelOnly="1" fieldPosition="0">
        <references count="5">
          <reference field="3" count="1" selected="0">
            <x v="3"/>
          </reference>
          <reference field="8" count="1" selected="0">
            <x v="54"/>
          </reference>
          <reference field="9" count="1" selected="0">
            <x v="16"/>
          </reference>
          <reference field="15" count="1" selected="0">
            <x v="18"/>
          </reference>
          <reference field="16" count="1">
            <x v="11"/>
          </reference>
        </references>
      </pivotArea>
    </format>
    <format dxfId="1145">
      <pivotArea dataOnly="0" labelOnly="1" fieldPosition="0">
        <references count="5">
          <reference field="3" count="1" selected="0">
            <x v="3"/>
          </reference>
          <reference field="8" count="1" selected="0">
            <x v="19"/>
          </reference>
          <reference field="9" count="1" selected="0">
            <x v="20"/>
          </reference>
          <reference field="15" count="1" selected="0">
            <x v="40"/>
          </reference>
          <reference field="16" count="1">
            <x v="11"/>
          </reference>
        </references>
      </pivotArea>
    </format>
    <format dxfId="1146">
      <pivotArea dataOnly="0" labelOnly="1" fieldPosition="0">
        <references count="5">
          <reference field="3" count="1" selected="0">
            <x v="3"/>
          </reference>
          <reference field="8" count="1" selected="0">
            <x v="51"/>
          </reference>
          <reference field="9" count="1" selected="0">
            <x v="21"/>
          </reference>
          <reference field="15" count="1" selected="0">
            <x v="1"/>
          </reference>
          <reference field="16" count="1">
            <x v="11"/>
          </reference>
        </references>
      </pivotArea>
    </format>
    <format dxfId="1147">
      <pivotArea dataOnly="0" labelOnly="1" fieldPosition="0">
        <references count="5">
          <reference field="3" count="1" selected="0">
            <x v="3"/>
          </reference>
          <reference field="8" count="1" selected="0">
            <x v="29"/>
          </reference>
          <reference field="9" count="1" selected="0">
            <x v="26"/>
          </reference>
          <reference field="15" count="1" selected="0">
            <x v="29"/>
          </reference>
          <reference field="16" count="1">
            <x v="11"/>
          </reference>
        </references>
      </pivotArea>
    </format>
    <format dxfId="1148">
      <pivotArea dataOnly="0" labelOnly="1" fieldPosition="0">
        <references count="5">
          <reference field="3" count="1" selected="0">
            <x v="3"/>
          </reference>
          <reference field="8" count="1" selected="0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>
            <x v="11"/>
          </reference>
        </references>
      </pivotArea>
    </format>
    <format dxfId="1149">
      <pivotArea dataOnly="0" labelOnly="1" fieldPosition="0">
        <references count="5">
          <reference field="3" count="1" selected="0">
            <x v="3"/>
          </reference>
          <reference field="8" count="1" selected="0">
            <x v="6"/>
          </reference>
          <reference field="9" count="1" selected="0">
            <x v="46"/>
          </reference>
          <reference field="15" count="1" selected="0">
            <x v="55"/>
          </reference>
          <reference field="16" count="1">
            <x v="3"/>
          </reference>
        </references>
      </pivotArea>
    </format>
    <format dxfId="1150">
      <pivotArea dataOnly="0" labelOnly="1" fieldPosition="0">
        <references count="5">
          <reference field="3" count="1" selected="0">
            <x v="3"/>
          </reference>
          <reference field="8" count="1" selected="0">
            <x v="57"/>
          </reference>
          <reference field="9" count="1" selected="0">
            <x v="47"/>
          </reference>
          <reference field="15" count="1" selected="0">
            <x v="2"/>
          </reference>
          <reference field="16" count="1">
            <x v="11"/>
          </reference>
        </references>
      </pivotArea>
    </format>
    <format dxfId="1151">
      <pivotArea dataOnly="0" labelOnly="1" fieldPosition="0">
        <references count="5">
          <reference field="3" count="1" selected="0">
            <x v="3"/>
          </reference>
          <reference field="8" count="1" selected="0">
            <x v="3"/>
          </reference>
          <reference field="9" count="1" selected="0">
            <x v="50"/>
          </reference>
          <reference field="15" count="1" selected="0">
            <x v="41"/>
          </reference>
          <reference field="16" count="1">
            <x v="11"/>
          </reference>
        </references>
      </pivotArea>
    </format>
    <format dxfId="1152">
      <pivotArea dataOnly="0" labelOnly="1" fieldPosition="0">
        <references count="5">
          <reference field="3" count="1" selected="0">
            <x v="3"/>
          </reference>
          <reference field="8" count="1" selected="0">
            <x v="0"/>
          </reference>
          <reference field="9" count="1" selected="0">
            <x v="54"/>
          </reference>
          <reference field="15" count="1" selected="0">
            <x v="34"/>
          </reference>
          <reference field="16" count="1">
            <x v="9"/>
          </reference>
        </references>
      </pivotArea>
    </format>
    <format dxfId="1153">
      <pivotArea dataOnly="0" labelOnly="1" fieldPosition="0">
        <references count="5">
          <reference field="3" count="1" selected="0">
            <x v="3"/>
          </reference>
          <reference field="8" count="1" selected="0">
            <x v="38"/>
          </reference>
          <reference field="9" count="1" selected="0">
            <x v="56"/>
          </reference>
          <reference field="15" count="1" selected="0">
            <x v="45"/>
          </reference>
          <reference field="16" count="1">
            <x v="10"/>
          </reference>
        </references>
      </pivotArea>
    </format>
    <format dxfId="1154">
      <pivotArea dataOnly="0" labelOnly="1" fieldPosition="0">
        <references count="5">
          <reference field="3" count="1" selected="0">
            <x v="3"/>
          </reference>
          <reference field="8" count="1" selected="0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>
            <x v="11"/>
          </reference>
        </references>
      </pivotArea>
    </format>
    <format dxfId="1155">
      <pivotArea dataOnly="0" labelOnly="1" fieldPosition="0">
        <references count="5">
          <reference field="3" count="1" selected="0">
            <x v="4"/>
          </reference>
          <reference field="8" count="1" selected="0">
            <x v="5"/>
          </reference>
          <reference field="9" count="1" selected="0">
            <x v="1"/>
          </reference>
          <reference field="15" count="1" selected="0">
            <x v="54"/>
          </reference>
          <reference field="16" count="1">
            <x v="3"/>
          </reference>
        </references>
      </pivotArea>
    </format>
    <format dxfId="1156">
      <pivotArea dataOnly="0" labelOnly="1" fieldPosition="0">
        <references count="5">
          <reference field="3" count="1" selected="0">
            <x v="4"/>
          </reference>
          <reference field="8" count="1" selected="0">
            <x v="19"/>
          </reference>
          <reference field="9" count="1" selected="0">
            <x v="20"/>
          </reference>
          <reference field="15" count="1" selected="0">
            <x v="40"/>
          </reference>
          <reference field="16" count="1">
            <x v="11"/>
          </reference>
        </references>
      </pivotArea>
    </format>
    <format dxfId="1157">
      <pivotArea dataOnly="0" labelOnly="1" fieldPosition="0">
        <references count="5">
          <reference field="3" count="1" selected="0">
            <x v="4"/>
          </reference>
          <reference field="8" count="1" selected="0">
            <x v="1"/>
          </reference>
          <reference field="9" count="1" selected="0">
            <x v="29"/>
          </reference>
          <reference field="15" count="1" selected="0">
            <x v="52"/>
          </reference>
          <reference field="16" count="1">
            <x v="10"/>
          </reference>
        </references>
      </pivotArea>
    </format>
    <format dxfId="1158">
      <pivotArea dataOnly="0" labelOnly="1" fieldPosition="0">
        <references count="5">
          <reference field="3" count="1" selected="0">
            <x v="4"/>
          </reference>
          <reference field="8" count="1" selected="0">
            <x v="1"/>
          </reference>
          <reference field="9" count="1" selected="0">
            <x v="30"/>
          </reference>
          <reference field="15" count="1" selected="0">
            <x v="53"/>
          </reference>
          <reference field="16" count="1">
            <x v="10"/>
          </reference>
        </references>
      </pivotArea>
    </format>
    <format dxfId="1159">
      <pivotArea dataOnly="0" labelOnly="1" fieldPosition="0">
        <references count="5">
          <reference field="3" count="1" selected="0">
            <x v="4"/>
          </reference>
          <reference field="8" count="1" selected="0">
            <x v="45"/>
          </reference>
          <reference field="9" count="1" selected="0">
            <x v="33"/>
          </reference>
          <reference field="15" count="1" selected="0">
            <x v="51"/>
          </reference>
          <reference field="16" count="1">
            <x v="11"/>
          </reference>
        </references>
      </pivotArea>
    </format>
    <format dxfId="1160">
      <pivotArea dataOnly="0" labelOnly="1" fieldPosition="0">
        <references count="5">
          <reference field="3" count="1" selected="0">
            <x v="4"/>
          </reference>
          <reference field="8" count="1" selected="0">
            <x v="19"/>
          </reference>
          <reference field="9" count="1" selected="0">
            <x v="46"/>
          </reference>
          <reference field="15" count="1" selected="0">
            <x v="55"/>
          </reference>
          <reference field="16" count="1">
            <x v="11"/>
          </reference>
        </references>
      </pivotArea>
    </format>
    <format dxfId="1161">
      <pivotArea dataOnly="0" labelOnly="1" fieldPosition="0">
        <references count="5">
          <reference field="3" count="1" selected="0">
            <x v="4"/>
          </reference>
          <reference field="8" count="1" selected="0">
            <x v="8"/>
          </reference>
          <reference field="9" count="1" selected="0">
            <x v="58"/>
          </reference>
          <reference field="15" count="1" selected="0">
            <x v="57"/>
          </reference>
          <reference field="16" count="1">
            <x v="3"/>
          </reference>
        </references>
      </pivotArea>
    </format>
    <format dxfId="1162">
      <pivotArea dataOnly="0" labelOnly="1" fieldPosition="0">
        <references count="5">
          <reference field="3" count="1" selected="0">
            <x v="5"/>
          </reference>
          <reference field="8" count="1" selected="0">
            <x v="6"/>
          </reference>
          <reference field="9" count="1" selected="0">
            <x v="16"/>
          </reference>
          <reference field="15" count="1" selected="0">
            <x v="18"/>
          </reference>
          <reference field="16" count="1">
            <x v="3"/>
          </reference>
        </references>
      </pivotArea>
    </format>
    <format dxfId="1163">
      <pivotArea dataOnly="0" labelOnly="1" fieldPosition="0">
        <references count="5">
          <reference field="3" count="1" selected="0">
            <x v="5"/>
          </reference>
          <reference field="8" count="1" selected="0">
            <x v="6"/>
          </reference>
          <reference field="9" count="1" selected="0">
            <x v="20"/>
          </reference>
          <reference field="15" count="1" selected="0">
            <x v="40"/>
          </reference>
          <reference field="16" count="1">
            <x v="3"/>
          </reference>
        </references>
      </pivotArea>
    </format>
    <format dxfId="1164">
      <pivotArea dataOnly="0" labelOnly="1" fieldPosition="0">
        <references count="5">
          <reference field="3" count="1" selected="0">
            <x v="5"/>
          </reference>
          <reference field="8" count="1" selected="0">
            <x v="10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3"/>
          </reference>
        </references>
      </pivotArea>
    </format>
    <format dxfId="1165">
      <pivotArea dataOnly="0" labelOnly="1" fieldPosition="0">
        <references count="5">
          <reference field="3" count="1" selected="0">
            <x v="5"/>
          </reference>
          <reference field="8" count="1" selected="0">
            <x v="45"/>
          </reference>
          <reference field="9" count="1" selected="0">
            <x v="33"/>
          </reference>
          <reference field="15" count="1" selected="0">
            <x v="51"/>
          </reference>
          <reference field="16" count="1">
            <x v="11"/>
          </reference>
        </references>
      </pivotArea>
    </format>
    <format dxfId="1166">
      <pivotArea dataOnly="0" labelOnly="1" fieldPosition="0">
        <references count="5">
          <reference field="3" count="1" selected="0">
            <x v="5"/>
          </reference>
          <reference field="8" count="1" selected="0">
            <x v="6"/>
          </reference>
          <reference field="9" count="1" selected="0">
            <x v="46"/>
          </reference>
          <reference field="15" count="1" selected="0">
            <x v="55"/>
          </reference>
          <reference field="16" count="1">
            <x v="3"/>
          </reference>
        </references>
      </pivotArea>
    </format>
    <format dxfId="1167">
      <pivotArea dataOnly="0" labelOnly="1" fieldPosition="0">
        <references count="5">
          <reference field="3" count="1" selected="0">
            <x v="5"/>
          </reference>
          <reference field="8" count="1" selected="0">
            <x v="10"/>
          </reference>
          <reference field="9" count="1" selected="0">
            <x v="55"/>
          </reference>
          <reference field="15" count="1" selected="0">
            <x v="3"/>
          </reference>
          <reference field="16" count="1">
            <x v="3"/>
          </reference>
        </references>
      </pivotArea>
    </format>
    <format dxfId="1168">
      <pivotArea dataOnly="0" labelOnly="1" fieldPosition="0">
        <references count="5">
          <reference field="3" count="1" selected="0">
            <x v="5"/>
          </reference>
          <reference field="8" count="1" selected="0">
            <x v="67"/>
          </reference>
          <reference field="9" count="1" selected="0">
            <x v="66"/>
          </reference>
          <reference field="15" count="1" selected="0">
            <x v="68"/>
          </reference>
          <reference field="16" count="1">
            <x v="3"/>
          </reference>
        </references>
      </pivotArea>
    </format>
    <format dxfId="1169">
      <pivotArea dataOnly="0" labelOnly="1" fieldPosition="0">
        <references count="5">
          <reference field="3" count="1" selected="0">
            <x v="5"/>
          </reference>
          <reference field="8" count="1" selected="0">
            <x v="67"/>
          </reference>
          <reference field="9" count="1" selected="0">
            <x v="67"/>
          </reference>
          <reference field="15" count="1" selected="0">
            <x v="69"/>
          </reference>
          <reference field="16" count="1">
            <x v="3"/>
          </reference>
        </references>
      </pivotArea>
    </format>
    <format dxfId="1170">
      <pivotArea dataOnly="0" labelOnly="1" fieldPosition="0">
        <references count="5">
          <reference field="3" count="1" selected="0">
            <x v="6"/>
          </reference>
          <reference field="8" count="1" selected="0">
            <x v="70"/>
          </reference>
          <reference field="9" count="1" selected="0">
            <x v="68"/>
          </reference>
          <reference field="15" count="1" selected="0">
            <x v="70"/>
          </reference>
          <reference field="16" count="1">
            <x v="13"/>
          </reference>
        </references>
      </pivotArea>
    </format>
    <format dxfId="1171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F837" firstHeaderRow="1" firstDataRow="1" firstDataCol="5"/>
  <pivotFields count="17">
    <pivotField showAll="0">
      <items count="24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939"/>
        <item t="default"/>
      </items>
    </pivotField>
    <pivotField numFmtId="58" showAll="0"/>
    <pivotField showAll="0"/>
    <pivotField axis="axisRow" insertPageBreak="1" defaultSubtotal="0" outline="0" showAll="0" includeNewItemsInFilter="1">
      <items count="53">
        <item x="41"/>
        <item x="10"/>
        <item x="9"/>
        <item x="22"/>
        <item x="34"/>
        <item x="8"/>
        <item x="52"/>
        <item x="47"/>
        <item x="40"/>
        <item x="0"/>
        <item x="25"/>
        <item x="30"/>
        <item x="6"/>
        <item x="21"/>
        <item x="26"/>
        <item x="35"/>
        <item x="7"/>
        <item x="24"/>
        <item x="38"/>
        <item x="39"/>
        <item x="5"/>
        <item x="12"/>
        <item x="49"/>
        <item x="32"/>
        <item x="1"/>
        <item x="2"/>
        <item x="3"/>
        <item x="4"/>
        <item x="11"/>
        <item x="13"/>
        <item x="14"/>
        <item x="15"/>
        <item x="16"/>
        <item x="17"/>
        <item x="18"/>
        <item x="19"/>
        <item x="20"/>
        <item x="23"/>
        <item x="27"/>
        <item x="28"/>
        <item x="29"/>
        <item x="31"/>
        <item x="33"/>
        <item x="36"/>
        <item x="37"/>
        <item x="42"/>
        <item x="43"/>
        <item x="44"/>
        <item x="45"/>
        <item x="46"/>
        <item x="48"/>
        <item x="50"/>
        <item x="51"/>
      </items>
    </pivotField>
    <pivotField showAll="0"/>
    <pivotField showAll="0"/>
    <pivotField showAll="0"/>
    <pivotField showAll="0"/>
    <pivotField axis="axisRow" insertPageBreak="1" defaultSubtotal="0" outline="0" showAll="0" includeNewItemsInFilter="1">
      <items count="85">
        <item x="68"/>
        <item x="13"/>
        <item x="3"/>
        <item x="35"/>
        <item x="67"/>
        <item x="21"/>
        <item x="4"/>
        <item x="76"/>
        <item x="17"/>
        <item x="30"/>
        <item x="25"/>
        <item x="11"/>
        <item x="10"/>
        <item x="7"/>
        <item x="65"/>
        <item x="34"/>
        <item x="58"/>
        <item x="47"/>
        <item x="45"/>
        <item x="0"/>
        <item x="6"/>
        <item x="9"/>
        <item x="59"/>
        <item x="42"/>
        <item x="57"/>
        <item x="8"/>
        <item x="23"/>
        <item x="16"/>
        <item x="19"/>
        <item x="50"/>
        <item x="20"/>
        <item x="32"/>
        <item x="33"/>
        <item x="63"/>
        <item x="62"/>
        <item x="41"/>
        <item x="60"/>
        <item x="74"/>
        <item x="14"/>
        <item x="69"/>
        <item x="53"/>
        <item x="70"/>
        <item x="66"/>
        <item x="36"/>
        <item x="82"/>
        <item x="31"/>
        <item x="2"/>
        <item x="71"/>
        <item x="12"/>
        <item x="78"/>
        <item x="61"/>
        <item x="49"/>
        <item x="40"/>
        <item x="43"/>
        <item x="28"/>
        <item x="15"/>
        <item x="64"/>
        <item x="48"/>
        <item x="44"/>
        <item x="22"/>
        <item x="24"/>
        <item x="79"/>
        <item x="1"/>
        <item x="75"/>
        <item x="73"/>
        <item x="72"/>
        <item x="27"/>
        <item x="26"/>
        <item x="37"/>
        <item x="29"/>
        <item x="84"/>
        <item x="80"/>
        <item x="83"/>
        <item x="18"/>
        <item x="38"/>
        <item x="5"/>
        <item x="39"/>
        <item x="46"/>
        <item x="51"/>
        <item x="52"/>
        <item x="54"/>
        <item x="55"/>
        <item x="56"/>
        <item x="77"/>
        <item x="81"/>
      </items>
    </pivotField>
    <pivotField axis="axisRow" insertPageBreak="1" sumSubtotal="1" outline="0" showAll="0" includeNewItemsInFilter="1">
      <items count="136">
        <item x="76"/>
        <item x="40"/>
        <item x="93"/>
        <item x="21"/>
        <item x="63"/>
        <item x="108"/>
        <item x="122"/>
        <item x="11"/>
        <item x="95"/>
        <item x="18"/>
        <item x="86"/>
        <item x="120"/>
        <item x="121"/>
        <item x="114"/>
        <item x="109"/>
        <item x="46"/>
        <item x="59"/>
        <item x="101"/>
        <item x="56"/>
        <item x="20"/>
        <item x="42"/>
        <item x="88"/>
        <item x="99"/>
        <item x="43"/>
        <item x="98"/>
        <item x="87"/>
        <item x="111"/>
        <item x="89"/>
        <item x="79"/>
        <item x="25"/>
        <item x="24"/>
        <item x="53"/>
        <item x="117"/>
        <item x="68"/>
        <item x="51"/>
        <item x="90"/>
        <item x="85"/>
        <item x="28"/>
        <item x="55"/>
        <item x="77"/>
        <item x="13"/>
        <item x="65"/>
        <item x="19"/>
        <item x="94"/>
        <item x="97"/>
        <item x="118"/>
        <item x="0"/>
        <item x="116"/>
        <item x="83"/>
        <item x="12"/>
        <item x="29"/>
        <item x="49"/>
        <item x="34"/>
        <item x="78"/>
        <item x="112"/>
        <item x="48"/>
        <item x="26"/>
        <item x="52"/>
        <item x="32"/>
        <item x="15"/>
        <item x="54"/>
        <item x="84"/>
        <item x="14"/>
        <item x="80"/>
        <item x="81"/>
        <item m="1" x="128"/>
        <item x="7"/>
        <item x="50"/>
        <item x="127"/>
        <item x="123"/>
        <item x="124"/>
        <item x="70"/>
        <item x="57"/>
        <item x="58"/>
        <item x="38"/>
        <item x="69"/>
        <item x="105"/>
        <item x="5"/>
        <item x="3"/>
        <item x="44"/>
        <item x="106"/>
        <item x="62"/>
        <item x="61"/>
        <item x="27"/>
        <item x="36"/>
        <item x="37"/>
        <item x="39"/>
        <item x="47"/>
        <item x="22"/>
        <item x="23"/>
        <item x="30"/>
        <item x="31"/>
        <item x="35"/>
        <item x="104"/>
        <item x="2"/>
        <item x="113"/>
        <item x="96"/>
        <item x="45"/>
        <item x="64"/>
        <item x="4"/>
        <item x="66"/>
        <item x="67"/>
        <item x="41"/>
        <item x="9"/>
        <item x="115"/>
        <item x="60"/>
        <item x="102"/>
        <item x="1"/>
        <item x="82"/>
        <item x="107"/>
        <item x="110"/>
        <item x="6"/>
        <item x="8"/>
        <item x="10"/>
        <item x="16"/>
        <item x="17"/>
        <item x="33"/>
        <item x="72"/>
        <item x="73"/>
        <item x="74"/>
        <item x="75"/>
        <item m="1" x="129"/>
        <item m="1" x="130"/>
        <item x="92"/>
        <item m="1" x="131"/>
        <item m="1" x="132"/>
        <item m="1" x="133"/>
        <item m="1" x="134"/>
        <item x="125"/>
        <item x="126"/>
        <item x="100"/>
        <item x="103"/>
        <item x="91"/>
        <item x="71"/>
        <item x="119"/>
        <item t="sum"/>
      </items>
    </pivotField>
    <pivotField showAll="0"/>
    <pivotField showAll="0"/>
    <pivotField showAll="0"/>
    <pivotField showAll="0"/>
    <pivotField dataField="1" numFmtId="181" showAll="0">
      <items count="1112">
        <item x="40"/>
        <item x="502"/>
        <item x="536"/>
        <item x="489"/>
        <item x="377"/>
        <item x="405"/>
        <item x="378"/>
        <item x="458"/>
        <item x="371"/>
        <item x="456"/>
        <item x="459"/>
        <item x="434"/>
        <item x="477"/>
        <item x="1103"/>
        <item x="460"/>
        <item x="560"/>
        <item x="424"/>
        <item x="539"/>
        <item x="406"/>
        <item x="461"/>
        <item x="476"/>
        <item x="472"/>
        <item x="1098"/>
        <item x="1078"/>
        <item x="483"/>
        <item x="353"/>
        <item x="513"/>
        <item x="323"/>
        <item x="288"/>
        <item x="880"/>
        <item x="369"/>
        <item x="503"/>
        <item x="1089"/>
        <item x="379"/>
        <item x="548"/>
        <item x="435"/>
        <item x="831"/>
        <item x="478"/>
        <item x="298"/>
        <item x="376"/>
        <item x="508"/>
        <item x="526"/>
        <item x="480"/>
        <item x="407"/>
        <item x="843"/>
        <item x="467"/>
        <item x="744"/>
        <item x="527"/>
        <item x="368"/>
        <item x="436"/>
        <item x="500"/>
        <item x="429"/>
        <item x="569"/>
        <item x="750"/>
        <item x="563"/>
        <item x="366"/>
        <item x="899"/>
        <item x="540"/>
        <item x="632"/>
        <item x="1092"/>
        <item x="1071"/>
        <item x="1084"/>
        <item x="688"/>
        <item x="1101"/>
        <item x="352"/>
        <item x="660"/>
        <item x="109"/>
        <item x="301"/>
        <item x="1090"/>
        <item x="584"/>
        <item x="936"/>
        <item x="544"/>
        <item x="700"/>
        <item x="474"/>
        <item x="514"/>
        <item x="307"/>
        <item x="832"/>
        <item x="1068"/>
        <item x="826"/>
        <item x="713"/>
        <item x="551"/>
        <item x="1064"/>
        <item x="828"/>
        <item x="568"/>
        <item x="547"/>
        <item x="726"/>
        <item x="1079"/>
        <item x="715"/>
        <item x="92"/>
        <item x="506"/>
        <item x="1099"/>
        <item x="487"/>
        <item x="825"/>
        <item x="286"/>
        <item x="980"/>
        <item x="829"/>
        <item x="566"/>
        <item x="453"/>
        <item x="463"/>
        <item x="819"/>
        <item x="1085"/>
        <item x="745"/>
        <item x="921"/>
        <item x="1096"/>
        <item x="972"/>
        <item x="565"/>
        <item x="655"/>
        <item x="926"/>
        <item x="763"/>
        <item x="1081"/>
        <item x="830"/>
        <item x="861"/>
        <item x="965"/>
        <item x="833"/>
        <item x="658"/>
        <item x="1034"/>
        <item x="962"/>
        <item x="827"/>
        <item x="313"/>
        <item x="724"/>
        <item x="1072"/>
        <item x="721"/>
        <item x="1094"/>
        <item x="742"/>
        <item x="857"/>
        <item x="767"/>
        <item x="979"/>
        <item x="581"/>
        <item x="725"/>
        <item x="373"/>
        <item x="439"/>
        <item x="917"/>
        <item x="455"/>
        <item x="343"/>
        <item x="653"/>
        <item x="738"/>
        <item x="884"/>
        <item x="768"/>
        <item x="1033"/>
        <item x="509"/>
        <item x="807"/>
        <item x="931"/>
        <item x="1095"/>
        <item x="849"/>
        <item x="741"/>
        <item x="1075"/>
        <item x="678"/>
        <item x="928"/>
        <item x="815"/>
        <item x="994"/>
        <item x="543"/>
        <item x="493"/>
        <item x="654"/>
        <item x="870"/>
        <item x="292"/>
        <item x="645"/>
        <item x="898"/>
        <item x="973"/>
        <item x="718"/>
        <item x="874"/>
        <item x="818"/>
        <item x="638"/>
        <item x="1070"/>
        <item x="644"/>
        <item x="918"/>
        <item x="755"/>
        <item x="1027"/>
        <item x="656"/>
        <item x="934"/>
        <item x="816"/>
        <item x="1102"/>
        <item x="974"/>
        <item x="712"/>
        <item x="932"/>
        <item x="749"/>
        <item x="947"/>
        <item x="858"/>
        <item x="748"/>
        <item x="967"/>
        <item x="935"/>
        <item x="550"/>
        <item x="319"/>
        <item x="823"/>
        <item x="964"/>
        <item x="877"/>
        <item x="716"/>
        <item x="754"/>
        <item x="1030"/>
        <item x="990"/>
        <item x="388"/>
        <item x="762"/>
        <item x="1077"/>
        <item x="631"/>
        <item x="1058"/>
        <item x="978"/>
        <item x="312"/>
        <item x="683"/>
        <item x="419"/>
        <item x="966"/>
        <item x="853"/>
        <item x="704"/>
        <item x="736"/>
        <item x="1057"/>
        <item x="348"/>
        <item x="839"/>
        <item x="648"/>
        <item x="733"/>
        <item x="1069"/>
        <item x="879"/>
        <item x="702"/>
        <item x="751"/>
        <item x="963"/>
        <item x="848"/>
        <item x="705"/>
        <item x="814"/>
        <item x="958"/>
        <item x="919"/>
        <item x="647"/>
        <item x="579"/>
        <item x="940"/>
        <item x="847"/>
        <item x="657"/>
        <item x="91"/>
        <item x="316"/>
        <item x="989"/>
        <item x="485"/>
        <item x="758"/>
        <item x="1032"/>
        <item x="846"/>
        <item x="646"/>
        <item x="760"/>
        <item x="1048"/>
        <item x="842"/>
        <item x="714"/>
        <item x="730"/>
        <item x="723"/>
        <item x="735"/>
        <item x="953"/>
        <item x="924"/>
        <item x="673"/>
        <item x="770"/>
        <item x="957"/>
        <item x="852"/>
        <item x="997"/>
        <item x="882"/>
        <item x="676"/>
        <item x="743"/>
        <item x="1097"/>
        <item x="977"/>
        <item x="706"/>
        <item x="737"/>
        <item x="855"/>
        <item x="959"/>
        <item x="383"/>
        <item x="739"/>
        <item x="838"/>
        <item x="1044"/>
        <item x="995"/>
        <item x="731"/>
        <item x="923"/>
        <item x="948"/>
        <item x="633"/>
        <item x="868"/>
        <item x="949"/>
        <item x="710"/>
        <item x="795"/>
        <item x="845"/>
        <item x="981"/>
        <item x="679"/>
        <item x="766"/>
        <item x="872"/>
        <item x="1031"/>
        <item x="623"/>
        <item x="734"/>
        <item x="916"/>
        <item x="425"/>
        <item x="968"/>
        <item x="707"/>
        <item x="803"/>
        <item x="446"/>
        <item x="640"/>
        <item x="866"/>
        <item x="556"/>
        <item x="1028"/>
        <item x="975"/>
        <item x="511"/>
        <item x="773"/>
        <item x="869"/>
        <item x="465"/>
        <item x="987"/>
        <item x="804"/>
        <item x="630"/>
        <item x="946"/>
        <item x="820"/>
        <item x="659"/>
        <item x="883"/>
        <item x="993"/>
        <item x="765"/>
        <item x="703"/>
        <item x="95"/>
        <item x="844"/>
        <item x="1029"/>
        <item x="955"/>
        <item x="753"/>
        <item x="625"/>
        <item x="354"/>
        <item x="856"/>
        <item x="939"/>
        <item x="617"/>
        <item x="937"/>
        <item x="1065"/>
        <item x="960"/>
        <item x="696"/>
        <item x="915"/>
        <item x="284"/>
        <item x="998"/>
        <item x="752"/>
        <item x="693"/>
        <item x="876"/>
        <item x="1067"/>
        <item x="943"/>
        <item x="757"/>
        <item x="920"/>
        <item x="720"/>
        <item x="837"/>
        <item x="778"/>
        <item x="1083"/>
        <item x="971"/>
        <item x="933"/>
        <item x="813"/>
        <item x="1047"/>
        <item x="722"/>
        <item x="850"/>
        <item x="624"/>
        <item x="970"/>
        <item x="677"/>
        <item x="542"/>
        <item x="836"/>
        <item x="732"/>
        <item x="701"/>
        <item x="929"/>
        <item x="740"/>
        <item x="1063"/>
        <item x="537"/>
        <item x="711"/>
        <item x="529"/>
        <item x="824"/>
        <item x="1041"/>
        <item x="991"/>
        <item x="681"/>
        <item x="875"/>
        <item x="806"/>
        <item x="1042"/>
        <item x="695"/>
        <item x="927"/>
        <item x="788"/>
        <item x="1073"/>
        <item x="969"/>
        <item x="652"/>
        <item x="361"/>
        <item x="873"/>
        <item x="692"/>
        <item x="1088"/>
        <item x="865"/>
        <item x="662"/>
        <item x="834"/>
        <item x="672"/>
        <item x="988"/>
        <item x="871"/>
        <item x="759"/>
        <item x="717"/>
        <item x="152"/>
        <item x="854"/>
        <item x="475"/>
        <item x="583"/>
        <item x="772"/>
        <item x="885"/>
        <item x="687"/>
        <item x="1052"/>
        <item x="893"/>
        <item x="661"/>
        <item x="985"/>
        <item x="886"/>
        <item x="771"/>
        <item x="727"/>
        <item x="860"/>
        <item x="309"/>
        <item x="531"/>
        <item x="651"/>
        <item x="942"/>
        <item x="982"/>
        <item x="359"/>
        <item x="851"/>
        <item x="802"/>
        <item x="708"/>
        <item x="902"/>
        <item x="822"/>
        <item x="719"/>
        <item x="1066"/>
        <item x="1010"/>
        <item x="913"/>
        <item x="791"/>
        <item x="675"/>
        <item x="840"/>
        <item x="346"/>
        <item x="1049"/>
        <item x="1006"/>
        <item x="907"/>
        <item x="637"/>
        <item x="801"/>
        <item x="930"/>
        <item x="878"/>
        <item x="1074"/>
        <item x="800"/>
        <item x="956"/>
        <item x="444"/>
        <item x="746"/>
        <item x="282"/>
        <item x="945"/>
        <item x="761"/>
        <item x="616"/>
        <item x="881"/>
        <item x="777"/>
        <item x="728"/>
        <item x="1051"/>
        <item x="636"/>
        <item x="774"/>
        <item x="697"/>
        <item x="992"/>
        <item x="545"/>
        <item x="674"/>
        <item x="835"/>
        <item x="1082"/>
        <item x="951"/>
        <item x="325"/>
        <item x="922"/>
        <item x="665"/>
        <item x="986"/>
        <item x="106"/>
        <item x="792"/>
        <item x="698"/>
        <item x="570"/>
        <item x="793"/>
        <item x="629"/>
        <item x="944"/>
        <item x="1059"/>
        <item x="764"/>
        <item x="370"/>
        <item x="315"/>
        <item x="859"/>
        <item x="97"/>
        <item x="1054"/>
        <item x="892"/>
        <item x="691"/>
        <item x="1053"/>
        <item x="809"/>
        <item x="709"/>
        <item x="961"/>
        <item x="779"/>
        <item x="505"/>
        <item x="484"/>
        <item x="582"/>
        <item x="562"/>
        <item x="690"/>
        <item x="1087"/>
        <item x="817"/>
        <item x="686"/>
        <item x="1040"/>
        <item x="976"/>
        <item x="498"/>
        <item x="670"/>
        <item x="769"/>
        <item x="628"/>
        <item x="784"/>
        <item x="682"/>
        <item x="785"/>
        <item x="618"/>
        <item x="575"/>
        <item x="1036"/>
        <item x="863"/>
        <item x="619"/>
        <item x="290"/>
        <item x="925"/>
        <item x="669"/>
        <item x="1043"/>
        <item x="445"/>
        <item x="909"/>
        <item x="952"/>
        <item x="448"/>
        <item x="747"/>
        <item x="622"/>
        <item x="76"/>
        <item x="864"/>
        <item x="410"/>
        <item x="1017"/>
        <item x="386"/>
        <item x="306"/>
        <item x="781"/>
        <item x="667"/>
        <item x="808"/>
        <item x="1080"/>
        <item x="950"/>
        <item x="780"/>
        <item x="663"/>
        <item x="422"/>
        <item x="620"/>
        <item x="668"/>
        <item x="841"/>
        <item x="1004"/>
        <item x="903"/>
        <item x="380"/>
        <item x="126"/>
        <item x="390"/>
        <item x="782"/>
        <item x="1008"/>
        <item x="1009"/>
        <item x="908"/>
        <item x="1050"/>
        <item x="1018"/>
        <item x="786"/>
        <item x="1046"/>
        <item x="896"/>
        <item x="418"/>
        <item x="694"/>
        <item x="999"/>
        <item x="805"/>
        <item x="1045"/>
        <item x="684"/>
        <item x="680"/>
        <item x="518"/>
        <item x="1093"/>
        <item x="621"/>
        <item x="385"/>
        <item x="1055"/>
        <item x="954"/>
        <item x="911"/>
        <item x="1019"/>
        <item x="796"/>
        <item x="182"/>
        <item x="172"/>
        <item x="1015"/>
        <item x="897"/>
        <item x="588"/>
        <item x="364"/>
        <item x="402"/>
        <item x="1014"/>
        <item x="519"/>
        <item x="627"/>
        <item x="906"/>
        <item x="321"/>
        <item x="1086"/>
        <item x="887"/>
        <item x="1003"/>
        <item x="101"/>
        <item x="904"/>
        <item x="1038"/>
        <item x="437"/>
        <item x="626"/>
        <item x="1037"/>
        <item x="685"/>
        <item x="890"/>
        <item x="1100"/>
        <item x="664"/>
        <item x="905"/>
        <item x="811"/>
        <item x="1020"/>
        <item x="889"/>
        <item x="99"/>
        <item x="609"/>
        <item x="888"/>
        <item x="1011"/>
        <item x="1007"/>
        <item x="900"/>
        <item x="1021"/>
        <item x="635"/>
        <item x="1013"/>
        <item x="794"/>
        <item x="599"/>
        <item x="641"/>
        <item x="783"/>
        <item x="1002"/>
        <item x="787"/>
        <item x="1076"/>
        <item x="1026"/>
        <item x="1016"/>
        <item x="409"/>
        <item x="891"/>
        <item x="996"/>
        <item x="666"/>
        <item x="73"/>
        <item x="1001"/>
        <item x="524"/>
        <item x="650"/>
        <item x="188"/>
        <item x="867"/>
        <item x="634"/>
        <item x="559"/>
        <item x="297"/>
        <item x="776"/>
        <item x="1005"/>
        <item x="639"/>
        <item x="90"/>
        <item x="789"/>
        <item x="671"/>
        <item x="821"/>
        <item x="517"/>
        <item x="910"/>
        <item x="1000"/>
        <item x="1091"/>
        <item x="790"/>
        <item x="649"/>
        <item x="100"/>
        <item x="1056"/>
        <item x="350"/>
        <item x="553"/>
        <item x="567"/>
        <item x="941"/>
        <item x="901"/>
        <item x="699"/>
        <item x="365"/>
        <item x="160"/>
        <item x="515"/>
        <item x="124"/>
        <item x="357"/>
        <item x="530"/>
        <item x="615"/>
        <item x="1012"/>
        <item x="497"/>
        <item x="578"/>
        <item x="454"/>
        <item x="1039"/>
        <item x="137"/>
        <item x="984"/>
        <item x="642"/>
        <item x="912"/>
        <item x="178"/>
        <item x="311"/>
        <item x="797"/>
        <item x="279"/>
        <item x="469"/>
        <item x="432"/>
        <item x="294"/>
        <item x="96"/>
        <item x="400"/>
        <item x="812"/>
        <item x="499"/>
        <item x="397"/>
        <item x="600"/>
        <item x="894"/>
        <item x="62"/>
        <item x="756"/>
        <item x="296"/>
        <item x="26"/>
        <item x="412"/>
        <item x="242"/>
        <item x="1061"/>
        <item x="414"/>
        <item x="398"/>
        <item x="895"/>
        <item x="67"/>
        <item x="168"/>
        <item x="408"/>
        <item x="516"/>
        <item x="430"/>
        <item x="470"/>
        <item x="342"/>
        <item x="303"/>
        <item x="75"/>
        <item x="154"/>
        <item x="139"/>
        <item x="491"/>
        <item x="138"/>
        <item x="591"/>
        <item x="64"/>
        <item x="1060"/>
        <item x="571"/>
        <item x="574"/>
        <item x="355"/>
        <item x="125"/>
        <item x="554"/>
        <item x="192"/>
        <item x="520"/>
        <item x="643"/>
        <item x="413"/>
        <item x="1035"/>
        <item x="495"/>
        <item x="395"/>
        <item x="74"/>
        <item x="593"/>
        <item x="334"/>
        <item x="462"/>
        <item x="450"/>
        <item x="181"/>
        <item x="372"/>
        <item x="102"/>
        <item x="525"/>
        <item x="440"/>
        <item x="393"/>
        <item x="235"/>
        <item x="449"/>
        <item x="59"/>
        <item x="577"/>
        <item x="84"/>
        <item x="983"/>
        <item x="322"/>
        <item x="799"/>
        <item x="457"/>
        <item x="689"/>
        <item x="71"/>
        <item x="281"/>
        <item x="2"/>
        <item x="468"/>
        <item x="57"/>
        <item x="431"/>
        <item x="291"/>
        <item x="127"/>
        <item x="810"/>
        <item x="533"/>
        <item x="862"/>
        <item x="234"/>
        <item x="729"/>
        <item x="381"/>
        <item x="938"/>
        <item x="341"/>
        <item x="501"/>
        <item x="360"/>
        <item x="532"/>
        <item x="608"/>
        <item x="131"/>
        <item x="72"/>
        <item x="423"/>
        <item x="775"/>
        <item x="914"/>
        <item x="345"/>
        <item x="451"/>
        <item x="180"/>
        <item x="367"/>
        <item x="427"/>
        <item x="89"/>
        <item x="447"/>
        <item x="798"/>
        <item x="305"/>
        <item x="479"/>
        <item x="333"/>
        <item x="5"/>
        <item x="4"/>
        <item x="420"/>
        <item x="396"/>
        <item x="528"/>
        <item x="411"/>
        <item x="415"/>
        <item x="504"/>
        <item x="262"/>
        <item x="104"/>
        <item x="69"/>
        <item x="65"/>
        <item x="387"/>
        <item x="295"/>
        <item x="177"/>
        <item x="82"/>
        <item x="275"/>
        <item x="159"/>
        <item x="289"/>
        <item x="123"/>
        <item x="492"/>
        <item x="81"/>
        <item x="283"/>
        <item x="404"/>
        <item x="522"/>
        <item x="538"/>
        <item x="87"/>
        <item x="83"/>
        <item x="328"/>
        <item x="256"/>
        <item x="51"/>
        <item x="541"/>
        <item x="573"/>
        <item x="358"/>
        <item x="85"/>
        <item x="173"/>
        <item x="394"/>
        <item x="391"/>
        <item x="606"/>
        <item x="259"/>
        <item x="80"/>
        <item x="561"/>
        <item x="612"/>
        <item x="308"/>
        <item x="1062"/>
        <item x="61"/>
        <item x="327"/>
        <item x="255"/>
        <item x="228"/>
        <item x="88"/>
        <item x="336"/>
        <item x="356"/>
        <item x="507"/>
        <item x="442"/>
        <item x="108"/>
        <item x="66"/>
        <item x="549"/>
        <item x="141"/>
        <item x="196"/>
        <item x="441"/>
        <item x="121"/>
        <item x="320"/>
        <item x="332"/>
        <item x="276"/>
        <item x="206"/>
        <item x="466"/>
        <item x="597"/>
        <item x="589"/>
        <item x="1"/>
        <item x="17"/>
        <item x="349"/>
        <item x="300"/>
        <item x="258"/>
        <item x="122"/>
        <item x="293"/>
        <item x="3"/>
        <item x="605"/>
        <item x="557"/>
        <item x="601"/>
        <item x="60"/>
        <item x="481"/>
        <item x="490"/>
        <item x="318"/>
        <item x="175"/>
        <item x="267"/>
        <item x="382"/>
        <item x="211"/>
        <item x="602"/>
        <item x="169"/>
        <item x="523"/>
        <item x="50"/>
        <item x="317"/>
        <item x="79"/>
        <item x="257"/>
        <item x="337"/>
        <item x="374"/>
        <item x="70"/>
        <item x="254"/>
        <item x="161"/>
        <item x="299"/>
        <item x="52"/>
        <item x="274"/>
        <item x="426"/>
        <item x="261"/>
        <item x="98"/>
        <item x="56"/>
        <item x="344"/>
        <item x="268"/>
        <item x="179"/>
        <item x="217"/>
        <item x="552"/>
        <item x="331"/>
        <item x="266"/>
        <item x="595"/>
        <item x="464"/>
        <item x="174"/>
        <item x="473"/>
        <item x="416"/>
        <item x="253"/>
        <item x="222"/>
        <item x="229"/>
        <item x="314"/>
        <item x="310"/>
        <item x="120"/>
        <item x="534"/>
        <item x="564"/>
        <item x="103"/>
        <item x="265"/>
        <item x="134"/>
        <item x="389"/>
        <item x="592"/>
        <item x="132"/>
        <item x="194"/>
        <item x="421"/>
        <item x="285"/>
        <item x="263"/>
        <item x="220"/>
        <item x="162"/>
        <item x="287"/>
        <item x="133"/>
        <item x="221"/>
        <item x="610"/>
        <item x="107"/>
        <item x="230"/>
        <item x="585"/>
        <item x="403"/>
        <item x="183"/>
        <item x="572"/>
        <item x="278"/>
        <item x="198"/>
        <item x="214"/>
        <item x="598"/>
        <item x="252"/>
        <item x="49"/>
        <item x="53"/>
        <item x="68"/>
        <item x="452"/>
        <item x="324"/>
        <item x="351"/>
        <item x="362"/>
        <item x="207"/>
        <item x="384"/>
        <item x="94"/>
        <item x="184"/>
        <item x="199"/>
        <item x="347"/>
        <item x="604"/>
        <item x="488"/>
        <item x="213"/>
        <item x="46"/>
        <item x="78"/>
        <item x="270"/>
        <item x="580"/>
        <item x="251"/>
        <item x="156"/>
        <item x="63"/>
        <item x="329"/>
        <item x="219"/>
        <item x="417"/>
        <item x="153"/>
        <item x="136"/>
        <item x="486"/>
        <item x="246"/>
        <item x="140"/>
        <item x="1107"/>
        <item x="399"/>
        <item x="47"/>
        <item x="264"/>
        <item x="546"/>
        <item x="238"/>
        <item x="271"/>
        <item x="1106"/>
        <item x="521"/>
        <item x="236"/>
        <item x="166"/>
        <item x="392"/>
        <item x="471"/>
        <item x="594"/>
        <item x="223"/>
        <item x="205"/>
        <item x="215"/>
        <item x="158"/>
        <item x="245"/>
        <item x="55"/>
        <item x="280"/>
        <item x="165"/>
        <item x="210"/>
        <item x="185"/>
        <item x="607"/>
        <item x="596"/>
        <item x="0"/>
        <item x="201"/>
        <item x="164"/>
        <item x="260"/>
        <item x="208"/>
        <item x="237"/>
        <item x="218"/>
        <item x="200"/>
        <item x="244"/>
        <item x="129"/>
        <item x="269"/>
        <item x="216"/>
        <item x="58"/>
        <item x="202"/>
        <item x="375"/>
        <item x="204"/>
        <item x="401"/>
        <item x="510"/>
        <item x="1108"/>
        <item x="555"/>
        <item x="193"/>
        <item x="212"/>
        <item x="54"/>
        <item x="157"/>
        <item x="482"/>
        <item x="338"/>
        <item x="603"/>
        <item x="135"/>
        <item x="277"/>
        <item x="176"/>
        <item x="224"/>
        <item x="496"/>
        <item x="233"/>
        <item x="155"/>
        <item x="330"/>
        <item x="241"/>
        <item x="433"/>
        <item x="304"/>
        <item x="197"/>
        <item x="231"/>
        <item x="186"/>
        <item x="335"/>
        <item x="428"/>
        <item x="232"/>
        <item x="558"/>
        <item x="613"/>
        <item x="226"/>
        <item x="209"/>
        <item x="170"/>
        <item x="494"/>
        <item x="443"/>
        <item x="1023"/>
        <item x="302"/>
        <item x="576"/>
        <item x="250"/>
        <item x="614"/>
        <item x="590"/>
        <item x="363"/>
        <item x="512"/>
        <item x="203"/>
        <item x="128"/>
        <item x="12"/>
        <item x="118"/>
        <item x="195"/>
        <item x="247"/>
        <item x="22"/>
        <item x="587"/>
        <item x="326"/>
        <item x="112"/>
        <item x="171"/>
        <item x="225"/>
        <item x="77"/>
        <item x="240"/>
        <item x="117"/>
        <item x="130"/>
        <item x="13"/>
        <item x="273"/>
        <item x="611"/>
        <item x="86"/>
        <item x="16"/>
        <item x="227"/>
        <item x="14"/>
        <item x="93"/>
        <item x="116"/>
        <item x="249"/>
        <item x="1105"/>
        <item x="25"/>
        <item x="15"/>
        <item x="143"/>
        <item x="248"/>
        <item x="119"/>
        <item x="36"/>
        <item x="272"/>
        <item x="33"/>
        <item x="243"/>
        <item x="1104"/>
        <item x="110"/>
        <item x="20"/>
        <item x="187"/>
        <item x="24"/>
        <item x="239"/>
        <item x="19"/>
        <item x="23"/>
        <item x="30"/>
        <item x="21"/>
        <item x="34"/>
        <item x="167"/>
        <item x="535"/>
        <item x="8"/>
        <item x="29"/>
        <item x="28"/>
        <item x="115"/>
        <item x="11"/>
        <item x="10"/>
        <item x="41"/>
        <item x="105"/>
        <item x="38"/>
        <item x="45"/>
        <item x="31"/>
        <item x="18"/>
        <item x="48"/>
        <item x="43"/>
        <item x="39"/>
        <item x="9"/>
        <item x="37"/>
        <item x="32"/>
        <item x="35"/>
        <item x="44"/>
        <item x="27"/>
        <item x="1024"/>
        <item x="42"/>
        <item x="111"/>
        <item x="163"/>
        <item x="189"/>
        <item x="142"/>
        <item x="339"/>
        <item x="340"/>
        <item x="1109"/>
        <item x="586"/>
        <item x="438"/>
        <item x="114"/>
        <item x="190"/>
        <item x="191"/>
        <item x="113"/>
        <item x="7"/>
        <item x="6"/>
        <item x="151"/>
        <item x="147"/>
        <item x="148"/>
        <item x="150"/>
        <item x="149"/>
        <item x="146"/>
        <item x="145"/>
        <item x="144"/>
        <item x="1025"/>
        <item x="1022"/>
        <item x="1110"/>
        <item t="default"/>
      </items>
    </pivotField>
    <pivotField axis="axisRow" insertPageBreak="1" defaultSubtotal="0" outline="0" showAll="0" includeNewItemsInFilter="1">
      <items count="125">
        <item x="6"/>
        <item x="87"/>
        <item x="114"/>
        <item x="47"/>
        <item x="86"/>
        <item x="115"/>
        <item x="118"/>
        <item x="112"/>
        <item x="89"/>
        <item x="107"/>
        <item x="85"/>
        <item x="84"/>
        <item x="88"/>
        <item x="20"/>
        <item x="92"/>
        <item x="18"/>
        <item x="93"/>
        <item x="82"/>
        <item x="58"/>
        <item x="116"/>
        <item x="15"/>
        <item x="19"/>
        <item x="106"/>
        <item x="16"/>
        <item x="17"/>
        <item x="10"/>
        <item x="11"/>
        <item x="48"/>
        <item x="13"/>
        <item x="109"/>
        <item x="76"/>
        <item x="77"/>
        <item x="83"/>
        <item x="91"/>
        <item x="110"/>
        <item x="50"/>
        <item x="14"/>
        <item x="96"/>
        <item x="95"/>
        <item x="33"/>
        <item x="41"/>
        <item x="29"/>
        <item x="51"/>
        <item x="28"/>
        <item x="64"/>
        <item x="26"/>
        <item x="21"/>
        <item x="52"/>
        <item x="53"/>
        <item x="12"/>
        <item x="42"/>
        <item x="67"/>
        <item x="25"/>
        <item x="24"/>
        <item x="39"/>
        <item x="0"/>
        <item x="99"/>
        <item x="32"/>
        <item x="62"/>
        <item x="78"/>
        <item x="75"/>
        <item x="54"/>
        <item x="55"/>
        <item x="97"/>
        <item x="45"/>
        <item x="79"/>
        <item x="80"/>
        <item x="117"/>
        <item x="7"/>
        <item x="49"/>
        <item x="122"/>
        <item x="119"/>
        <item x="120"/>
        <item m="1" x="124"/>
        <item x="56"/>
        <item x="57"/>
        <item x="37"/>
        <item x="68"/>
        <item x="103"/>
        <item x="5"/>
        <item x="3"/>
        <item x="43"/>
        <item x="104"/>
        <item x="61"/>
        <item x="60"/>
        <item x="27"/>
        <item x="35"/>
        <item x="36"/>
        <item x="38"/>
        <item x="46"/>
        <item x="22"/>
        <item x="23"/>
        <item x="30"/>
        <item x="31"/>
        <item x="34"/>
        <item x="102"/>
        <item x="2"/>
        <item x="111"/>
        <item x="94"/>
        <item x="44"/>
        <item x="63"/>
        <item x="4"/>
        <item x="65"/>
        <item x="66"/>
        <item x="40"/>
        <item m="1" x="123"/>
        <item x="113"/>
        <item x="59"/>
        <item x="100"/>
        <item x="1"/>
        <item x="101"/>
        <item x="81"/>
        <item x="105"/>
        <item x="108"/>
        <item x="71"/>
        <item x="72"/>
        <item x="73"/>
        <item x="74"/>
        <item x="90"/>
        <item x="121"/>
        <item x="98"/>
        <item x="8"/>
        <item x="70"/>
        <item x="9"/>
        <item x="69"/>
      </items>
    </pivotField>
    <pivotField axis="axisRow" insertPageBreak="1" defaultSubtotal="0" outline="0" showAll="0" includeNewItemsInFilter="1">
      <items count="26">
        <item x="9"/>
        <item x="11"/>
        <item x="10"/>
        <item x="2"/>
        <item x="1"/>
        <item x="6"/>
        <item x="7"/>
        <item x="13"/>
        <item x="8"/>
        <item x="12"/>
        <item x="5"/>
        <item x="0"/>
        <item x="4"/>
        <item x="14"/>
        <item x="3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</items>
    </pivotField>
  </pivotFields>
  <rowFields count="5">
    <field x="9"/>
    <field x="15"/>
    <field x="8"/>
    <field x="16"/>
    <field x="3"/>
  </rowFields>
  <rowItems count="834">
    <i>
      <x/>
      <x v="60"/>
      <x v="53"/>
      <x v="8"/>
      <x/>
    </i>
    <i r="4">
      <x v="31"/>
    </i>
    <i r="2">
      <x v="76"/>
      <x v="14"/>
      <x v="2"/>
    </i>
    <i t="sum">
      <x/>
    </i>
    <i>
      <x v="1"/>
      <x v="54"/>
      <x v="5"/>
      <x v="3"/>
      <x v="1"/>
    </i>
    <i r="4">
      <x v="2"/>
    </i>
    <i r="4">
      <x v="4"/>
    </i>
    <i r="4">
      <x v="5"/>
    </i>
    <i r="4">
      <x v="13"/>
    </i>
    <i r="4">
      <x v="14"/>
    </i>
    <i r="4">
      <x v="15"/>
    </i>
    <i r="4">
      <x v="21"/>
    </i>
    <i r="4">
      <x v="23"/>
    </i>
    <i t="sum">
      <x v="1"/>
    </i>
    <i>
      <x v="2"/>
      <x v="33"/>
      <x v="24"/>
      <x v="12"/>
      <x v="18"/>
    </i>
    <i r="4">
      <x v="40"/>
    </i>
    <i r="4">
      <x v="48"/>
    </i>
    <i r="4">
      <x v="50"/>
    </i>
    <i t="sum">
      <x v="2"/>
    </i>
    <i>
      <x v="3"/>
      <x v="46"/>
      <x v="11"/>
      <x v="12"/>
      <x v="26"/>
    </i>
    <i r="4">
      <x v="40"/>
    </i>
    <i r="4">
      <x v="48"/>
    </i>
    <i r="2">
      <x v="23"/>
      <x v="12"/>
      <x v="18"/>
    </i>
    <i t="sum">
      <x v="3"/>
    </i>
    <i>
      <x v="4"/>
      <x v="58"/>
      <x v="32"/>
      <x v="10"/>
      <x v="1"/>
    </i>
    <i r="4">
      <x v="4"/>
    </i>
    <i r="4">
      <x v="5"/>
    </i>
    <i r="4">
      <x v="10"/>
    </i>
    <i r="4">
      <x v="13"/>
    </i>
    <i r="4">
      <x v="23"/>
    </i>
    <i r="4">
      <x v="38"/>
    </i>
    <i t="sum">
      <x v="4"/>
    </i>
    <i>
      <x v="5"/>
      <x v="22"/>
      <x v="14"/>
      <x v="9"/>
      <x v="8"/>
    </i>
    <i r="4">
      <x v="48"/>
    </i>
    <i r="2">
      <x v="29"/>
      <x v="11"/>
      <x v="8"/>
    </i>
    <i r="4">
      <x v="48"/>
    </i>
    <i r="4">
      <x v="51"/>
    </i>
    <i r="2">
      <x v="41"/>
      <x v="9"/>
      <x v="8"/>
    </i>
    <i t="sum">
      <x v="5"/>
    </i>
    <i>
      <x v="6"/>
      <x v="6"/>
      <x v="61"/>
      <x v="4"/>
      <x v="49"/>
    </i>
    <i t="sum">
      <x v="6"/>
    </i>
    <i>
      <x v="7"/>
      <x v="26"/>
      <x v="20"/>
      <x v="12"/>
      <x v="15"/>
    </i>
    <i r="4">
      <x v="18"/>
    </i>
    <i r="4">
      <x v="26"/>
    </i>
    <i r="4">
      <x v="27"/>
    </i>
    <i t="sum">
      <x v="7"/>
    </i>
    <i>
      <x v="8"/>
      <x v="16"/>
      <x v="16"/>
      <x v="12"/>
      <x v="18"/>
    </i>
    <i r="4">
      <x v="40"/>
    </i>
    <i t="sum">
      <x v="8"/>
    </i>
    <i>
      <x v="9"/>
      <x v="15"/>
      <x v="12"/>
      <x v="12"/>
      <x v="18"/>
    </i>
    <i r="4">
      <x v="26"/>
    </i>
    <i r="4">
      <x v="27"/>
    </i>
    <i t="sum">
      <x v="9"/>
    </i>
    <i>
      <x v="10"/>
      <x v="10"/>
      <x v="17"/>
      <x v="12"/>
      <x v="1"/>
    </i>
    <i r="4">
      <x v="18"/>
    </i>
    <i r="4">
      <x v="35"/>
    </i>
    <i r="4">
      <x v="40"/>
    </i>
    <i t="sum">
      <x v="10"/>
    </i>
    <i>
      <x v="11"/>
      <x v="23"/>
      <x v="21"/>
      <x v="12"/>
      <x v="48"/>
    </i>
    <i t="sum">
      <x v="11"/>
    </i>
    <i>
      <x v="12"/>
      <x v="24"/>
      <x v="21"/>
      <x v="12"/>
      <x v="48"/>
    </i>
    <i t="sum">
      <x v="12"/>
    </i>
    <i>
      <x v="13"/>
      <x v="7"/>
      <x v="39"/>
      <x v="9"/>
      <x v="8"/>
    </i>
    <i r="4">
      <x v="48"/>
    </i>
    <i t="sum">
      <x v="13"/>
    </i>
    <i>
      <x v="14"/>
      <x v="9"/>
      <x v="42"/>
      <x v="9"/>
      <x v="8"/>
    </i>
    <i r="4">
      <x v="48"/>
    </i>
    <i r="4">
      <x v="49"/>
    </i>
    <i t="sum">
      <x v="14"/>
    </i>
    <i>
      <x v="15"/>
      <x v="64"/>
      <x v="60"/>
      <x v="11"/>
      <x v="1"/>
    </i>
    <i r="4">
      <x v="5"/>
    </i>
    <i r="4">
      <x v="10"/>
    </i>
    <i r="4">
      <x v="15"/>
    </i>
    <i r="4">
      <x v="23"/>
    </i>
    <i r="4">
      <x v="38"/>
    </i>
    <i r="4">
      <x v="41"/>
    </i>
    <i t="sum">
      <x v="15"/>
    </i>
    <i>
      <x v="16"/>
      <x v="18"/>
      <x v="6"/>
      <x v="3"/>
      <x v="5"/>
    </i>
    <i r="4">
      <x v="23"/>
    </i>
    <i r="4">
      <x v="44"/>
    </i>
    <i r="2">
      <x v="48"/>
      <x v="10"/>
      <x v="2"/>
    </i>
    <i r="4">
      <x v="5"/>
    </i>
    <i r="4">
      <x v="11"/>
    </i>
    <i r="4">
      <x v="23"/>
    </i>
    <i t="sum">
      <x v="16"/>
    </i>
    <i>
      <x v="17"/>
      <x v="56"/>
      <x v="36"/>
      <x v="1"/>
      <x v="43"/>
    </i>
    <i r="4">
      <x v="46"/>
    </i>
    <i t="sum">
      <x v="17"/>
    </i>
    <i>
      <x v="18"/>
      <x v="62"/>
      <x v="69"/>
      <x v="10"/>
      <x v="1"/>
    </i>
    <i r="4">
      <x v="2"/>
    </i>
    <i r="4">
      <x v="5"/>
    </i>
    <i r="4">
      <x v="23"/>
    </i>
    <i r="4">
      <x v="43"/>
    </i>
    <i r="4">
      <x v="52"/>
    </i>
    <i t="sum">
      <x v="18"/>
    </i>
    <i>
      <x v="19"/>
      <x v="13"/>
      <x v="11"/>
      <x v="12"/>
      <x v="13"/>
    </i>
    <i r="4">
      <x v="26"/>
    </i>
    <i r="4">
      <x v="40"/>
    </i>
    <i r="4">
      <x v="48"/>
    </i>
    <i t="sum">
      <x v="19"/>
    </i>
    <i>
      <x v="20"/>
      <x v="40"/>
      <x v="59"/>
      <x v="3"/>
      <x v="5"/>
    </i>
    <i r="4">
      <x v="15"/>
    </i>
    <i r="4">
      <x v="17"/>
    </i>
    <i r="4">
      <x v="23"/>
    </i>
    <i r="4">
      <x v="30"/>
    </i>
    <i r="4">
      <x v="42"/>
    </i>
    <i r="4">
      <x v="44"/>
    </i>
    <i t="sum">
      <x v="20"/>
    </i>
    <i>
      <x v="21"/>
      <x v="1"/>
      <x v="51"/>
      <x v="11"/>
      <x v="3"/>
    </i>
    <i r="4">
      <x v="48"/>
    </i>
    <i r="4">
      <x v="51"/>
    </i>
    <i t="sum">
      <x v="21"/>
    </i>
    <i>
      <x v="22"/>
      <x v="63"/>
      <x v="2"/>
      <x v="11"/>
      <x v="23"/>
    </i>
    <i t="sum">
      <x v="22"/>
    </i>
    <i>
      <x v="23"/>
      <x v="50"/>
      <x v="59"/>
      <x v="3"/>
      <x v="5"/>
    </i>
    <i r="4">
      <x v="15"/>
    </i>
    <i r="4">
      <x v="17"/>
    </i>
    <i r="4">
      <x v="23"/>
    </i>
    <i r="4">
      <x v="30"/>
    </i>
    <i r="4">
      <x v="42"/>
    </i>
    <i r="4">
      <x v="44"/>
    </i>
    <i t="sum">
      <x v="23"/>
    </i>
    <i>
      <x v="24"/>
      <x v="37"/>
      <x v="22"/>
      <x v="12"/>
      <x v="18"/>
    </i>
    <i r="4">
      <x v="40"/>
    </i>
    <i t="sum">
      <x v="24"/>
    </i>
    <i>
      <x v="25"/>
      <x v="4"/>
      <x v="57"/>
      <x v="11"/>
      <x v="3"/>
    </i>
    <i r="4">
      <x v="8"/>
    </i>
    <i r="4">
      <x v="48"/>
    </i>
    <i r="4">
      <x v="51"/>
    </i>
    <i t="sum">
      <x v="25"/>
    </i>
    <i>
      <x v="26"/>
      <x v="29"/>
      <x v="14"/>
      <x v="9"/>
      <x v="8"/>
    </i>
    <i r="4">
      <x v="48"/>
    </i>
    <i r="2">
      <x v="29"/>
      <x v="11"/>
      <x v="48"/>
    </i>
    <i r="2">
      <x v="64"/>
      <x v="11"/>
      <x v="48"/>
    </i>
    <i t="sum">
      <x v="26"/>
    </i>
    <i>
      <x v="27"/>
      <x v="12"/>
      <x v="4"/>
      <x v="9"/>
      <x v="48"/>
    </i>
    <i r="2">
      <x v="29"/>
      <x v="11"/>
      <x v="3"/>
    </i>
    <i r="2">
      <x v="39"/>
      <x v="9"/>
      <x v="48"/>
    </i>
    <i r="2">
      <x v="42"/>
      <x v="9"/>
      <x v="48"/>
    </i>
    <i r="2">
      <x v="47"/>
      <x v="4"/>
      <x v="48"/>
    </i>
    <i r="2">
      <x v="56"/>
      <x v="5"/>
      <x v="48"/>
    </i>
    <i r="2">
      <x v="64"/>
      <x v="11"/>
      <x v="8"/>
    </i>
    <i r="4">
      <x v="48"/>
    </i>
    <i r="4">
      <x v="51"/>
    </i>
    <i t="sum">
      <x v="27"/>
    </i>
    <i>
      <x v="28"/>
      <x v="59"/>
      <x v="32"/>
      <x v="10"/>
      <x v="1"/>
    </i>
    <i t="sum">
      <x v="28"/>
    </i>
    <i>
      <x v="29"/>
      <x v="52"/>
      <x v="1"/>
      <x v="10"/>
      <x v="1"/>
    </i>
    <i r="4">
      <x v="2"/>
    </i>
    <i r="4">
      <x v="5"/>
    </i>
    <i r="4">
      <x v="13"/>
    </i>
    <i r="4">
      <x v="14"/>
    </i>
    <i r="4">
      <x v="16"/>
    </i>
    <i r="4">
      <x v="18"/>
    </i>
    <i r="4">
      <x v="19"/>
    </i>
    <i r="4">
      <x v="20"/>
    </i>
    <i r="4">
      <x v="23"/>
    </i>
    <i r="4">
      <x v="44"/>
    </i>
    <i t="sum">
      <x v="29"/>
    </i>
    <i>
      <x v="30"/>
      <x v="53"/>
      <x v="1"/>
      <x v="10"/>
      <x v="1"/>
    </i>
    <i r="4">
      <x v="2"/>
    </i>
    <i r="4">
      <x v="5"/>
    </i>
    <i r="4">
      <x v="13"/>
    </i>
    <i r="4">
      <x v="14"/>
    </i>
    <i r="4">
      <x v="16"/>
    </i>
    <i r="4">
      <x v="18"/>
    </i>
    <i r="4">
      <x v="19"/>
    </i>
    <i r="4">
      <x v="20"/>
    </i>
    <i r="4">
      <x v="23"/>
    </i>
    <i r="4">
      <x v="44"/>
    </i>
    <i t="sum">
      <x v="30"/>
    </i>
    <i>
      <x v="31"/>
      <x v="47"/>
      <x v="43"/>
      <x v="11"/>
      <x v="5"/>
    </i>
    <i r="4">
      <x v="39"/>
    </i>
    <i r="4">
      <x v="44"/>
    </i>
    <i r="2">
      <x v="54"/>
      <x v="11"/>
      <x v="1"/>
    </i>
    <i r="4">
      <x v="2"/>
    </i>
    <i r="4">
      <x v="5"/>
    </i>
    <i r="4">
      <x v="11"/>
    </i>
    <i r="4">
      <x v="14"/>
    </i>
    <i r="4">
      <x v="23"/>
    </i>
    <i t="sum">
      <x v="31"/>
    </i>
    <i>
      <x v="32"/>
      <x v="5"/>
      <x v="37"/>
      <x v="1"/>
      <x v="45"/>
    </i>
    <i r="4">
      <x v="49"/>
    </i>
    <i t="sum">
      <x v="32"/>
    </i>
    <i>
      <x v="33"/>
      <x v="51"/>
      <x v="3"/>
      <x v="11"/>
      <x v="1"/>
    </i>
    <i r="4">
      <x v="2"/>
    </i>
    <i r="4">
      <x v="5"/>
    </i>
    <i r="4">
      <x v="10"/>
    </i>
    <i r="4">
      <x v="11"/>
    </i>
    <i r="4">
      <x v="18"/>
    </i>
    <i r="4">
      <x v="23"/>
    </i>
    <i t="sum">
      <x v="33"/>
    </i>
    <i>
      <x v="34"/>
      <x v="35"/>
      <x v="66"/>
      <x v="11"/>
      <x/>
    </i>
    <i r="4">
      <x v="5"/>
    </i>
    <i r="4">
      <x v="10"/>
    </i>
    <i r="4">
      <x v="13"/>
    </i>
    <i r="4">
      <x v="38"/>
    </i>
    <i t="sum">
      <x v="34"/>
    </i>
    <i>
      <x v="35"/>
      <x v="8"/>
      <x/>
      <x v="9"/>
      <x v="48"/>
    </i>
    <i r="2">
      <x v="4"/>
      <x v="9"/>
      <x v="48"/>
    </i>
    <i r="2">
      <x v="7"/>
      <x v="3"/>
      <x v="48"/>
    </i>
    <i r="4">
      <x v="51"/>
    </i>
    <i r="2">
      <x v="14"/>
      <x v="9"/>
      <x v="8"/>
    </i>
    <i r="4">
      <x v="48"/>
    </i>
    <i r="2">
      <x v="29"/>
      <x v="11"/>
      <x v="3"/>
    </i>
    <i r="4">
      <x v="48"/>
    </i>
    <i r="2">
      <x v="39"/>
      <x v="9"/>
      <x v="48"/>
    </i>
    <i r="2">
      <x v="41"/>
      <x v="9"/>
      <x v="8"/>
    </i>
    <i r="4">
      <x v="48"/>
    </i>
    <i r="2">
      <x v="57"/>
      <x v="11"/>
      <x v="48"/>
    </i>
    <i t="sum">
      <x v="35"/>
    </i>
    <i>
      <x v="36"/>
      <x v="11"/>
      <x v="17"/>
      <x v="12"/>
      <x v="1"/>
    </i>
    <i r="4">
      <x v="18"/>
    </i>
    <i r="4">
      <x v="35"/>
    </i>
    <i r="4">
      <x v="40"/>
    </i>
    <i t="sum">
      <x v="36"/>
    </i>
    <i>
      <x v="37"/>
      <x v="43"/>
      <x v="55"/>
      <x v="11"/>
      <x v="2"/>
    </i>
    <i r="4">
      <x v="4"/>
    </i>
    <i r="4">
      <x v="5"/>
    </i>
    <i r="4">
      <x v="13"/>
    </i>
    <i r="4">
      <x v="14"/>
    </i>
    <i r="4">
      <x v="15"/>
    </i>
    <i r="4">
      <x v="16"/>
    </i>
    <i r="4">
      <x v="23"/>
    </i>
    <i r="4">
      <x v="29"/>
    </i>
    <i r="4">
      <x v="43"/>
    </i>
    <i r="4">
      <x v="44"/>
    </i>
    <i t="sum">
      <x v="37"/>
    </i>
    <i>
      <x v="38"/>
      <x v="61"/>
      <x v="69"/>
      <x v="10"/>
      <x v="1"/>
    </i>
    <i r="4">
      <x v="2"/>
    </i>
    <i r="4">
      <x v="4"/>
    </i>
    <i r="4">
      <x v="5"/>
    </i>
    <i r="4">
      <x v="11"/>
    </i>
    <i r="4">
      <x v="19"/>
    </i>
    <i r="4">
      <x v="23"/>
    </i>
    <i r="4">
      <x v="43"/>
    </i>
    <i r="4">
      <x v="52"/>
    </i>
    <i t="sum">
      <x v="38"/>
    </i>
    <i>
      <x v="39"/>
      <x v="30"/>
      <x v="19"/>
      <x v="11"/>
      <x v="23"/>
    </i>
    <i r="2">
      <x v="52"/>
      <x v="5"/>
      <x v="2"/>
    </i>
    <i r="4">
      <x v="29"/>
    </i>
    <i r="4">
      <x v="45"/>
    </i>
    <i r="4">
      <x v="49"/>
    </i>
    <i t="sum">
      <x v="39"/>
    </i>
    <i>
      <x v="40"/>
      <x v="28"/>
      <x v="13"/>
      <x v="12"/>
      <x v="26"/>
    </i>
    <i r="4">
      <x v="35"/>
    </i>
    <i r="4">
      <x v="40"/>
    </i>
    <i r="4">
      <x v="48"/>
    </i>
    <i t="sum">
      <x v="40"/>
    </i>
    <i>
      <x v="41"/>
      <x v="44"/>
      <x v="69"/>
      <x v="10"/>
      <x v="2"/>
    </i>
    <i r="4">
      <x v="4"/>
    </i>
    <i r="4">
      <x v="5"/>
    </i>
    <i r="4">
      <x v="11"/>
    </i>
    <i r="4">
      <x v="19"/>
    </i>
    <i r="4">
      <x v="23"/>
    </i>
    <i t="sum">
      <x v="41"/>
    </i>
    <i>
      <x v="42"/>
      <x v="21"/>
      <x v="12"/>
      <x v="12"/>
      <x v="18"/>
    </i>
    <i r="4">
      <x v="26"/>
    </i>
    <i r="4">
      <x v="27"/>
    </i>
    <i t="sum">
      <x v="42"/>
    </i>
    <i>
      <x v="43"/>
      <x v="14"/>
      <x v="24"/>
      <x v="12"/>
      <x v="18"/>
    </i>
    <i r="4">
      <x v="40"/>
    </i>
    <i r="4">
      <x v="48"/>
    </i>
    <i r="4">
      <x v="50"/>
    </i>
    <i t="sum">
      <x v="43"/>
    </i>
    <i>
      <x v="44"/>
      <x v="38"/>
      <x v="22"/>
      <x v="12"/>
      <x v="18"/>
    </i>
    <i r="4">
      <x v="40"/>
    </i>
    <i t="sum">
      <x v="44"/>
    </i>
    <i>
      <x v="45"/>
      <x v="19"/>
      <x v="63"/>
      <x v="11"/>
      <x v="48"/>
    </i>
    <i t="sum">
      <x v="45"/>
    </i>
    <i>
      <x v="46"/>
      <x v="55"/>
      <x v="19"/>
      <x v="11"/>
      <x v="1"/>
    </i>
    <i r="4">
      <x v="2"/>
    </i>
    <i r="4">
      <x v="5"/>
    </i>
    <i r="4">
      <x v="9"/>
    </i>
    <i r="4">
      <x v="11"/>
    </i>
    <i r="4">
      <x v="14"/>
    </i>
    <i r="4">
      <x v="15"/>
    </i>
    <i r="4">
      <x v="19"/>
    </i>
    <i r="4">
      <x v="23"/>
    </i>
    <i r="4">
      <x v="43"/>
    </i>
    <i t="sum">
      <x v="46"/>
    </i>
    <i>
      <x v="47"/>
      <x v="2"/>
      <x v="65"/>
      <x v="11"/>
      <x v="8"/>
    </i>
    <i r="4">
      <x v="48"/>
    </i>
    <i t="sum">
      <x v="47"/>
    </i>
    <i>
      <x v="48"/>
      <x v="17"/>
      <x v="18"/>
      <x v="12"/>
      <x v="1"/>
    </i>
    <i r="4">
      <x v="15"/>
    </i>
    <i r="4">
      <x v="40"/>
    </i>
    <i r="4">
      <x v="50"/>
    </i>
    <i t="sum">
      <x v="48"/>
    </i>
    <i>
      <x v="49"/>
      <x v="49"/>
      <x v="13"/>
      <x v="12"/>
      <x v="26"/>
    </i>
    <i r="4">
      <x v="35"/>
    </i>
    <i r="4">
      <x v="40"/>
    </i>
    <i r="4">
      <x v="48"/>
    </i>
    <i t="sum">
      <x v="49"/>
    </i>
    <i>
      <x v="50"/>
      <x v="41"/>
      <x v="27"/>
      <x v="11"/>
      <x v="5"/>
    </i>
    <i r="2">
      <x v="55"/>
      <x v="11"/>
      <x v="2"/>
    </i>
    <i r="4">
      <x v="4"/>
    </i>
    <i r="4">
      <x v="5"/>
    </i>
    <i r="4">
      <x v="13"/>
    </i>
    <i r="4">
      <x v="14"/>
    </i>
    <i r="4">
      <x v="15"/>
    </i>
    <i r="4">
      <x v="16"/>
    </i>
    <i r="4">
      <x v="29"/>
    </i>
    <i r="4">
      <x v="44"/>
    </i>
    <i t="sum">
      <x v="50"/>
    </i>
    <i>
      <x v="51"/>
      <x v="27"/>
      <x v="10"/>
      <x v="3"/>
      <x v="1"/>
    </i>
    <i r="4">
      <x v="5"/>
    </i>
    <i r="4">
      <x v="43"/>
    </i>
    <i t="sum">
      <x v="51"/>
    </i>
    <i>
      <x v="52"/>
      <x v="39"/>
      <x v="73"/>
      <x v="10"/>
      <x v="1"/>
    </i>
    <i r="4">
      <x v="5"/>
    </i>
    <i r="4">
      <x v="10"/>
    </i>
    <i r="4">
      <x v="15"/>
    </i>
    <i r="4">
      <x v="16"/>
    </i>
    <i r="4">
      <x v="18"/>
    </i>
    <i r="4">
      <x v="23"/>
    </i>
    <i t="sum">
      <x v="52"/>
    </i>
    <i>
      <x v="53"/>
      <x v="31"/>
      <x v="35"/>
      <x v="6"/>
      <x v="1"/>
    </i>
    <i r="4">
      <x v="2"/>
    </i>
    <i r="4">
      <x v="21"/>
    </i>
    <i r="4">
      <x v="45"/>
    </i>
    <i r="4">
      <x v="47"/>
    </i>
    <i r="4">
      <x v="49"/>
    </i>
    <i t="sum">
      <x v="53"/>
    </i>
    <i>
      <x v="54"/>
      <x v="34"/>
      <x/>
      <x v="9"/>
      <x v="8"/>
    </i>
    <i r="4">
      <x v="48"/>
    </i>
    <i t="sum">
      <x v="54"/>
    </i>
    <i>
      <x v="55"/>
      <x v="3"/>
      <x v="10"/>
      <x v="3"/>
      <x v="1"/>
    </i>
    <i r="4">
      <x v="2"/>
    </i>
    <i r="4">
      <x v="5"/>
    </i>
    <i r="4">
      <x v="43"/>
    </i>
    <i t="sum">
      <x v="55"/>
    </i>
    <i>
      <x v="56"/>
      <x v="45"/>
      <x v="38"/>
      <x v="10"/>
      <x v="1"/>
    </i>
    <i r="4">
      <x v="5"/>
    </i>
    <i r="4">
      <x v="12"/>
    </i>
    <i r="4">
      <x v="16"/>
    </i>
    <i r="4">
      <x v="17"/>
    </i>
    <i r="4">
      <x v="18"/>
    </i>
    <i r="4">
      <x v="23"/>
    </i>
    <i t="sum">
      <x v="56"/>
    </i>
    <i>
      <x v="57"/>
      <x v="42"/>
      <x v="66"/>
      <x v="11"/>
      <x/>
    </i>
    <i r="4">
      <x v="1"/>
    </i>
    <i r="4">
      <x v="2"/>
    </i>
    <i r="4">
      <x v="5"/>
    </i>
    <i r="4">
      <x v="10"/>
    </i>
    <i r="4">
      <x v="13"/>
    </i>
    <i r="4">
      <x v="15"/>
    </i>
    <i r="4">
      <x v="23"/>
    </i>
    <i r="4">
      <x v="34"/>
    </i>
    <i r="4">
      <x v="38"/>
    </i>
    <i t="sum">
      <x v="57"/>
    </i>
    <i>
      <x v="58"/>
      <x v="57"/>
      <x v="8"/>
      <x v="3"/>
      <x v="1"/>
    </i>
    <i r="4">
      <x v="2"/>
    </i>
    <i r="4">
      <x v="5"/>
    </i>
    <i r="4">
      <x v="16"/>
    </i>
    <i r="4">
      <x v="18"/>
    </i>
    <i r="4">
      <x v="19"/>
    </i>
    <i r="4">
      <x v="23"/>
    </i>
    <i r="4">
      <x v="32"/>
    </i>
    <i r="4">
      <x v="44"/>
    </i>
    <i t="sum">
      <x v="58"/>
    </i>
    <i>
      <x v="59"/>
      <x v="20"/>
      <x v="25"/>
      <x v="12"/>
      <x v="1"/>
    </i>
    <i r="4">
      <x v="26"/>
    </i>
    <i r="4">
      <x v="27"/>
    </i>
    <i t="sum">
      <x v="59"/>
    </i>
    <i>
      <x v="60"/>
      <x v="48"/>
      <x v="43"/>
      <x v="11"/>
      <x v="5"/>
    </i>
    <i r="4">
      <x v="39"/>
    </i>
    <i r="4">
      <x v="44"/>
    </i>
    <i r="2">
      <x v="54"/>
      <x v="11"/>
      <x v="1"/>
    </i>
    <i r="4">
      <x v="2"/>
    </i>
    <i r="4">
      <x v="5"/>
    </i>
    <i r="4">
      <x v="11"/>
    </i>
    <i r="4">
      <x v="14"/>
    </i>
    <i r="4">
      <x v="23"/>
    </i>
    <i t="sum">
      <x v="60"/>
    </i>
    <i>
      <x v="61"/>
      <x v="32"/>
      <x v="18"/>
      <x v="12"/>
      <x v="1"/>
    </i>
    <i r="4">
      <x v="15"/>
    </i>
    <i r="4">
      <x v="40"/>
    </i>
    <i r="4">
      <x v="50"/>
    </i>
    <i t="sum">
      <x v="61"/>
    </i>
    <i>
      <x v="62"/>
      <x v="36"/>
      <x v="25"/>
      <x v="12"/>
      <x v="1"/>
    </i>
    <i r="4">
      <x v="26"/>
    </i>
    <i r="4">
      <x v="27"/>
    </i>
    <i t="sum">
      <x v="62"/>
    </i>
    <i>
      <x v="63"/>
      <x v="65"/>
      <x v="23"/>
      <x v="12"/>
      <x v="1"/>
    </i>
    <i r="4">
      <x v="39"/>
    </i>
    <i r="4">
      <x v="40"/>
    </i>
    <i t="sum">
      <x v="63"/>
    </i>
    <i>
      <x v="64"/>
      <x v="66"/>
      <x v="23"/>
      <x v="12"/>
      <x v="1"/>
    </i>
    <i r="4">
      <x v="39"/>
    </i>
    <i r="4">
      <x v="40"/>
    </i>
    <i t="sum">
      <x v="64"/>
    </i>
    <i>
      <x v="66"/>
      <x v="68"/>
      <x v="6"/>
      <x v="3"/>
      <x v="1"/>
    </i>
    <i r="4">
      <x v="24"/>
    </i>
    <i r="4">
      <x v="36"/>
    </i>
    <i r="2">
      <x v="67"/>
      <x v="3"/>
      <x v="5"/>
    </i>
    <i r="4">
      <x v="13"/>
    </i>
    <i t="sum">
      <x v="66"/>
    </i>
    <i>
      <x v="67"/>
      <x v="69"/>
      <x v="67"/>
      <x v="3"/>
      <x v="5"/>
    </i>
    <i r="4">
      <x v="13"/>
    </i>
    <i t="sum">
      <x v="67"/>
    </i>
    <i>
      <x v="68"/>
      <x v="70"/>
      <x v="70"/>
      <x v="13"/>
      <x v="6"/>
    </i>
    <i t="sum">
      <x v="68"/>
    </i>
    <i>
      <x v="69"/>
      <x v="71"/>
      <x v="71"/>
      <x v="7"/>
      <x v="7"/>
    </i>
    <i t="sum">
      <x v="69"/>
    </i>
    <i>
      <x v="70"/>
      <x v="72"/>
      <x v="44"/>
      <x v="2"/>
      <x v="7"/>
    </i>
    <i r="2">
      <x v="72"/>
      <x v="2"/>
      <x v="7"/>
    </i>
    <i r="2">
      <x v="84"/>
      <x v="2"/>
      <x v="7"/>
    </i>
    <i t="sum">
      <x v="70"/>
    </i>
    <i>
      <x v="71"/>
      <x v="124"/>
      <x v="68"/>
      <x v="10"/>
      <x v="1"/>
    </i>
    <i r="4">
      <x v="2"/>
    </i>
    <i r="4">
      <x v="5"/>
    </i>
    <i r="4">
      <x v="10"/>
    </i>
    <i r="4">
      <x v="11"/>
    </i>
    <i r="4">
      <x v="13"/>
    </i>
    <i r="4">
      <x v="15"/>
    </i>
    <i r="4">
      <x v="23"/>
    </i>
    <i r="4">
      <x v="33"/>
    </i>
    <i r="4">
      <x v="39"/>
    </i>
    <i t="sum">
      <x v="71"/>
    </i>
    <i>
      <x v="72"/>
      <x v="74"/>
      <x v="9"/>
      <x v="3"/>
      <x v="1"/>
    </i>
    <i r="4">
      <x v="5"/>
    </i>
    <i r="4">
      <x v="13"/>
    </i>
    <i r="4">
      <x v="14"/>
    </i>
    <i r="4">
      <x v="15"/>
    </i>
    <i r="4">
      <x v="23"/>
    </i>
    <i r="4">
      <x v="44"/>
    </i>
    <i t="sum">
      <x v="72"/>
    </i>
    <i>
      <x v="73"/>
      <x v="75"/>
      <x v="9"/>
      <x v="3"/>
      <x v="1"/>
    </i>
    <i r="4">
      <x v="5"/>
    </i>
    <i r="4">
      <x v="13"/>
    </i>
    <i r="4">
      <x v="14"/>
    </i>
    <i r="4">
      <x v="15"/>
    </i>
    <i r="4">
      <x v="23"/>
    </i>
    <i r="4">
      <x v="44"/>
    </i>
    <i t="sum">
      <x v="73"/>
    </i>
    <i>
      <x v="74"/>
      <x v="76"/>
      <x v="30"/>
      <x v="11"/>
      <x v="1"/>
    </i>
    <i r="4">
      <x v="5"/>
    </i>
    <i r="4">
      <x v="16"/>
    </i>
    <i r="4">
      <x v="23"/>
    </i>
    <i r="4">
      <x v="41"/>
    </i>
    <i r="4">
      <x v="44"/>
    </i>
    <i r="2">
      <x v="45"/>
      <x v="11"/>
      <x v="1"/>
    </i>
    <i r="4">
      <x v="5"/>
    </i>
    <i r="4">
      <x v="15"/>
    </i>
    <i t="sum">
      <x v="74"/>
    </i>
    <i>
      <x v="75"/>
      <x v="77"/>
      <x v="3"/>
      <x v="11"/>
      <x v="1"/>
    </i>
    <i r="4">
      <x v="2"/>
    </i>
    <i r="4">
      <x v="5"/>
    </i>
    <i r="4">
      <x v="10"/>
    </i>
    <i r="4">
      <x v="11"/>
    </i>
    <i r="4">
      <x v="18"/>
    </i>
    <i r="4">
      <x v="23"/>
    </i>
    <i t="sum">
      <x v="75"/>
    </i>
    <i>
      <x v="76"/>
      <x v="78"/>
      <x v="30"/>
      <x v="11"/>
      <x v="18"/>
    </i>
    <i t="sum">
      <x v="76"/>
    </i>
    <i>
      <x v="77"/>
      <x v="79"/>
      <x v="2"/>
      <x v="11"/>
      <x v="1"/>
    </i>
    <i r="4">
      <x v="5"/>
    </i>
    <i r="4">
      <x v="24"/>
    </i>
    <i r="4">
      <x v="44"/>
    </i>
    <i r="2">
      <x v="8"/>
      <x v="3"/>
      <x v="5"/>
    </i>
    <i r="2">
      <x v="15"/>
      <x v="3"/>
      <x v="4"/>
    </i>
    <i r="4">
      <x v="19"/>
    </i>
    <i r="4">
      <x v="44"/>
    </i>
    <i r="2">
      <x v="45"/>
      <x v="11"/>
      <x v="15"/>
    </i>
    <i t="sum">
      <x v="77"/>
    </i>
    <i>
      <x v="78"/>
      <x v="80"/>
      <x v="46"/>
      <x v="11"/>
      <x v="1"/>
    </i>
    <i r="4">
      <x v="4"/>
    </i>
    <i r="4">
      <x v="5"/>
    </i>
    <i r="4">
      <x v="14"/>
    </i>
    <i r="4">
      <x v="15"/>
    </i>
    <i r="4">
      <x v="16"/>
    </i>
    <i r="4">
      <x v="22"/>
    </i>
    <i r="4">
      <x v="23"/>
    </i>
    <i r="4">
      <x v="24"/>
    </i>
    <i r="4">
      <x v="44"/>
    </i>
    <i t="sum">
      <x v="78"/>
    </i>
    <i>
      <x v="79"/>
      <x v="81"/>
      <x v="26"/>
      <x v="11"/>
      <x v="2"/>
    </i>
    <i r="4">
      <x v="5"/>
    </i>
    <i r="4">
      <x v="10"/>
    </i>
    <i r="4">
      <x v="11"/>
    </i>
    <i r="4">
      <x v="13"/>
    </i>
    <i r="4">
      <x v="15"/>
    </i>
    <i r="4">
      <x v="23"/>
    </i>
    <i r="4">
      <x v="38"/>
    </i>
    <i t="sum">
      <x v="79"/>
    </i>
    <i>
      <x v="80"/>
      <x v="82"/>
      <x v="30"/>
      <x v="11"/>
      <x v="18"/>
    </i>
    <i t="sum">
      <x v="80"/>
    </i>
    <i>
      <x v="81"/>
      <x v="83"/>
      <x v="31"/>
      <x v="11"/>
      <x v="1"/>
    </i>
    <i r="4">
      <x v="2"/>
    </i>
    <i r="4">
      <x v="5"/>
    </i>
    <i r="4">
      <x v="13"/>
    </i>
    <i r="4">
      <x v="14"/>
    </i>
    <i r="4">
      <x v="15"/>
    </i>
    <i r="4">
      <x v="19"/>
    </i>
    <i r="4">
      <x v="22"/>
    </i>
    <i r="4">
      <x v="23"/>
    </i>
    <i r="4">
      <x v="29"/>
    </i>
    <i r="4">
      <x v="39"/>
    </i>
    <i r="4">
      <x v="42"/>
    </i>
    <i r="4">
      <x v="44"/>
    </i>
    <i t="sum">
      <x v="81"/>
    </i>
    <i>
      <x v="82"/>
      <x v="84"/>
      <x v="31"/>
      <x v="11"/>
      <x v="1"/>
    </i>
    <i r="4">
      <x v="2"/>
    </i>
    <i r="4">
      <x v="5"/>
    </i>
    <i r="4">
      <x v="13"/>
    </i>
    <i r="4">
      <x v="14"/>
    </i>
    <i r="4">
      <x v="15"/>
    </i>
    <i r="4">
      <x v="19"/>
    </i>
    <i r="4">
      <x v="22"/>
    </i>
    <i r="4">
      <x v="23"/>
    </i>
    <i r="4">
      <x v="29"/>
    </i>
    <i r="4">
      <x v="39"/>
    </i>
    <i r="4">
      <x v="42"/>
    </i>
    <i r="4">
      <x v="44"/>
    </i>
    <i t="sum">
      <x v="82"/>
    </i>
    <i>
      <x v="83"/>
      <x v="85"/>
      <x v="38"/>
      <x v="10"/>
      <x v="1"/>
    </i>
    <i r="4">
      <x v="5"/>
    </i>
    <i r="4">
      <x v="12"/>
    </i>
    <i r="4">
      <x v="16"/>
    </i>
    <i r="4">
      <x v="17"/>
    </i>
    <i r="4">
      <x v="18"/>
    </i>
    <i r="4">
      <x v="23"/>
    </i>
    <i t="sum">
      <x v="83"/>
    </i>
    <i>
      <x v="84"/>
      <x v="86"/>
      <x v="28"/>
      <x v="11"/>
      <x v="1"/>
    </i>
    <i r="4">
      <x v="2"/>
    </i>
    <i r="4">
      <x v="5"/>
    </i>
    <i r="4">
      <x v="16"/>
    </i>
    <i r="4">
      <x v="44"/>
    </i>
    <i t="sum">
      <x v="84"/>
    </i>
    <i>
      <x v="85"/>
      <x v="87"/>
      <x v="28"/>
      <x v="11"/>
      <x v="1"/>
    </i>
    <i r="4">
      <x v="2"/>
    </i>
    <i r="4">
      <x v="5"/>
    </i>
    <i r="4">
      <x v="16"/>
    </i>
    <i r="4">
      <x v="44"/>
    </i>
    <i t="sum">
      <x v="85"/>
    </i>
    <i>
      <x v="86"/>
      <x v="88"/>
      <x v="30"/>
      <x v="11"/>
      <x v="1"/>
    </i>
    <i r="4">
      <x v="5"/>
    </i>
    <i r="4">
      <x v="16"/>
    </i>
    <i r="4">
      <x v="23"/>
    </i>
    <i r="4">
      <x v="41"/>
    </i>
    <i r="4">
      <x v="44"/>
    </i>
    <i r="2">
      <x v="45"/>
      <x v="11"/>
      <x v="1"/>
    </i>
    <i r="4">
      <x v="5"/>
    </i>
    <i r="4">
      <x v="15"/>
    </i>
    <i t="sum">
      <x v="86"/>
    </i>
    <i>
      <x v="87"/>
      <x v="89"/>
      <x v="60"/>
      <x v="11"/>
      <x v="1"/>
    </i>
    <i r="4">
      <x v="5"/>
    </i>
    <i r="4">
      <x v="10"/>
    </i>
    <i r="4">
      <x v="15"/>
    </i>
    <i r="4">
      <x v="23"/>
    </i>
    <i r="4">
      <x v="38"/>
    </i>
    <i r="4">
      <x v="41"/>
    </i>
    <i t="sum">
      <x v="87"/>
    </i>
    <i>
      <x v="88"/>
      <x v="90"/>
      <x v="2"/>
      <x v="11"/>
      <x v="1"/>
    </i>
    <i r="4">
      <x v="2"/>
    </i>
    <i r="4">
      <x v="5"/>
    </i>
    <i r="4">
      <x v="11"/>
    </i>
    <i r="4">
      <x v="16"/>
    </i>
    <i r="4">
      <x v="28"/>
    </i>
    <i r="4">
      <x v="42"/>
    </i>
    <i r="2">
      <x v="48"/>
      <x v="10"/>
      <x v="2"/>
    </i>
    <i r="4">
      <x v="4"/>
    </i>
    <i r="4">
      <x v="5"/>
    </i>
    <i r="4">
      <x v="15"/>
    </i>
    <i r="4">
      <x v="18"/>
    </i>
    <i r="4">
      <x v="23"/>
    </i>
    <i r="4">
      <x v="27"/>
    </i>
    <i t="sum">
      <x v="88"/>
    </i>
    <i>
      <x v="89"/>
      <x v="91"/>
      <x v="2"/>
      <x v="11"/>
      <x v="1"/>
    </i>
    <i r="4">
      <x v="2"/>
    </i>
    <i r="4">
      <x v="5"/>
    </i>
    <i r="4">
      <x v="11"/>
    </i>
    <i r="4">
      <x v="16"/>
    </i>
    <i r="4">
      <x v="28"/>
    </i>
    <i r="4">
      <x v="42"/>
    </i>
    <i r="2">
      <x v="48"/>
      <x v="10"/>
      <x v="2"/>
    </i>
    <i r="4">
      <x v="4"/>
    </i>
    <i r="4">
      <x v="5"/>
    </i>
    <i r="4">
      <x v="15"/>
    </i>
    <i r="4">
      <x v="18"/>
    </i>
    <i r="4">
      <x v="23"/>
    </i>
    <i r="4">
      <x v="27"/>
    </i>
    <i t="sum">
      <x v="89"/>
    </i>
    <i>
      <x v="90"/>
      <x v="92"/>
      <x v="27"/>
      <x v="11"/>
      <x v="1"/>
    </i>
    <i r="4">
      <x v="2"/>
    </i>
    <i r="4">
      <x v="5"/>
    </i>
    <i r="4">
      <x v="13"/>
    </i>
    <i r="4">
      <x v="14"/>
    </i>
    <i r="4">
      <x v="15"/>
    </i>
    <i r="4">
      <x v="16"/>
    </i>
    <i r="4">
      <x v="19"/>
    </i>
    <i r="2">
      <x v="55"/>
      <x v="11"/>
      <x v="5"/>
    </i>
    <i r="4">
      <x v="23"/>
    </i>
    <i r="4">
      <x v="43"/>
    </i>
    <i t="sum">
      <x v="90"/>
    </i>
    <i>
      <x v="91"/>
      <x v="93"/>
      <x v="27"/>
      <x v="11"/>
      <x v="1"/>
    </i>
    <i r="4">
      <x v="2"/>
    </i>
    <i r="4">
      <x v="5"/>
    </i>
    <i r="4">
      <x v="13"/>
    </i>
    <i r="4">
      <x v="14"/>
    </i>
    <i r="4">
      <x v="15"/>
    </i>
    <i r="4">
      <x v="16"/>
    </i>
    <i r="4">
      <x v="19"/>
    </i>
    <i r="4">
      <x v="23"/>
    </i>
    <i t="sum">
      <x v="91"/>
    </i>
    <i>
      <x v="92"/>
      <x v="94"/>
      <x v="73"/>
      <x v="10"/>
      <x v="1"/>
    </i>
    <i r="4">
      <x v="5"/>
    </i>
    <i r="4">
      <x v="10"/>
    </i>
    <i r="4">
      <x v="15"/>
    </i>
    <i r="4">
      <x v="16"/>
    </i>
    <i r="4">
      <x v="18"/>
    </i>
    <i r="4">
      <x v="23"/>
    </i>
    <i t="sum">
      <x v="92"/>
    </i>
    <i>
      <x v="93"/>
      <x v="95"/>
      <x v="33"/>
      <x v="6"/>
      <x v="43"/>
    </i>
    <i r="4">
      <x v="46"/>
    </i>
    <i r="4">
      <x v="47"/>
    </i>
    <i t="sum">
      <x v="93"/>
    </i>
    <i>
      <x v="94"/>
      <x v="96"/>
      <x v="62"/>
      <x v="4"/>
      <x v="1"/>
    </i>
    <i r="4">
      <x v="2"/>
    </i>
    <i r="4">
      <x v="9"/>
    </i>
    <i r="4">
      <x v="11"/>
    </i>
    <i r="4">
      <x v="14"/>
    </i>
    <i r="4">
      <x v="42"/>
    </i>
    <i r="4">
      <x v="49"/>
    </i>
    <i t="sum">
      <x v="94"/>
    </i>
    <i>
      <x v="95"/>
      <x v="97"/>
      <x v="41"/>
      <x v="9"/>
      <x v="8"/>
    </i>
    <i r="4">
      <x v="48"/>
    </i>
    <i r="2">
      <x v="83"/>
      <x v="14"/>
      <x v="48"/>
    </i>
    <i t="sum">
      <x v="95"/>
    </i>
    <i>
      <x v="96"/>
      <x v="98"/>
      <x v="16"/>
      <x v="12"/>
      <x v="18"/>
    </i>
    <i r="4">
      <x v="40"/>
    </i>
    <i r="2">
      <x v="23"/>
      <x v="12"/>
      <x v="18"/>
    </i>
    <i r="4">
      <x v="48"/>
    </i>
    <i t="sum">
      <x v="96"/>
    </i>
    <i>
      <x v="97"/>
      <x v="99"/>
      <x v="26"/>
      <x v="11"/>
      <x v="2"/>
    </i>
    <i r="4">
      <x v="5"/>
    </i>
    <i r="4">
      <x v="10"/>
    </i>
    <i r="4">
      <x v="11"/>
    </i>
    <i r="4">
      <x v="13"/>
    </i>
    <i r="4">
      <x v="15"/>
    </i>
    <i r="4">
      <x v="23"/>
    </i>
    <i r="4">
      <x v="38"/>
    </i>
    <i t="sum">
      <x v="97"/>
    </i>
    <i>
      <x v="98"/>
      <x v="100"/>
      <x v="32"/>
      <x v="10"/>
      <x v="1"/>
    </i>
    <i r="4">
      <x v="4"/>
    </i>
    <i r="4">
      <x v="5"/>
    </i>
    <i r="4">
      <x v="10"/>
    </i>
    <i r="4">
      <x v="13"/>
    </i>
    <i r="4">
      <x v="23"/>
    </i>
    <i r="4">
      <x v="38"/>
    </i>
    <i t="sum">
      <x v="98"/>
    </i>
    <i>
      <x v="99"/>
      <x v="101"/>
      <x v="46"/>
      <x v="11"/>
      <x v="1"/>
    </i>
    <i r="4">
      <x v="4"/>
    </i>
    <i r="4">
      <x v="5"/>
    </i>
    <i r="4">
      <x v="14"/>
    </i>
    <i r="4">
      <x v="15"/>
    </i>
    <i r="4">
      <x v="16"/>
    </i>
    <i r="4">
      <x v="22"/>
    </i>
    <i r="4">
      <x v="23"/>
    </i>
    <i r="4">
      <x v="24"/>
    </i>
    <i r="4">
      <x v="44"/>
    </i>
    <i t="sum">
      <x v="99"/>
    </i>
    <i>
      <x v="100"/>
      <x v="102"/>
      <x v="15"/>
      <x v="3"/>
      <x v="1"/>
    </i>
    <i r="4">
      <x v="5"/>
    </i>
    <i r="4">
      <x v="13"/>
    </i>
    <i r="4">
      <x v="18"/>
    </i>
    <i t="sum">
      <x v="100"/>
    </i>
    <i>
      <x v="101"/>
      <x v="103"/>
      <x v="15"/>
      <x v="3"/>
      <x v="1"/>
    </i>
    <i r="4">
      <x v="5"/>
    </i>
    <i r="4">
      <x v="13"/>
    </i>
    <i r="4">
      <x v="18"/>
    </i>
    <i t="sum">
      <x v="101"/>
    </i>
    <i>
      <x v="102"/>
      <x v="104"/>
      <x v="5"/>
      <x v="3"/>
      <x v="1"/>
    </i>
    <i r="4">
      <x v="2"/>
    </i>
    <i r="4">
      <x v="4"/>
    </i>
    <i r="4">
      <x v="5"/>
    </i>
    <i r="4">
      <x v="13"/>
    </i>
    <i r="4">
      <x v="14"/>
    </i>
    <i r="4">
      <x v="15"/>
    </i>
    <i r="4">
      <x v="21"/>
    </i>
    <i r="4">
      <x v="23"/>
    </i>
    <i t="sum">
      <x v="102"/>
    </i>
    <i>
      <x v="103"/>
      <x v="123"/>
      <x v="7"/>
      <x v="3"/>
      <x v="48"/>
    </i>
    <i r="2">
      <x v="29"/>
      <x v="11"/>
      <x v="48"/>
    </i>
    <i r="2">
      <x v="39"/>
      <x v="9"/>
      <x v="8"/>
    </i>
    <i r="2">
      <x v="47"/>
      <x v="4"/>
      <x v="48"/>
    </i>
    <i r="2">
      <x v="75"/>
      <x v="14"/>
      <x v="1"/>
    </i>
    <i r="4">
      <x v="2"/>
    </i>
    <i r="4">
      <x v="15"/>
    </i>
    <i r="4">
      <x v="25"/>
    </i>
    <i r="4">
      <x v="42"/>
    </i>
    <i r="4">
      <x v="45"/>
    </i>
    <i r="2">
      <x v="83"/>
      <x v="14"/>
      <x v="48"/>
    </i>
    <i t="sum">
      <x v="103"/>
    </i>
    <i>
      <x v="104"/>
      <x v="106"/>
      <x v="41"/>
      <x v="9"/>
      <x v="48"/>
    </i>
    <i r="2">
      <x v="47"/>
      <x v="4"/>
      <x v="8"/>
    </i>
    <i r="4">
      <x v="48"/>
    </i>
    <i r="4">
      <x v="49"/>
    </i>
    <i r="2">
      <x v="83"/>
      <x v="14"/>
      <x v="48"/>
    </i>
    <i t="sum">
      <x v="104"/>
    </i>
    <i>
      <x v="105"/>
      <x v="107"/>
      <x v="6"/>
      <x v="3"/>
      <x v="5"/>
    </i>
    <i r="4">
      <x v="23"/>
    </i>
    <i r="4">
      <x v="44"/>
    </i>
    <i r="2">
      <x v="48"/>
      <x v="10"/>
      <x v="2"/>
    </i>
    <i r="4">
      <x v="5"/>
    </i>
    <i r="4">
      <x v="11"/>
    </i>
    <i r="4">
      <x v="23"/>
    </i>
    <i t="sum">
      <x v="105"/>
    </i>
    <i>
      <x v="106"/>
      <x v="108"/>
      <x v="50"/>
      <x v="6"/>
      <x v="43"/>
    </i>
    <i r="4">
      <x v="46"/>
    </i>
    <i r="4">
      <x v="47"/>
    </i>
    <i t="sum">
      <x v="106"/>
    </i>
    <i>
      <x v="107"/>
      <x v="109"/>
      <x v="19"/>
      <x v="11"/>
      <x v="1"/>
    </i>
    <i r="4">
      <x v="2"/>
    </i>
    <i r="4">
      <x v="5"/>
    </i>
    <i r="4">
      <x v="9"/>
    </i>
    <i r="4">
      <x v="11"/>
    </i>
    <i r="4">
      <x v="14"/>
    </i>
    <i r="4">
      <x v="15"/>
    </i>
    <i r="4">
      <x v="19"/>
    </i>
    <i r="4">
      <x v="23"/>
    </i>
    <i r="4">
      <x v="43"/>
    </i>
    <i t="sum">
      <x v="107"/>
    </i>
    <i>
      <x v="108"/>
      <x v="111"/>
      <x v="58"/>
      <x v="5"/>
      <x v="1"/>
    </i>
    <i r="4">
      <x v="11"/>
    </i>
    <i r="4">
      <x v="23"/>
    </i>
    <i r="4">
      <x v="45"/>
    </i>
    <i r="4">
      <x v="47"/>
    </i>
    <i r="4">
      <x v="49"/>
    </i>
    <i t="sum">
      <x v="108"/>
    </i>
    <i>
      <x v="109"/>
      <x v="112"/>
      <x v="56"/>
      <x v="5"/>
      <x v="8"/>
    </i>
    <i r="4">
      <x v="18"/>
    </i>
    <i r="4">
      <x v="48"/>
    </i>
    <i r="4">
      <x v="49"/>
    </i>
    <i t="sum">
      <x v="109"/>
    </i>
    <i>
      <x v="110"/>
      <x v="113"/>
      <x v="4"/>
      <x v="9"/>
      <x v="8"/>
    </i>
    <i r="4">
      <x v="48"/>
    </i>
    <i r="2">
      <x v="39"/>
      <x v="9"/>
      <x v="8"/>
    </i>
    <i t="sum">
      <x v="110"/>
    </i>
    <i>
      <x v="111"/>
      <x/>
      <x v="2"/>
      <x v="11"/>
      <x v="1"/>
    </i>
    <i r="4">
      <x v="5"/>
    </i>
    <i r="4">
      <x v="24"/>
    </i>
    <i r="4">
      <x v="44"/>
    </i>
    <i r="2">
      <x v="45"/>
      <x v="11"/>
      <x v="15"/>
    </i>
    <i t="sum">
      <x v="111"/>
    </i>
    <i>
      <x v="112"/>
      <x v="121"/>
      <x v="6"/>
      <x v="3"/>
      <x v="1"/>
    </i>
    <i r="4">
      <x v="24"/>
    </i>
    <i r="4">
      <x v="36"/>
    </i>
    <i r="2">
      <x v="8"/>
      <x v="3"/>
      <x v="2"/>
    </i>
    <i r="4">
      <x v="5"/>
    </i>
    <i r="4">
      <x v="19"/>
    </i>
    <i r="4">
      <x v="23"/>
    </i>
    <i r="4">
      <x v="32"/>
    </i>
    <i r="4">
      <x v="44"/>
    </i>
    <i t="sum">
      <x v="112"/>
    </i>
    <i>
      <x v="113"/>
      <x v="25"/>
      <x v="20"/>
      <x v="12"/>
      <x v="15"/>
    </i>
    <i r="4">
      <x v="18"/>
    </i>
    <i r="4">
      <x v="26"/>
    </i>
    <i r="4">
      <x v="27"/>
    </i>
    <i t="sum">
      <x v="113"/>
    </i>
    <i>
      <x v="114"/>
      <x v="23"/>
      <x v="21"/>
      <x v="12"/>
      <x v="18"/>
    </i>
    <i r="4">
      <x v="26"/>
    </i>
    <i r="4">
      <x v="48"/>
    </i>
    <i t="sum">
      <x v="114"/>
    </i>
    <i>
      <x v="115"/>
      <x v="24"/>
      <x v="21"/>
      <x v="12"/>
      <x v="18"/>
    </i>
    <i r="4">
      <x v="26"/>
    </i>
    <i r="4">
      <x v="48"/>
    </i>
    <i t="sum">
      <x v="115"/>
    </i>
    <i>
      <x v="116"/>
      <x/>
      <x v="8"/>
      <x v="3"/>
      <x v="1"/>
    </i>
    <i r="4">
      <x v="5"/>
    </i>
    <i r="4">
      <x v="16"/>
    </i>
    <i t="sum">
      <x v="116"/>
    </i>
    <i>
      <x v="117"/>
      <x v="114"/>
      <x v="66"/>
      <x v="11"/>
      <x v="1"/>
    </i>
    <i r="4">
      <x v="2"/>
    </i>
    <i r="4">
      <x v="5"/>
    </i>
    <i r="4">
      <x v="15"/>
    </i>
    <i r="4">
      <x v="23"/>
    </i>
    <i r="4">
      <x v="34"/>
    </i>
    <i t="sum">
      <x v="117"/>
    </i>
    <i>
      <x v="118"/>
      <x v="115"/>
      <x v="10"/>
      <x v="3"/>
      <x v="1"/>
    </i>
    <i r="4">
      <x v="2"/>
    </i>
    <i r="4">
      <x v="5"/>
    </i>
    <i r="4">
      <x v="10"/>
    </i>
    <i r="4">
      <x v="18"/>
    </i>
    <i t="sum">
      <x v="118"/>
    </i>
    <i>
      <x v="119"/>
      <x v="116"/>
      <x v="10"/>
      <x v="3"/>
      <x v="5"/>
    </i>
    <i r="4">
      <x v="10"/>
    </i>
    <i r="4">
      <x v="18"/>
    </i>
    <i t="sum">
      <x v="119"/>
    </i>
    <i>
      <x v="120"/>
      <x v="117"/>
      <x v="74"/>
      <x v="14"/>
      <x v="2"/>
    </i>
    <i r="4">
      <x v="10"/>
    </i>
    <i r="4">
      <x v="23"/>
    </i>
    <i r="4">
      <x v="37"/>
    </i>
    <i r="2">
      <x v="77"/>
      <x v="14"/>
      <x v="1"/>
    </i>
    <i r="4">
      <x v="23"/>
    </i>
    <i t="sum">
      <x v="120"/>
    </i>
    <i>
      <x v="123"/>
      <x v="118"/>
      <x v="40"/>
      <x v="2"/>
      <x v="10"/>
    </i>
    <i r="2">
      <x v="53"/>
      <x v="8"/>
      <x v="19"/>
    </i>
    <i r="4">
      <x v="23"/>
    </i>
    <i t="sum">
      <x v="123"/>
    </i>
    <i>
      <x v="128"/>
      <x v="119"/>
      <x v="69"/>
      <x v="10"/>
      <x v="23"/>
    </i>
    <i t="sum">
      <x v="128"/>
    </i>
    <i>
      <x v="129"/>
      <x/>
      <x v="27"/>
      <x v="11"/>
      <x v="23"/>
    </i>
    <i t="sum">
      <x v="129"/>
    </i>
    <i>
      <x v="130"/>
      <x v="120"/>
      <x v="15"/>
      <x v="3"/>
      <x v="4"/>
    </i>
    <i r="4">
      <x v="19"/>
    </i>
    <i r="4">
      <x v="44"/>
    </i>
    <i t="sum">
      <x v="130"/>
    </i>
    <i>
      <x v="131"/>
      <x v="110"/>
      <x v="34"/>
      <x v="6"/>
      <x v="43"/>
    </i>
    <i r="4">
      <x v="46"/>
    </i>
    <i t="sum">
      <x v="131"/>
    </i>
    <i>
      <x v="132"/>
      <x/>
      <x v="78"/>
      <x/>
      <x v="37"/>
    </i>
    <i r="2">
      <x v="79"/>
      <x/>
      <x v="37"/>
    </i>
    <i r="2">
      <x v="80"/>
      <x/>
      <x v="10"/>
    </i>
    <i r="2">
      <x v="81"/>
      <x/>
      <x v="39"/>
    </i>
    <i r="2">
      <x v="82"/>
      <x/>
      <x v="39"/>
    </i>
    <i t="sum">
      <x v="132"/>
    </i>
    <i>
      <x v="133"/>
      <x v="122"/>
      <x v="68"/>
      <x v="10"/>
      <x v="1"/>
    </i>
    <i r="4">
      <x v="2"/>
    </i>
    <i r="4">
      <x v="5"/>
    </i>
    <i r="4">
      <x v="10"/>
    </i>
    <i r="4">
      <x v="11"/>
    </i>
    <i r="4">
      <x v="13"/>
    </i>
    <i r="4">
      <x v="15"/>
    </i>
    <i r="4">
      <x v="23"/>
    </i>
    <i r="4">
      <x v="33"/>
    </i>
    <i r="4">
      <x v="39"/>
    </i>
    <i t="sum">
      <x v="133"/>
    </i>
    <i>
      <x v="134"/>
      <x v="67"/>
      <x v="41"/>
      <x v="9"/>
      <x v="48"/>
    </i>
    <i r="2">
      <x v="49"/>
      <x v="7"/>
      <x v="48"/>
    </i>
    <i r="4">
      <x v="49"/>
    </i>
    <i t="sum">
      <x v="134"/>
    </i>
    <i t="grand">
      <x/>
    </i>
  </rowItems>
  <colItems count="1">
    <i/>
  </colItems>
  <dataFields count="1">
    <dataField name="Sum of DT tính lương lái xe" fld="14" baseField="0" baseItem="0" numFmtId="181"/>
  </dataFields>
  <formats count="587">
    <format dxfId="1172">
      <pivotArea dataOnly="0" labelOnly="1" fieldPosition="0">
        <references count="1">
          <reference field="9" count="1" sumSubtotal="1">
            <x v="0"/>
          </reference>
        </references>
      </pivotArea>
    </format>
    <format dxfId="1173">
      <pivotArea dataOnly="0" labelOnly="1" fieldPosition="0">
        <references count="1">
          <reference field="9" count="1" sumSubtotal="1">
            <x v="1"/>
          </reference>
        </references>
      </pivotArea>
    </format>
    <format dxfId="1174">
      <pivotArea dataOnly="0" labelOnly="1" fieldPosition="0">
        <references count="1">
          <reference field="9" count="1" sumSubtotal="1">
            <x v="2"/>
          </reference>
        </references>
      </pivotArea>
    </format>
    <format dxfId="1175">
      <pivotArea dataOnly="0" labelOnly="1" fieldPosition="0">
        <references count="1">
          <reference field="9" count="1" sumSubtotal="1">
            <x v="3"/>
          </reference>
        </references>
      </pivotArea>
    </format>
    <format dxfId="1176">
      <pivotArea dataOnly="0" labelOnly="1" fieldPosition="0">
        <references count="1">
          <reference field="9" count="1" sumSubtotal="1">
            <x v="4"/>
          </reference>
        </references>
      </pivotArea>
    </format>
    <format dxfId="1177">
      <pivotArea dataOnly="0" labelOnly="1" fieldPosition="0">
        <references count="1">
          <reference field="9" count="1" sumSubtotal="1">
            <x v="5"/>
          </reference>
        </references>
      </pivotArea>
    </format>
    <format dxfId="1178">
      <pivotArea dataOnly="0" labelOnly="1" fieldPosition="0">
        <references count="1">
          <reference field="9" count="1" sumSubtotal="1">
            <x v="6"/>
          </reference>
        </references>
      </pivotArea>
    </format>
    <format dxfId="1179">
      <pivotArea dataOnly="0" labelOnly="1" fieldPosition="0">
        <references count="1">
          <reference field="9" count="1" sumSubtotal="1">
            <x v="7"/>
          </reference>
        </references>
      </pivotArea>
    </format>
    <format dxfId="1180">
      <pivotArea dataOnly="0" labelOnly="1" fieldPosition="0">
        <references count="1">
          <reference field="9" count="1" sumSubtotal="1">
            <x v="8"/>
          </reference>
        </references>
      </pivotArea>
    </format>
    <format dxfId="1181">
      <pivotArea dataOnly="0" labelOnly="1" fieldPosition="0">
        <references count="1">
          <reference field="9" count="1" sumSubtotal="1">
            <x v="9"/>
          </reference>
        </references>
      </pivotArea>
    </format>
    <format dxfId="1182">
      <pivotArea dataOnly="0" labelOnly="1" fieldPosition="0">
        <references count="1">
          <reference field="9" count="1" sumSubtotal="1">
            <x v="10"/>
          </reference>
        </references>
      </pivotArea>
    </format>
    <format dxfId="1183">
      <pivotArea dataOnly="0" labelOnly="1" fieldPosition="0">
        <references count="1">
          <reference field="9" count="1" sumSubtotal="1">
            <x v="11"/>
          </reference>
        </references>
      </pivotArea>
    </format>
    <format dxfId="1184">
      <pivotArea dataOnly="0" labelOnly="1" fieldPosition="0">
        <references count="1">
          <reference field="9" count="1" sumSubtotal="1">
            <x v="12"/>
          </reference>
        </references>
      </pivotArea>
    </format>
    <format dxfId="1185">
      <pivotArea dataOnly="0" labelOnly="1" fieldPosition="0">
        <references count="1">
          <reference field="9" count="1" sumSubtotal="1">
            <x v="13"/>
          </reference>
        </references>
      </pivotArea>
    </format>
    <format dxfId="1186">
      <pivotArea dataOnly="0" labelOnly="1" fieldPosition="0">
        <references count="1">
          <reference field="9" count="1" sumSubtotal="1">
            <x v="14"/>
          </reference>
        </references>
      </pivotArea>
    </format>
    <format dxfId="1187">
      <pivotArea dataOnly="0" labelOnly="1" fieldPosition="0">
        <references count="1">
          <reference field="9" count="1" sumSubtotal="1">
            <x v="15"/>
          </reference>
        </references>
      </pivotArea>
    </format>
    <format dxfId="1188">
      <pivotArea dataOnly="0" labelOnly="1" fieldPosition="0">
        <references count="1">
          <reference field="9" count="1" sumSubtotal="1">
            <x v="16"/>
          </reference>
        </references>
      </pivotArea>
    </format>
    <format dxfId="1189">
      <pivotArea dataOnly="0" labelOnly="1" fieldPosition="0">
        <references count="1">
          <reference field="9" count="1" sumSubtotal="1">
            <x v="58"/>
          </reference>
        </references>
      </pivotArea>
    </format>
    <format dxfId="1190">
      <pivotArea dataOnly="0" labelOnly="1" fieldPosition="0">
        <references count="1">
          <reference field="9" count="1" sumSubtotal="1">
            <x v="59"/>
          </reference>
        </references>
      </pivotArea>
    </format>
    <format dxfId="1191">
      <pivotArea dataOnly="0" labelOnly="1" fieldPosition="0">
        <references count="1">
          <reference field="9" count="1" sumSubtotal="1">
            <x v="60"/>
          </reference>
        </references>
      </pivotArea>
    </format>
    <format dxfId="1192">
      <pivotArea dataOnly="0" labelOnly="1" fieldPosition="0">
        <references count="1">
          <reference field="9" count="1" sumSubtotal="1">
            <x v="61"/>
          </reference>
        </references>
      </pivotArea>
    </format>
    <format dxfId="1193">
      <pivotArea dataOnly="0" labelOnly="1" fieldPosition="0">
        <references count="1">
          <reference field="9" count="1" sumSubtotal="1">
            <x v="62"/>
          </reference>
        </references>
      </pivotArea>
    </format>
    <format dxfId="1194">
      <pivotArea type="all" dataOnly="0" outline="0" fieldPosition="0"/>
    </format>
    <format dxfId="1195">
      <pivotArea outline="0" collapsedLevelsAreSubtotals="1" fieldPosition="0"/>
    </format>
    <format dxfId="1196">
      <pivotArea field="9" type="button" dataOnly="0" labelOnly="1" outline="0" fieldPosition="0"/>
    </format>
    <format dxfId="1197">
      <pivotArea field="15" type="button" dataOnly="0" labelOnly="1" outline="0" fieldPosition="0"/>
    </format>
    <format dxfId="1198">
      <pivotArea field="8" type="button" dataOnly="0" labelOnly="1" outline="0" fieldPosition="0"/>
    </format>
    <format dxfId="1199">
      <pivotArea field="16" type="button" dataOnly="0" labelOnly="1" outline="0" fieldPosition="0"/>
    </format>
    <format dxfId="1200">
      <pivotArea field="3" type="button" dataOnly="0" labelOnly="1" outline="0" fieldPosition="0"/>
    </format>
    <format dxfId="1201">
      <pivotArea dataOnly="0" labelOnly="1" fieldPosition="0">
        <references count="1">
          <reference field="9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202">
      <pivotArea dataOnly="0" labelOnly="1" fieldPosition="0">
        <references count="1">
          <reference field="9" count="16" sum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203">
      <pivotArea dataOnly="0" labelOnly="1" fieldPosition="0">
        <references count="1">
          <reference field="9" count="13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204">
      <pivotArea dataOnly="0" labelOnly="1" fieldPosition="0">
        <references count="1">
          <reference field="9" count="13" sumSubtotal="1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205">
      <pivotArea dataOnly="0" labelOnly="1" fieldPosition="0">
        <references count="1">
          <reference field="9" count="8"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206">
      <pivotArea dataOnly="0" labelOnly="1" fieldPosition="0">
        <references count="1">
          <reference field="9" count="8" sumSubtotal="1"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207">
      <pivotArea dataOnly="0" labelOnly="1" fieldPosition="0">
        <references count="1">
          <reference field="9" count="11"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1208">
      <pivotArea dataOnly="0" labelOnly="1" fieldPosition="0">
        <references count="1">
          <reference field="9" count="11" sumSubtotal="1"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1209">
      <pivotArea dataOnly="0" labelOnly="1" fieldPosition="0">
        <references count="1">
          <reference field="9" count="13"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  <format dxfId="1210">
      <pivotArea dataOnly="0" labelOnly="1" fieldPosition="0">
        <references count="1">
          <reference field="9" count="13" sumSubtotal="1"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  <format dxfId="1211">
      <pivotArea dataOnly="0" labelOnly="1" fieldPosition="0">
        <references count="1">
          <reference field="9" count="2">
            <x v="61"/>
            <x v="62"/>
          </reference>
        </references>
      </pivotArea>
    </format>
    <format dxfId="1212">
      <pivotArea dataOnly="0" labelOnly="1" fieldPosition="0">
        <references count="1">
          <reference field="9" count="2" sumSubtotal="1">
            <x v="61"/>
            <x v="62"/>
          </reference>
        </references>
      </pivotArea>
    </format>
    <format dxfId="1213">
      <pivotArea dataOnly="0" labelOnly="1" grandRow="1" outline="0" fieldPosition="0"/>
    </format>
    <format dxfId="1214">
      <pivotArea dataOnly="0" labelOnly="1" fieldPosition="0">
        <references count="2">
          <reference field="9" count="1" selected="0">
            <x v="0"/>
          </reference>
          <reference field="15" count="1">
            <x v="60"/>
          </reference>
        </references>
      </pivotArea>
    </format>
    <format dxfId="1215">
      <pivotArea dataOnly="0" labelOnly="1" fieldPosition="0">
        <references count="2">
          <reference field="9" count="1" selected="0">
            <x v="1"/>
          </reference>
          <reference field="15" count="1">
            <x v="54"/>
          </reference>
        </references>
      </pivotArea>
    </format>
    <format dxfId="1216">
      <pivotArea dataOnly="0" labelOnly="1" fieldPosition="0">
        <references count="2">
          <reference field="9" count="1" selected="0">
            <x v="2"/>
          </reference>
          <reference field="15" count="1">
            <x v="33"/>
          </reference>
        </references>
      </pivotArea>
    </format>
    <format dxfId="1217">
      <pivotArea dataOnly="0" labelOnly="1" fieldPosition="0">
        <references count="2">
          <reference field="9" count="1" selected="0">
            <x v="3"/>
          </reference>
          <reference field="15" count="1">
            <x v="46"/>
          </reference>
        </references>
      </pivotArea>
    </format>
    <format dxfId="1218">
      <pivotArea dataOnly="0" labelOnly="1" fieldPosition="0">
        <references count="2">
          <reference field="9" count="1" selected="0">
            <x v="4"/>
          </reference>
          <reference field="15" count="1">
            <x v="58"/>
          </reference>
        </references>
      </pivotArea>
    </format>
    <format dxfId="1219">
      <pivotArea dataOnly="0" labelOnly="1" fieldPosition="0">
        <references count="2">
          <reference field="9" count="1" selected="0">
            <x v="5"/>
          </reference>
          <reference field="15" count="1">
            <x v="22"/>
          </reference>
        </references>
      </pivotArea>
    </format>
    <format dxfId="1220">
      <pivotArea dataOnly="0" labelOnly="1" fieldPosition="0">
        <references count="2">
          <reference field="9" count="1" selected="0">
            <x v="6"/>
          </reference>
          <reference field="15" count="1">
            <x v="6"/>
          </reference>
        </references>
      </pivotArea>
    </format>
    <format dxfId="1221">
      <pivotArea dataOnly="0" labelOnly="1" fieldPosition="0">
        <references count="2">
          <reference field="9" count="1" selected="0">
            <x v="7"/>
          </reference>
          <reference field="15" count="1">
            <x v="26"/>
          </reference>
        </references>
      </pivotArea>
    </format>
    <format dxfId="1222">
      <pivotArea dataOnly="0" labelOnly="1" fieldPosition="0">
        <references count="2">
          <reference field="9" count="1" selected="0">
            <x v="8"/>
          </reference>
          <reference field="15" count="1">
            <x v="16"/>
          </reference>
        </references>
      </pivotArea>
    </format>
    <format dxfId="1223">
      <pivotArea dataOnly="0" labelOnly="1" fieldPosition="0">
        <references count="2">
          <reference field="9" count="1" selected="0">
            <x v="9"/>
          </reference>
          <reference field="15" count="1">
            <x v="15"/>
          </reference>
        </references>
      </pivotArea>
    </format>
    <format dxfId="1224">
      <pivotArea dataOnly="0" labelOnly="1" fieldPosition="0">
        <references count="2">
          <reference field="9" count="1" selected="0">
            <x v="10"/>
          </reference>
          <reference field="15" count="1">
            <x v="10"/>
          </reference>
        </references>
      </pivotArea>
    </format>
    <format dxfId="1225">
      <pivotArea dataOnly="0" labelOnly="1" fieldPosition="0">
        <references count="2">
          <reference field="9" count="1" selected="0">
            <x v="11"/>
          </reference>
          <reference field="15" count="1">
            <x v="23"/>
          </reference>
        </references>
      </pivotArea>
    </format>
    <format dxfId="1226">
      <pivotArea dataOnly="0" labelOnly="1" fieldPosition="0">
        <references count="2">
          <reference field="9" count="1" selected="0">
            <x v="12"/>
          </reference>
          <reference field="15" count="1">
            <x v="24"/>
          </reference>
        </references>
      </pivotArea>
    </format>
    <format dxfId="1227">
      <pivotArea dataOnly="0" labelOnly="1" fieldPosition="0">
        <references count="2">
          <reference field="9" count="1" selected="0">
            <x v="13"/>
          </reference>
          <reference field="15" count="1">
            <x v="7"/>
          </reference>
        </references>
      </pivotArea>
    </format>
    <format dxfId="1228">
      <pivotArea dataOnly="0" labelOnly="1" fieldPosition="0">
        <references count="2">
          <reference field="9" count="1" selected="0">
            <x v="14"/>
          </reference>
          <reference field="15" count="1">
            <x v="9"/>
          </reference>
        </references>
      </pivotArea>
    </format>
    <format dxfId="1229">
      <pivotArea dataOnly="0" labelOnly="1" fieldPosition="0">
        <references count="2">
          <reference field="9" count="1" selected="0">
            <x v="15"/>
          </reference>
          <reference field="15" count="1">
            <x v="64"/>
          </reference>
        </references>
      </pivotArea>
    </format>
    <format dxfId="1230">
      <pivotArea dataOnly="0" labelOnly="1" fieldPosition="0">
        <references count="2">
          <reference field="9" count="1" selected="0">
            <x v="16"/>
          </reference>
          <reference field="15" count="1">
            <x v="18"/>
          </reference>
        </references>
      </pivotArea>
    </format>
    <format dxfId="1231">
      <pivotArea dataOnly="0" labelOnly="1" fieldPosition="0">
        <references count="2">
          <reference field="9" count="1" selected="0">
            <x v="17"/>
          </reference>
          <reference field="15" count="1">
            <x v="56"/>
          </reference>
        </references>
      </pivotArea>
    </format>
    <format dxfId="1232">
      <pivotArea dataOnly="0" labelOnly="1" fieldPosition="0">
        <references count="2">
          <reference field="9" count="1" selected="0">
            <x v="18"/>
          </reference>
          <reference field="15" count="1">
            <x v="62"/>
          </reference>
        </references>
      </pivotArea>
    </format>
    <format dxfId="1233">
      <pivotArea dataOnly="0" labelOnly="1" fieldPosition="0">
        <references count="2">
          <reference field="9" count="1" selected="0">
            <x v="19"/>
          </reference>
          <reference field="15" count="1">
            <x v="13"/>
          </reference>
        </references>
      </pivotArea>
    </format>
    <format dxfId="1234">
      <pivotArea dataOnly="0" labelOnly="1" fieldPosition="0">
        <references count="2">
          <reference field="9" count="1" selected="0">
            <x v="20"/>
          </reference>
          <reference field="15" count="1">
            <x v="40"/>
          </reference>
        </references>
      </pivotArea>
    </format>
    <format dxfId="1235">
      <pivotArea dataOnly="0" labelOnly="1" fieldPosition="0">
        <references count="2">
          <reference field="9" count="1" selected="0">
            <x v="21"/>
          </reference>
          <reference field="15" count="1">
            <x v="1"/>
          </reference>
        </references>
      </pivotArea>
    </format>
    <format dxfId="1236">
      <pivotArea dataOnly="0" labelOnly="1" fieldPosition="0">
        <references count="2">
          <reference field="9" count="1" selected="0">
            <x v="22"/>
          </reference>
          <reference field="15" count="1">
            <x v="63"/>
          </reference>
        </references>
      </pivotArea>
    </format>
    <format dxfId="1237">
      <pivotArea dataOnly="0" labelOnly="1" fieldPosition="0">
        <references count="2">
          <reference field="9" count="1" selected="0">
            <x v="23"/>
          </reference>
          <reference field="15" count="1">
            <x v="50"/>
          </reference>
        </references>
      </pivotArea>
    </format>
    <format dxfId="1238">
      <pivotArea dataOnly="0" labelOnly="1" fieldPosition="0">
        <references count="2">
          <reference field="9" count="1" selected="0">
            <x v="24"/>
          </reference>
          <reference field="15" count="1">
            <x v="37"/>
          </reference>
        </references>
      </pivotArea>
    </format>
    <format dxfId="1239">
      <pivotArea dataOnly="0" labelOnly="1" fieldPosition="0">
        <references count="2">
          <reference field="9" count="1" selected="0">
            <x v="25"/>
          </reference>
          <reference field="15" count="1">
            <x v="4"/>
          </reference>
        </references>
      </pivotArea>
    </format>
    <format dxfId="1240">
      <pivotArea dataOnly="0" labelOnly="1" fieldPosition="0">
        <references count="2">
          <reference field="9" count="1" selected="0">
            <x v="26"/>
          </reference>
          <reference field="15" count="1">
            <x v="29"/>
          </reference>
        </references>
      </pivotArea>
    </format>
    <format dxfId="1241">
      <pivotArea dataOnly="0" labelOnly="1" fieldPosition="0">
        <references count="2">
          <reference field="9" count="1" selected="0">
            <x v="27"/>
          </reference>
          <reference field="15" count="1">
            <x v="12"/>
          </reference>
        </references>
      </pivotArea>
    </format>
    <format dxfId="1242">
      <pivotArea dataOnly="0" labelOnly="1" fieldPosition="0">
        <references count="2">
          <reference field="9" count="1" selected="0">
            <x v="28"/>
          </reference>
          <reference field="15" count="1">
            <x v="59"/>
          </reference>
        </references>
      </pivotArea>
    </format>
    <format dxfId="1243">
      <pivotArea dataOnly="0" labelOnly="1" fieldPosition="0">
        <references count="2">
          <reference field="9" count="1" selected="0">
            <x v="29"/>
          </reference>
          <reference field="15" count="1">
            <x v="52"/>
          </reference>
        </references>
      </pivotArea>
    </format>
    <format dxfId="1244">
      <pivotArea dataOnly="0" labelOnly="1" fieldPosition="0">
        <references count="2">
          <reference field="9" count="1" selected="0">
            <x v="30"/>
          </reference>
          <reference field="15" count="1">
            <x v="53"/>
          </reference>
        </references>
      </pivotArea>
    </format>
    <format dxfId="1245">
      <pivotArea dataOnly="0" labelOnly="1" fieldPosition="0">
        <references count="2">
          <reference field="9" count="1" selected="0">
            <x v="31"/>
          </reference>
          <reference field="15" count="1">
            <x v="47"/>
          </reference>
        </references>
      </pivotArea>
    </format>
    <format dxfId="1246">
      <pivotArea dataOnly="0" labelOnly="1" fieldPosition="0">
        <references count="2">
          <reference field="9" count="1" selected="0">
            <x v="32"/>
          </reference>
          <reference field="15" count="1">
            <x v="5"/>
          </reference>
        </references>
      </pivotArea>
    </format>
    <format dxfId="1247">
      <pivotArea dataOnly="0" labelOnly="1" fieldPosition="0">
        <references count="2">
          <reference field="9" count="1" selected="0">
            <x v="33"/>
          </reference>
          <reference field="15" count="1">
            <x v="51"/>
          </reference>
        </references>
      </pivotArea>
    </format>
    <format dxfId="1248">
      <pivotArea dataOnly="0" labelOnly="1" fieldPosition="0">
        <references count="2">
          <reference field="9" count="1" selected="0">
            <x v="34"/>
          </reference>
          <reference field="15" count="1">
            <x v="35"/>
          </reference>
        </references>
      </pivotArea>
    </format>
    <format dxfId="1249">
      <pivotArea dataOnly="0" labelOnly="1" fieldPosition="0">
        <references count="2">
          <reference field="9" count="1" selected="0">
            <x v="35"/>
          </reference>
          <reference field="15" count="1">
            <x v="8"/>
          </reference>
        </references>
      </pivotArea>
    </format>
    <format dxfId="1250">
      <pivotArea dataOnly="0" labelOnly="1" fieldPosition="0">
        <references count="2">
          <reference field="9" count="1" selected="0">
            <x v="36"/>
          </reference>
          <reference field="15" count="1">
            <x v="11"/>
          </reference>
        </references>
      </pivotArea>
    </format>
    <format dxfId="1251">
      <pivotArea dataOnly="0" labelOnly="1" fieldPosition="0">
        <references count="2">
          <reference field="9" count="1" selected="0">
            <x v="37"/>
          </reference>
          <reference field="15" count="1">
            <x v="43"/>
          </reference>
        </references>
      </pivotArea>
    </format>
    <format dxfId="1252">
      <pivotArea dataOnly="0" labelOnly="1" fieldPosition="0">
        <references count="2">
          <reference field="9" count="1" selected="0">
            <x v="38"/>
          </reference>
          <reference field="15" count="1">
            <x v="61"/>
          </reference>
        </references>
      </pivotArea>
    </format>
    <format dxfId="1253">
      <pivotArea dataOnly="0" labelOnly="1" fieldPosition="0">
        <references count="2">
          <reference field="9" count="1" selected="0">
            <x v="39"/>
          </reference>
          <reference field="15" count="1">
            <x v="30"/>
          </reference>
        </references>
      </pivotArea>
    </format>
    <format dxfId="1254">
      <pivotArea dataOnly="0" labelOnly="1" fieldPosition="0">
        <references count="2">
          <reference field="9" count="1" selected="0">
            <x v="40"/>
          </reference>
          <reference field="15" count="1">
            <x v="28"/>
          </reference>
        </references>
      </pivotArea>
    </format>
    <format dxfId="1255">
      <pivotArea dataOnly="0" labelOnly="1" fieldPosition="0">
        <references count="2">
          <reference field="9" count="1" selected="0">
            <x v="41"/>
          </reference>
          <reference field="15" count="1">
            <x v="44"/>
          </reference>
        </references>
      </pivotArea>
    </format>
    <format dxfId="1256">
      <pivotArea dataOnly="0" labelOnly="1" fieldPosition="0">
        <references count="2">
          <reference field="9" count="1" selected="0">
            <x v="42"/>
          </reference>
          <reference field="15" count="1">
            <x v="21"/>
          </reference>
        </references>
      </pivotArea>
    </format>
    <format dxfId="1257">
      <pivotArea dataOnly="0" labelOnly="1" fieldPosition="0">
        <references count="2">
          <reference field="9" count="1" selected="0">
            <x v="43"/>
          </reference>
          <reference field="15" count="1">
            <x v="14"/>
          </reference>
        </references>
      </pivotArea>
    </format>
    <format dxfId="1258">
      <pivotArea dataOnly="0" labelOnly="1" fieldPosition="0">
        <references count="2">
          <reference field="9" count="1" selected="0">
            <x v="44"/>
          </reference>
          <reference field="15" count="1">
            <x v="38"/>
          </reference>
        </references>
      </pivotArea>
    </format>
    <format dxfId="1259">
      <pivotArea dataOnly="0" labelOnly="1" fieldPosition="0">
        <references count="2">
          <reference field="9" count="1" selected="0">
            <x v="45"/>
          </reference>
          <reference field="15" count="1">
            <x v="19"/>
          </reference>
        </references>
      </pivotArea>
    </format>
    <format dxfId="1260">
      <pivotArea dataOnly="0" labelOnly="1" fieldPosition="0">
        <references count="2">
          <reference field="9" count="1" selected="0">
            <x v="46"/>
          </reference>
          <reference field="15" count="1">
            <x v="55"/>
          </reference>
        </references>
      </pivotArea>
    </format>
    <format dxfId="1261">
      <pivotArea dataOnly="0" labelOnly="1" fieldPosition="0">
        <references count="2">
          <reference field="9" count="1" selected="0">
            <x v="47"/>
          </reference>
          <reference field="15" count="1">
            <x v="2"/>
          </reference>
        </references>
      </pivotArea>
    </format>
    <format dxfId="1262">
      <pivotArea dataOnly="0" labelOnly="1" fieldPosition="0">
        <references count="2">
          <reference field="9" count="1" selected="0">
            <x v="48"/>
          </reference>
          <reference field="15" count="1">
            <x v="17"/>
          </reference>
        </references>
      </pivotArea>
    </format>
    <format dxfId="1263">
      <pivotArea dataOnly="0" labelOnly="1" fieldPosition="0">
        <references count="2">
          <reference field="9" count="1" selected="0">
            <x v="49"/>
          </reference>
          <reference field="15" count="1">
            <x v="49"/>
          </reference>
        </references>
      </pivotArea>
    </format>
    <format dxfId="1264">
      <pivotArea dataOnly="0" labelOnly="1" fieldPosition="0">
        <references count="2">
          <reference field="9" count="1" selected="0">
            <x v="50"/>
          </reference>
          <reference field="15" count="1">
            <x v="41"/>
          </reference>
        </references>
      </pivotArea>
    </format>
    <format dxfId="1265">
      <pivotArea dataOnly="0" labelOnly="1" fieldPosition="0">
        <references count="2">
          <reference field="9" count="1" selected="0">
            <x v="51"/>
          </reference>
          <reference field="15" count="1">
            <x v="27"/>
          </reference>
        </references>
      </pivotArea>
    </format>
    <format dxfId="1266">
      <pivotArea dataOnly="0" labelOnly="1" fieldPosition="0">
        <references count="2">
          <reference field="9" count="1" selected="0">
            <x v="52"/>
          </reference>
          <reference field="15" count="1">
            <x v="39"/>
          </reference>
        </references>
      </pivotArea>
    </format>
    <format dxfId="1267">
      <pivotArea dataOnly="0" labelOnly="1" fieldPosition="0">
        <references count="2">
          <reference field="9" count="1" selected="0">
            <x v="53"/>
          </reference>
          <reference field="15" count="1">
            <x v="31"/>
          </reference>
        </references>
      </pivotArea>
    </format>
    <format dxfId="1268">
      <pivotArea dataOnly="0" labelOnly="1" fieldPosition="0">
        <references count="2">
          <reference field="9" count="1" selected="0">
            <x v="54"/>
          </reference>
          <reference field="15" count="1">
            <x v="34"/>
          </reference>
        </references>
      </pivotArea>
    </format>
    <format dxfId="1269">
      <pivotArea dataOnly="0" labelOnly="1" fieldPosition="0">
        <references count="2">
          <reference field="9" count="1" selected="0">
            <x v="55"/>
          </reference>
          <reference field="15" count="1">
            <x v="3"/>
          </reference>
        </references>
      </pivotArea>
    </format>
    <format dxfId="1270">
      <pivotArea dataOnly="0" labelOnly="1" fieldPosition="0">
        <references count="2">
          <reference field="9" count="1" selected="0">
            <x v="56"/>
          </reference>
          <reference field="15" count="1">
            <x v="45"/>
          </reference>
        </references>
      </pivotArea>
    </format>
    <format dxfId="1271">
      <pivotArea dataOnly="0" labelOnly="1" fieldPosition="0">
        <references count="2">
          <reference field="9" count="1" selected="0">
            <x v="57"/>
          </reference>
          <reference field="15" count="1">
            <x v="42"/>
          </reference>
        </references>
      </pivotArea>
    </format>
    <format dxfId="1272">
      <pivotArea dataOnly="0" labelOnly="1" fieldPosition="0">
        <references count="2">
          <reference field="9" count="1" selected="0">
            <x v="58"/>
          </reference>
          <reference field="15" count="1">
            <x v="57"/>
          </reference>
        </references>
      </pivotArea>
    </format>
    <format dxfId="1273">
      <pivotArea dataOnly="0" labelOnly="1" fieldPosition="0">
        <references count="2">
          <reference field="9" count="1" selected="0">
            <x v="59"/>
          </reference>
          <reference field="15" count="1">
            <x v="20"/>
          </reference>
        </references>
      </pivotArea>
    </format>
    <format dxfId="1274">
      <pivotArea dataOnly="0" labelOnly="1" fieldPosition="0">
        <references count="2">
          <reference field="9" count="1" selected="0">
            <x v="60"/>
          </reference>
          <reference field="15" count="1">
            <x v="48"/>
          </reference>
        </references>
      </pivotArea>
    </format>
    <format dxfId="1275">
      <pivotArea dataOnly="0" labelOnly="1" fieldPosition="0">
        <references count="2">
          <reference field="9" count="1" selected="0">
            <x v="61"/>
          </reference>
          <reference field="15" count="1">
            <x v="32"/>
          </reference>
        </references>
      </pivotArea>
    </format>
    <format dxfId="1276">
      <pivotArea dataOnly="0" labelOnly="1" fieldPosition="0">
        <references count="2">
          <reference field="9" count="1" selected="0">
            <x v="62"/>
          </reference>
          <reference field="15" count="1">
            <x v="36"/>
          </reference>
        </references>
      </pivotArea>
    </format>
    <format dxfId="1277">
      <pivotArea dataOnly="0" labelOnly="1" fieldPosition="0">
        <references count="3">
          <reference field="8" count="2">
            <x v="34"/>
            <x v="53"/>
          </reference>
          <reference field="9" count="1" selected="0">
            <x v="0"/>
          </reference>
          <reference field="15" count="1" selected="0">
            <x v="60"/>
          </reference>
        </references>
      </pivotArea>
    </format>
    <format dxfId="1278">
      <pivotArea dataOnly="0" labelOnly="1" fieldPosition="0">
        <references count="3">
          <reference field="8" count="3">
            <x v="5"/>
            <x v="29"/>
            <x v="36"/>
          </reference>
          <reference field="9" count="1" selected="0">
            <x v="1"/>
          </reference>
          <reference field="15" count="1" selected="0">
            <x v="54"/>
          </reference>
        </references>
      </pivotArea>
    </format>
    <format dxfId="1279">
      <pivotArea dataOnly="0" labelOnly="1" fieldPosition="0">
        <references count="3">
          <reference field="8" count="2">
            <x v="13"/>
            <x v="24"/>
          </reference>
          <reference field="9" count="1" selected="0">
            <x v="2"/>
          </reference>
          <reference field="15" count="1" selected="0">
            <x v="33"/>
          </reference>
        </references>
      </pivotArea>
    </format>
    <format dxfId="1280">
      <pivotArea dataOnly="0" labelOnly="1" fieldPosition="0">
        <references count="3">
          <reference field="8" count="1">
            <x v="11"/>
          </reference>
          <reference field="9" count="1" selected="0">
            <x v="3"/>
          </reference>
          <reference field="15" count="1" selected="0">
            <x v="46"/>
          </reference>
        </references>
      </pivotArea>
    </format>
    <format dxfId="1281">
      <pivotArea dataOnly="0" labelOnly="1" fieldPosition="0">
        <references count="3">
          <reference field="8" count="2">
            <x v="32"/>
            <x v="48"/>
          </reference>
          <reference field="9" count="1" selected="0">
            <x v="4"/>
          </reference>
          <reference field="15" count="1" selected="0">
            <x v="58"/>
          </reference>
        </references>
      </pivotArea>
    </format>
    <format dxfId="1282">
      <pivotArea dataOnly="0" labelOnly="1" fieldPosition="0">
        <references count="3">
          <reference field="8" count="5">
            <x v="0"/>
            <x v="2"/>
            <x v="14"/>
            <x v="29"/>
            <x v="52"/>
          </reference>
          <reference field="9" count="1" selected="0">
            <x v="5"/>
          </reference>
          <reference field="15" count="1" selected="0">
            <x v="22"/>
          </reference>
        </references>
      </pivotArea>
    </format>
    <format dxfId="1283">
      <pivotArea dataOnly="0" labelOnly="1" fieldPosition="0">
        <references count="3">
          <reference field="8" count="3">
            <x v="52"/>
            <x v="61"/>
            <x v="62"/>
          </reference>
          <reference field="9" count="1" selected="0">
            <x v="6"/>
          </reference>
          <reference field="15" count="1" selected="0">
            <x v="6"/>
          </reference>
        </references>
      </pivotArea>
    </format>
    <format dxfId="1284">
      <pivotArea dataOnly="0" labelOnly="1" fieldPosition="0">
        <references count="3">
          <reference field="8" count="1">
            <x v="20"/>
          </reference>
          <reference field="9" count="1" selected="0">
            <x v="7"/>
          </reference>
          <reference field="15" count="1" selected="0">
            <x v="26"/>
          </reference>
        </references>
      </pivotArea>
    </format>
    <format dxfId="1285">
      <pivotArea dataOnly="0" labelOnly="1" fieldPosition="0">
        <references count="3">
          <reference field="8" count="1">
            <x v="16"/>
          </reference>
          <reference field="9" count="1" selected="0">
            <x v="8"/>
          </reference>
          <reference field="15" count="1" selected="0">
            <x v="16"/>
          </reference>
        </references>
      </pivotArea>
    </format>
    <format dxfId="1286">
      <pivotArea dataOnly="0" labelOnly="1" fieldPosition="0">
        <references count="3">
          <reference field="8" count="1">
            <x v="12"/>
          </reference>
          <reference field="9" count="1" selected="0">
            <x v="9"/>
          </reference>
          <reference field="15" count="1" selected="0">
            <x v="15"/>
          </reference>
        </references>
      </pivotArea>
    </format>
    <format dxfId="1287">
      <pivotArea dataOnly="0" labelOnly="1" fieldPosition="0">
        <references count="3">
          <reference field="8" count="1">
            <x v="17"/>
          </reference>
          <reference field="9" count="1" selected="0">
            <x v="10"/>
          </reference>
          <reference field="15" count="1" selected="0">
            <x v="10"/>
          </reference>
        </references>
      </pivotArea>
    </format>
    <format dxfId="1288">
      <pivotArea dataOnly="0" labelOnly="1" fieldPosition="0">
        <references count="3">
          <reference field="8" count="1">
            <x v="21"/>
          </reference>
          <reference field="9" count="1" selected="0">
            <x v="11"/>
          </reference>
          <reference field="15" count="1" selected="0">
            <x v="23"/>
          </reference>
        </references>
      </pivotArea>
    </format>
    <format dxfId="1289">
      <pivotArea dataOnly="0" labelOnly="1" fieldPosition="0">
        <references count="3">
          <reference field="8" count="1">
            <x v="21"/>
          </reference>
          <reference field="9" count="1" selected="0">
            <x v="12"/>
          </reference>
          <reference field="15" count="1" selected="0">
            <x v="24"/>
          </reference>
        </references>
      </pivotArea>
    </format>
    <format dxfId="1290">
      <pivotArea dataOnly="0" labelOnly="1" fieldPosition="0">
        <references count="3">
          <reference field="8" count="4">
            <x v="37"/>
            <x v="39"/>
            <x v="44"/>
            <x v="62"/>
          </reference>
          <reference field="9" count="1" selected="0">
            <x v="13"/>
          </reference>
          <reference field="15" count="1" selected="0">
            <x v="7"/>
          </reference>
        </references>
      </pivotArea>
    </format>
    <format dxfId="1291">
      <pivotArea dataOnly="0" labelOnly="1" fieldPosition="0">
        <references count="3">
          <reference field="8" count="3">
            <x v="0"/>
            <x v="42"/>
            <x v="47"/>
          </reference>
          <reference field="9" count="1" selected="0">
            <x v="14"/>
          </reference>
          <reference field="15" count="1" selected="0">
            <x v="9"/>
          </reference>
        </references>
      </pivotArea>
    </format>
    <format dxfId="1292">
      <pivotArea dataOnly="0" labelOnly="1" fieldPosition="0">
        <references count="3">
          <reference field="8" count="1">
            <x v="6"/>
          </reference>
          <reference field="9" count="1" selected="0">
            <x v="15"/>
          </reference>
          <reference field="15" count="1" selected="0">
            <x v="64"/>
          </reference>
        </references>
      </pivotArea>
    </format>
    <format dxfId="1293">
      <pivotArea dataOnly="0" labelOnly="1" fieldPosition="0">
        <references count="3">
          <reference field="8" count="1">
            <x v="59"/>
          </reference>
          <reference field="9" count="1" selected="0">
            <x v="16"/>
          </reference>
          <reference field="15" count="1" selected="0">
            <x v="18"/>
          </reference>
        </references>
      </pivotArea>
    </format>
    <format dxfId="1294">
      <pivotArea dataOnly="0" labelOnly="1" fieldPosition="0">
        <references count="3">
          <reference field="8" count="2">
            <x v="34"/>
            <x v="35"/>
          </reference>
          <reference field="9" count="1" selected="0">
            <x v="17"/>
          </reference>
          <reference field="15" count="1" selected="0">
            <x v="56"/>
          </reference>
        </references>
      </pivotArea>
    </format>
    <format dxfId="1295">
      <pivotArea dataOnly="0" labelOnly="1" fieldPosition="0">
        <references count="3">
          <reference field="8" count="1">
            <x v="30"/>
          </reference>
          <reference field="9" count="1" selected="0">
            <x v="18"/>
          </reference>
          <reference field="15" count="1" selected="0">
            <x v="62"/>
          </reference>
        </references>
      </pivotArea>
    </format>
    <format dxfId="1296">
      <pivotArea dataOnly="0" labelOnly="1" fieldPosition="0">
        <references count="3">
          <reference field="8" count="1">
            <x v="11"/>
          </reference>
          <reference field="9" count="1" selected="0">
            <x v="19"/>
          </reference>
          <reference field="15" count="1" selected="0">
            <x v="13"/>
          </reference>
        </references>
      </pivotArea>
    </format>
    <format dxfId="1297">
      <pivotArea dataOnly="0" labelOnly="1" fieldPosition="0">
        <references count="3">
          <reference field="8" count="2">
            <x v="19"/>
            <x v="59"/>
          </reference>
          <reference field="9" count="1" selected="0">
            <x v="20"/>
          </reference>
          <reference field="15" count="1" selected="0">
            <x v="40"/>
          </reference>
        </references>
      </pivotArea>
    </format>
    <format dxfId="1298">
      <pivotArea dataOnly="0" labelOnly="1" fieldPosition="0">
        <references count="3">
          <reference field="8" count="2">
            <x v="5"/>
            <x v="51"/>
          </reference>
          <reference field="9" count="1" selected="0">
            <x v="21"/>
          </reference>
          <reference field="15" count="1" selected="0">
            <x v="1"/>
          </reference>
        </references>
      </pivotArea>
    </format>
    <format dxfId="1299">
      <pivotArea dataOnly="0" labelOnly="1" fieldPosition="0">
        <references count="3">
          <reference field="8" count="5">
            <x v="2"/>
            <x v="6"/>
            <x v="9"/>
            <x v="15"/>
            <x v="26"/>
          </reference>
          <reference field="9" count="1" selected="0">
            <x v="23"/>
          </reference>
          <reference field="15" count="1" selected="0">
            <x v="50"/>
          </reference>
        </references>
      </pivotArea>
    </format>
    <format dxfId="1300">
      <pivotArea dataOnly="0" labelOnly="1" fieldPosition="0">
        <references count="3">
          <reference field="8" count="1">
            <x v="22"/>
          </reference>
          <reference field="9" count="1" selected="0">
            <x v="24"/>
          </reference>
          <reference field="15" count="1" selected="0">
            <x v="37"/>
          </reference>
        </references>
      </pivotArea>
    </format>
    <format dxfId="1301">
      <pivotArea dataOnly="0" labelOnly="1" fieldPosition="0">
        <references count="3">
          <reference field="8" count="5">
            <x v="4"/>
            <x v="14"/>
            <x v="62"/>
            <x v="63"/>
            <x v="64"/>
          </reference>
          <reference field="9" count="1" selected="0">
            <x v="25"/>
          </reference>
          <reference field="15" count="1" selected="0">
            <x v="4"/>
          </reference>
        </references>
      </pivotArea>
    </format>
    <format dxfId="1302">
      <pivotArea dataOnly="0" labelOnly="1" fieldPosition="0">
        <references count="3">
          <reference field="8" count="2">
            <x v="2"/>
            <x v="29"/>
          </reference>
          <reference field="9" count="1" selected="0">
            <x v="26"/>
          </reference>
          <reference field="15" count="1" selected="0">
            <x v="29"/>
          </reference>
        </references>
      </pivotArea>
    </format>
    <format dxfId="1303">
      <pivotArea dataOnly="0" labelOnly="1" fieldPosition="0">
        <references count="3">
          <reference field="8" count="3">
            <x v="51"/>
            <x v="57"/>
            <x v="64"/>
          </reference>
          <reference field="9" count="1" selected="0">
            <x v="27"/>
          </reference>
          <reference field="15" count="1" selected="0">
            <x v="12"/>
          </reference>
        </references>
      </pivotArea>
    </format>
    <format dxfId="1304">
      <pivotArea dataOnly="0" labelOnly="1" fieldPosition="0">
        <references count="3">
          <reference field="8" count="2">
            <x v="32"/>
            <x v="48"/>
          </reference>
          <reference field="9" count="1" selected="0">
            <x v="28"/>
          </reference>
          <reference field="15" count="1" selected="0">
            <x v="59"/>
          </reference>
        </references>
      </pivotArea>
    </format>
    <format dxfId="1305">
      <pivotArea dataOnly="0" labelOnly="1" fieldPosition="0">
        <references count="3">
          <reference field="8" count="3">
            <x v="1"/>
            <x v="27"/>
            <x v="30"/>
          </reference>
          <reference field="9" count="1" selected="0">
            <x v="29"/>
          </reference>
          <reference field="15" count="1" selected="0">
            <x v="52"/>
          </reference>
        </references>
      </pivotArea>
    </format>
    <format dxfId="1306">
      <pivotArea dataOnly="0" labelOnly="1" fieldPosition="0">
        <references count="3">
          <reference field="8" count="3">
            <x v="1"/>
            <x v="27"/>
            <x v="30"/>
          </reference>
          <reference field="9" count="1" selected="0">
            <x v="30"/>
          </reference>
          <reference field="15" count="1" selected="0">
            <x v="53"/>
          </reference>
        </references>
      </pivotArea>
    </format>
    <format dxfId="1307">
      <pivotArea dataOnly="0" labelOnly="1" fieldPosition="0">
        <references count="3">
          <reference field="8" count="2">
            <x v="40"/>
            <x v="43"/>
          </reference>
          <reference field="9" count="1" selected="0">
            <x v="31"/>
          </reference>
          <reference field="15" count="1" selected="0">
            <x v="47"/>
          </reference>
        </references>
      </pivotArea>
    </format>
    <format dxfId="1308">
      <pivotArea dataOnly="0" labelOnly="1" fieldPosition="0">
        <references count="3">
          <reference field="8" count="2">
            <x v="37"/>
            <x v="52"/>
          </reference>
          <reference field="9" count="1" selected="0">
            <x v="32"/>
          </reference>
          <reference field="15" count="1" selected="0">
            <x v="5"/>
          </reference>
        </references>
      </pivotArea>
    </format>
    <format dxfId="1309">
      <pivotArea dataOnly="0" labelOnly="1" fieldPosition="0">
        <references count="3">
          <reference field="8" count="1">
            <x v="45"/>
          </reference>
          <reference field="9" count="1" selected="0">
            <x v="33"/>
          </reference>
          <reference field="15" count="1" selected="0">
            <x v="51"/>
          </reference>
        </references>
      </pivotArea>
    </format>
    <format dxfId="1310">
      <pivotArea dataOnly="0" labelOnly="1" fieldPosition="0">
        <references count="3">
          <reference field="8" count="1">
            <x v="66"/>
          </reference>
          <reference field="9" count="1" selected="0">
            <x v="34"/>
          </reference>
          <reference field="15" count="1" selected="0">
            <x v="35"/>
          </reference>
        </references>
      </pivotArea>
    </format>
    <format dxfId="1311">
      <pivotArea dataOnly="0" labelOnly="1" fieldPosition="0">
        <references count="3">
          <reference field="8" count="6">
            <x v="0"/>
            <x v="5"/>
            <x v="14"/>
            <x v="47"/>
            <x v="51"/>
            <x v="52"/>
          </reference>
          <reference field="9" count="1" selected="0">
            <x v="35"/>
          </reference>
          <reference field="15" count="1" selected="0">
            <x v="8"/>
          </reference>
        </references>
      </pivotArea>
    </format>
    <format dxfId="1312">
      <pivotArea dataOnly="0" labelOnly="1" fieldPosition="0">
        <references count="3">
          <reference field="8" count="1">
            <x v="17"/>
          </reference>
          <reference field="9" count="1" selected="0">
            <x v="36"/>
          </reference>
          <reference field="15" count="1" selected="0">
            <x v="11"/>
          </reference>
        </references>
      </pivotArea>
    </format>
    <format dxfId="1313">
      <pivotArea dataOnly="0" labelOnly="1" fieldPosition="0">
        <references count="3">
          <reference field="8" count="2">
            <x v="6"/>
            <x v="55"/>
          </reference>
          <reference field="9" count="1" selected="0">
            <x v="37"/>
          </reference>
          <reference field="15" count="1" selected="0">
            <x v="43"/>
          </reference>
        </references>
      </pivotArea>
    </format>
    <format dxfId="1314">
      <pivotArea dataOnly="0" labelOnly="1" fieldPosition="0">
        <references count="3">
          <reference field="8" count="1">
            <x v="30"/>
          </reference>
          <reference field="9" count="1" selected="0">
            <x v="38"/>
          </reference>
          <reference field="15" count="1" selected="0">
            <x v="61"/>
          </reference>
        </references>
      </pivotArea>
    </format>
    <format dxfId="1315">
      <pivotArea dataOnly="0" labelOnly="1" fieldPosition="0">
        <references count="3">
          <reference field="8" count="1">
            <x v="49"/>
          </reference>
          <reference field="9" count="1" selected="0">
            <x v="39"/>
          </reference>
          <reference field="15" count="1" selected="0">
            <x v="30"/>
          </reference>
        </references>
      </pivotArea>
    </format>
    <format dxfId="1316">
      <pivotArea dataOnly="0" labelOnly="1" fieldPosition="0">
        <references count="3">
          <reference field="8" count="1">
            <x v="13"/>
          </reference>
          <reference field="9" count="1" selected="0">
            <x v="40"/>
          </reference>
          <reference field="15" count="1" selected="0">
            <x v="28"/>
          </reference>
        </references>
      </pivotArea>
    </format>
    <format dxfId="1317">
      <pivotArea dataOnly="0" labelOnly="1" fieldPosition="0">
        <references count="3">
          <reference field="8" count="1">
            <x v="12"/>
          </reference>
          <reference field="9" count="1" selected="0">
            <x v="42"/>
          </reference>
          <reference field="15" count="1" selected="0">
            <x v="21"/>
          </reference>
        </references>
      </pivotArea>
    </format>
    <format dxfId="1318">
      <pivotArea dataOnly="0" labelOnly="1" fieldPosition="0">
        <references count="3">
          <reference field="8" count="1">
            <x v="24"/>
          </reference>
          <reference field="9" count="1" selected="0">
            <x v="43"/>
          </reference>
          <reference field="15" count="1" selected="0">
            <x v="14"/>
          </reference>
        </references>
      </pivotArea>
    </format>
    <format dxfId="1319">
      <pivotArea dataOnly="0" labelOnly="1" fieldPosition="0">
        <references count="3">
          <reference field="8" count="1">
            <x v="22"/>
          </reference>
          <reference field="9" count="1" selected="0">
            <x v="44"/>
          </reference>
          <reference field="15" count="1" selected="0">
            <x v="38"/>
          </reference>
        </references>
      </pivotArea>
    </format>
    <format dxfId="1320">
      <pivotArea dataOnly="0" labelOnly="1" fieldPosition="0">
        <references count="3">
          <reference field="8" count="1">
            <x v="41"/>
          </reference>
          <reference field="9" count="1" selected="0">
            <x v="45"/>
          </reference>
          <reference field="15" count="1" selected="0">
            <x v="19"/>
          </reference>
        </references>
      </pivotArea>
    </format>
    <format dxfId="1321">
      <pivotArea dataOnly="0" labelOnly="1" fieldPosition="0">
        <references count="3">
          <reference field="8" count="3">
            <x v="8"/>
            <x v="31"/>
            <x v="55"/>
          </reference>
          <reference field="9" count="1" selected="0">
            <x v="46"/>
          </reference>
          <reference field="15" count="1" selected="0">
            <x v="55"/>
          </reference>
        </references>
      </pivotArea>
    </format>
    <format dxfId="1322">
      <pivotArea dataOnly="0" labelOnly="1" fieldPosition="0">
        <references count="3">
          <reference field="8" count="3">
            <x v="0"/>
            <x v="39"/>
            <x v="65"/>
          </reference>
          <reference field="9" count="1" selected="0">
            <x v="47"/>
          </reference>
          <reference field="15" count="1" selected="0">
            <x v="2"/>
          </reference>
        </references>
      </pivotArea>
    </format>
    <format dxfId="1323">
      <pivotArea dataOnly="0" labelOnly="1" fieldPosition="0">
        <references count="3">
          <reference field="8" count="1">
            <x v="18"/>
          </reference>
          <reference field="9" count="1" selected="0">
            <x v="48"/>
          </reference>
          <reference field="15" count="1" selected="0">
            <x v="17"/>
          </reference>
        </references>
      </pivotArea>
    </format>
    <format dxfId="1324">
      <pivotArea dataOnly="0" labelOnly="1" fieldPosition="0">
        <references count="3">
          <reference field="8" count="1">
            <x v="23"/>
          </reference>
          <reference field="9" count="1" selected="0">
            <x v="49"/>
          </reference>
          <reference field="15" count="1" selected="0">
            <x v="49"/>
          </reference>
        </references>
      </pivotArea>
    </format>
    <format dxfId="1325">
      <pivotArea dataOnly="0" labelOnly="1" fieldPosition="0">
        <references count="3">
          <reference field="8" count="1">
            <x v="60"/>
          </reference>
          <reference field="9" count="1" selected="0">
            <x v="50"/>
          </reference>
          <reference field="15" count="1" selected="0">
            <x v="41"/>
          </reference>
        </references>
      </pivotArea>
    </format>
    <format dxfId="1326">
      <pivotArea dataOnly="0" labelOnly="1" fieldPosition="0">
        <references count="3">
          <reference field="8" count="2">
            <x v="3"/>
            <x v="46"/>
          </reference>
          <reference field="9" count="1" selected="0">
            <x v="51"/>
          </reference>
          <reference field="15" count="1" selected="0">
            <x v="27"/>
          </reference>
        </references>
      </pivotArea>
    </format>
    <format dxfId="1327">
      <pivotArea dataOnly="0" labelOnly="1" fieldPosition="0">
        <references count="3">
          <reference field="8" count="1">
            <x v="54"/>
          </reference>
          <reference field="9" count="1" selected="0">
            <x v="52"/>
          </reference>
          <reference field="15" count="1" selected="0">
            <x v="39"/>
          </reference>
        </references>
      </pivotArea>
    </format>
    <format dxfId="1328">
      <pivotArea dataOnly="0" labelOnly="1" fieldPosition="0">
        <references count="3">
          <reference field="8" count="2">
            <x v="35"/>
            <x v="56"/>
          </reference>
          <reference field="9" count="1" selected="0">
            <x v="53"/>
          </reference>
          <reference field="15" count="1" selected="0">
            <x v="31"/>
          </reference>
        </references>
      </pivotArea>
    </format>
    <format dxfId="1329">
      <pivotArea dataOnly="0" labelOnly="1" fieldPosition="0">
        <references count="3">
          <reference field="8" count="4">
            <x v="0"/>
            <x v="39"/>
            <x v="42"/>
            <x v="51"/>
          </reference>
          <reference field="9" count="1" selected="0">
            <x v="54"/>
          </reference>
          <reference field="15" count="1" selected="0">
            <x v="34"/>
          </reference>
        </references>
      </pivotArea>
    </format>
    <format dxfId="1330">
      <pivotArea dataOnly="0" labelOnly="1" fieldPosition="0">
        <references count="3">
          <reference field="8" count="1">
            <x v="10"/>
          </reference>
          <reference field="9" count="1" selected="0">
            <x v="55"/>
          </reference>
          <reference field="15" count="1" selected="0">
            <x v="3"/>
          </reference>
        </references>
      </pivotArea>
    </format>
    <format dxfId="1331">
      <pivotArea dataOnly="0" labelOnly="1" fieldPosition="0">
        <references count="3">
          <reference field="8" count="2">
            <x v="38"/>
            <x v="43"/>
          </reference>
          <reference field="9" count="1" selected="0">
            <x v="56"/>
          </reference>
          <reference field="15" count="1" selected="0">
            <x v="45"/>
          </reference>
        </references>
      </pivotArea>
    </format>
    <format dxfId="1332">
      <pivotArea dataOnly="0" labelOnly="1" fieldPosition="0">
        <references count="3">
          <reference field="8" count="1">
            <x v="66"/>
          </reference>
          <reference field="9" count="1" selected="0">
            <x v="57"/>
          </reference>
          <reference field="15" count="1" selected="0">
            <x v="42"/>
          </reference>
        </references>
      </pivotArea>
    </format>
    <format dxfId="1333">
      <pivotArea dataOnly="0" labelOnly="1" fieldPosition="0">
        <references count="3">
          <reference field="8" count="1">
            <x v="8"/>
          </reference>
          <reference field="9" count="1" selected="0">
            <x v="58"/>
          </reference>
          <reference field="15" count="1" selected="0">
            <x v="57"/>
          </reference>
        </references>
      </pivotArea>
    </format>
    <format dxfId="1334">
      <pivotArea dataOnly="0" labelOnly="1" fieldPosition="0">
        <references count="3">
          <reference field="8" count="1">
            <x v="25"/>
          </reference>
          <reference field="9" count="1" selected="0">
            <x v="59"/>
          </reference>
          <reference field="15" count="1" selected="0">
            <x v="20"/>
          </reference>
        </references>
      </pivotArea>
    </format>
    <format dxfId="1335">
      <pivotArea dataOnly="0" labelOnly="1" fieldPosition="0">
        <references count="3">
          <reference field="8" count="1">
            <x v="43"/>
          </reference>
          <reference field="9" count="1" selected="0">
            <x v="60"/>
          </reference>
          <reference field="15" count="1" selected="0">
            <x v="48"/>
          </reference>
        </references>
      </pivotArea>
    </format>
    <format dxfId="1336">
      <pivotArea dataOnly="0" labelOnly="1" fieldPosition="0">
        <references count="3">
          <reference field="8" count="1">
            <x v="18"/>
          </reference>
          <reference field="9" count="1" selected="0">
            <x v="61"/>
          </reference>
          <reference field="15" count="1" selected="0">
            <x v="32"/>
          </reference>
        </references>
      </pivotArea>
    </format>
    <format dxfId="1337">
      <pivotArea dataOnly="0" labelOnly="1" fieldPosition="0">
        <references count="3">
          <reference field="8" count="1">
            <x v="25"/>
          </reference>
          <reference field="9" count="1" selected="0">
            <x v="62"/>
          </reference>
          <reference field="15" count="1" selected="0">
            <x v="36"/>
          </reference>
        </references>
      </pivotArea>
    </format>
    <format dxfId="1338">
      <pivotArea dataOnly="0" labelOnly="1" fieldPosition="0">
        <references count="4">
          <reference field="8" count="1" selected="0">
            <x v="34"/>
          </reference>
          <reference field="9" count="1" selected="0">
            <x v="0"/>
          </reference>
          <reference field="15" count="1" selected="0">
            <x v="60"/>
          </reference>
          <reference field="16" count="1">
            <x v="6"/>
          </reference>
        </references>
      </pivotArea>
    </format>
    <format dxfId="1339">
      <pivotArea dataOnly="0" labelOnly="1" fieldPosition="0">
        <references count="4">
          <reference field="8" count="1" selected="0">
            <x v="53"/>
          </reference>
          <reference field="9" count="1" selected="0">
            <x v="0"/>
          </reference>
          <reference field="15" count="1" selected="0">
            <x v="60"/>
          </reference>
          <reference field="16" count="1">
            <x v="8"/>
          </reference>
        </references>
      </pivotArea>
    </format>
    <format dxfId="1340">
      <pivotArea dataOnly="0" labelOnly="1" fieldPosition="0">
        <references count="4">
          <reference field="8" count="1" selected="0">
            <x v="5"/>
          </reference>
          <reference field="9" count="1" selected="0">
            <x v="1"/>
          </reference>
          <reference field="15" count="1" selected="0">
            <x v="54"/>
          </reference>
          <reference field="16" count="1">
            <x v="3"/>
          </reference>
        </references>
      </pivotArea>
    </format>
    <format dxfId="1341">
      <pivotArea dataOnly="0" labelOnly="1" fieldPosition="0">
        <references count="4">
          <reference field="8" count="1" selected="0">
            <x v="29"/>
          </reference>
          <reference field="9" count="1" selected="0">
            <x v="1"/>
          </reference>
          <reference field="15" count="1" selected="0">
            <x v="54"/>
          </reference>
          <reference field="16" count="1">
            <x v="11"/>
          </reference>
        </references>
      </pivotArea>
    </format>
    <format dxfId="1342">
      <pivotArea dataOnly="0" labelOnly="1" fieldPosition="0">
        <references count="4">
          <reference field="8" count="1" selected="0">
            <x v="36"/>
          </reference>
          <reference field="9" count="1" selected="0">
            <x v="1"/>
          </reference>
          <reference field="15" count="1" selected="0">
            <x v="54"/>
          </reference>
          <reference field="16" count="1">
            <x v="1"/>
          </reference>
        </references>
      </pivotArea>
    </format>
    <format dxfId="1343">
      <pivotArea dataOnly="0" labelOnly="1" fieldPosition="0">
        <references count="4">
          <reference field="8" count="1" selected="0">
            <x v="13"/>
          </reference>
          <reference field="9" count="1" selected="0">
            <x v="2"/>
          </reference>
          <reference field="15" count="1" selected="0">
            <x v="33"/>
          </reference>
          <reference field="16" count="1">
            <x v="12"/>
          </reference>
        </references>
      </pivotArea>
    </format>
    <format dxfId="1344">
      <pivotArea dataOnly="0" labelOnly="1" fieldPosition="0">
        <references count="4">
          <reference field="8" count="1" selected="0">
            <x v="11"/>
          </reference>
          <reference field="9" count="1" selected="0">
            <x v="3"/>
          </reference>
          <reference field="15" count="1" selected="0">
            <x v="46"/>
          </reference>
          <reference field="16" count="1">
            <x v="12"/>
          </reference>
        </references>
      </pivotArea>
    </format>
    <format dxfId="1345">
      <pivotArea dataOnly="0" labelOnly="1" fieldPosition="0">
        <references count="4">
          <reference field="8" count="1" selected="0">
            <x v="32"/>
          </reference>
          <reference field="9" count="1" selected="0">
            <x v="4"/>
          </reference>
          <reference field="15" count="1" selected="0">
            <x v="58"/>
          </reference>
          <reference field="16" count="1">
            <x v="10"/>
          </reference>
        </references>
      </pivotArea>
    </format>
    <format dxfId="1346">
      <pivotArea dataOnly="0" labelOnly="1" fieldPosition="0">
        <references count="4">
          <reference field="8" count="1" selected="0">
            <x v="0"/>
          </reference>
          <reference field="9" count="1" selected="0">
            <x v="5"/>
          </reference>
          <reference field="15" count="1" selected="0">
            <x v="22"/>
          </reference>
          <reference field="16" count="1">
            <x v="9"/>
          </reference>
        </references>
      </pivotArea>
    </format>
    <format dxfId="1347">
      <pivotArea dataOnly="0" labelOnly="1" fieldPosition="0">
        <references count="4">
          <reference field="8" count="1" selected="0">
            <x v="2"/>
          </reference>
          <reference field="9" count="1" selected="0">
            <x v="5"/>
          </reference>
          <reference field="15" count="1" selected="0">
            <x v="22"/>
          </reference>
          <reference field="16" count="1">
            <x v="11"/>
          </reference>
        </references>
      </pivotArea>
    </format>
    <format dxfId="1348">
      <pivotArea dataOnly="0" labelOnly="1" fieldPosition="0">
        <references count="4">
          <reference field="8" count="1" selected="0">
            <x v="14"/>
          </reference>
          <reference field="9" count="1" selected="0">
            <x v="5"/>
          </reference>
          <reference field="15" count="1" selected="0">
            <x v="22"/>
          </reference>
          <reference field="16" count="1">
            <x v="9"/>
          </reference>
        </references>
      </pivotArea>
    </format>
    <format dxfId="1349">
      <pivotArea dataOnly="0" labelOnly="1" fieldPosition="0">
        <references count="4">
          <reference field="8" count="1" selected="0">
            <x v="29"/>
          </reference>
          <reference field="9" count="1" selected="0">
            <x v="5"/>
          </reference>
          <reference field="15" count="1" selected="0">
            <x v="22"/>
          </reference>
          <reference field="16" count="1">
            <x v="11"/>
          </reference>
        </references>
      </pivotArea>
    </format>
    <format dxfId="1350">
      <pivotArea dataOnly="0" labelOnly="1" fieldPosition="0">
        <references count="4">
          <reference field="8" count="1" selected="0">
            <x v="52"/>
          </reference>
          <reference field="9" count="1" selected="0">
            <x v="5"/>
          </reference>
          <reference field="15" count="1" selected="0">
            <x v="22"/>
          </reference>
          <reference field="16" count="1">
            <x v="5"/>
          </reference>
        </references>
      </pivotArea>
    </format>
    <format dxfId="1351">
      <pivotArea dataOnly="0" labelOnly="1" fieldPosition="0">
        <references count="4">
          <reference field="8" count="1" selected="0">
            <x v="52"/>
          </reference>
          <reference field="9" count="1" selected="0">
            <x v="6"/>
          </reference>
          <reference field="15" count="1" selected="0">
            <x v="6"/>
          </reference>
          <reference field="16" count="1">
            <x v="5"/>
          </reference>
        </references>
      </pivotArea>
    </format>
    <format dxfId="1352">
      <pivotArea dataOnly="0" labelOnly="1" fieldPosition="0">
        <references count="4">
          <reference field="8" count="1" selected="0">
            <x v="61"/>
          </reference>
          <reference field="9" count="1" selected="0">
            <x v="6"/>
          </reference>
          <reference field="15" count="1" selected="0">
            <x v="6"/>
          </reference>
          <reference field="16" count="1">
            <x v="4"/>
          </reference>
        </references>
      </pivotArea>
    </format>
    <format dxfId="1353">
      <pivotArea dataOnly="0" labelOnly="1" fieldPosition="0">
        <references count="4">
          <reference field="8" count="1" selected="0">
            <x v="20"/>
          </reference>
          <reference field="9" count="1" selected="0">
            <x v="7"/>
          </reference>
          <reference field="15" count="1" selected="0">
            <x v="26"/>
          </reference>
          <reference field="16" count="1">
            <x v="12"/>
          </reference>
        </references>
      </pivotArea>
    </format>
    <format dxfId="1354">
      <pivotArea dataOnly="0" labelOnly="1" fieldPosition="0">
        <references count="4">
          <reference field="8" count="1" selected="0">
            <x v="16"/>
          </reference>
          <reference field="9" count="1" selected="0">
            <x v="8"/>
          </reference>
          <reference field="15" count="1" selected="0">
            <x v="16"/>
          </reference>
          <reference field="16" count="1">
            <x v="12"/>
          </reference>
        </references>
      </pivotArea>
    </format>
    <format dxfId="1355">
      <pivotArea dataOnly="0" labelOnly="1" fieldPosition="0">
        <references count="4">
          <reference field="8" count="1" selected="0">
            <x v="12"/>
          </reference>
          <reference field="9" count="1" selected="0">
            <x v="9"/>
          </reference>
          <reference field="15" count="1" selected="0">
            <x v="15"/>
          </reference>
          <reference field="16" count="1">
            <x v="12"/>
          </reference>
        </references>
      </pivotArea>
    </format>
    <format dxfId="1356">
      <pivotArea dataOnly="0" labelOnly="1" fieldPosition="0">
        <references count="4">
          <reference field="8" count="1" selected="0">
            <x v="17"/>
          </reference>
          <reference field="9" count="1" selected="0">
            <x v="10"/>
          </reference>
          <reference field="15" count="1" selected="0">
            <x v="10"/>
          </reference>
          <reference field="16" count="1">
            <x v="12"/>
          </reference>
        </references>
      </pivotArea>
    </format>
    <format dxfId="1357">
      <pivotArea dataOnly="0" labelOnly="1" fieldPosition="0">
        <references count="4">
          <reference field="8" count="1" selected="0">
            <x v="21"/>
          </reference>
          <reference field="9" count="1" selected="0">
            <x v="11"/>
          </reference>
          <reference field="15" count="1" selected="0">
            <x v="23"/>
          </reference>
          <reference field="16" count="1">
            <x v="12"/>
          </reference>
        </references>
      </pivotArea>
    </format>
    <format dxfId="1358">
      <pivotArea dataOnly="0" labelOnly="1" fieldPosition="0">
        <references count="4">
          <reference field="8" count="1" selected="0">
            <x v="21"/>
          </reference>
          <reference field="9" count="1" selected="0">
            <x v="12"/>
          </reference>
          <reference field="15" count="1" selected="0">
            <x v="24"/>
          </reference>
          <reference field="16" count="1">
            <x v="12"/>
          </reference>
        </references>
      </pivotArea>
    </format>
    <format dxfId="1359">
      <pivotArea dataOnly="0" labelOnly="1" fieldPosition="0">
        <references count="4">
          <reference field="8" count="1" selected="0">
            <x v="37"/>
          </reference>
          <reference field="9" count="1" selected="0">
            <x v="13"/>
          </reference>
          <reference field="15" count="1" selected="0">
            <x v="7"/>
          </reference>
          <reference field="16" count="1">
            <x v="1"/>
          </reference>
        </references>
      </pivotArea>
    </format>
    <format dxfId="1360">
      <pivotArea dataOnly="0" labelOnly="1" fieldPosition="0">
        <references count="4">
          <reference field="8" count="1" selected="0">
            <x v="39"/>
          </reference>
          <reference field="9" count="1" selected="0">
            <x v="13"/>
          </reference>
          <reference field="15" count="1" selected="0">
            <x v="7"/>
          </reference>
          <reference field="16" count="1">
            <x v="9"/>
          </reference>
        </references>
      </pivotArea>
    </format>
    <format dxfId="1361">
      <pivotArea dataOnly="0" labelOnly="1" fieldPosition="0">
        <references count="4">
          <reference field="8" count="1" selected="0">
            <x v="44"/>
          </reference>
          <reference field="9" count="1" selected="0">
            <x v="13"/>
          </reference>
          <reference field="15" count="1" selected="0">
            <x v="7"/>
          </reference>
          <reference field="16" count="1">
            <x v="2"/>
          </reference>
        </references>
      </pivotArea>
    </format>
    <format dxfId="1362">
      <pivotArea dataOnly="0" labelOnly="1" fieldPosition="0">
        <references count="4">
          <reference field="8" count="1" selected="0">
            <x v="62"/>
          </reference>
          <reference field="9" count="1" selected="0">
            <x v="13"/>
          </reference>
          <reference field="15" count="1" selected="0">
            <x v="7"/>
          </reference>
          <reference field="16" count="1">
            <x v="4"/>
          </reference>
        </references>
      </pivotArea>
    </format>
    <format dxfId="1363">
      <pivotArea dataOnly="0" labelOnly="1" fieldPosition="0">
        <references count="4">
          <reference field="8" count="1" selected="0">
            <x v="0"/>
          </reference>
          <reference field="9" count="1" selected="0">
            <x v="14"/>
          </reference>
          <reference field="15" count="1" selected="0">
            <x v="9"/>
          </reference>
          <reference field="16" count="1">
            <x v="9"/>
          </reference>
        </references>
      </pivotArea>
    </format>
    <format dxfId="1364">
      <pivotArea dataOnly="0" labelOnly="1" fieldPosition="0">
        <references count="4">
          <reference field="8" count="1" selected="0">
            <x v="47"/>
          </reference>
          <reference field="9" count="1" selected="0">
            <x v="14"/>
          </reference>
          <reference field="15" count="1" selected="0">
            <x v="9"/>
          </reference>
          <reference field="16" count="1">
            <x v="4"/>
          </reference>
        </references>
      </pivotArea>
    </format>
    <format dxfId="1365">
      <pivotArea dataOnly="0" labelOnly="1" fieldPosition="0">
        <references count="4">
          <reference field="8" count="1" selected="0">
            <x v="6"/>
          </reference>
          <reference field="9" count="1" selected="0">
            <x v="15"/>
          </reference>
          <reference field="15" count="1" selected="0">
            <x v="64"/>
          </reference>
          <reference field="16" count="1">
            <x v="3"/>
          </reference>
        </references>
      </pivotArea>
    </format>
    <format dxfId="1366">
      <pivotArea dataOnly="0" labelOnly="1" fieldPosition="0">
        <references count="4">
          <reference field="8" count="1" selected="0">
            <x v="59"/>
          </reference>
          <reference field="9" count="1" selected="0">
            <x v="16"/>
          </reference>
          <reference field="15" count="1" selected="0">
            <x v="18"/>
          </reference>
          <reference field="16" count="1">
            <x v="3"/>
          </reference>
        </references>
      </pivotArea>
    </format>
    <format dxfId="1367">
      <pivotArea dataOnly="0" labelOnly="1" fieldPosition="0">
        <references count="4">
          <reference field="8" count="1" selected="0">
            <x v="34"/>
          </reference>
          <reference field="9" count="1" selected="0">
            <x v="17"/>
          </reference>
          <reference field="15" count="1" selected="0">
            <x v="56"/>
          </reference>
          <reference field="16" count="1">
            <x v="6"/>
          </reference>
        </references>
      </pivotArea>
    </format>
    <format dxfId="1368">
      <pivotArea dataOnly="0" labelOnly="1" fieldPosition="0">
        <references count="4">
          <reference field="8" count="1" selected="0">
            <x v="30"/>
          </reference>
          <reference field="9" count="1" selected="0">
            <x v="18"/>
          </reference>
          <reference field="15" count="1" selected="0">
            <x v="62"/>
          </reference>
          <reference field="16" count="1">
            <x v="11"/>
          </reference>
        </references>
      </pivotArea>
    </format>
    <format dxfId="1369">
      <pivotArea dataOnly="0" labelOnly="1" fieldPosition="0">
        <references count="4">
          <reference field="8" count="1" selected="0">
            <x v="11"/>
          </reference>
          <reference field="9" count="1" selected="0">
            <x v="19"/>
          </reference>
          <reference field="15" count="1" selected="0">
            <x v="13"/>
          </reference>
          <reference field="16" count="1">
            <x v="12"/>
          </reference>
        </references>
      </pivotArea>
    </format>
    <format dxfId="1370">
      <pivotArea dataOnly="0" labelOnly="1" fieldPosition="0">
        <references count="4">
          <reference field="8" count="1" selected="0">
            <x v="19"/>
          </reference>
          <reference field="9" count="1" selected="0">
            <x v="20"/>
          </reference>
          <reference field="15" count="1" selected="0">
            <x v="40"/>
          </reference>
          <reference field="16" count="1">
            <x v="11"/>
          </reference>
        </references>
      </pivotArea>
    </format>
    <format dxfId="1371">
      <pivotArea dataOnly="0" labelOnly="1" fieldPosition="0">
        <references count="4">
          <reference field="8" count="1" selected="0">
            <x v="59"/>
          </reference>
          <reference field="9" count="1" selected="0">
            <x v="20"/>
          </reference>
          <reference field="15" count="1" selected="0">
            <x v="40"/>
          </reference>
          <reference field="16" count="1">
            <x v="3"/>
          </reference>
        </references>
      </pivotArea>
    </format>
    <format dxfId="1372">
      <pivotArea dataOnly="0" labelOnly="1" fieldPosition="0">
        <references count="4">
          <reference field="8" count="1" selected="0">
            <x v="5"/>
          </reference>
          <reference field="9" count="1" selected="0">
            <x v="21"/>
          </reference>
          <reference field="15" count="1" selected="0">
            <x v="1"/>
          </reference>
          <reference field="16" count="1">
            <x v="3"/>
          </reference>
        </references>
      </pivotArea>
    </format>
    <format dxfId="1373">
      <pivotArea dataOnly="0" labelOnly="1" fieldPosition="0">
        <references count="4">
          <reference field="8" count="1" selected="0">
            <x v="51"/>
          </reference>
          <reference field="9" count="1" selected="0">
            <x v="21"/>
          </reference>
          <reference field="15" count="1" selected="0">
            <x v="1"/>
          </reference>
          <reference field="16" count="1">
            <x v="11"/>
          </reference>
        </references>
      </pivotArea>
    </format>
    <format dxfId="1374">
      <pivotArea dataOnly="0" labelOnly="1" fieldPosition="0">
        <references count="4">
          <reference field="8" count="1" selected="0">
            <x v="2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11"/>
          </reference>
        </references>
      </pivotArea>
    </format>
    <format dxfId="1375">
      <pivotArea dataOnly="0" labelOnly="1" fieldPosition="0">
        <references count="4">
          <reference field="8" count="1" selected="0">
            <x v="6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3"/>
          </reference>
        </references>
      </pivotArea>
    </format>
    <format dxfId="1376">
      <pivotArea dataOnly="0" labelOnly="1" fieldPosition="0">
        <references count="4">
          <reference field="8" count="1" selected="0">
            <x v="26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11"/>
          </reference>
        </references>
      </pivotArea>
    </format>
    <format dxfId="1377">
      <pivotArea dataOnly="0" labelOnly="1" fieldPosition="0">
        <references count="4">
          <reference field="8" count="1" selected="0">
            <x v="22"/>
          </reference>
          <reference field="9" count="1" selected="0">
            <x v="24"/>
          </reference>
          <reference field="15" count="1" selected="0">
            <x v="37"/>
          </reference>
          <reference field="16" count="1">
            <x v="12"/>
          </reference>
        </references>
      </pivotArea>
    </format>
    <format dxfId="1378">
      <pivotArea dataOnly="0" labelOnly="1" fieldPosition="0">
        <references count="4">
          <reference field="8" count="1" selected="0">
            <x v="4"/>
          </reference>
          <reference field="9" count="1" selected="0">
            <x v="25"/>
          </reference>
          <reference field="15" count="1" selected="0">
            <x v="4"/>
          </reference>
          <reference field="16" count="1">
            <x v="9"/>
          </reference>
        </references>
      </pivotArea>
    </format>
    <format dxfId="1379">
      <pivotArea dataOnly="0" labelOnly="1" fieldPosition="0">
        <references count="4">
          <reference field="8" count="1" selected="0">
            <x v="62"/>
          </reference>
          <reference field="9" count="1" selected="0">
            <x v="25"/>
          </reference>
          <reference field="15" count="1" selected="0">
            <x v="4"/>
          </reference>
          <reference field="16" count="1">
            <x v="4"/>
          </reference>
        </references>
      </pivotArea>
    </format>
    <format dxfId="1380">
      <pivotArea dataOnly="0" labelOnly="1" fieldPosition="0">
        <references count="4">
          <reference field="8" count="1" selected="0">
            <x v="63"/>
          </reference>
          <reference field="9" count="1" selected="0">
            <x v="25"/>
          </reference>
          <reference field="15" count="1" selected="0">
            <x v="4"/>
          </reference>
          <reference field="16" count="1">
            <x v="11"/>
          </reference>
        </references>
      </pivotArea>
    </format>
    <format dxfId="1381">
      <pivotArea dataOnly="0" labelOnly="1" fieldPosition="0">
        <references count="4">
          <reference field="8" count="1" selected="0">
            <x v="2"/>
          </reference>
          <reference field="9" count="1" selected="0">
            <x v="26"/>
          </reference>
          <reference field="15" count="1" selected="0">
            <x v="29"/>
          </reference>
          <reference field="16" count="1">
            <x v="11"/>
          </reference>
        </references>
      </pivotArea>
    </format>
    <format dxfId="1382">
      <pivotArea dataOnly="0" labelOnly="1" fieldPosition="0">
        <references count="4">
          <reference field="8" count="1" selected="0">
            <x v="51"/>
          </reference>
          <reference field="9" count="1" selected="0">
            <x v="27"/>
          </reference>
          <reference field="15" count="1" selected="0">
            <x v="12"/>
          </reference>
          <reference field="16" count="1">
            <x v="11"/>
          </reference>
        </references>
      </pivotArea>
    </format>
    <format dxfId="1383">
      <pivotArea dataOnly="0" labelOnly="1" fieldPosition="0">
        <references count="4">
          <reference field="8" count="1" selected="0">
            <x v="32"/>
          </reference>
          <reference field="9" count="1" selected="0">
            <x v="28"/>
          </reference>
          <reference field="15" count="1" selected="0">
            <x v="59"/>
          </reference>
          <reference field="16" count="1">
            <x v="10"/>
          </reference>
        </references>
      </pivotArea>
    </format>
    <format dxfId="1384">
      <pivotArea dataOnly="0" labelOnly="1" fieldPosition="0">
        <references count="4">
          <reference field="8" count="1" selected="0">
            <x v="1"/>
          </reference>
          <reference field="9" count="1" selected="0">
            <x v="29"/>
          </reference>
          <reference field="15" count="1" selected="0">
            <x v="52"/>
          </reference>
          <reference field="16" count="1">
            <x v="10"/>
          </reference>
        </references>
      </pivotArea>
    </format>
    <format dxfId="1385">
      <pivotArea dataOnly="0" labelOnly="1" fieldPosition="0">
        <references count="4">
          <reference field="8" count="1" selected="0">
            <x v="27"/>
          </reference>
          <reference field="9" count="1" selected="0">
            <x v="29"/>
          </reference>
          <reference field="15" count="1" selected="0">
            <x v="52"/>
          </reference>
          <reference field="16" count="1">
            <x v="11"/>
          </reference>
        </references>
      </pivotArea>
    </format>
    <format dxfId="1386">
      <pivotArea dataOnly="0" labelOnly="1" fieldPosition="0">
        <references count="4">
          <reference field="8" count="1" selected="0">
            <x v="1"/>
          </reference>
          <reference field="9" count="1" selected="0">
            <x v="30"/>
          </reference>
          <reference field="15" count="1" selected="0">
            <x v="53"/>
          </reference>
          <reference field="16" count="1">
            <x v="10"/>
          </reference>
        </references>
      </pivotArea>
    </format>
    <format dxfId="1387">
      <pivotArea dataOnly="0" labelOnly="1" fieldPosition="0">
        <references count="4">
          <reference field="8" count="1" selected="0">
            <x v="27"/>
          </reference>
          <reference field="9" count="1" selected="0">
            <x v="30"/>
          </reference>
          <reference field="15" count="1" selected="0">
            <x v="53"/>
          </reference>
          <reference field="16" count="1">
            <x v="11"/>
          </reference>
        </references>
      </pivotArea>
    </format>
    <format dxfId="1388">
      <pivotArea dataOnly="0" labelOnly="1" fieldPosition="0">
        <references count="4">
          <reference field="8" count="1" selected="0">
            <x v="40"/>
          </reference>
          <reference field="9" count="1" selected="0">
            <x v="31"/>
          </reference>
          <reference field="15" count="1" selected="0">
            <x v="47"/>
          </reference>
          <reference field="16" count="1">
            <x v="2"/>
          </reference>
        </references>
      </pivotArea>
    </format>
    <format dxfId="1389">
      <pivotArea dataOnly="0" labelOnly="1" fieldPosition="0">
        <references count="4">
          <reference field="8" count="1" selected="0">
            <x v="43"/>
          </reference>
          <reference field="9" count="1" selected="0">
            <x v="31"/>
          </reference>
          <reference field="15" count="1" selected="0">
            <x v="47"/>
          </reference>
          <reference field="16" count="1">
            <x v="11"/>
          </reference>
        </references>
      </pivotArea>
    </format>
    <format dxfId="1390">
      <pivotArea dataOnly="0" labelOnly="1" fieldPosition="0">
        <references count="4">
          <reference field="8" count="1" selected="0">
            <x v="37"/>
          </reference>
          <reference field="9" count="1" selected="0">
            <x v="32"/>
          </reference>
          <reference field="15" count="1" selected="0">
            <x v="5"/>
          </reference>
          <reference field="16" count="1">
            <x v="1"/>
          </reference>
        </references>
      </pivotArea>
    </format>
    <format dxfId="1391">
      <pivotArea dataOnly="0" labelOnly="1" fieldPosition="0">
        <references count="4">
          <reference field="8" count="1" selected="0">
            <x v="52"/>
          </reference>
          <reference field="9" count="1" selected="0">
            <x v="32"/>
          </reference>
          <reference field="15" count="1" selected="0">
            <x v="5"/>
          </reference>
          <reference field="16" count="1">
            <x v="5"/>
          </reference>
        </references>
      </pivotArea>
    </format>
    <format dxfId="1392">
      <pivotArea dataOnly="0" labelOnly="1" fieldPosition="0">
        <references count="4">
          <reference field="8" count="1" selected="0">
            <x v="45"/>
          </reference>
          <reference field="9" count="1" selected="0">
            <x v="33"/>
          </reference>
          <reference field="15" count="1" selected="0">
            <x v="51"/>
          </reference>
          <reference field="16" count="1">
            <x v="11"/>
          </reference>
        </references>
      </pivotArea>
    </format>
    <format dxfId="1393">
      <pivotArea dataOnly="0" labelOnly="1" fieldPosition="0">
        <references count="4">
          <reference field="8" count="1" selected="0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>
            <x v="11"/>
          </reference>
        </references>
      </pivotArea>
    </format>
    <format dxfId="1394">
      <pivotArea dataOnly="0" labelOnly="1" fieldPosition="0">
        <references count="4">
          <reference field="8" count="1" selected="0">
            <x v="0"/>
          </reference>
          <reference field="9" count="1" selected="0">
            <x v="35"/>
          </reference>
          <reference field="15" count="1" selected="0">
            <x v="8"/>
          </reference>
          <reference field="16" count="1">
            <x v="9"/>
          </reference>
        </references>
      </pivotArea>
    </format>
    <format dxfId="1395">
      <pivotArea dataOnly="0" labelOnly="1" fieldPosition="0">
        <references count="4">
          <reference field="8" count="1" selected="0">
            <x v="5"/>
          </reference>
          <reference field="9" count="1" selected="0">
            <x v="35"/>
          </reference>
          <reference field="15" count="1" selected="0">
            <x v="8"/>
          </reference>
          <reference field="16" count="1">
            <x v="3"/>
          </reference>
        </references>
      </pivotArea>
    </format>
    <format dxfId="1396">
      <pivotArea dataOnly="0" labelOnly="1" fieldPosition="0">
        <references count="4">
          <reference field="8" count="1" selected="0">
            <x v="14"/>
          </reference>
          <reference field="9" count="1" selected="0">
            <x v="35"/>
          </reference>
          <reference field="15" count="1" selected="0">
            <x v="8"/>
          </reference>
          <reference field="16" count="1">
            <x v="9"/>
          </reference>
        </references>
      </pivotArea>
    </format>
    <format dxfId="1397">
      <pivotArea dataOnly="0" labelOnly="1" fieldPosition="0">
        <references count="4">
          <reference field="8" count="1" selected="0">
            <x v="47"/>
          </reference>
          <reference field="9" count="1" selected="0">
            <x v="35"/>
          </reference>
          <reference field="15" count="1" selected="0">
            <x v="8"/>
          </reference>
          <reference field="16" count="1">
            <x v="4"/>
          </reference>
        </references>
      </pivotArea>
    </format>
    <format dxfId="1398">
      <pivotArea dataOnly="0" labelOnly="1" fieldPosition="0">
        <references count="4">
          <reference field="8" count="1" selected="0">
            <x v="51"/>
          </reference>
          <reference field="9" count="1" selected="0">
            <x v="35"/>
          </reference>
          <reference field="15" count="1" selected="0">
            <x v="8"/>
          </reference>
          <reference field="16" count="1">
            <x v="11"/>
          </reference>
        </references>
      </pivotArea>
    </format>
    <format dxfId="1399">
      <pivotArea dataOnly="0" labelOnly="1" fieldPosition="0">
        <references count="4">
          <reference field="8" count="1" selected="0">
            <x v="52"/>
          </reference>
          <reference field="9" count="1" selected="0">
            <x v="35"/>
          </reference>
          <reference field="15" count="1" selected="0">
            <x v="8"/>
          </reference>
          <reference field="16" count="1">
            <x v="5"/>
          </reference>
        </references>
      </pivotArea>
    </format>
    <format dxfId="1400">
      <pivotArea dataOnly="0" labelOnly="1" fieldPosition="0">
        <references count="4">
          <reference field="8" count="1" selected="0">
            <x v="17"/>
          </reference>
          <reference field="9" count="1" selected="0">
            <x v="36"/>
          </reference>
          <reference field="15" count="1" selected="0">
            <x v="11"/>
          </reference>
          <reference field="16" count="1">
            <x v="12"/>
          </reference>
        </references>
      </pivotArea>
    </format>
    <format dxfId="1401">
      <pivotArea dataOnly="0" labelOnly="1" fieldPosition="0">
        <references count="4">
          <reference field="8" count="1" selected="0">
            <x v="6"/>
          </reference>
          <reference field="9" count="1" selected="0">
            <x v="37"/>
          </reference>
          <reference field="15" count="1" selected="0">
            <x v="43"/>
          </reference>
          <reference field="16" count="1">
            <x v="3"/>
          </reference>
        </references>
      </pivotArea>
    </format>
    <format dxfId="1402">
      <pivotArea dataOnly="0" labelOnly="1" fieldPosition="0">
        <references count="4">
          <reference field="8" count="1" selected="0">
            <x v="55"/>
          </reference>
          <reference field="9" count="1" selected="0">
            <x v="37"/>
          </reference>
          <reference field="15" count="1" selected="0">
            <x v="43"/>
          </reference>
          <reference field="16" count="1">
            <x v="11"/>
          </reference>
        </references>
      </pivotArea>
    </format>
    <format dxfId="1403">
      <pivotArea dataOnly="0" labelOnly="1" fieldPosition="0">
        <references count="4">
          <reference field="8" count="1" selected="0">
            <x v="30"/>
          </reference>
          <reference field="9" count="1" selected="0">
            <x v="38"/>
          </reference>
          <reference field="15" count="1" selected="0">
            <x v="61"/>
          </reference>
          <reference field="16" count="1">
            <x v="11"/>
          </reference>
        </references>
      </pivotArea>
    </format>
    <format dxfId="1404">
      <pivotArea dataOnly="0" labelOnly="1" fieldPosition="0">
        <references count="4">
          <reference field="8" count="1" selected="0">
            <x v="49"/>
          </reference>
          <reference field="9" count="1" selected="0">
            <x v="39"/>
          </reference>
          <reference field="15" count="1" selected="0">
            <x v="30"/>
          </reference>
          <reference field="16" count="1">
            <x v="7"/>
          </reference>
        </references>
      </pivotArea>
    </format>
    <format dxfId="1405">
      <pivotArea dataOnly="0" labelOnly="1" fieldPosition="0">
        <references count="4">
          <reference field="8" count="1" selected="0">
            <x v="13"/>
          </reference>
          <reference field="9" count="1" selected="0">
            <x v="40"/>
          </reference>
          <reference field="15" count="1" selected="0">
            <x v="28"/>
          </reference>
          <reference field="16" count="1">
            <x v="12"/>
          </reference>
        </references>
      </pivotArea>
    </format>
    <format dxfId="1406">
      <pivotArea dataOnly="0" labelOnly="1" fieldPosition="0">
        <references count="4">
          <reference field="8" count="1" selected="0">
            <x v="12"/>
          </reference>
          <reference field="9" count="1" selected="0">
            <x v="42"/>
          </reference>
          <reference field="15" count="1" selected="0">
            <x v="21"/>
          </reference>
          <reference field="16" count="1">
            <x v="12"/>
          </reference>
        </references>
      </pivotArea>
    </format>
    <format dxfId="1407">
      <pivotArea dataOnly="0" labelOnly="1" fieldPosition="0">
        <references count="4">
          <reference field="8" count="1" selected="0">
            <x v="24"/>
          </reference>
          <reference field="9" count="1" selected="0">
            <x v="43"/>
          </reference>
          <reference field="15" count="1" selected="0">
            <x v="14"/>
          </reference>
          <reference field="16" count="1">
            <x v="12"/>
          </reference>
        </references>
      </pivotArea>
    </format>
    <format dxfId="1408">
      <pivotArea dataOnly="0" labelOnly="1" fieldPosition="0">
        <references count="4">
          <reference field="8" count="1" selected="0">
            <x v="22"/>
          </reference>
          <reference field="9" count="1" selected="0">
            <x v="44"/>
          </reference>
          <reference field="15" count="1" selected="0">
            <x v="38"/>
          </reference>
          <reference field="16" count="1">
            <x v="12"/>
          </reference>
        </references>
      </pivotArea>
    </format>
    <format dxfId="1409">
      <pivotArea dataOnly="0" labelOnly="1" fieldPosition="0">
        <references count="4">
          <reference field="8" count="1" selected="0">
            <x v="41"/>
          </reference>
          <reference field="9" count="1" selected="0">
            <x v="45"/>
          </reference>
          <reference field="15" count="1" selected="0">
            <x v="19"/>
          </reference>
          <reference field="16" count="1">
            <x v="9"/>
          </reference>
        </references>
      </pivotArea>
    </format>
    <format dxfId="1410">
      <pivotArea dataOnly="0" labelOnly="1" fieldPosition="0">
        <references count="4">
          <reference field="8" count="1" selected="0">
            <x v="8"/>
          </reference>
          <reference field="9" count="1" selected="0">
            <x v="46"/>
          </reference>
          <reference field="15" count="1" selected="0">
            <x v="55"/>
          </reference>
          <reference field="16" count="1">
            <x v="3"/>
          </reference>
        </references>
      </pivotArea>
    </format>
    <format dxfId="1411">
      <pivotArea dataOnly="0" labelOnly="1" fieldPosition="0">
        <references count="4">
          <reference field="8" count="1" selected="0">
            <x v="31"/>
          </reference>
          <reference field="9" count="1" selected="0">
            <x v="46"/>
          </reference>
          <reference field="15" count="1" selected="0">
            <x v="55"/>
          </reference>
          <reference field="16" count="1">
            <x v="11"/>
          </reference>
        </references>
      </pivotArea>
    </format>
    <format dxfId="1412">
      <pivotArea dataOnly="0" labelOnly="1" fieldPosition="0">
        <references count="4">
          <reference field="8" count="1" selected="0">
            <x v="0"/>
          </reference>
          <reference field="9" count="1" selected="0">
            <x v="47"/>
          </reference>
          <reference field="15" count="1" selected="0">
            <x v="2"/>
          </reference>
          <reference field="16" count="1">
            <x v="9"/>
          </reference>
        </references>
      </pivotArea>
    </format>
    <format dxfId="1413">
      <pivotArea dataOnly="0" labelOnly="1" fieldPosition="0">
        <references count="4">
          <reference field="8" count="1" selected="0">
            <x v="65"/>
          </reference>
          <reference field="9" count="1" selected="0">
            <x v="47"/>
          </reference>
          <reference field="15" count="1" selected="0">
            <x v="2"/>
          </reference>
          <reference field="16" count="1">
            <x v="11"/>
          </reference>
        </references>
      </pivotArea>
    </format>
    <format dxfId="1414">
      <pivotArea dataOnly="0" labelOnly="1" fieldPosition="0">
        <references count="4">
          <reference field="8" count="1" selected="0">
            <x v="18"/>
          </reference>
          <reference field="9" count="1" selected="0">
            <x v="48"/>
          </reference>
          <reference field="15" count="1" selected="0">
            <x v="17"/>
          </reference>
          <reference field="16" count="1">
            <x v="12"/>
          </reference>
        </references>
      </pivotArea>
    </format>
    <format dxfId="1415">
      <pivotArea dataOnly="0" labelOnly="1" fieldPosition="0">
        <references count="4">
          <reference field="8" count="1" selected="0">
            <x v="23"/>
          </reference>
          <reference field="9" count="1" selected="0">
            <x v="49"/>
          </reference>
          <reference field="15" count="1" selected="0">
            <x v="49"/>
          </reference>
          <reference field="16" count="1">
            <x v="12"/>
          </reference>
        </references>
      </pivotArea>
    </format>
    <format dxfId="1416">
      <pivotArea dataOnly="0" labelOnly="1" fieldPosition="0">
        <references count="4">
          <reference field="8" count="1" selected="0">
            <x v="60"/>
          </reference>
          <reference field="9" count="1" selected="0">
            <x v="50"/>
          </reference>
          <reference field="15" count="1" selected="0">
            <x v="41"/>
          </reference>
          <reference field="16" count="1">
            <x v="11"/>
          </reference>
        </references>
      </pivotArea>
    </format>
    <format dxfId="1417">
      <pivotArea dataOnly="0" labelOnly="1" fieldPosition="0">
        <references count="4">
          <reference field="8" count="1" selected="0">
            <x v="3"/>
          </reference>
          <reference field="9" count="1" selected="0">
            <x v="51"/>
          </reference>
          <reference field="15" count="1" selected="0">
            <x v="27"/>
          </reference>
          <reference field="16" count="1">
            <x v="11"/>
          </reference>
        </references>
      </pivotArea>
    </format>
    <format dxfId="1418">
      <pivotArea dataOnly="0" labelOnly="1" fieldPosition="0">
        <references count="4">
          <reference field="8" count="1" selected="0">
            <x v="54"/>
          </reference>
          <reference field="9" count="1" selected="0">
            <x v="52"/>
          </reference>
          <reference field="15" count="1" selected="0">
            <x v="39"/>
          </reference>
          <reference field="16" count="1">
            <x v="11"/>
          </reference>
        </references>
      </pivotArea>
    </format>
    <format dxfId="1419">
      <pivotArea dataOnly="0" labelOnly="1" fieldPosition="0">
        <references count="4">
          <reference field="8" count="1" selected="0">
            <x v="35"/>
          </reference>
          <reference field="9" count="1" selected="0">
            <x v="53"/>
          </reference>
          <reference field="15" count="1" selected="0">
            <x v="31"/>
          </reference>
          <reference field="16" count="1">
            <x v="6"/>
          </reference>
        </references>
      </pivotArea>
    </format>
    <format dxfId="1420">
      <pivotArea dataOnly="0" labelOnly="1" fieldPosition="0">
        <references count="4">
          <reference field="8" count="1" selected="0">
            <x v="56"/>
          </reference>
          <reference field="9" count="1" selected="0">
            <x v="53"/>
          </reference>
          <reference field="15" count="1" selected="0">
            <x v="31"/>
          </reference>
          <reference field="16" count="1">
            <x v="5"/>
          </reference>
        </references>
      </pivotArea>
    </format>
    <format dxfId="1421">
      <pivotArea dataOnly="0" labelOnly="1" fieldPosition="0">
        <references count="4">
          <reference field="8" count="1" selected="0">
            <x v="0"/>
          </reference>
          <reference field="9" count="1" selected="0">
            <x v="54"/>
          </reference>
          <reference field="15" count="1" selected="0">
            <x v="34"/>
          </reference>
          <reference field="16" count="1">
            <x v="9"/>
          </reference>
        </references>
      </pivotArea>
    </format>
    <format dxfId="1422">
      <pivotArea dataOnly="0" labelOnly="1" fieldPosition="0">
        <references count="4">
          <reference field="8" count="1" selected="0">
            <x v="51"/>
          </reference>
          <reference field="9" count="1" selected="0">
            <x v="54"/>
          </reference>
          <reference field="15" count="1" selected="0">
            <x v="34"/>
          </reference>
          <reference field="16" count="1">
            <x v="11"/>
          </reference>
        </references>
      </pivotArea>
    </format>
    <format dxfId="1423">
      <pivotArea dataOnly="0" labelOnly="1" fieldPosition="0">
        <references count="4">
          <reference field="8" count="1" selected="0">
            <x v="10"/>
          </reference>
          <reference field="9" count="1" selected="0">
            <x v="55"/>
          </reference>
          <reference field="15" count="1" selected="0">
            <x v="3"/>
          </reference>
          <reference field="16" count="1">
            <x v="3"/>
          </reference>
        </references>
      </pivotArea>
    </format>
    <format dxfId="1424">
      <pivotArea dataOnly="0" labelOnly="1" fieldPosition="0">
        <references count="4">
          <reference field="8" count="1" selected="0">
            <x v="38"/>
          </reference>
          <reference field="9" count="1" selected="0">
            <x v="56"/>
          </reference>
          <reference field="15" count="1" selected="0">
            <x v="45"/>
          </reference>
          <reference field="16" count="1">
            <x v="10"/>
          </reference>
        </references>
      </pivotArea>
    </format>
    <format dxfId="1425">
      <pivotArea dataOnly="0" labelOnly="1" fieldPosition="0">
        <references count="4">
          <reference field="8" count="1" selected="0">
            <x v="43"/>
          </reference>
          <reference field="9" count="1" selected="0">
            <x v="56"/>
          </reference>
          <reference field="15" count="1" selected="0">
            <x v="45"/>
          </reference>
          <reference field="16" count="1">
            <x v="11"/>
          </reference>
        </references>
      </pivotArea>
    </format>
    <format dxfId="1426">
      <pivotArea dataOnly="0" labelOnly="1" fieldPosition="0">
        <references count="4">
          <reference field="8" count="1" selected="0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>
            <x v="11"/>
          </reference>
        </references>
      </pivotArea>
    </format>
    <format dxfId="1427">
      <pivotArea dataOnly="0" labelOnly="1" fieldPosition="0">
        <references count="4">
          <reference field="8" count="1" selected="0">
            <x v="8"/>
          </reference>
          <reference field="9" count="1" selected="0">
            <x v="58"/>
          </reference>
          <reference field="15" count="1" selected="0">
            <x v="57"/>
          </reference>
          <reference field="16" count="1">
            <x v="3"/>
          </reference>
        </references>
      </pivotArea>
    </format>
    <format dxfId="1428">
      <pivotArea dataOnly="0" labelOnly="1" fieldPosition="0">
        <references count="4">
          <reference field="8" count="1" selected="0">
            <x v="25"/>
          </reference>
          <reference field="9" count="1" selected="0">
            <x v="59"/>
          </reference>
          <reference field="15" count="1" selected="0">
            <x v="20"/>
          </reference>
          <reference field="16" count="1">
            <x v="12"/>
          </reference>
        </references>
      </pivotArea>
    </format>
    <format dxfId="1429">
      <pivotArea dataOnly="0" labelOnly="1" fieldPosition="0">
        <references count="4">
          <reference field="8" count="1" selected="0">
            <x v="43"/>
          </reference>
          <reference field="9" count="1" selected="0">
            <x v="60"/>
          </reference>
          <reference field="15" count="1" selected="0">
            <x v="48"/>
          </reference>
          <reference field="16" count="1">
            <x v="11"/>
          </reference>
        </references>
      </pivotArea>
    </format>
    <format dxfId="1430">
      <pivotArea dataOnly="0" labelOnly="1" fieldPosition="0">
        <references count="4">
          <reference field="8" count="1" selected="0">
            <x v="18"/>
          </reference>
          <reference field="9" count="1" selected="0">
            <x v="61"/>
          </reference>
          <reference field="15" count="1" selected="0">
            <x v="32"/>
          </reference>
          <reference field="16" count="1">
            <x v="12"/>
          </reference>
        </references>
      </pivotArea>
    </format>
    <format dxfId="1431">
      <pivotArea dataOnly="0" labelOnly="1" fieldPosition="0">
        <references count="4">
          <reference field="8" count="1" selected="0">
            <x v="25"/>
          </reference>
          <reference field="9" count="1" selected="0">
            <x v="62"/>
          </reference>
          <reference field="15" count="1" selected="0">
            <x v="36"/>
          </reference>
          <reference field="16" count="1">
            <x v="12"/>
          </reference>
        </references>
      </pivotArea>
    </format>
    <format dxfId="1432">
      <pivotArea dataOnly="0" labelOnly="1" fieldPosition="0">
        <references count="5">
          <reference field="3" count="1">
            <x v="1"/>
          </reference>
          <reference field="8" count="1" selected="0">
            <x v="34"/>
          </reference>
          <reference field="9" count="1" selected="0">
            <x v="0"/>
          </reference>
          <reference field="15" count="1" selected="0">
            <x v="60"/>
          </reference>
          <reference field="16" count="1" selected="0">
            <x v="6"/>
          </reference>
        </references>
      </pivotArea>
    </format>
    <format dxfId="1433">
      <pivotArea dataOnly="0" labelOnly="1" fieldPosition="0">
        <references count="5">
          <reference field="3" count="1">
            <x v="2"/>
          </reference>
          <reference field="8" count="1" selected="0">
            <x v="53"/>
          </reference>
          <reference field="9" count="1" selected="0">
            <x v="0"/>
          </reference>
          <reference field="15" count="1" selected="0">
            <x v="60"/>
          </reference>
          <reference field="16" count="1" selected="0">
            <x v="8"/>
          </reference>
        </references>
      </pivotArea>
    </format>
    <format dxfId="1434">
      <pivotArea dataOnly="0" labelOnly="1" fieldPosition="0">
        <references count="5">
          <reference field="3" count="1">
            <x v="1"/>
          </reference>
          <reference field="8" count="1" selected="0">
            <x v="5"/>
          </reference>
          <reference field="9" count="1" selected="0">
            <x v="1"/>
          </reference>
          <reference field="15" count="1" selected="0">
            <x v="54"/>
          </reference>
          <reference field="16" count="1" selected="0">
            <x v="3"/>
          </reference>
        </references>
      </pivotArea>
    </format>
    <format dxfId="1435">
      <pivotArea dataOnly="0" labelOnly="1" fieldPosition="0">
        <references count="5">
          <reference field="3" count="2">
            <x v="2"/>
            <x v="4"/>
          </reference>
          <reference field="8" count="1" selected="0">
            <x v="29"/>
          </reference>
          <reference field="9" count="1" selected="0">
            <x v="1"/>
          </reference>
          <reference field="15" count="1" selected="0">
            <x v="54"/>
          </reference>
          <reference field="16" count="1" selected="0">
            <x v="11"/>
          </reference>
        </references>
      </pivotArea>
    </format>
    <format dxfId="1436">
      <pivotArea dataOnly="0" labelOnly="1" fieldPosition="0">
        <references count="5">
          <reference field="3" count="1">
            <x v="1"/>
          </reference>
          <reference field="8" count="1" selected="0">
            <x v="32"/>
          </reference>
          <reference field="9" count="1" selected="0">
            <x v="4"/>
          </reference>
          <reference field="15" count="1" selected="0">
            <x v="58"/>
          </reference>
          <reference field="16" count="1" selected="0">
            <x v="10"/>
          </reference>
        </references>
      </pivotArea>
    </format>
    <format dxfId="1437">
      <pivotArea dataOnly="0" labelOnly="1" fieldPosition="0">
        <references count="5">
          <reference field="3" count="2">
            <x v="0"/>
            <x v="1"/>
          </reference>
          <reference field="8" count="1" selected="0">
            <x v="48"/>
          </reference>
          <reference field="9" count="1" selected="0">
            <x v="4"/>
          </reference>
          <reference field="15" count="1" selected="0">
            <x v="58"/>
          </reference>
          <reference field="16" count="1" selected="0">
            <x v="10"/>
          </reference>
        </references>
      </pivotArea>
    </format>
    <format dxfId="1438">
      <pivotArea dataOnly="0" labelOnly="1" fieldPosition="0">
        <references count="5">
          <reference field="3" count="2">
            <x v="1"/>
            <x v="2"/>
          </reference>
          <reference field="8" count="1" selected="0">
            <x v="37"/>
          </reference>
          <reference field="9" count="1" selected="0">
            <x v="13"/>
          </reference>
          <reference field="15" count="1" selected="0">
            <x v="7"/>
          </reference>
          <reference field="16" count="1" selected="0">
            <x v="1"/>
          </reference>
        </references>
      </pivotArea>
    </format>
    <format dxfId="1439">
      <pivotArea dataOnly="0" labelOnly="1" fieldPosition="0">
        <references count="5">
          <reference field="3" count="2">
            <x v="1"/>
            <x v="3"/>
          </reference>
          <reference field="8" count="1" selected="0">
            <x v="42"/>
          </reference>
          <reference field="9" count="1" selected="0">
            <x v="14"/>
          </reference>
          <reference field="15" count="1" selected="0">
            <x v="9"/>
          </reference>
          <reference field="16" count="1" selected="0">
            <x v="9"/>
          </reference>
        </references>
      </pivotArea>
    </format>
    <format dxfId="1440">
      <pivotArea dataOnly="0" labelOnly="1" fieldPosition="0">
        <references count="5">
          <reference field="3" count="1">
            <x v="2"/>
          </reference>
          <reference field="8" count="1" selected="0">
            <x v="59"/>
          </reference>
          <reference field="9" count="1" selected="0">
            <x v="16"/>
          </reference>
          <reference field="15" count="1" selected="0">
            <x v="18"/>
          </reference>
          <reference field="16" count="1" selected="0">
            <x v="3"/>
          </reference>
        </references>
      </pivotArea>
    </format>
    <format dxfId="1441">
      <pivotArea dataOnly="0" labelOnly="1" fieldPosition="0">
        <references count="5">
          <reference field="3" count="1">
            <x v="1"/>
          </reference>
          <reference field="8" count="1" selected="0">
            <x v="34"/>
          </reference>
          <reference field="9" count="1" selected="0">
            <x v="17"/>
          </reference>
          <reference field="15" count="1" selected="0">
            <x v="56"/>
          </reference>
          <reference field="16" count="1" selected="0">
            <x v="6"/>
          </reference>
        </references>
      </pivotArea>
    </format>
    <format dxfId="1442">
      <pivotArea dataOnly="0" labelOnly="1" fieldPosition="0">
        <references count="5">
          <reference field="3" count="1">
            <x v="0"/>
          </reference>
          <reference field="8" count="1" selected="0">
            <x v="30"/>
          </reference>
          <reference field="9" count="1" selected="0">
            <x v="18"/>
          </reference>
          <reference field="15" count="1" selected="0">
            <x v="62"/>
          </reference>
          <reference field="16" count="1" selected="0">
            <x v="11"/>
          </reference>
        </references>
      </pivotArea>
    </format>
    <format dxfId="1443">
      <pivotArea dataOnly="0" labelOnly="1" fieldPosition="0">
        <references count="5">
          <reference field="3" count="1">
            <x v="2"/>
          </reference>
          <reference field="8" count="1" selected="0">
            <x v="59"/>
          </reference>
          <reference field="9" count="1" selected="0">
            <x v="20"/>
          </reference>
          <reference field="15" count="1" selected="0">
            <x v="40"/>
          </reference>
          <reference field="16" count="1" selected="0">
            <x v="3"/>
          </reference>
        </references>
      </pivotArea>
    </format>
    <format dxfId="1444">
      <pivotArea dataOnly="0" labelOnly="1" fieldPosition="0">
        <references count="5">
          <reference field="3" count="2">
            <x v="1"/>
            <x v="2"/>
          </reference>
          <reference field="8" count="1" selected="0">
            <x v="5"/>
          </reference>
          <reference field="9" count="1" selected="0">
            <x v="21"/>
          </reference>
          <reference field="15" count="1" selected="0">
            <x v="1"/>
          </reference>
          <reference field="16" count="1" selected="0">
            <x v="3"/>
          </reference>
        </references>
      </pivotArea>
    </format>
    <format dxfId="1445">
      <pivotArea dataOnly="0" labelOnly="1" fieldPosition="0">
        <references count="5">
          <reference field="3" count="2">
            <x v="1"/>
            <x v="3"/>
          </reference>
          <reference field="8" count="1" selected="0">
            <x v="51"/>
          </reference>
          <reference field="9" count="1" selected="0">
            <x v="21"/>
          </reference>
          <reference field="15" count="1" selected="0">
            <x v="1"/>
          </reference>
          <reference field="16" count="1" selected="0">
            <x v="11"/>
          </reference>
        </references>
      </pivotArea>
    </format>
    <format dxfId="1446">
      <pivotArea dataOnly="0" labelOnly="1" fieldPosition="0">
        <references count="5">
          <reference field="3" count="2">
            <x v="1"/>
            <x v="4"/>
          </reference>
          <reference field="8" count="1" selected="0">
            <x v="2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11"/>
          </reference>
        </references>
      </pivotArea>
    </format>
    <format dxfId="1447">
      <pivotArea dataOnly="0" labelOnly="1" fieldPosition="0">
        <references count="5">
          <reference field="3" count="1">
            <x v="3"/>
          </reference>
          <reference field="8" count="1" selected="0">
            <x v="9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3"/>
          </reference>
        </references>
      </pivotArea>
    </format>
    <format dxfId="1448">
      <pivotArea dataOnly="0" labelOnly="1" fieldPosition="0">
        <references count="5">
          <reference field="3" count="1">
            <x v="2"/>
          </reference>
          <reference field="8" count="1" selected="0">
            <x v="15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3"/>
          </reference>
        </references>
      </pivotArea>
    </format>
    <format dxfId="1449">
      <pivotArea dataOnly="0" labelOnly="1" fieldPosition="0">
        <references count="5">
          <reference field="3" count="1">
            <x v="3"/>
          </reference>
          <reference field="8" count="1" selected="0">
            <x v="57"/>
          </reference>
          <reference field="9" count="1" selected="0">
            <x v="27"/>
          </reference>
          <reference field="15" count="1" selected="0">
            <x v="12"/>
          </reference>
          <reference field="16" count="1" selected="0">
            <x v="11"/>
          </reference>
        </references>
      </pivotArea>
    </format>
    <format dxfId="1450">
      <pivotArea dataOnly="0" labelOnly="1" fieldPosition="0">
        <references count="5">
          <reference field="3" count="1">
            <x v="2"/>
          </reference>
          <reference field="8" count="1" selected="0">
            <x v="64"/>
          </reference>
          <reference field="9" count="1" selected="0">
            <x v="27"/>
          </reference>
          <reference field="15" count="1" selected="0">
            <x v="12"/>
          </reference>
          <reference field="16" count="1" selected="0">
            <x v="11"/>
          </reference>
        </references>
      </pivotArea>
    </format>
    <format dxfId="1451">
      <pivotArea dataOnly="0" labelOnly="1" fieldPosition="0">
        <references count="5">
          <reference field="3" count="1">
            <x v="1"/>
          </reference>
          <reference field="8" count="1" selected="0">
            <x v="32"/>
          </reference>
          <reference field="9" count="1" selected="0">
            <x v="28"/>
          </reference>
          <reference field="15" count="1" selected="0">
            <x v="59"/>
          </reference>
          <reference field="16" count="1" selected="0">
            <x v="10"/>
          </reference>
        </references>
      </pivotArea>
    </format>
    <format dxfId="1452">
      <pivotArea dataOnly="0" labelOnly="1" fieldPosition="0">
        <references count="5">
          <reference field="3" count="1">
            <x v="1"/>
          </reference>
          <reference field="8" count="1" selected="0">
            <x v="48"/>
          </reference>
          <reference field="9" count="1" selected="0">
            <x v="28"/>
          </reference>
          <reference field="15" count="1" selected="0">
            <x v="59"/>
          </reference>
          <reference field="16" count="1" selected="0">
            <x v="10"/>
          </reference>
        </references>
      </pivotArea>
    </format>
    <format dxfId="1453">
      <pivotArea dataOnly="0" labelOnly="1" fieldPosition="0">
        <references count="5">
          <reference field="3" count="1">
            <x v="2"/>
          </reference>
          <reference field="8" count="1" selected="0">
            <x v="1"/>
          </reference>
          <reference field="9" count="1" selected="0">
            <x v="29"/>
          </reference>
          <reference field="15" count="1" selected="0">
            <x v="52"/>
          </reference>
          <reference field="16" count="1" selected="0">
            <x v="10"/>
          </reference>
        </references>
      </pivotArea>
    </format>
    <format dxfId="1454">
      <pivotArea dataOnly="0" labelOnly="1" fieldPosition="0">
        <references count="5">
          <reference field="3" count="2">
            <x v="1"/>
            <x v="3"/>
          </reference>
          <reference field="8" count="1" selected="0">
            <x v="30"/>
          </reference>
          <reference field="9" count="1" selected="0">
            <x v="29"/>
          </reference>
          <reference field="15" count="1" selected="0">
            <x v="52"/>
          </reference>
          <reference field="16" count="1" selected="0">
            <x v="11"/>
          </reference>
        </references>
      </pivotArea>
    </format>
    <format dxfId="1455">
      <pivotArea dataOnly="0" labelOnly="1" fieldPosition="0">
        <references count="5">
          <reference field="3" count="1">
            <x v="2"/>
          </reference>
          <reference field="8" count="1" selected="0">
            <x v="1"/>
          </reference>
          <reference field="9" count="1" selected="0">
            <x v="30"/>
          </reference>
          <reference field="15" count="1" selected="0">
            <x v="53"/>
          </reference>
          <reference field="16" count="1" selected="0">
            <x v="10"/>
          </reference>
        </references>
      </pivotArea>
    </format>
    <format dxfId="1456">
      <pivotArea dataOnly="0" labelOnly="1" fieldPosition="0">
        <references count="5">
          <reference field="3" count="2">
            <x v="1"/>
            <x v="3"/>
          </reference>
          <reference field="8" count="1" selected="0">
            <x v="30"/>
          </reference>
          <reference field="9" count="1" selected="0">
            <x v="30"/>
          </reference>
          <reference field="15" count="1" selected="0">
            <x v="53"/>
          </reference>
          <reference field="16" count="1" selected="0">
            <x v="11"/>
          </reference>
        </references>
      </pivotArea>
    </format>
    <format dxfId="1457">
      <pivotArea dataOnly="0" labelOnly="1" fieldPosition="0">
        <references count="5">
          <reference field="3" count="1">
            <x v="1"/>
          </reference>
          <reference field="8" count="1" selected="0">
            <x v="43"/>
          </reference>
          <reference field="9" count="1" selected="0">
            <x v="31"/>
          </reference>
          <reference field="15" count="1" selected="0">
            <x v="47"/>
          </reference>
          <reference field="16" count="1" selected="0">
            <x v="11"/>
          </reference>
        </references>
      </pivotArea>
    </format>
    <format dxfId="1458">
      <pivotArea dataOnly="0" labelOnly="1" fieldPosition="0">
        <references count="5">
          <reference field="3" count="1">
            <x v="2"/>
          </reference>
          <reference field="8" count="1" selected="0">
            <x v="37"/>
          </reference>
          <reference field="9" count="1" selected="0">
            <x v="32"/>
          </reference>
          <reference field="15" count="1" selected="0">
            <x v="5"/>
          </reference>
          <reference field="16" count="1" selected="0">
            <x v="1"/>
          </reference>
        </references>
      </pivotArea>
    </format>
    <format dxfId="1459">
      <pivotArea dataOnly="0" labelOnly="1" fieldPosition="0">
        <references count="5">
          <reference field="3" count="2">
            <x v="2"/>
            <x v="4"/>
          </reference>
          <reference field="8" count="1" selected="0">
            <x v="45"/>
          </reference>
          <reference field="9" count="1" selected="0">
            <x v="33"/>
          </reference>
          <reference field="15" count="1" selected="0">
            <x v="51"/>
          </reference>
          <reference field="16" count="1" selected="0">
            <x v="11"/>
          </reference>
        </references>
      </pivotArea>
    </format>
    <format dxfId="1460">
      <pivotArea dataOnly="0" labelOnly="1" fieldPosition="0">
        <references count="5">
          <reference field="3" count="4">
            <x v="0"/>
            <x v="1"/>
            <x v="2"/>
            <x v="3"/>
          </reference>
          <reference field="8" count="1" selected="0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 selected="0">
            <x v="11"/>
          </reference>
        </references>
      </pivotArea>
    </format>
    <format dxfId="1461">
      <pivotArea dataOnly="0" labelOnly="1" fieldPosition="0">
        <references count="5">
          <reference field="3" count="1">
            <x v="3"/>
          </reference>
          <reference field="8" count="1" selected="0">
            <x v="55"/>
          </reference>
          <reference field="9" count="1" selected="0">
            <x v="37"/>
          </reference>
          <reference field="15" count="1" selected="0">
            <x v="43"/>
          </reference>
          <reference field="16" count="1" selected="0">
            <x v="11"/>
          </reference>
        </references>
      </pivotArea>
    </format>
    <format dxfId="1462">
      <pivotArea dataOnly="0" labelOnly="1" fieldPosition="0">
        <references count="5">
          <reference field="3" count="1">
            <x v="0"/>
          </reference>
          <reference field="8" count="1" selected="0">
            <x v="30"/>
          </reference>
          <reference field="9" count="1" selected="0">
            <x v="38"/>
          </reference>
          <reference field="15" count="1" selected="0">
            <x v="61"/>
          </reference>
          <reference field="16" count="1" selected="0">
            <x v="11"/>
          </reference>
        </references>
      </pivotArea>
    </format>
    <format dxfId="1463">
      <pivotArea dataOnly="0" labelOnly="1" fieldPosition="0">
        <references count="5">
          <reference field="3" count="1">
            <x v="1"/>
          </reference>
          <reference field="8" count="1" selected="0">
            <x v="8"/>
          </reference>
          <reference field="9" count="1" selected="0">
            <x v="46"/>
          </reference>
          <reference field="15" count="1" selected="0">
            <x v="55"/>
          </reference>
          <reference field="16" count="1" selected="0">
            <x v="3"/>
          </reference>
        </references>
      </pivotArea>
    </format>
    <format dxfId="1464">
      <pivotArea dataOnly="0" labelOnly="1" fieldPosition="0">
        <references count="5">
          <reference field="3" count="1">
            <x v="3"/>
          </reference>
          <reference field="8" count="1" selected="0">
            <x v="55"/>
          </reference>
          <reference field="9" count="1" selected="0">
            <x v="46"/>
          </reference>
          <reference field="15" count="1" selected="0">
            <x v="55"/>
          </reference>
          <reference field="16" count="1" selected="0">
            <x v="11"/>
          </reference>
        </references>
      </pivotArea>
    </format>
    <format dxfId="1465">
      <pivotArea dataOnly="0" labelOnly="1" fieldPosition="0">
        <references count="5">
          <reference field="3" count="2">
            <x v="3"/>
            <x v="4"/>
          </reference>
          <reference field="8" count="1" selected="0">
            <x v="60"/>
          </reference>
          <reference field="9" count="1" selected="0">
            <x v="50"/>
          </reference>
          <reference field="15" count="1" selected="0">
            <x v="41"/>
          </reference>
          <reference field="16" count="1" selected="0">
            <x v="11"/>
          </reference>
        </references>
      </pivotArea>
    </format>
    <format dxfId="1466">
      <pivotArea dataOnly="0" labelOnly="1" fieldPosition="0">
        <references count="5">
          <reference field="3" count="1">
            <x v="0"/>
          </reference>
          <reference field="8" count="1" selected="0">
            <x v="3"/>
          </reference>
          <reference field="9" count="1" selected="0">
            <x v="51"/>
          </reference>
          <reference field="15" count="1" selected="0">
            <x v="27"/>
          </reference>
          <reference field="16" count="1" selected="0">
            <x v="11"/>
          </reference>
        </references>
      </pivotArea>
    </format>
    <format dxfId="1467">
      <pivotArea dataOnly="0" labelOnly="1" fieldPosition="0">
        <references count="5">
          <reference field="3" count="1">
            <x v="1"/>
          </reference>
          <reference field="8" count="1" selected="0">
            <x v="46"/>
          </reference>
          <reference field="9" count="1" selected="0">
            <x v="51"/>
          </reference>
          <reference field="15" count="1" selected="0">
            <x v="27"/>
          </reference>
          <reference field="16" count="1" selected="0">
            <x v="11"/>
          </reference>
        </references>
      </pivotArea>
    </format>
    <format dxfId="1468">
      <pivotArea dataOnly="0" labelOnly="1" fieldPosition="0">
        <references count="5">
          <reference field="3" count="1">
            <x v="1"/>
          </reference>
          <reference field="8" count="1" selected="0">
            <x v="54"/>
          </reference>
          <reference field="9" count="1" selected="0">
            <x v="52"/>
          </reference>
          <reference field="15" count="1" selected="0">
            <x v="39"/>
          </reference>
          <reference field="16" count="1" selected="0">
            <x v="11"/>
          </reference>
        </references>
      </pivotArea>
    </format>
    <format dxfId="1469">
      <pivotArea dataOnly="0" labelOnly="1" fieldPosition="0">
        <references count="5">
          <reference field="3" count="3">
            <x v="1"/>
            <x v="2"/>
            <x v="4"/>
          </reference>
          <reference field="8" count="1" selected="0">
            <x v="10"/>
          </reference>
          <reference field="9" count="1" selected="0">
            <x v="55"/>
          </reference>
          <reference field="15" count="1" selected="0">
            <x v="3"/>
          </reference>
          <reference field="16" count="1" selected="0">
            <x v="3"/>
          </reference>
        </references>
      </pivotArea>
    </format>
    <format dxfId="1470">
      <pivotArea dataOnly="0" labelOnly="1" fieldPosition="0">
        <references count="5">
          <reference field="3" count="1">
            <x v="3"/>
          </reference>
          <reference field="8" count="1" selected="0">
            <x v="38"/>
          </reference>
          <reference field="9" count="1" selected="0">
            <x v="56"/>
          </reference>
          <reference field="15" count="1" selected="0">
            <x v="45"/>
          </reference>
          <reference field="16" count="1" selected="0">
            <x v="10"/>
          </reference>
        </references>
      </pivotArea>
    </format>
    <format dxfId="1471">
      <pivotArea dataOnly="0" labelOnly="1" fieldPosition="0">
        <references count="5">
          <reference field="3" count="1">
            <x v="3"/>
          </reference>
          <reference field="8" count="1" selected="0">
            <x v="43"/>
          </reference>
          <reference field="9" count="1" selected="0">
            <x v="56"/>
          </reference>
          <reference field="15" count="1" selected="0">
            <x v="45"/>
          </reference>
          <reference field="16" count="1" selected="0">
            <x v="11"/>
          </reference>
        </references>
      </pivotArea>
    </format>
    <format dxfId="1472">
      <pivotArea dataOnly="0" labelOnly="1" fieldPosition="0">
        <references count="5">
          <reference field="3" count="4">
            <x v="0"/>
            <x v="1"/>
            <x v="2"/>
            <x v="3"/>
          </reference>
          <reference field="8" count="1" selected="0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 selected="0">
            <x v="11"/>
          </reference>
        </references>
      </pivotArea>
    </format>
    <format dxfId="1473">
      <pivotArea dataOnly="0" labelOnly="1" fieldPosition="0">
        <references count="5">
          <reference field="3" count="1">
            <x v="1"/>
          </reference>
          <reference field="8" count="1" selected="0">
            <x v="8"/>
          </reference>
          <reference field="9" count="1" selected="0">
            <x v="58"/>
          </reference>
          <reference field="15" count="1" selected="0">
            <x v="57"/>
          </reference>
          <reference field="16" count="1" selected="0">
            <x v="3"/>
          </reference>
        </references>
      </pivotArea>
    </format>
    <format dxfId="1474">
      <pivotArea dataOnly="0" labelOnly="1" fieldPosition="0">
        <references count="5">
          <reference field="3" count="1">
            <x v="1"/>
          </reference>
          <reference field="8" count="1" selected="0">
            <x v="43"/>
          </reference>
          <reference field="9" count="1" selected="0">
            <x v="60"/>
          </reference>
          <reference field="15" count="1" selected="0">
            <x v="48"/>
          </reference>
          <reference field="16" count="1" selected="0">
            <x v="11"/>
          </reference>
        </references>
      </pivotArea>
    </format>
    <format dxfId="1475">
      <pivotArea dataOnly="0" labelOnly="1" outline="0" fieldPosition="0"/>
    </format>
    <format dxfId="1476">
      <pivotArea outline="0" collapsedLevelsAreSubtotals="1" fieldPosition="0">
        <references count="1">
          <reference field="9" count="68" selected="0" sum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1477">
      <pivotArea dataOnly="0" labelOnly="1" fieldPosition="0">
        <references count="1">
          <reference field="9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478">
      <pivotArea dataOnly="0" labelOnly="1" fieldPosition="0">
        <references count="1">
          <reference field="9" count="17" sum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479">
      <pivotArea dataOnly="0" labelOnly="1" fieldPosition="0">
        <references count="1">
          <reference field="9" count="16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1480">
      <pivotArea dataOnly="0" labelOnly="1" fieldPosition="0">
        <references count="1">
          <reference field="9" count="16" sumSubtotal="1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1481">
      <pivotArea dataOnly="0" labelOnly="1" fieldPosition="0">
        <references count="1">
          <reference field="9" count="9"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1482">
      <pivotArea dataOnly="0" labelOnly="1" fieldPosition="0">
        <references count="1">
          <reference field="9" count="9" sumSubtotal="1"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1483">
      <pivotArea dataOnly="0" labelOnly="1" fieldPosition="0">
        <references count="1">
          <reference field="9" count="16"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1484">
      <pivotArea dataOnly="0" labelOnly="1" fieldPosition="0">
        <references count="1">
          <reference field="9" count="16" sumSubtotal="1"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1485">
      <pivotArea dataOnly="0" labelOnly="1" fieldPosition="0">
        <references count="1">
          <reference field="9" count="10"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1486">
      <pivotArea dataOnly="0" labelOnly="1" fieldPosition="0">
        <references count="1">
          <reference field="9" count="10" sumSubtotal="1"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1487">
      <pivotArea dataOnly="0" labelOnly="1" fieldPosition="0">
        <references count="2">
          <reference field="9" count="1" selected="0">
            <x v="0"/>
          </reference>
          <reference field="15" count="1">
            <x v="60"/>
          </reference>
        </references>
      </pivotArea>
    </format>
    <format dxfId="1488">
      <pivotArea dataOnly="0" labelOnly="1" fieldPosition="0">
        <references count="2">
          <reference field="9" count="1" selected="0">
            <x v="1"/>
          </reference>
          <reference field="15" count="1">
            <x v="54"/>
          </reference>
        </references>
      </pivotArea>
    </format>
    <format dxfId="1489">
      <pivotArea dataOnly="0" labelOnly="1" fieldPosition="0">
        <references count="2">
          <reference field="9" count="1" selected="0">
            <x v="2"/>
          </reference>
          <reference field="15" count="1">
            <x v="33"/>
          </reference>
        </references>
      </pivotArea>
    </format>
    <format dxfId="1490">
      <pivotArea dataOnly="0" labelOnly="1" fieldPosition="0">
        <references count="2">
          <reference field="9" count="1" selected="0">
            <x v="3"/>
          </reference>
          <reference field="15" count="1">
            <x v="46"/>
          </reference>
        </references>
      </pivotArea>
    </format>
    <format dxfId="1491">
      <pivotArea dataOnly="0" labelOnly="1" fieldPosition="0">
        <references count="2">
          <reference field="9" count="1" selected="0">
            <x v="4"/>
          </reference>
          <reference field="15" count="1">
            <x v="58"/>
          </reference>
        </references>
      </pivotArea>
    </format>
    <format dxfId="1492">
      <pivotArea dataOnly="0" labelOnly="1" fieldPosition="0">
        <references count="2">
          <reference field="9" count="1" selected="0">
            <x v="5"/>
          </reference>
          <reference field="15" count="1">
            <x v="22"/>
          </reference>
        </references>
      </pivotArea>
    </format>
    <format dxfId="1493">
      <pivotArea dataOnly="0" labelOnly="1" fieldPosition="0">
        <references count="2">
          <reference field="9" count="1" selected="0">
            <x v="6"/>
          </reference>
          <reference field="15" count="1">
            <x v="6"/>
          </reference>
        </references>
      </pivotArea>
    </format>
    <format dxfId="1494">
      <pivotArea dataOnly="0" labelOnly="1" fieldPosition="0">
        <references count="2">
          <reference field="9" count="1" selected="0">
            <x v="7"/>
          </reference>
          <reference field="15" count="1">
            <x v="26"/>
          </reference>
        </references>
      </pivotArea>
    </format>
    <format dxfId="1495">
      <pivotArea dataOnly="0" labelOnly="1" fieldPosition="0">
        <references count="2">
          <reference field="9" count="1" selected="0">
            <x v="8"/>
          </reference>
          <reference field="15" count="1">
            <x v="16"/>
          </reference>
        </references>
      </pivotArea>
    </format>
    <format dxfId="1496">
      <pivotArea dataOnly="0" labelOnly="1" fieldPosition="0">
        <references count="2">
          <reference field="9" count="1" selected="0">
            <x v="9"/>
          </reference>
          <reference field="15" count="1">
            <x v="15"/>
          </reference>
        </references>
      </pivotArea>
    </format>
    <format dxfId="1497">
      <pivotArea dataOnly="0" labelOnly="1" fieldPosition="0">
        <references count="2">
          <reference field="9" count="1" selected="0">
            <x v="10"/>
          </reference>
          <reference field="15" count="1">
            <x v="10"/>
          </reference>
        </references>
      </pivotArea>
    </format>
    <format dxfId="1498">
      <pivotArea dataOnly="0" labelOnly="1" fieldPosition="0">
        <references count="2">
          <reference field="9" count="1" selected="0">
            <x v="11"/>
          </reference>
          <reference field="15" count="1">
            <x v="23"/>
          </reference>
        </references>
      </pivotArea>
    </format>
    <format dxfId="1499">
      <pivotArea dataOnly="0" labelOnly="1" fieldPosition="0">
        <references count="2">
          <reference field="9" count="1" selected="0">
            <x v="12"/>
          </reference>
          <reference field="15" count="1">
            <x v="24"/>
          </reference>
        </references>
      </pivotArea>
    </format>
    <format dxfId="1500">
      <pivotArea dataOnly="0" labelOnly="1" fieldPosition="0">
        <references count="2">
          <reference field="9" count="1" selected="0">
            <x v="13"/>
          </reference>
          <reference field="15" count="1">
            <x v="7"/>
          </reference>
        </references>
      </pivotArea>
    </format>
    <format dxfId="1501">
      <pivotArea dataOnly="0" labelOnly="1" fieldPosition="0">
        <references count="2">
          <reference field="9" count="1" selected="0">
            <x v="14"/>
          </reference>
          <reference field="15" count="1">
            <x v="9"/>
          </reference>
        </references>
      </pivotArea>
    </format>
    <format dxfId="1502">
      <pivotArea dataOnly="0" labelOnly="1" fieldPosition="0">
        <references count="2">
          <reference field="9" count="1" selected="0">
            <x v="15"/>
          </reference>
          <reference field="15" count="1">
            <x v="64"/>
          </reference>
        </references>
      </pivotArea>
    </format>
    <format dxfId="1503">
      <pivotArea dataOnly="0" labelOnly="1" fieldPosition="0">
        <references count="2">
          <reference field="9" count="1" selected="0">
            <x v="16"/>
          </reference>
          <reference field="15" count="1">
            <x v="18"/>
          </reference>
        </references>
      </pivotArea>
    </format>
    <format dxfId="1504">
      <pivotArea dataOnly="0" labelOnly="1" fieldPosition="0">
        <references count="2">
          <reference field="9" count="1" selected="0">
            <x v="17"/>
          </reference>
          <reference field="15" count="1">
            <x v="56"/>
          </reference>
        </references>
      </pivotArea>
    </format>
    <format dxfId="1505">
      <pivotArea dataOnly="0" labelOnly="1" fieldPosition="0">
        <references count="2">
          <reference field="9" count="1" selected="0">
            <x v="18"/>
          </reference>
          <reference field="15" count="1">
            <x v="62"/>
          </reference>
        </references>
      </pivotArea>
    </format>
    <format dxfId="1506">
      <pivotArea dataOnly="0" labelOnly="1" fieldPosition="0">
        <references count="2">
          <reference field="9" count="1" selected="0">
            <x v="19"/>
          </reference>
          <reference field="15" count="1">
            <x v="13"/>
          </reference>
        </references>
      </pivotArea>
    </format>
    <format dxfId="1507">
      <pivotArea dataOnly="0" labelOnly="1" fieldPosition="0">
        <references count="2">
          <reference field="9" count="1" selected="0">
            <x v="20"/>
          </reference>
          <reference field="15" count="1">
            <x v="40"/>
          </reference>
        </references>
      </pivotArea>
    </format>
    <format dxfId="1508">
      <pivotArea dataOnly="0" labelOnly="1" fieldPosition="0">
        <references count="2">
          <reference field="9" count="1" selected="0">
            <x v="21"/>
          </reference>
          <reference field="15" count="1">
            <x v="1"/>
          </reference>
        </references>
      </pivotArea>
    </format>
    <format dxfId="1509">
      <pivotArea dataOnly="0" labelOnly="1" fieldPosition="0">
        <references count="2">
          <reference field="9" count="1" selected="0">
            <x v="22"/>
          </reference>
          <reference field="15" count="1">
            <x v="63"/>
          </reference>
        </references>
      </pivotArea>
    </format>
    <format dxfId="1510">
      <pivotArea dataOnly="0" labelOnly="1" fieldPosition="0">
        <references count="2">
          <reference field="9" count="1" selected="0">
            <x v="23"/>
          </reference>
          <reference field="15" count="1">
            <x v="50"/>
          </reference>
        </references>
      </pivotArea>
    </format>
    <format dxfId="1511">
      <pivotArea dataOnly="0" labelOnly="1" fieldPosition="0">
        <references count="2">
          <reference field="9" count="1" selected="0">
            <x v="24"/>
          </reference>
          <reference field="15" count="1">
            <x v="37"/>
          </reference>
        </references>
      </pivotArea>
    </format>
    <format dxfId="1512">
      <pivotArea dataOnly="0" labelOnly="1" fieldPosition="0">
        <references count="2">
          <reference field="9" count="1" selected="0">
            <x v="25"/>
          </reference>
          <reference field="15" count="1">
            <x v="4"/>
          </reference>
        </references>
      </pivotArea>
    </format>
    <format dxfId="1513">
      <pivotArea dataOnly="0" labelOnly="1" fieldPosition="0">
        <references count="2">
          <reference field="9" count="1" selected="0">
            <x v="26"/>
          </reference>
          <reference field="15" count="1">
            <x v="29"/>
          </reference>
        </references>
      </pivotArea>
    </format>
    <format dxfId="1514">
      <pivotArea dataOnly="0" labelOnly="1" fieldPosition="0">
        <references count="2">
          <reference field="9" count="1" selected="0">
            <x v="27"/>
          </reference>
          <reference field="15" count="1">
            <x v="12"/>
          </reference>
        </references>
      </pivotArea>
    </format>
    <format dxfId="1515">
      <pivotArea dataOnly="0" labelOnly="1" fieldPosition="0">
        <references count="2">
          <reference field="9" count="1" selected="0">
            <x v="28"/>
          </reference>
          <reference field="15" count="1">
            <x v="59"/>
          </reference>
        </references>
      </pivotArea>
    </format>
    <format dxfId="1516">
      <pivotArea dataOnly="0" labelOnly="1" fieldPosition="0">
        <references count="2">
          <reference field="9" count="1" selected="0">
            <x v="29"/>
          </reference>
          <reference field="15" count="1">
            <x v="52"/>
          </reference>
        </references>
      </pivotArea>
    </format>
    <format dxfId="1517">
      <pivotArea dataOnly="0" labelOnly="1" fieldPosition="0">
        <references count="2">
          <reference field="9" count="1" selected="0">
            <x v="30"/>
          </reference>
          <reference field="15" count="1">
            <x v="53"/>
          </reference>
        </references>
      </pivotArea>
    </format>
    <format dxfId="1518">
      <pivotArea dataOnly="0" labelOnly="1" fieldPosition="0">
        <references count="2">
          <reference field="9" count="1" selected="0">
            <x v="31"/>
          </reference>
          <reference field="15" count="1">
            <x v="47"/>
          </reference>
        </references>
      </pivotArea>
    </format>
    <format dxfId="1519">
      <pivotArea dataOnly="0" labelOnly="1" fieldPosition="0">
        <references count="2">
          <reference field="9" count="1" selected="0">
            <x v="32"/>
          </reference>
          <reference field="15" count="1">
            <x v="5"/>
          </reference>
        </references>
      </pivotArea>
    </format>
    <format dxfId="1520">
      <pivotArea dataOnly="0" labelOnly="1" fieldPosition="0">
        <references count="2">
          <reference field="9" count="1" selected="0">
            <x v="33"/>
          </reference>
          <reference field="15" count="1">
            <x v="51"/>
          </reference>
        </references>
      </pivotArea>
    </format>
    <format dxfId="1521">
      <pivotArea dataOnly="0" labelOnly="1" fieldPosition="0">
        <references count="2">
          <reference field="9" count="1" selected="0">
            <x v="34"/>
          </reference>
          <reference field="15" count="1">
            <x v="35"/>
          </reference>
        </references>
      </pivotArea>
    </format>
    <format dxfId="1522">
      <pivotArea dataOnly="0" labelOnly="1" fieldPosition="0">
        <references count="2">
          <reference field="9" count="1" selected="0">
            <x v="35"/>
          </reference>
          <reference field="15" count="1">
            <x v="8"/>
          </reference>
        </references>
      </pivotArea>
    </format>
    <format dxfId="1523">
      <pivotArea dataOnly="0" labelOnly="1" fieldPosition="0">
        <references count="2">
          <reference field="9" count="1" selected="0">
            <x v="36"/>
          </reference>
          <reference field="15" count="1">
            <x v="11"/>
          </reference>
        </references>
      </pivotArea>
    </format>
    <format dxfId="1524">
      <pivotArea dataOnly="0" labelOnly="1" fieldPosition="0">
        <references count="2">
          <reference field="9" count="1" selected="0">
            <x v="37"/>
          </reference>
          <reference field="15" count="1">
            <x v="43"/>
          </reference>
        </references>
      </pivotArea>
    </format>
    <format dxfId="1525">
      <pivotArea dataOnly="0" labelOnly="1" fieldPosition="0">
        <references count="2">
          <reference field="9" count="1" selected="0">
            <x v="38"/>
          </reference>
          <reference field="15" count="1">
            <x v="61"/>
          </reference>
        </references>
      </pivotArea>
    </format>
    <format dxfId="1526">
      <pivotArea dataOnly="0" labelOnly="1" fieldPosition="0">
        <references count="2">
          <reference field="9" count="1" selected="0">
            <x v="39"/>
          </reference>
          <reference field="15" count="1">
            <x v="30"/>
          </reference>
        </references>
      </pivotArea>
    </format>
    <format dxfId="1527">
      <pivotArea dataOnly="0" labelOnly="1" fieldPosition="0">
        <references count="2">
          <reference field="9" count="1" selected="0">
            <x v="40"/>
          </reference>
          <reference field="15" count="1">
            <x v="28"/>
          </reference>
        </references>
      </pivotArea>
    </format>
    <format dxfId="1528">
      <pivotArea dataOnly="0" labelOnly="1" fieldPosition="0">
        <references count="2">
          <reference field="9" count="1" selected="0">
            <x v="41"/>
          </reference>
          <reference field="15" count="1">
            <x v="44"/>
          </reference>
        </references>
      </pivotArea>
    </format>
    <format dxfId="1529">
      <pivotArea dataOnly="0" labelOnly="1" fieldPosition="0">
        <references count="2">
          <reference field="9" count="1" selected="0">
            <x v="42"/>
          </reference>
          <reference field="15" count="1">
            <x v="21"/>
          </reference>
        </references>
      </pivotArea>
    </format>
    <format dxfId="1530">
      <pivotArea dataOnly="0" labelOnly="1" fieldPosition="0">
        <references count="2">
          <reference field="9" count="1" selected="0">
            <x v="43"/>
          </reference>
          <reference field="15" count="1">
            <x v="14"/>
          </reference>
        </references>
      </pivotArea>
    </format>
    <format dxfId="1531">
      <pivotArea dataOnly="0" labelOnly="1" fieldPosition="0">
        <references count="2">
          <reference field="9" count="1" selected="0">
            <x v="44"/>
          </reference>
          <reference field="15" count="1">
            <x v="38"/>
          </reference>
        </references>
      </pivotArea>
    </format>
    <format dxfId="1532">
      <pivotArea dataOnly="0" labelOnly="1" fieldPosition="0">
        <references count="2">
          <reference field="9" count="1" selected="0">
            <x v="45"/>
          </reference>
          <reference field="15" count="1">
            <x v="19"/>
          </reference>
        </references>
      </pivotArea>
    </format>
    <format dxfId="1533">
      <pivotArea dataOnly="0" labelOnly="1" fieldPosition="0">
        <references count="2">
          <reference field="9" count="1" selected="0">
            <x v="46"/>
          </reference>
          <reference field="15" count="1">
            <x v="55"/>
          </reference>
        </references>
      </pivotArea>
    </format>
    <format dxfId="1534">
      <pivotArea dataOnly="0" labelOnly="1" fieldPosition="0">
        <references count="2">
          <reference field="9" count="1" selected="0">
            <x v="47"/>
          </reference>
          <reference field="15" count="1">
            <x v="2"/>
          </reference>
        </references>
      </pivotArea>
    </format>
    <format dxfId="1535">
      <pivotArea dataOnly="0" labelOnly="1" fieldPosition="0">
        <references count="2">
          <reference field="9" count="1" selected="0">
            <x v="48"/>
          </reference>
          <reference field="15" count="1">
            <x v="17"/>
          </reference>
        </references>
      </pivotArea>
    </format>
    <format dxfId="1536">
      <pivotArea dataOnly="0" labelOnly="1" fieldPosition="0">
        <references count="2">
          <reference field="9" count="1" selected="0">
            <x v="49"/>
          </reference>
          <reference field="15" count="1">
            <x v="49"/>
          </reference>
        </references>
      </pivotArea>
    </format>
    <format dxfId="1537">
      <pivotArea dataOnly="0" labelOnly="1" fieldPosition="0">
        <references count="2">
          <reference field="9" count="1" selected="0">
            <x v="50"/>
          </reference>
          <reference field="15" count="1">
            <x v="41"/>
          </reference>
        </references>
      </pivotArea>
    </format>
    <format dxfId="1538">
      <pivotArea dataOnly="0" labelOnly="1" fieldPosition="0">
        <references count="2">
          <reference field="9" count="1" selected="0">
            <x v="51"/>
          </reference>
          <reference field="15" count="1">
            <x v="27"/>
          </reference>
        </references>
      </pivotArea>
    </format>
    <format dxfId="1539">
      <pivotArea dataOnly="0" labelOnly="1" fieldPosition="0">
        <references count="2">
          <reference field="9" count="1" selected="0">
            <x v="52"/>
          </reference>
          <reference field="15" count="1">
            <x v="39"/>
          </reference>
        </references>
      </pivotArea>
    </format>
    <format dxfId="1540">
      <pivotArea dataOnly="0" labelOnly="1" fieldPosition="0">
        <references count="2">
          <reference field="9" count="1" selected="0">
            <x v="53"/>
          </reference>
          <reference field="15" count="1">
            <x v="31"/>
          </reference>
        </references>
      </pivotArea>
    </format>
    <format dxfId="1541">
      <pivotArea dataOnly="0" labelOnly="1" fieldPosition="0">
        <references count="2">
          <reference field="9" count="1" selected="0">
            <x v="54"/>
          </reference>
          <reference field="15" count="1">
            <x v="34"/>
          </reference>
        </references>
      </pivotArea>
    </format>
    <format dxfId="1542">
      <pivotArea dataOnly="0" labelOnly="1" fieldPosition="0">
        <references count="2">
          <reference field="9" count="1" selected="0">
            <x v="55"/>
          </reference>
          <reference field="15" count="1">
            <x v="3"/>
          </reference>
        </references>
      </pivotArea>
    </format>
    <format dxfId="1543">
      <pivotArea dataOnly="0" labelOnly="1" fieldPosition="0">
        <references count="2">
          <reference field="9" count="1" selected="0">
            <x v="56"/>
          </reference>
          <reference field="15" count="1">
            <x v="45"/>
          </reference>
        </references>
      </pivotArea>
    </format>
    <format dxfId="1544">
      <pivotArea dataOnly="0" labelOnly="1" fieldPosition="0">
        <references count="2">
          <reference field="9" count="1" selected="0">
            <x v="57"/>
          </reference>
          <reference field="15" count="1">
            <x v="42"/>
          </reference>
        </references>
      </pivotArea>
    </format>
    <format dxfId="1545">
      <pivotArea dataOnly="0" labelOnly="1" fieldPosition="0">
        <references count="2">
          <reference field="9" count="1" selected="0">
            <x v="58"/>
          </reference>
          <reference field="15" count="1">
            <x v="57"/>
          </reference>
        </references>
      </pivotArea>
    </format>
    <format dxfId="1546">
      <pivotArea dataOnly="0" labelOnly="1" fieldPosition="0">
        <references count="2">
          <reference field="9" count="1" selected="0">
            <x v="59"/>
          </reference>
          <reference field="15" count="1">
            <x v="20"/>
          </reference>
        </references>
      </pivotArea>
    </format>
    <format dxfId="1547">
      <pivotArea dataOnly="0" labelOnly="1" fieldPosition="0">
        <references count="2">
          <reference field="9" count="1" selected="0">
            <x v="60"/>
          </reference>
          <reference field="15" count="1">
            <x v="48"/>
          </reference>
        </references>
      </pivotArea>
    </format>
    <format dxfId="1548">
      <pivotArea dataOnly="0" labelOnly="1" fieldPosition="0">
        <references count="2">
          <reference field="9" count="1" selected="0">
            <x v="61"/>
          </reference>
          <reference field="15" count="1">
            <x v="32"/>
          </reference>
        </references>
      </pivotArea>
    </format>
    <format dxfId="1549">
      <pivotArea dataOnly="0" labelOnly="1" fieldPosition="0">
        <references count="2">
          <reference field="9" count="1" selected="0">
            <x v="62"/>
          </reference>
          <reference field="15" count="1">
            <x v="36"/>
          </reference>
        </references>
      </pivotArea>
    </format>
    <format dxfId="1550">
      <pivotArea dataOnly="0" labelOnly="1" fieldPosition="0">
        <references count="2">
          <reference field="9" count="1" selected="0">
            <x v="63"/>
          </reference>
          <reference field="15" count="1">
            <x v="65"/>
          </reference>
        </references>
      </pivotArea>
    </format>
    <format dxfId="1551">
      <pivotArea dataOnly="0" labelOnly="1" fieldPosition="0">
        <references count="2">
          <reference field="9" count="1" selected="0">
            <x v="64"/>
          </reference>
          <reference field="15" count="1">
            <x v="66"/>
          </reference>
        </references>
      </pivotArea>
    </format>
    <format dxfId="1552">
      <pivotArea dataOnly="0" labelOnly="1" fieldPosition="0">
        <references count="2">
          <reference field="9" count="1" selected="0">
            <x v="65"/>
          </reference>
          <reference field="15" count="1">
            <x v="67"/>
          </reference>
        </references>
      </pivotArea>
    </format>
    <format dxfId="1553">
      <pivotArea dataOnly="0" labelOnly="1" fieldPosition="0">
        <references count="2">
          <reference field="9" count="1" selected="0">
            <x v="66"/>
          </reference>
          <reference field="15" count="1">
            <x v="68"/>
          </reference>
        </references>
      </pivotArea>
    </format>
    <format dxfId="1554">
      <pivotArea dataOnly="0" labelOnly="1" fieldPosition="0">
        <references count="2">
          <reference field="9" count="1" selected="0">
            <x v="67"/>
          </reference>
          <reference field="15" count="1">
            <x v="69"/>
          </reference>
        </references>
      </pivotArea>
    </format>
    <format dxfId="1555">
      <pivotArea dataOnly="0" labelOnly="1" fieldPosition="0">
        <references count="3">
          <reference field="8" count="3">
            <x v="36"/>
            <x v="40"/>
            <x v="50"/>
          </reference>
          <reference field="9" count="1" selected="0">
            <x v="0"/>
          </reference>
          <reference field="15" count="1" selected="0">
            <x v="60"/>
          </reference>
        </references>
      </pivotArea>
    </format>
    <format dxfId="1556">
      <pivotArea dataOnly="0" labelOnly="1" fieldPosition="0">
        <references count="3">
          <reference field="8" count="1">
            <x v="5"/>
          </reference>
          <reference field="9" count="1" selected="0">
            <x v="1"/>
          </reference>
          <reference field="15" count="1" selected="0">
            <x v="54"/>
          </reference>
        </references>
      </pivotArea>
    </format>
    <format dxfId="1557">
      <pivotArea dataOnly="0" labelOnly="1" fieldPosition="0">
        <references count="3">
          <reference field="8" count="1">
            <x v="24"/>
          </reference>
          <reference field="9" count="1" selected="0">
            <x v="2"/>
          </reference>
          <reference field="15" count="1" selected="0">
            <x v="33"/>
          </reference>
        </references>
      </pivotArea>
    </format>
    <format dxfId="1558">
      <pivotArea dataOnly="0" labelOnly="1" fieldPosition="0">
        <references count="3">
          <reference field="8" count="1">
            <x v="11"/>
          </reference>
          <reference field="9" count="1" selected="0">
            <x v="3"/>
          </reference>
          <reference field="15" count="1" selected="0">
            <x v="46"/>
          </reference>
        </references>
      </pivotArea>
    </format>
    <format dxfId="1559">
      <pivotArea dataOnly="0" labelOnly="1" fieldPosition="0">
        <references count="3">
          <reference field="8" count="1">
            <x v="32"/>
          </reference>
          <reference field="9" count="1" selected="0">
            <x v="4"/>
          </reference>
          <reference field="15" count="1" selected="0">
            <x v="58"/>
          </reference>
        </references>
      </pivotArea>
    </format>
    <format dxfId="1560">
      <pivotArea dataOnly="0" labelOnly="1" fieldPosition="0">
        <references count="3">
          <reference field="8" count="5">
            <x v="29"/>
            <x v="39"/>
            <x v="56"/>
            <x v="62"/>
            <x v="63"/>
          </reference>
          <reference field="9" count="1" selected="0">
            <x v="5"/>
          </reference>
          <reference field="15" count="1" selected="0">
            <x v="22"/>
          </reference>
        </references>
      </pivotArea>
    </format>
    <format dxfId="1561">
      <pivotArea dataOnly="0" labelOnly="1" fieldPosition="0">
        <references count="3">
          <reference field="8" count="1">
            <x v="61"/>
          </reference>
          <reference field="9" count="1" selected="0">
            <x v="6"/>
          </reference>
          <reference field="15" count="1" selected="0">
            <x v="6"/>
          </reference>
        </references>
      </pivotArea>
    </format>
    <format dxfId="1562">
      <pivotArea dataOnly="0" labelOnly="1" fieldPosition="0">
        <references count="3">
          <reference field="8" count="1">
            <x v="20"/>
          </reference>
          <reference field="9" count="1" selected="0">
            <x v="7"/>
          </reference>
          <reference field="15" count="1" selected="0">
            <x v="26"/>
          </reference>
        </references>
      </pivotArea>
    </format>
    <format dxfId="1563">
      <pivotArea dataOnly="0" labelOnly="1" fieldPosition="0">
        <references count="3">
          <reference field="8" count="1">
            <x v="16"/>
          </reference>
          <reference field="9" count="1" selected="0">
            <x v="8"/>
          </reference>
          <reference field="15" count="1" selected="0">
            <x v="16"/>
          </reference>
        </references>
      </pivotArea>
    </format>
    <format dxfId="1564">
      <pivotArea dataOnly="0" labelOnly="1" fieldPosition="0">
        <references count="3">
          <reference field="8" count="1">
            <x v="12"/>
          </reference>
          <reference field="9" count="1" selected="0">
            <x v="9"/>
          </reference>
          <reference field="15" count="1" selected="0">
            <x v="15"/>
          </reference>
        </references>
      </pivotArea>
    </format>
    <format dxfId="1565">
      <pivotArea dataOnly="0" labelOnly="1" fieldPosition="0">
        <references count="3">
          <reference field="8" count="1">
            <x v="17"/>
          </reference>
          <reference field="9" count="1" selected="0">
            <x v="10"/>
          </reference>
          <reference field="15" count="1" selected="0">
            <x v="10"/>
          </reference>
        </references>
      </pivotArea>
    </format>
    <format dxfId="1566">
      <pivotArea dataOnly="0" labelOnly="1" fieldPosition="0">
        <references count="3">
          <reference field="8" count="1">
            <x v="21"/>
          </reference>
          <reference field="9" count="1" selected="0">
            <x v="11"/>
          </reference>
          <reference field="15" count="1" selected="0">
            <x v="23"/>
          </reference>
        </references>
      </pivotArea>
    </format>
    <format dxfId="1567">
      <pivotArea dataOnly="0" labelOnly="1" fieldPosition="0">
        <references count="3">
          <reference field="8" count="1">
            <x v="21"/>
          </reference>
          <reference field="9" count="1" selected="0">
            <x v="12"/>
          </reference>
          <reference field="15" count="1" selected="0">
            <x v="24"/>
          </reference>
        </references>
      </pivotArea>
    </format>
    <format dxfId="1568">
      <pivotArea dataOnly="0" labelOnly="1" fieldPosition="0">
        <references count="3">
          <reference field="8" count="2">
            <x v="14"/>
            <x v="39"/>
          </reference>
          <reference field="9" count="1" selected="0">
            <x v="13"/>
          </reference>
          <reference field="15" count="1" selected="0">
            <x v="7"/>
          </reference>
        </references>
      </pivotArea>
    </format>
    <format dxfId="1569">
      <pivotArea dataOnly="0" labelOnly="1" fieldPosition="0">
        <references count="3">
          <reference field="8" count="2">
            <x v="42"/>
            <x v="44"/>
          </reference>
          <reference field="9" count="1" selected="0">
            <x v="14"/>
          </reference>
          <reference field="15" count="1" selected="0">
            <x v="9"/>
          </reference>
        </references>
      </pivotArea>
    </format>
    <format dxfId="1570">
      <pivotArea dataOnly="0" labelOnly="1" fieldPosition="0">
        <references count="3">
          <reference field="8" count="1">
            <x v="55"/>
          </reference>
          <reference field="9" count="1" selected="0">
            <x v="15"/>
          </reference>
          <reference field="15" count="1" selected="0">
            <x v="64"/>
          </reference>
        </references>
      </pivotArea>
    </format>
    <format dxfId="1571">
      <pivotArea dataOnly="0" labelOnly="1" fieldPosition="0">
        <references count="3">
          <reference field="8" count="4">
            <x v="6"/>
            <x v="19"/>
            <x v="43"/>
            <x v="54"/>
          </reference>
          <reference field="9" count="1" selected="0">
            <x v="16"/>
          </reference>
          <reference field="15" count="1" selected="0">
            <x v="18"/>
          </reference>
        </references>
      </pivotArea>
    </format>
    <format dxfId="1572">
      <pivotArea dataOnly="0" labelOnly="1" fieldPosition="0">
        <references count="3">
          <reference field="8" count="1">
            <x v="34"/>
          </reference>
          <reference field="9" count="1" selected="0">
            <x v="17"/>
          </reference>
          <reference field="15" count="1" selected="0">
            <x v="56"/>
          </reference>
        </references>
      </pivotArea>
    </format>
    <format dxfId="1573">
      <pivotArea dataOnly="0" labelOnly="1" fieldPosition="0">
        <references count="3">
          <reference field="8" count="3">
            <x v="8"/>
            <x v="30"/>
            <x v="69"/>
          </reference>
          <reference field="9" count="1" selected="0">
            <x v="18"/>
          </reference>
          <reference field="15" count="1" selected="0">
            <x v="62"/>
          </reference>
        </references>
      </pivotArea>
    </format>
    <format dxfId="1574">
      <pivotArea dataOnly="0" labelOnly="1" fieldPosition="0">
        <references count="3">
          <reference field="8" count="1">
            <x v="11"/>
          </reference>
          <reference field="9" count="1" selected="0">
            <x v="19"/>
          </reference>
          <reference field="15" count="1" selected="0">
            <x v="13"/>
          </reference>
        </references>
      </pivotArea>
    </format>
    <format dxfId="1575">
      <pivotArea dataOnly="0" labelOnly="1" fieldPosition="0">
        <references count="3">
          <reference field="8" count="3">
            <x v="6"/>
            <x v="19"/>
            <x v="43"/>
          </reference>
          <reference field="9" count="1" selected="0">
            <x v="20"/>
          </reference>
          <reference field="15" count="1" selected="0">
            <x v="40"/>
          </reference>
        </references>
      </pivotArea>
    </format>
    <format dxfId="1576">
      <pivotArea dataOnly="0" labelOnly="1" fieldPosition="0">
        <references count="3">
          <reference field="8" count="1">
            <x v="51"/>
          </reference>
          <reference field="9" count="1" selected="0">
            <x v="21"/>
          </reference>
          <reference field="15" count="1" selected="0">
            <x v="1"/>
          </reference>
        </references>
      </pivotArea>
    </format>
    <format dxfId="1577">
      <pivotArea dataOnly="0" labelOnly="1" fieldPosition="0">
        <references count="3">
          <reference field="8" count="2">
            <x v="10"/>
            <x v="26"/>
          </reference>
          <reference field="9" count="1" selected="0">
            <x v="23"/>
          </reference>
          <reference field="15" count="1" selected="0">
            <x v="50"/>
          </reference>
        </references>
      </pivotArea>
    </format>
    <format dxfId="1578">
      <pivotArea dataOnly="0" labelOnly="1" fieldPosition="0">
        <references count="3">
          <reference field="8" count="1">
            <x v="22"/>
          </reference>
          <reference field="9" count="1" selected="0">
            <x v="24"/>
          </reference>
          <reference field="15" count="1" selected="0">
            <x v="37"/>
          </reference>
        </references>
      </pivotArea>
    </format>
    <format dxfId="1579">
      <pivotArea dataOnly="0" labelOnly="1" fieldPosition="0">
        <references count="3">
          <reference field="8" count="3">
            <x v="4"/>
            <x v="14"/>
            <x v="62"/>
          </reference>
          <reference field="9" count="1" selected="0">
            <x v="25"/>
          </reference>
          <reference field="15" count="1" selected="0">
            <x v="4"/>
          </reference>
        </references>
      </pivotArea>
    </format>
    <format dxfId="1580">
      <pivotArea dataOnly="0" labelOnly="1" fieldPosition="0">
        <references count="3">
          <reference field="8" count="5">
            <x v="2"/>
            <x v="4"/>
            <x v="29"/>
            <x v="56"/>
            <x v="62"/>
          </reference>
          <reference field="9" count="1" selected="0">
            <x v="26"/>
          </reference>
          <reference field="15" count="1" selected="0">
            <x v="29"/>
          </reference>
        </references>
      </pivotArea>
    </format>
    <format dxfId="1581">
      <pivotArea dataOnly="0" labelOnly="1" fieldPosition="0">
        <references count="3">
          <reference field="8" count="3">
            <x v="29"/>
            <x v="56"/>
            <x v="64"/>
          </reference>
          <reference field="9" count="1" selected="0">
            <x v="27"/>
          </reference>
          <reference field="15" count="1" selected="0">
            <x v="12"/>
          </reference>
        </references>
      </pivotArea>
    </format>
    <format dxfId="1582">
      <pivotArea dataOnly="0" labelOnly="1" fieldPosition="0">
        <references count="3">
          <reference field="8" count="1">
            <x v="32"/>
          </reference>
          <reference field="9" count="1" selected="0">
            <x v="28"/>
          </reference>
          <reference field="15" count="1" selected="0">
            <x v="59"/>
          </reference>
        </references>
      </pivotArea>
    </format>
    <format dxfId="1583">
      <pivotArea dataOnly="0" labelOnly="1" fieldPosition="0">
        <references count="3">
          <reference field="8" count="1">
            <x v="1"/>
          </reference>
          <reference field="9" count="1" selected="0">
            <x v="29"/>
          </reference>
          <reference field="15" count="1" selected="0">
            <x v="52"/>
          </reference>
        </references>
      </pivotArea>
    </format>
    <format dxfId="1584">
      <pivotArea dataOnly="0" labelOnly="1" fieldPosition="0">
        <references count="3">
          <reference field="8" count="1">
            <x v="1"/>
          </reference>
          <reference field="9" count="1" selected="0">
            <x v="30"/>
          </reference>
          <reference field="15" count="1" selected="0">
            <x v="53"/>
          </reference>
        </references>
      </pivotArea>
    </format>
    <format dxfId="1585">
      <pivotArea dataOnly="0" labelOnly="1" fieldPosition="0">
        <references count="3">
          <reference field="8" count="3">
            <x v="2"/>
            <x v="27"/>
            <x v="43"/>
          </reference>
          <reference field="9" count="1" selected="0">
            <x v="31"/>
          </reference>
          <reference field="15" count="1" selected="0">
            <x v="47"/>
          </reference>
        </references>
      </pivotArea>
    </format>
    <format dxfId="1586">
      <pivotArea dataOnly="0" labelOnly="1" fieldPosition="0">
        <references count="3">
          <reference field="8" count="2">
            <x v="37"/>
            <x v="62"/>
          </reference>
          <reference field="9" count="1" selected="0">
            <x v="32"/>
          </reference>
          <reference field="15" count="1" selected="0">
            <x v="5"/>
          </reference>
        </references>
      </pivotArea>
    </format>
    <format dxfId="1587">
      <pivotArea dataOnly="0" labelOnly="1" fieldPosition="0">
        <references count="3">
          <reference field="8" count="1">
            <x v="45"/>
          </reference>
          <reference field="9" count="1" selected="0">
            <x v="33"/>
          </reference>
          <reference field="15" count="1" selected="0">
            <x v="51"/>
          </reference>
        </references>
      </pivotArea>
    </format>
    <format dxfId="1588">
      <pivotArea dataOnly="0" labelOnly="1" fieldPosition="0">
        <references count="3">
          <reference field="8" count="1">
            <x v="66"/>
          </reference>
          <reference field="9" count="1" selected="0">
            <x v="34"/>
          </reference>
          <reference field="15" count="1" selected="0">
            <x v="35"/>
          </reference>
        </references>
      </pivotArea>
    </format>
    <format dxfId="1589">
      <pivotArea dataOnly="0" labelOnly="1" fieldPosition="0">
        <references count="3">
          <reference field="8" count="7">
            <x v="0"/>
            <x v="4"/>
            <x v="14"/>
            <x v="39"/>
            <x v="57"/>
            <x v="63"/>
            <x v="64"/>
          </reference>
          <reference field="9" count="1" selected="0">
            <x v="35"/>
          </reference>
          <reference field="15" count="1" selected="0">
            <x v="8"/>
          </reference>
        </references>
      </pivotArea>
    </format>
    <format dxfId="1590">
      <pivotArea dataOnly="0" labelOnly="1" fieldPosition="0">
        <references count="3">
          <reference field="8" count="1">
            <x v="17"/>
          </reference>
          <reference field="9" count="1" selected="0">
            <x v="36"/>
          </reference>
          <reference field="15" count="1" selected="0">
            <x v="11"/>
          </reference>
        </references>
      </pivotArea>
    </format>
    <format dxfId="1591">
      <pivotArea dataOnly="0" labelOnly="1" fieldPosition="0">
        <references count="3">
          <reference field="8" count="1">
            <x v="55"/>
          </reference>
          <reference field="9" count="1" selected="0">
            <x v="37"/>
          </reference>
          <reference field="15" count="1" selected="0">
            <x v="43"/>
          </reference>
        </references>
      </pivotArea>
    </format>
    <format dxfId="1592">
      <pivotArea dataOnly="0" labelOnly="1" fieldPosition="0">
        <references count="3">
          <reference field="8" count="3">
            <x v="8"/>
            <x v="30"/>
            <x v="69"/>
          </reference>
          <reference field="9" count="1" selected="0">
            <x v="38"/>
          </reference>
          <reference field="15" count="1" selected="0">
            <x v="61"/>
          </reference>
        </references>
      </pivotArea>
    </format>
    <format dxfId="1593">
      <pivotArea dataOnly="0" labelOnly="1" fieldPosition="0">
        <references count="3">
          <reference field="8" count="4">
            <x v="44"/>
            <x v="47"/>
            <x v="49"/>
            <x v="52"/>
          </reference>
          <reference field="9" count="1" selected="0">
            <x v="39"/>
          </reference>
          <reference field="15" count="1" selected="0">
            <x v="30"/>
          </reference>
        </references>
      </pivotArea>
    </format>
    <format dxfId="1594">
      <pivotArea dataOnly="0" labelOnly="1" fieldPosition="0">
        <references count="3">
          <reference field="8" count="1">
            <x v="13"/>
          </reference>
          <reference field="9" count="1" selected="0">
            <x v="40"/>
          </reference>
          <reference field="15" count="1" selected="0">
            <x v="28"/>
          </reference>
        </references>
      </pivotArea>
    </format>
    <format dxfId="1595">
      <pivotArea dataOnly="0" labelOnly="1" fieldPosition="0">
        <references count="3">
          <reference field="8" count="1">
            <x v="12"/>
          </reference>
          <reference field="9" count="1" selected="0">
            <x v="42"/>
          </reference>
          <reference field="15" count="1" selected="0">
            <x v="21"/>
          </reference>
        </references>
      </pivotArea>
    </format>
    <format dxfId="1596">
      <pivotArea dataOnly="0" labelOnly="1" fieldPosition="0">
        <references count="3">
          <reference field="8" count="1">
            <x v="24"/>
          </reference>
          <reference field="9" count="1" selected="0">
            <x v="43"/>
          </reference>
          <reference field="15" count="1" selected="0">
            <x v="14"/>
          </reference>
        </references>
      </pivotArea>
    </format>
    <format dxfId="1597">
      <pivotArea dataOnly="0" labelOnly="1" fieldPosition="0">
        <references count="3">
          <reference field="8" count="1">
            <x v="22"/>
          </reference>
          <reference field="9" count="1" selected="0">
            <x v="44"/>
          </reference>
          <reference field="15" count="1" selected="0">
            <x v="38"/>
          </reference>
        </references>
      </pivotArea>
    </format>
    <format dxfId="1598">
      <pivotArea dataOnly="0" labelOnly="1" fieldPosition="0">
        <references count="3">
          <reference field="8" count="1">
            <x v="41"/>
          </reference>
          <reference field="9" count="1" selected="0">
            <x v="45"/>
          </reference>
          <reference field="15" count="1" selected="0">
            <x v="19"/>
          </reference>
        </references>
      </pivotArea>
    </format>
    <format dxfId="1599">
      <pivotArea dataOnly="0" labelOnly="1" fieldPosition="0">
        <references count="3">
          <reference field="8" count="2">
            <x v="6"/>
            <x v="19"/>
          </reference>
          <reference field="9" count="1" selected="0">
            <x v="46"/>
          </reference>
          <reference field="15" count="1" selected="0">
            <x v="55"/>
          </reference>
        </references>
      </pivotArea>
    </format>
    <format dxfId="1600">
      <pivotArea dataOnly="0" labelOnly="1" fieldPosition="0">
        <references count="3">
          <reference field="8" count="3">
            <x v="56"/>
            <x v="57"/>
            <x v="65"/>
          </reference>
          <reference field="9" count="1" selected="0">
            <x v="47"/>
          </reference>
          <reference field="15" count="1" selected="0">
            <x v="2"/>
          </reference>
        </references>
      </pivotArea>
    </format>
    <format dxfId="1601">
      <pivotArea dataOnly="0" labelOnly="1" fieldPosition="0">
        <references count="3">
          <reference field="8" count="1">
            <x v="18"/>
          </reference>
          <reference field="9" count="1" selected="0">
            <x v="48"/>
          </reference>
          <reference field="15" count="1" selected="0">
            <x v="17"/>
          </reference>
        </references>
      </pivotArea>
    </format>
    <format dxfId="1602">
      <pivotArea dataOnly="0" labelOnly="1" fieldPosition="0">
        <references count="3">
          <reference field="8" count="2">
            <x v="13"/>
            <x v="23"/>
          </reference>
          <reference field="9" count="1" selected="0">
            <x v="49"/>
          </reference>
          <reference field="15" count="1" selected="0">
            <x v="49"/>
          </reference>
        </references>
      </pivotArea>
    </format>
    <format dxfId="1603">
      <pivotArea dataOnly="0" labelOnly="1" fieldPosition="0">
        <references count="3">
          <reference field="8" count="2">
            <x v="3"/>
            <x v="60"/>
          </reference>
          <reference field="9" count="1" selected="0">
            <x v="50"/>
          </reference>
          <reference field="15" count="1" selected="0">
            <x v="41"/>
          </reference>
        </references>
      </pivotArea>
    </format>
    <format dxfId="1604">
      <pivotArea dataOnly="0" labelOnly="1" fieldPosition="0">
        <references count="3">
          <reference field="8" count="1">
            <x v="46"/>
          </reference>
          <reference field="9" count="1" selected="0">
            <x v="51"/>
          </reference>
          <reference field="15" count="1" selected="0">
            <x v="27"/>
          </reference>
        </references>
      </pivotArea>
    </format>
    <format dxfId="1605">
      <pivotArea dataOnly="0" labelOnly="1" fieldPosition="0">
        <references count="3">
          <reference field="8" count="1">
            <x v="54"/>
          </reference>
          <reference field="9" count="1" selected="0">
            <x v="52"/>
          </reference>
          <reference field="15" count="1" selected="0">
            <x v="39"/>
          </reference>
        </references>
      </pivotArea>
    </format>
    <format dxfId="1606">
      <pivotArea dataOnly="0" labelOnly="1" fieldPosition="0">
        <references count="3">
          <reference field="8" count="1">
            <x v="35"/>
          </reference>
          <reference field="9" count="1" selected="0">
            <x v="53"/>
          </reference>
          <reference field="15" count="1" selected="0">
            <x v="31"/>
          </reference>
        </references>
      </pivotArea>
    </format>
    <format dxfId="1607">
      <pivotArea dataOnly="0" labelOnly="1" fieldPosition="0">
        <references count="3">
          <reference field="8" count="3">
            <x v="0"/>
            <x v="29"/>
            <x v="56"/>
          </reference>
          <reference field="9" count="1" selected="0">
            <x v="54"/>
          </reference>
          <reference field="15" count="1" selected="0">
            <x v="34"/>
          </reference>
        </references>
      </pivotArea>
    </format>
    <format dxfId="1608">
      <pivotArea dataOnly="0" labelOnly="1" fieldPosition="0">
        <references count="3">
          <reference field="8" count="1">
            <x v="10"/>
          </reference>
          <reference field="9" count="1" selected="0">
            <x v="55"/>
          </reference>
          <reference field="15" count="1" selected="0">
            <x v="3"/>
          </reference>
        </references>
      </pivotArea>
    </format>
    <format dxfId="1609">
      <pivotArea dataOnly="0" labelOnly="1" fieldPosition="0">
        <references count="3">
          <reference field="8" count="1">
            <x v="38"/>
          </reference>
          <reference field="9" count="1" selected="0">
            <x v="56"/>
          </reference>
          <reference field="15" count="1" selected="0">
            <x v="45"/>
          </reference>
        </references>
      </pivotArea>
    </format>
    <format dxfId="1610">
      <pivotArea dataOnly="0" labelOnly="1" fieldPosition="0">
        <references count="3">
          <reference field="8" count="1">
            <x v="66"/>
          </reference>
          <reference field="9" count="1" selected="0">
            <x v="57"/>
          </reference>
          <reference field="15" count="1" selected="0">
            <x v="42"/>
          </reference>
        </references>
      </pivotArea>
    </format>
    <format dxfId="1611">
      <pivotArea dataOnly="0" labelOnly="1" fieldPosition="0">
        <references count="3">
          <reference field="8" count="1">
            <x v="8"/>
          </reference>
          <reference field="9" count="1" selected="0">
            <x v="58"/>
          </reference>
          <reference field="15" count="1" selected="0">
            <x v="57"/>
          </reference>
        </references>
      </pivotArea>
    </format>
    <format dxfId="1612">
      <pivotArea dataOnly="0" labelOnly="1" fieldPosition="0">
        <references count="3">
          <reference field="8" count="1">
            <x v="25"/>
          </reference>
          <reference field="9" count="1" selected="0">
            <x v="59"/>
          </reference>
          <reference field="15" count="1" selected="0">
            <x v="20"/>
          </reference>
        </references>
      </pivotArea>
    </format>
    <format dxfId="1613">
      <pivotArea dataOnly="0" labelOnly="1" fieldPosition="0">
        <references count="3">
          <reference field="8" count="3">
            <x v="2"/>
            <x v="27"/>
            <x v="43"/>
          </reference>
          <reference field="9" count="1" selected="0">
            <x v="60"/>
          </reference>
          <reference field="15" count="1" selected="0">
            <x v="48"/>
          </reference>
        </references>
      </pivotArea>
    </format>
    <format dxfId="1614">
      <pivotArea dataOnly="0" labelOnly="1" fieldPosition="0">
        <references count="3">
          <reference field="8" count="1">
            <x v="18"/>
          </reference>
          <reference field="9" count="1" selected="0">
            <x v="61"/>
          </reference>
          <reference field="15" count="1" selected="0">
            <x v="32"/>
          </reference>
        </references>
      </pivotArea>
    </format>
    <format dxfId="1615">
      <pivotArea dataOnly="0" labelOnly="1" fieldPosition="0">
        <references count="3">
          <reference field="8" count="1">
            <x v="25"/>
          </reference>
          <reference field="9" count="1" selected="0">
            <x v="62"/>
          </reference>
          <reference field="15" count="1" selected="0">
            <x v="36"/>
          </reference>
        </references>
      </pivotArea>
    </format>
    <format dxfId="1616">
      <pivotArea dataOnly="0" labelOnly="1" fieldPosition="0">
        <references count="3">
          <reference field="8" count="1">
            <x v="23"/>
          </reference>
          <reference field="9" count="1" selected="0">
            <x v="63"/>
          </reference>
          <reference field="15" count="1" selected="0">
            <x v="65"/>
          </reference>
        </references>
      </pivotArea>
    </format>
    <format dxfId="1617">
      <pivotArea dataOnly="0" labelOnly="1" fieldPosition="0">
        <references count="3">
          <reference field="8" count="1">
            <x v="23"/>
          </reference>
          <reference field="9" count="1" selected="0">
            <x v="64"/>
          </reference>
          <reference field="15" count="1" selected="0">
            <x v="66"/>
          </reference>
        </references>
      </pivotArea>
    </format>
    <format dxfId="1618">
      <pivotArea dataOnly="0" labelOnly="1" fieldPosition="0">
        <references count="3">
          <reference field="8" count="4">
            <x v="47"/>
            <x v="49"/>
            <x v="56"/>
            <x v="62"/>
          </reference>
          <reference field="9" count="1" selected="0">
            <x v="65"/>
          </reference>
          <reference field="15" count="1" selected="0">
            <x v="67"/>
          </reference>
        </references>
      </pivotArea>
    </format>
    <format dxfId="1619">
      <pivotArea dataOnly="0" labelOnly="1" fieldPosition="0">
        <references count="3">
          <reference field="8" count="1">
            <x v="67"/>
          </reference>
          <reference field="9" count="1" selected="0">
            <x v="66"/>
          </reference>
          <reference field="15" count="1" selected="0">
            <x v="68"/>
          </reference>
        </references>
      </pivotArea>
    </format>
    <format dxfId="1620">
      <pivotArea dataOnly="0" labelOnly="1" fieldPosition="0">
        <references count="3">
          <reference field="8" count="1">
            <x v="67"/>
          </reference>
          <reference field="9" count="1" selected="0">
            <x v="67"/>
          </reference>
          <reference field="15" count="1" selected="0">
            <x v="69"/>
          </reference>
        </references>
      </pivotArea>
    </format>
    <format dxfId="1621">
      <pivotArea dataOnly="0" labelOnly="1" fieldPosition="0">
        <references count="4">
          <reference field="8" count="1" selected="0">
            <x v="36"/>
          </reference>
          <reference field="9" count="1" selected="0">
            <x v="0"/>
          </reference>
          <reference field="15" count="1" selected="0">
            <x v="60"/>
          </reference>
          <reference field="16" count="1">
            <x v="1"/>
          </reference>
        </references>
      </pivotArea>
    </format>
    <format dxfId="1622">
      <pivotArea dataOnly="0" labelOnly="1" fieldPosition="0">
        <references count="4">
          <reference field="8" count="1" selected="0">
            <x v="40"/>
          </reference>
          <reference field="9" count="1" selected="0">
            <x v="0"/>
          </reference>
          <reference field="15" count="1" selected="0">
            <x v="60"/>
          </reference>
          <reference field="16" count="1">
            <x v="2"/>
          </reference>
        </references>
      </pivotArea>
    </format>
    <format dxfId="1623">
      <pivotArea dataOnly="0" labelOnly="1" fieldPosition="0">
        <references count="4">
          <reference field="8" count="1" selected="0">
            <x v="50"/>
          </reference>
          <reference field="9" count="1" selected="0">
            <x v="0"/>
          </reference>
          <reference field="15" count="1" selected="0">
            <x v="60"/>
          </reference>
          <reference field="16" count="1">
            <x v="6"/>
          </reference>
        </references>
      </pivotArea>
    </format>
    <format dxfId="1624">
      <pivotArea dataOnly="0" labelOnly="1" fieldPosition="0">
        <references count="4">
          <reference field="8" count="1" selected="0">
            <x v="5"/>
          </reference>
          <reference field="9" count="1" selected="0">
            <x v="1"/>
          </reference>
          <reference field="15" count="1" selected="0">
            <x v="54"/>
          </reference>
          <reference field="16" count="1">
            <x v="3"/>
          </reference>
        </references>
      </pivotArea>
    </format>
    <format dxfId="1625">
      <pivotArea dataOnly="0" labelOnly="1" fieldPosition="0">
        <references count="4">
          <reference field="8" count="1" selected="0">
            <x v="24"/>
          </reference>
          <reference field="9" count="1" selected="0">
            <x v="2"/>
          </reference>
          <reference field="15" count="1" selected="0">
            <x v="33"/>
          </reference>
          <reference field="16" count="1">
            <x v="12"/>
          </reference>
        </references>
      </pivotArea>
    </format>
    <format dxfId="1626">
      <pivotArea dataOnly="0" labelOnly="1" fieldPosition="0">
        <references count="4">
          <reference field="8" count="1" selected="0">
            <x v="11"/>
          </reference>
          <reference field="9" count="1" selected="0">
            <x v="3"/>
          </reference>
          <reference field="15" count="1" selected="0">
            <x v="46"/>
          </reference>
          <reference field="16" count="1">
            <x v="12"/>
          </reference>
        </references>
      </pivotArea>
    </format>
    <format dxfId="1627">
      <pivotArea dataOnly="0" labelOnly="1" fieldPosition="0">
        <references count="4">
          <reference field="8" count="1" selected="0">
            <x v="32"/>
          </reference>
          <reference field="9" count="1" selected="0">
            <x v="4"/>
          </reference>
          <reference field="15" count="1" selected="0">
            <x v="58"/>
          </reference>
          <reference field="16" count="1">
            <x v="10"/>
          </reference>
        </references>
      </pivotArea>
    </format>
    <format dxfId="1628">
      <pivotArea dataOnly="0" labelOnly="1" fieldPosition="0">
        <references count="4">
          <reference field="8" count="1" selected="0">
            <x v="29"/>
          </reference>
          <reference field="9" count="1" selected="0">
            <x v="5"/>
          </reference>
          <reference field="15" count="1" selected="0">
            <x v="22"/>
          </reference>
          <reference field="16" count="1">
            <x v="11"/>
          </reference>
        </references>
      </pivotArea>
    </format>
    <format dxfId="1629">
      <pivotArea dataOnly="0" labelOnly="1" fieldPosition="0">
        <references count="4">
          <reference field="8" count="1" selected="0">
            <x v="39"/>
          </reference>
          <reference field="9" count="1" selected="0">
            <x v="5"/>
          </reference>
          <reference field="15" count="1" selected="0">
            <x v="22"/>
          </reference>
          <reference field="16" count="1">
            <x v="9"/>
          </reference>
        </references>
      </pivotArea>
    </format>
    <format dxfId="1630">
      <pivotArea dataOnly="0" labelOnly="1" fieldPosition="0">
        <references count="4">
          <reference field="8" count="1" selected="0">
            <x v="56"/>
          </reference>
          <reference field="9" count="1" selected="0">
            <x v="5"/>
          </reference>
          <reference field="15" count="1" selected="0">
            <x v="22"/>
          </reference>
          <reference field="16" count="1">
            <x v="5"/>
          </reference>
        </references>
      </pivotArea>
    </format>
    <format dxfId="1631">
      <pivotArea dataOnly="0" labelOnly="1" fieldPosition="0">
        <references count="4">
          <reference field="8" count="1" selected="0">
            <x v="62"/>
          </reference>
          <reference field="9" count="1" selected="0">
            <x v="5"/>
          </reference>
          <reference field="15" count="1" selected="0">
            <x v="22"/>
          </reference>
          <reference field="16" count="1">
            <x v="4"/>
          </reference>
        </references>
      </pivotArea>
    </format>
    <format dxfId="1632">
      <pivotArea dataOnly="0" labelOnly="1" fieldPosition="0">
        <references count="4">
          <reference field="8" count="1" selected="0">
            <x v="63"/>
          </reference>
          <reference field="9" count="1" selected="0">
            <x v="5"/>
          </reference>
          <reference field="15" count="1" selected="0">
            <x v="22"/>
          </reference>
          <reference field="16" count="1">
            <x v="11"/>
          </reference>
        </references>
      </pivotArea>
    </format>
    <format dxfId="1633">
      <pivotArea dataOnly="0" labelOnly="1" fieldPosition="0">
        <references count="4">
          <reference field="8" count="1" selected="0">
            <x v="61"/>
          </reference>
          <reference field="9" count="1" selected="0">
            <x v="6"/>
          </reference>
          <reference field="15" count="1" selected="0">
            <x v="6"/>
          </reference>
          <reference field="16" count="1">
            <x v="4"/>
          </reference>
        </references>
      </pivotArea>
    </format>
    <format dxfId="1634">
      <pivotArea dataOnly="0" labelOnly="1" fieldPosition="0">
        <references count="4">
          <reference field="8" count="1" selected="0">
            <x v="20"/>
          </reference>
          <reference field="9" count="1" selected="0">
            <x v="7"/>
          </reference>
          <reference field="15" count="1" selected="0">
            <x v="26"/>
          </reference>
          <reference field="16" count="1">
            <x v="12"/>
          </reference>
        </references>
      </pivotArea>
    </format>
    <format dxfId="1635">
      <pivotArea dataOnly="0" labelOnly="1" fieldPosition="0">
        <references count="4">
          <reference field="8" count="1" selected="0">
            <x v="16"/>
          </reference>
          <reference field="9" count="1" selected="0">
            <x v="8"/>
          </reference>
          <reference field="15" count="1" selected="0">
            <x v="16"/>
          </reference>
          <reference field="16" count="1">
            <x v="12"/>
          </reference>
        </references>
      </pivotArea>
    </format>
    <format dxfId="1636">
      <pivotArea dataOnly="0" labelOnly="1" fieldPosition="0">
        <references count="4">
          <reference field="8" count="1" selected="0">
            <x v="12"/>
          </reference>
          <reference field="9" count="1" selected="0">
            <x v="9"/>
          </reference>
          <reference field="15" count="1" selected="0">
            <x v="15"/>
          </reference>
          <reference field="16" count="1">
            <x v="12"/>
          </reference>
        </references>
      </pivotArea>
    </format>
    <format dxfId="1637">
      <pivotArea dataOnly="0" labelOnly="1" fieldPosition="0">
        <references count="4">
          <reference field="8" count="1" selected="0">
            <x v="17"/>
          </reference>
          <reference field="9" count="1" selected="0">
            <x v="10"/>
          </reference>
          <reference field="15" count="1" selected="0">
            <x v="10"/>
          </reference>
          <reference field="16" count="1">
            <x v="12"/>
          </reference>
        </references>
      </pivotArea>
    </format>
    <format dxfId="1638">
      <pivotArea dataOnly="0" labelOnly="1" fieldPosition="0">
        <references count="4">
          <reference field="8" count="1" selected="0">
            <x v="21"/>
          </reference>
          <reference field="9" count="1" selected="0">
            <x v="11"/>
          </reference>
          <reference field="15" count="1" selected="0">
            <x v="23"/>
          </reference>
          <reference field="16" count="1">
            <x v="12"/>
          </reference>
        </references>
      </pivotArea>
    </format>
    <format dxfId="1639">
      <pivotArea dataOnly="0" labelOnly="1" fieldPosition="0">
        <references count="4">
          <reference field="8" count="1" selected="0">
            <x v="21"/>
          </reference>
          <reference field="9" count="1" selected="0">
            <x v="12"/>
          </reference>
          <reference field="15" count="1" selected="0">
            <x v="24"/>
          </reference>
          <reference field="16" count="1">
            <x v="12"/>
          </reference>
        </references>
      </pivotArea>
    </format>
    <format dxfId="1640">
      <pivotArea dataOnly="0" labelOnly="1" fieldPosition="0">
        <references count="4">
          <reference field="8" count="1" selected="0">
            <x v="14"/>
          </reference>
          <reference field="9" count="1" selected="0">
            <x v="13"/>
          </reference>
          <reference field="15" count="1" selected="0">
            <x v="7"/>
          </reference>
          <reference field="16" count="1">
            <x v="9"/>
          </reference>
        </references>
      </pivotArea>
    </format>
    <format dxfId="1641">
      <pivotArea dataOnly="0" labelOnly="1" fieldPosition="0">
        <references count="4">
          <reference field="8" count="1" selected="0">
            <x v="42"/>
          </reference>
          <reference field="9" count="1" selected="0">
            <x v="14"/>
          </reference>
          <reference field="15" count="1" selected="0">
            <x v="9"/>
          </reference>
          <reference field="16" count="1">
            <x v="9"/>
          </reference>
        </references>
      </pivotArea>
    </format>
    <format dxfId="1642">
      <pivotArea dataOnly="0" labelOnly="1" fieldPosition="0">
        <references count="4">
          <reference field="8" count="1" selected="0">
            <x v="44"/>
          </reference>
          <reference field="9" count="1" selected="0">
            <x v="14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1643">
      <pivotArea dataOnly="0" labelOnly="1" fieldPosition="0">
        <references count="4">
          <reference field="8" count="1" selected="0">
            <x v="55"/>
          </reference>
          <reference field="9" count="1" selected="0">
            <x v="15"/>
          </reference>
          <reference field="15" count="1" selected="0">
            <x v="64"/>
          </reference>
          <reference field="16" count="1">
            <x v="11"/>
          </reference>
        </references>
      </pivotArea>
    </format>
    <format dxfId="1644">
      <pivotArea dataOnly="0" labelOnly="1" fieldPosition="0">
        <references count="4">
          <reference field="8" count="1" selected="0">
            <x v="6"/>
          </reference>
          <reference field="9" count="1" selected="0">
            <x v="16"/>
          </reference>
          <reference field="15" count="1" selected="0">
            <x v="18"/>
          </reference>
          <reference field="16" count="1">
            <x v="3"/>
          </reference>
        </references>
      </pivotArea>
    </format>
    <format dxfId="1645">
      <pivotArea dataOnly="0" labelOnly="1" fieldPosition="0">
        <references count="4">
          <reference field="8" count="1" selected="0">
            <x v="19"/>
          </reference>
          <reference field="9" count="1" selected="0">
            <x v="16"/>
          </reference>
          <reference field="15" count="1" selected="0">
            <x v="18"/>
          </reference>
          <reference field="16" count="1">
            <x v="11"/>
          </reference>
        </references>
      </pivotArea>
    </format>
    <format dxfId="1646">
      <pivotArea dataOnly="0" labelOnly="1" fieldPosition="0">
        <references count="4">
          <reference field="8" count="1" selected="0">
            <x v="34"/>
          </reference>
          <reference field="9" count="1" selected="0">
            <x v="17"/>
          </reference>
          <reference field="15" count="1" selected="0">
            <x v="56"/>
          </reference>
          <reference field="16" count="1">
            <x v="6"/>
          </reference>
        </references>
      </pivotArea>
    </format>
    <format dxfId="1647">
      <pivotArea dataOnly="0" labelOnly="1" fieldPosition="0">
        <references count="4">
          <reference field="8" count="1" selected="0">
            <x v="8"/>
          </reference>
          <reference field="9" count="1" selected="0">
            <x v="18"/>
          </reference>
          <reference field="15" count="1" selected="0">
            <x v="62"/>
          </reference>
          <reference field="16" count="1">
            <x v="3"/>
          </reference>
        </references>
      </pivotArea>
    </format>
    <format dxfId="1648">
      <pivotArea dataOnly="0" labelOnly="1" fieldPosition="0">
        <references count="4">
          <reference field="8" count="1" selected="0">
            <x v="30"/>
          </reference>
          <reference field="9" count="1" selected="0">
            <x v="18"/>
          </reference>
          <reference field="15" count="1" selected="0">
            <x v="62"/>
          </reference>
          <reference field="16" count="1">
            <x v="11"/>
          </reference>
        </references>
      </pivotArea>
    </format>
    <format dxfId="1649">
      <pivotArea dataOnly="0" labelOnly="1" fieldPosition="0">
        <references count="4">
          <reference field="8" count="1" selected="0">
            <x v="69"/>
          </reference>
          <reference field="9" count="1" selected="0">
            <x v="18"/>
          </reference>
          <reference field="15" count="1" selected="0">
            <x v="62"/>
          </reference>
          <reference field="16" count="1">
            <x v="10"/>
          </reference>
        </references>
      </pivotArea>
    </format>
    <format dxfId="1650">
      <pivotArea dataOnly="0" labelOnly="1" fieldPosition="0">
        <references count="4">
          <reference field="8" count="1" selected="0">
            <x v="11"/>
          </reference>
          <reference field="9" count="1" selected="0">
            <x v="19"/>
          </reference>
          <reference field="15" count="1" selected="0">
            <x v="13"/>
          </reference>
          <reference field="16" count="1">
            <x v="12"/>
          </reference>
        </references>
      </pivotArea>
    </format>
    <format dxfId="1651">
      <pivotArea dataOnly="0" labelOnly="1" fieldPosition="0">
        <references count="4">
          <reference field="8" count="1" selected="0">
            <x v="6"/>
          </reference>
          <reference field="9" count="1" selected="0">
            <x v="20"/>
          </reference>
          <reference field="15" count="1" selected="0">
            <x v="40"/>
          </reference>
          <reference field="16" count="1">
            <x v="3"/>
          </reference>
        </references>
      </pivotArea>
    </format>
    <format dxfId="1652">
      <pivotArea dataOnly="0" labelOnly="1" fieldPosition="0">
        <references count="4">
          <reference field="8" count="1" selected="0">
            <x v="19"/>
          </reference>
          <reference field="9" count="1" selected="0">
            <x v="20"/>
          </reference>
          <reference field="15" count="1" selected="0">
            <x v="40"/>
          </reference>
          <reference field="16" count="1">
            <x v="11"/>
          </reference>
        </references>
      </pivotArea>
    </format>
    <format dxfId="1653">
      <pivotArea dataOnly="0" labelOnly="1" fieldPosition="0">
        <references count="4">
          <reference field="8" count="1" selected="0">
            <x v="51"/>
          </reference>
          <reference field="9" count="1" selected="0">
            <x v="21"/>
          </reference>
          <reference field="15" count="1" selected="0">
            <x v="1"/>
          </reference>
          <reference field="16" count="1">
            <x v="11"/>
          </reference>
        </references>
      </pivotArea>
    </format>
    <format dxfId="1654">
      <pivotArea dataOnly="0" labelOnly="1" fieldPosition="0">
        <references count="4">
          <reference field="8" count="1" selected="0">
            <x v="10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3"/>
          </reference>
        </references>
      </pivotArea>
    </format>
    <format dxfId="1655">
      <pivotArea dataOnly="0" labelOnly="1" fieldPosition="0">
        <references count="4">
          <reference field="8" count="1" selected="0">
            <x v="26"/>
          </reference>
          <reference field="9" count="1" selected="0">
            <x v="23"/>
          </reference>
          <reference field="15" count="1" selected="0">
            <x v="50"/>
          </reference>
          <reference field="16" count="1">
            <x v="11"/>
          </reference>
        </references>
      </pivotArea>
    </format>
    <format dxfId="1656">
      <pivotArea dataOnly="0" labelOnly="1" fieldPosition="0">
        <references count="4">
          <reference field="8" count="1" selected="0">
            <x v="22"/>
          </reference>
          <reference field="9" count="1" selected="0">
            <x v="24"/>
          </reference>
          <reference field="15" count="1" selected="0">
            <x v="37"/>
          </reference>
          <reference field="16" count="1">
            <x v="12"/>
          </reference>
        </references>
      </pivotArea>
    </format>
    <format dxfId="1657">
      <pivotArea dataOnly="0" labelOnly="1" fieldPosition="0">
        <references count="4">
          <reference field="8" count="1" selected="0">
            <x v="4"/>
          </reference>
          <reference field="9" count="1" selected="0">
            <x v="25"/>
          </reference>
          <reference field="15" count="1" selected="0">
            <x v="4"/>
          </reference>
          <reference field="16" count="1">
            <x v="9"/>
          </reference>
        </references>
      </pivotArea>
    </format>
    <format dxfId="1658">
      <pivotArea dataOnly="0" labelOnly="1" fieldPosition="0">
        <references count="4">
          <reference field="8" count="1" selected="0">
            <x v="62"/>
          </reference>
          <reference field="9" count="1" selected="0">
            <x v="25"/>
          </reference>
          <reference field="15" count="1" selected="0">
            <x v="4"/>
          </reference>
          <reference field="16" count="1">
            <x v="4"/>
          </reference>
        </references>
      </pivotArea>
    </format>
    <format dxfId="1659">
      <pivotArea dataOnly="0" labelOnly="1" fieldPosition="0">
        <references count="4">
          <reference field="8" count="1" selected="0">
            <x v="2"/>
          </reference>
          <reference field="9" count="1" selected="0">
            <x v="26"/>
          </reference>
          <reference field="15" count="1" selected="0">
            <x v="29"/>
          </reference>
          <reference field="16" count="1">
            <x v="11"/>
          </reference>
        </references>
      </pivotArea>
    </format>
    <format dxfId="1660">
      <pivotArea dataOnly="0" labelOnly="1" fieldPosition="0">
        <references count="4">
          <reference field="8" count="1" selected="0">
            <x v="4"/>
          </reference>
          <reference field="9" count="1" selected="0">
            <x v="26"/>
          </reference>
          <reference field="15" count="1" selected="0">
            <x v="29"/>
          </reference>
          <reference field="16" count="1">
            <x v="9"/>
          </reference>
        </references>
      </pivotArea>
    </format>
    <format dxfId="1661">
      <pivotArea dataOnly="0" labelOnly="1" fieldPosition="0">
        <references count="4">
          <reference field="8" count="1" selected="0">
            <x v="29"/>
          </reference>
          <reference field="9" count="1" selected="0">
            <x v="26"/>
          </reference>
          <reference field="15" count="1" selected="0">
            <x v="29"/>
          </reference>
          <reference field="16" count="1">
            <x v="11"/>
          </reference>
        </references>
      </pivotArea>
    </format>
    <format dxfId="1662">
      <pivotArea dataOnly="0" labelOnly="1" fieldPosition="0">
        <references count="4">
          <reference field="8" count="1" selected="0">
            <x v="56"/>
          </reference>
          <reference field="9" count="1" selected="0">
            <x v="26"/>
          </reference>
          <reference field="15" count="1" selected="0">
            <x v="29"/>
          </reference>
          <reference field="16" count="1">
            <x v="5"/>
          </reference>
        </references>
      </pivotArea>
    </format>
    <format dxfId="1663">
      <pivotArea dataOnly="0" labelOnly="1" fieldPosition="0">
        <references count="4">
          <reference field="8" count="1" selected="0">
            <x v="62"/>
          </reference>
          <reference field="9" count="1" selected="0">
            <x v="26"/>
          </reference>
          <reference field="15" count="1" selected="0">
            <x v="29"/>
          </reference>
          <reference field="16" count="1">
            <x v="4"/>
          </reference>
        </references>
      </pivotArea>
    </format>
    <format dxfId="1664">
      <pivotArea dataOnly="0" labelOnly="1" fieldPosition="0">
        <references count="4">
          <reference field="8" count="1" selected="0">
            <x v="29"/>
          </reference>
          <reference field="9" count="1" selected="0">
            <x v="27"/>
          </reference>
          <reference field="15" count="1" selected="0">
            <x v="12"/>
          </reference>
          <reference field="16" count="1">
            <x v="11"/>
          </reference>
        </references>
      </pivotArea>
    </format>
    <format dxfId="1665">
      <pivotArea dataOnly="0" labelOnly="1" fieldPosition="0">
        <references count="4">
          <reference field="8" count="1" selected="0">
            <x v="56"/>
          </reference>
          <reference field="9" count="1" selected="0">
            <x v="27"/>
          </reference>
          <reference field="15" count="1" selected="0">
            <x v="12"/>
          </reference>
          <reference field="16" count="1">
            <x v="5"/>
          </reference>
        </references>
      </pivotArea>
    </format>
    <format dxfId="1666">
      <pivotArea dataOnly="0" labelOnly="1" fieldPosition="0">
        <references count="4">
          <reference field="8" count="1" selected="0">
            <x v="64"/>
          </reference>
          <reference field="9" count="1" selected="0">
            <x v="27"/>
          </reference>
          <reference field="15" count="1" selected="0">
            <x v="12"/>
          </reference>
          <reference field="16" count="1">
            <x v="11"/>
          </reference>
        </references>
      </pivotArea>
    </format>
    <format dxfId="1667">
      <pivotArea dataOnly="0" labelOnly="1" fieldPosition="0">
        <references count="4">
          <reference field="8" count="1" selected="0">
            <x v="32"/>
          </reference>
          <reference field="9" count="1" selected="0">
            <x v="28"/>
          </reference>
          <reference field="15" count="1" selected="0">
            <x v="59"/>
          </reference>
          <reference field="16" count="1">
            <x v="10"/>
          </reference>
        </references>
      </pivotArea>
    </format>
    <format dxfId="1668">
      <pivotArea dataOnly="0" labelOnly="1" fieldPosition="0">
        <references count="4">
          <reference field="8" count="1" selected="0">
            <x v="1"/>
          </reference>
          <reference field="9" count="1" selected="0">
            <x v="29"/>
          </reference>
          <reference field="15" count="1" selected="0">
            <x v="52"/>
          </reference>
          <reference field="16" count="1">
            <x v="10"/>
          </reference>
        </references>
      </pivotArea>
    </format>
    <format dxfId="1669">
      <pivotArea dataOnly="0" labelOnly="1" fieldPosition="0">
        <references count="4">
          <reference field="8" count="1" selected="0">
            <x v="1"/>
          </reference>
          <reference field="9" count="1" selected="0">
            <x v="30"/>
          </reference>
          <reference field="15" count="1" selected="0">
            <x v="53"/>
          </reference>
          <reference field="16" count="1">
            <x v="10"/>
          </reference>
        </references>
      </pivotArea>
    </format>
    <format dxfId="1670">
      <pivotArea dataOnly="0" labelOnly="1" fieldPosition="0">
        <references count="4">
          <reference field="8" count="1" selected="0">
            <x v="2"/>
          </reference>
          <reference field="9" count="1" selected="0">
            <x v="31"/>
          </reference>
          <reference field="15" count="1" selected="0">
            <x v="47"/>
          </reference>
          <reference field="16" count="1">
            <x v="11"/>
          </reference>
        </references>
      </pivotArea>
    </format>
    <format dxfId="1671">
      <pivotArea dataOnly="0" labelOnly="1" fieldPosition="0">
        <references count="4">
          <reference field="8" count="1" selected="0">
            <x v="37"/>
          </reference>
          <reference field="9" count="1" selected="0">
            <x v="32"/>
          </reference>
          <reference field="15" count="1" selected="0">
            <x v="5"/>
          </reference>
          <reference field="16" count="1">
            <x v="1"/>
          </reference>
        </references>
      </pivotArea>
    </format>
    <format dxfId="1672">
      <pivotArea dataOnly="0" labelOnly="1" fieldPosition="0">
        <references count="4">
          <reference field="8" count="1" selected="0">
            <x v="62"/>
          </reference>
          <reference field="9" count="1" selected="0">
            <x v="32"/>
          </reference>
          <reference field="15" count="1" selected="0">
            <x v="5"/>
          </reference>
          <reference field="16" count="1">
            <x v="4"/>
          </reference>
        </references>
      </pivotArea>
    </format>
    <format dxfId="1673">
      <pivotArea dataOnly="0" labelOnly="1" fieldPosition="0">
        <references count="4">
          <reference field="8" count="1" selected="0">
            <x v="45"/>
          </reference>
          <reference field="9" count="1" selected="0">
            <x v="33"/>
          </reference>
          <reference field="15" count="1" selected="0">
            <x v="51"/>
          </reference>
          <reference field="16" count="1">
            <x v="11"/>
          </reference>
        </references>
      </pivotArea>
    </format>
    <format dxfId="1674">
      <pivotArea dataOnly="0" labelOnly="1" fieldPosition="0">
        <references count="4">
          <reference field="8" count="1" selected="0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>
            <x v="11"/>
          </reference>
        </references>
      </pivotArea>
    </format>
    <format dxfId="1675">
      <pivotArea dataOnly="0" labelOnly="1" fieldPosition="0">
        <references count="4">
          <reference field="8" count="1" selected="0">
            <x v="0"/>
          </reference>
          <reference field="9" count="1" selected="0">
            <x v="35"/>
          </reference>
          <reference field="15" count="1" selected="0">
            <x v="8"/>
          </reference>
          <reference field="16" count="1">
            <x v="9"/>
          </reference>
        </references>
      </pivotArea>
    </format>
    <format dxfId="1676">
      <pivotArea dataOnly="0" labelOnly="1" fieldPosition="0">
        <references count="4">
          <reference field="8" count="1" selected="0">
            <x v="57"/>
          </reference>
          <reference field="9" count="1" selected="0">
            <x v="35"/>
          </reference>
          <reference field="15" count="1" selected="0">
            <x v="8"/>
          </reference>
          <reference field="16" count="1">
            <x v="11"/>
          </reference>
        </references>
      </pivotArea>
    </format>
    <format dxfId="1677">
      <pivotArea dataOnly="0" labelOnly="1" fieldPosition="0">
        <references count="4">
          <reference field="8" count="1" selected="0">
            <x v="17"/>
          </reference>
          <reference field="9" count="1" selected="0">
            <x v="36"/>
          </reference>
          <reference field="15" count="1" selected="0">
            <x v="11"/>
          </reference>
          <reference field="16" count="1">
            <x v="12"/>
          </reference>
        </references>
      </pivotArea>
    </format>
    <format dxfId="1678">
      <pivotArea dataOnly="0" labelOnly="1" fieldPosition="0">
        <references count="4">
          <reference field="8" count="1" selected="0">
            <x v="55"/>
          </reference>
          <reference field="9" count="1" selected="0">
            <x v="37"/>
          </reference>
          <reference field="15" count="1" selected="0">
            <x v="43"/>
          </reference>
          <reference field="16" count="1">
            <x v="11"/>
          </reference>
        </references>
      </pivotArea>
    </format>
    <format dxfId="1679">
      <pivotArea dataOnly="0" labelOnly="1" fieldPosition="0">
        <references count="4">
          <reference field="8" count="1" selected="0">
            <x v="8"/>
          </reference>
          <reference field="9" count="1" selected="0">
            <x v="38"/>
          </reference>
          <reference field="15" count="1" selected="0">
            <x v="61"/>
          </reference>
          <reference field="16" count="1">
            <x v="3"/>
          </reference>
        </references>
      </pivotArea>
    </format>
    <format dxfId="1680">
      <pivotArea dataOnly="0" labelOnly="1" fieldPosition="0">
        <references count="4">
          <reference field="8" count="1" selected="0">
            <x v="30"/>
          </reference>
          <reference field="9" count="1" selected="0">
            <x v="38"/>
          </reference>
          <reference field="15" count="1" selected="0">
            <x v="61"/>
          </reference>
          <reference field="16" count="1">
            <x v="11"/>
          </reference>
        </references>
      </pivotArea>
    </format>
    <format dxfId="1681">
      <pivotArea dataOnly="0" labelOnly="1" fieldPosition="0">
        <references count="4">
          <reference field="8" count="1" selected="0">
            <x v="69"/>
          </reference>
          <reference field="9" count="1" selected="0">
            <x v="38"/>
          </reference>
          <reference field="15" count="1" selected="0">
            <x v="61"/>
          </reference>
          <reference field="16" count="1">
            <x v="10"/>
          </reference>
        </references>
      </pivotArea>
    </format>
    <format dxfId="1682">
      <pivotArea dataOnly="0" labelOnly="1" fieldPosition="0">
        <references count="4">
          <reference field="8" count="1" selected="0">
            <x v="44"/>
          </reference>
          <reference field="9" count="1" selected="0">
            <x v="39"/>
          </reference>
          <reference field="15" count="1" selected="0">
            <x v="30"/>
          </reference>
          <reference field="16" count="1">
            <x v="2"/>
          </reference>
        </references>
      </pivotArea>
    </format>
    <format dxfId="1683">
      <pivotArea dataOnly="0" labelOnly="1" fieldPosition="0">
        <references count="4">
          <reference field="8" count="1" selected="0">
            <x v="47"/>
          </reference>
          <reference field="9" count="1" selected="0">
            <x v="39"/>
          </reference>
          <reference field="15" count="1" selected="0">
            <x v="30"/>
          </reference>
          <reference field="16" count="1">
            <x v="4"/>
          </reference>
        </references>
      </pivotArea>
    </format>
    <format dxfId="1684">
      <pivotArea dataOnly="0" labelOnly="1" fieldPosition="0">
        <references count="4">
          <reference field="8" count="1" selected="0">
            <x v="49"/>
          </reference>
          <reference field="9" count="1" selected="0">
            <x v="39"/>
          </reference>
          <reference field="15" count="1" selected="0">
            <x v="30"/>
          </reference>
          <reference field="16" count="1">
            <x v="7"/>
          </reference>
        </references>
      </pivotArea>
    </format>
    <format dxfId="1685">
      <pivotArea dataOnly="0" labelOnly="1" fieldPosition="0">
        <references count="4">
          <reference field="8" count="1" selected="0">
            <x v="52"/>
          </reference>
          <reference field="9" count="1" selected="0">
            <x v="39"/>
          </reference>
          <reference field="15" count="1" selected="0">
            <x v="30"/>
          </reference>
          <reference field="16" count="1">
            <x v="5"/>
          </reference>
        </references>
      </pivotArea>
    </format>
    <format dxfId="1686">
      <pivotArea dataOnly="0" labelOnly="1" fieldPosition="0">
        <references count="4">
          <reference field="8" count="1" selected="0">
            <x v="13"/>
          </reference>
          <reference field="9" count="1" selected="0">
            <x v="40"/>
          </reference>
          <reference field="15" count="1" selected="0">
            <x v="28"/>
          </reference>
          <reference field="16" count="1">
            <x v="12"/>
          </reference>
        </references>
      </pivotArea>
    </format>
    <format dxfId="1687">
      <pivotArea dataOnly="0" labelOnly="1" fieldPosition="0">
        <references count="4">
          <reference field="8" count="1" selected="0">
            <x v="12"/>
          </reference>
          <reference field="9" count="1" selected="0">
            <x v="42"/>
          </reference>
          <reference field="15" count="1" selected="0">
            <x v="21"/>
          </reference>
          <reference field="16" count="1">
            <x v="12"/>
          </reference>
        </references>
      </pivotArea>
    </format>
    <format dxfId="1688">
      <pivotArea dataOnly="0" labelOnly="1" fieldPosition="0">
        <references count="4">
          <reference field="8" count="1" selected="0">
            <x v="24"/>
          </reference>
          <reference field="9" count="1" selected="0">
            <x v="43"/>
          </reference>
          <reference field="15" count="1" selected="0">
            <x v="14"/>
          </reference>
          <reference field="16" count="1">
            <x v="12"/>
          </reference>
        </references>
      </pivotArea>
    </format>
    <format dxfId="1689">
      <pivotArea dataOnly="0" labelOnly="1" fieldPosition="0">
        <references count="4">
          <reference field="8" count="1" selected="0">
            <x v="22"/>
          </reference>
          <reference field="9" count="1" selected="0">
            <x v="44"/>
          </reference>
          <reference field="15" count="1" selected="0">
            <x v="38"/>
          </reference>
          <reference field="16" count="1">
            <x v="12"/>
          </reference>
        </references>
      </pivotArea>
    </format>
    <format dxfId="1690">
      <pivotArea dataOnly="0" labelOnly="1" fieldPosition="0">
        <references count="4">
          <reference field="8" count="1" selected="0">
            <x v="41"/>
          </reference>
          <reference field="9" count="1" selected="0">
            <x v="45"/>
          </reference>
          <reference field="15" count="1" selected="0">
            <x v="19"/>
          </reference>
          <reference field="16" count="1">
            <x v="9"/>
          </reference>
        </references>
      </pivotArea>
    </format>
    <format dxfId="1691">
      <pivotArea dataOnly="0" labelOnly="1" fieldPosition="0">
        <references count="4">
          <reference field="8" count="1" selected="0">
            <x v="6"/>
          </reference>
          <reference field="9" count="1" selected="0">
            <x v="46"/>
          </reference>
          <reference field="15" count="1" selected="0">
            <x v="55"/>
          </reference>
          <reference field="16" count="1">
            <x v="3"/>
          </reference>
        </references>
      </pivotArea>
    </format>
    <format dxfId="1692">
      <pivotArea dataOnly="0" labelOnly="1" fieldPosition="0">
        <references count="4">
          <reference field="8" count="1" selected="0">
            <x v="19"/>
          </reference>
          <reference field="9" count="1" selected="0">
            <x v="46"/>
          </reference>
          <reference field="15" count="1" selected="0">
            <x v="55"/>
          </reference>
          <reference field="16" count="1">
            <x v="11"/>
          </reference>
        </references>
      </pivotArea>
    </format>
    <format dxfId="1693">
      <pivotArea dataOnly="0" labelOnly="1" fieldPosition="0">
        <references count="4">
          <reference field="8" count="1" selected="0">
            <x v="56"/>
          </reference>
          <reference field="9" count="1" selected="0">
            <x v="47"/>
          </reference>
          <reference field="15" count="1" selected="0">
            <x v="2"/>
          </reference>
          <reference field="16" count="1">
            <x v="5"/>
          </reference>
        </references>
      </pivotArea>
    </format>
    <format dxfId="1694">
      <pivotArea dataOnly="0" labelOnly="1" fieldPosition="0">
        <references count="4">
          <reference field="8" count="1" selected="0">
            <x v="57"/>
          </reference>
          <reference field="9" count="1" selected="0">
            <x v="47"/>
          </reference>
          <reference field="15" count="1" selected="0">
            <x v="2"/>
          </reference>
          <reference field="16" count="1">
            <x v="11"/>
          </reference>
        </references>
      </pivotArea>
    </format>
    <format dxfId="1695">
      <pivotArea dataOnly="0" labelOnly="1" fieldPosition="0">
        <references count="4">
          <reference field="8" count="1" selected="0">
            <x v="18"/>
          </reference>
          <reference field="9" count="1" selected="0">
            <x v="48"/>
          </reference>
          <reference field="15" count="1" selected="0">
            <x v="17"/>
          </reference>
          <reference field="16" count="1">
            <x v="12"/>
          </reference>
        </references>
      </pivotArea>
    </format>
    <format dxfId="1696">
      <pivotArea dataOnly="0" labelOnly="1" fieldPosition="0">
        <references count="4">
          <reference field="8" count="1" selected="0">
            <x v="13"/>
          </reference>
          <reference field="9" count="1" selected="0">
            <x v="49"/>
          </reference>
          <reference field="15" count="1" selected="0">
            <x v="49"/>
          </reference>
          <reference field="16" count="1">
            <x v="12"/>
          </reference>
        </references>
      </pivotArea>
    </format>
    <format dxfId="1697">
      <pivotArea dataOnly="0" labelOnly="1" fieldPosition="0">
        <references count="4">
          <reference field="8" count="1" selected="0">
            <x v="3"/>
          </reference>
          <reference field="9" count="1" selected="0">
            <x v="50"/>
          </reference>
          <reference field="15" count="1" selected="0">
            <x v="41"/>
          </reference>
          <reference field="16" count="1">
            <x v="11"/>
          </reference>
        </references>
      </pivotArea>
    </format>
    <format dxfId="1698">
      <pivotArea dataOnly="0" labelOnly="1" fieldPosition="0">
        <references count="4">
          <reference field="8" count="1" selected="0">
            <x v="46"/>
          </reference>
          <reference field="9" count="1" selected="0">
            <x v="51"/>
          </reference>
          <reference field="15" count="1" selected="0">
            <x v="27"/>
          </reference>
          <reference field="16" count="1">
            <x v="11"/>
          </reference>
        </references>
      </pivotArea>
    </format>
    <format dxfId="1699">
      <pivotArea dataOnly="0" labelOnly="1" fieldPosition="0">
        <references count="4">
          <reference field="8" count="1" selected="0">
            <x v="54"/>
          </reference>
          <reference field="9" count="1" selected="0">
            <x v="52"/>
          </reference>
          <reference field="15" count="1" selected="0">
            <x v="39"/>
          </reference>
          <reference field="16" count="1">
            <x v="11"/>
          </reference>
        </references>
      </pivotArea>
    </format>
    <format dxfId="1700">
      <pivotArea dataOnly="0" labelOnly="1" fieldPosition="0">
        <references count="4">
          <reference field="8" count="1" selected="0">
            <x v="35"/>
          </reference>
          <reference field="9" count="1" selected="0">
            <x v="53"/>
          </reference>
          <reference field="15" count="1" selected="0">
            <x v="31"/>
          </reference>
          <reference field="16" count="1">
            <x v="6"/>
          </reference>
        </references>
      </pivotArea>
    </format>
    <format dxfId="1701">
      <pivotArea dataOnly="0" labelOnly="1" fieldPosition="0">
        <references count="4">
          <reference field="8" count="1" selected="0">
            <x v="0"/>
          </reference>
          <reference field="9" count="1" selected="0">
            <x v="54"/>
          </reference>
          <reference field="15" count="1" selected="0">
            <x v="34"/>
          </reference>
          <reference field="16" count="1">
            <x v="9"/>
          </reference>
        </references>
      </pivotArea>
    </format>
    <format dxfId="1702">
      <pivotArea dataOnly="0" labelOnly="1" fieldPosition="0">
        <references count="4">
          <reference field="8" count="1" selected="0">
            <x v="29"/>
          </reference>
          <reference field="9" count="1" selected="0">
            <x v="54"/>
          </reference>
          <reference field="15" count="1" selected="0">
            <x v="34"/>
          </reference>
          <reference field="16" count="1">
            <x v="11"/>
          </reference>
        </references>
      </pivotArea>
    </format>
    <format dxfId="1703">
      <pivotArea dataOnly="0" labelOnly="1" fieldPosition="0">
        <references count="4">
          <reference field="8" count="1" selected="0">
            <x v="56"/>
          </reference>
          <reference field="9" count="1" selected="0">
            <x v="54"/>
          </reference>
          <reference field="15" count="1" selected="0">
            <x v="34"/>
          </reference>
          <reference field="16" count="1">
            <x v="5"/>
          </reference>
        </references>
      </pivotArea>
    </format>
    <format dxfId="1704">
      <pivotArea dataOnly="0" labelOnly="1" fieldPosition="0">
        <references count="4">
          <reference field="8" count="1" selected="0">
            <x v="10"/>
          </reference>
          <reference field="9" count="1" selected="0">
            <x v="55"/>
          </reference>
          <reference field="15" count="1" selected="0">
            <x v="3"/>
          </reference>
          <reference field="16" count="1">
            <x v="3"/>
          </reference>
        </references>
      </pivotArea>
    </format>
    <format dxfId="1705">
      <pivotArea dataOnly="0" labelOnly="1" fieldPosition="0">
        <references count="4">
          <reference field="8" count="1" selected="0">
            <x v="38"/>
          </reference>
          <reference field="9" count="1" selected="0">
            <x v="56"/>
          </reference>
          <reference field="15" count="1" selected="0">
            <x v="45"/>
          </reference>
          <reference field="16" count="1">
            <x v="10"/>
          </reference>
        </references>
      </pivotArea>
    </format>
    <format dxfId="1706">
      <pivotArea dataOnly="0" labelOnly="1" fieldPosition="0">
        <references count="4">
          <reference field="8" count="1" selected="0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>
            <x v="11"/>
          </reference>
        </references>
      </pivotArea>
    </format>
    <format dxfId="1707">
      <pivotArea dataOnly="0" labelOnly="1" fieldPosition="0">
        <references count="4">
          <reference field="8" count="1" selected="0">
            <x v="8"/>
          </reference>
          <reference field="9" count="1" selected="0">
            <x v="58"/>
          </reference>
          <reference field="15" count="1" selected="0">
            <x v="57"/>
          </reference>
          <reference field="16" count="1">
            <x v="3"/>
          </reference>
        </references>
      </pivotArea>
    </format>
    <format dxfId="1708">
      <pivotArea dataOnly="0" labelOnly="1" fieldPosition="0">
        <references count="4">
          <reference field="8" count="1" selected="0">
            <x v="25"/>
          </reference>
          <reference field="9" count="1" selected="0">
            <x v="59"/>
          </reference>
          <reference field="15" count="1" selected="0">
            <x v="20"/>
          </reference>
          <reference field="16" count="1">
            <x v="12"/>
          </reference>
        </references>
      </pivotArea>
    </format>
    <format dxfId="1709">
      <pivotArea dataOnly="0" labelOnly="1" fieldPosition="0">
        <references count="4">
          <reference field="8" count="1" selected="0">
            <x v="2"/>
          </reference>
          <reference field="9" count="1" selected="0">
            <x v="60"/>
          </reference>
          <reference field="15" count="1" selected="0">
            <x v="48"/>
          </reference>
          <reference field="16" count="1">
            <x v="11"/>
          </reference>
        </references>
      </pivotArea>
    </format>
    <format dxfId="1710">
      <pivotArea dataOnly="0" labelOnly="1" fieldPosition="0">
        <references count="4">
          <reference field="8" count="1" selected="0">
            <x v="18"/>
          </reference>
          <reference field="9" count="1" selected="0">
            <x v="61"/>
          </reference>
          <reference field="15" count="1" selected="0">
            <x v="32"/>
          </reference>
          <reference field="16" count="1">
            <x v="12"/>
          </reference>
        </references>
      </pivotArea>
    </format>
    <format dxfId="1711">
      <pivotArea dataOnly="0" labelOnly="1" fieldPosition="0">
        <references count="4">
          <reference field="8" count="1" selected="0">
            <x v="25"/>
          </reference>
          <reference field="9" count="1" selected="0">
            <x v="62"/>
          </reference>
          <reference field="15" count="1" selected="0">
            <x v="36"/>
          </reference>
          <reference field="16" count="1">
            <x v="12"/>
          </reference>
        </references>
      </pivotArea>
    </format>
    <format dxfId="1712">
      <pivotArea dataOnly="0" labelOnly="1" fieldPosition="0">
        <references count="4">
          <reference field="8" count="1" selected="0">
            <x v="23"/>
          </reference>
          <reference field="9" count="1" selected="0">
            <x v="63"/>
          </reference>
          <reference field="15" count="1" selected="0">
            <x v="65"/>
          </reference>
          <reference field="16" count="1">
            <x v="12"/>
          </reference>
        </references>
      </pivotArea>
    </format>
    <format dxfId="1713">
      <pivotArea dataOnly="0" labelOnly="1" fieldPosition="0">
        <references count="4">
          <reference field="8" count="1" selected="0">
            <x v="23"/>
          </reference>
          <reference field="9" count="1" selected="0">
            <x v="64"/>
          </reference>
          <reference field="15" count="1" selected="0">
            <x v="66"/>
          </reference>
          <reference field="16" count="1">
            <x v="12"/>
          </reference>
        </references>
      </pivotArea>
    </format>
    <format dxfId="1714">
      <pivotArea dataOnly="0" labelOnly="1" fieldPosition="0">
        <references count="4">
          <reference field="8" count="1" selected="0">
            <x v="47"/>
          </reference>
          <reference field="9" count="1" selected="0">
            <x v="65"/>
          </reference>
          <reference field="15" count="1" selected="0">
            <x v="67"/>
          </reference>
          <reference field="16" count="1">
            <x v="4"/>
          </reference>
        </references>
      </pivotArea>
    </format>
    <format dxfId="1715">
      <pivotArea dataOnly="0" labelOnly="1" fieldPosition="0">
        <references count="4">
          <reference field="8" count="1" selected="0">
            <x v="49"/>
          </reference>
          <reference field="9" count="1" selected="0">
            <x v="65"/>
          </reference>
          <reference field="15" count="1" selected="0">
            <x v="67"/>
          </reference>
          <reference field="16" count="1">
            <x v="7"/>
          </reference>
        </references>
      </pivotArea>
    </format>
    <format dxfId="1716">
      <pivotArea dataOnly="0" labelOnly="1" fieldPosition="0">
        <references count="4">
          <reference field="8" count="1" selected="0">
            <x v="56"/>
          </reference>
          <reference field="9" count="1" selected="0">
            <x v="65"/>
          </reference>
          <reference field="15" count="1" selected="0">
            <x v="67"/>
          </reference>
          <reference field="16" count="1">
            <x v="5"/>
          </reference>
        </references>
      </pivotArea>
    </format>
    <format dxfId="1717">
      <pivotArea dataOnly="0" labelOnly="1" fieldPosition="0">
        <references count="4">
          <reference field="8" count="1" selected="0">
            <x v="62"/>
          </reference>
          <reference field="9" count="1" selected="0">
            <x v="65"/>
          </reference>
          <reference field="15" count="1" selected="0">
            <x v="67"/>
          </reference>
          <reference field="16" count="1">
            <x v="4"/>
          </reference>
        </references>
      </pivotArea>
    </format>
    <format dxfId="1718">
      <pivotArea dataOnly="0" labelOnly="1" fieldPosition="0">
        <references count="4">
          <reference field="8" count="1" selected="0">
            <x v="67"/>
          </reference>
          <reference field="9" count="1" selected="0">
            <x v="66"/>
          </reference>
          <reference field="15" count="1" selected="0">
            <x v="68"/>
          </reference>
          <reference field="16" count="1">
            <x v="3"/>
          </reference>
        </references>
      </pivotArea>
    </format>
    <format dxfId="1719">
      <pivotArea dataOnly="0" labelOnly="1" fieldPosition="0">
        <references count="4">
          <reference field="8" count="1" selected="0">
            <x v="67"/>
          </reference>
          <reference field="9" count="1" selected="0">
            <x v="67"/>
          </reference>
          <reference field="15" count="1" selected="0">
            <x v="69"/>
          </reference>
          <reference field="16" count="1">
            <x v="3"/>
          </reference>
        </references>
      </pivotArea>
    </format>
    <format dxfId="1720">
      <pivotArea dataOnly="0" labelOnly="1" fieldPosition="0">
        <references count="5">
          <reference field="3" count="2">
            <x v="1"/>
            <x v="4"/>
          </reference>
          <reference field="8" count="1" selected="0">
            <x v="5"/>
          </reference>
          <reference field="9" count="1" selected="0">
            <x v="1"/>
          </reference>
          <reference field="15" count="1" selected="0">
            <x v="54"/>
          </reference>
          <reference field="16" count="1" selected="0">
            <x v="3"/>
          </reference>
        </references>
      </pivotArea>
    </format>
    <format dxfId="1721">
      <pivotArea dataOnly="0" labelOnly="1" fieldPosition="0">
        <references count="5">
          <reference field="3" count="1">
            <x v="1"/>
          </reference>
          <reference field="8" count="1" selected="0">
            <x v="32"/>
          </reference>
          <reference field="9" count="1" selected="0">
            <x v="4"/>
          </reference>
          <reference field="15" count="1" selected="0">
            <x v="58"/>
          </reference>
          <reference field="16" count="1" selected="0">
            <x v="10"/>
          </reference>
        </references>
      </pivotArea>
    </format>
    <format dxfId="1722">
      <pivotArea dataOnly="0" labelOnly="1" fieldPosition="0">
        <references count="5">
          <reference field="3" count="1">
            <x v="3"/>
          </reference>
          <reference field="8" count="1" selected="0">
            <x v="39"/>
          </reference>
          <reference field="9" count="1" selected="0">
            <x v="5"/>
          </reference>
          <reference field="15" count="1" selected="0">
            <x v="22"/>
          </reference>
          <reference field="16" count="1" selected="0">
            <x v="9"/>
          </reference>
        </references>
      </pivotArea>
    </format>
    <format dxfId="1723">
      <pivotArea dataOnly="0" labelOnly="1" fieldPosition="0">
        <references count="5">
          <reference field="3" count="1">
            <x v="3"/>
          </reference>
          <reference field="8" count="1" selected="0">
            <x v="39"/>
          </reference>
          <reference field="9" count="1" selected="0">
            <x v="13"/>
          </reference>
          <reference field="15" count="1" selected="0">
            <x v="7"/>
          </reference>
          <reference field="16" count="1" selected="0">
            <x v="9"/>
          </reference>
        </references>
      </pivotArea>
    </format>
    <format dxfId="1724">
      <pivotArea dataOnly="0" labelOnly="1" fieldPosition="0">
        <references count="5">
          <reference field="3" count="1">
            <x v="0"/>
          </reference>
          <reference field="8" count="1" selected="0">
            <x v="55"/>
          </reference>
          <reference field="9" count="1" selected="0">
            <x v="15"/>
          </reference>
          <reference field="15" count="1" selected="0">
            <x v="64"/>
          </reference>
          <reference field="16" count="1" selected="0">
            <x v="11"/>
          </reference>
        </references>
      </pivotArea>
    </format>
    <format dxfId="1725">
      <pivotArea dataOnly="0" labelOnly="1" fieldPosition="0">
        <references count="5">
          <reference field="3" count="1">
            <x v="5"/>
          </reference>
          <reference field="8" count="1" selected="0">
            <x v="6"/>
          </reference>
          <reference field="9" count="1" selected="0">
            <x v="16"/>
          </reference>
          <reference field="15" count="1" selected="0">
            <x v="18"/>
          </reference>
          <reference field="16" count="1" selected="0">
            <x v="3"/>
          </reference>
        </references>
      </pivotArea>
    </format>
    <format dxfId="1726">
      <pivotArea dataOnly="0" labelOnly="1" fieldPosition="0">
        <references count="5">
          <reference field="3" count="1">
            <x v="3"/>
          </reference>
          <reference field="8" count="1" selected="0">
            <x v="19"/>
          </reference>
          <reference field="9" count="1" selected="0">
            <x v="16"/>
          </reference>
          <reference field="15" count="1" selected="0">
            <x v="18"/>
          </reference>
          <reference field="16" count="1" selected="0">
            <x v="11"/>
          </reference>
        </references>
      </pivotArea>
    </format>
    <format dxfId="1727">
      <pivotArea dataOnly="0" labelOnly="1" fieldPosition="0">
        <references count="5">
          <reference field="3" count="1">
            <x v="3"/>
          </reference>
          <reference field="8" count="1" selected="0">
            <x v="54"/>
          </reference>
          <reference field="9" count="1" selected="0">
            <x v="16"/>
          </reference>
          <reference field="15" count="1" selected="0">
            <x v="18"/>
          </reference>
          <reference field="16" count="1" selected="0">
            <x v="11"/>
          </reference>
        </references>
      </pivotArea>
    </format>
    <format dxfId="1728">
      <pivotArea dataOnly="0" labelOnly="1" fieldPosition="0">
        <references count="5">
          <reference field="3" count="2">
            <x v="0"/>
            <x v="1"/>
          </reference>
          <reference field="8" count="1" selected="0">
            <x v="30"/>
          </reference>
          <reference field="9" count="1" selected="0">
            <x v="18"/>
          </reference>
          <reference field="15" count="1" selected="0">
            <x v="62"/>
          </reference>
          <reference field="16" count="1" selected="0">
            <x v="11"/>
          </reference>
        </references>
      </pivotArea>
    </format>
    <format dxfId="1729">
      <pivotArea dataOnly="0" labelOnly="1" fieldPosition="0">
        <references count="5">
          <reference field="3" count="1">
            <x v="1"/>
          </reference>
          <reference field="8" count="1" selected="0">
            <x v="69"/>
          </reference>
          <reference field="9" count="1" selected="0">
            <x v="18"/>
          </reference>
          <reference field="15" count="1" selected="0">
            <x v="62"/>
          </reference>
          <reference field="16" count="1" selected="0">
            <x v="10"/>
          </reference>
        </references>
      </pivotArea>
    </format>
    <format dxfId="1730">
      <pivotArea dataOnly="0" labelOnly="1" fieldPosition="0">
        <references count="5">
          <reference field="3" count="1">
            <x v="5"/>
          </reference>
          <reference field="8" count="1" selected="0">
            <x v="6"/>
          </reference>
          <reference field="9" count="1" selected="0">
            <x v="20"/>
          </reference>
          <reference field="15" count="1" selected="0">
            <x v="40"/>
          </reference>
          <reference field="16" count="1" selected="0">
            <x v="3"/>
          </reference>
        </references>
      </pivotArea>
    </format>
    <format dxfId="1731">
      <pivotArea dataOnly="0" labelOnly="1" fieldPosition="0">
        <references count="5">
          <reference field="3" count="4">
            <x v="1"/>
            <x v="2"/>
            <x v="3"/>
            <x v="4"/>
          </reference>
          <reference field="8" count="1" selected="0">
            <x v="19"/>
          </reference>
          <reference field="9" count="1" selected="0">
            <x v="20"/>
          </reference>
          <reference field="15" count="1" selected="0">
            <x v="40"/>
          </reference>
          <reference field="16" count="1" selected="0">
            <x v="11"/>
          </reference>
        </references>
      </pivotArea>
    </format>
    <format dxfId="1732">
      <pivotArea dataOnly="0" labelOnly="1" fieldPosition="0">
        <references count="5">
          <reference field="3" count="1">
            <x v="3"/>
          </reference>
          <reference field="8" count="1" selected="0">
            <x v="51"/>
          </reference>
          <reference field="9" count="1" selected="0">
            <x v="21"/>
          </reference>
          <reference field="15" count="1" selected="0">
            <x v="1"/>
          </reference>
          <reference field="16" count="1" selected="0">
            <x v="11"/>
          </reference>
        </references>
      </pivotArea>
    </format>
    <format dxfId="1733">
      <pivotArea dataOnly="0" labelOnly="1" fieldPosition="0">
        <references count="5">
          <reference field="3" count="1">
            <x v="5"/>
          </reference>
          <reference field="8" count="1" selected="0">
            <x v="10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3"/>
          </reference>
        </references>
      </pivotArea>
    </format>
    <format dxfId="1734">
      <pivotArea dataOnly="0" labelOnly="1" fieldPosition="0">
        <references count="5">
          <reference field="3" count="1">
            <x v="1"/>
          </reference>
          <reference field="8" count="1" selected="0">
            <x v="26"/>
          </reference>
          <reference field="9" count="1" selected="0">
            <x v="23"/>
          </reference>
          <reference field="15" count="1" selected="0">
            <x v="50"/>
          </reference>
          <reference field="16" count="1" selected="0">
            <x v="11"/>
          </reference>
        </references>
      </pivotArea>
    </format>
    <format dxfId="1735">
      <pivotArea dataOnly="0" labelOnly="1" fieldPosition="0">
        <references count="5">
          <reference field="3" count="1">
            <x v="3"/>
          </reference>
          <reference field="8" count="1" selected="0">
            <x v="29"/>
          </reference>
          <reference field="9" count="1" selected="0">
            <x v="26"/>
          </reference>
          <reference field="15" count="1" selected="0">
            <x v="29"/>
          </reference>
          <reference field="16" count="1" selected="0">
            <x v="11"/>
          </reference>
        </references>
      </pivotArea>
    </format>
    <format dxfId="1736">
      <pivotArea dataOnly="0" labelOnly="1" fieldPosition="0">
        <references count="5">
          <reference field="3" count="1">
            <x v="1"/>
          </reference>
          <reference field="8" count="1" selected="0">
            <x v="32"/>
          </reference>
          <reference field="9" count="1" selected="0">
            <x v="28"/>
          </reference>
          <reference field="15" count="1" selected="0">
            <x v="59"/>
          </reference>
          <reference field="16" count="1" selected="0">
            <x v="10"/>
          </reference>
        </references>
      </pivotArea>
    </format>
    <format dxfId="1737">
      <pivotArea dataOnly="0" labelOnly="1" fieldPosition="0">
        <references count="5">
          <reference field="3" count="3">
            <x v="0"/>
            <x v="1"/>
            <x v="4"/>
          </reference>
          <reference field="8" count="1" selected="0">
            <x v="1"/>
          </reference>
          <reference field="9" count="1" selected="0">
            <x v="29"/>
          </reference>
          <reference field="15" count="1" selected="0">
            <x v="52"/>
          </reference>
          <reference field="16" count="1" selected="0">
            <x v="10"/>
          </reference>
        </references>
      </pivotArea>
    </format>
    <format dxfId="1738">
      <pivotArea dataOnly="0" labelOnly="1" fieldPosition="0">
        <references count="5">
          <reference field="3" count="3">
            <x v="0"/>
            <x v="1"/>
            <x v="4"/>
          </reference>
          <reference field="8" count="1" selected="0">
            <x v="1"/>
          </reference>
          <reference field="9" count="1" selected="0">
            <x v="30"/>
          </reference>
          <reference field="15" count="1" selected="0">
            <x v="53"/>
          </reference>
          <reference field="16" count="1" selected="0">
            <x v="10"/>
          </reference>
        </references>
      </pivotArea>
    </format>
    <format dxfId="1739">
      <pivotArea dataOnly="0" labelOnly="1" fieldPosition="0">
        <references count="5">
          <reference field="3" count="1">
            <x v="0"/>
          </reference>
          <reference field="8" count="1" selected="0">
            <x v="27"/>
          </reference>
          <reference field="9" count="1" selected="0">
            <x v="31"/>
          </reference>
          <reference field="15" count="1" selected="0">
            <x v="47"/>
          </reference>
          <reference field="16" count="1" selected="0">
            <x v="11"/>
          </reference>
        </references>
      </pivotArea>
    </format>
    <format dxfId="1740">
      <pivotArea dataOnly="0" labelOnly="1" fieldPosition="0">
        <references count="5">
          <reference field="3" count="2">
            <x v="4"/>
            <x v="5"/>
          </reference>
          <reference field="8" count="1" selected="0">
            <x v="45"/>
          </reference>
          <reference field="9" count="1" selected="0">
            <x v="33"/>
          </reference>
          <reference field="15" count="1" selected="0">
            <x v="51"/>
          </reference>
          <reference field="16" count="1" selected="0">
            <x v="11"/>
          </reference>
        </references>
      </pivotArea>
    </format>
    <format dxfId="1741">
      <pivotArea dataOnly="0" labelOnly="1" fieldPosition="0">
        <references count="5">
          <reference field="3" count="1">
            <x v="3"/>
          </reference>
          <reference field="8" count="1" selected="0">
            <x v="66"/>
          </reference>
          <reference field="9" count="1" selected="0">
            <x v="34"/>
          </reference>
          <reference field="15" count="1" selected="0">
            <x v="35"/>
          </reference>
          <reference field="16" count="1" selected="0">
            <x v="11"/>
          </reference>
        </references>
      </pivotArea>
    </format>
    <format dxfId="1742">
      <pivotArea dataOnly="0" labelOnly="1" fieldPosition="0">
        <references count="5">
          <reference field="3" count="1">
            <x v="0"/>
          </reference>
          <reference field="8" count="1" selected="0">
            <x v="55"/>
          </reference>
          <reference field="9" count="1" selected="0">
            <x v="37"/>
          </reference>
          <reference field="15" count="1" selected="0">
            <x v="43"/>
          </reference>
          <reference field="16" count="1" selected="0">
            <x v="11"/>
          </reference>
        </references>
      </pivotArea>
    </format>
    <format dxfId="1743">
      <pivotArea dataOnly="0" labelOnly="1" fieldPosition="0">
        <references count="5">
          <reference field="3" count="2">
            <x v="0"/>
            <x v="1"/>
          </reference>
          <reference field="8" count="1" selected="0">
            <x v="30"/>
          </reference>
          <reference field="9" count="1" selected="0">
            <x v="38"/>
          </reference>
          <reference field="15" count="1" selected="0">
            <x v="61"/>
          </reference>
          <reference field="16" count="1" selected="0">
            <x v="11"/>
          </reference>
        </references>
      </pivotArea>
    </format>
    <format dxfId="1744">
      <pivotArea dataOnly="0" labelOnly="1" fieldPosition="0">
        <references count="5">
          <reference field="3" count="1">
            <x v="1"/>
          </reference>
          <reference field="8" count="1" selected="0">
            <x v="69"/>
          </reference>
          <reference field="9" count="1" selected="0">
            <x v="38"/>
          </reference>
          <reference field="15" count="1" selected="0">
            <x v="61"/>
          </reference>
          <reference field="16" count="1" selected="0">
            <x v="10"/>
          </reference>
        </references>
      </pivotArea>
    </format>
    <format dxfId="1745">
      <pivotArea dataOnly="0" labelOnly="1" fieldPosition="0">
        <references count="5">
          <reference field="3" count="2">
            <x v="3"/>
            <x v="5"/>
          </reference>
          <reference field="8" count="1" selected="0">
            <x v="6"/>
          </reference>
          <reference field="9" count="1" selected="0">
            <x v="46"/>
          </reference>
          <reference field="15" count="1" selected="0">
            <x v="55"/>
          </reference>
          <reference field="16" count="1" selected="0">
            <x v="3"/>
          </reference>
        </references>
      </pivotArea>
    </format>
    <format dxfId="1746">
      <pivotArea dataOnly="0" labelOnly="1" fieldPosition="0">
        <references count="5">
          <reference field="3" count="1">
            <x v="4"/>
          </reference>
          <reference field="8" count="1" selected="0">
            <x v="19"/>
          </reference>
          <reference field="9" count="1" selected="0">
            <x v="46"/>
          </reference>
          <reference field="15" count="1" selected="0">
            <x v="55"/>
          </reference>
          <reference field="16" count="1" selected="0">
            <x v="11"/>
          </reference>
        </references>
      </pivotArea>
    </format>
    <format dxfId="1747">
      <pivotArea dataOnly="0" labelOnly="1" fieldPosition="0">
        <references count="5">
          <reference field="3" count="1">
            <x v="3"/>
          </reference>
          <reference field="8" count="1" selected="0">
            <x v="57"/>
          </reference>
          <reference field="9" count="1" selected="0">
            <x v="47"/>
          </reference>
          <reference field="15" count="1" selected="0">
            <x v="2"/>
          </reference>
          <reference field="16" count="1" selected="0">
            <x v="11"/>
          </reference>
        </references>
      </pivotArea>
    </format>
    <format dxfId="1748">
      <pivotArea dataOnly="0" labelOnly="1" fieldPosition="0">
        <references count="5">
          <reference field="3" count="2">
            <x v="0"/>
            <x v="3"/>
          </reference>
          <reference field="8" count="1" selected="0">
            <x v="3"/>
          </reference>
          <reference field="9" count="1" selected="0">
            <x v="50"/>
          </reference>
          <reference field="15" count="1" selected="0">
            <x v="41"/>
          </reference>
          <reference field="16" count="1" selected="0">
            <x v="11"/>
          </reference>
        </references>
      </pivotArea>
    </format>
    <format dxfId="1749">
      <pivotArea dataOnly="0" labelOnly="1" fieldPosition="0">
        <references count="5">
          <reference field="3" count="1">
            <x v="0"/>
          </reference>
          <reference field="8" count="1" selected="0">
            <x v="46"/>
          </reference>
          <reference field="9" count="1" selected="0">
            <x v="51"/>
          </reference>
          <reference field="15" count="1" selected="0">
            <x v="27"/>
          </reference>
          <reference field="16" count="1" selected="0">
            <x v="11"/>
          </reference>
        </references>
      </pivotArea>
    </format>
    <format dxfId="1750">
      <pivotArea dataOnly="0" labelOnly="1" fieldPosition="0">
        <references count="5">
          <reference field="3" count="1">
            <x v="0"/>
          </reference>
          <reference field="8" count="1" selected="0">
            <x v="54"/>
          </reference>
          <reference field="9" count="1" selected="0">
            <x v="52"/>
          </reference>
          <reference field="15" count="1" selected="0">
            <x v="39"/>
          </reference>
          <reference field="16" count="1" selected="0">
            <x v="11"/>
          </reference>
        </references>
      </pivotArea>
    </format>
    <format dxfId="1751">
      <pivotArea dataOnly="0" labelOnly="1" fieldPosition="0">
        <references count="5">
          <reference field="3" count="1">
            <x v="3"/>
          </reference>
          <reference field="8" count="1" selected="0">
            <x v="0"/>
          </reference>
          <reference field="9" count="1" selected="0">
            <x v="54"/>
          </reference>
          <reference field="15" count="1" selected="0">
            <x v="34"/>
          </reference>
          <reference field="16" count="1" selected="0">
            <x v="9"/>
          </reference>
        </references>
      </pivotArea>
    </format>
    <format dxfId="1752">
      <pivotArea dataOnly="0" labelOnly="1" fieldPosition="0">
        <references count="5">
          <reference field="3" count="1">
            <x v="5"/>
          </reference>
          <reference field="8" count="1" selected="0">
            <x v="10"/>
          </reference>
          <reference field="9" count="1" selected="0">
            <x v="55"/>
          </reference>
          <reference field="15" count="1" selected="0">
            <x v="3"/>
          </reference>
          <reference field="16" count="1" selected="0">
            <x v="3"/>
          </reference>
        </references>
      </pivotArea>
    </format>
    <format dxfId="1753">
      <pivotArea dataOnly="0" labelOnly="1" fieldPosition="0">
        <references count="5">
          <reference field="3" count="3">
            <x v="0"/>
            <x v="2"/>
            <x v="3"/>
          </reference>
          <reference field="8" count="1" selected="0">
            <x v="38"/>
          </reference>
          <reference field="9" count="1" selected="0">
            <x v="56"/>
          </reference>
          <reference field="15" count="1" selected="0">
            <x v="45"/>
          </reference>
          <reference field="16" count="1" selected="0">
            <x v="10"/>
          </reference>
        </references>
      </pivotArea>
    </format>
    <format dxfId="1754">
      <pivotArea dataOnly="0" labelOnly="1" fieldPosition="0">
        <references count="5">
          <reference field="3" count="1">
            <x v="3"/>
          </reference>
          <reference field="8" count="1" selected="0">
            <x v="66"/>
          </reference>
          <reference field="9" count="1" selected="0">
            <x v="57"/>
          </reference>
          <reference field="15" count="1" selected="0">
            <x v="42"/>
          </reference>
          <reference field="16" count="1" selected="0">
            <x v="11"/>
          </reference>
        </references>
      </pivotArea>
    </format>
    <format dxfId="1755">
      <pivotArea dataOnly="0" labelOnly="1" fieldPosition="0">
        <references count="5">
          <reference field="3" count="2">
            <x v="1"/>
            <x v="4"/>
          </reference>
          <reference field="8" count="1" selected="0">
            <x v="8"/>
          </reference>
          <reference field="9" count="1" selected="0">
            <x v="58"/>
          </reference>
          <reference field="15" count="1" selected="0">
            <x v="57"/>
          </reference>
          <reference field="16" count="1" selected="0">
            <x v="3"/>
          </reference>
        </references>
      </pivotArea>
    </format>
    <format dxfId="1756">
      <pivotArea dataOnly="0" labelOnly="1" fieldPosition="0">
        <references count="5">
          <reference field="3" count="1">
            <x v="0"/>
          </reference>
          <reference field="8" count="1" selected="0">
            <x v="27"/>
          </reference>
          <reference field="9" count="1" selected="0">
            <x v="60"/>
          </reference>
          <reference field="15" count="1" selected="0">
            <x v="48"/>
          </reference>
          <reference field="16" count="1" selected="0">
            <x v="11"/>
          </reference>
        </references>
      </pivotArea>
    </format>
    <format dxfId="1757">
      <pivotArea dataOnly="0" labelOnly="1" fieldPosition="0">
        <references count="5">
          <reference field="3" count="2">
            <x v="1"/>
            <x v="5"/>
          </reference>
          <reference field="8" count="1" selected="0">
            <x v="67"/>
          </reference>
          <reference field="9" count="1" selected="0">
            <x v="66"/>
          </reference>
          <reference field="15" count="1" selected="0">
            <x v="68"/>
          </reference>
          <reference field="16" count="1" selected="0">
            <x v="3"/>
          </reference>
        </references>
      </pivotArea>
    </format>
    <format dxfId="1758">
      <pivotArea dataOnly="0" labelOnly="1" fieldPosition="0">
        <references count="5">
          <reference field="3" count="2">
            <x v="1"/>
            <x v="5"/>
          </reference>
          <reference field="8" count="1" selected="0">
            <x v="67"/>
          </reference>
          <reference field="9" count="1" selected="0">
            <x v="67"/>
          </reference>
          <reference field="15" count="1" selected="0">
            <x v="69"/>
          </reference>
          <reference field="16" count="1" selected="0"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709"/>
  <sheetViews>
    <sheetView topLeftCell="A679" workbookViewId="0">
      <selection activeCell="B692" sqref="B692"/>
    </sheetView>
  </sheetViews>
  <sheetFormatPr defaultColWidth="9" defaultRowHeight="15" outlineLevelCol="5"/>
  <cols>
    <col min="1" max="1" width="33.8095238095238"/>
    <col min="2" max="2" width="14"/>
    <col min="3" max="3" width="11.8095238095238"/>
    <col min="4" max="4" width="26.952380952381"/>
    <col min="5" max="5" width="10"/>
    <col min="6" max="6" width="27.5714285714286"/>
  </cols>
  <sheetData>
    <row r="3" spans="1:6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1:6">
      <c r="A4" s="91" t="s">
        <v>6</v>
      </c>
      <c r="B4" s="91" t="s">
        <v>7</v>
      </c>
      <c r="C4" s="91" t="s">
        <v>8</v>
      </c>
      <c r="D4" s="91" t="s">
        <v>9</v>
      </c>
      <c r="E4" s="91" t="s">
        <v>10</v>
      </c>
      <c r="F4" s="89">
        <v>4644000</v>
      </c>
    </row>
    <row r="5" spans="1:6">
      <c r="A5" s="4"/>
      <c r="B5" s="4"/>
      <c r="C5" s="4"/>
      <c r="D5" s="91" t="s">
        <v>11</v>
      </c>
      <c r="E5" s="91" t="s">
        <v>10</v>
      </c>
      <c r="F5" s="89">
        <v>2000000</v>
      </c>
    </row>
    <row r="6" spans="1:6">
      <c r="A6" s="4"/>
      <c r="B6" s="4"/>
      <c r="C6" s="91" t="s">
        <v>12</v>
      </c>
      <c r="D6" s="91" t="s">
        <v>13</v>
      </c>
      <c r="E6" s="91" t="s">
        <v>14</v>
      </c>
      <c r="F6" s="89">
        <v>3500000</v>
      </c>
    </row>
    <row r="7" spans="1:6">
      <c r="A7" s="91" t="s">
        <v>15</v>
      </c>
      <c r="B7" s="91" t="s">
        <v>16</v>
      </c>
      <c r="C7" s="91" t="s">
        <v>17</v>
      </c>
      <c r="D7" s="91" t="s">
        <v>18</v>
      </c>
      <c r="E7" s="91" t="s">
        <v>19</v>
      </c>
      <c r="F7" s="89">
        <v>15147500</v>
      </c>
    </row>
    <row r="8" spans="1:6">
      <c r="A8" s="4"/>
      <c r="B8" s="4"/>
      <c r="C8" s="4"/>
      <c r="D8" s="91" t="s">
        <v>13</v>
      </c>
      <c r="E8" s="91" t="s">
        <v>19</v>
      </c>
      <c r="F8" s="89">
        <v>6957500</v>
      </c>
    </row>
    <row r="9" spans="1:6">
      <c r="A9" s="4"/>
      <c r="B9" s="4"/>
      <c r="C9" s="4"/>
      <c r="D9" s="91" t="s">
        <v>20</v>
      </c>
      <c r="E9" s="91" t="s">
        <v>19</v>
      </c>
      <c r="F9" s="89">
        <v>4156000</v>
      </c>
    </row>
    <row r="10" spans="1:6">
      <c r="A10" s="4"/>
      <c r="B10" s="4"/>
      <c r="C10" s="4"/>
      <c r="D10" s="91" t="s">
        <v>21</v>
      </c>
      <c r="E10" s="91" t="s">
        <v>19</v>
      </c>
      <c r="F10" s="89">
        <v>28047500</v>
      </c>
    </row>
    <row r="11" spans="1:6">
      <c r="A11" s="4"/>
      <c r="B11" s="4"/>
      <c r="C11" s="4"/>
      <c r="D11" s="91" t="s">
        <v>22</v>
      </c>
      <c r="E11" s="91" t="s">
        <v>19</v>
      </c>
      <c r="F11" s="89">
        <v>21000000</v>
      </c>
    </row>
    <row r="12" spans="1:6">
      <c r="A12" s="4"/>
      <c r="B12" s="4"/>
      <c r="C12" s="4"/>
      <c r="D12" s="91" t="s">
        <v>23</v>
      </c>
      <c r="E12" s="91" t="s">
        <v>19</v>
      </c>
      <c r="F12" s="89">
        <v>1050000</v>
      </c>
    </row>
    <row r="13" spans="1:6">
      <c r="A13" s="4"/>
      <c r="B13" s="4"/>
      <c r="C13" s="4"/>
      <c r="D13" s="91" t="s">
        <v>24</v>
      </c>
      <c r="E13" s="91" t="s">
        <v>19</v>
      </c>
      <c r="F13" s="89">
        <v>896000</v>
      </c>
    </row>
    <row r="14" spans="1:6">
      <c r="A14" s="4"/>
      <c r="B14" s="4"/>
      <c r="C14" s="4"/>
      <c r="D14" s="91" t="s">
        <v>25</v>
      </c>
      <c r="E14" s="91" t="s">
        <v>19</v>
      </c>
      <c r="F14" s="89">
        <v>1144000</v>
      </c>
    </row>
    <row r="15" spans="1:6">
      <c r="A15" s="4"/>
      <c r="B15" s="4"/>
      <c r="C15" s="4"/>
      <c r="D15" s="91" t="s">
        <v>26</v>
      </c>
      <c r="E15" s="91" t="s">
        <v>19</v>
      </c>
      <c r="F15" s="89">
        <v>28870000</v>
      </c>
    </row>
    <row r="16" spans="1:6">
      <c r="A16" s="91" t="s">
        <v>27</v>
      </c>
      <c r="B16" s="91" t="s">
        <v>28</v>
      </c>
      <c r="C16" s="91" t="s">
        <v>29</v>
      </c>
      <c r="D16" s="91" t="s">
        <v>30</v>
      </c>
      <c r="E16" s="91" t="s">
        <v>31</v>
      </c>
      <c r="F16" s="89">
        <v>13000000</v>
      </c>
    </row>
    <row r="17" spans="1:6">
      <c r="A17" s="4"/>
      <c r="B17" s="4"/>
      <c r="C17" s="4"/>
      <c r="D17" s="91" t="s">
        <v>32</v>
      </c>
      <c r="E17" s="91" t="s">
        <v>31</v>
      </c>
      <c r="F17" s="89">
        <v>79000000</v>
      </c>
    </row>
    <row r="18" spans="1:6">
      <c r="A18" s="4"/>
      <c r="B18" s="4"/>
      <c r="C18" s="4"/>
      <c r="D18" s="91" t="s">
        <v>33</v>
      </c>
      <c r="E18" s="91" t="s">
        <v>31</v>
      </c>
      <c r="F18" s="89">
        <v>19693206</v>
      </c>
    </row>
    <row r="19" spans="1:6">
      <c r="A19" s="4"/>
      <c r="B19" s="4"/>
      <c r="C19" s="4"/>
      <c r="D19" s="91" t="s">
        <v>34</v>
      </c>
      <c r="E19" s="91" t="s">
        <v>31</v>
      </c>
      <c r="F19" s="89">
        <v>12500000</v>
      </c>
    </row>
    <row r="20" spans="1:6">
      <c r="A20" s="91" t="s">
        <v>35</v>
      </c>
      <c r="B20" s="91" t="s">
        <v>36</v>
      </c>
      <c r="C20" s="91" t="s">
        <v>37</v>
      </c>
      <c r="D20" s="91" t="s">
        <v>30</v>
      </c>
      <c r="E20" s="91" t="s">
        <v>31</v>
      </c>
      <c r="F20" s="89">
        <v>11750000</v>
      </c>
    </row>
    <row r="21" spans="1:6">
      <c r="A21" s="4"/>
      <c r="B21" s="4"/>
      <c r="C21" s="91" t="s">
        <v>38</v>
      </c>
      <c r="D21" s="91" t="s">
        <v>39</v>
      </c>
      <c r="E21" s="91" t="s">
        <v>31</v>
      </c>
      <c r="F21" s="89">
        <v>29978000</v>
      </c>
    </row>
    <row r="22" spans="1:6">
      <c r="A22" s="4"/>
      <c r="B22" s="4"/>
      <c r="C22" s="4"/>
      <c r="D22" s="91" t="s">
        <v>32</v>
      </c>
      <c r="E22" s="91" t="s">
        <v>31</v>
      </c>
      <c r="F22" s="89">
        <v>39225000</v>
      </c>
    </row>
    <row r="23" spans="1:6">
      <c r="A23" s="4"/>
      <c r="B23" s="4"/>
      <c r="C23" s="4"/>
      <c r="D23" s="91" t="s">
        <v>33</v>
      </c>
      <c r="E23" s="91" t="s">
        <v>31</v>
      </c>
      <c r="F23" s="89">
        <v>20983644</v>
      </c>
    </row>
    <row r="24" spans="1:6">
      <c r="A24" s="91" t="s">
        <v>40</v>
      </c>
      <c r="B24" s="91" t="s">
        <v>41</v>
      </c>
      <c r="C24" s="91" t="s">
        <v>42</v>
      </c>
      <c r="D24" s="91" t="s">
        <v>18</v>
      </c>
      <c r="E24" s="91" t="s">
        <v>43</v>
      </c>
      <c r="F24" s="89">
        <v>48500000</v>
      </c>
    </row>
    <row r="25" spans="1:6">
      <c r="A25" s="4"/>
      <c r="B25" s="4"/>
      <c r="C25" s="4"/>
      <c r="D25" s="91" t="s">
        <v>20</v>
      </c>
      <c r="E25" s="91" t="s">
        <v>43</v>
      </c>
      <c r="F25" s="89">
        <v>600000</v>
      </c>
    </row>
    <row r="26" spans="1:6">
      <c r="A26" s="4"/>
      <c r="B26" s="4"/>
      <c r="C26" s="4"/>
      <c r="D26" s="91" t="s">
        <v>21</v>
      </c>
      <c r="E26" s="91" t="s">
        <v>43</v>
      </c>
      <c r="F26" s="89">
        <v>31250000</v>
      </c>
    </row>
    <row r="27" spans="1:6">
      <c r="A27" s="4"/>
      <c r="B27" s="4"/>
      <c r="C27" s="4"/>
      <c r="D27" s="91" t="s">
        <v>44</v>
      </c>
      <c r="E27" s="91" t="s">
        <v>43</v>
      </c>
      <c r="F27" s="89">
        <v>7250000</v>
      </c>
    </row>
    <row r="28" spans="1:6">
      <c r="A28" s="4"/>
      <c r="B28" s="4"/>
      <c r="C28" s="4"/>
      <c r="D28" s="91" t="s">
        <v>22</v>
      </c>
      <c r="E28" s="91" t="s">
        <v>43</v>
      </c>
      <c r="F28" s="89">
        <v>9750000</v>
      </c>
    </row>
    <row r="29" spans="1:6">
      <c r="A29" s="4"/>
      <c r="B29" s="4"/>
      <c r="C29" s="4"/>
      <c r="D29" s="91" t="s">
        <v>26</v>
      </c>
      <c r="E29" s="91" t="s">
        <v>43</v>
      </c>
      <c r="F29" s="89">
        <v>28000000</v>
      </c>
    </row>
    <row r="30" spans="1:6">
      <c r="A30" s="4"/>
      <c r="B30" s="4"/>
      <c r="C30" s="4"/>
      <c r="D30" s="91" t="s">
        <v>45</v>
      </c>
      <c r="E30" s="91" t="s">
        <v>43</v>
      </c>
      <c r="F30" s="89">
        <v>1497600</v>
      </c>
    </row>
    <row r="31" spans="1:6">
      <c r="A31" s="91" t="s">
        <v>46</v>
      </c>
      <c r="B31" s="91" t="s">
        <v>47</v>
      </c>
      <c r="C31" s="91" t="s">
        <v>48</v>
      </c>
      <c r="D31" s="91" t="s">
        <v>49</v>
      </c>
      <c r="E31" s="91" t="s">
        <v>50</v>
      </c>
      <c r="F31" s="89">
        <v>2363192</v>
      </c>
    </row>
    <row r="32" spans="1:6">
      <c r="A32" s="4"/>
      <c r="B32" s="4"/>
      <c r="C32" s="91" t="s">
        <v>51</v>
      </c>
      <c r="D32" s="91" t="s">
        <v>49</v>
      </c>
      <c r="E32" s="91" t="s">
        <v>50</v>
      </c>
      <c r="F32" s="89">
        <v>17183424</v>
      </c>
    </row>
    <row r="33" spans="1:6">
      <c r="A33" s="4"/>
      <c r="B33" s="4"/>
      <c r="C33" s="4"/>
      <c r="D33" s="91" t="s">
        <v>33</v>
      </c>
      <c r="E33" s="91" t="s">
        <v>50</v>
      </c>
      <c r="F33" s="89">
        <v>1239256</v>
      </c>
    </row>
    <row r="34" spans="1:6">
      <c r="A34" s="4"/>
      <c r="B34" s="4"/>
      <c r="C34" s="91" t="s">
        <v>52</v>
      </c>
      <c r="D34" s="91" t="s">
        <v>49</v>
      </c>
      <c r="E34" s="91" t="s">
        <v>53</v>
      </c>
      <c r="F34" s="89">
        <v>3396093</v>
      </c>
    </row>
    <row r="35" spans="1:6">
      <c r="A35" s="4"/>
      <c r="B35" s="4"/>
      <c r="C35" s="4"/>
      <c r="D35" s="91" t="s">
        <v>33</v>
      </c>
      <c r="E35" s="91" t="s">
        <v>53</v>
      </c>
      <c r="F35" s="89">
        <v>9744596</v>
      </c>
    </row>
    <row r="36" spans="1:6">
      <c r="A36" s="4"/>
      <c r="B36" s="4"/>
      <c r="C36" s="4"/>
      <c r="D36" s="91" t="s">
        <v>54</v>
      </c>
      <c r="E36" s="91" t="s">
        <v>53</v>
      </c>
      <c r="F36" s="89">
        <v>3078000</v>
      </c>
    </row>
    <row r="37" spans="1:6">
      <c r="A37" s="91" t="s">
        <v>55</v>
      </c>
      <c r="B37" s="91" t="s">
        <v>56</v>
      </c>
      <c r="C37" s="91" t="s">
        <v>57</v>
      </c>
      <c r="D37" s="91" t="s">
        <v>58</v>
      </c>
      <c r="E37" s="91" t="s">
        <v>59</v>
      </c>
      <c r="F37" s="89">
        <v>48582205.5</v>
      </c>
    </row>
    <row r="38" spans="1:6">
      <c r="A38" s="91" t="s">
        <v>60</v>
      </c>
      <c r="B38" s="91" t="s">
        <v>61</v>
      </c>
      <c r="C38" s="91" t="s">
        <v>62</v>
      </c>
      <c r="D38" s="91" t="s">
        <v>24</v>
      </c>
      <c r="E38" s="91" t="s">
        <v>31</v>
      </c>
      <c r="F38" s="89">
        <v>6000000</v>
      </c>
    </row>
    <row r="39" spans="1:6">
      <c r="A39" s="4"/>
      <c r="B39" s="4"/>
      <c r="C39" s="4"/>
      <c r="D39" s="91" t="s">
        <v>30</v>
      </c>
      <c r="E39" s="91" t="s">
        <v>31</v>
      </c>
      <c r="F39" s="89">
        <v>11750000</v>
      </c>
    </row>
    <row r="40" spans="1:6">
      <c r="A40" s="4"/>
      <c r="B40" s="4"/>
      <c r="C40" s="4"/>
      <c r="D40" s="91" t="s">
        <v>39</v>
      </c>
      <c r="E40" s="91" t="s">
        <v>31</v>
      </c>
      <c r="F40" s="89">
        <v>61419000</v>
      </c>
    </row>
    <row r="41" spans="1:6">
      <c r="A41" s="4"/>
      <c r="B41" s="4"/>
      <c r="C41" s="4"/>
      <c r="D41" s="91" t="s">
        <v>63</v>
      </c>
      <c r="E41" s="91" t="s">
        <v>31</v>
      </c>
      <c r="F41" s="89">
        <v>9950000</v>
      </c>
    </row>
    <row r="42" spans="1:6">
      <c r="A42" s="91" t="s">
        <v>64</v>
      </c>
      <c r="B42" s="91" t="s">
        <v>65</v>
      </c>
      <c r="C42" s="91" t="s">
        <v>66</v>
      </c>
      <c r="D42" s="91" t="s">
        <v>30</v>
      </c>
      <c r="E42" s="91" t="s">
        <v>31</v>
      </c>
      <c r="F42" s="89">
        <v>36000000</v>
      </c>
    </row>
    <row r="43" spans="1:6">
      <c r="A43" s="4"/>
      <c r="B43" s="4"/>
      <c r="C43" s="4"/>
      <c r="D43" s="91" t="s">
        <v>32</v>
      </c>
      <c r="E43" s="91" t="s">
        <v>31</v>
      </c>
      <c r="F43" s="89">
        <v>39050000</v>
      </c>
    </row>
    <row r="44" spans="1:6">
      <c r="A44" s="91" t="s">
        <v>67</v>
      </c>
      <c r="B44" s="91" t="s">
        <v>68</v>
      </c>
      <c r="C44" s="91" t="s">
        <v>69</v>
      </c>
      <c r="D44" s="91" t="s">
        <v>30</v>
      </c>
      <c r="E44" s="91" t="s">
        <v>31</v>
      </c>
      <c r="F44" s="89">
        <v>12000000</v>
      </c>
    </row>
    <row r="45" spans="1:6">
      <c r="A45" s="4"/>
      <c r="B45" s="4"/>
      <c r="C45" s="4"/>
      <c r="D45" s="91" t="s">
        <v>39</v>
      </c>
      <c r="E45" s="91" t="s">
        <v>31</v>
      </c>
      <c r="F45" s="89">
        <v>31441000</v>
      </c>
    </row>
    <row r="46" spans="1:6">
      <c r="A46" s="4"/>
      <c r="B46" s="4"/>
      <c r="C46" s="4"/>
      <c r="D46" s="91" t="s">
        <v>63</v>
      </c>
      <c r="E46" s="91" t="s">
        <v>31</v>
      </c>
      <c r="F46" s="89">
        <v>12000000</v>
      </c>
    </row>
    <row r="47" spans="1:6">
      <c r="A47" s="91" t="s">
        <v>70</v>
      </c>
      <c r="B47" s="91" t="s">
        <v>71</v>
      </c>
      <c r="C47" s="91" t="s">
        <v>72</v>
      </c>
      <c r="D47" s="91" t="s">
        <v>18</v>
      </c>
      <c r="E47" s="91" t="s">
        <v>31</v>
      </c>
      <c r="F47" s="89">
        <v>8500000</v>
      </c>
    </row>
    <row r="48" spans="1:6">
      <c r="A48" s="4"/>
      <c r="B48" s="4"/>
      <c r="C48" s="4"/>
      <c r="D48" s="91" t="s">
        <v>30</v>
      </c>
      <c r="E48" s="91" t="s">
        <v>31</v>
      </c>
      <c r="F48" s="89">
        <v>12000000</v>
      </c>
    </row>
    <row r="49" spans="1:6">
      <c r="A49" s="4"/>
      <c r="B49" s="4"/>
      <c r="C49" s="4"/>
      <c r="D49" s="91" t="s">
        <v>73</v>
      </c>
      <c r="E49" s="91" t="s">
        <v>31</v>
      </c>
      <c r="F49" s="89">
        <v>9000000</v>
      </c>
    </row>
    <row r="50" spans="1:6">
      <c r="A50" s="4"/>
      <c r="B50" s="4"/>
      <c r="C50" s="4"/>
      <c r="D50" s="91" t="s">
        <v>32</v>
      </c>
      <c r="E50" s="91" t="s">
        <v>31</v>
      </c>
      <c r="F50" s="89">
        <v>38550000</v>
      </c>
    </row>
    <row r="51" spans="1:6">
      <c r="A51" s="91" t="s">
        <v>74</v>
      </c>
      <c r="B51" s="91" t="s">
        <v>75</v>
      </c>
      <c r="C51" s="91" t="s">
        <v>76</v>
      </c>
      <c r="D51" s="91" t="s">
        <v>33</v>
      </c>
      <c r="E51" s="91" t="s">
        <v>31</v>
      </c>
      <c r="F51" s="89">
        <v>20834028</v>
      </c>
    </row>
    <row r="52" spans="1:6">
      <c r="A52" s="91" t="s">
        <v>77</v>
      </c>
      <c r="B52" s="91" t="s">
        <v>78</v>
      </c>
      <c r="C52" s="91" t="s">
        <v>76</v>
      </c>
      <c r="D52" s="91" t="s">
        <v>33</v>
      </c>
      <c r="E52" s="91" t="s">
        <v>31</v>
      </c>
      <c r="F52" s="89">
        <v>20834028</v>
      </c>
    </row>
    <row r="53" spans="1:6">
      <c r="A53" s="91" t="s">
        <v>79</v>
      </c>
      <c r="B53" s="91" t="s">
        <v>80</v>
      </c>
      <c r="C53" s="91" t="s">
        <v>81</v>
      </c>
      <c r="D53" s="91" t="s">
        <v>49</v>
      </c>
      <c r="E53" s="91" t="s">
        <v>50</v>
      </c>
      <c r="F53" s="89">
        <v>23619802</v>
      </c>
    </row>
    <row r="54" spans="1:6">
      <c r="A54" s="4"/>
      <c r="B54" s="4"/>
      <c r="C54" s="4"/>
      <c r="D54" s="91" t="s">
        <v>33</v>
      </c>
      <c r="E54" s="91" t="s">
        <v>50</v>
      </c>
      <c r="F54" s="89">
        <v>20973839</v>
      </c>
    </row>
    <row r="55" spans="1:6">
      <c r="A55" s="91" t="s">
        <v>82</v>
      </c>
      <c r="B55" s="91" t="s">
        <v>83</v>
      </c>
      <c r="C55" s="91" t="s">
        <v>84</v>
      </c>
      <c r="D55" s="91" t="s">
        <v>49</v>
      </c>
      <c r="E55" s="91" t="s">
        <v>50</v>
      </c>
      <c r="F55" s="89">
        <v>35982996</v>
      </c>
    </row>
    <row r="56" spans="1:6">
      <c r="A56" s="4"/>
      <c r="B56" s="4"/>
      <c r="C56" s="4"/>
      <c r="D56" s="91" t="s">
        <v>33</v>
      </c>
      <c r="E56" s="91" t="s">
        <v>50</v>
      </c>
      <c r="F56" s="89">
        <v>19033585</v>
      </c>
    </row>
    <row r="57" spans="1:6">
      <c r="A57" s="4"/>
      <c r="B57" s="4"/>
      <c r="C57" s="4"/>
      <c r="D57" s="91" t="s">
        <v>58</v>
      </c>
      <c r="E57" s="91" t="s">
        <v>50</v>
      </c>
      <c r="F57" s="89">
        <v>2985008</v>
      </c>
    </row>
    <row r="58" spans="1:6">
      <c r="A58" s="91" t="s">
        <v>85</v>
      </c>
      <c r="B58" s="91" t="s">
        <v>86</v>
      </c>
      <c r="C58" s="91" t="s">
        <v>87</v>
      </c>
      <c r="D58" s="91" t="s">
        <v>18</v>
      </c>
      <c r="E58" s="91" t="s">
        <v>53</v>
      </c>
      <c r="F58" s="89">
        <v>2750000</v>
      </c>
    </row>
    <row r="59" spans="1:6">
      <c r="A59" s="4"/>
      <c r="B59" s="4"/>
      <c r="C59" s="4"/>
      <c r="D59" s="91" t="s">
        <v>21</v>
      </c>
      <c r="E59" s="91" t="s">
        <v>53</v>
      </c>
      <c r="F59" s="89">
        <v>50750000</v>
      </c>
    </row>
    <row r="60" spans="1:6">
      <c r="A60" s="4"/>
      <c r="B60" s="4"/>
      <c r="C60" s="4"/>
      <c r="D60" s="91" t="s">
        <v>44</v>
      </c>
      <c r="E60" s="91" t="s">
        <v>53</v>
      </c>
      <c r="F60" s="89">
        <v>7250000</v>
      </c>
    </row>
    <row r="61" spans="1:6">
      <c r="A61" s="4"/>
      <c r="B61" s="4"/>
      <c r="C61" s="4"/>
      <c r="D61" s="91" t="s">
        <v>24</v>
      </c>
      <c r="E61" s="91" t="s">
        <v>53</v>
      </c>
      <c r="F61" s="89">
        <v>9000000</v>
      </c>
    </row>
    <row r="62" spans="1:6">
      <c r="A62" s="4"/>
      <c r="B62" s="4"/>
      <c r="C62" s="4"/>
      <c r="D62" s="91" t="s">
        <v>26</v>
      </c>
      <c r="E62" s="91" t="s">
        <v>53</v>
      </c>
      <c r="F62" s="89">
        <v>11000000</v>
      </c>
    </row>
    <row r="63" spans="1:6">
      <c r="A63" s="4"/>
      <c r="B63" s="4"/>
      <c r="C63" s="4"/>
      <c r="D63" s="91" t="s">
        <v>45</v>
      </c>
      <c r="E63" s="91" t="s">
        <v>53</v>
      </c>
      <c r="F63" s="89">
        <v>2861400</v>
      </c>
    </row>
    <row r="64" spans="1:6">
      <c r="A64" s="4"/>
      <c r="B64" s="4"/>
      <c r="C64" s="4"/>
      <c r="D64" s="91" t="s">
        <v>88</v>
      </c>
      <c r="E64" s="91" t="s">
        <v>53</v>
      </c>
      <c r="F64" s="89">
        <v>11000000</v>
      </c>
    </row>
    <row r="65" spans="1:6">
      <c r="A65" s="91" t="s">
        <v>89</v>
      </c>
      <c r="B65" s="91" t="s">
        <v>90</v>
      </c>
      <c r="C65" s="91" t="s">
        <v>91</v>
      </c>
      <c r="D65" s="91" t="s">
        <v>21</v>
      </c>
      <c r="E65" s="91" t="s">
        <v>19</v>
      </c>
      <c r="F65" s="89">
        <v>9750000</v>
      </c>
    </row>
    <row r="66" spans="1:6">
      <c r="A66" s="4"/>
      <c r="B66" s="4"/>
      <c r="C66" s="4"/>
      <c r="D66" s="91" t="s">
        <v>26</v>
      </c>
      <c r="E66" s="91" t="s">
        <v>19</v>
      </c>
      <c r="F66" s="89">
        <v>6675000</v>
      </c>
    </row>
    <row r="67" spans="1:6">
      <c r="A67" s="4"/>
      <c r="B67" s="4"/>
      <c r="C67" s="4"/>
      <c r="D67" s="91" t="s">
        <v>92</v>
      </c>
      <c r="E67" s="91" t="s">
        <v>19</v>
      </c>
      <c r="F67" s="89">
        <v>9000000</v>
      </c>
    </row>
    <row r="68" spans="1:6">
      <c r="A68" s="4"/>
      <c r="B68" s="4"/>
      <c r="C68" s="91" t="s">
        <v>93</v>
      </c>
      <c r="D68" s="91" t="s">
        <v>13</v>
      </c>
      <c r="E68" s="91" t="s">
        <v>43</v>
      </c>
      <c r="F68" s="89">
        <v>5852000</v>
      </c>
    </row>
    <row r="69" spans="1:6">
      <c r="A69" s="4"/>
      <c r="B69" s="4"/>
      <c r="C69" s="4"/>
      <c r="D69" s="91" t="s">
        <v>21</v>
      </c>
      <c r="E69" s="91" t="s">
        <v>43</v>
      </c>
      <c r="F69" s="89">
        <v>11000000</v>
      </c>
    </row>
    <row r="70" spans="1:6">
      <c r="A70" s="4"/>
      <c r="B70" s="4"/>
      <c r="C70" s="4"/>
      <c r="D70" s="91" t="s">
        <v>94</v>
      </c>
      <c r="E70" s="91" t="s">
        <v>43</v>
      </c>
      <c r="F70" s="89">
        <v>1000000</v>
      </c>
    </row>
    <row r="71" spans="1:6">
      <c r="A71" s="4"/>
      <c r="B71" s="4"/>
      <c r="C71" s="4"/>
      <c r="D71" s="91" t="s">
        <v>26</v>
      </c>
      <c r="E71" s="91" t="s">
        <v>43</v>
      </c>
      <c r="F71" s="89">
        <v>4750000</v>
      </c>
    </row>
    <row r="72" spans="1:6">
      <c r="A72" s="91" t="s">
        <v>95</v>
      </c>
      <c r="B72" s="91" t="s">
        <v>96</v>
      </c>
      <c r="C72" s="91" t="s">
        <v>97</v>
      </c>
      <c r="D72" s="91" t="s">
        <v>98</v>
      </c>
      <c r="E72" s="91" t="s">
        <v>99</v>
      </c>
      <c r="F72" s="89">
        <v>10000000</v>
      </c>
    </row>
    <row r="73" spans="1:6">
      <c r="A73" s="4"/>
      <c r="B73" s="4"/>
      <c r="C73" s="4"/>
      <c r="D73" s="91" t="s">
        <v>100</v>
      </c>
      <c r="E73" s="91" t="s">
        <v>99</v>
      </c>
      <c r="F73" s="89">
        <v>88428000</v>
      </c>
    </row>
    <row r="74" spans="1:6">
      <c r="A74" s="91" t="s">
        <v>101</v>
      </c>
      <c r="B74" s="91" t="s">
        <v>102</v>
      </c>
      <c r="C74" s="91" t="s">
        <v>103</v>
      </c>
      <c r="D74" s="91" t="s">
        <v>18</v>
      </c>
      <c r="E74" s="91" t="s">
        <v>43</v>
      </c>
      <c r="F74" s="89">
        <v>1950000</v>
      </c>
    </row>
    <row r="75" spans="1:6">
      <c r="A75" s="4"/>
      <c r="B75" s="4"/>
      <c r="C75" s="4"/>
      <c r="D75" s="91" t="s">
        <v>13</v>
      </c>
      <c r="E75" s="91" t="s">
        <v>43</v>
      </c>
      <c r="F75" s="89">
        <v>3300000</v>
      </c>
    </row>
    <row r="76" spans="1:6">
      <c r="A76" s="4"/>
      <c r="B76" s="4"/>
      <c r="C76" s="4"/>
      <c r="D76" s="91" t="s">
        <v>21</v>
      </c>
      <c r="E76" s="91" t="s">
        <v>43</v>
      </c>
      <c r="F76" s="89">
        <v>11000000</v>
      </c>
    </row>
    <row r="77" spans="1:6">
      <c r="A77" s="4"/>
      <c r="B77" s="4"/>
      <c r="C77" s="4"/>
      <c r="D77" s="91" t="s">
        <v>26</v>
      </c>
      <c r="E77" s="91" t="s">
        <v>43</v>
      </c>
      <c r="F77" s="89">
        <v>3750000</v>
      </c>
    </row>
    <row r="78" spans="1:6">
      <c r="A78" s="4"/>
      <c r="B78" s="4"/>
      <c r="C78" s="4"/>
      <c r="D78" s="91" t="s">
        <v>98</v>
      </c>
      <c r="E78" s="91" t="s">
        <v>43</v>
      </c>
      <c r="F78" s="89">
        <v>5000000</v>
      </c>
    </row>
    <row r="79" spans="1:6">
      <c r="A79" s="4"/>
      <c r="B79" s="4"/>
      <c r="C79" s="4"/>
      <c r="D79" s="91" t="s">
        <v>104</v>
      </c>
      <c r="E79" s="91" t="s">
        <v>43</v>
      </c>
      <c r="F79" s="89">
        <v>9500000</v>
      </c>
    </row>
    <row r="80" spans="1:6">
      <c r="A80" s="91" t="s">
        <v>105</v>
      </c>
      <c r="B80" s="91" t="s">
        <v>106</v>
      </c>
      <c r="C80" s="91" t="s">
        <v>38</v>
      </c>
      <c r="D80" s="91" t="s">
        <v>22</v>
      </c>
      <c r="E80" s="91" t="s">
        <v>31</v>
      </c>
      <c r="F80" s="89">
        <v>29000000</v>
      </c>
    </row>
    <row r="81" spans="1:6">
      <c r="A81" s="4"/>
      <c r="B81" s="4"/>
      <c r="C81" s="4"/>
      <c r="D81" s="91" t="s">
        <v>39</v>
      </c>
      <c r="E81" s="91" t="s">
        <v>31</v>
      </c>
      <c r="F81" s="89">
        <v>29978000</v>
      </c>
    </row>
    <row r="82" spans="1:6">
      <c r="A82" s="4"/>
      <c r="B82" s="4"/>
      <c r="C82" s="4"/>
      <c r="D82" s="91" t="s">
        <v>32</v>
      </c>
      <c r="E82" s="91" t="s">
        <v>31</v>
      </c>
      <c r="F82" s="89">
        <v>39225000</v>
      </c>
    </row>
    <row r="83" spans="1:6">
      <c r="A83" s="4"/>
      <c r="B83" s="4"/>
      <c r="C83" s="4"/>
      <c r="D83" s="91" t="s">
        <v>33</v>
      </c>
      <c r="E83" s="91" t="s">
        <v>31</v>
      </c>
      <c r="F83" s="89">
        <v>20983644</v>
      </c>
    </row>
    <row r="84" spans="1:6">
      <c r="A84" s="91" t="s">
        <v>107</v>
      </c>
      <c r="B84" s="91" t="s">
        <v>108</v>
      </c>
      <c r="C84" s="91" t="s">
        <v>109</v>
      </c>
      <c r="D84" s="91" t="s">
        <v>21</v>
      </c>
      <c r="E84" s="91" t="s">
        <v>19</v>
      </c>
      <c r="F84" s="89">
        <v>73211112</v>
      </c>
    </row>
    <row r="85" spans="1:6">
      <c r="A85" s="4"/>
      <c r="B85" s="4"/>
      <c r="C85" s="4"/>
      <c r="D85" s="91" t="s">
        <v>24</v>
      </c>
      <c r="E85" s="91" t="s">
        <v>19</v>
      </c>
      <c r="F85" s="89">
        <v>17500000</v>
      </c>
    </row>
    <row r="86" spans="1:6">
      <c r="A86" s="4"/>
      <c r="B86" s="4"/>
      <c r="C86" s="4"/>
      <c r="D86" s="91" t="s">
        <v>110</v>
      </c>
      <c r="E86" s="91" t="s">
        <v>19</v>
      </c>
      <c r="F86" s="89">
        <v>6637500</v>
      </c>
    </row>
    <row r="87" spans="1:6">
      <c r="A87" s="4"/>
      <c r="B87" s="4"/>
      <c r="C87" s="4"/>
      <c r="D87" s="91" t="s">
        <v>26</v>
      </c>
      <c r="E87" s="91" t="s">
        <v>19</v>
      </c>
      <c r="F87" s="89">
        <v>775000</v>
      </c>
    </row>
    <row r="88" spans="1:6">
      <c r="A88" s="4"/>
      <c r="B88" s="4"/>
      <c r="C88" s="4"/>
      <c r="D88" s="91" t="s">
        <v>111</v>
      </c>
      <c r="E88" s="91" t="s">
        <v>19</v>
      </c>
      <c r="F88" s="89">
        <v>2600000</v>
      </c>
    </row>
    <row r="89" spans="1:6">
      <c r="A89" s="4"/>
      <c r="B89" s="4"/>
      <c r="C89" s="4"/>
      <c r="D89" s="91" t="s">
        <v>112</v>
      </c>
      <c r="E89" s="91" t="s">
        <v>19</v>
      </c>
      <c r="F89" s="89">
        <v>7050000</v>
      </c>
    </row>
    <row r="90" spans="1:6">
      <c r="A90" s="4"/>
      <c r="B90" s="4"/>
      <c r="C90" s="4"/>
      <c r="D90" s="91" t="s">
        <v>92</v>
      </c>
      <c r="E90" s="91" t="s">
        <v>19</v>
      </c>
      <c r="F90" s="89">
        <v>2000000</v>
      </c>
    </row>
    <row r="91" spans="1:6">
      <c r="A91" s="91" t="s">
        <v>113</v>
      </c>
      <c r="B91" s="91" t="s">
        <v>114</v>
      </c>
      <c r="C91" s="91" t="s">
        <v>115</v>
      </c>
      <c r="D91" s="91" t="s">
        <v>116</v>
      </c>
      <c r="E91" s="91" t="s">
        <v>53</v>
      </c>
      <c r="F91" s="89">
        <v>8000000</v>
      </c>
    </row>
    <row r="92" spans="1:6">
      <c r="A92" s="4"/>
      <c r="B92" s="4"/>
      <c r="C92" s="4"/>
      <c r="D92" s="91" t="s">
        <v>33</v>
      </c>
      <c r="E92" s="91" t="s">
        <v>53</v>
      </c>
      <c r="F92" s="89">
        <v>45349070</v>
      </c>
    </row>
    <row r="93" spans="1:6">
      <c r="A93" s="4"/>
      <c r="B93" s="4"/>
      <c r="C93" s="4"/>
      <c r="D93" s="91" t="s">
        <v>54</v>
      </c>
      <c r="E93" s="91" t="s">
        <v>53</v>
      </c>
      <c r="F93" s="89">
        <v>3078000</v>
      </c>
    </row>
    <row r="94" spans="1:6">
      <c r="A94" s="91" t="s">
        <v>117</v>
      </c>
      <c r="B94" s="91" t="s">
        <v>118</v>
      </c>
      <c r="C94" s="91" t="s">
        <v>119</v>
      </c>
      <c r="D94" s="91" t="s">
        <v>26</v>
      </c>
      <c r="E94" s="91" t="s">
        <v>53</v>
      </c>
      <c r="F94" s="89">
        <v>25000000</v>
      </c>
    </row>
    <row r="95" spans="1:6">
      <c r="A95" s="91" t="s">
        <v>120</v>
      </c>
      <c r="B95" s="91" t="s">
        <v>121</v>
      </c>
      <c r="C95" s="91" t="s">
        <v>109</v>
      </c>
      <c r="D95" s="91" t="s">
        <v>21</v>
      </c>
      <c r="E95" s="91" t="s">
        <v>19</v>
      </c>
      <c r="F95" s="89">
        <v>73211112</v>
      </c>
    </row>
    <row r="96" spans="1:6">
      <c r="A96" s="4"/>
      <c r="B96" s="4"/>
      <c r="C96" s="4"/>
      <c r="D96" s="91" t="s">
        <v>24</v>
      </c>
      <c r="E96" s="91" t="s">
        <v>19</v>
      </c>
      <c r="F96" s="89">
        <v>17500000</v>
      </c>
    </row>
    <row r="97" spans="1:6">
      <c r="A97" s="4"/>
      <c r="B97" s="4"/>
      <c r="C97" s="4"/>
      <c r="D97" s="91" t="s">
        <v>110</v>
      </c>
      <c r="E97" s="91" t="s">
        <v>19</v>
      </c>
      <c r="F97" s="89">
        <v>6637500</v>
      </c>
    </row>
    <row r="98" spans="1:6">
      <c r="A98" s="4"/>
      <c r="B98" s="4"/>
      <c r="C98" s="4"/>
      <c r="D98" s="91" t="s">
        <v>26</v>
      </c>
      <c r="E98" s="91" t="s">
        <v>19</v>
      </c>
      <c r="F98" s="89">
        <v>775000</v>
      </c>
    </row>
    <row r="99" spans="1:6">
      <c r="A99" s="4"/>
      <c r="B99" s="4"/>
      <c r="C99" s="4"/>
      <c r="D99" s="91" t="s">
        <v>111</v>
      </c>
      <c r="E99" s="91" t="s">
        <v>19</v>
      </c>
      <c r="F99" s="89">
        <v>2600000</v>
      </c>
    </row>
    <row r="100" spans="1:6">
      <c r="A100" s="4"/>
      <c r="B100" s="4"/>
      <c r="C100" s="4"/>
      <c r="D100" s="91" t="s">
        <v>112</v>
      </c>
      <c r="E100" s="91" t="s">
        <v>19</v>
      </c>
      <c r="F100" s="89">
        <v>7050000</v>
      </c>
    </row>
    <row r="101" spans="1:6">
      <c r="A101" s="4"/>
      <c r="B101" s="4"/>
      <c r="C101" s="4"/>
      <c r="D101" s="91" t="s">
        <v>92</v>
      </c>
      <c r="E101" s="91" t="s">
        <v>19</v>
      </c>
      <c r="F101" s="89">
        <v>2000000</v>
      </c>
    </row>
    <row r="102" spans="1:6">
      <c r="A102" s="91" t="s">
        <v>122</v>
      </c>
      <c r="B102" s="91" t="s">
        <v>123</v>
      </c>
      <c r="C102" s="91" t="s">
        <v>124</v>
      </c>
      <c r="D102" s="91" t="s">
        <v>30</v>
      </c>
      <c r="E102" s="91" t="s">
        <v>31</v>
      </c>
      <c r="F102" s="89">
        <v>27500000</v>
      </c>
    </row>
    <row r="103" spans="1:6">
      <c r="A103" s="4"/>
      <c r="B103" s="4"/>
      <c r="C103" s="4"/>
      <c r="D103" s="91" t="s">
        <v>32</v>
      </c>
      <c r="E103" s="91" t="s">
        <v>31</v>
      </c>
      <c r="F103" s="89">
        <v>37500000</v>
      </c>
    </row>
    <row r="104" spans="1:6">
      <c r="A104" s="91" t="s">
        <v>125</v>
      </c>
      <c r="B104" s="91" t="s">
        <v>126</v>
      </c>
      <c r="C104" s="91" t="s">
        <v>127</v>
      </c>
      <c r="D104" s="91" t="s">
        <v>116</v>
      </c>
      <c r="E104" s="91" t="s">
        <v>53</v>
      </c>
      <c r="F104" s="89">
        <v>6000000</v>
      </c>
    </row>
    <row r="105" spans="1:6">
      <c r="A105" s="4"/>
      <c r="B105" s="4"/>
      <c r="C105" s="4"/>
      <c r="D105" s="91" t="s">
        <v>49</v>
      </c>
      <c r="E105" s="91" t="s">
        <v>53</v>
      </c>
      <c r="F105" s="89">
        <v>2000000</v>
      </c>
    </row>
    <row r="106" spans="1:6">
      <c r="A106" s="4"/>
      <c r="B106" s="4"/>
      <c r="C106" s="4"/>
      <c r="D106" s="91" t="s">
        <v>33</v>
      </c>
      <c r="E106" s="91" t="s">
        <v>53</v>
      </c>
      <c r="F106" s="89">
        <v>31518295</v>
      </c>
    </row>
    <row r="107" spans="1:6">
      <c r="A107" s="4"/>
      <c r="B107" s="4"/>
      <c r="C107" s="4"/>
      <c r="D107" s="91" t="s">
        <v>54</v>
      </c>
      <c r="E107" s="91" t="s">
        <v>53</v>
      </c>
      <c r="F107" s="89">
        <v>5878000</v>
      </c>
    </row>
    <row r="108" spans="1:6">
      <c r="A108" s="91" t="s">
        <v>128</v>
      </c>
      <c r="B108" s="91" t="s">
        <v>129</v>
      </c>
      <c r="C108" s="91" t="s">
        <v>51</v>
      </c>
      <c r="D108" s="91" t="s">
        <v>49</v>
      </c>
      <c r="E108" s="91" t="s">
        <v>50</v>
      </c>
      <c r="F108" s="89">
        <v>33053038</v>
      </c>
    </row>
    <row r="109" spans="1:6">
      <c r="A109" s="4"/>
      <c r="B109" s="4"/>
      <c r="C109" s="4"/>
      <c r="D109" s="91" t="s">
        <v>33</v>
      </c>
      <c r="E109" s="91" t="s">
        <v>50</v>
      </c>
      <c r="F109" s="89">
        <v>5189323</v>
      </c>
    </row>
    <row r="110" spans="1:6">
      <c r="A110" s="4"/>
      <c r="B110" s="4"/>
      <c r="C110" s="91" t="s">
        <v>52</v>
      </c>
      <c r="D110" s="91" t="s">
        <v>33</v>
      </c>
      <c r="E110" s="91" t="s">
        <v>53</v>
      </c>
      <c r="F110" s="89">
        <v>20733152</v>
      </c>
    </row>
    <row r="111" spans="1:6">
      <c r="A111" s="4"/>
      <c r="B111" s="4"/>
      <c r="C111" s="91" t="s">
        <v>130</v>
      </c>
      <c r="D111" s="91" t="s">
        <v>33</v>
      </c>
      <c r="E111" s="91" t="s">
        <v>53</v>
      </c>
      <c r="F111" s="89">
        <v>11047308</v>
      </c>
    </row>
    <row r="112" spans="1:6">
      <c r="A112" s="91" t="s">
        <v>131</v>
      </c>
      <c r="B112" s="91" t="s">
        <v>132</v>
      </c>
      <c r="C112" s="91" t="s">
        <v>84</v>
      </c>
      <c r="D112" s="91" t="s">
        <v>33</v>
      </c>
      <c r="E112" s="91" t="s">
        <v>50</v>
      </c>
      <c r="F112" s="89">
        <v>96252</v>
      </c>
    </row>
    <row r="113" spans="1:6">
      <c r="A113" s="4"/>
      <c r="B113" s="4"/>
      <c r="C113" s="91" t="s">
        <v>133</v>
      </c>
      <c r="D113" s="91" t="s">
        <v>33</v>
      </c>
      <c r="E113" s="91" t="s">
        <v>59</v>
      </c>
      <c r="F113" s="89">
        <v>50490</v>
      </c>
    </row>
    <row r="114" spans="1:6">
      <c r="A114" s="4"/>
      <c r="B114" s="4"/>
      <c r="C114" s="91" t="s">
        <v>134</v>
      </c>
      <c r="D114" s="91" t="s">
        <v>33</v>
      </c>
      <c r="E114" s="91" t="s">
        <v>135</v>
      </c>
      <c r="F114" s="89">
        <v>1323924</v>
      </c>
    </row>
    <row r="115" spans="1:6">
      <c r="A115" s="4"/>
      <c r="B115" s="4"/>
      <c r="C115" s="91" t="s">
        <v>136</v>
      </c>
      <c r="D115" s="91" t="s">
        <v>33</v>
      </c>
      <c r="E115" s="91" t="s">
        <v>50</v>
      </c>
      <c r="F115" s="89">
        <v>2800512</v>
      </c>
    </row>
    <row r="116" spans="1:6">
      <c r="A116" s="4"/>
      <c r="B116" s="4"/>
      <c r="C116" s="91" t="s">
        <v>52</v>
      </c>
      <c r="D116" s="91" t="s">
        <v>116</v>
      </c>
      <c r="E116" s="91" t="s">
        <v>53</v>
      </c>
      <c r="F116" s="89">
        <v>3000000</v>
      </c>
    </row>
    <row r="117" spans="1:6">
      <c r="A117" s="4"/>
      <c r="B117" s="4"/>
      <c r="C117" s="91" t="s">
        <v>81</v>
      </c>
      <c r="D117" s="91" t="s">
        <v>33</v>
      </c>
      <c r="E117" s="91" t="s">
        <v>50</v>
      </c>
      <c r="F117" s="89">
        <v>3375420</v>
      </c>
    </row>
    <row r="118" spans="1:6">
      <c r="A118" s="4"/>
      <c r="B118" s="4"/>
      <c r="C118" s="91" t="s">
        <v>130</v>
      </c>
      <c r="D118" s="91" t="s">
        <v>49</v>
      </c>
      <c r="E118" s="91" t="s">
        <v>53</v>
      </c>
      <c r="F118" s="89">
        <v>1550000</v>
      </c>
    </row>
    <row r="119" spans="1:6">
      <c r="A119" s="4"/>
      <c r="B119" s="4"/>
      <c r="C119" s="4"/>
      <c r="D119" s="91" t="s">
        <v>33</v>
      </c>
      <c r="E119" s="91" t="s">
        <v>53</v>
      </c>
      <c r="F119" s="89">
        <v>23480783</v>
      </c>
    </row>
    <row r="120" spans="1:6">
      <c r="A120" s="4"/>
      <c r="B120" s="4"/>
      <c r="C120" s="4"/>
      <c r="D120" s="91" t="s">
        <v>54</v>
      </c>
      <c r="E120" s="91" t="s">
        <v>53</v>
      </c>
      <c r="F120" s="89">
        <v>5878000</v>
      </c>
    </row>
    <row r="121" spans="1:6">
      <c r="A121" s="91" t="s">
        <v>137</v>
      </c>
      <c r="B121" s="91" t="s">
        <v>138</v>
      </c>
      <c r="C121" s="91" t="s">
        <v>42</v>
      </c>
      <c r="D121" s="91" t="s">
        <v>18</v>
      </c>
      <c r="E121" s="91" t="s">
        <v>43</v>
      </c>
      <c r="F121" s="89">
        <v>9500000</v>
      </c>
    </row>
    <row r="122" spans="1:6">
      <c r="A122" s="91" t="s">
        <v>139</v>
      </c>
      <c r="B122" s="91" t="s">
        <v>140</v>
      </c>
      <c r="C122" s="91" t="s">
        <v>141</v>
      </c>
      <c r="D122" s="91" t="s">
        <v>18</v>
      </c>
      <c r="E122" s="91" t="s">
        <v>43</v>
      </c>
      <c r="F122" s="89">
        <v>14750000</v>
      </c>
    </row>
    <row r="123" spans="1:6">
      <c r="A123" s="4"/>
      <c r="B123" s="4"/>
      <c r="C123" s="4"/>
      <c r="D123" s="91" t="s">
        <v>13</v>
      </c>
      <c r="E123" s="91" t="s">
        <v>43</v>
      </c>
      <c r="F123" s="89">
        <v>2505800</v>
      </c>
    </row>
    <row r="124" spans="1:6">
      <c r="A124" s="4"/>
      <c r="B124" s="4"/>
      <c r="C124" s="4"/>
      <c r="D124" s="91" t="s">
        <v>21</v>
      </c>
      <c r="E124" s="91" t="s">
        <v>43</v>
      </c>
      <c r="F124" s="89">
        <v>20750000</v>
      </c>
    </row>
    <row r="125" spans="1:6">
      <c r="A125" s="4"/>
      <c r="B125" s="4"/>
      <c r="C125" s="4"/>
      <c r="D125" s="91" t="s">
        <v>22</v>
      </c>
      <c r="E125" s="91" t="s">
        <v>43</v>
      </c>
      <c r="F125" s="89">
        <v>10000000</v>
      </c>
    </row>
    <row r="126" spans="1:6">
      <c r="A126" s="4"/>
      <c r="B126" s="4"/>
      <c r="C126" s="4"/>
      <c r="D126" s="91" t="s">
        <v>23</v>
      </c>
      <c r="E126" s="91" t="s">
        <v>43</v>
      </c>
      <c r="F126" s="89">
        <v>2277613.125</v>
      </c>
    </row>
    <row r="127" spans="1:6">
      <c r="A127" s="4"/>
      <c r="B127" s="4"/>
      <c r="C127" s="4"/>
      <c r="D127" s="91" t="s">
        <v>142</v>
      </c>
      <c r="E127" s="91" t="s">
        <v>43</v>
      </c>
      <c r="F127" s="89">
        <v>18117500</v>
      </c>
    </row>
    <row r="128" spans="1:6">
      <c r="A128" s="4"/>
      <c r="B128" s="4"/>
      <c r="C128" s="4"/>
      <c r="D128" s="91" t="s">
        <v>30</v>
      </c>
      <c r="E128" s="91" t="s">
        <v>43</v>
      </c>
      <c r="F128" s="89">
        <v>12000000</v>
      </c>
    </row>
    <row r="129" spans="1:6">
      <c r="A129" s="4"/>
      <c r="B129" s="4"/>
      <c r="C129" s="4"/>
      <c r="D129" s="91" t="s">
        <v>143</v>
      </c>
      <c r="E129" s="91" t="s">
        <v>43</v>
      </c>
      <c r="F129" s="89">
        <v>3750000</v>
      </c>
    </row>
    <row r="130" spans="1:6">
      <c r="A130" s="4"/>
      <c r="B130" s="4"/>
      <c r="C130" s="4"/>
      <c r="D130" s="91" t="s">
        <v>144</v>
      </c>
      <c r="E130" s="91" t="s">
        <v>43</v>
      </c>
      <c r="F130" s="89">
        <v>5000000</v>
      </c>
    </row>
    <row r="131" spans="1:6">
      <c r="A131" s="4"/>
      <c r="B131" s="4"/>
      <c r="C131" s="4"/>
      <c r="D131" s="91" t="s">
        <v>26</v>
      </c>
      <c r="E131" s="91" t="s">
        <v>43</v>
      </c>
      <c r="F131" s="89">
        <v>6000000</v>
      </c>
    </row>
    <row r="132" spans="1:6">
      <c r="A132" s="4"/>
      <c r="B132" s="4"/>
      <c r="C132" s="4"/>
      <c r="D132" s="91" t="s">
        <v>92</v>
      </c>
      <c r="E132" s="91" t="s">
        <v>43</v>
      </c>
      <c r="F132" s="89">
        <v>1350000</v>
      </c>
    </row>
    <row r="133" spans="1:6">
      <c r="A133" s="91" t="s">
        <v>145</v>
      </c>
      <c r="B133" s="91" t="s">
        <v>146</v>
      </c>
      <c r="C133" s="91" t="s">
        <v>141</v>
      </c>
      <c r="D133" s="91" t="s">
        <v>18</v>
      </c>
      <c r="E133" s="91" t="s">
        <v>43</v>
      </c>
      <c r="F133" s="89">
        <v>14750000</v>
      </c>
    </row>
    <row r="134" spans="1:6">
      <c r="A134" s="4"/>
      <c r="B134" s="4"/>
      <c r="C134" s="4"/>
      <c r="D134" s="91" t="s">
        <v>13</v>
      </c>
      <c r="E134" s="91" t="s">
        <v>43</v>
      </c>
      <c r="F134" s="89">
        <v>2505800</v>
      </c>
    </row>
    <row r="135" spans="1:6">
      <c r="A135" s="4"/>
      <c r="B135" s="4"/>
      <c r="C135" s="4"/>
      <c r="D135" s="91" t="s">
        <v>21</v>
      </c>
      <c r="E135" s="91" t="s">
        <v>43</v>
      </c>
      <c r="F135" s="89">
        <v>20750000</v>
      </c>
    </row>
    <row r="136" spans="1:6">
      <c r="A136" s="4"/>
      <c r="B136" s="4"/>
      <c r="C136" s="4"/>
      <c r="D136" s="91" t="s">
        <v>22</v>
      </c>
      <c r="E136" s="91" t="s">
        <v>43</v>
      </c>
      <c r="F136" s="89">
        <v>10000000</v>
      </c>
    </row>
    <row r="137" spans="1:6">
      <c r="A137" s="4"/>
      <c r="B137" s="4"/>
      <c r="C137" s="4"/>
      <c r="D137" s="91" t="s">
        <v>23</v>
      </c>
      <c r="E137" s="91" t="s">
        <v>43</v>
      </c>
      <c r="F137" s="89">
        <v>2277613.125</v>
      </c>
    </row>
    <row r="138" spans="1:6">
      <c r="A138" s="4"/>
      <c r="B138" s="4"/>
      <c r="C138" s="4"/>
      <c r="D138" s="91" t="s">
        <v>142</v>
      </c>
      <c r="E138" s="91" t="s">
        <v>43</v>
      </c>
      <c r="F138" s="89">
        <v>18117500</v>
      </c>
    </row>
    <row r="139" spans="1:6">
      <c r="A139" s="4"/>
      <c r="B139" s="4"/>
      <c r="C139" s="4"/>
      <c r="D139" s="91" t="s">
        <v>30</v>
      </c>
      <c r="E139" s="91" t="s">
        <v>43</v>
      </c>
      <c r="F139" s="89">
        <v>12000000</v>
      </c>
    </row>
    <row r="140" spans="1:6">
      <c r="A140" s="4"/>
      <c r="B140" s="4"/>
      <c r="C140" s="4"/>
      <c r="D140" s="91" t="s">
        <v>143</v>
      </c>
      <c r="E140" s="91" t="s">
        <v>43</v>
      </c>
      <c r="F140" s="89">
        <v>3750000</v>
      </c>
    </row>
    <row r="141" spans="1:6">
      <c r="A141" s="4"/>
      <c r="B141" s="4"/>
      <c r="C141" s="4"/>
      <c r="D141" s="91" t="s">
        <v>144</v>
      </c>
      <c r="E141" s="91" t="s">
        <v>43</v>
      </c>
      <c r="F141" s="89">
        <v>5000000</v>
      </c>
    </row>
    <row r="142" spans="1:6">
      <c r="A142" s="4"/>
      <c r="B142" s="4"/>
      <c r="C142" s="4"/>
      <c r="D142" s="91" t="s">
        <v>26</v>
      </c>
      <c r="E142" s="91" t="s">
        <v>43</v>
      </c>
      <c r="F142" s="89">
        <v>6000000</v>
      </c>
    </row>
    <row r="143" spans="1:6">
      <c r="A143" s="4"/>
      <c r="B143" s="4"/>
      <c r="C143" s="4"/>
      <c r="D143" s="91" t="s">
        <v>92</v>
      </c>
      <c r="E143" s="91" t="s">
        <v>43</v>
      </c>
      <c r="F143" s="89">
        <v>1350000</v>
      </c>
    </row>
    <row r="144" spans="1:6">
      <c r="A144" s="91" t="s">
        <v>147</v>
      </c>
      <c r="B144" s="91" t="s">
        <v>148</v>
      </c>
      <c r="C144" s="91" t="s">
        <v>149</v>
      </c>
      <c r="D144" s="91" t="s">
        <v>21</v>
      </c>
      <c r="E144" s="91" t="s">
        <v>53</v>
      </c>
      <c r="F144" s="89">
        <v>21185185</v>
      </c>
    </row>
    <row r="145" spans="1:6">
      <c r="A145" s="4"/>
      <c r="B145" s="4"/>
      <c r="C145" s="4"/>
      <c r="D145" s="91" t="s">
        <v>150</v>
      </c>
      <c r="E145" s="91" t="s">
        <v>53</v>
      </c>
      <c r="F145" s="89">
        <v>4436500</v>
      </c>
    </row>
    <row r="146" spans="1:6">
      <c r="A146" s="4"/>
      <c r="B146" s="4"/>
      <c r="C146" s="4"/>
      <c r="D146" s="91" t="s">
        <v>92</v>
      </c>
      <c r="E146" s="91" t="s">
        <v>53</v>
      </c>
      <c r="F146" s="89">
        <v>11500000</v>
      </c>
    </row>
    <row r="147" spans="1:6">
      <c r="A147" s="4"/>
      <c r="B147" s="4"/>
      <c r="C147" s="91" t="s">
        <v>151</v>
      </c>
      <c r="D147" s="91" t="s">
        <v>18</v>
      </c>
      <c r="E147" s="91" t="s">
        <v>53</v>
      </c>
      <c r="F147" s="89">
        <v>2220000</v>
      </c>
    </row>
    <row r="148" spans="1:6">
      <c r="A148" s="4"/>
      <c r="B148" s="4"/>
      <c r="C148" s="4"/>
      <c r="D148" s="91" t="s">
        <v>13</v>
      </c>
      <c r="E148" s="91" t="s">
        <v>53</v>
      </c>
      <c r="F148" s="89">
        <v>935000</v>
      </c>
    </row>
    <row r="149" spans="1:6">
      <c r="A149" s="4"/>
      <c r="B149" s="4"/>
      <c r="C149" s="4"/>
      <c r="D149" s="91" t="s">
        <v>21</v>
      </c>
      <c r="E149" s="91" t="s">
        <v>53</v>
      </c>
      <c r="F149" s="89">
        <v>11000000</v>
      </c>
    </row>
    <row r="150" spans="1:6">
      <c r="A150" s="4"/>
      <c r="B150" s="4"/>
      <c r="C150" s="4"/>
      <c r="D150" s="91" t="s">
        <v>94</v>
      </c>
      <c r="E150" s="91" t="s">
        <v>53</v>
      </c>
      <c r="F150" s="89">
        <v>1200000</v>
      </c>
    </row>
    <row r="151" spans="1:6">
      <c r="A151" s="4"/>
      <c r="B151" s="4"/>
      <c r="C151" s="4"/>
      <c r="D151" s="91" t="s">
        <v>23</v>
      </c>
      <c r="E151" s="91" t="s">
        <v>53</v>
      </c>
      <c r="F151" s="89">
        <v>3493779.375</v>
      </c>
    </row>
    <row r="152" spans="1:6">
      <c r="A152" s="4"/>
      <c r="B152" s="4"/>
      <c r="C152" s="4"/>
      <c r="D152" s="91" t="s">
        <v>26</v>
      </c>
      <c r="E152" s="91" t="s">
        <v>53</v>
      </c>
      <c r="F152" s="89">
        <v>6000000</v>
      </c>
    </row>
    <row r="153" spans="1:6">
      <c r="A153" s="91" t="s">
        <v>152</v>
      </c>
      <c r="B153" s="91" t="s">
        <v>153</v>
      </c>
      <c r="C153" s="91" t="s">
        <v>154</v>
      </c>
      <c r="D153" s="91" t="s">
        <v>155</v>
      </c>
      <c r="E153" s="91" t="s">
        <v>99</v>
      </c>
      <c r="F153" s="89">
        <v>71990000</v>
      </c>
    </row>
    <row r="154" spans="1:6">
      <c r="A154" s="4"/>
      <c r="B154" s="4"/>
      <c r="C154" s="4"/>
      <c r="D154" s="91" t="s">
        <v>58</v>
      </c>
      <c r="E154" s="91" t="s">
        <v>99</v>
      </c>
      <c r="F154" s="89">
        <v>6471193</v>
      </c>
    </row>
    <row r="155" spans="1:6">
      <c r="A155" s="91" t="s">
        <v>156</v>
      </c>
      <c r="B155" s="91" t="s">
        <v>157</v>
      </c>
      <c r="C155" s="91" t="s">
        <v>158</v>
      </c>
      <c r="D155" s="91" t="s">
        <v>18</v>
      </c>
      <c r="E155" s="91" t="s">
        <v>53</v>
      </c>
      <c r="F155" s="89">
        <v>20500000</v>
      </c>
    </row>
    <row r="156" spans="1:6">
      <c r="A156" s="4"/>
      <c r="B156" s="4"/>
      <c r="C156" s="4"/>
      <c r="D156" s="91" t="s">
        <v>13</v>
      </c>
      <c r="E156" s="91" t="s">
        <v>53</v>
      </c>
      <c r="F156" s="89">
        <v>1842500</v>
      </c>
    </row>
    <row r="157" spans="1:6">
      <c r="A157" s="4"/>
      <c r="B157" s="4"/>
      <c r="C157" s="4"/>
      <c r="D157" s="91" t="s">
        <v>21</v>
      </c>
      <c r="E157" s="91" t="s">
        <v>53</v>
      </c>
      <c r="F157" s="89">
        <v>23250000</v>
      </c>
    </row>
    <row r="158" spans="1:6">
      <c r="A158" s="4"/>
      <c r="B158" s="4"/>
      <c r="C158" s="4"/>
      <c r="D158" s="91" t="s">
        <v>44</v>
      </c>
      <c r="E158" s="91" t="s">
        <v>53</v>
      </c>
      <c r="F158" s="89">
        <v>7750000</v>
      </c>
    </row>
    <row r="159" spans="1:6">
      <c r="A159" s="4"/>
      <c r="B159" s="4"/>
      <c r="C159" s="4"/>
      <c r="D159" s="91" t="s">
        <v>94</v>
      </c>
      <c r="E159" s="91" t="s">
        <v>53</v>
      </c>
      <c r="F159" s="89">
        <v>5750000</v>
      </c>
    </row>
    <row r="160" spans="1:6">
      <c r="A160" s="4"/>
      <c r="B160" s="4"/>
      <c r="C160" s="4"/>
      <c r="D160" s="91" t="s">
        <v>30</v>
      </c>
      <c r="E160" s="91" t="s">
        <v>53</v>
      </c>
      <c r="F160" s="89">
        <v>5000000</v>
      </c>
    </row>
    <row r="161" spans="1:6">
      <c r="A161" s="4"/>
      <c r="B161" s="4"/>
      <c r="C161" s="4"/>
      <c r="D161" s="91" t="s">
        <v>26</v>
      </c>
      <c r="E161" s="91" t="s">
        <v>53</v>
      </c>
      <c r="F161" s="89">
        <v>12050000</v>
      </c>
    </row>
    <row r="162" spans="1:6">
      <c r="A162" s="91" t="s">
        <v>159</v>
      </c>
      <c r="B162" s="91" t="s">
        <v>160</v>
      </c>
      <c r="C162" s="91" t="s">
        <v>161</v>
      </c>
      <c r="D162" s="91" t="s">
        <v>9</v>
      </c>
      <c r="E162" s="91" t="s">
        <v>53</v>
      </c>
      <c r="F162" s="89">
        <v>6642000</v>
      </c>
    </row>
    <row r="163" spans="1:6">
      <c r="A163" s="4"/>
      <c r="B163" s="4"/>
      <c r="C163" s="4"/>
      <c r="D163" s="91" t="s">
        <v>21</v>
      </c>
      <c r="E163" s="91" t="s">
        <v>53</v>
      </c>
      <c r="F163" s="89">
        <v>11000000</v>
      </c>
    </row>
    <row r="164" spans="1:6">
      <c r="A164" s="4"/>
      <c r="B164" s="4"/>
      <c r="C164" s="4"/>
      <c r="D164" s="91" t="s">
        <v>44</v>
      </c>
      <c r="E164" s="91" t="s">
        <v>53</v>
      </c>
      <c r="F164" s="89">
        <v>7250000</v>
      </c>
    </row>
    <row r="165" spans="1:6">
      <c r="A165" s="4"/>
      <c r="B165" s="4"/>
      <c r="C165" s="4"/>
      <c r="D165" s="91" t="s">
        <v>22</v>
      </c>
      <c r="E165" s="91" t="s">
        <v>53</v>
      </c>
      <c r="F165" s="89">
        <v>10500000</v>
      </c>
    </row>
    <row r="166" spans="1:6">
      <c r="A166" s="4"/>
      <c r="B166" s="4"/>
      <c r="C166" s="4"/>
      <c r="D166" s="91" t="s">
        <v>45</v>
      </c>
      <c r="E166" s="91" t="s">
        <v>53</v>
      </c>
      <c r="F166" s="89">
        <v>6146100</v>
      </c>
    </row>
    <row r="167" spans="1:6">
      <c r="A167" s="91" t="s">
        <v>162</v>
      </c>
      <c r="B167" s="91" t="s">
        <v>163</v>
      </c>
      <c r="C167" s="91" t="s">
        <v>48</v>
      </c>
      <c r="D167" s="91" t="s">
        <v>49</v>
      </c>
      <c r="E167" s="91" t="s">
        <v>50</v>
      </c>
      <c r="F167" s="89">
        <v>4476431</v>
      </c>
    </row>
    <row r="168" spans="1:6">
      <c r="A168" s="4"/>
      <c r="B168" s="4"/>
      <c r="C168" s="4"/>
      <c r="D168" s="91" t="s">
        <v>33</v>
      </c>
      <c r="E168" s="91" t="s">
        <v>50</v>
      </c>
      <c r="F168" s="89">
        <v>2952874</v>
      </c>
    </row>
    <row r="169" spans="1:6">
      <c r="A169" s="4"/>
      <c r="B169" s="4"/>
      <c r="C169" s="91" t="s">
        <v>136</v>
      </c>
      <c r="D169" s="91" t="s">
        <v>33</v>
      </c>
      <c r="E169" s="91" t="s">
        <v>50</v>
      </c>
      <c r="F169" s="89">
        <v>4230488</v>
      </c>
    </row>
    <row r="170" spans="1:6">
      <c r="A170" s="4"/>
      <c r="B170" s="4"/>
      <c r="C170" s="91" t="s">
        <v>51</v>
      </c>
      <c r="D170" s="91" t="s">
        <v>49</v>
      </c>
      <c r="E170" s="91" t="s">
        <v>50</v>
      </c>
      <c r="F170" s="89">
        <v>2749483</v>
      </c>
    </row>
    <row r="171" spans="1:6">
      <c r="A171" s="4"/>
      <c r="B171" s="4"/>
      <c r="C171" s="4"/>
      <c r="D171" s="91" t="s">
        <v>33</v>
      </c>
      <c r="E171" s="91" t="s">
        <v>50</v>
      </c>
      <c r="F171" s="89">
        <v>5107815</v>
      </c>
    </row>
    <row r="172" spans="1:6">
      <c r="A172" s="4"/>
      <c r="B172" s="4"/>
      <c r="C172" s="91" t="s">
        <v>164</v>
      </c>
      <c r="D172" s="91" t="s">
        <v>33</v>
      </c>
      <c r="E172" s="91" t="s">
        <v>50</v>
      </c>
      <c r="F172" s="89">
        <v>3301302</v>
      </c>
    </row>
    <row r="173" spans="1:6">
      <c r="A173" s="4"/>
      <c r="B173" s="4"/>
      <c r="C173" s="91" t="s">
        <v>52</v>
      </c>
      <c r="D173" s="91" t="s">
        <v>116</v>
      </c>
      <c r="E173" s="91" t="s">
        <v>53</v>
      </c>
      <c r="F173" s="89">
        <v>2500000</v>
      </c>
    </row>
    <row r="174" spans="1:6">
      <c r="A174" s="4"/>
      <c r="B174" s="4"/>
      <c r="C174" s="4"/>
      <c r="D174" s="91" t="s">
        <v>33</v>
      </c>
      <c r="E174" s="91" t="s">
        <v>53</v>
      </c>
      <c r="F174" s="89">
        <v>8018843</v>
      </c>
    </row>
    <row r="175" spans="1:6">
      <c r="A175" s="4"/>
      <c r="B175" s="4"/>
      <c r="C175" s="91" t="s">
        <v>81</v>
      </c>
      <c r="D175" s="91" t="s">
        <v>33</v>
      </c>
      <c r="E175" s="91" t="s">
        <v>50</v>
      </c>
      <c r="F175" s="89">
        <v>195548</v>
      </c>
    </row>
    <row r="176" spans="1:6">
      <c r="A176" s="4"/>
      <c r="B176" s="4"/>
      <c r="C176" s="91" t="s">
        <v>127</v>
      </c>
      <c r="D176" s="91" t="s">
        <v>33</v>
      </c>
      <c r="E176" s="91" t="s">
        <v>53</v>
      </c>
      <c r="F176" s="89">
        <v>5030487</v>
      </c>
    </row>
    <row r="177" spans="1:6">
      <c r="A177" s="4"/>
      <c r="B177" s="4"/>
      <c r="C177" s="91" t="s">
        <v>165</v>
      </c>
      <c r="D177" s="91" t="s">
        <v>33</v>
      </c>
      <c r="E177" s="91" t="s">
        <v>19</v>
      </c>
      <c r="F177" s="89">
        <v>18003703</v>
      </c>
    </row>
    <row r="178" spans="1:6">
      <c r="A178" s="4"/>
      <c r="B178" s="4"/>
      <c r="C178" s="4"/>
      <c r="D178" s="91" t="s">
        <v>54</v>
      </c>
      <c r="E178" s="91" t="s">
        <v>19</v>
      </c>
      <c r="F178" s="89">
        <v>5878000</v>
      </c>
    </row>
    <row r="179" spans="1:6">
      <c r="A179" s="91" t="s">
        <v>166</v>
      </c>
      <c r="B179" s="91" t="s">
        <v>167</v>
      </c>
      <c r="C179" s="91" t="s">
        <v>72</v>
      </c>
      <c r="D179" s="91" t="s">
        <v>18</v>
      </c>
      <c r="E179" s="91" t="s">
        <v>31</v>
      </c>
      <c r="F179" s="89">
        <v>8500000</v>
      </c>
    </row>
    <row r="180" spans="1:6">
      <c r="A180" s="4"/>
      <c r="B180" s="4"/>
      <c r="C180" s="4"/>
      <c r="D180" s="91" t="s">
        <v>30</v>
      </c>
      <c r="E180" s="91" t="s">
        <v>31</v>
      </c>
      <c r="F180" s="89">
        <v>12000000</v>
      </c>
    </row>
    <row r="181" spans="1:6">
      <c r="A181" s="4"/>
      <c r="B181" s="4"/>
      <c r="C181" s="4"/>
      <c r="D181" s="91" t="s">
        <v>73</v>
      </c>
      <c r="E181" s="91" t="s">
        <v>31</v>
      </c>
      <c r="F181" s="89">
        <v>9000000</v>
      </c>
    </row>
    <row r="182" spans="1:6">
      <c r="A182" s="4"/>
      <c r="B182" s="4"/>
      <c r="C182" s="4"/>
      <c r="D182" s="91" t="s">
        <v>32</v>
      </c>
      <c r="E182" s="91" t="s">
        <v>31</v>
      </c>
      <c r="F182" s="89">
        <v>38550000</v>
      </c>
    </row>
    <row r="183" spans="1:6">
      <c r="A183" s="91" t="s">
        <v>168</v>
      </c>
      <c r="B183" s="91" t="s">
        <v>169</v>
      </c>
      <c r="C183" s="91" t="s">
        <v>170</v>
      </c>
      <c r="D183" s="91" t="s">
        <v>13</v>
      </c>
      <c r="E183" s="91" t="s">
        <v>53</v>
      </c>
      <c r="F183" s="89">
        <v>5280000</v>
      </c>
    </row>
    <row r="184" spans="1:6">
      <c r="A184" s="4"/>
      <c r="B184" s="4"/>
      <c r="C184" s="4"/>
      <c r="D184" s="91" t="s">
        <v>20</v>
      </c>
      <c r="E184" s="91" t="s">
        <v>53</v>
      </c>
      <c r="F184" s="89">
        <v>2000000</v>
      </c>
    </row>
    <row r="185" spans="1:6">
      <c r="A185" s="4"/>
      <c r="B185" s="4"/>
      <c r="C185" s="4"/>
      <c r="D185" s="91" t="s">
        <v>21</v>
      </c>
      <c r="E185" s="91" t="s">
        <v>53</v>
      </c>
      <c r="F185" s="89">
        <v>48897500</v>
      </c>
    </row>
    <row r="186" spans="1:6">
      <c r="A186" s="4"/>
      <c r="B186" s="4"/>
      <c r="C186" s="4"/>
      <c r="D186" s="91" t="s">
        <v>22</v>
      </c>
      <c r="E186" s="91" t="s">
        <v>53</v>
      </c>
      <c r="F186" s="89">
        <v>9750000</v>
      </c>
    </row>
    <row r="187" spans="1:6">
      <c r="A187" s="4"/>
      <c r="B187" s="4"/>
      <c r="C187" s="4"/>
      <c r="D187" s="91" t="s">
        <v>23</v>
      </c>
      <c r="E187" s="91" t="s">
        <v>53</v>
      </c>
      <c r="F187" s="89">
        <v>1098875</v>
      </c>
    </row>
    <row r="188" spans="1:6">
      <c r="A188" s="4"/>
      <c r="B188" s="4"/>
      <c r="C188" s="4"/>
      <c r="D188" s="91" t="s">
        <v>24</v>
      </c>
      <c r="E188" s="91" t="s">
        <v>53</v>
      </c>
      <c r="F188" s="89">
        <v>13500000</v>
      </c>
    </row>
    <row r="189" spans="1:6">
      <c r="A189" s="4"/>
      <c r="B189" s="4"/>
      <c r="C189" s="4"/>
      <c r="D189" s="91" t="s">
        <v>142</v>
      </c>
      <c r="E189" s="91" t="s">
        <v>53</v>
      </c>
      <c r="F189" s="89">
        <v>6378000</v>
      </c>
    </row>
    <row r="190" spans="1:6">
      <c r="A190" s="4"/>
      <c r="B190" s="4"/>
      <c r="C190" s="4"/>
      <c r="D190" s="91" t="s">
        <v>26</v>
      </c>
      <c r="E190" s="91" t="s">
        <v>53</v>
      </c>
      <c r="F190" s="89">
        <v>1750000</v>
      </c>
    </row>
    <row r="191" spans="1:6">
      <c r="A191" s="4"/>
      <c r="B191" s="4"/>
      <c r="C191" s="4"/>
      <c r="D191" s="91" t="s">
        <v>171</v>
      </c>
      <c r="E191" s="91" t="s">
        <v>53</v>
      </c>
      <c r="F191" s="89">
        <v>6500000</v>
      </c>
    </row>
    <row r="192" spans="1:6">
      <c r="A192" s="4"/>
      <c r="B192" s="4"/>
      <c r="C192" s="4"/>
      <c r="D192" s="91" t="s">
        <v>98</v>
      </c>
      <c r="E192" s="91" t="s">
        <v>53</v>
      </c>
      <c r="F192" s="89">
        <v>4250000</v>
      </c>
    </row>
    <row r="193" spans="1:6">
      <c r="A193" s="4"/>
      <c r="B193" s="4"/>
      <c r="C193" s="4"/>
      <c r="D193" s="91" t="s">
        <v>92</v>
      </c>
      <c r="E193" s="91" t="s">
        <v>53</v>
      </c>
      <c r="F193" s="89">
        <v>2750000</v>
      </c>
    </row>
    <row r="194" spans="1:6">
      <c r="A194" s="91" t="s">
        <v>172</v>
      </c>
      <c r="B194" s="91" t="s">
        <v>173</v>
      </c>
      <c r="C194" s="91" t="s">
        <v>103</v>
      </c>
      <c r="D194" s="91" t="s">
        <v>18</v>
      </c>
      <c r="E194" s="91" t="s">
        <v>43</v>
      </c>
      <c r="F194" s="89">
        <v>1950000</v>
      </c>
    </row>
    <row r="195" spans="1:6">
      <c r="A195" s="4"/>
      <c r="B195" s="4"/>
      <c r="C195" s="4"/>
      <c r="D195" s="91" t="s">
        <v>13</v>
      </c>
      <c r="E195" s="91" t="s">
        <v>43</v>
      </c>
      <c r="F195" s="89">
        <v>17793957.5</v>
      </c>
    </row>
    <row r="196" spans="1:6">
      <c r="A196" s="4"/>
      <c r="B196" s="4"/>
      <c r="C196" s="4"/>
      <c r="D196" s="91" t="s">
        <v>20</v>
      </c>
      <c r="E196" s="91" t="s">
        <v>43</v>
      </c>
      <c r="F196" s="89">
        <v>1500000</v>
      </c>
    </row>
    <row r="197" spans="1:6">
      <c r="A197" s="4"/>
      <c r="B197" s="4"/>
      <c r="C197" s="4"/>
      <c r="D197" s="91" t="s">
        <v>21</v>
      </c>
      <c r="E197" s="91" t="s">
        <v>43</v>
      </c>
      <c r="F197" s="89">
        <v>45250000</v>
      </c>
    </row>
    <row r="198" spans="1:6">
      <c r="A198" s="4"/>
      <c r="B198" s="4"/>
      <c r="C198" s="4"/>
      <c r="D198" s="91" t="s">
        <v>94</v>
      </c>
      <c r="E198" s="91" t="s">
        <v>43</v>
      </c>
      <c r="F198" s="89">
        <v>2850000</v>
      </c>
    </row>
    <row r="199" spans="1:6">
      <c r="A199" s="4"/>
      <c r="B199" s="4"/>
      <c r="C199" s="4"/>
      <c r="D199" s="91" t="s">
        <v>143</v>
      </c>
      <c r="E199" s="91" t="s">
        <v>43</v>
      </c>
      <c r="F199" s="89">
        <v>850000</v>
      </c>
    </row>
    <row r="200" spans="1:6">
      <c r="A200" s="4"/>
      <c r="B200" s="4"/>
      <c r="C200" s="4"/>
      <c r="D200" s="91" t="s">
        <v>26</v>
      </c>
      <c r="E200" s="91" t="s">
        <v>43</v>
      </c>
      <c r="F200" s="89">
        <v>7500000</v>
      </c>
    </row>
    <row r="201" spans="1:6">
      <c r="A201" s="4"/>
      <c r="B201" s="4"/>
      <c r="C201" s="4"/>
      <c r="D201" s="91" t="s">
        <v>98</v>
      </c>
      <c r="E201" s="91" t="s">
        <v>43</v>
      </c>
      <c r="F201" s="89">
        <v>5000000</v>
      </c>
    </row>
    <row r="202" spans="1:6">
      <c r="A202" s="4"/>
      <c r="B202" s="4"/>
      <c r="C202" s="4"/>
      <c r="D202" s="91" t="s">
        <v>104</v>
      </c>
      <c r="E202" s="91" t="s">
        <v>43</v>
      </c>
      <c r="F202" s="89">
        <v>9500000</v>
      </c>
    </row>
    <row r="203" spans="1:6">
      <c r="A203" s="91" t="s">
        <v>174</v>
      </c>
      <c r="B203" s="91" t="s">
        <v>175</v>
      </c>
      <c r="C203" s="91" t="s">
        <v>176</v>
      </c>
      <c r="D203" s="91" t="s">
        <v>26</v>
      </c>
      <c r="E203" s="91" t="s">
        <v>53</v>
      </c>
      <c r="F203" s="89">
        <v>650000</v>
      </c>
    </row>
    <row r="204" spans="1:6">
      <c r="A204" s="4"/>
      <c r="B204" s="4"/>
      <c r="C204" s="91" t="s">
        <v>177</v>
      </c>
      <c r="D204" s="91" t="s">
        <v>13</v>
      </c>
      <c r="E204" s="91" t="s">
        <v>135</v>
      </c>
      <c r="F204" s="89">
        <v>737000</v>
      </c>
    </row>
    <row r="205" spans="1:6">
      <c r="A205" s="4"/>
      <c r="B205" s="4"/>
      <c r="C205" s="4"/>
      <c r="D205" s="91" t="s">
        <v>171</v>
      </c>
      <c r="E205" s="91" t="s">
        <v>135</v>
      </c>
      <c r="F205" s="89">
        <v>600000</v>
      </c>
    </row>
    <row r="206" spans="1:6">
      <c r="A206" s="4"/>
      <c r="B206" s="4"/>
      <c r="C206" s="4"/>
      <c r="D206" s="91" t="s">
        <v>155</v>
      </c>
      <c r="E206" s="91" t="s">
        <v>135</v>
      </c>
      <c r="F206" s="89">
        <v>11030000</v>
      </c>
    </row>
    <row r="207" spans="1:6">
      <c r="A207" s="4"/>
      <c r="B207" s="4"/>
      <c r="C207" s="4"/>
      <c r="D207" s="91" t="s">
        <v>58</v>
      </c>
      <c r="E207" s="91" t="s">
        <v>135</v>
      </c>
      <c r="F207" s="89">
        <v>31050378.5</v>
      </c>
    </row>
    <row r="208" spans="1:6">
      <c r="A208" s="91" t="s">
        <v>178</v>
      </c>
      <c r="B208" s="91" t="s">
        <v>179</v>
      </c>
      <c r="C208" s="91" t="s">
        <v>180</v>
      </c>
      <c r="D208" s="91" t="s">
        <v>39</v>
      </c>
      <c r="E208" s="91" t="s">
        <v>31</v>
      </c>
      <c r="F208" s="89">
        <v>31441000</v>
      </c>
    </row>
    <row r="209" spans="1:6">
      <c r="A209" s="4"/>
      <c r="B209" s="4"/>
      <c r="C209" s="4"/>
      <c r="D209" s="91" t="s">
        <v>73</v>
      </c>
      <c r="E209" s="91" t="s">
        <v>31</v>
      </c>
      <c r="F209" s="89">
        <v>9000000</v>
      </c>
    </row>
    <row r="210" spans="1:6">
      <c r="A210" s="4"/>
      <c r="B210" s="4"/>
      <c r="C210" s="4"/>
      <c r="D210" s="91" t="s">
        <v>32</v>
      </c>
      <c r="E210" s="91" t="s">
        <v>31</v>
      </c>
      <c r="F210" s="89">
        <v>37000000</v>
      </c>
    </row>
    <row r="211" spans="1:6">
      <c r="A211" s="4"/>
      <c r="B211" s="4"/>
      <c r="C211" s="4"/>
      <c r="D211" s="91" t="s">
        <v>33</v>
      </c>
      <c r="E211" s="91" t="s">
        <v>31</v>
      </c>
      <c r="F211" s="89">
        <v>28177000</v>
      </c>
    </row>
    <row r="212" spans="1:6">
      <c r="A212" s="91" t="s">
        <v>181</v>
      </c>
      <c r="B212" s="91" t="s">
        <v>182</v>
      </c>
      <c r="C212" s="91" t="s">
        <v>103</v>
      </c>
      <c r="D212" s="91" t="s">
        <v>13</v>
      </c>
      <c r="E212" s="91" t="s">
        <v>43</v>
      </c>
      <c r="F212" s="89">
        <v>14493957.5</v>
      </c>
    </row>
    <row r="213" spans="1:6">
      <c r="A213" s="4"/>
      <c r="B213" s="4"/>
      <c r="C213" s="4"/>
      <c r="D213" s="91" t="s">
        <v>20</v>
      </c>
      <c r="E213" s="91" t="s">
        <v>43</v>
      </c>
      <c r="F213" s="89">
        <v>1500000</v>
      </c>
    </row>
    <row r="214" spans="1:6">
      <c r="A214" s="4"/>
      <c r="B214" s="4"/>
      <c r="C214" s="4"/>
      <c r="D214" s="91" t="s">
        <v>21</v>
      </c>
      <c r="E214" s="91" t="s">
        <v>43</v>
      </c>
      <c r="F214" s="89">
        <v>34250000</v>
      </c>
    </row>
    <row r="215" spans="1:6">
      <c r="A215" s="4"/>
      <c r="B215" s="4"/>
      <c r="C215" s="4"/>
      <c r="D215" s="91" t="s">
        <v>94</v>
      </c>
      <c r="E215" s="91" t="s">
        <v>43</v>
      </c>
      <c r="F215" s="89">
        <v>2850000</v>
      </c>
    </row>
    <row r="216" spans="1:6">
      <c r="A216" s="4"/>
      <c r="B216" s="4"/>
      <c r="C216" s="4"/>
      <c r="D216" s="91" t="s">
        <v>143</v>
      </c>
      <c r="E216" s="91" t="s">
        <v>43</v>
      </c>
      <c r="F216" s="89">
        <v>850000</v>
      </c>
    </row>
    <row r="217" spans="1:6">
      <c r="A217" s="4"/>
      <c r="B217" s="4"/>
      <c r="C217" s="4"/>
      <c r="D217" s="91" t="s">
        <v>26</v>
      </c>
      <c r="E217" s="91" t="s">
        <v>43</v>
      </c>
      <c r="F217" s="89">
        <v>5250000</v>
      </c>
    </row>
    <row r="218" spans="1:6">
      <c r="A218" s="91" t="s">
        <v>183</v>
      </c>
      <c r="B218" s="91" t="s">
        <v>184</v>
      </c>
      <c r="C218" s="91" t="s">
        <v>69</v>
      </c>
      <c r="D218" s="91" t="s">
        <v>30</v>
      </c>
      <c r="E218" s="91" t="s">
        <v>31</v>
      </c>
      <c r="F218" s="89">
        <v>12000000</v>
      </c>
    </row>
    <row r="219" spans="1:6">
      <c r="A219" s="4"/>
      <c r="B219" s="4"/>
      <c r="C219" s="4"/>
      <c r="D219" s="91" t="s">
        <v>39</v>
      </c>
      <c r="E219" s="91" t="s">
        <v>31</v>
      </c>
      <c r="F219" s="89">
        <v>31441000</v>
      </c>
    </row>
    <row r="220" spans="1:6">
      <c r="A220" s="4"/>
      <c r="B220" s="4"/>
      <c r="C220" s="4"/>
      <c r="D220" s="91" t="s">
        <v>63</v>
      </c>
      <c r="E220" s="91" t="s">
        <v>31</v>
      </c>
      <c r="F220" s="89">
        <v>12000000</v>
      </c>
    </row>
    <row r="221" spans="1:6">
      <c r="A221" s="91" t="s">
        <v>185</v>
      </c>
      <c r="B221" s="91" t="s">
        <v>186</v>
      </c>
      <c r="C221" s="91" t="s">
        <v>29</v>
      </c>
      <c r="D221" s="91" t="s">
        <v>30</v>
      </c>
      <c r="E221" s="91" t="s">
        <v>31</v>
      </c>
      <c r="F221" s="89">
        <v>13000000</v>
      </c>
    </row>
    <row r="222" spans="1:6">
      <c r="A222" s="4"/>
      <c r="B222" s="4"/>
      <c r="C222" s="4"/>
      <c r="D222" s="91" t="s">
        <v>32</v>
      </c>
      <c r="E222" s="91" t="s">
        <v>31</v>
      </c>
      <c r="F222" s="89">
        <v>79000000</v>
      </c>
    </row>
    <row r="223" spans="1:6">
      <c r="A223" s="4"/>
      <c r="B223" s="4"/>
      <c r="C223" s="4"/>
      <c r="D223" s="91" t="s">
        <v>33</v>
      </c>
      <c r="E223" s="91" t="s">
        <v>31</v>
      </c>
      <c r="F223" s="89">
        <v>19693206</v>
      </c>
    </row>
    <row r="224" spans="1:6">
      <c r="A224" s="4"/>
      <c r="B224" s="4"/>
      <c r="C224" s="4"/>
      <c r="D224" s="91" t="s">
        <v>34</v>
      </c>
      <c r="E224" s="91" t="s">
        <v>31</v>
      </c>
      <c r="F224" s="89">
        <v>12500000</v>
      </c>
    </row>
    <row r="225" spans="1:6">
      <c r="A225" s="91" t="s">
        <v>187</v>
      </c>
      <c r="B225" s="91" t="s">
        <v>188</v>
      </c>
      <c r="C225" s="91" t="s">
        <v>124</v>
      </c>
      <c r="D225" s="91" t="s">
        <v>30</v>
      </c>
      <c r="E225" s="91" t="s">
        <v>31</v>
      </c>
      <c r="F225" s="89">
        <v>27500000</v>
      </c>
    </row>
    <row r="226" spans="1:6">
      <c r="A226" s="4"/>
      <c r="B226" s="4"/>
      <c r="C226" s="4"/>
      <c r="D226" s="91" t="s">
        <v>32</v>
      </c>
      <c r="E226" s="91" t="s">
        <v>31</v>
      </c>
      <c r="F226" s="89">
        <v>37500000</v>
      </c>
    </row>
    <row r="227" spans="1:6">
      <c r="A227" s="91" t="s">
        <v>189</v>
      </c>
      <c r="B227" s="91" t="s">
        <v>190</v>
      </c>
      <c r="C227" s="91" t="s">
        <v>191</v>
      </c>
      <c r="D227" s="91" t="s">
        <v>33</v>
      </c>
      <c r="E227" s="91" t="s">
        <v>53</v>
      </c>
      <c r="F227" s="89">
        <v>57957448</v>
      </c>
    </row>
    <row r="228" spans="1:6">
      <c r="A228" s="91" t="s">
        <v>192</v>
      </c>
      <c r="B228" s="91" t="s">
        <v>193</v>
      </c>
      <c r="C228" s="91" t="s">
        <v>176</v>
      </c>
      <c r="D228" s="91" t="s">
        <v>18</v>
      </c>
      <c r="E228" s="91" t="s">
        <v>53</v>
      </c>
      <c r="F228" s="89">
        <v>2500000</v>
      </c>
    </row>
    <row r="229" spans="1:6">
      <c r="A229" s="4"/>
      <c r="B229" s="4"/>
      <c r="C229" s="4"/>
      <c r="D229" s="91" t="s">
        <v>13</v>
      </c>
      <c r="E229" s="91" t="s">
        <v>53</v>
      </c>
      <c r="F229" s="89">
        <v>8140000</v>
      </c>
    </row>
    <row r="230" spans="1:6">
      <c r="A230" s="4"/>
      <c r="B230" s="4"/>
      <c r="C230" s="4"/>
      <c r="D230" s="91" t="s">
        <v>21</v>
      </c>
      <c r="E230" s="91" t="s">
        <v>53</v>
      </c>
      <c r="F230" s="89">
        <v>38000000</v>
      </c>
    </row>
    <row r="231" spans="1:6">
      <c r="A231" s="4"/>
      <c r="B231" s="4"/>
      <c r="C231" s="4"/>
      <c r="D231" s="91" t="s">
        <v>194</v>
      </c>
      <c r="E231" s="91" t="s">
        <v>53</v>
      </c>
      <c r="F231" s="89">
        <v>3347300</v>
      </c>
    </row>
    <row r="232" spans="1:6">
      <c r="A232" s="4"/>
      <c r="B232" s="4"/>
      <c r="C232" s="4"/>
      <c r="D232" s="91" t="s">
        <v>94</v>
      </c>
      <c r="E232" s="91" t="s">
        <v>53</v>
      </c>
      <c r="F232" s="89">
        <v>1850000</v>
      </c>
    </row>
    <row r="233" spans="1:6">
      <c r="A233" s="4"/>
      <c r="B233" s="4"/>
      <c r="C233" s="4"/>
      <c r="D233" s="91" t="s">
        <v>23</v>
      </c>
      <c r="E233" s="91" t="s">
        <v>53</v>
      </c>
      <c r="F233" s="89">
        <v>5701828.75</v>
      </c>
    </row>
    <row r="234" spans="1:6">
      <c r="A234" s="4"/>
      <c r="B234" s="4"/>
      <c r="C234" s="4"/>
      <c r="D234" s="91" t="s">
        <v>24</v>
      </c>
      <c r="E234" s="91" t="s">
        <v>53</v>
      </c>
      <c r="F234" s="89">
        <v>2030000</v>
      </c>
    </row>
    <row r="235" spans="1:6">
      <c r="A235" s="4"/>
      <c r="B235" s="4"/>
      <c r="C235" s="4"/>
      <c r="D235" s="91" t="s">
        <v>143</v>
      </c>
      <c r="E235" s="91" t="s">
        <v>53</v>
      </c>
      <c r="F235" s="89">
        <v>1000000</v>
      </c>
    </row>
    <row r="236" spans="1:6">
      <c r="A236" s="4"/>
      <c r="B236" s="4"/>
      <c r="C236" s="4"/>
      <c r="D236" s="91" t="s">
        <v>26</v>
      </c>
      <c r="E236" s="91" t="s">
        <v>53</v>
      </c>
      <c r="F236" s="89">
        <v>24250000</v>
      </c>
    </row>
    <row r="237" spans="1:6">
      <c r="A237" s="4"/>
      <c r="B237" s="4"/>
      <c r="C237" s="4"/>
      <c r="D237" s="91" t="s">
        <v>98</v>
      </c>
      <c r="E237" s="91" t="s">
        <v>53</v>
      </c>
      <c r="F237" s="89">
        <v>3000000</v>
      </c>
    </row>
    <row r="238" spans="1:6">
      <c r="A238" s="91" t="s">
        <v>195</v>
      </c>
      <c r="B238" s="91" t="s">
        <v>196</v>
      </c>
      <c r="C238" s="91" t="s">
        <v>197</v>
      </c>
      <c r="D238" s="91" t="s">
        <v>49</v>
      </c>
      <c r="E238" s="91" t="s">
        <v>53</v>
      </c>
      <c r="F238" s="89">
        <v>2032698</v>
      </c>
    </row>
    <row r="239" spans="1:6">
      <c r="A239" s="4"/>
      <c r="B239" s="4"/>
      <c r="C239" s="4"/>
      <c r="D239" s="91" t="s">
        <v>33</v>
      </c>
      <c r="E239" s="91" t="s">
        <v>53</v>
      </c>
      <c r="F239" s="89">
        <v>43750441</v>
      </c>
    </row>
    <row r="240" spans="1:6">
      <c r="A240" s="91" t="s">
        <v>198</v>
      </c>
      <c r="B240" s="91" t="s">
        <v>199</v>
      </c>
      <c r="C240" s="91" t="s">
        <v>200</v>
      </c>
      <c r="D240" s="91" t="s">
        <v>18</v>
      </c>
      <c r="E240" s="91" t="s">
        <v>31</v>
      </c>
      <c r="F240" s="89">
        <v>10000000</v>
      </c>
    </row>
    <row r="241" spans="1:6">
      <c r="A241" s="4"/>
      <c r="B241" s="4"/>
      <c r="C241" s="4"/>
      <c r="D241" s="91" t="s">
        <v>24</v>
      </c>
      <c r="E241" s="91" t="s">
        <v>31</v>
      </c>
      <c r="F241" s="89">
        <v>6000000</v>
      </c>
    </row>
    <row r="242" spans="1:6">
      <c r="A242" s="4"/>
      <c r="B242" s="4"/>
      <c r="C242" s="4"/>
      <c r="D242" s="91" t="s">
        <v>32</v>
      </c>
      <c r="E242" s="91" t="s">
        <v>31</v>
      </c>
      <c r="F242" s="89">
        <v>38650000</v>
      </c>
    </row>
    <row r="243" spans="1:6">
      <c r="A243" s="4"/>
      <c r="B243" s="4"/>
      <c r="C243" s="4"/>
      <c r="D243" s="91" t="s">
        <v>34</v>
      </c>
      <c r="E243" s="91" t="s">
        <v>31</v>
      </c>
      <c r="F243" s="89">
        <v>12500000</v>
      </c>
    </row>
    <row r="244" spans="1:6">
      <c r="A244" s="91" t="s">
        <v>201</v>
      </c>
      <c r="B244" s="91" t="s">
        <v>202</v>
      </c>
      <c r="C244" s="91" t="s">
        <v>180</v>
      </c>
      <c r="D244" s="91" t="s">
        <v>39</v>
      </c>
      <c r="E244" s="91" t="s">
        <v>31</v>
      </c>
      <c r="F244" s="89">
        <v>31441000</v>
      </c>
    </row>
    <row r="245" spans="1:6">
      <c r="A245" s="4"/>
      <c r="B245" s="4"/>
      <c r="C245" s="4"/>
      <c r="D245" s="91" t="s">
        <v>73</v>
      </c>
      <c r="E245" s="91" t="s">
        <v>31</v>
      </c>
      <c r="F245" s="89">
        <v>9000000</v>
      </c>
    </row>
    <row r="246" spans="1:6">
      <c r="A246" s="4"/>
      <c r="B246" s="4"/>
      <c r="C246" s="4"/>
      <c r="D246" s="91" t="s">
        <v>32</v>
      </c>
      <c r="E246" s="91" t="s">
        <v>31</v>
      </c>
      <c r="F246" s="89">
        <v>37000000</v>
      </c>
    </row>
    <row r="247" spans="1:6">
      <c r="A247" s="4"/>
      <c r="B247" s="4"/>
      <c r="C247" s="4"/>
      <c r="D247" s="91" t="s">
        <v>33</v>
      </c>
      <c r="E247" s="91" t="s">
        <v>31</v>
      </c>
      <c r="F247" s="89">
        <v>28177000</v>
      </c>
    </row>
    <row r="248" spans="1:6">
      <c r="A248" s="91" t="s">
        <v>203</v>
      </c>
      <c r="B248" s="91" t="s">
        <v>204</v>
      </c>
      <c r="C248" s="91" t="s">
        <v>205</v>
      </c>
      <c r="D248" s="91" t="s">
        <v>21</v>
      </c>
      <c r="E248" s="91" t="s">
        <v>53</v>
      </c>
      <c r="F248" s="89">
        <v>9750000</v>
      </c>
    </row>
    <row r="249" spans="1:6">
      <c r="A249" s="4"/>
      <c r="B249" s="4"/>
      <c r="C249" s="91" t="s">
        <v>170</v>
      </c>
      <c r="D249" s="91" t="s">
        <v>13</v>
      </c>
      <c r="E249" s="91" t="s">
        <v>53</v>
      </c>
      <c r="F249" s="89">
        <v>5280000</v>
      </c>
    </row>
    <row r="250" spans="1:6">
      <c r="A250" s="4"/>
      <c r="B250" s="4"/>
      <c r="C250" s="4"/>
      <c r="D250" s="91" t="s">
        <v>20</v>
      </c>
      <c r="E250" s="91" t="s">
        <v>53</v>
      </c>
      <c r="F250" s="89">
        <v>2000000</v>
      </c>
    </row>
    <row r="251" spans="1:6">
      <c r="A251" s="4"/>
      <c r="B251" s="4"/>
      <c r="C251" s="4"/>
      <c r="D251" s="91" t="s">
        <v>21</v>
      </c>
      <c r="E251" s="91" t="s">
        <v>53</v>
      </c>
      <c r="F251" s="89">
        <v>34250000</v>
      </c>
    </row>
    <row r="252" spans="1:6">
      <c r="A252" s="4"/>
      <c r="B252" s="4"/>
      <c r="C252" s="4"/>
      <c r="D252" s="91" t="s">
        <v>22</v>
      </c>
      <c r="E252" s="91" t="s">
        <v>53</v>
      </c>
      <c r="F252" s="89">
        <v>9750000</v>
      </c>
    </row>
    <row r="253" spans="1:6">
      <c r="A253" s="4"/>
      <c r="B253" s="4"/>
      <c r="C253" s="4"/>
      <c r="D253" s="91" t="s">
        <v>23</v>
      </c>
      <c r="E253" s="91" t="s">
        <v>53</v>
      </c>
      <c r="F253" s="89">
        <v>1098875</v>
      </c>
    </row>
    <row r="254" spans="1:6">
      <c r="A254" s="4"/>
      <c r="B254" s="4"/>
      <c r="C254" s="4"/>
      <c r="D254" s="91" t="s">
        <v>24</v>
      </c>
      <c r="E254" s="91" t="s">
        <v>53</v>
      </c>
      <c r="F254" s="89">
        <v>13500000</v>
      </c>
    </row>
    <row r="255" spans="1:6">
      <c r="A255" s="4"/>
      <c r="B255" s="4"/>
      <c r="C255" s="4"/>
      <c r="D255" s="91" t="s">
        <v>142</v>
      </c>
      <c r="E255" s="91" t="s">
        <v>53</v>
      </c>
      <c r="F255" s="89">
        <v>6378000</v>
      </c>
    </row>
    <row r="256" spans="1:6">
      <c r="A256" s="4"/>
      <c r="B256" s="4"/>
      <c r="C256" s="4"/>
      <c r="D256" s="91" t="s">
        <v>171</v>
      </c>
      <c r="E256" s="91" t="s">
        <v>53</v>
      </c>
      <c r="F256" s="89">
        <v>6500000</v>
      </c>
    </row>
    <row r="257" spans="1:6">
      <c r="A257" s="4"/>
      <c r="B257" s="4"/>
      <c r="C257" s="4"/>
      <c r="D257" s="91" t="s">
        <v>92</v>
      </c>
      <c r="E257" s="91" t="s">
        <v>53</v>
      </c>
      <c r="F257" s="89">
        <v>2750000</v>
      </c>
    </row>
    <row r="258" spans="1:6">
      <c r="A258" s="91" t="s">
        <v>206</v>
      </c>
      <c r="B258" s="91" t="s">
        <v>207</v>
      </c>
      <c r="C258" s="91" t="s">
        <v>208</v>
      </c>
      <c r="D258" s="91" t="s">
        <v>18</v>
      </c>
      <c r="E258" s="91" t="s">
        <v>19</v>
      </c>
      <c r="F258" s="89">
        <v>1000000</v>
      </c>
    </row>
    <row r="259" spans="1:6">
      <c r="A259" s="4"/>
      <c r="B259" s="4"/>
      <c r="C259" s="4"/>
      <c r="D259" s="91" t="s">
        <v>21</v>
      </c>
      <c r="E259" s="91" t="s">
        <v>19</v>
      </c>
      <c r="F259" s="89">
        <v>22000000</v>
      </c>
    </row>
    <row r="260" spans="1:6">
      <c r="A260" s="4"/>
      <c r="B260" s="4"/>
      <c r="C260" s="4"/>
      <c r="D260" s="91" t="s">
        <v>98</v>
      </c>
      <c r="E260" s="91" t="s">
        <v>19</v>
      </c>
      <c r="F260" s="89">
        <v>7000000</v>
      </c>
    </row>
    <row r="261" spans="1:6">
      <c r="A261" s="91" t="s">
        <v>209</v>
      </c>
      <c r="B261" s="91" t="s">
        <v>210</v>
      </c>
      <c r="C261" s="91" t="s">
        <v>211</v>
      </c>
      <c r="D261" s="91" t="s">
        <v>18</v>
      </c>
      <c r="E261" s="91" t="s">
        <v>43</v>
      </c>
      <c r="F261" s="89">
        <v>1500000</v>
      </c>
    </row>
    <row r="262" spans="1:6">
      <c r="A262" s="4"/>
      <c r="B262" s="4"/>
      <c r="C262" s="4"/>
      <c r="D262" s="91" t="s">
        <v>21</v>
      </c>
      <c r="E262" s="91" t="s">
        <v>43</v>
      </c>
      <c r="F262" s="89">
        <v>33250000</v>
      </c>
    </row>
    <row r="263" spans="1:6">
      <c r="A263" s="4"/>
      <c r="B263" s="4"/>
      <c r="C263" s="4"/>
      <c r="D263" s="91" t="s">
        <v>44</v>
      </c>
      <c r="E263" s="91" t="s">
        <v>43</v>
      </c>
      <c r="F263" s="89">
        <v>7250000</v>
      </c>
    </row>
    <row r="264" spans="1:6">
      <c r="A264" s="4"/>
      <c r="B264" s="4"/>
      <c r="C264" s="4"/>
      <c r="D264" s="91" t="s">
        <v>24</v>
      </c>
      <c r="E264" s="91" t="s">
        <v>43</v>
      </c>
      <c r="F264" s="89">
        <v>4500000</v>
      </c>
    </row>
    <row r="265" spans="1:6">
      <c r="A265" s="4"/>
      <c r="B265" s="4"/>
      <c r="C265" s="4"/>
      <c r="D265" s="91" t="s">
        <v>142</v>
      </c>
      <c r="E265" s="91" t="s">
        <v>43</v>
      </c>
      <c r="F265" s="89">
        <v>5250000</v>
      </c>
    </row>
    <row r="266" spans="1:6">
      <c r="A266" s="4"/>
      <c r="B266" s="4"/>
      <c r="C266" s="4"/>
      <c r="D266" s="91" t="s">
        <v>30</v>
      </c>
      <c r="E266" s="91" t="s">
        <v>43</v>
      </c>
      <c r="F266" s="89">
        <v>10000000</v>
      </c>
    </row>
    <row r="267" spans="1:6">
      <c r="A267" s="4"/>
      <c r="B267" s="4"/>
      <c r="C267" s="4"/>
      <c r="D267" s="91" t="s">
        <v>26</v>
      </c>
      <c r="E267" s="91" t="s">
        <v>43</v>
      </c>
      <c r="F267" s="89">
        <v>6900000</v>
      </c>
    </row>
    <row r="268" spans="1:6">
      <c r="A268" s="91" t="s">
        <v>212</v>
      </c>
      <c r="B268" s="91" t="s">
        <v>213</v>
      </c>
      <c r="C268" s="91" t="s">
        <v>214</v>
      </c>
      <c r="D268" s="91" t="s">
        <v>18</v>
      </c>
      <c r="E268" s="91" t="s">
        <v>215</v>
      </c>
      <c r="F268" s="89">
        <v>600000</v>
      </c>
    </row>
    <row r="269" spans="1:6">
      <c r="A269" s="4"/>
      <c r="B269" s="4"/>
      <c r="C269" s="4"/>
      <c r="D269" s="91" t="s">
        <v>13</v>
      </c>
      <c r="E269" s="91" t="s">
        <v>215</v>
      </c>
      <c r="F269" s="89">
        <v>550000</v>
      </c>
    </row>
    <row r="270" spans="1:6">
      <c r="A270" s="4"/>
      <c r="B270" s="4"/>
      <c r="C270" s="4"/>
      <c r="D270" s="91" t="s">
        <v>25</v>
      </c>
      <c r="E270" s="91" t="s">
        <v>215</v>
      </c>
      <c r="F270" s="89">
        <v>572000</v>
      </c>
    </row>
    <row r="271" spans="1:6">
      <c r="A271" s="4"/>
      <c r="B271" s="4"/>
      <c r="C271" s="4"/>
      <c r="D271" s="91" t="s">
        <v>155</v>
      </c>
      <c r="E271" s="91" t="s">
        <v>215</v>
      </c>
      <c r="F271" s="89">
        <v>68809000</v>
      </c>
    </row>
    <row r="272" spans="1:6">
      <c r="A272" s="4"/>
      <c r="B272" s="4"/>
      <c r="C272" s="4"/>
      <c r="D272" s="91" t="s">
        <v>216</v>
      </c>
      <c r="E272" s="91" t="s">
        <v>215</v>
      </c>
      <c r="F272" s="89">
        <v>705000</v>
      </c>
    </row>
    <row r="273" spans="1:6">
      <c r="A273" s="4"/>
      <c r="B273" s="4"/>
      <c r="C273" s="4"/>
      <c r="D273" s="91" t="s">
        <v>58</v>
      </c>
      <c r="E273" s="91" t="s">
        <v>215</v>
      </c>
      <c r="F273" s="89">
        <v>4636618</v>
      </c>
    </row>
    <row r="274" spans="1:6">
      <c r="A274" s="91" t="s">
        <v>217</v>
      </c>
      <c r="B274" s="91" t="s">
        <v>218</v>
      </c>
      <c r="C274" s="91" t="s">
        <v>164</v>
      </c>
      <c r="D274" s="91" t="s">
        <v>49</v>
      </c>
      <c r="E274" s="91" t="s">
        <v>50</v>
      </c>
      <c r="F274" s="89">
        <v>33303029</v>
      </c>
    </row>
    <row r="275" spans="1:6">
      <c r="A275" s="4"/>
      <c r="B275" s="4"/>
      <c r="C275" s="4"/>
      <c r="D275" s="91" t="s">
        <v>33</v>
      </c>
      <c r="E275" s="91" t="s">
        <v>50</v>
      </c>
      <c r="F275" s="89">
        <v>25176672</v>
      </c>
    </row>
    <row r="276" spans="1:6">
      <c r="A276" s="91" t="s">
        <v>219</v>
      </c>
      <c r="B276" s="91" t="s">
        <v>220</v>
      </c>
      <c r="C276" s="91" t="s">
        <v>208</v>
      </c>
      <c r="D276" s="91" t="s">
        <v>18</v>
      </c>
      <c r="E276" s="91" t="s">
        <v>19</v>
      </c>
      <c r="F276" s="89">
        <v>11250000</v>
      </c>
    </row>
    <row r="277" spans="1:6">
      <c r="A277" s="4"/>
      <c r="B277" s="4"/>
      <c r="C277" s="4"/>
      <c r="D277" s="91" t="s">
        <v>13</v>
      </c>
      <c r="E277" s="91" t="s">
        <v>19</v>
      </c>
      <c r="F277" s="89">
        <v>2586000</v>
      </c>
    </row>
    <row r="278" spans="1:6">
      <c r="A278" s="4"/>
      <c r="B278" s="4"/>
      <c r="C278" s="4"/>
      <c r="D278" s="91" t="s">
        <v>21</v>
      </c>
      <c r="E278" s="91" t="s">
        <v>19</v>
      </c>
      <c r="F278" s="89">
        <v>22000000</v>
      </c>
    </row>
    <row r="279" spans="1:6">
      <c r="A279" s="4"/>
      <c r="B279" s="4"/>
      <c r="C279" s="4"/>
      <c r="D279" s="91" t="s">
        <v>98</v>
      </c>
      <c r="E279" s="91" t="s">
        <v>19</v>
      </c>
      <c r="F279" s="89">
        <v>7000000</v>
      </c>
    </row>
    <row r="280" spans="1:6">
      <c r="A280" s="91" t="s">
        <v>221</v>
      </c>
      <c r="B280" s="91" t="s">
        <v>222</v>
      </c>
      <c r="C280" s="91" t="s">
        <v>223</v>
      </c>
      <c r="D280" s="91" t="s">
        <v>18</v>
      </c>
      <c r="E280" s="91" t="s">
        <v>43</v>
      </c>
      <c r="F280" s="89">
        <v>5000000</v>
      </c>
    </row>
    <row r="281" spans="1:6">
      <c r="A281" s="4"/>
      <c r="B281" s="4"/>
      <c r="C281" s="4"/>
      <c r="D281" s="91" t="s">
        <v>21</v>
      </c>
      <c r="E281" s="91" t="s">
        <v>43</v>
      </c>
      <c r="F281" s="89">
        <v>30500000</v>
      </c>
    </row>
    <row r="282" spans="1:6">
      <c r="A282" s="4"/>
      <c r="B282" s="4"/>
      <c r="C282" s="4"/>
      <c r="D282" s="91" t="s">
        <v>224</v>
      </c>
      <c r="E282" s="91" t="s">
        <v>43</v>
      </c>
      <c r="F282" s="89">
        <v>6000000</v>
      </c>
    </row>
    <row r="283" spans="1:6">
      <c r="A283" s="4"/>
      <c r="B283" s="4"/>
      <c r="C283" s="4"/>
      <c r="D283" s="91" t="s">
        <v>142</v>
      </c>
      <c r="E283" s="91" t="s">
        <v>43</v>
      </c>
      <c r="F283" s="89">
        <v>6280500</v>
      </c>
    </row>
    <row r="284" spans="1:6">
      <c r="A284" s="4"/>
      <c r="B284" s="4"/>
      <c r="C284" s="4"/>
      <c r="D284" s="91" t="s">
        <v>110</v>
      </c>
      <c r="E284" s="91" t="s">
        <v>43</v>
      </c>
      <c r="F284" s="89">
        <v>20575000</v>
      </c>
    </row>
    <row r="285" spans="1:6">
      <c r="A285" s="4"/>
      <c r="B285" s="4"/>
      <c r="C285" s="4"/>
      <c r="D285" s="91" t="s">
        <v>30</v>
      </c>
      <c r="E285" s="91" t="s">
        <v>43</v>
      </c>
      <c r="F285" s="89">
        <v>12000000</v>
      </c>
    </row>
    <row r="286" spans="1:6">
      <c r="A286" s="4"/>
      <c r="B286" s="4"/>
      <c r="C286" s="4"/>
      <c r="D286" s="91" t="s">
        <v>26</v>
      </c>
      <c r="E286" s="91" t="s">
        <v>43</v>
      </c>
      <c r="F286" s="89">
        <v>3500000</v>
      </c>
    </row>
    <row r="287" spans="1:6">
      <c r="A287" s="91" t="s">
        <v>225</v>
      </c>
      <c r="B287" s="91" t="s">
        <v>226</v>
      </c>
      <c r="C287" s="91" t="s">
        <v>161</v>
      </c>
      <c r="D287" s="91" t="s">
        <v>9</v>
      </c>
      <c r="E287" s="91" t="s">
        <v>53</v>
      </c>
      <c r="F287" s="89">
        <v>6642000</v>
      </c>
    </row>
    <row r="288" spans="1:6">
      <c r="A288" s="4"/>
      <c r="B288" s="4"/>
      <c r="C288" s="4"/>
      <c r="D288" s="91" t="s">
        <v>18</v>
      </c>
      <c r="E288" s="91" t="s">
        <v>53</v>
      </c>
      <c r="F288" s="89">
        <v>82000</v>
      </c>
    </row>
    <row r="289" spans="1:6">
      <c r="A289" s="4"/>
      <c r="B289" s="4"/>
      <c r="C289" s="4"/>
      <c r="D289" s="91" t="s">
        <v>13</v>
      </c>
      <c r="E289" s="91" t="s">
        <v>53</v>
      </c>
      <c r="F289" s="89">
        <v>1362000</v>
      </c>
    </row>
    <row r="290" spans="1:6">
      <c r="A290" s="4"/>
      <c r="B290" s="4"/>
      <c r="C290" s="4"/>
      <c r="D290" s="91" t="s">
        <v>21</v>
      </c>
      <c r="E290" s="91" t="s">
        <v>53</v>
      </c>
      <c r="F290" s="89">
        <v>33500000</v>
      </c>
    </row>
    <row r="291" spans="1:6">
      <c r="A291" s="4"/>
      <c r="B291" s="4"/>
      <c r="C291" s="4"/>
      <c r="D291" s="91" t="s">
        <v>44</v>
      </c>
      <c r="E291" s="91" t="s">
        <v>53</v>
      </c>
      <c r="F291" s="89">
        <v>7250000</v>
      </c>
    </row>
    <row r="292" spans="1:6">
      <c r="A292" s="4"/>
      <c r="B292" s="4"/>
      <c r="C292" s="4"/>
      <c r="D292" s="91" t="s">
        <v>22</v>
      </c>
      <c r="E292" s="91" t="s">
        <v>53</v>
      </c>
      <c r="F292" s="89">
        <v>10500000</v>
      </c>
    </row>
    <row r="293" spans="1:6">
      <c r="A293" s="4"/>
      <c r="B293" s="4"/>
      <c r="C293" s="4"/>
      <c r="D293" s="91" t="s">
        <v>24</v>
      </c>
      <c r="E293" s="91" t="s">
        <v>53</v>
      </c>
      <c r="F293" s="89">
        <v>9000000</v>
      </c>
    </row>
    <row r="294" spans="1:6">
      <c r="A294" s="4"/>
      <c r="B294" s="4"/>
      <c r="C294" s="4"/>
      <c r="D294" s="91" t="s">
        <v>26</v>
      </c>
      <c r="E294" s="91" t="s">
        <v>53</v>
      </c>
      <c r="F294" s="89">
        <v>1000000</v>
      </c>
    </row>
    <row r="295" spans="1:6">
      <c r="A295" s="4"/>
      <c r="B295" s="4"/>
      <c r="C295" s="4"/>
      <c r="D295" s="91" t="s">
        <v>227</v>
      </c>
      <c r="E295" s="91" t="s">
        <v>53</v>
      </c>
      <c r="F295" s="89">
        <v>1532000</v>
      </c>
    </row>
    <row r="296" spans="1:6">
      <c r="A296" s="4"/>
      <c r="B296" s="4"/>
      <c r="C296" s="4"/>
      <c r="D296" s="91" t="s">
        <v>45</v>
      </c>
      <c r="E296" s="91" t="s">
        <v>53</v>
      </c>
      <c r="F296" s="89">
        <v>6146100</v>
      </c>
    </row>
    <row r="297" spans="1:6">
      <c r="A297" s="91" t="s">
        <v>228</v>
      </c>
      <c r="B297" s="91" t="s">
        <v>229</v>
      </c>
      <c r="C297" s="91" t="s">
        <v>230</v>
      </c>
      <c r="D297" s="91" t="s">
        <v>18</v>
      </c>
      <c r="E297" s="91" t="s">
        <v>19</v>
      </c>
      <c r="F297" s="89">
        <v>1000000</v>
      </c>
    </row>
    <row r="298" spans="1:6">
      <c r="A298" s="4"/>
      <c r="B298" s="4"/>
      <c r="C298" s="4"/>
      <c r="D298" s="91" t="s">
        <v>13</v>
      </c>
      <c r="E298" s="91" t="s">
        <v>19</v>
      </c>
      <c r="F298" s="89">
        <v>935000</v>
      </c>
    </row>
    <row r="299" spans="1:6">
      <c r="A299" s="4"/>
      <c r="B299" s="4"/>
      <c r="C299" s="4"/>
      <c r="D299" s="91" t="s">
        <v>21</v>
      </c>
      <c r="E299" s="91" t="s">
        <v>19</v>
      </c>
      <c r="F299" s="89">
        <v>49768519</v>
      </c>
    </row>
    <row r="300" spans="1:6">
      <c r="A300" s="4"/>
      <c r="B300" s="4"/>
      <c r="C300" s="4"/>
      <c r="D300" s="91" t="s">
        <v>142</v>
      </c>
      <c r="E300" s="91" t="s">
        <v>19</v>
      </c>
      <c r="F300" s="89">
        <v>11444400</v>
      </c>
    </row>
    <row r="301" spans="1:6">
      <c r="A301" s="4"/>
      <c r="B301" s="4"/>
      <c r="C301" s="4"/>
      <c r="D301" s="91" t="s">
        <v>30</v>
      </c>
      <c r="E301" s="91" t="s">
        <v>19</v>
      </c>
      <c r="F301" s="89">
        <v>25500000</v>
      </c>
    </row>
    <row r="302" spans="1:6">
      <c r="A302" s="4"/>
      <c r="B302" s="4"/>
      <c r="C302" s="4"/>
      <c r="D302" s="91" t="s">
        <v>143</v>
      </c>
      <c r="E302" s="91" t="s">
        <v>19</v>
      </c>
      <c r="F302" s="89">
        <v>1100000</v>
      </c>
    </row>
    <row r="303" spans="1:6">
      <c r="A303" s="4"/>
      <c r="B303" s="4"/>
      <c r="C303" s="4"/>
      <c r="D303" s="91" t="s">
        <v>26</v>
      </c>
      <c r="E303" s="91" t="s">
        <v>19</v>
      </c>
      <c r="F303" s="89">
        <v>2000000</v>
      </c>
    </row>
    <row r="304" spans="1:6">
      <c r="A304" s="4"/>
      <c r="B304" s="4"/>
      <c r="C304" s="4"/>
      <c r="D304" s="91" t="s">
        <v>231</v>
      </c>
      <c r="E304" s="91" t="s">
        <v>19</v>
      </c>
      <c r="F304" s="89">
        <v>1000000</v>
      </c>
    </row>
    <row r="305" spans="1:6">
      <c r="A305" s="4"/>
      <c r="B305" s="4"/>
      <c r="C305" s="4"/>
      <c r="D305" s="91" t="s">
        <v>92</v>
      </c>
      <c r="E305" s="91" t="s">
        <v>19</v>
      </c>
      <c r="F305" s="89">
        <v>20860000</v>
      </c>
    </row>
    <row r="306" spans="1:6">
      <c r="A306" s="91" t="s">
        <v>232</v>
      </c>
      <c r="B306" s="91" t="s">
        <v>233</v>
      </c>
      <c r="C306" s="91" t="s">
        <v>234</v>
      </c>
      <c r="D306" s="91" t="s">
        <v>18</v>
      </c>
      <c r="E306" s="91" t="s">
        <v>31</v>
      </c>
      <c r="F306" s="89">
        <v>12500000</v>
      </c>
    </row>
    <row r="307" spans="1:6">
      <c r="A307" s="4"/>
      <c r="B307" s="4"/>
      <c r="C307" s="4"/>
      <c r="D307" s="91" t="s">
        <v>39</v>
      </c>
      <c r="E307" s="91" t="s">
        <v>31</v>
      </c>
      <c r="F307" s="89">
        <v>62882000</v>
      </c>
    </row>
    <row r="308" spans="1:6">
      <c r="A308" s="4"/>
      <c r="B308" s="4"/>
      <c r="C308" s="4"/>
      <c r="D308" s="91" t="s">
        <v>63</v>
      </c>
      <c r="E308" s="91" t="s">
        <v>31</v>
      </c>
      <c r="F308" s="89">
        <v>10000000</v>
      </c>
    </row>
    <row r="309" spans="1:6">
      <c r="A309" s="91" t="s">
        <v>235</v>
      </c>
      <c r="B309" s="91" t="s">
        <v>236</v>
      </c>
      <c r="C309" s="91" t="s">
        <v>149</v>
      </c>
      <c r="D309" s="91" t="s">
        <v>21</v>
      </c>
      <c r="E309" s="91" t="s">
        <v>53</v>
      </c>
      <c r="F309" s="89">
        <v>21185185</v>
      </c>
    </row>
    <row r="310" spans="1:6">
      <c r="A310" s="4"/>
      <c r="B310" s="4"/>
      <c r="C310" s="4"/>
      <c r="D310" s="91" t="s">
        <v>150</v>
      </c>
      <c r="E310" s="91" t="s">
        <v>53</v>
      </c>
      <c r="F310" s="89">
        <v>4436500</v>
      </c>
    </row>
    <row r="311" spans="1:6">
      <c r="A311" s="4"/>
      <c r="B311" s="4"/>
      <c r="C311" s="4"/>
      <c r="D311" s="91" t="s">
        <v>92</v>
      </c>
      <c r="E311" s="91" t="s">
        <v>53</v>
      </c>
      <c r="F311" s="89">
        <v>11500000</v>
      </c>
    </row>
    <row r="312" spans="1:6">
      <c r="A312" s="4"/>
      <c r="B312" s="4"/>
      <c r="C312" s="91" t="s">
        <v>151</v>
      </c>
      <c r="D312" s="91" t="s">
        <v>18</v>
      </c>
      <c r="E312" s="91" t="s">
        <v>53</v>
      </c>
      <c r="F312" s="89">
        <v>2220000</v>
      </c>
    </row>
    <row r="313" spans="1:6">
      <c r="A313" s="4"/>
      <c r="B313" s="4"/>
      <c r="C313" s="4"/>
      <c r="D313" s="91" t="s">
        <v>13</v>
      </c>
      <c r="E313" s="91" t="s">
        <v>53</v>
      </c>
      <c r="F313" s="89">
        <v>935000</v>
      </c>
    </row>
    <row r="314" spans="1:6">
      <c r="A314" s="4"/>
      <c r="B314" s="4"/>
      <c r="C314" s="4"/>
      <c r="D314" s="91" t="s">
        <v>21</v>
      </c>
      <c r="E314" s="91" t="s">
        <v>53</v>
      </c>
      <c r="F314" s="89">
        <v>11000000</v>
      </c>
    </row>
    <row r="315" spans="1:6">
      <c r="A315" s="4"/>
      <c r="B315" s="4"/>
      <c r="C315" s="4"/>
      <c r="D315" s="91" t="s">
        <v>94</v>
      </c>
      <c r="E315" s="91" t="s">
        <v>53</v>
      </c>
      <c r="F315" s="89">
        <v>1200000</v>
      </c>
    </row>
    <row r="316" spans="1:6">
      <c r="A316" s="4"/>
      <c r="B316" s="4"/>
      <c r="C316" s="4"/>
      <c r="D316" s="91" t="s">
        <v>23</v>
      </c>
      <c r="E316" s="91" t="s">
        <v>53</v>
      </c>
      <c r="F316" s="89">
        <v>3493779.375</v>
      </c>
    </row>
    <row r="317" spans="1:6">
      <c r="A317" s="4"/>
      <c r="B317" s="4"/>
      <c r="C317" s="4"/>
      <c r="D317" s="91" t="s">
        <v>26</v>
      </c>
      <c r="E317" s="91" t="s">
        <v>53</v>
      </c>
      <c r="F317" s="89">
        <v>6000000</v>
      </c>
    </row>
    <row r="318" spans="1:6">
      <c r="A318" s="91" t="s">
        <v>237</v>
      </c>
      <c r="B318" s="91" t="s">
        <v>238</v>
      </c>
      <c r="C318" s="91" t="s">
        <v>200</v>
      </c>
      <c r="D318" s="91" t="s">
        <v>18</v>
      </c>
      <c r="E318" s="91" t="s">
        <v>31</v>
      </c>
      <c r="F318" s="89">
        <v>10000000</v>
      </c>
    </row>
    <row r="319" spans="1:6">
      <c r="A319" s="4"/>
      <c r="B319" s="4"/>
      <c r="C319" s="4"/>
      <c r="D319" s="91" t="s">
        <v>24</v>
      </c>
      <c r="E319" s="91" t="s">
        <v>31</v>
      </c>
      <c r="F319" s="89">
        <v>6000000</v>
      </c>
    </row>
    <row r="320" spans="1:6">
      <c r="A320" s="4"/>
      <c r="B320" s="4"/>
      <c r="C320" s="4"/>
      <c r="D320" s="91" t="s">
        <v>32</v>
      </c>
      <c r="E320" s="91" t="s">
        <v>31</v>
      </c>
      <c r="F320" s="89">
        <v>38650000</v>
      </c>
    </row>
    <row r="321" spans="1:6">
      <c r="A321" s="4"/>
      <c r="B321" s="4"/>
      <c r="C321" s="4"/>
      <c r="D321" s="91" t="s">
        <v>34</v>
      </c>
      <c r="E321" s="91" t="s">
        <v>31</v>
      </c>
      <c r="F321" s="89">
        <v>12500000</v>
      </c>
    </row>
    <row r="322" spans="1:6">
      <c r="A322" s="91" t="s">
        <v>239</v>
      </c>
      <c r="B322" s="91" t="s">
        <v>240</v>
      </c>
      <c r="C322" s="91" t="s">
        <v>234</v>
      </c>
      <c r="D322" s="91" t="s">
        <v>18</v>
      </c>
      <c r="E322" s="91" t="s">
        <v>31</v>
      </c>
      <c r="F322" s="89">
        <v>12500000</v>
      </c>
    </row>
    <row r="323" spans="1:6">
      <c r="A323" s="4"/>
      <c r="B323" s="4"/>
      <c r="C323" s="4"/>
      <c r="D323" s="91" t="s">
        <v>39</v>
      </c>
      <c r="E323" s="91" t="s">
        <v>31</v>
      </c>
      <c r="F323" s="89">
        <v>62882000</v>
      </c>
    </row>
    <row r="324" spans="1:6">
      <c r="A324" s="4"/>
      <c r="B324" s="4"/>
      <c r="C324" s="4"/>
      <c r="D324" s="91" t="s">
        <v>63</v>
      </c>
      <c r="E324" s="91" t="s">
        <v>31</v>
      </c>
      <c r="F324" s="89">
        <v>10000000</v>
      </c>
    </row>
    <row r="325" spans="1:6">
      <c r="A325" s="91" t="s">
        <v>241</v>
      </c>
      <c r="B325" s="91" t="s">
        <v>242</v>
      </c>
      <c r="C325" s="91" t="s">
        <v>37</v>
      </c>
      <c r="D325" s="91" t="s">
        <v>18</v>
      </c>
      <c r="E325" s="91" t="s">
        <v>31</v>
      </c>
      <c r="F325" s="89">
        <v>7500000</v>
      </c>
    </row>
    <row r="326" spans="1:6">
      <c r="A326" s="4"/>
      <c r="B326" s="4"/>
      <c r="C326" s="4"/>
      <c r="D326" s="91" t="s">
        <v>150</v>
      </c>
      <c r="E326" s="91" t="s">
        <v>31</v>
      </c>
      <c r="F326" s="89">
        <v>1000000</v>
      </c>
    </row>
    <row r="327" spans="1:6">
      <c r="A327" s="4"/>
      <c r="B327" s="4"/>
      <c r="C327" s="4"/>
      <c r="D327" s="91" t="s">
        <v>32</v>
      </c>
      <c r="E327" s="91" t="s">
        <v>31</v>
      </c>
      <c r="F327" s="89">
        <v>39050000</v>
      </c>
    </row>
    <row r="328" spans="1:6">
      <c r="A328" s="91" t="s">
        <v>243</v>
      </c>
      <c r="B328" s="91" t="s">
        <v>244</v>
      </c>
      <c r="C328" s="91" t="s">
        <v>37</v>
      </c>
      <c r="D328" s="91" t="s">
        <v>18</v>
      </c>
      <c r="E328" s="91" t="s">
        <v>31</v>
      </c>
      <c r="F328" s="89">
        <v>7500000</v>
      </c>
    </row>
    <row r="329" spans="1:6">
      <c r="A329" s="4"/>
      <c r="B329" s="4"/>
      <c r="C329" s="4"/>
      <c r="D329" s="91" t="s">
        <v>150</v>
      </c>
      <c r="E329" s="91" t="s">
        <v>31</v>
      </c>
      <c r="F329" s="89">
        <v>1000000</v>
      </c>
    </row>
    <row r="330" spans="1:6">
      <c r="A330" s="4"/>
      <c r="B330" s="4"/>
      <c r="C330" s="4"/>
      <c r="D330" s="91" t="s">
        <v>32</v>
      </c>
      <c r="E330" s="91" t="s">
        <v>31</v>
      </c>
      <c r="F330" s="89">
        <v>39050000</v>
      </c>
    </row>
    <row r="331" spans="1:6">
      <c r="A331" s="91" t="s">
        <v>245</v>
      </c>
      <c r="B331" s="91" t="s">
        <v>246</v>
      </c>
      <c r="C331" s="91" t="s">
        <v>91</v>
      </c>
      <c r="D331" s="91" t="s">
        <v>18</v>
      </c>
      <c r="E331" s="91" t="s">
        <v>19</v>
      </c>
      <c r="F331" s="89">
        <v>13250000</v>
      </c>
    </row>
    <row r="332" spans="1:6">
      <c r="A332" s="4"/>
      <c r="B332" s="4"/>
      <c r="C332" s="4"/>
      <c r="D332" s="91" t="s">
        <v>247</v>
      </c>
      <c r="E332" s="91" t="s">
        <v>19</v>
      </c>
      <c r="F332" s="89">
        <v>1200000</v>
      </c>
    </row>
    <row r="333" spans="1:6">
      <c r="A333" s="4"/>
      <c r="B333" s="4"/>
      <c r="C333" s="4"/>
      <c r="D333" s="91" t="s">
        <v>248</v>
      </c>
      <c r="E333" s="91" t="s">
        <v>19</v>
      </c>
      <c r="F333" s="89">
        <v>13750000</v>
      </c>
    </row>
    <row r="334" spans="1:6">
      <c r="A334" s="4"/>
      <c r="B334" s="4"/>
      <c r="C334" s="91" t="s">
        <v>249</v>
      </c>
      <c r="D334" s="91" t="s">
        <v>21</v>
      </c>
      <c r="E334" s="91" t="s">
        <v>19</v>
      </c>
      <c r="F334" s="89">
        <v>35250000</v>
      </c>
    </row>
    <row r="335" spans="1:6">
      <c r="A335" s="4"/>
      <c r="B335" s="4"/>
      <c r="C335" s="4"/>
      <c r="D335" s="91" t="s">
        <v>22</v>
      </c>
      <c r="E335" s="91" t="s">
        <v>19</v>
      </c>
      <c r="F335" s="89">
        <v>15500000</v>
      </c>
    </row>
    <row r="336" spans="1:6">
      <c r="A336" s="91" t="s">
        <v>250</v>
      </c>
      <c r="B336" s="91" t="s">
        <v>251</v>
      </c>
      <c r="C336" s="91" t="s">
        <v>249</v>
      </c>
      <c r="D336" s="91" t="s">
        <v>21</v>
      </c>
      <c r="E336" s="91" t="s">
        <v>19</v>
      </c>
      <c r="F336" s="89">
        <v>35250000</v>
      </c>
    </row>
    <row r="337" spans="1:6">
      <c r="A337" s="4"/>
      <c r="B337" s="4"/>
      <c r="C337" s="4"/>
      <c r="D337" s="91" t="s">
        <v>22</v>
      </c>
      <c r="E337" s="91" t="s">
        <v>19</v>
      </c>
      <c r="F337" s="89">
        <v>15500000</v>
      </c>
    </row>
    <row r="338" spans="1:6">
      <c r="A338" s="91" t="s">
        <v>252</v>
      </c>
      <c r="B338" s="91" t="s">
        <v>252</v>
      </c>
      <c r="C338" s="91" t="s">
        <v>252</v>
      </c>
      <c r="D338" s="91" t="s">
        <v>252</v>
      </c>
      <c r="E338" s="91" t="s">
        <v>252</v>
      </c>
      <c r="F338" s="89"/>
    </row>
    <row r="339" spans="1:6">
      <c r="A339" s="91" t="s">
        <v>253</v>
      </c>
      <c r="B339" s="91" t="s">
        <v>254</v>
      </c>
      <c r="C339" s="91" t="s">
        <v>255</v>
      </c>
      <c r="D339" s="91" t="s">
        <v>256</v>
      </c>
      <c r="E339" s="91" t="s">
        <v>257</v>
      </c>
      <c r="F339" s="89">
        <v>146625000</v>
      </c>
    </row>
    <row r="340" spans="1:6">
      <c r="A340" s="91" t="s">
        <v>258</v>
      </c>
      <c r="B340" s="91" t="s">
        <v>259</v>
      </c>
      <c r="C340" s="91" t="s">
        <v>260</v>
      </c>
      <c r="D340" s="91" t="s">
        <v>256</v>
      </c>
      <c r="E340" s="91" t="s">
        <v>261</v>
      </c>
      <c r="F340" s="89">
        <v>13156000</v>
      </c>
    </row>
    <row r="341" spans="1:6">
      <c r="A341" s="4"/>
      <c r="B341" s="4"/>
      <c r="C341" s="91" t="s">
        <v>262</v>
      </c>
      <c r="D341" s="91" t="s">
        <v>256</v>
      </c>
      <c r="E341" s="91" t="s">
        <v>261</v>
      </c>
      <c r="F341" s="89">
        <v>84483000</v>
      </c>
    </row>
    <row r="342" spans="1:6">
      <c r="A342" s="4"/>
      <c r="B342" s="4"/>
      <c r="C342" s="91" t="s">
        <v>263</v>
      </c>
      <c r="D342" s="91" t="s">
        <v>256</v>
      </c>
      <c r="E342" s="91" t="s">
        <v>261</v>
      </c>
      <c r="F342" s="89">
        <v>4550000</v>
      </c>
    </row>
    <row r="343" spans="1:6">
      <c r="A343" s="91" t="s">
        <v>264</v>
      </c>
      <c r="B343" s="91" t="s">
        <v>265</v>
      </c>
      <c r="C343" s="91" t="s">
        <v>266</v>
      </c>
      <c r="D343" s="91" t="s">
        <v>18</v>
      </c>
      <c r="E343" s="91" t="s">
        <v>43</v>
      </c>
      <c r="F343" s="89">
        <v>5750000</v>
      </c>
    </row>
    <row r="344" spans="1:6">
      <c r="A344" s="4"/>
      <c r="B344" s="4"/>
      <c r="C344" s="4"/>
      <c r="D344" s="91" t="s">
        <v>13</v>
      </c>
      <c r="E344" s="91" t="s">
        <v>43</v>
      </c>
      <c r="F344" s="89">
        <v>880000</v>
      </c>
    </row>
    <row r="345" spans="1:6">
      <c r="A345" s="4"/>
      <c r="B345" s="4"/>
      <c r="C345" s="4"/>
      <c r="D345" s="91" t="s">
        <v>21</v>
      </c>
      <c r="E345" s="91" t="s">
        <v>43</v>
      </c>
      <c r="F345" s="89">
        <v>30500000</v>
      </c>
    </row>
    <row r="346" spans="1:6">
      <c r="A346" s="4"/>
      <c r="B346" s="4"/>
      <c r="C346" s="4"/>
      <c r="D346" s="91" t="s">
        <v>44</v>
      </c>
      <c r="E346" s="91" t="s">
        <v>43</v>
      </c>
      <c r="F346" s="89">
        <v>7250000</v>
      </c>
    </row>
    <row r="347" spans="1:6">
      <c r="A347" s="4"/>
      <c r="B347" s="4"/>
      <c r="C347" s="4"/>
      <c r="D347" s="91" t="s">
        <v>94</v>
      </c>
      <c r="E347" s="91" t="s">
        <v>43</v>
      </c>
      <c r="F347" s="89">
        <v>1750000</v>
      </c>
    </row>
    <row r="348" spans="1:6">
      <c r="A348" s="4"/>
      <c r="B348" s="4"/>
      <c r="C348" s="4"/>
      <c r="D348" s="91" t="s">
        <v>22</v>
      </c>
      <c r="E348" s="91" t="s">
        <v>43</v>
      </c>
      <c r="F348" s="89">
        <v>5000000</v>
      </c>
    </row>
    <row r="349" spans="1:6">
      <c r="A349" s="4"/>
      <c r="B349" s="4"/>
      <c r="C349" s="4"/>
      <c r="D349" s="91" t="s">
        <v>24</v>
      </c>
      <c r="E349" s="91" t="s">
        <v>43</v>
      </c>
      <c r="F349" s="89">
        <v>20500000</v>
      </c>
    </row>
    <row r="350" spans="1:6">
      <c r="A350" s="4"/>
      <c r="B350" s="4"/>
      <c r="C350" s="4"/>
      <c r="D350" s="91" t="s">
        <v>26</v>
      </c>
      <c r="E350" s="91" t="s">
        <v>43</v>
      </c>
      <c r="F350" s="89">
        <v>3575000</v>
      </c>
    </row>
    <row r="351" spans="1:6">
      <c r="A351" s="4"/>
      <c r="B351" s="4"/>
      <c r="C351" s="4"/>
      <c r="D351" s="91" t="s">
        <v>267</v>
      </c>
      <c r="E351" s="91" t="s">
        <v>43</v>
      </c>
      <c r="F351" s="89">
        <v>2000000</v>
      </c>
    </row>
    <row r="352" spans="1:6">
      <c r="A352" s="4"/>
      <c r="B352" s="4"/>
      <c r="C352" s="4"/>
      <c r="D352" s="91" t="s">
        <v>150</v>
      </c>
      <c r="E352" s="91" t="s">
        <v>43</v>
      </c>
      <c r="F352" s="89">
        <v>1807500</v>
      </c>
    </row>
    <row r="353" spans="1:6">
      <c r="A353" s="91" t="s">
        <v>268</v>
      </c>
      <c r="B353" s="91" t="s">
        <v>269</v>
      </c>
      <c r="C353" s="91" t="s">
        <v>270</v>
      </c>
      <c r="D353" s="91" t="s">
        <v>18</v>
      </c>
      <c r="E353" s="91" t="s">
        <v>19</v>
      </c>
      <c r="F353" s="89">
        <v>18500000</v>
      </c>
    </row>
    <row r="354" spans="1:6">
      <c r="A354" s="4"/>
      <c r="B354" s="4"/>
      <c r="C354" s="4"/>
      <c r="D354" s="91" t="s">
        <v>21</v>
      </c>
      <c r="E354" s="91" t="s">
        <v>19</v>
      </c>
      <c r="F354" s="89">
        <v>20750000</v>
      </c>
    </row>
    <row r="355" spans="1:6">
      <c r="A355" s="4"/>
      <c r="B355" s="4"/>
      <c r="C355" s="4"/>
      <c r="D355" s="91" t="s">
        <v>22</v>
      </c>
      <c r="E355" s="91" t="s">
        <v>19</v>
      </c>
      <c r="F355" s="89">
        <v>12500000</v>
      </c>
    </row>
    <row r="356" spans="1:6">
      <c r="A356" s="4"/>
      <c r="B356" s="4"/>
      <c r="C356" s="4"/>
      <c r="D356" s="91" t="s">
        <v>23</v>
      </c>
      <c r="E356" s="91" t="s">
        <v>19</v>
      </c>
      <c r="F356" s="89">
        <v>1736695</v>
      </c>
    </row>
    <row r="357" spans="1:6">
      <c r="A357" s="4"/>
      <c r="B357" s="4"/>
      <c r="C357" s="4"/>
      <c r="D357" s="91" t="s">
        <v>24</v>
      </c>
      <c r="E357" s="91" t="s">
        <v>19</v>
      </c>
      <c r="F357" s="89">
        <v>13320000</v>
      </c>
    </row>
    <row r="358" spans="1:6">
      <c r="A358" s="4"/>
      <c r="B358" s="4"/>
      <c r="C358" s="4"/>
      <c r="D358" s="91" t="s">
        <v>26</v>
      </c>
      <c r="E358" s="91" t="s">
        <v>19</v>
      </c>
      <c r="F358" s="89">
        <v>13910700</v>
      </c>
    </row>
    <row r="359" spans="1:6">
      <c r="A359" s="4"/>
      <c r="B359" s="4"/>
      <c r="C359" s="4"/>
      <c r="D359" s="91" t="s">
        <v>92</v>
      </c>
      <c r="E359" s="91" t="s">
        <v>19</v>
      </c>
      <c r="F359" s="89">
        <v>12000000</v>
      </c>
    </row>
    <row r="360" spans="1:6">
      <c r="A360" s="91" t="s">
        <v>271</v>
      </c>
      <c r="B360" s="91" t="s">
        <v>272</v>
      </c>
      <c r="C360" s="91" t="s">
        <v>270</v>
      </c>
      <c r="D360" s="91" t="s">
        <v>18</v>
      </c>
      <c r="E360" s="91" t="s">
        <v>19</v>
      </c>
      <c r="F360" s="89">
        <v>18500000</v>
      </c>
    </row>
    <row r="361" spans="1:6">
      <c r="A361" s="4"/>
      <c r="B361" s="4"/>
      <c r="C361" s="4"/>
      <c r="D361" s="91" t="s">
        <v>21</v>
      </c>
      <c r="E361" s="91" t="s">
        <v>19</v>
      </c>
      <c r="F361" s="89">
        <v>20750000</v>
      </c>
    </row>
    <row r="362" spans="1:6">
      <c r="A362" s="4"/>
      <c r="B362" s="4"/>
      <c r="C362" s="4"/>
      <c r="D362" s="91" t="s">
        <v>22</v>
      </c>
      <c r="E362" s="91" t="s">
        <v>19</v>
      </c>
      <c r="F362" s="89">
        <v>12500000</v>
      </c>
    </row>
    <row r="363" spans="1:6">
      <c r="A363" s="4"/>
      <c r="B363" s="4"/>
      <c r="C363" s="4"/>
      <c r="D363" s="91" t="s">
        <v>23</v>
      </c>
      <c r="E363" s="91" t="s">
        <v>19</v>
      </c>
      <c r="F363" s="89">
        <v>1736695</v>
      </c>
    </row>
    <row r="364" spans="1:6">
      <c r="A364" s="4"/>
      <c r="B364" s="4"/>
      <c r="C364" s="4"/>
      <c r="D364" s="91" t="s">
        <v>24</v>
      </c>
      <c r="E364" s="91" t="s">
        <v>19</v>
      </c>
      <c r="F364" s="89">
        <v>13320000</v>
      </c>
    </row>
    <row r="365" spans="1:6">
      <c r="A365" s="4"/>
      <c r="B365" s="4"/>
      <c r="C365" s="4"/>
      <c r="D365" s="91" t="s">
        <v>26</v>
      </c>
      <c r="E365" s="91" t="s">
        <v>19</v>
      </c>
      <c r="F365" s="89">
        <v>13910700</v>
      </c>
    </row>
    <row r="366" spans="1:6">
      <c r="A366" s="4"/>
      <c r="B366" s="4"/>
      <c r="C366" s="4"/>
      <c r="D366" s="91" t="s">
        <v>92</v>
      </c>
      <c r="E366" s="91" t="s">
        <v>19</v>
      </c>
      <c r="F366" s="89">
        <v>12000000</v>
      </c>
    </row>
    <row r="367" spans="1:6">
      <c r="A367" s="91" t="s">
        <v>273</v>
      </c>
      <c r="B367" s="91" t="s">
        <v>274</v>
      </c>
      <c r="C367" s="91" t="s">
        <v>275</v>
      </c>
      <c r="D367" s="91" t="s">
        <v>18</v>
      </c>
      <c r="E367" s="91" t="s">
        <v>53</v>
      </c>
      <c r="F367" s="89">
        <v>1500000</v>
      </c>
    </row>
    <row r="368" spans="1:6">
      <c r="A368" s="4"/>
      <c r="B368" s="4"/>
      <c r="C368" s="4"/>
      <c r="D368" s="91" t="s">
        <v>21</v>
      </c>
      <c r="E368" s="91" t="s">
        <v>53</v>
      </c>
      <c r="F368" s="89">
        <v>20750000</v>
      </c>
    </row>
    <row r="369" spans="1:6">
      <c r="A369" s="4"/>
      <c r="B369" s="4"/>
      <c r="C369" s="4"/>
      <c r="D369" s="91" t="s">
        <v>142</v>
      </c>
      <c r="E369" s="91" t="s">
        <v>53</v>
      </c>
      <c r="F369" s="89">
        <v>17380000</v>
      </c>
    </row>
    <row r="370" spans="1:6">
      <c r="A370" s="4"/>
      <c r="B370" s="4"/>
      <c r="C370" s="4"/>
      <c r="D370" s="91" t="s">
        <v>26</v>
      </c>
      <c r="E370" s="91" t="s">
        <v>53</v>
      </c>
      <c r="F370" s="89">
        <v>4850000</v>
      </c>
    </row>
    <row r="371" spans="1:6">
      <c r="A371" s="4"/>
      <c r="B371" s="4"/>
      <c r="C371" s="4"/>
      <c r="D371" s="91" t="s">
        <v>88</v>
      </c>
      <c r="E371" s="91" t="s">
        <v>53</v>
      </c>
      <c r="F371" s="89">
        <v>4000000</v>
      </c>
    </row>
    <row r="372" spans="1:6">
      <c r="A372" s="4"/>
      <c r="B372" s="4"/>
      <c r="C372" s="4"/>
      <c r="D372" s="91" t="s">
        <v>92</v>
      </c>
      <c r="E372" s="91" t="s">
        <v>53</v>
      </c>
      <c r="F372" s="89">
        <v>1400000</v>
      </c>
    </row>
    <row r="373" spans="1:6">
      <c r="A373" s="4"/>
      <c r="B373" s="4"/>
      <c r="C373" s="91" t="s">
        <v>276</v>
      </c>
      <c r="D373" s="91" t="s">
        <v>18</v>
      </c>
      <c r="E373" s="91" t="s">
        <v>53</v>
      </c>
      <c r="F373" s="89">
        <v>1500000</v>
      </c>
    </row>
    <row r="374" spans="1:6">
      <c r="A374" s="4"/>
      <c r="B374" s="4"/>
      <c r="C374" s="4"/>
      <c r="D374" s="91" t="s">
        <v>21</v>
      </c>
      <c r="E374" s="91" t="s">
        <v>53</v>
      </c>
      <c r="F374" s="89">
        <v>19981481.5</v>
      </c>
    </row>
    <row r="375" spans="1:6">
      <c r="A375" s="4"/>
      <c r="B375" s="4"/>
      <c r="C375" s="4"/>
      <c r="D375" s="91" t="s">
        <v>24</v>
      </c>
      <c r="E375" s="91" t="s">
        <v>53</v>
      </c>
      <c r="F375" s="89">
        <v>11950000</v>
      </c>
    </row>
    <row r="376" spans="1:6">
      <c r="A376" s="91" t="s">
        <v>277</v>
      </c>
      <c r="B376" s="91" t="s">
        <v>278</v>
      </c>
      <c r="C376" s="91" t="s">
        <v>158</v>
      </c>
      <c r="D376" s="91" t="s">
        <v>18</v>
      </c>
      <c r="E376" s="91" t="s">
        <v>53</v>
      </c>
      <c r="F376" s="89">
        <v>20500000</v>
      </c>
    </row>
    <row r="377" spans="1:6">
      <c r="A377" s="4"/>
      <c r="B377" s="4"/>
      <c r="C377" s="4"/>
      <c r="D377" s="91" t="s">
        <v>13</v>
      </c>
      <c r="E377" s="91" t="s">
        <v>53</v>
      </c>
      <c r="F377" s="89">
        <v>1842500</v>
      </c>
    </row>
    <row r="378" spans="1:6">
      <c r="A378" s="4"/>
      <c r="B378" s="4"/>
      <c r="C378" s="4"/>
      <c r="D378" s="91" t="s">
        <v>21</v>
      </c>
      <c r="E378" s="91" t="s">
        <v>53</v>
      </c>
      <c r="F378" s="89">
        <v>23250000</v>
      </c>
    </row>
    <row r="379" spans="1:6">
      <c r="A379" s="4"/>
      <c r="B379" s="4"/>
      <c r="C379" s="4"/>
      <c r="D379" s="91" t="s">
        <v>44</v>
      </c>
      <c r="E379" s="91" t="s">
        <v>53</v>
      </c>
      <c r="F379" s="89">
        <v>7750000</v>
      </c>
    </row>
    <row r="380" spans="1:6">
      <c r="A380" s="4"/>
      <c r="B380" s="4"/>
      <c r="C380" s="4"/>
      <c r="D380" s="91" t="s">
        <v>94</v>
      </c>
      <c r="E380" s="91" t="s">
        <v>53</v>
      </c>
      <c r="F380" s="89">
        <v>5750000</v>
      </c>
    </row>
    <row r="381" spans="1:6">
      <c r="A381" s="4"/>
      <c r="B381" s="4"/>
      <c r="C381" s="4"/>
      <c r="D381" s="91" t="s">
        <v>30</v>
      </c>
      <c r="E381" s="91" t="s">
        <v>53</v>
      </c>
      <c r="F381" s="89">
        <v>5000000</v>
      </c>
    </row>
    <row r="382" spans="1:6">
      <c r="A382" s="4"/>
      <c r="B382" s="4"/>
      <c r="C382" s="4"/>
      <c r="D382" s="91" t="s">
        <v>26</v>
      </c>
      <c r="E382" s="91" t="s">
        <v>53</v>
      </c>
      <c r="F382" s="89">
        <v>12050000</v>
      </c>
    </row>
    <row r="383" spans="1:6">
      <c r="A383" s="91" t="s">
        <v>279</v>
      </c>
      <c r="B383" s="91" t="s">
        <v>280</v>
      </c>
      <c r="C383" s="91" t="s">
        <v>275</v>
      </c>
      <c r="D383" s="91" t="s">
        <v>30</v>
      </c>
      <c r="E383" s="91" t="s">
        <v>53</v>
      </c>
      <c r="F383" s="89">
        <v>11000000</v>
      </c>
    </row>
    <row r="384" spans="1:6">
      <c r="A384" s="91" t="s">
        <v>281</v>
      </c>
      <c r="B384" s="91" t="s">
        <v>282</v>
      </c>
      <c r="C384" s="91" t="s">
        <v>119</v>
      </c>
      <c r="D384" s="91" t="s">
        <v>18</v>
      </c>
      <c r="E384" s="91" t="s">
        <v>53</v>
      </c>
      <c r="F384" s="89">
        <v>2000000</v>
      </c>
    </row>
    <row r="385" spans="1:6">
      <c r="A385" s="4"/>
      <c r="B385" s="4"/>
      <c r="C385" s="4"/>
      <c r="D385" s="91" t="s">
        <v>21</v>
      </c>
      <c r="E385" s="91" t="s">
        <v>53</v>
      </c>
      <c r="F385" s="89">
        <v>1000000</v>
      </c>
    </row>
    <row r="386" spans="1:6">
      <c r="A386" s="4"/>
      <c r="B386" s="4"/>
      <c r="C386" s="4"/>
      <c r="D386" s="91" t="s">
        <v>247</v>
      </c>
      <c r="E386" s="91" t="s">
        <v>53</v>
      </c>
      <c r="F386" s="89">
        <v>1750000</v>
      </c>
    </row>
    <row r="387" spans="1:6">
      <c r="A387" s="4"/>
      <c r="B387" s="4"/>
      <c r="C387" s="4"/>
      <c r="D387" s="91" t="s">
        <v>92</v>
      </c>
      <c r="E387" s="91" t="s">
        <v>53</v>
      </c>
      <c r="F387" s="89">
        <v>4500000</v>
      </c>
    </row>
    <row r="388" spans="1:6">
      <c r="A388" s="4"/>
      <c r="B388" s="4"/>
      <c r="C388" s="91" t="s">
        <v>230</v>
      </c>
      <c r="D388" s="91" t="s">
        <v>21</v>
      </c>
      <c r="E388" s="91" t="s">
        <v>19</v>
      </c>
      <c r="F388" s="89">
        <v>10185185</v>
      </c>
    </row>
    <row r="389" spans="1:6">
      <c r="A389" s="4"/>
      <c r="B389" s="4"/>
      <c r="C389" s="91" t="s">
        <v>283</v>
      </c>
      <c r="D389" s="91" t="s">
        <v>20</v>
      </c>
      <c r="E389" s="91" t="s">
        <v>19</v>
      </c>
      <c r="F389" s="89">
        <v>1250000</v>
      </c>
    </row>
    <row r="390" spans="1:6">
      <c r="A390" s="4"/>
      <c r="B390" s="4"/>
      <c r="C390" s="4"/>
      <c r="D390" s="91" t="s">
        <v>143</v>
      </c>
      <c r="E390" s="91" t="s">
        <v>19</v>
      </c>
      <c r="F390" s="89">
        <v>1000000</v>
      </c>
    </row>
    <row r="391" spans="1:6">
      <c r="A391" s="4"/>
      <c r="B391" s="4"/>
      <c r="C391" s="4"/>
      <c r="D391" s="91" t="s">
        <v>92</v>
      </c>
      <c r="E391" s="91" t="s">
        <v>19</v>
      </c>
      <c r="F391" s="89">
        <v>11250000</v>
      </c>
    </row>
    <row r="392" spans="1:6">
      <c r="A392" s="4"/>
      <c r="B392" s="4"/>
      <c r="C392" s="91" t="s">
        <v>276</v>
      </c>
      <c r="D392" s="91" t="s">
        <v>24</v>
      </c>
      <c r="E392" s="91" t="s">
        <v>53</v>
      </c>
      <c r="F392" s="89">
        <v>9000000</v>
      </c>
    </row>
    <row r="393" spans="1:6">
      <c r="A393" s="91" t="s">
        <v>284</v>
      </c>
      <c r="B393" s="91" t="s">
        <v>285</v>
      </c>
      <c r="C393" s="91" t="s">
        <v>286</v>
      </c>
      <c r="D393" s="91" t="s">
        <v>18</v>
      </c>
      <c r="E393" s="91" t="s">
        <v>53</v>
      </c>
      <c r="F393" s="89">
        <v>7225000</v>
      </c>
    </row>
    <row r="394" spans="1:6">
      <c r="A394" s="4"/>
      <c r="B394" s="4"/>
      <c r="C394" s="4"/>
      <c r="D394" s="91" t="s">
        <v>20</v>
      </c>
      <c r="E394" s="91" t="s">
        <v>53</v>
      </c>
      <c r="F394" s="89">
        <v>3950000</v>
      </c>
    </row>
    <row r="395" spans="1:6">
      <c r="A395" s="4"/>
      <c r="B395" s="4"/>
      <c r="C395" s="4"/>
      <c r="D395" s="91" t="s">
        <v>21</v>
      </c>
      <c r="E395" s="91" t="s">
        <v>53</v>
      </c>
      <c r="F395" s="89">
        <v>33000000</v>
      </c>
    </row>
    <row r="396" spans="1:6">
      <c r="A396" s="4"/>
      <c r="B396" s="4"/>
      <c r="C396" s="4"/>
      <c r="D396" s="91" t="s">
        <v>23</v>
      </c>
      <c r="E396" s="91" t="s">
        <v>53</v>
      </c>
      <c r="F396" s="89">
        <v>5000000</v>
      </c>
    </row>
    <row r="397" spans="1:6">
      <c r="A397" s="4"/>
      <c r="B397" s="4"/>
      <c r="C397" s="4"/>
      <c r="D397" s="91" t="s">
        <v>24</v>
      </c>
      <c r="E397" s="91" t="s">
        <v>53</v>
      </c>
      <c r="F397" s="89">
        <v>3000000</v>
      </c>
    </row>
    <row r="398" spans="1:6">
      <c r="A398" s="4"/>
      <c r="B398" s="4"/>
      <c r="C398" s="4"/>
      <c r="D398" s="91" t="s">
        <v>142</v>
      </c>
      <c r="E398" s="91" t="s">
        <v>53</v>
      </c>
      <c r="F398" s="89">
        <v>750000</v>
      </c>
    </row>
    <row r="399" spans="1:6">
      <c r="A399" s="4"/>
      <c r="B399" s="4"/>
      <c r="C399" s="4"/>
      <c r="D399" s="91" t="s">
        <v>287</v>
      </c>
      <c r="E399" s="91" t="s">
        <v>53</v>
      </c>
      <c r="F399" s="89">
        <v>7500000</v>
      </c>
    </row>
    <row r="400" spans="1:6">
      <c r="A400" s="4"/>
      <c r="B400" s="4"/>
      <c r="C400" s="4"/>
      <c r="D400" s="91" t="s">
        <v>26</v>
      </c>
      <c r="E400" s="91" t="s">
        <v>53</v>
      </c>
      <c r="F400" s="89">
        <v>22200000</v>
      </c>
    </row>
    <row r="401" spans="1:6">
      <c r="A401" s="4"/>
      <c r="B401" s="4"/>
      <c r="C401" s="4"/>
      <c r="D401" s="91" t="s">
        <v>247</v>
      </c>
      <c r="E401" s="91" t="s">
        <v>53</v>
      </c>
      <c r="F401" s="89">
        <v>1000000</v>
      </c>
    </row>
    <row r="402" spans="1:6">
      <c r="A402" s="4"/>
      <c r="B402" s="4"/>
      <c r="C402" s="4"/>
      <c r="D402" s="91" t="s">
        <v>92</v>
      </c>
      <c r="E402" s="91" t="s">
        <v>53</v>
      </c>
      <c r="F402" s="89">
        <v>1750000</v>
      </c>
    </row>
    <row r="403" spans="1:6">
      <c r="A403" s="91" t="s">
        <v>288</v>
      </c>
      <c r="B403" s="91" t="s">
        <v>289</v>
      </c>
      <c r="C403" s="91" t="s">
        <v>290</v>
      </c>
      <c r="D403" s="91" t="s">
        <v>13</v>
      </c>
      <c r="E403" s="91" t="s">
        <v>53</v>
      </c>
      <c r="F403" s="89">
        <v>5575000</v>
      </c>
    </row>
    <row r="404" spans="1:6">
      <c r="A404" s="4"/>
      <c r="B404" s="4"/>
      <c r="C404" s="4"/>
      <c r="D404" s="91" t="s">
        <v>21</v>
      </c>
      <c r="E404" s="91" t="s">
        <v>53</v>
      </c>
      <c r="F404" s="89">
        <v>23750000</v>
      </c>
    </row>
    <row r="405" spans="1:6">
      <c r="A405" s="4"/>
      <c r="B405" s="4"/>
      <c r="C405" s="4"/>
      <c r="D405" s="91" t="s">
        <v>44</v>
      </c>
      <c r="E405" s="91" t="s">
        <v>53</v>
      </c>
      <c r="F405" s="89">
        <v>7250000</v>
      </c>
    </row>
    <row r="406" spans="1:6">
      <c r="A406" s="4"/>
      <c r="B406" s="4"/>
      <c r="C406" s="4"/>
      <c r="D406" s="91" t="s">
        <v>94</v>
      </c>
      <c r="E406" s="91" t="s">
        <v>53</v>
      </c>
      <c r="F406" s="89">
        <v>1600000</v>
      </c>
    </row>
    <row r="407" spans="1:6">
      <c r="A407" s="4"/>
      <c r="B407" s="4"/>
      <c r="C407" s="4"/>
      <c r="D407" s="91" t="s">
        <v>22</v>
      </c>
      <c r="E407" s="91" t="s">
        <v>53</v>
      </c>
      <c r="F407" s="89">
        <v>12500000</v>
      </c>
    </row>
    <row r="408" spans="1:6">
      <c r="A408" s="4"/>
      <c r="B408" s="4"/>
      <c r="C408" s="4"/>
      <c r="D408" s="91" t="s">
        <v>24</v>
      </c>
      <c r="E408" s="91" t="s">
        <v>53</v>
      </c>
      <c r="F408" s="89">
        <v>4500000</v>
      </c>
    </row>
    <row r="409" spans="1:6">
      <c r="A409" s="4"/>
      <c r="B409" s="4"/>
      <c r="C409" s="4"/>
      <c r="D409" s="91" t="s">
        <v>26</v>
      </c>
      <c r="E409" s="91" t="s">
        <v>53</v>
      </c>
      <c r="F409" s="89">
        <v>12400000</v>
      </c>
    </row>
    <row r="410" spans="1:6">
      <c r="A410" s="4"/>
      <c r="B410" s="4"/>
      <c r="C410" s="4"/>
      <c r="D410" s="91" t="s">
        <v>45</v>
      </c>
      <c r="E410" s="91" t="s">
        <v>53</v>
      </c>
      <c r="F410" s="89">
        <v>2352200.5</v>
      </c>
    </row>
    <row r="411" spans="1:6">
      <c r="A411" s="91" t="s">
        <v>291</v>
      </c>
      <c r="B411" s="91" t="s">
        <v>292</v>
      </c>
      <c r="C411" s="91" t="s">
        <v>293</v>
      </c>
      <c r="D411" s="91" t="s">
        <v>18</v>
      </c>
      <c r="E411" s="91" t="s">
        <v>53</v>
      </c>
      <c r="F411" s="89">
        <v>8700000</v>
      </c>
    </row>
    <row r="412" spans="1:6">
      <c r="A412" s="4"/>
      <c r="B412" s="4"/>
      <c r="C412" s="4"/>
      <c r="D412" s="91" t="s">
        <v>13</v>
      </c>
      <c r="E412" s="91" t="s">
        <v>53</v>
      </c>
      <c r="F412" s="89">
        <v>7012500</v>
      </c>
    </row>
    <row r="413" spans="1:6">
      <c r="A413" s="4"/>
      <c r="B413" s="4"/>
      <c r="C413" s="4"/>
      <c r="D413" s="91" t="s">
        <v>21</v>
      </c>
      <c r="E413" s="91" t="s">
        <v>53</v>
      </c>
      <c r="F413" s="89">
        <v>35000000</v>
      </c>
    </row>
    <row r="414" spans="1:6">
      <c r="A414" s="4"/>
      <c r="B414" s="4"/>
      <c r="C414" s="4"/>
      <c r="D414" s="91" t="s">
        <v>22</v>
      </c>
      <c r="E414" s="91" t="s">
        <v>53</v>
      </c>
      <c r="F414" s="89">
        <v>10500000</v>
      </c>
    </row>
    <row r="415" spans="1:6">
      <c r="A415" s="4"/>
      <c r="B415" s="4"/>
      <c r="C415" s="4"/>
      <c r="D415" s="91" t="s">
        <v>23</v>
      </c>
      <c r="E415" s="91" t="s">
        <v>53</v>
      </c>
      <c r="F415" s="89">
        <v>7123648.375</v>
      </c>
    </row>
    <row r="416" spans="1:6">
      <c r="A416" s="4"/>
      <c r="B416" s="4"/>
      <c r="C416" s="4"/>
      <c r="D416" s="91" t="s">
        <v>24</v>
      </c>
      <c r="E416" s="91" t="s">
        <v>53</v>
      </c>
      <c r="F416" s="89">
        <v>9000000</v>
      </c>
    </row>
    <row r="417" spans="1:6">
      <c r="A417" s="4"/>
      <c r="B417" s="4"/>
      <c r="C417" s="4"/>
      <c r="D417" s="91" t="s">
        <v>143</v>
      </c>
      <c r="E417" s="91" t="s">
        <v>53</v>
      </c>
      <c r="F417" s="89">
        <v>2000000</v>
      </c>
    </row>
    <row r="418" spans="1:6">
      <c r="A418" s="4"/>
      <c r="B418" s="4"/>
      <c r="C418" s="4"/>
      <c r="D418" s="91" t="s">
        <v>287</v>
      </c>
      <c r="E418" s="91" t="s">
        <v>53</v>
      </c>
      <c r="F418" s="89">
        <v>7000000</v>
      </c>
    </row>
    <row r="419" spans="1:6">
      <c r="A419" s="4"/>
      <c r="B419" s="4"/>
      <c r="C419" s="4"/>
      <c r="D419" s="91" t="s">
        <v>26</v>
      </c>
      <c r="E419" s="91" t="s">
        <v>53</v>
      </c>
      <c r="F419" s="89">
        <v>3600000</v>
      </c>
    </row>
    <row r="420" spans="1:6">
      <c r="A420" s="4"/>
      <c r="B420" s="4"/>
      <c r="C420" s="4"/>
      <c r="D420" s="91" t="s">
        <v>171</v>
      </c>
      <c r="E420" s="91" t="s">
        <v>53</v>
      </c>
      <c r="F420" s="89">
        <v>1200000</v>
      </c>
    </row>
    <row r="421" spans="1:6">
      <c r="A421" s="4"/>
      <c r="B421" s="4"/>
      <c r="C421" s="4"/>
      <c r="D421" s="91" t="s">
        <v>150</v>
      </c>
      <c r="E421" s="91" t="s">
        <v>53</v>
      </c>
      <c r="F421" s="89">
        <v>7000000</v>
      </c>
    </row>
    <row r="422" spans="1:6">
      <c r="A422" s="4"/>
      <c r="B422" s="4"/>
      <c r="C422" s="4"/>
      <c r="D422" s="91" t="s">
        <v>112</v>
      </c>
      <c r="E422" s="91" t="s">
        <v>53</v>
      </c>
      <c r="F422" s="89">
        <v>2250000</v>
      </c>
    </row>
    <row r="423" spans="1:6">
      <c r="A423" s="4"/>
      <c r="B423" s="4"/>
      <c r="C423" s="4"/>
      <c r="D423" s="91" t="s">
        <v>92</v>
      </c>
      <c r="E423" s="91" t="s">
        <v>53</v>
      </c>
      <c r="F423" s="89">
        <v>4500000</v>
      </c>
    </row>
    <row r="424" spans="1:6">
      <c r="A424" s="91" t="s">
        <v>294</v>
      </c>
      <c r="B424" s="91" t="s">
        <v>295</v>
      </c>
      <c r="C424" s="91" t="s">
        <v>293</v>
      </c>
      <c r="D424" s="91" t="s">
        <v>18</v>
      </c>
      <c r="E424" s="91" t="s">
        <v>53</v>
      </c>
      <c r="F424" s="89">
        <v>8700000</v>
      </c>
    </row>
    <row r="425" spans="1:6">
      <c r="A425" s="4"/>
      <c r="B425" s="4"/>
      <c r="C425" s="4"/>
      <c r="D425" s="91" t="s">
        <v>13</v>
      </c>
      <c r="E425" s="91" t="s">
        <v>53</v>
      </c>
      <c r="F425" s="89">
        <v>7012500</v>
      </c>
    </row>
    <row r="426" spans="1:6">
      <c r="A426" s="4"/>
      <c r="B426" s="4"/>
      <c r="C426" s="4"/>
      <c r="D426" s="91" t="s">
        <v>21</v>
      </c>
      <c r="E426" s="91" t="s">
        <v>53</v>
      </c>
      <c r="F426" s="89">
        <v>35000000</v>
      </c>
    </row>
    <row r="427" spans="1:6">
      <c r="A427" s="4"/>
      <c r="B427" s="4"/>
      <c r="C427" s="4"/>
      <c r="D427" s="91" t="s">
        <v>22</v>
      </c>
      <c r="E427" s="91" t="s">
        <v>53</v>
      </c>
      <c r="F427" s="89">
        <v>10500000</v>
      </c>
    </row>
    <row r="428" spans="1:6">
      <c r="A428" s="4"/>
      <c r="B428" s="4"/>
      <c r="C428" s="4"/>
      <c r="D428" s="91" t="s">
        <v>23</v>
      </c>
      <c r="E428" s="91" t="s">
        <v>53</v>
      </c>
      <c r="F428" s="89">
        <v>7123648.375</v>
      </c>
    </row>
    <row r="429" spans="1:6">
      <c r="A429" s="4"/>
      <c r="B429" s="4"/>
      <c r="C429" s="4"/>
      <c r="D429" s="91" t="s">
        <v>24</v>
      </c>
      <c r="E429" s="91" t="s">
        <v>53</v>
      </c>
      <c r="F429" s="89">
        <v>9000000</v>
      </c>
    </row>
    <row r="430" spans="1:6">
      <c r="A430" s="4"/>
      <c r="B430" s="4"/>
      <c r="C430" s="4"/>
      <c r="D430" s="91" t="s">
        <v>143</v>
      </c>
      <c r="E430" s="91" t="s">
        <v>53</v>
      </c>
      <c r="F430" s="89">
        <v>2000000</v>
      </c>
    </row>
    <row r="431" spans="1:6">
      <c r="A431" s="4"/>
      <c r="B431" s="4"/>
      <c r="C431" s="4"/>
      <c r="D431" s="91" t="s">
        <v>287</v>
      </c>
      <c r="E431" s="91" t="s">
        <v>53</v>
      </c>
      <c r="F431" s="89">
        <v>7000000</v>
      </c>
    </row>
    <row r="432" spans="1:6">
      <c r="A432" s="4"/>
      <c r="B432" s="4"/>
      <c r="C432" s="4"/>
      <c r="D432" s="91" t="s">
        <v>26</v>
      </c>
      <c r="E432" s="91" t="s">
        <v>53</v>
      </c>
      <c r="F432" s="89">
        <v>3600000</v>
      </c>
    </row>
    <row r="433" spans="1:6">
      <c r="A433" s="4"/>
      <c r="B433" s="4"/>
      <c r="C433" s="4"/>
      <c r="D433" s="91" t="s">
        <v>171</v>
      </c>
      <c r="E433" s="91" t="s">
        <v>53</v>
      </c>
      <c r="F433" s="89">
        <v>1200000</v>
      </c>
    </row>
    <row r="434" spans="1:6">
      <c r="A434" s="4"/>
      <c r="B434" s="4"/>
      <c r="C434" s="4"/>
      <c r="D434" s="91" t="s">
        <v>150</v>
      </c>
      <c r="E434" s="91" t="s">
        <v>53</v>
      </c>
      <c r="F434" s="89">
        <v>7000000</v>
      </c>
    </row>
    <row r="435" spans="1:6">
      <c r="A435" s="4"/>
      <c r="B435" s="4"/>
      <c r="C435" s="4"/>
      <c r="D435" s="91" t="s">
        <v>112</v>
      </c>
      <c r="E435" s="91" t="s">
        <v>53</v>
      </c>
      <c r="F435" s="89">
        <v>2250000</v>
      </c>
    </row>
    <row r="436" spans="1:6">
      <c r="A436" s="4"/>
      <c r="B436" s="4"/>
      <c r="C436" s="4"/>
      <c r="D436" s="91" t="s">
        <v>92</v>
      </c>
      <c r="E436" s="91" t="s">
        <v>53</v>
      </c>
      <c r="F436" s="89">
        <v>4500000</v>
      </c>
    </row>
    <row r="437" spans="1:6">
      <c r="A437" s="91" t="s">
        <v>296</v>
      </c>
      <c r="B437" s="91" t="s">
        <v>297</v>
      </c>
      <c r="C437" s="91" t="s">
        <v>223</v>
      </c>
      <c r="D437" s="91" t="s">
        <v>18</v>
      </c>
      <c r="E437" s="91" t="s">
        <v>43</v>
      </c>
      <c r="F437" s="89">
        <v>5000000</v>
      </c>
    </row>
    <row r="438" spans="1:6">
      <c r="A438" s="4"/>
      <c r="B438" s="4"/>
      <c r="C438" s="4"/>
      <c r="D438" s="91" t="s">
        <v>21</v>
      </c>
      <c r="E438" s="91" t="s">
        <v>43</v>
      </c>
      <c r="F438" s="89">
        <v>30500000</v>
      </c>
    </row>
    <row r="439" spans="1:6">
      <c r="A439" s="4"/>
      <c r="B439" s="4"/>
      <c r="C439" s="4"/>
      <c r="D439" s="91" t="s">
        <v>224</v>
      </c>
      <c r="E439" s="91" t="s">
        <v>43</v>
      </c>
      <c r="F439" s="89">
        <v>6000000</v>
      </c>
    </row>
    <row r="440" spans="1:6">
      <c r="A440" s="4"/>
      <c r="B440" s="4"/>
      <c r="C440" s="4"/>
      <c r="D440" s="91" t="s">
        <v>142</v>
      </c>
      <c r="E440" s="91" t="s">
        <v>43</v>
      </c>
      <c r="F440" s="89">
        <v>6280500</v>
      </c>
    </row>
    <row r="441" spans="1:6">
      <c r="A441" s="4"/>
      <c r="B441" s="4"/>
      <c r="C441" s="4"/>
      <c r="D441" s="91" t="s">
        <v>110</v>
      </c>
      <c r="E441" s="91" t="s">
        <v>43</v>
      </c>
      <c r="F441" s="89">
        <v>20575000</v>
      </c>
    </row>
    <row r="442" spans="1:6">
      <c r="A442" s="4"/>
      <c r="B442" s="4"/>
      <c r="C442" s="4"/>
      <c r="D442" s="91" t="s">
        <v>30</v>
      </c>
      <c r="E442" s="91" t="s">
        <v>43</v>
      </c>
      <c r="F442" s="89">
        <v>12000000</v>
      </c>
    </row>
    <row r="443" spans="1:6">
      <c r="A443" s="4"/>
      <c r="B443" s="4"/>
      <c r="C443" s="4"/>
      <c r="D443" s="91" t="s">
        <v>26</v>
      </c>
      <c r="E443" s="91" t="s">
        <v>43</v>
      </c>
      <c r="F443" s="89">
        <v>3500000</v>
      </c>
    </row>
    <row r="444" spans="1:6">
      <c r="A444" s="91" t="s">
        <v>298</v>
      </c>
      <c r="B444" s="91" t="s">
        <v>299</v>
      </c>
      <c r="C444" s="91" t="s">
        <v>300</v>
      </c>
      <c r="D444" s="91" t="s">
        <v>18</v>
      </c>
      <c r="E444" s="91" t="s">
        <v>53</v>
      </c>
      <c r="F444" s="89">
        <v>9350000</v>
      </c>
    </row>
    <row r="445" spans="1:6">
      <c r="A445" s="4"/>
      <c r="B445" s="4"/>
      <c r="C445" s="4"/>
      <c r="D445" s="91" t="s">
        <v>13</v>
      </c>
      <c r="E445" s="91" t="s">
        <v>53</v>
      </c>
      <c r="F445" s="89">
        <v>3740000</v>
      </c>
    </row>
    <row r="446" spans="1:6">
      <c r="A446" s="4"/>
      <c r="B446" s="4"/>
      <c r="C446" s="4"/>
      <c r="D446" s="91" t="s">
        <v>21</v>
      </c>
      <c r="E446" s="91" t="s">
        <v>53</v>
      </c>
      <c r="F446" s="89">
        <v>57100000</v>
      </c>
    </row>
    <row r="447" spans="1:6">
      <c r="A447" s="4"/>
      <c r="B447" s="4"/>
      <c r="C447" s="4"/>
      <c r="D447" s="91" t="s">
        <v>142</v>
      </c>
      <c r="E447" s="91" t="s">
        <v>53</v>
      </c>
      <c r="F447" s="89">
        <v>15800000</v>
      </c>
    </row>
    <row r="448" spans="1:6">
      <c r="A448" s="4"/>
      <c r="B448" s="4"/>
      <c r="C448" s="4"/>
      <c r="D448" s="91" t="s">
        <v>92</v>
      </c>
      <c r="E448" s="91" t="s">
        <v>53</v>
      </c>
      <c r="F448" s="89">
        <v>1000000</v>
      </c>
    </row>
    <row r="449" spans="1:6">
      <c r="A449" s="91" t="s">
        <v>301</v>
      </c>
      <c r="B449" s="91" t="s">
        <v>302</v>
      </c>
      <c r="C449" s="91" t="s">
        <v>300</v>
      </c>
      <c r="D449" s="91" t="s">
        <v>18</v>
      </c>
      <c r="E449" s="91" t="s">
        <v>53</v>
      </c>
      <c r="F449" s="89">
        <v>9350000</v>
      </c>
    </row>
    <row r="450" spans="1:6">
      <c r="A450" s="4"/>
      <c r="B450" s="4"/>
      <c r="C450" s="4"/>
      <c r="D450" s="91" t="s">
        <v>13</v>
      </c>
      <c r="E450" s="91" t="s">
        <v>53</v>
      </c>
      <c r="F450" s="89">
        <v>3740000</v>
      </c>
    </row>
    <row r="451" spans="1:6">
      <c r="A451" s="4"/>
      <c r="B451" s="4"/>
      <c r="C451" s="4"/>
      <c r="D451" s="91" t="s">
        <v>21</v>
      </c>
      <c r="E451" s="91" t="s">
        <v>53</v>
      </c>
      <c r="F451" s="89">
        <v>57100000</v>
      </c>
    </row>
    <row r="452" spans="1:6">
      <c r="A452" s="4"/>
      <c r="B452" s="4"/>
      <c r="C452" s="4"/>
      <c r="D452" s="91" t="s">
        <v>142</v>
      </c>
      <c r="E452" s="91" t="s">
        <v>53</v>
      </c>
      <c r="F452" s="89">
        <v>15800000</v>
      </c>
    </row>
    <row r="453" spans="1:6">
      <c r="A453" s="4"/>
      <c r="B453" s="4"/>
      <c r="C453" s="4"/>
      <c r="D453" s="91" t="s">
        <v>92</v>
      </c>
      <c r="E453" s="91" t="s">
        <v>53</v>
      </c>
      <c r="F453" s="89">
        <v>1000000</v>
      </c>
    </row>
    <row r="454" spans="1:6">
      <c r="A454" s="91" t="s">
        <v>303</v>
      </c>
      <c r="B454" s="91" t="s">
        <v>304</v>
      </c>
      <c r="C454" s="91" t="s">
        <v>275</v>
      </c>
      <c r="D454" s="91" t="s">
        <v>18</v>
      </c>
      <c r="E454" s="91" t="s">
        <v>53</v>
      </c>
      <c r="F454" s="89">
        <v>1500000</v>
      </c>
    </row>
    <row r="455" spans="1:6">
      <c r="A455" s="4"/>
      <c r="B455" s="4"/>
      <c r="C455" s="4"/>
      <c r="D455" s="91" t="s">
        <v>21</v>
      </c>
      <c r="E455" s="91" t="s">
        <v>53</v>
      </c>
      <c r="F455" s="89">
        <v>20750000</v>
      </c>
    </row>
    <row r="456" spans="1:6">
      <c r="A456" s="4"/>
      <c r="B456" s="4"/>
      <c r="C456" s="4"/>
      <c r="D456" s="91" t="s">
        <v>142</v>
      </c>
      <c r="E456" s="91" t="s">
        <v>53</v>
      </c>
      <c r="F456" s="89">
        <v>17380000</v>
      </c>
    </row>
    <row r="457" spans="1:6">
      <c r="A457" s="4"/>
      <c r="B457" s="4"/>
      <c r="C457" s="4"/>
      <c r="D457" s="91" t="s">
        <v>26</v>
      </c>
      <c r="E457" s="91" t="s">
        <v>53</v>
      </c>
      <c r="F457" s="89">
        <v>4850000</v>
      </c>
    </row>
    <row r="458" spans="1:6">
      <c r="A458" s="4"/>
      <c r="B458" s="4"/>
      <c r="C458" s="4"/>
      <c r="D458" s="91" t="s">
        <v>88</v>
      </c>
      <c r="E458" s="91" t="s">
        <v>53</v>
      </c>
      <c r="F458" s="89">
        <v>4000000</v>
      </c>
    </row>
    <row r="459" spans="1:6">
      <c r="A459" s="4"/>
      <c r="B459" s="4"/>
      <c r="C459" s="4"/>
      <c r="D459" s="91" t="s">
        <v>92</v>
      </c>
      <c r="E459" s="91" t="s">
        <v>53</v>
      </c>
      <c r="F459" s="89">
        <v>1400000</v>
      </c>
    </row>
    <row r="460" spans="1:6">
      <c r="A460" s="4"/>
      <c r="B460" s="4"/>
      <c r="C460" s="91" t="s">
        <v>276</v>
      </c>
      <c r="D460" s="91" t="s">
        <v>18</v>
      </c>
      <c r="E460" s="91" t="s">
        <v>53</v>
      </c>
      <c r="F460" s="89">
        <v>1500000</v>
      </c>
    </row>
    <row r="461" spans="1:6">
      <c r="A461" s="4"/>
      <c r="B461" s="4"/>
      <c r="C461" s="4"/>
      <c r="D461" s="91" t="s">
        <v>21</v>
      </c>
      <c r="E461" s="91" t="s">
        <v>53</v>
      </c>
      <c r="F461" s="89">
        <v>19981481.5</v>
      </c>
    </row>
    <row r="462" spans="1:6">
      <c r="A462" s="4"/>
      <c r="B462" s="4"/>
      <c r="C462" s="4"/>
      <c r="D462" s="91" t="s">
        <v>24</v>
      </c>
      <c r="E462" s="91" t="s">
        <v>53</v>
      </c>
      <c r="F462" s="89">
        <v>11950000</v>
      </c>
    </row>
    <row r="463" spans="1:6">
      <c r="A463" s="91" t="s">
        <v>305</v>
      </c>
      <c r="B463" s="91" t="s">
        <v>306</v>
      </c>
      <c r="C463" s="91" t="s">
        <v>87</v>
      </c>
      <c r="D463" s="91" t="s">
        <v>18</v>
      </c>
      <c r="E463" s="91" t="s">
        <v>53</v>
      </c>
      <c r="F463" s="89">
        <v>2750000</v>
      </c>
    </row>
    <row r="464" spans="1:6">
      <c r="A464" s="4"/>
      <c r="B464" s="4"/>
      <c r="C464" s="4"/>
      <c r="D464" s="91" t="s">
        <v>21</v>
      </c>
      <c r="E464" s="91" t="s">
        <v>53</v>
      </c>
      <c r="F464" s="89">
        <v>50750000</v>
      </c>
    </row>
    <row r="465" spans="1:6">
      <c r="A465" s="4"/>
      <c r="B465" s="4"/>
      <c r="C465" s="4"/>
      <c r="D465" s="91" t="s">
        <v>44</v>
      </c>
      <c r="E465" s="91" t="s">
        <v>53</v>
      </c>
      <c r="F465" s="89">
        <v>7250000</v>
      </c>
    </row>
    <row r="466" spans="1:6">
      <c r="A466" s="4"/>
      <c r="B466" s="4"/>
      <c r="C466" s="4"/>
      <c r="D466" s="91" t="s">
        <v>24</v>
      </c>
      <c r="E466" s="91" t="s">
        <v>53</v>
      </c>
      <c r="F466" s="89">
        <v>9000000</v>
      </c>
    </row>
    <row r="467" spans="1:6">
      <c r="A467" s="4"/>
      <c r="B467" s="4"/>
      <c r="C467" s="4"/>
      <c r="D467" s="91" t="s">
        <v>26</v>
      </c>
      <c r="E467" s="91" t="s">
        <v>53</v>
      </c>
      <c r="F467" s="89">
        <v>11000000</v>
      </c>
    </row>
    <row r="468" spans="1:6">
      <c r="A468" s="4"/>
      <c r="B468" s="4"/>
      <c r="C468" s="4"/>
      <c r="D468" s="91" t="s">
        <v>45</v>
      </c>
      <c r="E468" s="91" t="s">
        <v>53</v>
      </c>
      <c r="F468" s="89">
        <v>2861400</v>
      </c>
    </row>
    <row r="469" spans="1:6">
      <c r="A469" s="4"/>
      <c r="B469" s="4"/>
      <c r="C469" s="4"/>
      <c r="D469" s="91" t="s">
        <v>88</v>
      </c>
      <c r="E469" s="91" t="s">
        <v>53</v>
      </c>
      <c r="F469" s="89">
        <v>11000000</v>
      </c>
    </row>
    <row r="470" spans="1:6">
      <c r="A470" s="91" t="s">
        <v>307</v>
      </c>
      <c r="B470" s="91" t="s">
        <v>308</v>
      </c>
      <c r="C470" s="91" t="s">
        <v>119</v>
      </c>
      <c r="D470" s="91" t="s">
        <v>18</v>
      </c>
      <c r="E470" s="91" t="s">
        <v>53</v>
      </c>
      <c r="F470" s="89">
        <v>7500000</v>
      </c>
    </row>
    <row r="471" spans="1:6">
      <c r="A471" s="4"/>
      <c r="B471" s="4"/>
      <c r="C471" s="4"/>
      <c r="D471" s="91" t="s">
        <v>13</v>
      </c>
      <c r="E471" s="91" t="s">
        <v>53</v>
      </c>
      <c r="F471" s="89">
        <v>2502500</v>
      </c>
    </row>
    <row r="472" spans="1:6">
      <c r="A472" s="4"/>
      <c r="B472" s="4"/>
      <c r="C472" s="4"/>
      <c r="D472" s="91" t="s">
        <v>21</v>
      </c>
      <c r="E472" s="91" t="s">
        <v>53</v>
      </c>
      <c r="F472" s="89">
        <v>9650000</v>
      </c>
    </row>
    <row r="473" spans="1:6">
      <c r="A473" s="4"/>
      <c r="B473" s="4"/>
      <c r="C473" s="4"/>
      <c r="D473" s="91" t="s">
        <v>94</v>
      </c>
      <c r="E473" s="91" t="s">
        <v>53</v>
      </c>
      <c r="F473" s="89">
        <v>1250000</v>
      </c>
    </row>
    <row r="474" spans="1:6">
      <c r="A474" s="4"/>
      <c r="B474" s="4"/>
      <c r="C474" s="4"/>
      <c r="D474" s="91" t="s">
        <v>142</v>
      </c>
      <c r="E474" s="91" t="s">
        <v>53</v>
      </c>
      <c r="F474" s="89">
        <v>6893500</v>
      </c>
    </row>
    <row r="475" spans="1:6">
      <c r="A475" s="4"/>
      <c r="B475" s="4"/>
      <c r="C475" s="4"/>
      <c r="D475" s="91" t="s">
        <v>309</v>
      </c>
      <c r="E475" s="91" t="s">
        <v>53</v>
      </c>
      <c r="F475" s="89">
        <v>12000000</v>
      </c>
    </row>
    <row r="476" spans="1:6">
      <c r="A476" s="4"/>
      <c r="B476" s="4"/>
      <c r="C476" s="4"/>
      <c r="D476" s="91" t="s">
        <v>112</v>
      </c>
      <c r="E476" s="91" t="s">
        <v>53</v>
      </c>
      <c r="F476" s="89">
        <v>750000</v>
      </c>
    </row>
    <row r="477" spans="1:6">
      <c r="A477" s="4"/>
      <c r="B477" s="4"/>
      <c r="C477" s="91" t="s">
        <v>93</v>
      </c>
      <c r="D477" s="91" t="s">
        <v>13</v>
      </c>
      <c r="E477" s="91" t="s">
        <v>43</v>
      </c>
      <c r="F477" s="89">
        <v>2634500</v>
      </c>
    </row>
    <row r="478" spans="1:6">
      <c r="A478" s="4"/>
      <c r="B478" s="4"/>
      <c r="C478" s="4"/>
      <c r="D478" s="91" t="s">
        <v>20</v>
      </c>
      <c r="E478" s="91" t="s">
        <v>43</v>
      </c>
      <c r="F478" s="89">
        <v>500000</v>
      </c>
    </row>
    <row r="479" spans="1:6">
      <c r="A479" s="4"/>
      <c r="B479" s="4"/>
      <c r="C479" s="4"/>
      <c r="D479" s="91" t="s">
        <v>21</v>
      </c>
      <c r="E479" s="91" t="s">
        <v>43</v>
      </c>
      <c r="F479" s="89">
        <v>9750000</v>
      </c>
    </row>
    <row r="480" spans="1:6">
      <c r="A480" s="4"/>
      <c r="B480" s="4"/>
      <c r="C480" s="4"/>
      <c r="D480" s="91" t="s">
        <v>24</v>
      </c>
      <c r="E480" s="91" t="s">
        <v>43</v>
      </c>
      <c r="F480" s="89">
        <v>3325000</v>
      </c>
    </row>
    <row r="481" spans="1:6">
      <c r="A481" s="4"/>
      <c r="B481" s="4"/>
      <c r="C481" s="4"/>
      <c r="D481" s="91" t="s">
        <v>30</v>
      </c>
      <c r="E481" s="91" t="s">
        <v>43</v>
      </c>
      <c r="F481" s="89">
        <v>8500000</v>
      </c>
    </row>
    <row r="482" spans="1:6">
      <c r="A482" s="4"/>
      <c r="B482" s="4"/>
      <c r="C482" s="4"/>
      <c r="D482" s="91" t="s">
        <v>26</v>
      </c>
      <c r="E482" s="91" t="s">
        <v>43</v>
      </c>
      <c r="F482" s="89">
        <v>4750000</v>
      </c>
    </row>
    <row r="483" spans="1:6">
      <c r="A483" s="4"/>
      <c r="B483" s="4"/>
      <c r="C483" s="4"/>
      <c r="D483" s="91" t="s">
        <v>63</v>
      </c>
      <c r="E483" s="91" t="s">
        <v>43</v>
      </c>
      <c r="F483" s="89">
        <v>9500000</v>
      </c>
    </row>
    <row r="484" spans="1:6">
      <c r="A484" s="91" t="s">
        <v>310</v>
      </c>
      <c r="B484" s="91" t="s">
        <v>311</v>
      </c>
      <c r="C484" s="91" t="s">
        <v>119</v>
      </c>
      <c r="D484" s="91" t="s">
        <v>18</v>
      </c>
      <c r="E484" s="91" t="s">
        <v>53</v>
      </c>
      <c r="F484" s="89">
        <v>7500000</v>
      </c>
    </row>
    <row r="485" spans="1:6">
      <c r="A485" s="4"/>
      <c r="B485" s="4"/>
      <c r="C485" s="4"/>
      <c r="D485" s="91" t="s">
        <v>13</v>
      </c>
      <c r="E485" s="91" t="s">
        <v>53</v>
      </c>
      <c r="F485" s="89">
        <v>2502500</v>
      </c>
    </row>
    <row r="486" spans="1:6">
      <c r="A486" s="4"/>
      <c r="B486" s="4"/>
      <c r="C486" s="4"/>
      <c r="D486" s="91" t="s">
        <v>21</v>
      </c>
      <c r="E486" s="91" t="s">
        <v>53</v>
      </c>
      <c r="F486" s="89">
        <v>9650000</v>
      </c>
    </row>
    <row r="487" spans="1:6">
      <c r="A487" s="4"/>
      <c r="B487" s="4"/>
      <c r="C487" s="4"/>
      <c r="D487" s="91" t="s">
        <v>94</v>
      </c>
      <c r="E487" s="91" t="s">
        <v>53</v>
      </c>
      <c r="F487" s="89">
        <v>1250000</v>
      </c>
    </row>
    <row r="488" spans="1:6">
      <c r="A488" s="4"/>
      <c r="B488" s="4"/>
      <c r="C488" s="4"/>
      <c r="D488" s="91" t="s">
        <v>142</v>
      </c>
      <c r="E488" s="91" t="s">
        <v>53</v>
      </c>
      <c r="F488" s="89">
        <v>6893500</v>
      </c>
    </row>
    <row r="489" spans="1:6">
      <c r="A489" s="4"/>
      <c r="B489" s="4"/>
      <c r="C489" s="4"/>
      <c r="D489" s="91" t="s">
        <v>309</v>
      </c>
      <c r="E489" s="91" t="s">
        <v>53</v>
      </c>
      <c r="F489" s="89">
        <v>12000000</v>
      </c>
    </row>
    <row r="490" spans="1:6">
      <c r="A490" s="4"/>
      <c r="B490" s="4"/>
      <c r="C490" s="4"/>
      <c r="D490" s="91" t="s">
        <v>112</v>
      </c>
      <c r="E490" s="91" t="s">
        <v>53</v>
      </c>
      <c r="F490" s="89">
        <v>750000</v>
      </c>
    </row>
    <row r="491" spans="1:6">
      <c r="A491" s="4"/>
      <c r="B491" s="4"/>
      <c r="C491" s="91" t="s">
        <v>93</v>
      </c>
      <c r="D491" s="91" t="s">
        <v>13</v>
      </c>
      <c r="E491" s="91" t="s">
        <v>43</v>
      </c>
      <c r="F491" s="89">
        <v>2634500</v>
      </c>
    </row>
    <row r="492" spans="1:6">
      <c r="A492" s="4"/>
      <c r="B492" s="4"/>
      <c r="C492" s="4"/>
      <c r="D492" s="91" t="s">
        <v>20</v>
      </c>
      <c r="E492" s="91" t="s">
        <v>43</v>
      </c>
      <c r="F492" s="89">
        <v>500000</v>
      </c>
    </row>
    <row r="493" spans="1:6">
      <c r="A493" s="4"/>
      <c r="B493" s="4"/>
      <c r="C493" s="4"/>
      <c r="D493" s="91" t="s">
        <v>21</v>
      </c>
      <c r="E493" s="91" t="s">
        <v>43</v>
      </c>
      <c r="F493" s="89">
        <v>9750000</v>
      </c>
    </row>
    <row r="494" spans="1:6">
      <c r="A494" s="4"/>
      <c r="B494" s="4"/>
      <c r="C494" s="4"/>
      <c r="D494" s="91" t="s">
        <v>24</v>
      </c>
      <c r="E494" s="91" t="s">
        <v>43</v>
      </c>
      <c r="F494" s="89">
        <v>3325000</v>
      </c>
    </row>
    <row r="495" spans="1:6">
      <c r="A495" s="4"/>
      <c r="B495" s="4"/>
      <c r="C495" s="4"/>
      <c r="D495" s="91" t="s">
        <v>30</v>
      </c>
      <c r="E495" s="91" t="s">
        <v>43</v>
      </c>
      <c r="F495" s="89">
        <v>8500000</v>
      </c>
    </row>
    <row r="496" spans="1:6">
      <c r="A496" s="4"/>
      <c r="B496" s="4"/>
      <c r="C496" s="4"/>
      <c r="D496" s="91" t="s">
        <v>26</v>
      </c>
      <c r="E496" s="91" t="s">
        <v>43</v>
      </c>
      <c r="F496" s="89">
        <v>4750000</v>
      </c>
    </row>
    <row r="497" spans="1:6">
      <c r="A497" s="4"/>
      <c r="B497" s="4"/>
      <c r="C497" s="4"/>
      <c r="D497" s="91" t="s">
        <v>63</v>
      </c>
      <c r="E497" s="91" t="s">
        <v>43</v>
      </c>
      <c r="F497" s="89">
        <v>9500000</v>
      </c>
    </row>
    <row r="498" spans="1:6">
      <c r="A498" s="91" t="s">
        <v>312</v>
      </c>
      <c r="B498" s="91" t="s">
        <v>313</v>
      </c>
      <c r="C498" s="91" t="s">
        <v>205</v>
      </c>
      <c r="D498" s="91" t="s">
        <v>18</v>
      </c>
      <c r="E498" s="91" t="s">
        <v>53</v>
      </c>
      <c r="F498" s="89">
        <v>16400000</v>
      </c>
    </row>
    <row r="499" spans="1:6">
      <c r="A499" s="4"/>
      <c r="B499" s="4"/>
      <c r="C499" s="4"/>
      <c r="D499" s="91" t="s">
        <v>13</v>
      </c>
      <c r="E499" s="91" t="s">
        <v>53</v>
      </c>
      <c r="F499" s="89">
        <v>1897500</v>
      </c>
    </row>
    <row r="500" spans="1:6">
      <c r="A500" s="4"/>
      <c r="B500" s="4"/>
      <c r="C500" s="4"/>
      <c r="D500" s="91" t="s">
        <v>21</v>
      </c>
      <c r="E500" s="91" t="s">
        <v>53</v>
      </c>
      <c r="F500" s="89">
        <v>22000000</v>
      </c>
    </row>
    <row r="501" spans="1:6">
      <c r="A501" s="4"/>
      <c r="B501" s="4"/>
      <c r="C501" s="4"/>
      <c r="D501" s="91" t="s">
        <v>22</v>
      </c>
      <c r="E501" s="91" t="s">
        <v>53</v>
      </c>
      <c r="F501" s="89">
        <v>9500000</v>
      </c>
    </row>
    <row r="502" spans="1:6">
      <c r="A502" s="4"/>
      <c r="B502" s="4"/>
      <c r="C502" s="4"/>
      <c r="D502" s="91" t="s">
        <v>23</v>
      </c>
      <c r="E502" s="91" t="s">
        <v>53</v>
      </c>
      <c r="F502" s="89">
        <v>5000000</v>
      </c>
    </row>
    <row r="503" spans="1:6">
      <c r="A503" s="4"/>
      <c r="B503" s="4"/>
      <c r="C503" s="4"/>
      <c r="D503" s="91" t="s">
        <v>24</v>
      </c>
      <c r="E503" s="91" t="s">
        <v>53</v>
      </c>
      <c r="F503" s="89">
        <v>7125000</v>
      </c>
    </row>
    <row r="504" spans="1:6">
      <c r="A504" s="4"/>
      <c r="B504" s="4"/>
      <c r="C504" s="4"/>
      <c r="D504" s="91" t="s">
        <v>142</v>
      </c>
      <c r="E504" s="91" t="s">
        <v>53</v>
      </c>
      <c r="F504" s="89">
        <v>10260000</v>
      </c>
    </row>
    <row r="505" spans="1:6">
      <c r="A505" s="4"/>
      <c r="B505" s="4"/>
      <c r="C505" s="4"/>
      <c r="D505" s="91" t="s">
        <v>143</v>
      </c>
      <c r="E505" s="91" t="s">
        <v>53</v>
      </c>
      <c r="F505" s="89">
        <v>4500000</v>
      </c>
    </row>
    <row r="506" spans="1:6">
      <c r="A506" s="4"/>
      <c r="B506" s="4"/>
      <c r="C506" s="91" t="s">
        <v>170</v>
      </c>
      <c r="D506" s="91" t="s">
        <v>21</v>
      </c>
      <c r="E506" s="91" t="s">
        <v>53</v>
      </c>
      <c r="F506" s="89">
        <v>14647500</v>
      </c>
    </row>
    <row r="507" spans="1:6">
      <c r="A507" s="4"/>
      <c r="B507" s="4"/>
      <c r="C507" s="4"/>
      <c r="D507" s="91" t="s">
        <v>26</v>
      </c>
      <c r="E507" s="91" t="s">
        <v>53</v>
      </c>
      <c r="F507" s="89">
        <v>1750000</v>
      </c>
    </row>
    <row r="508" spans="1:6">
      <c r="A508" s="4"/>
      <c r="B508" s="4"/>
      <c r="C508" s="4"/>
      <c r="D508" s="91" t="s">
        <v>98</v>
      </c>
      <c r="E508" s="91" t="s">
        <v>53</v>
      </c>
      <c r="F508" s="89">
        <v>4250000</v>
      </c>
    </row>
    <row r="509" spans="1:6">
      <c r="A509" s="91" t="s">
        <v>314</v>
      </c>
      <c r="B509" s="91" t="s">
        <v>315</v>
      </c>
      <c r="C509" s="91" t="s">
        <v>205</v>
      </c>
      <c r="D509" s="91" t="s">
        <v>18</v>
      </c>
      <c r="E509" s="91" t="s">
        <v>53</v>
      </c>
      <c r="F509" s="89">
        <v>16400000</v>
      </c>
    </row>
    <row r="510" spans="1:6">
      <c r="A510" s="4"/>
      <c r="B510" s="4"/>
      <c r="C510" s="4"/>
      <c r="D510" s="91" t="s">
        <v>13</v>
      </c>
      <c r="E510" s="91" t="s">
        <v>53</v>
      </c>
      <c r="F510" s="89">
        <v>1897500</v>
      </c>
    </row>
    <row r="511" spans="1:6">
      <c r="A511" s="4"/>
      <c r="B511" s="4"/>
      <c r="C511" s="4"/>
      <c r="D511" s="91" t="s">
        <v>21</v>
      </c>
      <c r="E511" s="91" t="s">
        <v>53</v>
      </c>
      <c r="F511" s="89">
        <v>31750000</v>
      </c>
    </row>
    <row r="512" spans="1:6">
      <c r="A512" s="4"/>
      <c r="B512" s="4"/>
      <c r="C512" s="4"/>
      <c r="D512" s="91" t="s">
        <v>22</v>
      </c>
      <c r="E512" s="91" t="s">
        <v>53</v>
      </c>
      <c r="F512" s="89">
        <v>9500000</v>
      </c>
    </row>
    <row r="513" spans="1:6">
      <c r="A513" s="4"/>
      <c r="B513" s="4"/>
      <c r="C513" s="4"/>
      <c r="D513" s="91" t="s">
        <v>23</v>
      </c>
      <c r="E513" s="91" t="s">
        <v>53</v>
      </c>
      <c r="F513" s="89">
        <v>5000000</v>
      </c>
    </row>
    <row r="514" spans="1:6">
      <c r="A514" s="4"/>
      <c r="B514" s="4"/>
      <c r="C514" s="4"/>
      <c r="D514" s="91" t="s">
        <v>24</v>
      </c>
      <c r="E514" s="91" t="s">
        <v>53</v>
      </c>
      <c r="F514" s="89">
        <v>7125000</v>
      </c>
    </row>
    <row r="515" spans="1:6">
      <c r="A515" s="4"/>
      <c r="B515" s="4"/>
      <c r="C515" s="4"/>
      <c r="D515" s="91" t="s">
        <v>142</v>
      </c>
      <c r="E515" s="91" t="s">
        <v>53</v>
      </c>
      <c r="F515" s="89">
        <v>10260000</v>
      </c>
    </row>
    <row r="516" spans="1:6">
      <c r="A516" s="4"/>
      <c r="B516" s="4"/>
      <c r="C516" s="4"/>
      <c r="D516" s="91" t="s">
        <v>143</v>
      </c>
      <c r="E516" s="91" t="s">
        <v>53</v>
      </c>
      <c r="F516" s="89">
        <v>4500000</v>
      </c>
    </row>
    <row r="517" spans="1:6">
      <c r="A517" s="4"/>
      <c r="B517" s="4"/>
      <c r="C517" s="4"/>
      <c r="D517" s="91" t="s">
        <v>26</v>
      </c>
      <c r="E517" s="91" t="s">
        <v>53</v>
      </c>
      <c r="F517" s="89">
        <v>6000000</v>
      </c>
    </row>
    <row r="518" spans="1:6">
      <c r="A518" s="91" t="s">
        <v>316</v>
      </c>
      <c r="B518" s="91" t="s">
        <v>317</v>
      </c>
      <c r="C518" s="91" t="s">
        <v>211</v>
      </c>
      <c r="D518" s="91" t="s">
        <v>18</v>
      </c>
      <c r="E518" s="91" t="s">
        <v>43</v>
      </c>
      <c r="F518" s="89">
        <v>1500000</v>
      </c>
    </row>
    <row r="519" spans="1:6">
      <c r="A519" s="4"/>
      <c r="B519" s="4"/>
      <c r="C519" s="4"/>
      <c r="D519" s="91" t="s">
        <v>21</v>
      </c>
      <c r="E519" s="91" t="s">
        <v>43</v>
      </c>
      <c r="F519" s="89">
        <v>33250000</v>
      </c>
    </row>
    <row r="520" spans="1:6">
      <c r="A520" s="4"/>
      <c r="B520" s="4"/>
      <c r="C520" s="4"/>
      <c r="D520" s="91" t="s">
        <v>44</v>
      </c>
      <c r="E520" s="91" t="s">
        <v>43</v>
      </c>
      <c r="F520" s="89">
        <v>7250000</v>
      </c>
    </row>
    <row r="521" spans="1:6">
      <c r="A521" s="4"/>
      <c r="B521" s="4"/>
      <c r="C521" s="4"/>
      <c r="D521" s="91" t="s">
        <v>24</v>
      </c>
      <c r="E521" s="91" t="s">
        <v>43</v>
      </c>
      <c r="F521" s="89">
        <v>4500000</v>
      </c>
    </row>
    <row r="522" spans="1:6">
      <c r="A522" s="4"/>
      <c r="B522" s="4"/>
      <c r="C522" s="4"/>
      <c r="D522" s="91" t="s">
        <v>142</v>
      </c>
      <c r="E522" s="91" t="s">
        <v>43</v>
      </c>
      <c r="F522" s="89">
        <v>5250000</v>
      </c>
    </row>
    <row r="523" spans="1:6">
      <c r="A523" s="4"/>
      <c r="B523" s="4"/>
      <c r="C523" s="4"/>
      <c r="D523" s="91" t="s">
        <v>30</v>
      </c>
      <c r="E523" s="91" t="s">
        <v>43</v>
      </c>
      <c r="F523" s="89">
        <v>10000000</v>
      </c>
    </row>
    <row r="524" spans="1:6">
      <c r="A524" s="4"/>
      <c r="B524" s="4"/>
      <c r="C524" s="4"/>
      <c r="D524" s="91" t="s">
        <v>26</v>
      </c>
      <c r="E524" s="91" t="s">
        <v>43</v>
      </c>
      <c r="F524" s="89">
        <v>6900000</v>
      </c>
    </row>
    <row r="525" spans="1:6">
      <c r="A525" s="91" t="s">
        <v>318</v>
      </c>
      <c r="B525" s="91" t="s">
        <v>319</v>
      </c>
      <c r="C525" s="91" t="s">
        <v>320</v>
      </c>
      <c r="D525" s="91" t="s">
        <v>98</v>
      </c>
      <c r="E525" s="91" t="s">
        <v>215</v>
      </c>
      <c r="F525" s="89">
        <v>2000000</v>
      </c>
    </row>
    <row r="526" spans="1:6">
      <c r="A526" s="4"/>
      <c r="B526" s="4"/>
      <c r="C526" s="4"/>
      <c r="D526" s="91" t="s">
        <v>100</v>
      </c>
      <c r="E526" s="91" t="s">
        <v>215</v>
      </c>
      <c r="F526" s="89">
        <v>61052000</v>
      </c>
    </row>
    <row r="527" spans="1:6">
      <c r="A527" s="4"/>
      <c r="B527" s="4"/>
      <c r="C527" s="4"/>
      <c r="D527" s="91" t="s">
        <v>216</v>
      </c>
      <c r="E527" s="91" t="s">
        <v>215</v>
      </c>
      <c r="F527" s="89">
        <v>6580000</v>
      </c>
    </row>
    <row r="528" spans="1:6">
      <c r="A528" s="91" t="s">
        <v>321</v>
      </c>
      <c r="B528" s="91" t="s">
        <v>322</v>
      </c>
      <c r="C528" s="91" t="s">
        <v>323</v>
      </c>
      <c r="D528" s="91" t="s">
        <v>18</v>
      </c>
      <c r="E528" s="91" t="s">
        <v>59</v>
      </c>
      <c r="F528" s="89">
        <v>360000</v>
      </c>
    </row>
    <row r="529" spans="1:6">
      <c r="A529" s="4"/>
      <c r="B529" s="4"/>
      <c r="C529" s="4"/>
      <c r="D529" s="91" t="s">
        <v>13</v>
      </c>
      <c r="E529" s="91" t="s">
        <v>59</v>
      </c>
      <c r="F529" s="89">
        <v>5952650</v>
      </c>
    </row>
    <row r="530" spans="1:6">
      <c r="A530" s="4"/>
      <c r="B530" s="4"/>
      <c r="C530" s="4"/>
      <c r="D530" s="91" t="s">
        <v>194</v>
      </c>
      <c r="E530" s="91" t="s">
        <v>59</v>
      </c>
      <c r="F530" s="89">
        <v>1673650</v>
      </c>
    </row>
    <row r="531" spans="1:6">
      <c r="A531" s="4"/>
      <c r="B531" s="4"/>
      <c r="C531" s="4"/>
      <c r="D531" s="91" t="s">
        <v>94</v>
      </c>
      <c r="E531" s="91" t="s">
        <v>59</v>
      </c>
      <c r="F531" s="89">
        <v>800000</v>
      </c>
    </row>
    <row r="532" spans="1:6">
      <c r="A532" s="4"/>
      <c r="B532" s="4"/>
      <c r="C532" s="4"/>
      <c r="D532" s="91" t="s">
        <v>23</v>
      </c>
      <c r="E532" s="91" t="s">
        <v>59</v>
      </c>
      <c r="F532" s="89">
        <v>1071322</v>
      </c>
    </row>
    <row r="533" spans="1:6">
      <c r="A533" s="4"/>
      <c r="B533" s="4"/>
      <c r="C533" s="4"/>
      <c r="D533" s="91" t="s">
        <v>112</v>
      </c>
      <c r="E533" s="91" t="s">
        <v>59</v>
      </c>
      <c r="F533" s="89">
        <v>300000</v>
      </c>
    </row>
    <row r="534" spans="1:6">
      <c r="A534" s="4"/>
      <c r="B534" s="4"/>
      <c r="C534" s="4"/>
      <c r="D534" s="91" t="s">
        <v>58</v>
      </c>
      <c r="E534" s="91" t="s">
        <v>59</v>
      </c>
      <c r="F534" s="89">
        <v>24777452.5</v>
      </c>
    </row>
    <row r="535" spans="1:6">
      <c r="A535" s="91" t="s">
        <v>324</v>
      </c>
      <c r="B535" s="91" t="s">
        <v>325</v>
      </c>
      <c r="C535" s="91" t="s">
        <v>48</v>
      </c>
      <c r="D535" s="91" t="s">
        <v>49</v>
      </c>
      <c r="E535" s="91" t="s">
        <v>50</v>
      </c>
      <c r="F535" s="89">
        <v>25373468</v>
      </c>
    </row>
    <row r="536" spans="1:6">
      <c r="A536" s="4"/>
      <c r="B536" s="4"/>
      <c r="C536" s="4"/>
      <c r="D536" s="91" t="s">
        <v>33</v>
      </c>
      <c r="E536" s="91" t="s">
        <v>50</v>
      </c>
      <c r="F536" s="89">
        <v>11973879</v>
      </c>
    </row>
    <row r="537" spans="1:6">
      <c r="A537" s="4"/>
      <c r="B537" s="4"/>
      <c r="C537" s="91" t="s">
        <v>326</v>
      </c>
      <c r="D537" s="91" t="s">
        <v>33</v>
      </c>
      <c r="E537" s="91" t="s">
        <v>14</v>
      </c>
      <c r="F537" s="89">
        <v>3790640</v>
      </c>
    </row>
    <row r="538" spans="1:6">
      <c r="A538" s="91" t="s">
        <v>327</v>
      </c>
      <c r="B538" s="91" t="s">
        <v>328</v>
      </c>
      <c r="C538" s="91" t="s">
        <v>37</v>
      </c>
      <c r="D538" s="91" t="s">
        <v>30</v>
      </c>
      <c r="E538" s="91" t="s">
        <v>31</v>
      </c>
      <c r="F538" s="89">
        <v>11750000</v>
      </c>
    </row>
    <row r="539" spans="1:6">
      <c r="A539" s="4"/>
      <c r="B539" s="4"/>
      <c r="C539" s="4"/>
      <c r="D539" s="91" t="s">
        <v>33</v>
      </c>
      <c r="E539" s="91" t="s">
        <v>31</v>
      </c>
      <c r="F539" s="89">
        <v>12254000</v>
      </c>
    </row>
    <row r="540" spans="1:6">
      <c r="A540" s="4"/>
      <c r="B540" s="4"/>
      <c r="C540" s="91" t="s">
        <v>66</v>
      </c>
      <c r="D540" s="91" t="s">
        <v>30</v>
      </c>
      <c r="E540" s="91" t="s">
        <v>31</v>
      </c>
      <c r="F540" s="89">
        <v>12500000</v>
      </c>
    </row>
    <row r="541" spans="1:6">
      <c r="A541" s="4"/>
      <c r="B541" s="4"/>
      <c r="C541" s="4"/>
      <c r="D541" s="91" t="s">
        <v>32</v>
      </c>
      <c r="E541" s="91" t="s">
        <v>31</v>
      </c>
      <c r="F541" s="89">
        <v>39050000</v>
      </c>
    </row>
    <row r="542" spans="1:6">
      <c r="A542" s="91" t="s">
        <v>329</v>
      </c>
      <c r="B542" s="91" t="s">
        <v>330</v>
      </c>
      <c r="C542" s="91" t="s">
        <v>290</v>
      </c>
      <c r="D542" s="91" t="s">
        <v>13</v>
      </c>
      <c r="E542" s="91" t="s">
        <v>53</v>
      </c>
      <c r="F542" s="89">
        <v>5575000</v>
      </c>
    </row>
    <row r="543" spans="1:6">
      <c r="A543" s="4"/>
      <c r="B543" s="4"/>
      <c r="C543" s="4"/>
      <c r="D543" s="91" t="s">
        <v>21</v>
      </c>
      <c r="E543" s="91" t="s">
        <v>53</v>
      </c>
      <c r="F543" s="89">
        <v>23750000</v>
      </c>
    </row>
    <row r="544" spans="1:6">
      <c r="A544" s="4"/>
      <c r="B544" s="4"/>
      <c r="C544" s="4"/>
      <c r="D544" s="91" t="s">
        <v>44</v>
      </c>
      <c r="E544" s="91" t="s">
        <v>53</v>
      </c>
      <c r="F544" s="89">
        <v>7250000</v>
      </c>
    </row>
    <row r="545" spans="1:6">
      <c r="A545" s="4"/>
      <c r="B545" s="4"/>
      <c r="C545" s="4"/>
      <c r="D545" s="91" t="s">
        <v>94</v>
      </c>
      <c r="E545" s="91" t="s">
        <v>53</v>
      </c>
      <c r="F545" s="89">
        <v>1600000</v>
      </c>
    </row>
    <row r="546" spans="1:6">
      <c r="A546" s="4"/>
      <c r="B546" s="4"/>
      <c r="C546" s="4"/>
      <c r="D546" s="91" t="s">
        <v>22</v>
      </c>
      <c r="E546" s="91" t="s">
        <v>53</v>
      </c>
      <c r="F546" s="89">
        <v>12500000</v>
      </c>
    </row>
    <row r="547" spans="1:6">
      <c r="A547" s="4"/>
      <c r="B547" s="4"/>
      <c r="C547" s="4"/>
      <c r="D547" s="91" t="s">
        <v>24</v>
      </c>
      <c r="E547" s="91" t="s">
        <v>53</v>
      </c>
      <c r="F547" s="89">
        <v>4500000</v>
      </c>
    </row>
    <row r="548" spans="1:6">
      <c r="A548" s="4"/>
      <c r="B548" s="4"/>
      <c r="C548" s="4"/>
      <c r="D548" s="91" t="s">
        <v>26</v>
      </c>
      <c r="E548" s="91" t="s">
        <v>53</v>
      </c>
      <c r="F548" s="89">
        <v>12400000</v>
      </c>
    </row>
    <row r="549" spans="1:6">
      <c r="A549" s="4"/>
      <c r="B549" s="4"/>
      <c r="C549" s="4"/>
      <c r="D549" s="91" t="s">
        <v>45</v>
      </c>
      <c r="E549" s="91" t="s">
        <v>53</v>
      </c>
      <c r="F549" s="89">
        <v>2352200.5</v>
      </c>
    </row>
    <row r="550" spans="1:6">
      <c r="A550" s="91" t="s">
        <v>331</v>
      </c>
      <c r="B550" s="91" t="s">
        <v>332</v>
      </c>
      <c r="C550" s="91" t="s">
        <v>275</v>
      </c>
      <c r="D550" s="91" t="s">
        <v>30</v>
      </c>
      <c r="E550" s="91" t="s">
        <v>53</v>
      </c>
      <c r="F550" s="89">
        <v>11000000</v>
      </c>
    </row>
    <row r="551" spans="1:6">
      <c r="A551" s="91" t="s">
        <v>333</v>
      </c>
      <c r="B551" s="91" t="s">
        <v>334</v>
      </c>
      <c r="C551" s="91" t="s">
        <v>42</v>
      </c>
      <c r="D551" s="91" t="s">
        <v>18</v>
      </c>
      <c r="E551" s="91" t="s">
        <v>43</v>
      </c>
      <c r="F551" s="89">
        <v>39000000</v>
      </c>
    </row>
    <row r="552" spans="1:6">
      <c r="A552" s="4"/>
      <c r="B552" s="4"/>
      <c r="C552" s="4"/>
      <c r="D552" s="91" t="s">
        <v>20</v>
      </c>
      <c r="E552" s="91" t="s">
        <v>43</v>
      </c>
      <c r="F552" s="89">
        <v>600000</v>
      </c>
    </row>
    <row r="553" spans="1:6">
      <c r="A553" s="4"/>
      <c r="B553" s="4"/>
      <c r="C553" s="4"/>
      <c r="D553" s="91" t="s">
        <v>21</v>
      </c>
      <c r="E553" s="91" t="s">
        <v>43</v>
      </c>
      <c r="F553" s="89">
        <v>31250000</v>
      </c>
    </row>
    <row r="554" spans="1:6">
      <c r="A554" s="4"/>
      <c r="B554" s="4"/>
      <c r="C554" s="4"/>
      <c r="D554" s="91" t="s">
        <v>44</v>
      </c>
      <c r="E554" s="91" t="s">
        <v>43</v>
      </c>
      <c r="F554" s="89">
        <v>7250000</v>
      </c>
    </row>
    <row r="555" spans="1:6">
      <c r="A555" s="4"/>
      <c r="B555" s="4"/>
      <c r="C555" s="4"/>
      <c r="D555" s="91" t="s">
        <v>22</v>
      </c>
      <c r="E555" s="91" t="s">
        <v>43</v>
      </c>
      <c r="F555" s="89">
        <v>9750000</v>
      </c>
    </row>
    <row r="556" spans="1:6">
      <c r="A556" s="4"/>
      <c r="B556" s="4"/>
      <c r="C556" s="4"/>
      <c r="D556" s="91" t="s">
        <v>26</v>
      </c>
      <c r="E556" s="91" t="s">
        <v>43</v>
      </c>
      <c r="F556" s="89">
        <v>28000000</v>
      </c>
    </row>
    <row r="557" spans="1:6">
      <c r="A557" s="4"/>
      <c r="B557" s="4"/>
      <c r="C557" s="4"/>
      <c r="D557" s="91" t="s">
        <v>45</v>
      </c>
      <c r="E557" s="91" t="s">
        <v>43</v>
      </c>
      <c r="F557" s="89">
        <v>1497600</v>
      </c>
    </row>
    <row r="558" spans="1:6">
      <c r="A558" s="91" t="s">
        <v>335</v>
      </c>
      <c r="B558" s="91" t="s">
        <v>336</v>
      </c>
      <c r="C558" s="91" t="s">
        <v>286</v>
      </c>
      <c r="D558" s="91" t="s">
        <v>18</v>
      </c>
      <c r="E558" s="91" t="s">
        <v>53</v>
      </c>
      <c r="F558" s="89">
        <v>7225000</v>
      </c>
    </row>
    <row r="559" spans="1:6">
      <c r="A559" s="4"/>
      <c r="B559" s="4"/>
      <c r="C559" s="4"/>
      <c r="D559" s="91" t="s">
        <v>20</v>
      </c>
      <c r="E559" s="91" t="s">
        <v>53</v>
      </c>
      <c r="F559" s="89">
        <v>3950000</v>
      </c>
    </row>
    <row r="560" spans="1:6">
      <c r="A560" s="4"/>
      <c r="B560" s="4"/>
      <c r="C560" s="4"/>
      <c r="D560" s="91" t="s">
        <v>21</v>
      </c>
      <c r="E560" s="91" t="s">
        <v>53</v>
      </c>
      <c r="F560" s="89">
        <v>33000000</v>
      </c>
    </row>
    <row r="561" spans="1:6">
      <c r="A561" s="4"/>
      <c r="B561" s="4"/>
      <c r="C561" s="4"/>
      <c r="D561" s="91" t="s">
        <v>23</v>
      </c>
      <c r="E561" s="91" t="s">
        <v>53</v>
      </c>
      <c r="F561" s="89">
        <v>5000000</v>
      </c>
    </row>
    <row r="562" spans="1:6">
      <c r="A562" s="4"/>
      <c r="B562" s="4"/>
      <c r="C562" s="4"/>
      <c r="D562" s="91" t="s">
        <v>24</v>
      </c>
      <c r="E562" s="91" t="s">
        <v>53</v>
      </c>
      <c r="F562" s="89">
        <v>3000000</v>
      </c>
    </row>
    <row r="563" spans="1:6">
      <c r="A563" s="4"/>
      <c r="B563" s="4"/>
      <c r="C563" s="4"/>
      <c r="D563" s="91" t="s">
        <v>142</v>
      </c>
      <c r="E563" s="91" t="s">
        <v>53</v>
      </c>
      <c r="F563" s="89">
        <v>750000</v>
      </c>
    </row>
    <row r="564" spans="1:6">
      <c r="A564" s="4"/>
      <c r="B564" s="4"/>
      <c r="C564" s="4"/>
      <c r="D564" s="91" t="s">
        <v>287</v>
      </c>
      <c r="E564" s="91" t="s">
        <v>53</v>
      </c>
      <c r="F564" s="89">
        <v>7500000</v>
      </c>
    </row>
    <row r="565" spans="1:6">
      <c r="A565" s="4"/>
      <c r="B565" s="4"/>
      <c r="C565" s="4"/>
      <c r="D565" s="91" t="s">
        <v>26</v>
      </c>
      <c r="E565" s="91" t="s">
        <v>53</v>
      </c>
      <c r="F565" s="89">
        <v>22200000</v>
      </c>
    </row>
    <row r="566" spans="1:6">
      <c r="A566" s="4"/>
      <c r="B566" s="4"/>
      <c r="C566" s="4"/>
      <c r="D566" s="91" t="s">
        <v>247</v>
      </c>
      <c r="E566" s="91" t="s">
        <v>53</v>
      </c>
      <c r="F566" s="89">
        <v>1000000</v>
      </c>
    </row>
    <row r="567" spans="1:6">
      <c r="A567" s="4"/>
      <c r="B567" s="4"/>
      <c r="C567" s="4"/>
      <c r="D567" s="91" t="s">
        <v>92</v>
      </c>
      <c r="E567" s="91" t="s">
        <v>53</v>
      </c>
      <c r="F567" s="89">
        <v>1750000</v>
      </c>
    </row>
    <row r="568" spans="1:6">
      <c r="A568" s="91" t="s">
        <v>337</v>
      </c>
      <c r="B568" s="91" t="s">
        <v>338</v>
      </c>
      <c r="C568" s="91" t="s">
        <v>283</v>
      </c>
      <c r="D568" s="91" t="s">
        <v>18</v>
      </c>
      <c r="E568" s="91" t="s">
        <v>19</v>
      </c>
      <c r="F568" s="89">
        <v>10500000</v>
      </c>
    </row>
    <row r="569" spans="1:6">
      <c r="A569" s="4"/>
      <c r="B569" s="4"/>
      <c r="C569" s="4"/>
      <c r="D569" s="91" t="s">
        <v>21</v>
      </c>
      <c r="E569" s="91" t="s">
        <v>19</v>
      </c>
      <c r="F569" s="89">
        <v>32000000</v>
      </c>
    </row>
    <row r="570" spans="1:6">
      <c r="A570" s="4"/>
      <c r="B570" s="4"/>
      <c r="C570" s="4"/>
      <c r="D570" s="91" t="s">
        <v>22</v>
      </c>
      <c r="E570" s="91" t="s">
        <v>19</v>
      </c>
      <c r="F570" s="89">
        <v>10000000</v>
      </c>
    </row>
    <row r="571" spans="1:6">
      <c r="A571" s="4"/>
      <c r="B571" s="4"/>
      <c r="C571" s="4"/>
      <c r="D571" s="91" t="s">
        <v>30</v>
      </c>
      <c r="E571" s="91" t="s">
        <v>19</v>
      </c>
      <c r="F571" s="89">
        <v>11500000</v>
      </c>
    </row>
    <row r="572" spans="1:6">
      <c r="A572" s="91" t="s">
        <v>339</v>
      </c>
      <c r="B572" s="91" t="s">
        <v>340</v>
      </c>
      <c r="C572" s="91" t="s">
        <v>283</v>
      </c>
      <c r="D572" s="91" t="s">
        <v>18</v>
      </c>
      <c r="E572" s="91" t="s">
        <v>19</v>
      </c>
      <c r="F572" s="89">
        <v>10500000</v>
      </c>
    </row>
    <row r="573" spans="1:6">
      <c r="A573" s="4"/>
      <c r="B573" s="4"/>
      <c r="C573" s="4"/>
      <c r="D573" s="91" t="s">
        <v>21</v>
      </c>
      <c r="E573" s="91" t="s">
        <v>19</v>
      </c>
      <c r="F573" s="89">
        <v>32000000</v>
      </c>
    </row>
    <row r="574" spans="1:6">
      <c r="A574" s="4"/>
      <c r="B574" s="4"/>
      <c r="C574" s="4"/>
      <c r="D574" s="91" t="s">
        <v>22</v>
      </c>
      <c r="E574" s="91" t="s">
        <v>19</v>
      </c>
      <c r="F574" s="89">
        <v>10000000</v>
      </c>
    </row>
    <row r="575" spans="1:6">
      <c r="A575" s="4"/>
      <c r="B575" s="4"/>
      <c r="C575" s="4"/>
      <c r="D575" s="91" t="s">
        <v>30</v>
      </c>
      <c r="E575" s="91" t="s">
        <v>19</v>
      </c>
      <c r="F575" s="89">
        <v>11500000</v>
      </c>
    </row>
    <row r="576" spans="1:6">
      <c r="A576" s="91" t="s">
        <v>341</v>
      </c>
      <c r="B576" s="91" t="s">
        <v>342</v>
      </c>
      <c r="C576" s="91" t="s">
        <v>17</v>
      </c>
      <c r="D576" s="91" t="s">
        <v>18</v>
      </c>
      <c r="E576" s="91" t="s">
        <v>19</v>
      </c>
      <c r="F576" s="89">
        <v>15147500</v>
      </c>
    </row>
    <row r="577" spans="1:6">
      <c r="A577" s="4"/>
      <c r="B577" s="4"/>
      <c r="C577" s="4"/>
      <c r="D577" s="91" t="s">
        <v>13</v>
      </c>
      <c r="E577" s="91" t="s">
        <v>19</v>
      </c>
      <c r="F577" s="89">
        <v>6957500</v>
      </c>
    </row>
    <row r="578" spans="1:6">
      <c r="A578" s="4"/>
      <c r="B578" s="4"/>
      <c r="C578" s="4"/>
      <c r="D578" s="91" t="s">
        <v>20</v>
      </c>
      <c r="E578" s="91" t="s">
        <v>19</v>
      </c>
      <c r="F578" s="89">
        <v>4156000</v>
      </c>
    </row>
    <row r="579" spans="1:6">
      <c r="A579" s="4"/>
      <c r="B579" s="4"/>
      <c r="C579" s="4"/>
      <c r="D579" s="91" t="s">
        <v>21</v>
      </c>
      <c r="E579" s="91" t="s">
        <v>19</v>
      </c>
      <c r="F579" s="89">
        <v>28047500</v>
      </c>
    </row>
    <row r="580" spans="1:6">
      <c r="A580" s="4"/>
      <c r="B580" s="4"/>
      <c r="C580" s="4"/>
      <c r="D580" s="91" t="s">
        <v>22</v>
      </c>
      <c r="E580" s="91" t="s">
        <v>19</v>
      </c>
      <c r="F580" s="89">
        <v>21000000</v>
      </c>
    </row>
    <row r="581" spans="1:6">
      <c r="A581" s="4"/>
      <c r="B581" s="4"/>
      <c r="C581" s="4"/>
      <c r="D581" s="91" t="s">
        <v>23</v>
      </c>
      <c r="E581" s="91" t="s">
        <v>19</v>
      </c>
      <c r="F581" s="89">
        <v>1050000</v>
      </c>
    </row>
    <row r="582" spans="1:6">
      <c r="A582" s="4"/>
      <c r="B582" s="4"/>
      <c r="C582" s="4"/>
      <c r="D582" s="91" t="s">
        <v>24</v>
      </c>
      <c r="E582" s="91" t="s">
        <v>19</v>
      </c>
      <c r="F582" s="89">
        <v>896000</v>
      </c>
    </row>
    <row r="583" spans="1:6">
      <c r="A583" s="4"/>
      <c r="B583" s="4"/>
      <c r="C583" s="4"/>
      <c r="D583" s="91" t="s">
        <v>25</v>
      </c>
      <c r="E583" s="91" t="s">
        <v>19</v>
      </c>
      <c r="F583" s="89">
        <v>1144000</v>
      </c>
    </row>
    <row r="584" spans="1:6">
      <c r="A584" s="4"/>
      <c r="B584" s="4"/>
      <c r="C584" s="4"/>
      <c r="D584" s="91" t="s">
        <v>26</v>
      </c>
      <c r="E584" s="91" t="s">
        <v>19</v>
      </c>
      <c r="F584" s="89">
        <v>28870000</v>
      </c>
    </row>
    <row r="585" spans="1:6">
      <c r="A585" s="91" t="s">
        <v>343</v>
      </c>
      <c r="B585" s="91" t="s">
        <v>344</v>
      </c>
      <c r="C585" s="91" t="s">
        <v>133</v>
      </c>
      <c r="D585" s="91" t="s">
        <v>33</v>
      </c>
      <c r="E585" s="91" t="s">
        <v>59</v>
      </c>
      <c r="F585" s="89">
        <v>1136828</v>
      </c>
    </row>
    <row r="586" spans="1:6">
      <c r="A586" s="4"/>
      <c r="B586" s="4"/>
      <c r="C586" s="91" t="s">
        <v>52</v>
      </c>
      <c r="D586" s="91" t="s">
        <v>33</v>
      </c>
      <c r="E586" s="91" t="s">
        <v>53</v>
      </c>
      <c r="F586" s="89">
        <v>58900</v>
      </c>
    </row>
    <row r="587" spans="1:6">
      <c r="A587" s="4"/>
      <c r="B587" s="4"/>
      <c r="C587" s="91" t="s">
        <v>81</v>
      </c>
      <c r="D587" s="91" t="s">
        <v>49</v>
      </c>
      <c r="E587" s="91" t="s">
        <v>50</v>
      </c>
      <c r="F587" s="89">
        <v>4181032</v>
      </c>
    </row>
    <row r="588" spans="1:6">
      <c r="A588" s="4"/>
      <c r="B588" s="4"/>
      <c r="C588" s="91" t="s">
        <v>165</v>
      </c>
      <c r="D588" s="91" t="s">
        <v>33</v>
      </c>
      <c r="E588" s="91" t="s">
        <v>19</v>
      </c>
      <c r="F588" s="89">
        <v>1364760</v>
      </c>
    </row>
    <row r="589" spans="1:6">
      <c r="A589" s="4"/>
      <c r="B589" s="4"/>
      <c r="C589" s="91" t="s">
        <v>345</v>
      </c>
      <c r="D589" s="91" t="s">
        <v>18</v>
      </c>
      <c r="E589" s="91" t="s">
        <v>14</v>
      </c>
      <c r="F589" s="89">
        <v>100000</v>
      </c>
    </row>
    <row r="590" spans="1:6">
      <c r="A590" s="4"/>
      <c r="B590" s="4"/>
      <c r="C590" s="4"/>
      <c r="D590" s="91" t="s">
        <v>13</v>
      </c>
      <c r="E590" s="91" t="s">
        <v>14</v>
      </c>
      <c r="F590" s="89">
        <v>1001000</v>
      </c>
    </row>
    <row r="591" spans="1:6">
      <c r="A591" s="4"/>
      <c r="B591" s="4"/>
      <c r="C591" s="4"/>
      <c r="D591" s="91" t="s">
        <v>24</v>
      </c>
      <c r="E591" s="91" t="s">
        <v>14</v>
      </c>
      <c r="F591" s="89">
        <v>1858000</v>
      </c>
    </row>
    <row r="592" spans="1:6">
      <c r="A592" s="4"/>
      <c r="B592" s="4"/>
      <c r="C592" s="4"/>
      <c r="D592" s="91" t="s">
        <v>346</v>
      </c>
      <c r="E592" s="91" t="s">
        <v>14</v>
      </c>
      <c r="F592" s="89">
        <v>1199968</v>
      </c>
    </row>
    <row r="593" spans="1:6">
      <c r="A593" s="4"/>
      <c r="B593" s="4"/>
      <c r="C593" s="4"/>
      <c r="D593" s="91" t="s">
        <v>112</v>
      </c>
      <c r="E593" s="91" t="s">
        <v>14</v>
      </c>
      <c r="F593" s="89">
        <v>600000</v>
      </c>
    </row>
    <row r="594" spans="1:6">
      <c r="A594" s="4"/>
      <c r="B594" s="4"/>
      <c r="C594" s="4"/>
      <c r="D594" s="91" t="s">
        <v>155</v>
      </c>
      <c r="E594" s="91" t="s">
        <v>14</v>
      </c>
      <c r="F594" s="89">
        <v>3202000</v>
      </c>
    </row>
    <row r="595" spans="1:6">
      <c r="A595" s="4"/>
      <c r="B595" s="4"/>
      <c r="C595" s="91" t="s">
        <v>326</v>
      </c>
      <c r="D595" s="91" t="s">
        <v>33</v>
      </c>
      <c r="E595" s="91" t="s">
        <v>14</v>
      </c>
      <c r="F595" s="89">
        <v>2255377</v>
      </c>
    </row>
    <row r="596" spans="1:6">
      <c r="A596" s="91" t="s">
        <v>347</v>
      </c>
      <c r="B596" s="91" t="s">
        <v>348</v>
      </c>
      <c r="C596" s="91" t="s">
        <v>133</v>
      </c>
      <c r="D596" s="91" t="s">
        <v>49</v>
      </c>
      <c r="E596" s="91" t="s">
        <v>59</v>
      </c>
      <c r="F596" s="89">
        <v>10480000</v>
      </c>
    </row>
    <row r="597" spans="1:6">
      <c r="A597" s="4"/>
      <c r="B597" s="4"/>
      <c r="C597" s="4"/>
      <c r="D597" s="91" t="s">
        <v>33</v>
      </c>
      <c r="E597" s="91" t="s">
        <v>59</v>
      </c>
      <c r="F597" s="89">
        <v>6331565</v>
      </c>
    </row>
    <row r="598" spans="1:6">
      <c r="A598" s="4"/>
      <c r="B598" s="4"/>
      <c r="C598" s="4"/>
      <c r="D598" s="91" t="s">
        <v>58</v>
      </c>
      <c r="E598" s="91" t="s">
        <v>59</v>
      </c>
      <c r="F598" s="89">
        <v>17592123</v>
      </c>
    </row>
    <row r="599" spans="1:6">
      <c r="A599" s="4"/>
      <c r="B599" s="4"/>
      <c r="C599" s="91" t="s">
        <v>48</v>
      </c>
      <c r="D599" s="91" t="s">
        <v>33</v>
      </c>
      <c r="E599" s="91" t="s">
        <v>50</v>
      </c>
      <c r="F599" s="89">
        <v>2240944</v>
      </c>
    </row>
    <row r="600" spans="1:6">
      <c r="A600" s="4"/>
      <c r="B600" s="4"/>
      <c r="C600" s="91" t="s">
        <v>326</v>
      </c>
      <c r="D600" s="91" t="s">
        <v>33</v>
      </c>
      <c r="E600" s="91" t="s">
        <v>14</v>
      </c>
      <c r="F600" s="89">
        <v>3239320</v>
      </c>
    </row>
    <row r="601" spans="1:6">
      <c r="A601" s="91" t="s">
        <v>349</v>
      </c>
      <c r="B601" s="91" t="s">
        <v>350</v>
      </c>
      <c r="C601" s="91" t="s">
        <v>91</v>
      </c>
      <c r="D601" s="91" t="s">
        <v>21</v>
      </c>
      <c r="E601" s="91" t="s">
        <v>19</v>
      </c>
      <c r="F601" s="89">
        <v>9750000</v>
      </c>
    </row>
    <row r="602" spans="1:6">
      <c r="A602" s="4"/>
      <c r="B602" s="4"/>
      <c r="C602" s="4"/>
      <c r="D602" s="91" t="s">
        <v>26</v>
      </c>
      <c r="E602" s="91" t="s">
        <v>19</v>
      </c>
      <c r="F602" s="89">
        <v>6675000</v>
      </c>
    </row>
    <row r="603" spans="1:6">
      <c r="A603" s="4"/>
      <c r="B603" s="4"/>
      <c r="C603" s="4"/>
      <c r="D603" s="91" t="s">
        <v>92</v>
      </c>
      <c r="E603" s="91" t="s">
        <v>19</v>
      </c>
      <c r="F603" s="89">
        <v>9000000</v>
      </c>
    </row>
    <row r="604" spans="1:6">
      <c r="A604" s="4"/>
      <c r="B604" s="4"/>
      <c r="C604" s="91" t="s">
        <v>93</v>
      </c>
      <c r="D604" s="91" t="s">
        <v>13</v>
      </c>
      <c r="E604" s="91" t="s">
        <v>43</v>
      </c>
      <c r="F604" s="89">
        <v>5852000</v>
      </c>
    </row>
    <row r="605" spans="1:6">
      <c r="A605" s="4"/>
      <c r="B605" s="4"/>
      <c r="C605" s="4"/>
      <c r="D605" s="91" t="s">
        <v>21</v>
      </c>
      <c r="E605" s="91" t="s">
        <v>43</v>
      </c>
      <c r="F605" s="89">
        <v>11000000</v>
      </c>
    </row>
    <row r="606" spans="1:6">
      <c r="A606" s="4"/>
      <c r="B606" s="4"/>
      <c r="C606" s="4"/>
      <c r="D606" s="91" t="s">
        <v>94</v>
      </c>
      <c r="E606" s="91" t="s">
        <v>43</v>
      </c>
      <c r="F606" s="89">
        <v>1000000</v>
      </c>
    </row>
    <row r="607" spans="1:6">
      <c r="A607" s="4"/>
      <c r="B607" s="4"/>
      <c r="C607" s="4"/>
      <c r="D607" s="91" t="s">
        <v>26</v>
      </c>
      <c r="E607" s="91" t="s">
        <v>43</v>
      </c>
      <c r="F607" s="89">
        <v>4750000</v>
      </c>
    </row>
    <row r="608" spans="1:6">
      <c r="A608" s="91" t="s">
        <v>351</v>
      </c>
      <c r="B608" s="91" t="s">
        <v>352</v>
      </c>
      <c r="C608" s="91" t="s">
        <v>353</v>
      </c>
      <c r="D608" s="91" t="s">
        <v>98</v>
      </c>
      <c r="E608" s="91" t="s">
        <v>215</v>
      </c>
      <c r="F608" s="89">
        <v>8000000</v>
      </c>
    </row>
    <row r="609" spans="1:6">
      <c r="A609" s="4"/>
      <c r="B609" s="4"/>
      <c r="C609" s="4"/>
      <c r="D609" s="91" t="s">
        <v>100</v>
      </c>
      <c r="E609" s="91" t="s">
        <v>215</v>
      </c>
      <c r="F609" s="89">
        <v>74484000</v>
      </c>
    </row>
    <row r="610" spans="1:6">
      <c r="A610" s="4"/>
      <c r="B610" s="4"/>
      <c r="C610" s="4"/>
      <c r="D610" s="91" t="s">
        <v>216</v>
      </c>
      <c r="E610" s="91" t="s">
        <v>215</v>
      </c>
      <c r="F610" s="89">
        <v>3290000</v>
      </c>
    </row>
    <row r="611" spans="1:6">
      <c r="A611" s="91" t="s">
        <v>354</v>
      </c>
      <c r="B611" s="91" t="s">
        <v>355</v>
      </c>
      <c r="C611" s="91" t="s">
        <v>176</v>
      </c>
      <c r="D611" s="91" t="s">
        <v>18</v>
      </c>
      <c r="E611" s="91" t="s">
        <v>53</v>
      </c>
      <c r="F611" s="89">
        <v>2500000</v>
      </c>
    </row>
    <row r="612" spans="1:6">
      <c r="A612" s="4"/>
      <c r="B612" s="4"/>
      <c r="C612" s="4"/>
      <c r="D612" s="91" t="s">
        <v>13</v>
      </c>
      <c r="E612" s="91" t="s">
        <v>53</v>
      </c>
      <c r="F612" s="89">
        <v>8140000</v>
      </c>
    </row>
    <row r="613" spans="1:6">
      <c r="A613" s="4"/>
      <c r="B613" s="4"/>
      <c r="C613" s="4"/>
      <c r="D613" s="91" t="s">
        <v>21</v>
      </c>
      <c r="E613" s="91" t="s">
        <v>53</v>
      </c>
      <c r="F613" s="89">
        <v>38000000</v>
      </c>
    </row>
    <row r="614" spans="1:6">
      <c r="A614" s="4"/>
      <c r="B614" s="4"/>
      <c r="C614" s="4"/>
      <c r="D614" s="91" t="s">
        <v>194</v>
      </c>
      <c r="E614" s="91" t="s">
        <v>53</v>
      </c>
      <c r="F614" s="89">
        <v>3347300</v>
      </c>
    </row>
    <row r="615" spans="1:6">
      <c r="A615" s="4"/>
      <c r="B615" s="4"/>
      <c r="C615" s="4"/>
      <c r="D615" s="91" t="s">
        <v>94</v>
      </c>
      <c r="E615" s="91" t="s">
        <v>53</v>
      </c>
      <c r="F615" s="89">
        <v>1850000</v>
      </c>
    </row>
    <row r="616" spans="1:6">
      <c r="A616" s="4"/>
      <c r="B616" s="4"/>
      <c r="C616" s="4"/>
      <c r="D616" s="91" t="s">
        <v>23</v>
      </c>
      <c r="E616" s="91" t="s">
        <v>53</v>
      </c>
      <c r="F616" s="89">
        <v>5701828.75</v>
      </c>
    </row>
    <row r="617" spans="1:6">
      <c r="A617" s="4"/>
      <c r="B617" s="4"/>
      <c r="C617" s="4"/>
      <c r="D617" s="91" t="s">
        <v>24</v>
      </c>
      <c r="E617" s="91" t="s">
        <v>53</v>
      </c>
      <c r="F617" s="89">
        <v>2030000</v>
      </c>
    </row>
    <row r="618" spans="1:6">
      <c r="A618" s="4"/>
      <c r="B618" s="4"/>
      <c r="C618" s="4"/>
      <c r="D618" s="91" t="s">
        <v>143</v>
      </c>
      <c r="E618" s="91" t="s">
        <v>53</v>
      </c>
      <c r="F618" s="89">
        <v>1000000</v>
      </c>
    </row>
    <row r="619" spans="1:6">
      <c r="A619" s="4"/>
      <c r="B619" s="4"/>
      <c r="C619" s="4"/>
      <c r="D619" s="91" t="s">
        <v>26</v>
      </c>
      <c r="E619" s="91" t="s">
        <v>53</v>
      </c>
      <c r="F619" s="89">
        <v>24250000</v>
      </c>
    </row>
    <row r="620" spans="1:6">
      <c r="A620" s="4"/>
      <c r="B620" s="4"/>
      <c r="C620" s="4"/>
      <c r="D620" s="91" t="s">
        <v>98</v>
      </c>
      <c r="E620" s="91" t="s">
        <v>53</v>
      </c>
      <c r="F620" s="89">
        <v>3000000</v>
      </c>
    </row>
    <row r="621" spans="1:6">
      <c r="A621" s="91" t="s">
        <v>356</v>
      </c>
      <c r="B621" s="91" t="s">
        <v>357</v>
      </c>
      <c r="C621" s="91" t="s">
        <v>358</v>
      </c>
      <c r="D621" s="91" t="s">
        <v>18</v>
      </c>
      <c r="E621" s="91" t="s">
        <v>135</v>
      </c>
      <c r="F621" s="89">
        <v>500000</v>
      </c>
    </row>
    <row r="622" spans="1:6">
      <c r="A622" s="4"/>
      <c r="B622" s="4"/>
      <c r="C622" s="4"/>
      <c r="D622" s="91" t="s">
        <v>94</v>
      </c>
      <c r="E622" s="91" t="s">
        <v>135</v>
      </c>
      <c r="F622" s="89">
        <v>900000</v>
      </c>
    </row>
    <row r="623" spans="1:6">
      <c r="A623" s="4"/>
      <c r="B623" s="4"/>
      <c r="C623" s="4"/>
      <c r="D623" s="91" t="s">
        <v>26</v>
      </c>
      <c r="E623" s="91" t="s">
        <v>135</v>
      </c>
      <c r="F623" s="89">
        <v>2150000</v>
      </c>
    </row>
    <row r="624" spans="1:6">
      <c r="A624" s="4"/>
      <c r="B624" s="4"/>
      <c r="C624" s="4"/>
      <c r="D624" s="91" t="s">
        <v>155</v>
      </c>
      <c r="E624" s="91" t="s">
        <v>135</v>
      </c>
      <c r="F624" s="89">
        <v>53254000</v>
      </c>
    </row>
    <row r="625" spans="1:6">
      <c r="A625" s="4"/>
      <c r="B625" s="4"/>
      <c r="C625" s="4"/>
      <c r="D625" s="91" t="s">
        <v>216</v>
      </c>
      <c r="E625" s="91" t="s">
        <v>135</v>
      </c>
      <c r="F625" s="89">
        <v>1410000</v>
      </c>
    </row>
    <row r="626" spans="1:6">
      <c r="A626" s="4"/>
      <c r="B626" s="4"/>
      <c r="C626" s="4"/>
      <c r="D626" s="91" t="s">
        <v>58</v>
      </c>
      <c r="E626" s="91" t="s">
        <v>135</v>
      </c>
      <c r="F626" s="89">
        <v>9643329</v>
      </c>
    </row>
    <row r="627" spans="1:6">
      <c r="A627" s="91" t="s">
        <v>359</v>
      </c>
      <c r="B627" s="91" t="s">
        <v>360</v>
      </c>
      <c r="C627" s="91" t="s">
        <v>134</v>
      </c>
      <c r="D627" s="91" t="s">
        <v>49</v>
      </c>
      <c r="E627" s="91" t="s">
        <v>135</v>
      </c>
      <c r="F627" s="89">
        <v>3760000</v>
      </c>
    </row>
    <row r="628" spans="1:6">
      <c r="A628" s="4"/>
      <c r="B628" s="4"/>
      <c r="C628" s="4"/>
      <c r="D628" s="91" t="s">
        <v>30</v>
      </c>
      <c r="E628" s="91" t="s">
        <v>135</v>
      </c>
      <c r="F628" s="89">
        <v>1500000</v>
      </c>
    </row>
    <row r="629" spans="1:6">
      <c r="A629" s="4"/>
      <c r="B629" s="4"/>
      <c r="C629" s="4"/>
      <c r="D629" s="91" t="s">
        <v>33</v>
      </c>
      <c r="E629" s="91" t="s">
        <v>135</v>
      </c>
      <c r="F629" s="89">
        <v>3359358</v>
      </c>
    </row>
    <row r="630" spans="1:6">
      <c r="A630" s="4"/>
      <c r="B630" s="4"/>
      <c r="C630" s="4"/>
      <c r="D630" s="91" t="s">
        <v>58</v>
      </c>
      <c r="E630" s="91" t="s">
        <v>135</v>
      </c>
      <c r="F630" s="89">
        <v>23390573</v>
      </c>
    </row>
    <row r="631" spans="1:6">
      <c r="A631" s="91" t="s">
        <v>361</v>
      </c>
      <c r="B631" s="91" t="s">
        <v>362</v>
      </c>
      <c r="C631" s="91" t="s">
        <v>136</v>
      </c>
      <c r="D631" s="91" t="s">
        <v>49</v>
      </c>
      <c r="E631" s="91" t="s">
        <v>50</v>
      </c>
      <c r="F631" s="89">
        <v>28271863</v>
      </c>
    </row>
    <row r="632" spans="1:6">
      <c r="A632" s="4"/>
      <c r="B632" s="4"/>
      <c r="C632" s="4"/>
      <c r="D632" s="91" t="s">
        <v>33</v>
      </c>
      <c r="E632" s="91" t="s">
        <v>50</v>
      </c>
      <c r="F632" s="89">
        <v>22810786</v>
      </c>
    </row>
    <row r="633" spans="1:6">
      <c r="A633" s="4"/>
      <c r="B633" s="4"/>
      <c r="C633" s="91" t="s">
        <v>81</v>
      </c>
      <c r="D633" s="91" t="s">
        <v>49</v>
      </c>
      <c r="E633" s="91" t="s">
        <v>50</v>
      </c>
      <c r="F633" s="89">
        <v>3249389</v>
      </c>
    </row>
    <row r="634" spans="1:6">
      <c r="A634" s="91" t="s">
        <v>363</v>
      </c>
      <c r="B634" s="91"/>
      <c r="C634" s="91" t="s">
        <v>119</v>
      </c>
      <c r="D634" s="91" t="s">
        <v>18</v>
      </c>
      <c r="E634" s="91" t="s">
        <v>53</v>
      </c>
      <c r="F634" s="89">
        <v>2000000</v>
      </c>
    </row>
    <row r="635" spans="1:6">
      <c r="A635" s="4"/>
      <c r="B635" s="4"/>
      <c r="C635" s="4"/>
      <c r="D635" s="91" t="s">
        <v>21</v>
      </c>
      <c r="E635" s="91" t="s">
        <v>53</v>
      </c>
      <c r="F635" s="89">
        <v>1000000</v>
      </c>
    </row>
    <row r="636" spans="1:6">
      <c r="A636" s="4"/>
      <c r="B636" s="4"/>
      <c r="C636" s="4"/>
      <c r="D636" s="91" t="s">
        <v>247</v>
      </c>
      <c r="E636" s="91" t="s">
        <v>53</v>
      </c>
      <c r="F636" s="89">
        <v>1750000</v>
      </c>
    </row>
    <row r="637" spans="1:6">
      <c r="A637" s="4"/>
      <c r="B637" s="4"/>
      <c r="C637" s="4"/>
      <c r="D637" s="91" t="s">
        <v>92</v>
      </c>
      <c r="E637" s="91" t="s">
        <v>53</v>
      </c>
      <c r="F637" s="89">
        <v>4500000</v>
      </c>
    </row>
    <row r="638" spans="1:6">
      <c r="A638" s="4"/>
      <c r="B638" s="4"/>
      <c r="C638" s="91" t="s">
        <v>276</v>
      </c>
      <c r="D638" s="91" t="s">
        <v>24</v>
      </c>
      <c r="E638" s="91" t="s">
        <v>53</v>
      </c>
      <c r="F638" s="89">
        <v>9000000</v>
      </c>
    </row>
    <row r="639" spans="1:6">
      <c r="A639" s="91" t="s">
        <v>364</v>
      </c>
      <c r="B639" s="91" t="s">
        <v>365</v>
      </c>
      <c r="C639" s="91" t="s">
        <v>91</v>
      </c>
      <c r="D639" s="91" t="s">
        <v>18</v>
      </c>
      <c r="E639" s="91" t="s">
        <v>19</v>
      </c>
      <c r="F639" s="89">
        <v>13250000</v>
      </c>
    </row>
    <row r="640" spans="1:6">
      <c r="A640" s="4"/>
      <c r="B640" s="4"/>
      <c r="C640" s="4"/>
      <c r="D640" s="91" t="s">
        <v>247</v>
      </c>
      <c r="E640" s="91" t="s">
        <v>19</v>
      </c>
      <c r="F640" s="89">
        <v>1200000</v>
      </c>
    </row>
    <row r="641" spans="1:6">
      <c r="A641" s="4"/>
      <c r="B641" s="4"/>
      <c r="C641" s="4"/>
      <c r="D641" s="91" t="s">
        <v>248</v>
      </c>
      <c r="E641" s="91" t="s">
        <v>19</v>
      </c>
      <c r="F641" s="89">
        <v>13750000</v>
      </c>
    </row>
    <row r="642" spans="1:6">
      <c r="A642" s="4"/>
      <c r="B642" s="4"/>
      <c r="C642" s="91" t="s">
        <v>230</v>
      </c>
      <c r="D642" s="91" t="s">
        <v>13</v>
      </c>
      <c r="E642" s="91" t="s">
        <v>19</v>
      </c>
      <c r="F642" s="89">
        <v>935000</v>
      </c>
    </row>
    <row r="643" spans="1:6">
      <c r="A643" s="4"/>
      <c r="B643" s="4"/>
      <c r="C643" s="4"/>
      <c r="D643" s="91" t="s">
        <v>21</v>
      </c>
      <c r="E643" s="91" t="s">
        <v>19</v>
      </c>
      <c r="F643" s="89">
        <v>30555556</v>
      </c>
    </row>
    <row r="644" spans="1:6">
      <c r="A644" s="4"/>
      <c r="B644" s="4"/>
      <c r="C644" s="4"/>
      <c r="D644" s="91" t="s">
        <v>143</v>
      </c>
      <c r="E644" s="91" t="s">
        <v>19</v>
      </c>
      <c r="F644" s="89">
        <v>1100000</v>
      </c>
    </row>
    <row r="645" spans="1:6">
      <c r="A645" s="4"/>
      <c r="B645" s="4"/>
      <c r="C645" s="4"/>
      <c r="D645" s="91" t="s">
        <v>26</v>
      </c>
      <c r="E645" s="91" t="s">
        <v>19</v>
      </c>
      <c r="F645" s="89">
        <v>2000000</v>
      </c>
    </row>
    <row r="646" spans="1:6">
      <c r="A646" s="4"/>
      <c r="B646" s="4"/>
      <c r="C646" s="4"/>
      <c r="D646" s="91" t="s">
        <v>231</v>
      </c>
      <c r="E646" s="91" t="s">
        <v>19</v>
      </c>
      <c r="F646" s="89">
        <v>1000000</v>
      </c>
    </row>
    <row r="647" spans="1:6">
      <c r="A647" s="4"/>
      <c r="B647" s="4"/>
      <c r="C647" s="4"/>
      <c r="D647" s="91" t="s">
        <v>92</v>
      </c>
      <c r="E647" s="91" t="s">
        <v>19</v>
      </c>
      <c r="F647" s="89">
        <v>20860000</v>
      </c>
    </row>
    <row r="648" spans="1:6">
      <c r="A648" s="91" t="s">
        <v>366</v>
      </c>
      <c r="B648" s="91" t="s">
        <v>367</v>
      </c>
      <c r="C648" s="91" t="s">
        <v>62</v>
      </c>
      <c r="D648" s="91" t="s">
        <v>24</v>
      </c>
      <c r="E648" s="91" t="s">
        <v>31</v>
      </c>
      <c r="F648" s="89">
        <v>6000000</v>
      </c>
    </row>
    <row r="649" spans="1:6">
      <c r="A649" s="4"/>
      <c r="B649" s="4"/>
      <c r="C649" s="4"/>
      <c r="D649" s="91" t="s">
        <v>30</v>
      </c>
      <c r="E649" s="91" t="s">
        <v>31</v>
      </c>
      <c r="F649" s="89">
        <v>11750000</v>
      </c>
    </row>
    <row r="650" spans="1:6">
      <c r="A650" s="4"/>
      <c r="B650" s="4"/>
      <c r="C650" s="4"/>
      <c r="D650" s="91" t="s">
        <v>39</v>
      </c>
      <c r="E650" s="91" t="s">
        <v>31</v>
      </c>
      <c r="F650" s="89">
        <v>61419000</v>
      </c>
    </row>
    <row r="651" spans="1:6">
      <c r="A651" s="4"/>
      <c r="B651" s="4"/>
      <c r="C651" s="4"/>
      <c r="D651" s="91" t="s">
        <v>63</v>
      </c>
      <c r="E651" s="91" t="s">
        <v>31</v>
      </c>
      <c r="F651" s="89">
        <v>9950000</v>
      </c>
    </row>
    <row r="652" spans="1:6">
      <c r="A652" s="91" t="s">
        <v>368</v>
      </c>
      <c r="B652" s="91" t="s">
        <v>75</v>
      </c>
      <c r="C652" s="91" t="s">
        <v>76</v>
      </c>
      <c r="D652" s="91" t="s">
        <v>30</v>
      </c>
      <c r="E652" s="91" t="s">
        <v>31</v>
      </c>
      <c r="F652" s="89">
        <v>12500000</v>
      </c>
    </row>
    <row r="653" spans="1:6">
      <c r="A653" s="4"/>
      <c r="B653" s="4"/>
      <c r="C653" s="4"/>
      <c r="D653" s="91" t="s">
        <v>39</v>
      </c>
      <c r="E653" s="91" t="s">
        <v>31</v>
      </c>
      <c r="F653" s="89">
        <v>29978000</v>
      </c>
    </row>
    <row r="654" spans="1:6">
      <c r="A654" s="4"/>
      <c r="B654" s="4"/>
      <c r="C654" s="4"/>
      <c r="D654" s="91" t="s">
        <v>33</v>
      </c>
      <c r="E654" s="91" t="s">
        <v>31</v>
      </c>
      <c r="F654" s="89">
        <v>6127000</v>
      </c>
    </row>
    <row r="655" spans="1:6">
      <c r="A655" s="91" t="s">
        <v>369</v>
      </c>
      <c r="B655" s="91" t="s">
        <v>78</v>
      </c>
      <c r="C655" s="91" t="s">
        <v>76</v>
      </c>
      <c r="D655" s="91" t="s">
        <v>30</v>
      </c>
      <c r="E655" s="91" t="s">
        <v>31</v>
      </c>
      <c r="F655" s="89">
        <v>12500000</v>
      </c>
    </row>
    <row r="656" spans="1:6">
      <c r="A656" s="4"/>
      <c r="B656" s="4"/>
      <c r="C656" s="4"/>
      <c r="D656" s="91" t="s">
        <v>39</v>
      </c>
      <c r="E656" s="91" t="s">
        <v>31</v>
      </c>
      <c r="F656" s="89">
        <v>29978000</v>
      </c>
    </row>
    <row r="657" spans="1:6">
      <c r="A657" s="4"/>
      <c r="B657" s="4"/>
      <c r="C657" s="4"/>
      <c r="D657" s="91" t="s">
        <v>33</v>
      </c>
      <c r="E657" s="91" t="s">
        <v>31</v>
      </c>
      <c r="F657" s="89">
        <v>6127000</v>
      </c>
    </row>
    <row r="658" spans="1:6">
      <c r="A658" s="91" t="s">
        <v>370</v>
      </c>
      <c r="B658" s="91"/>
      <c r="C658" s="91" t="s">
        <v>230</v>
      </c>
      <c r="D658" s="91" t="s">
        <v>18</v>
      </c>
      <c r="E658" s="91" t="s">
        <v>19</v>
      </c>
      <c r="F658" s="89">
        <v>1000000</v>
      </c>
    </row>
    <row r="659" spans="1:6">
      <c r="A659" s="4"/>
      <c r="B659" s="4"/>
      <c r="C659" s="4"/>
      <c r="D659" s="91" t="s">
        <v>21</v>
      </c>
      <c r="E659" s="91" t="s">
        <v>19</v>
      </c>
      <c r="F659" s="89">
        <v>9027778</v>
      </c>
    </row>
    <row r="660" spans="1:6">
      <c r="A660" s="4"/>
      <c r="B660" s="4"/>
      <c r="C660" s="4"/>
      <c r="D660" s="91" t="s">
        <v>142</v>
      </c>
      <c r="E660" s="91" t="s">
        <v>19</v>
      </c>
      <c r="F660" s="89">
        <v>11444400</v>
      </c>
    </row>
    <row r="661" spans="1:6">
      <c r="A661" s="91" t="s">
        <v>371</v>
      </c>
      <c r="B661" s="91" t="s">
        <v>372</v>
      </c>
      <c r="C661" s="91" t="s">
        <v>161</v>
      </c>
      <c r="D661" s="91" t="s">
        <v>18</v>
      </c>
      <c r="E661" s="91" t="s">
        <v>53</v>
      </c>
      <c r="F661" s="89">
        <v>82000</v>
      </c>
    </row>
    <row r="662" spans="1:6">
      <c r="A662" s="4"/>
      <c r="B662" s="4"/>
      <c r="C662" s="4"/>
      <c r="D662" s="91" t="s">
        <v>13</v>
      </c>
      <c r="E662" s="91" t="s">
        <v>53</v>
      </c>
      <c r="F662" s="89">
        <v>1362000</v>
      </c>
    </row>
    <row r="663" spans="1:6">
      <c r="A663" s="4"/>
      <c r="B663" s="4"/>
      <c r="C663" s="4"/>
      <c r="D663" s="91" t="s">
        <v>21</v>
      </c>
      <c r="E663" s="91" t="s">
        <v>53</v>
      </c>
      <c r="F663" s="89">
        <v>22500000</v>
      </c>
    </row>
    <row r="664" spans="1:6">
      <c r="A664" s="4"/>
      <c r="B664" s="4"/>
      <c r="C664" s="4"/>
      <c r="D664" s="91" t="s">
        <v>24</v>
      </c>
      <c r="E664" s="91" t="s">
        <v>53</v>
      </c>
      <c r="F664" s="89">
        <v>9000000</v>
      </c>
    </row>
    <row r="665" spans="1:6">
      <c r="A665" s="4"/>
      <c r="B665" s="4"/>
      <c r="C665" s="4"/>
      <c r="D665" s="91" t="s">
        <v>26</v>
      </c>
      <c r="E665" s="91" t="s">
        <v>53</v>
      </c>
      <c r="F665" s="89">
        <v>1000000</v>
      </c>
    </row>
    <row r="666" spans="1:6">
      <c r="A666" s="4"/>
      <c r="B666" s="4"/>
      <c r="C666" s="4"/>
      <c r="D666" s="91" t="s">
        <v>227</v>
      </c>
      <c r="E666" s="91" t="s">
        <v>53</v>
      </c>
      <c r="F666" s="89">
        <v>1532000</v>
      </c>
    </row>
    <row r="667" spans="1:6">
      <c r="A667" s="91" t="s">
        <v>373</v>
      </c>
      <c r="B667" s="91" t="s">
        <v>374</v>
      </c>
      <c r="C667" s="91" t="s">
        <v>208</v>
      </c>
      <c r="D667" s="91" t="s">
        <v>18</v>
      </c>
      <c r="E667" s="91" t="s">
        <v>19</v>
      </c>
      <c r="F667" s="89">
        <v>10250000</v>
      </c>
    </row>
    <row r="668" spans="1:6">
      <c r="A668" s="4"/>
      <c r="B668" s="4"/>
      <c r="C668" s="4"/>
      <c r="D668" s="91" t="s">
        <v>13</v>
      </c>
      <c r="E668" s="91" t="s">
        <v>19</v>
      </c>
      <c r="F668" s="89">
        <v>2586000</v>
      </c>
    </row>
    <row r="669" spans="1:6">
      <c r="A669" s="4"/>
      <c r="B669" s="4"/>
      <c r="C669" s="4"/>
      <c r="D669" s="91" t="s">
        <v>21</v>
      </c>
      <c r="E669" s="91" t="s">
        <v>19</v>
      </c>
      <c r="F669" s="89">
        <v>12500000</v>
      </c>
    </row>
    <row r="670" spans="1:6">
      <c r="A670" s="4"/>
      <c r="B670" s="4"/>
      <c r="C670" s="4"/>
      <c r="D670" s="91" t="s">
        <v>44</v>
      </c>
      <c r="E670" s="91" t="s">
        <v>19</v>
      </c>
      <c r="F670" s="89">
        <v>1750000</v>
      </c>
    </row>
    <row r="671" spans="1:6">
      <c r="A671" s="4"/>
      <c r="B671" s="4"/>
      <c r="C671" s="4"/>
      <c r="D671" s="91" t="s">
        <v>30</v>
      </c>
      <c r="E671" s="91" t="s">
        <v>19</v>
      </c>
      <c r="F671" s="89">
        <v>12500000</v>
      </c>
    </row>
    <row r="672" spans="1:6">
      <c r="A672" s="91" t="s">
        <v>375</v>
      </c>
      <c r="B672" s="91" t="s">
        <v>376</v>
      </c>
      <c r="C672" s="91" t="s">
        <v>208</v>
      </c>
      <c r="D672" s="91" t="s">
        <v>21</v>
      </c>
      <c r="E672" s="91" t="s">
        <v>19</v>
      </c>
      <c r="F672" s="89">
        <v>12500000</v>
      </c>
    </row>
    <row r="673" spans="1:6">
      <c r="A673" s="4"/>
      <c r="B673" s="4"/>
      <c r="C673" s="4"/>
      <c r="D673" s="91" t="s">
        <v>44</v>
      </c>
      <c r="E673" s="91" t="s">
        <v>19</v>
      </c>
      <c r="F673" s="89">
        <v>1750000</v>
      </c>
    </row>
    <row r="674" spans="1:6">
      <c r="A674" s="4"/>
      <c r="B674" s="4"/>
      <c r="C674" s="4"/>
      <c r="D674" s="91" t="s">
        <v>30</v>
      </c>
      <c r="E674" s="91" t="s">
        <v>19</v>
      </c>
      <c r="F674" s="89">
        <v>12500000</v>
      </c>
    </row>
    <row r="675" spans="1:6">
      <c r="A675" s="91" t="s">
        <v>377</v>
      </c>
      <c r="B675" s="91" t="s">
        <v>378</v>
      </c>
      <c r="C675" s="91" t="s">
        <v>379</v>
      </c>
      <c r="D675" s="91" t="s">
        <v>13</v>
      </c>
      <c r="E675" s="91" t="s">
        <v>14</v>
      </c>
      <c r="F675" s="89">
        <v>3000000</v>
      </c>
    </row>
    <row r="676" spans="1:6">
      <c r="A676" s="4"/>
      <c r="B676" s="4"/>
      <c r="C676" s="4"/>
      <c r="D676" s="91" t="s">
        <v>44</v>
      </c>
      <c r="E676" s="91" t="s">
        <v>14</v>
      </c>
      <c r="F676" s="89">
        <v>3800000</v>
      </c>
    </row>
    <row r="677" spans="1:6">
      <c r="A677" s="4"/>
      <c r="B677" s="4"/>
      <c r="C677" s="4"/>
      <c r="D677" s="91" t="s">
        <v>26</v>
      </c>
      <c r="E677" s="91" t="s">
        <v>14</v>
      </c>
      <c r="F677" s="89">
        <v>3150000</v>
      </c>
    </row>
    <row r="678" spans="1:6">
      <c r="A678" s="4"/>
      <c r="B678" s="4"/>
      <c r="C678" s="4"/>
      <c r="D678" s="91" t="s">
        <v>380</v>
      </c>
      <c r="E678" s="91" t="s">
        <v>14</v>
      </c>
      <c r="F678" s="89">
        <v>900000</v>
      </c>
    </row>
    <row r="679" spans="1:6">
      <c r="A679" s="4"/>
      <c r="B679" s="4"/>
      <c r="C679" s="91" t="s">
        <v>381</v>
      </c>
      <c r="D679" s="91" t="s">
        <v>18</v>
      </c>
      <c r="E679" s="91" t="s">
        <v>14</v>
      </c>
      <c r="F679" s="89">
        <v>900000</v>
      </c>
    </row>
    <row r="680" spans="1:6">
      <c r="A680" s="4"/>
      <c r="B680" s="4"/>
      <c r="C680" s="4"/>
      <c r="D680" s="91" t="s">
        <v>26</v>
      </c>
      <c r="E680" s="91" t="s">
        <v>14</v>
      </c>
      <c r="F680" s="89">
        <v>2000000</v>
      </c>
    </row>
    <row r="681" spans="1:6">
      <c r="A681" s="91" t="s">
        <v>382</v>
      </c>
      <c r="B681" s="91" t="s">
        <v>383</v>
      </c>
      <c r="C681" s="91" t="s">
        <v>8</v>
      </c>
      <c r="D681" s="91" t="s">
        <v>143</v>
      </c>
      <c r="E681" s="91" t="s">
        <v>10</v>
      </c>
      <c r="F681" s="89">
        <v>1000000</v>
      </c>
    </row>
    <row r="682" spans="1:6">
      <c r="A682" s="4"/>
      <c r="B682" s="4"/>
      <c r="C682" s="4"/>
      <c r="D682" s="91" t="s">
        <v>26</v>
      </c>
      <c r="E682" s="91" t="s">
        <v>10</v>
      </c>
      <c r="F682" s="89">
        <v>10100000</v>
      </c>
    </row>
    <row r="683" spans="1:6">
      <c r="A683" s="4"/>
      <c r="B683" s="4"/>
      <c r="C683" s="91" t="s">
        <v>384</v>
      </c>
      <c r="D683" s="91" t="s">
        <v>44</v>
      </c>
      <c r="E683" s="91" t="s">
        <v>261</v>
      </c>
      <c r="F683" s="89">
        <v>2200000</v>
      </c>
    </row>
    <row r="684" spans="1:6">
      <c r="A684" s="91" t="s">
        <v>385</v>
      </c>
      <c r="B684" s="91" t="s">
        <v>386</v>
      </c>
      <c r="C684" s="91" t="s">
        <v>103</v>
      </c>
      <c r="D684" s="91" t="s">
        <v>26</v>
      </c>
      <c r="E684" s="91" t="s">
        <v>43</v>
      </c>
      <c r="F684" s="89">
        <v>1500000</v>
      </c>
    </row>
    <row r="685" spans="1:6">
      <c r="A685" s="91" t="s">
        <v>387</v>
      </c>
      <c r="B685" s="91"/>
      <c r="C685" s="91" t="s">
        <v>205</v>
      </c>
      <c r="D685" s="91" t="s">
        <v>26</v>
      </c>
      <c r="E685" s="91" t="s">
        <v>53</v>
      </c>
      <c r="F685" s="89">
        <v>6000000</v>
      </c>
    </row>
    <row r="686" spans="1:6">
      <c r="A686" s="91" t="s">
        <v>388</v>
      </c>
      <c r="B686" s="91" t="s">
        <v>389</v>
      </c>
      <c r="C686" s="91" t="s">
        <v>283</v>
      </c>
      <c r="D686" s="91" t="s">
        <v>20</v>
      </c>
      <c r="E686" s="91" t="s">
        <v>19</v>
      </c>
      <c r="F686" s="89">
        <v>1250000</v>
      </c>
    </row>
    <row r="687" spans="1:6">
      <c r="A687" s="4"/>
      <c r="B687" s="4"/>
      <c r="C687" s="4"/>
      <c r="D687" s="91" t="s">
        <v>143</v>
      </c>
      <c r="E687" s="91" t="s">
        <v>19</v>
      </c>
      <c r="F687" s="89">
        <v>1000000</v>
      </c>
    </row>
    <row r="688" spans="1:6">
      <c r="A688" s="4"/>
      <c r="B688" s="4"/>
      <c r="C688" s="4"/>
      <c r="D688" s="91" t="s">
        <v>92</v>
      </c>
      <c r="E688" s="91" t="s">
        <v>19</v>
      </c>
      <c r="F688" s="89">
        <v>11250000</v>
      </c>
    </row>
    <row r="689" spans="1:6">
      <c r="A689" s="91" t="s">
        <v>390</v>
      </c>
      <c r="B689" s="91" t="s">
        <v>391</v>
      </c>
      <c r="C689" s="91" t="s">
        <v>392</v>
      </c>
      <c r="D689" s="91" t="s">
        <v>98</v>
      </c>
      <c r="E689" s="91" t="s">
        <v>215</v>
      </c>
      <c r="F689" s="89">
        <v>2000000</v>
      </c>
    </row>
    <row r="690" spans="1:6">
      <c r="A690" s="4"/>
      <c r="B690" s="4"/>
      <c r="C690" s="4"/>
      <c r="D690" s="91" t="s">
        <v>100</v>
      </c>
      <c r="E690" s="91" t="s">
        <v>215</v>
      </c>
      <c r="F690" s="89">
        <v>70966000</v>
      </c>
    </row>
    <row r="691" spans="1:6">
      <c r="A691" s="91" t="s">
        <v>393</v>
      </c>
      <c r="B691" s="91"/>
      <c r="C691" s="91" t="s">
        <v>394</v>
      </c>
      <c r="D691" s="91" t="s">
        <v>380</v>
      </c>
      <c r="E691" s="91"/>
      <c r="F691" s="89">
        <v>21000000</v>
      </c>
    </row>
    <row r="692" spans="1:6">
      <c r="A692" s="4"/>
      <c r="B692" s="4"/>
      <c r="C692" s="91" t="s">
        <v>395</v>
      </c>
      <c r="D692" s="91" t="s">
        <v>380</v>
      </c>
      <c r="E692" s="91"/>
      <c r="F692" s="89">
        <v>21000000</v>
      </c>
    </row>
    <row r="693" spans="1:6">
      <c r="A693" s="4"/>
      <c r="B693" s="4"/>
      <c r="C693" s="91" t="s">
        <v>396</v>
      </c>
      <c r="D693" s="91" t="s">
        <v>44</v>
      </c>
      <c r="E693" s="91"/>
      <c r="F693" s="89">
        <v>14500000</v>
      </c>
    </row>
    <row r="694" spans="1:6">
      <c r="A694" s="4"/>
      <c r="B694" s="4"/>
      <c r="C694" s="91" t="s">
        <v>397</v>
      </c>
      <c r="D694" s="91" t="s">
        <v>150</v>
      </c>
      <c r="E694" s="91"/>
      <c r="F694" s="89">
        <v>18000000</v>
      </c>
    </row>
    <row r="695" spans="1:6">
      <c r="A695" s="4"/>
      <c r="B695" s="4"/>
      <c r="C695" s="91" t="s">
        <v>398</v>
      </c>
      <c r="D695" s="91" t="s">
        <v>150</v>
      </c>
      <c r="E695" s="91"/>
      <c r="F695" s="89">
        <v>18000000</v>
      </c>
    </row>
    <row r="696" spans="1:6">
      <c r="A696" s="91" t="s">
        <v>399</v>
      </c>
      <c r="B696" s="91" t="s">
        <v>400</v>
      </c>
      <c r="C696" s="91" t="s">
        <v>266</v>
      </c>
      <c r="D696" s="91" t="s">
        <v>18</v>
      </c>
      <c r="E696" s="91" t="s">
        <v>43</v>
      </c>
      <c r="F696" s="89">
        <v>5750000</v>
      </c>
    </row>
    <row r="697" spans="1:6">
      <c r="A697" s="4"/>
      <c r="B697" s="4"/>
      <c r="C697" s="4"/>
      <c r="D697" s="91" t="s">
        <v>13</v>
      </c>
      <c r="E697" s="91" t="s">
        <v>43</v>
      </c>
      <c r="F697" s="89">
        <v>880000</v>
      </c>
    </row>
    <row r="698" spans="1:6">
      <c r="A698" s="4"/>
      <c r="B698" s="4"/>
      <c r="C698" s="4"/>
      <c r="D698" s="91" t="s">
        <v>21</v>
      </c>
      <c r="E698" s="91" t="s">
        <v>43</v>
      </c>
      <c r="F698" s="89">
        <v>30500000</v>
      </c>
    </row>
    <row r="699" spans="1:6">
      <c r="A699" s="4"/>
      <c r="B699" s="4"/>
      <c r="C699" s="4"/>
      <c r="D699" s="91" t="s">
        <v>44</v>
      </c>
      <c r="E699" s="91" t="s">
        <v>43</v>
      </c>
      <c r="F699" s="89">
        <v>7250000</v>
      </c>
    </row>
    <row r="700" spans="1:6">
      <c r="A700" s="4"/>
      <c r="B700" s="4"/>
      <c r="C700" s="4"/>
      <c r="D700" s="91" t="s">
        <v>94</v>
      </c>
      <c r="E700" s="91" t="s">
        <v>43</v>
      </c>
      <c r="F700" s="89">
        <v>1750000</v>
      </c>
    </row>
    <row r="701" spans="1:6">
      <c r="A701" s="4"/>
      <c r="B701" s="4"/>
      <c r="C701" s="4"/>
      <c r="D701" s="91" t="s">
        <v>22</v>
      </c>
      <c r="E701" s="91" t="s">
        <v>43</v>
      </c>
      <c r="F701" s="89">
        <v>5000000</v>
      </c>
    </row>
    <row r="702" spans="1:6">
      <c r="A702" s="4"/>
      <c r="B702" s="4"/>
      <c r="C702" s="4"/>
      <c r="D702" s="91" t="s">
        <v>24</v>
      </c>
      <c r="E702" s="91" t="s">
        <v>43</v>
      </c>
      <c r="F702" s="89">
        <v>20500000</v>
      </c>
    </row>
    <row r="703" spans="1:6">
      <c r="A703" s="4"/>
      <c r="B703" s="4"/>
      <c r="C703" s="4"/>
      <c r="D703" s="91" t="s">
        <v>26</v>
      </c>
      <c r="E703" s="91" t="s">
        <v>43</v>
      </c>
      <c r="F703" s="89">
        <v>3575000</v>
      </c>
    </row>
    <row r="704" spans="1:6">
      <c r="A704" s="4"/>
      <c r="B704" s="4"/>
      <c r="C704" s="4"/>
      <c r="D704" s="91" t="s">
        <v>267</v>
      </c>
      <c r="E704" s="91" t="s">
        <v>43</v>
      </c>
      <c r="F704" s="89">
        <v>2000000</v>
      </c>
    </row>
    <row r="705" spans="1:6">
      <c r="A705" s="4"/>
      <c r="B705" s="4"/>
      <c r="C705" s="4"/>
      <c r="D705" s="91" t="s">
        <v>150</v>
      </c>
      <c r="E705" s="91" t="s">
        <v>43</v>
      </c>
      <c r="F705" s="89">
        <v>1807500</v>
      </c>
    </row>
    <row r="706" spans="1:6">
      <c r="A706" s="91" t="s">
        <v>401</v>
      </c>
      <c r="B706" s="91" t="s">
        <v>402</v>
      </c>
      <c r="C706" s="91" t="s">
        <v>403</v>
      </c>
      <c r="D706" s="91" t="s">
        <v>33</v>
      </c>
      <c r="E706" s="91" t="s">
        <v>257</v>
      </c>
      <c r="F706" s="89">
        <v>1860582</v>
      </c>
    </row>
    <row r="707" spans="1:6">
      <c r="A707" s="4"/>
      <c r="B707" s="4"/>
      <c r="C707" s="4"/>
      <c r="D707" s="91" t="s">
        <v>58</v>
      </c>
      <c r="E707" s="91" t="s">
        <v>257</v>
      </c>
      <c r="F707" s="89">
        <v>54044077.5</v>
      </c>
    </row>
    <row r="708" spans="1:6">
      <c r="A708" s="4"/>
      <c r="B708" s="4"/>
      <c r="C708" s="91" t="s">
        <v>48</v>
      </c>
      <c r="D708" s="91" t="s">
        <v>33</v>
      </c>
      <c r="E708" s="91" t="s">
        <v>50</v>
      </c>
      <c r="F708" s="89">
        <v>4515750</v>
      </c>
    </row>
    <row r="709" spans="1:6">
      <c r="A709" s="91" t="s">
        <v>404</v>
      </c>
      <c r="B709" s="4"/>
      <c r="C709" s="4"/>
      <c r="D709" s="4"/>
      <c r="E709" s="4"/>
      <c r="F709" s="89">
        <v>8561365747.25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875"/>
  <sheetViews>
    <sheetView topLeftCell="A858" workbookViewId="0">
      <selection activeCell="E862" sqref="E862"/>
    </sheetView>
  </sheetViews>
  <sheetFormatPr defaultColWidth="9" defaultRowHeight="15" outlineLevelCol="5"/>
  <cols>
    <col min="1" max="1" width="13.7142857142857" customWidth="1"/>
    <col min="2" max="2" width="25.5714285714286" customWidth="1"/>
    <col min="3" max="3" width="15.2857142857143" customWidth="1"/>
    <col min="4" max="4" width="18.8571428571429" customWidth="1"/>
    <col min="5" max="5" width="25"/>
    <col min="6" max="6" width="27.5714285714286"/>
  </cols>
  <sheetData>
    <row r="3" spans="1:6">
      <c r="A3" s="88" t="s">
        <v>4</v>
      </c>
      <c r="B3" s="88" t="s">
        <v>405</v>
      </c>
      <c r="C3" s="88" t="s">
        <v>1</v>
      </c>
      <c r="D3" s="88" t="s">
        <v>2</v>
      </c>
      <c r="E3" s="88" t="s">
        <v>3</v>
      </c>
      <c r="F3" s="88" t="s">
        <v>5</v>
      </c>
    </row>
    <row r="4" spans="1:6">
      <c r="A4" s="88"/>
      <c r="B4" s="88" t="s">
        <v>393</v>
      </c>
      <c r="C4" s="88"/>
      <c r="D4" s="88" t="s">
        <v>394</v>
      </c>
      <c r="E4" s="88" t="s">
        <v>380</v>
      </c>
      <c r="F4" s="90">
        <v>21000000</v>
      </c>
    </row>
    <row r="5" spans="1:6">
      <c r="A5" s="88"/>
      <c r="B5" s="88" t="s">
        <v>393</v>
      </c>
      <c r="C5" s="88"/>
      <c r="D5" s="88" t="s">
        <v>395</v>
      </c>
      <c r="E5" s="88" t="s">
        <v>380</v>
      </c>
      <c r="F5" s="90">
        <v>21000000</v>
      </c>
    </row>
    <row r="6" spans="1:6">
      <c r="A6" s="88"/>
      <c r="B6" s="88" t="s">
        <v>393</v>
      </c>
      <c r="C6" s="88"/>
      <c r="D6" s="88" t="s">
        <v>396</v>
      </c>
      <c r="E6" s="88" t="s">
        <v>44</v>
      </c>
      <c r="F6" s="90">
        <v>14500000</v>
      </c>
    </row>
    <row r="7" spans="1:6">
      <c r="A7" s="88"/>
      <c r="B7" s="88" t="s">
        <v>393</v>
      </c>
      <c r="C7" s="88"/>
      <c r="D7" s="88" t="s">
        <v>397</v>
      </c>
      <c r="E7" s="88" t="s">
        <v>150</v>
      </c>
      <c r="F7" s="90">
        <v>18000000</v>
      </c>
    </row>
    <row r="8" spans="1:6">
      <c r="A8" s="88"/>
      <c r="B8" s="88" t="s">
        <v>393</v>
      </c>
      <c r="C8" s="88"/>
      <c r="D8" s="88" t="s">
        <v>398</v>
      </c>
      <c r="E8" s="88" t="s">
        <v>150</v>
      </c>
      <c r="F8" s="90">
        <v>18000000</v>
      </c>
    </row>
    <row r="9" spans="1:6">
      <c r="A9" s="88"/>
      <c r="B9" s="88" t="s">
        <v>406</v>
      </c>
      <c r="C9" s="88"/>
      <c r="D9" s="88"/>
      <c r="E9" s="88"/>
      <c r="F9" s="90">
        <v>92500000</v>
      </c>
    </row>
    <row r="10" spans="1:6">
      <c r="A10" s="88" t="s">
        <v>407</v>
      </c>
      <c r="B10" s="88"/>
      <c r="C10" s="88"/>
      <c r="D10" s="88"/>
      <c r="E10" s="88"/>
      <c r="F10" s="90">
        <v>92500000</v>
      </c>
    </row>
    <row r="11" spans="1:6">
      <c r="A11" s="88" t="s">
        <v>99</v>
      </c>
      <c r="B11" s="88" t="s">
        <v>95</v>
      </c>
      <c r="C11" s="88" t="s">
        <v>96</v>
      </c>
      <c r="D11" s="88" t="s">
        <v>97</v>
      </c>
      <c r="E11" s="88" t="s">
        <v>98</v>
      </c>
      <c r="F11" s="90">
        <v>10000000</v>
      </c>
    </row>
    <row r="12" spans="1:6">
      <c r="A12" s="88"/>
      <c r="B12" s="88" t="s">
        <v>95</v>
      </c>
      <c r="C12" s="88"/>
      <c r="D12" s="88"/>
      <c r="E12" s="88" t="s">
        <v>100</v>
      </c>
      <c r="F12" s="90">
        <v>88428000</v>
      </c>
    </row>
    <row r="13" spans="1:6">
      <c r="A13" s="88"/>
      <c r="B13" s="88" t="s">
        <v>408</v>
      </c>
      <c r="C13" s="88"/>
      <c r="D13" s="88"/>
      <c r="E13" s="88"/>
      <c r="F13" s="90">
        <v>98428000</v>
      </c>
    </row>
    <row r="14" spans="1:6">
      <c r="A14" s="88"/>
      <c r="B14" s="88" t="s">
        <v>152</v>
      </c>
      <c r="C14" s="88" t="s">
        <v>153</v>
      </c>
      <c r="D14" s="88" t="s">
        <v>154</v>
      </c>
      <c r="E14" s="88" t="s">
        <v>155</v>
      </c>
      <c r="F14" s="90">
        <v>71990000</v>
      </c>
    </row>
    <row r="15" spans="1:6">
      <c r="A15" s="88"/>
      <c r="B15" s="88" t="s">
        <v>152</v>
      </c>
      <c r="C15" s="88"/>
      <c r="D15" s="88"/>
      <c r="E15" s="88" t="s">
        <v>58</v>
      </c>
      <c r="F15" s="90">
        <v>6471193</v>
      </c>
    </row>
    <row r="16" spans="1:6">
      <c r="A16" s="88"/>
      <c r="B16" s="88" t="s">
        <v>409</v>
      </c>
      <c r="C16" s="88"/>
      <c r="D16" s="88"/>
      <c r="E16" s="88"/>
      <c r="F16" s="90">
        <v>78461193</v>
      </c>
    </row>
    <row r="17" spans="1:6">
      <c r="A17" s="88" t="s">
        <v>410</v>
      </c>
      <c r="B17" s="88"/>
      <c r="C17" s="88"/>
      <c r="D17" s="88"/>
      <c r="E17" s="88"/>
      <c r="F17" s="90">
        <v>176889193</v>
      </c>
    </row>
    <row r="18" spans="1:6">
      <c r="A18" s="88" t="s">
        <v>261</v>
      </c>
      <c r="B18" s="88" t="s">
        <v>258</v>
      </c>
      <c r="C18" s="88" t="s">
        <v>259</v>
      </c>
      <c r="D18" s="88" t="s">
        <v>260</v>
      </c>
      <c r="E18" s="88" t="s">
        <v>256</v>
      </c>
      <c r="F18" s="90">
        <v>13156000</v>
      </c>
    </row>
    <row r="19" spans="1:6">
      <c r="A19" s="88"/>
      <c r="B19" s="88" t="s">
        <v>258</v>
      </c>
      <c r="C19" s="88"/>
      <c r="D19" s="88" t="s">
        <v>262</v>
      </c>
      <c r="E19" s="88" t="s">
        <v>256</v>
      </c>
      <c r="F19" s="90">
        <v>84483000</v>
      </c>
    </row>
    <row r="20" spans="1:6">
      <c r="A20" s="88"/>
      <c r="B20" s="88" t="s">
        <v>258</v>
      </c>
      <c r="C20" s="88"/>
      <c r="D20" s="88" t="s">
        <v>263</v>
      </c>
      <c r="E20" s="88" t="s">
        <v>256</v>
      </c>
      <c r="F20" s="90">
        <v>4550000</v>
      </c>
    </row>
    <row r="21" spans="1:6">
      <c r="A21" s="88"/>
      <c r="B21" s="88" t="s">
        <v>411</v>
      </c>
      <c r="C21" s="88"/>
      <c r="D21" s="88"/>
      <c r="E21" s="88"/>
      <c r="F21" s="90">
        <v>102189000</v>
      </c>
    </row>
    <row r="22" spans="1:6">
      <c r="A22" s="88"/>
      <c r="B22" s="88" t="s">
        <v>382</v>
      </c>
      <c r="C22" s="88" t="s">
        <v>383</v>
      </c>
      <c r="D22" s="88" t="s">
        <v>384</v>
      </c>
      <c r="E22" s="88" t="s">
        <v>44</v>
      </c>
      <c r="F22" s="90">
        <v>2200000</v>
      </c>
    </row>
    <row r="23" spans="1:6">
      <c r="A23" s="88"/>
      <c r="B23" s="88" t="s">
        <v>412</v>
      </c>
      <c r="C23" s="88"/>
      <c r="D23" s="88"/>
      <c r="E23" s="88"/>
      <c r="F23" s="90">
        <v>2200000</v>
      </c>
    </row>
    <row r="24" spans="1:6">
      <c r="A24" s="88" t="s">
        <v>413</v>
      </c>
      <c r="B24" s="88"/>
      <c r="C24" s="88"/>
      <c r="D24" s="88"/>
      <c r="E24" s="88"/>
      <c r="F24" s="90">
        <v>104389000</v>
      </c>
    </row>
    <row r="25" spans="1:6">
      <c r="A25" s="88" t="s">
        <v>19</v>
      </c>
      <c r="B25" s="88" t="s">
        <v>15</v>
      </c>
      <c r="C25" s="88" t="s">
        <v>16</v>
      </c>
      <c r="D25" s="88" t="s">
        <v>17</v>
      </c>
      <c r="E25" s="88" t="s">
        <v>18</v>
      </c>
      <c r="F25" s="90">
        <v>15147500</v>
      </c>
    </row>
    <row r="26" spans="1:6">
      <c r="A26" s="88"/>
      <c r="B26" s="88" t="s">
        <v>15</v>
      </c>
      <c r="C26" s="88"/>
      <c r="D26" s="88"/>
      <c r="E26" s="88" t="s">
        <v>13</v>
      </c>
      <c r="F26" s="90">
        <v>6957500</v>
      </c>
    </row>
    <row r="27" spans="1:6">
      <c r="A27" s="88"/>
      <c r="B27" s="88" t="s">
        <v>15</v>
      </c>
      <c r="C27" s="88"/>
      <c r="D27" s="88"/>
      <c r="E27" s="88" t="s">
        <v>20</v>
      </c>
      <c r="F27" s="90">
        <v>4156000</v>
      </c>
    </row>
    <row r="28" spans="1:6">
      <c r="A28" s="88"/>
      <c r="B28" s="88" t="s">
        <v>15</v>
      </c>
      <c r="C28" s="88"/>
      <c r="D28" s="88"/>
      <c r="E28" s="88" t="s">
        <v>21</v>
      </c>
      <c r="F28" s="90">
        <v>28047500</v>
      </c>
    </row>
    <row r="29" spans="1:6">
      <c r="A29" s="88"/>
      <c r="B29" s="88" t="s">
        <v>15</v>
      </c>
      <c r="C29" s="88"/>
      <c r="D29" s="88"/>
      <c r="E29" s="88" t="s">
        <v>22</v>
      </c>
      <c r="F29" s="90">
        <v>21000000</v>
      </c>
    </row>
    <row r="30" spans="1:6">
      <c r="A30" s="88"/>
      <c r="B30" s="88" t="s">
        <v>15</v>
      </c>
      <c r="C30" s="88"/>
      <c r="D30" s="88"/>
      <c r="E30" s="88" t="s">
        <v>23</v>
      </c>
      <c r="F30" s="90">
        <v>1050000</v>
      </c>
    </row>
    <row r="31" spans="1:6">
      <c r="A31" s="88"/>
      <c r="B31" s="88" t="s">
        <v>15</v>
      </c>
      <c r="C31" s="88"/>
      <c r="D31" s="88"/>
      <c r="E31" s="88" t="s">
        <v>24</v>
      </c>
      <c r="F31" s="90">
        <v>896000</v>
      </c>
    </row>
    <row r="32" spans="1:6">
      <c r="A32" s="88"/>
      <c r="B32" s="88" t="s">
        <v>15</v>
      </c>
      <c r="C32" s="88"/>
      <c r="D32" s="88"/>
      <c r="E32" s="88" t="s">
        <v>25</v>
      </c>
      <c r="F32" s="90">
        <v>1144000</v>
      </c>
    </row>
    <row r="33" spans="1:6">
      <c r="A33" s="88"/>
      <c r="B33" s="88" t="s">
        <v>15</v>
      </c>
      <c r="C33" s="88"/>
      <c r="D33" s="88"/>
      <c r="E33" s="88" t="s">
        <v>26</v>
      </c>
      <c r="F33" s="90">
        <v>28870000</v>
      </c>
    </row>
    <row r="34" spans="1:6">
      <c r="A34" s="88"/>
      <c r="B34" s="88" t="s">
        <v>414</v>
      </c>
      <c r="C34" s="88"/>
      <c r="D34" s="88"/>
      <c r="E34" s="88"/>
      <c r="F34" s="90">
        <v>107268500</v>
      </c>
    </row>
    <row r="35" spans="1:6">
      <c r="A35" s="88"/>
      <c r="B35" s="88" t="s">
        <v>89</v>
      </c>
      <c r="C35" s="88" t="s">
        <v>90</v>
      </c>
      <c r="D35" s="88" t="s">
        <v>91</v>
      </c>
      <c r="E35" s="88" t="s">
        <v>21</v>
      </c>
      <c r="F35" s="90">
        <v>9750000</v>
      </c>
    </row>
    <row r="36" spans="1:6">
      <c r="A36" s="88"/>
      <c r="B36" s="88" t="s">
        <v>89</v>
      </c>
      <c r="C36" s="88"/>
      <c r="D36" s="88"/>
      <c r="E36" s="88" t="s">
        <v>26</v>
      </c>
      <c r="F36" s="90">
        <v>6675000</v>
      </c>
    </row>
    <row r="37" spans="1:6">
      <c r="A37" s="88"/>
      <c r="B37" s="88" t="s">
        <v>89</v>
      </c>
      <c r="C37" s="88"/>
      <c r="D37" s="88"/>
      <c r="E37" s="88" t="s">
        <v>92</v>
      </c>
      <c r="F37" s="90">
        <v>9000000</v>
      </c>
    </row>
    <row r="38" spans="1:6">
      <c r="A38" s="88"/>
      <c r="B38" s="88" t="s">
        <v>415</v>
      </c>
      <c r="C38" s="88"/>
      <c r="D38" s="88"/>
      <c r="E38" s="88"/>
      <c r="F38" s="90">
        <v>25425000</v>
      </c>
    </row>
    <row r="39" spans="1:6">
      <c r="A39" s="88"/>
      <c r="B39" s="88" t="s">
        <v>107</v>
      </c>
      <c r="C39" s="88" t="s">
        <v>108</v>
      </c>
      <c r="D39" s="88" t="s">
        <v>109</v>
      </c>
      <c r="E39" s="88" t="s">
        <v>21</v>
      </c>
      <c r="F39" s="90">
        <v>73211112</v>
      </c>
    </row>
    <row r="40" spans="1:6">
      <c r="A40" s="88"/>
      <c r="B40" s="88" t="s">
        <v>107</v>
      </c>
      <c r="C40" s="88"/>
      <c r="D40" s="88"/>
      <c r="E40" s="88" t="s">
        <v>24</v>
      </c>
      <c r="F40" s="90">
        <v>17500000</v>
      </c>
    </row>
    <row r="41" spans="1:6">
      <c r="A41" s="88"/>
      <c r="B41" s="88" t="s">
        <v>107</v>
      </c>
      <c r="C41" s="88"/>
      <c r="D41" s="88"/>
      <c r="E41" s="88" t="s">
        <v>110</v>
      </c>
      <c r="F41" s="90">
        <v>6637500</v>
      </c>
    </row>
    <row r="42" spans="1:6">
      <c r="A42" s="88"/>
      <c r="B42" s="88" t="s">
        <v>107</v>
      </c>
      <c r="C42" s="88"/>
      <c r="D42" s="88"/>
      <c r="E42" s="88" t="s">
        <v>26</v>
      </c>
      <c r="F42" s="90">
        <v>775000</v>
      </c>
    </row>
    <row r="43" spans="1:6">
      <c r="A43" s="88"/>
      <c r="B43" s="88" t="s">
        <v>107</v>
      </c>
      <c r="C43" s="88"/>
      <c r="D43" s="88"/>
      <c r="E43" s="88" t="s">
        <v>111</v>
      </c>
      <c r="F43" s="90">
        <v>2600000</v>
      </c>
    </row>
    <row r="44" spans="1:6">
      <c r="A44" s="88"/>
      <c r="B44" s="88" t="s">
        <v>107</v>
      </c>
      <c r="C44" s="88"/>
      <c r="D44" s="88"/>
      <c r="E44" s="88" t="s">
        <v>112</v>
      </c>
      <c r="F44" s="90">
        <v>7050000</v>
      </c>
    </row>
    <row r="45" spans="1:6">
      <c r="A45" s="88"/>
      <c r="B45" s="88" t="s">
        <v>107</v>
      </c>
      <c r="C45" s="88"/>
      <c r="D45" s="88"/>
      <c r="E45" s="88" t="s">
        <v>92</v>
      </c>
      <c r="F45" s="90">
        <v>2000000</v>
      </c>
    </row>
    <row r="46" spans="1:6">
      <c r="A46" s="88"/>
      <c r="B46" s="88" t="s">
        <v>416</v>
      </c>
      <c r="C46" s="88"/>
      <c r="D46" s="88"/>
      <c r="E46" s="88"/>
      <c r="F46" s="90">
        <v>109773612</v>
      </c>
    </row>
    <row r="47" spans="1:6">
      <c r="A47" s="88"/>
      <c r="B47" s="88" t="s">
        <v>120</v>
      </c>
      <c r="C47" s="88" t="s">
        <v>121</v>
      </c>
      <c r="D47" s="88" t="s">
        <v>109</v>
      </c>
      <c r="E47" s="88" t="s">
        <v>21</v>
      </c>
      <c r="F47" s="90">
        <v>73211112</v>
      </c>
    </row>
    <row r="48" spans="1:6">
      <c r="A48" s="88"/>
      <c r="B48" s="88" t="s">
        <v>120</v>
      </c>
      <c r="C48" s="88"/>
      <c r="D48" s="88"/>
      <c r="E48" s="88" t="s">
        <v>24</v>
      </c>
      <c r="F48" s="90">
        <v>17500000</v>
      </c>
    </row>
    <row r="49" spans="1:6">
      <c r="A49" s="88"/>
      <c r="B49" s="88" t="s">
        <v>120</v>
      </c>
      <c r="C49" s="88"/>
      <c r="D49" s="88"/>
      <c r="E49" s="88" t="s">
        <v>110</v>
      </c>
      <c r="F49" s="90">
        <v>6637500</v>
      </c>
    </row>
    <row r="50" spans="1:6">
      <c r="A50" s="88"/>
      <c r="B50" s="88" t="s">
        <v>120</v>
      </c>
      <c r="C50" s="88"/>
      <c r="D50" s="88"/>
      <c r="E50" s="88" t="s">
        <v>26</v>
      </c>
      <c r="F50" s="90">
        <v>775000</v>
      </c>
    </row>
    <row r="51" spans="1:6">
      <c r="A51" s="88"/>
      <c r="B51" s="88" t="s">
        <v>120</v>
      </c>
      <c r="C51" s="88"/>
      <c r="D51" s="88"/>
      <c r="E51" s="88" t="s">
        <v>111</v>
      </c>
      <c r="F51" s="90">
        <v>2600000</v>
      </c>
    </row>
    <row r="52" spans="1:6">
      <c r="A52" s="88"/>
      <c r="B52" s="88" t="s">
        <v>120</v>
      </c>
      <c r="C52" s="88"/>
      <c r="D52" s="88"/>
      <c r="E52" s="88" t="s">
        <v>112</v>
      </c>
      <c r="F52" s="90">
        <v>7050000</v>
      </c>
    </row>
    <row r="53" spans="1:6">
      <c r="A53" s="88"/>
      <c r="B53" s="88" t="s">
        <v>120</v>
      </c>
      <c r="C53" s="88"/>
      <c r="D53" s="88"/>
      <c r="E53" s="88" t="s">
        <v>92</v>
      </c>
      <c r="F53" s="90">
        <v>2000000</v>
      </c>
    </row>
    <row r="54" spans="1:6">
      <c r="A54" s="88"/>
      <c r="B54" s="88" t="s">
        <v>417</v>
      </c>
      <c r="C54" s="88"/>
      <c r="D54" s="88"/>
      <c r="E54" s="88"/>
      <c r="F54" s="90">
        <v>109773612</v>
      </c>
    </row>
    <row r="55" spans="1:6">
      <c r="A55" s="88"/>
      <c r="B55" s="88" t="s">
        <v>162</v>
      </c>
      <c r="C55" s="88" t="s">
        <v>163</v>
      </c>
      <c r="D55" s="88" t="s">
        <v>165</v>
      </c>
      <c r="E55" s="88" t="s">
        <v>33</v>
      </c>
      <c r="F55" s="90">
        <v>18003703</v>
      </c>
    </row>
    <row r="56" spans="1:6">
      <c r="A56" s="88"/>
      <c r="B56" s="88" t="s">
        <v>162</v>
      </c>
      <c r="C56" s="88"/>
      <c r="D56" s="88"/>
      <c r="E56" s="88" t="s">
        <v>54</v>
      </c>
      <c r="F56" s="90">
        <v>5878000</v>
      </c>
    </row>
    <row r="57" spans="1:6">
      <c r="A57" s="88"/>
      <c r="B57" s="88" t="s">
        <v>418</v>
      </c>
      <c r="C57" s="88"/>
      <c r="D57" s="88"/>
      <c r="E57" s="88"/>
      <c r="F57" s="90">
        <v>23881703</v>
      </c>
    </row>
    <row r="58" spans="1:6">
      <c r="A58" s="88"/>
      <c r="B58" s="88" t="s">
        <v>206</v>
      </c>
      <c r="C58" s="88" t="s">
        <v>207</v>
      </c>
      <c r="D58" s="88" t="s">
        <v>208</v>
      </c>
      <c r="E58" s="88" t="s">
        <v>18</v>
      </c>
      <c r="F58" s="90">
        <v>1000000</v>
      </c>
    </row>
    <row r="59" spans="1:6">
      <c r="A59" s="88"/>
      <c r="B59" s="88" t="s">
        <v>206</v>
      </c>
      <c r="C59" s="88"/>
      <c r="D59" s="88"/>
      <c r="E59" s="88" t="s">
        <v>21</v>
      </c>
      <c r="F59" s="90">
        <v>22000000</v>
      </c>
    </row>
    <row r="60" spans="1:6">
      <c r="A60" s="88"/>
      <c r="B60" s="88" t="s">
        <v>206</v>
      </c>
      <c r="C60" s="88"/>
      <c r="D60" s="88"/>
      <c r="E60" s="88" t="s">
        <v>98</v>
      </c>
      <c r="F60" s="90">
        <v>7000000</v>
      </c>
    </row>
    <row r="61" spans="1:6">
      <c r="A61" s="88"/>
      <c r="B61" s="88" t="s">
        <v>419</v>
      </c>
      <c r="C61" s="88"/>
      <c r="D61" s="88"/>
      <c r="E61" s="88"/>
      <c r="F61" s="90">
        <v>30000000</v>
      </c>
    </row>
    <row r="62" spans="1:6">
      <c r="A62" s="88"/>
      <c r="B62" s="88" t="s">
        <v>219</v>
      </c>
      <c r="C62" s="88" t="s">
        <v>220</v>
      </c>
      <c r="D62" s="88" t="s">
        <v>208</v>
      </c>
      <c r="E62" s="88" t="s">
        <v>18</v>
      </c>
      <c r="F62" s="90">
        <v>11250000</v>
      </c>
    </row>
    <row r="63" spans="1:6">
      <c r="A63" s="88"/>
      <c r="B63" s="88" t="s">
        <v>219</v>
      </c>
      <c r="C63" s="88"/>
      <c r="D63" s="88"/>
      <c r="E63" s="88" t="s">
        <v>13</v>
      </c>
      <c r="F63" s="90">
        <v>2586000</v>
      </c>
    </row>
    <row r="64" spans="1:6">
      <c r="A64" s="88"/>
      <c r="B64" s="88" t="s">
        <v>219</v>
      </c>
      <c r="C64" s="88"/>
      <c r="D64" s="88"/>
      <c r="E64" s="88" t="s">
        <v>21</v>
      </c>
      <c r="F64" s="90">
        <v>22000000</v>
      </c>
    </row>
    <row r="65" spans="1:6">
      <c r="A65" s="88"/>
      <c r="B65" s="88" t="s">
        <v>219</v>
      </c>
      <c r="C65" s="88"/>
      <c r="D65" s="88"/>
      <c r="E65" s="88" t="s">
        <v>98</v>
      </c>
      <c r="F65" s="90">
        <v>7000000</v>
      </c>
    </row>
    <row r="66" spans="1:6">
      <c r="A66" s="88"/>
      <c r="B66" s="88" t="s">
        <v>420</v>
      </c>
      <c r="C66" s="88"/>
      <c r="D66" s="88"/>
      <c r="E66" s="88"/>
      <c r="F66" s="90">
        <v>42836000</v>
      </c>
    </row>
    <row r="67" spans="1:6">
      <c r="A67" s="88"/>
      <c r="B67" s="88" t="s">
        <v>228</v>
      </c>
      <c r="C67" s="88" t="s">
        <v>229</v>
      </c>
      <c r="D67" s="88" t="s">
        <v>230</v>
      </c>
      <c r="E67" s="88" t="s">
        <v>18</v>
      </c>
      <c r="F67" s="90">
        <v>1000000</v>
      </c>
    </row>
    <row r="68" spans="1:6">
      <c r="A68" s="88"/>
      <c r="B68" s="88" t="s">
        <v>228</v>
      </c>
      <c r="C68" s="88"/>
      <c r="D68" s="88"/>
      <c r="E68" s="88" t="s">
        <v>13</v>
      </c>
      <c r="F68" s="90">
        <v>935000</v>
      </c>
    </row>
    <row r="69" spans="1:6">
      <c r="A69" s="88"/>
      <c r="B69" s="88" t="s">
        <v>228</v>
      </c>
      <c r="C69" s="88"/>
      <c r="D69" s="88"/>
      <c r="E69" s="88" t="s">
        <v>21</v>
      </c>
      <c r="F69" s="90">
        <v>49768519</v>
      </c>
    </row>
    <row r="70" spans="1:6">
      <c r="A70" s="88"/>
      <c r="B70" s="88" t="s">
        <v>228</v>
      </c>
      <c r="C70" s="88"/>
      <c r="D70" s="88"/>
      <c r="E70" s="88" t="s">
        <v>142</v>
      </c>
      <c r="F70" s="90">
        <v>11444400</v>
      </c>
    </row>
    <row r="71" spans="1:6">
      <c r="A71" s="88"/>
      <c r="B71" s="88" t="s">
        <v>228</v>
      </c>
      <c r="C71" s="88"/>
      <c r="D71" s="88"/>
      <c r="E71" s="88" t="s">
        <v>30</v>
      </c>
      <c r="F71" s="90">
        <v>25500000</v>
      </c>
    </row>
    <row r="72" spans="1:6">
      <c r="A72" s="88"/>
      <c r="B72" s="88" t="s">
        <v>228</v>
      </c>
      <c r="C72" s="88"/>
      <c r="D72" s="88"/>
      <c r="E72" s="88" t="s">
        <v>143</v>
      </c>
      <c r="F72" s="90">
        <v>1100000</v>
      </c>
    </row>
    <row r="73" spans="1:6">
      <c r="A73" s="88"/>
      <c r="B73" s="88" t="s">
        <v>228</v>
      </c>
      <c r="C73" s="88"/>
      <c r="D73" s="88"/>
      <c r="E73" s="88" t="s">
        <v>26</v>
      </c>
      <c r="F73" s="90">
        <v>2000000</v>
      </c>
    </row>
    <row r="74" spans="1:6">
      <c r="A74" s="88"/>
      <c r="B74" s="88" t="s">
        <v>228</v>
      </c>
      <c r="C74" s="88"/>
      <c r="D74" s="88"/>
      <c r="E74" s="88" t="s">
        <v>231</v>
      </c>
      <c r="F74" s="90">
        <v>1000000</v>
      </c>
    </row>
    <row r="75" spans="1:6">
      <c r="A75" s="88"/>
      <c r="B75" s="88" t="s">
        <v>228</v>
      </c>
      <c r="C75" s="88"/>
      <c r="D75" s="88"/>
      <c r="E75" s="88" t="s">
        <v>92</v>
      </c>
      <c r="F75" s="90">
        <v>20860000</v>
      </c>
    </row>
    <row r="76" spans="1:6">
      <c r="A76" s="88"/>
      <c r="B76" s="88" t="s">
        <v>421</v>
      </c>
      <c r="C76" s="88"/>
      <c r="D76" s="88"/>
      <c r="E76" s="88"/>
      <c r="F76" s="90">
        <v>113607919</v>
      </c>
    </row>
    <row r="77" spans="1:6">
      <c r="A77" s="88"/>
      <c r="B77" s="88" t="s">
        <v>245</v>
      </c>
      <c r="C77" s="88" t="s">
        <v>246</v>
      </c>
      <c r="D77" s="88" t="s">
        <v>91</v>
      </c>
      <c r="E77" s="88" t="s">
        <v>18</v>
      </c>
      <c r="F77" s="90">
        <v>13250000</v>
      </c>
    </row>
    <row r="78" spans="1:6">
      <c r="A78" s="88"/>
      <c r="B78" s="88" t="s">
        <v>245</v>
      </c>
      <c r="C78" s="88"/>
      <c r="D78" s="88"/>
      <c r="E78" s="88" t="s">
        <v>247</v>
      </c>
      <c r="F78" s="90">
        <v>1200000</v>
      </c>
    </row>
    <row r="79" spans="1:6">
      <c r="A79" s="88"/>
      <c r="B79" s="88" t="s">
        <v>245</v>
      </c>
      <c r="C79" s="88"/>
      <c r="D79" s="88"/>
      <c r="E79" s="88" t="s">
        <v>248</v>
      </c>
      <c r="F79" s="90">
        <v>13750000</v>
      </c>
    </row>
    <row r="80" spans="1:6">
      <c r="A80" s="88"/>
      <c r="B80" s="88" t="s">
        <v>245</v>
      </c>
      <c r="C80" s="88"/>
      <c r="D80" s="88" t="s">
        <v>249</v>
      </c>
      <c r="E80" s="88" t="s">
        <v>21</v>
      </c>
      <c r="F80" s="90">
        <v>35250000</v>
      </c>
    </row>
    <row r="81" spans="1:6">
      <c r="A81" s="88"/>
      <c r="B81" s="88" t="s">
        <v>245</v>
      </c>
      <c r="C81" s="88"/>
      <c r="D81" s="88"/>
      <c r="E81" s="88" t="s">
        <v>22</v>
      </c>
      <c r="F81" s="90">
        <v>15500000</v>
      </c>
    </row>
    <row r="82" spans="1:6">
      <c r="A82" s="88"/>
      <c r="B82" s="88" t="s">
        <v>422</v>
      </c>
      <c r="C82" s="88"/>
      <c r="D82" s="88"/>
      <c r="E82" s="88"/>
      <c r="F82" s="90">
        <v>78950000</v>
      </c>
    </row>
    <row r="83" spans="1:6">
      <c r="A83" s="88"/>
      <c r="B83" s="88" t="s">
        <v>250</v>
      </c>
      <c r="C83" s="88" t="s">
        <v>251</v>
      </c>
      <c r="D83" s="88" t="s">
        <v>249</v>
      </c>
      <c r="E83" s="88" t="s">
        <v>21</v>
      </c>
      <c r="F83" s="90">
        <v>35250000</v>
      </c>
    </row>
    <row r="84" spans="1:6">
      <c r="A84" s="88"/>
      <c r="B84" s="88" t="s">
        <v>250</v>
      </c>
      <c r="C84" s="88"/>
      <c r="D84" s="88"/>
      <c r="E84" s="88" t="s">
        <v>22</v>
      </c>
      <c r="F84" s="90">
        <v>15500000</v>
      </c>
    </row>
    <row r="85" spans="1:6">
      <c r="A85" s="88"/>
      <c r="B85" s="88" t="s">
        <v>423</v>
      </c>
      <c r="C85" s="88"/>
      <c r="D85" s="88"/>
      <c r="E85" s="88"/>
      <c r="F85" s="90">
        <v>50750000</v>
      </c>
    </row>
    <row r="86" spans="1:6">
      <c r="A86" s="88"/>
      <c r="B86" s="88" t="s">
        <v>268</v>
      </c>
      <c r="C86" s="88" t="s">
        <v>269</v>
      </c>
      <c r="D86" s="88" t="s">
        <v>270</v>
      </c>
      <c r="E86" s="88" t="s">
        <v>18</v>
      </c>
      <c r="F86" s="90">
        <v>18500000</v>
      </c>
    </row>
    <row r="87" spans="1:6">
      <c r="A87" s="88"/>
      <c r="B87" s="88" t="s">
        <v>268</v>
      </c>
      <c r="C87" s="88"/>
      <c r="D87" s="88"/>
      <c r="E87" s="88" t="s">
        <v>21</v>
      </c>
      <c r="F87" s="90">
        <v>20750000</v>
      </c>
    </row>
    <row r="88" spans="1:6">
      <c r="A88" s="88"/>
      <c r="B88" s="88" t="s">
        <v>268</v>
      </c>
      <c r="C88" s="88"/>
      <c r="D88" s="88"/>
      <c r="E88" s="88" t="s">
        <v>22</v>
      </c>
      <c r="F88" s="90">
        <v>12500000</v>
      </c>
    </row>
    <row r="89" spans="1:6">
      <c r="A89" s="88"/>
      <c r="B89" s="88" t="s">
        <v>268</v>
      </c>
      <c r="C89" s="88"/>
      <c r="D89" s="88"/>
      <c r="E89" s="88" t="s">
        <v>23</v>
      </c>
      <c r="F89" s="90">
        <v>1736695</v>
      </c>
    </row>
    <row r="90" spans="1:6">
      <c r="A90" s="88"/>
      <c r="B90" s="88" t="s">
        <v>268</v>
      </c>
      <c r="C90" s="88"/>
      <c r="D90" s="88"/>
      <c r="E90" s="88" t="s">
        <v>24</v>
      </c>
      <c r="F90" s="90">
        <v>13320000</v>
      </c>
    </row>
    <row r="91" spans="1:6">
      <c r="A91" s="88"/>
      <c r="B91" s="88" t="s">
        <v>268</v>
      </c>
      <c r="C91" s="88"/>
      <c r="D91" s="88"/>
      <c r="E91" s="88" t="s">
        <v>26</v>
      </c>
      <c r="F91" s="90">
        <v>13910700</v>
      </c>
    </row>
    <row r="92" spans="1:6">
      <c r="A92" s="88"/>
      <c r="B92" s="88" t="s">
        <v>268</v>
      </c>
      <c r="C92" s="88"/>
      <c r="D92" s="88"/>
      <c r="E92" s="88" t="s">
        <v>92</v>
      </c>
      <c r="F92" s="90">
        <v>12000000</v>
      </c>
    </row>
    <row r="93" spans="1:6">
      <c r="A93" s="88"/>
      <c r="B93" s="88" t="s">
        <v>424</v>
      </c>
      <c r="C93" s="88"/>
      <c r="D93" s="88"/>
      <c r="E93" s="88"/>
      <c r="F93" s="90">
        <v>92717395</v>
      </c>
    </row>
    <row r="94" spans="1:6">
      <c r="A94" s="88"/>
      <c r="B94" s="88" t="s">
        <v>271</v>
      </c>
      <c r="C94" s="88" t="s">
        <v>272</v>
      </c>
      <c r="D94" s="88" t="s">
        <v>270</v>
      </c>
      <c r="E94" s="88" t="s">
        <v>18</v>
      </c>
      <c r="F94" s="90">
        <v>18500000</v>
      </c>
    </row>
    <row r="95" spans="1:6">
      <c r="A95" s="88"/>
      <c r="B95" s="88" t="s">
        <v>271</v>
      </c>
      <c r="C95" s="88"/>
      <c r="D95" s="88"/>
      <c r="E95" s="88" t="s">
        <v>21</v>
      </c>
      <c r="F95" s="90">
        <v>20750000</v>
      </c>
    </row>
    <row r="96" spans="1:6">
      <c r="A96" s="88"/>
      <c r="B96" s="88" t="s">
        <v>271</v>
      </c>
      <c r="C96" s="88"/>
      <c r="D96" s="88"/>
      <c r="E96" s="88" t="s">
        <v>22</v>
      </c>
      <c r="F96" s="90">
        <v>12500000</v>
      </c>
    </row>
    <row r="97" spans="1:6">
      <c r="A97" s="88"/>
      <c r="B97" s="88" t="s">
        <v>271</v>
      </c>
      <c r="C97" s="88"/>
      <c r="D97" s="88"/>
      <c r="E97" s="88" t="s">
        <v>23</v>
      </c>
      <c r="F97" s="90">
        <v>1736695</v>
      </c>
    </row>
    <row r="98" spans="1:6">
      <c r="A98" s="88"/>
      <c r="B98" s="88" t="s">
        <v>271</v>
      </c>
      <c r="C98" s="88"/>
      <c r="D98" s="88"/>
      <c r="E98" s="88" t="s">
        <v>24</v>
      </c>
      <c r="F98" s="90">
        <v>13320000</v>
      </c>
    </row>
    <row r="99" spans="1:6">
      <c r="A99" s="88"/>
      <c r="B99" s="88" t="s">
        <v>271</v>
      </c>
      <c r="C99" s="88"/>
      <c r="D99" s="88"/>
      <c r="E99" s="88" t="s">
        <v>26</v>
      </c>
      <c r="F99" s="90">
        <v>13910700</v>
      </c>
    </row>
    <row r="100" spans="1:6">
      <c r="A100" s="88"/>
      <c r="B100" s="88" t="s">
        <v>271</v>
      </c>
      <c r="C100" s="88"/>
      <c r="D100" s="88"/>
      <c r="E100" s="88" t="s">
        <v>92</v>
      </c>
      <c r="F100" s="90">
        <v>12000000</v>
      </c>
    </row>
    <row r="101" spans="1:6">
      <c r="A101" s="88"/>
      <c r="B101" s="88" t="s">
        <v>425</v>
      </c>
      <c r="C101" s="88"/>
      <c r="D101" s="88"/>
      <c r="E101" s="88"/>
      <c r="F101" s="90">
        <v>92717395</v>
      </c>
    </row>
    <row r="102" spans="1:6">
      <c r="A102" s="88"/>
      <c r="B102" s="88" t="s">
        <v>281</v>
      </c>
      <c r="C102" s="88" t="s">
        <v>282</v>
      </c>
      <c r="D102" s="88" t="s">
        <v>230</v>
      </c>
      <c r="E102" s="88" t="s">
        <v>21</v>
      </c>
      <c r="F102" s="90">
        <v>10185185</v>
      </c>
    </row>
    <row r="103" spans="1:6">
      <c r="A103" s="88"/>
      <c r="B103" s="88" t="s">
        <v>281</v>
      </c>
      <c r="C103" s="88"/>
      <c r="D103" s="88" t="s">
        <v>283</v>
      </c>
      <c r="E103" s="88" t="s">
        <v>20</v>
      </c>
      <c r="F103" s="90">
        <v>1250000</v>
      </c>
    </row>
    <row r="104" spans="1:6">
      <c r="A104" s="88"/>
      <c r="B104" s="88" t="s">
        <v>281</v>
      </c>
      <c r="C104" s="88"/>
      <c r="D104" s="88"/>
      <c r="E104" s="88" t="s">
        <v>143</v>
      </c>
      <c r="F104" s="90">
        <v>1000000</v>
      </c>
    </row>
    <row r="105" spans="1:6">
      <c r="A105" s="88"/>
      <c r="B105" s="88" t="s">
        <v>281</v>
      </c>
      <c r="C105" s="88"/>
      <c r="D105" s="88"/>
      <c r="E105" s="88" t="s">
        <v>92</v>
      </c>
      <c r="F105" s="90">
        <v>11250000</v>
      </c>
    </row>
    <row r="106" spans="1:6">
      <c r="A106" s="88"/>
      <c r="B106" s="88" t="s">
        <v>426</v>
      </c>
      <c r="C106" s="88"/>
      <c r="D106" s="88"/>
      <c r="E106" s="88"/>
      <c r="F106" s="90">
        <v>23685185</v>
      </c>
    </row>
    <row r="107" spans="1:6">
      <c r="A107" s="88"/>
      <c r="B107" s="88" t="s">
        <v>337</v>
      </c>
      <c r="C107" s="88" t="s">
        <v>338</v>
      </c>
      <c r="D107" s="88" t="s">
        <v>283</v>
      </c>
      <c r="E107" s="88" t="s">
        <v>18</v>
      </c>
      <c r="F107" s="90">
        <v>10500000</v>
      </c>
    </row>
    <row r="108" spans="1:6">
      <c r="A108" s="88"/>
      <c r="B108" s="88" t="s">
        <v>337</v>
      </c>
      <c r="C108" s="88"/>
      <c r="D108" s="88"/>
      <c r="E108" s="88" t="s">
        <v>21</v>
      </c>
      <c r="F108" s="90">
        <v>32000000</v>
      </c>
    </row>
    <row r="109" spans="1:6">
      <c r="A109" s="88"/>
      <c r="B109" s="88" t="s">
        <v>337</v>
      </c>
      <c r="C109" s="88"/>
      <c r="D109" s="88"/>
      <c r="E109" s="88" t="s">
        <v>22</v>
      </c>
      <c r="F109" s="90">
        <v>10000000</v>
      </c>
    </row>
    <row r="110" spans="1:6">
      <c r="A110" s="88"/>
      <c r="B110" s="88" t="s">
        <v>337</v>
      </c>
      <c r="C110" s="88"/>
      <c r="D110" s="88"/>
      <c r="E110" s="88" t="s">
        <v>30</v>
      </c>
      <c r="F110" s="90">
        <v>11500000</v>
      </c>
    </row>
    <row r="111" spans="1:6">
      <c r="A111" s="88"/>
      <c r="B111" s="88" t="s">
        <v>427</v>
      </c>
      <c r="C111" s="88"/>
      <c r="D111" s="88"/>
      <c r="E111" s="88"/>
      <c r="F111" s="90">
        <v>64000000</v>
      </c>
    </row>
    <row r="112" spans="1:6">
      <c r="A112" s="88"/>
      <c r="B112" s="88" t="s">
        <v>339</v>
      </c>
      <c r="C112" s="88" t="s">
        <v>340</v>
      </c>
      <c r="D112" s="88" t="s">
        <v>283</v>
      </c>
      <c r="E112" s="88" t="s">
        <v>18</v>
      </c>
      <c r="F112" s="90">
        <v>10500000</v>
      </c>
    </row>
    <row r="113" spans="1:6">
      <c r="A113" s="88"/>
      <c r="B113" s="88" t="s">
        <v>339</v>
      </c>
      <c r="C113" s="88"/>
      <c r="D113" s="88"/>
      <c r="E113" s="88" t="s">
        <v>21</v>
      </c>
      <c r="F113" s="90">
        <v>32000000</v>
      </c>
    </row>
    <row r="114" spans="1:6">
      <c r="A114" s="88"/>
      <c r="B114" s="88" t="s">
        <v>339</v>
      </c>
      <c r="C114" s="88"/>
      <c r="D114" s="88"/>
      <c r="E114" s="88" t="s">
        <v>22</v>
      </c>
      <c r="F114" s="90">
        <v>10000000</v>
      </c>
    </row>
    <row r="115" spans="1:6">
      <c r="A115" s="88"/>
      <c r="B115" s="88" t="s">
        <v>339</v>
      </c>
      <c r="C115" s="88"/>
      <c r="D115" s="88"/>
      <c r="E115" s="88" t="s">
        <v>30</v>
      </c>
      <c r="F115" s="90">
        <v>11500000</v>
      </c>
    </row>
    <row r="116" spans="1:6">
      <c r="A116" s="88"/>
      <c r="B116" s="88" t="s">
        <v>428</v>
      </c>
      <c r="C116" s="88"/>
      <c r="D116" s="88"/>
      <c r="E116" s="88"/>
      <c r="F116" s="90">
        <v>64000000</v>
      </c>
    </row>
    <row r="117" spans="1:6">
      <c r="A117" s="88"/>
      <c r="B117" s="88" t="s">
        <v>341</v>
      </c>
      <c r="C117" s="88" t="s">
        <v>342</v>
      </c>
      <c r="D117" s="88" t="s">
        <v>17</v>
      </c>
      <c r="E117" s="88" t="s">
        <v>18</v>
      </c>
      <c r="F117" s="90">
        <v>15147500</v>
      </c>
    </row>
    <row r="118" spans="1:6">
      <c r="A118" s="88"/>
      <c r="B118" s="88" t="s">
        <v>341</v>
      </c>
      <c r="C118" s="88"/>
      <c r="D118" s="88"/>
      <c r="E118" s="88" t="s">
        <v>13</v>
      </c>
      <c r="F118" s="90">
        <v>6957500</v>
      </c>
    </row>
    <row r="119" spans="1:6">
      <c r="A119" s="88"/>
      <c r="B119" s="88" t="s">
        <v>341</v>
      </c>
      <c r="C119" s="88"/>
      <c r="D119" s="88"/>
      <c r="E119" s="88" t="s">
        <v>20</v>
      </c>
      <c r="F119" s="90">
        <v>4156000</v>
      </c>
    </row>
    <row r="120" spans="1:6">
      <c r="A120" s="88"/>
      <c r="B120" s="88" t="s">
        <v>341</v>
      </c>
      <c r="C120" s="88"/>
      <c r="D120" s="88"/>
      <c r="E120" s="88" t="s">
        <v>21</v>
      </c>
      <c r="F120" s="90">
        <v>28047500</v>
      </c>
    </row>
    <row r="121" spans="1:6">
      <c r="A121" s="88"/>
      <c r="B121" s="88" t="s">
        <v>341</v>
      </c>
      <c r="C121" s="88"/>
      <c r="D121" s="88"/>
      <c r="E121" s="88" t="s">
        <v>22</v>
      </c>
      <c r="F121" s="90">
        <v>21000000</v>
      </c>
    </row>
    <row r="122" spans="1:6">
      <c r="A122" s="88"/>
      <c r="B122" s="88" t="s">
        <v>341</v>
      </c>
      <c r="C122" s="88"/>
      <c r="D122" s="88"/>
      <c r="E122" s="88" t="s">
        <v>23</v>
      </c>
      <c r="F122" s="90">
        <v>1050000</v>
      </c>
    </row>
    <row r="123" spans="1:6">
      <c r="A123" s="88"/>
      <c r="B123" s="88" t="s">
        <v>341</v>
      </c>
      <c r="C123" s="88"/>
      <c r="D123" s="88"/>
      <c r="E123" s="88" t="s">
        <v>24</v>
      </c>
      <c r="F123" s="90">
        <v>896000</v>
      </c>
    </row>
    <row r="124" spans="1:6">
      <c r="A124" s="88"/>
      <c r="B124" s="88" t="s">
        <v>341</v>
      </c>
      <c r="C124" s="88"/>
      <c r="D124" s="88"/>
      <c r="E124" s="88" t="s">
        <v>25</v>
      </c>
      <c r="F124" s="90">
        <v>1144000</v>
      </c>
    </row>
    <row r="125" spans="1:6">
      <c r="A125" s="88"/>
      <c r="B125" s="88" t="s">
        <v>341</v>
      </c>
      <c r="C125" s="88"/>
      <c r="D125" s="88"/>
      <c r="E125" s="88" t="s">
        <v>26</v>
      </c>
      <c r="F125" s="90">
        <v>28870000</v>
      </c>
    </row>
    <row r="126" spans="1:6">
      <c r="A126" s="88"/>
      <c r="B126" s="88" t="s">
        <v>429</v>
      </c>
      <c r="C126" s="88"/>
      <c r="D126" s="88"/>
      <c r="E126" s="88"/>
      <c r="F126" s="90">
        <v>107268500</v>
      </c>
    </row>
    <row r="127" spans="1:6">
      <c r="A127" s="88"/>
      <c r="B127" s="88" t="s">
        <v>343</v>
      </c>
      <c r="C127" s="88" t="s">
        <v>344</v>
      </c>
      <c r="D127" s="88" t="s">
        <v>165</v>
      </c>
      <c r="E127" s="88" t="s">
        <v>33</v>
      </c>
      <c r="F127" s="90">
        <v>1364760</v>
      </c>
    </row>
    <row r="128" spans="1:6">
      <c r="A128" s="88"/>
      <c r="B128" s="88" t="s">
        <v>430</v>
      </c>
      <c r="C128" s="88"/>
      <c r="D128" s="88"/>
      <c r="E128" s="88"/>
      <c r="F128" s="90">
        <v>1364760</v>
      </c>
    </row>
    <row r="129" spans="1:6">
      <c r="A129" s="88"/>
      <c r="B129" s="88" t="s">
        <v>349</v>
      </c>
      <c r="C129" s="88" t="s">
        <v>350</v>
      </c>
      <c r="D129" s="88" t="s">
        <v>91</v>
      </c>
      <c r="E129" s="88" t="s">
        <v>21</v>
      </c>
      <c r="F129" s="90">
        <v>9750000</v>
      </c>
    </row>
    <row r="130" spans="1:6">
      <c r="A130" s="88"/>
      <c r="B130" s="88" t="s">
        <v>349</v>
      </c>
      <c r="C130" s="88"/>
      <c r="D130" s="88"/>
      <c r="E130" s="88" t="s">
        <v>26</v>
      </c>
      <c r="F130" s="90">
        <v>6675000</v>
      </c>
    </row>
    <row r="131" spans="1:6">
      <c r="A131" s="88"/>
      <c r="B131" s="88" t="s">
        <v>349</v>
      </c>
      <c r="C131" s="88"/>
      <c r="D131" s="88"/>
      <c r="E131" s="88" t="s">
        <v>92</v>
      </c>
      <c r="F131" s="90">
        <v>9000000</v>
      </c>
    </row>
    <row r="132" spans="1:6">
      <c r="A132" s="88"/>
      <c r="B132" s="88" t="s">
        <v>431</v>
      </c>
      <c r="C132" s="88"/>
      <c r="D132" s="88"/>
      <c r="E132" s="88"/>
      <c r="F132" s="90">
        <v>25425000</v>
      </c>
    </row>
    <row r="133" spans="1:6">
      <c r="A133" s="88"/>
      <c r="B133" s="88" t="s">
        <v>364</v>
      </c>
      <c r="C133" s="88" t="s">
        <v>365</v>
      </c>
      <c r="D133" s="88" t="s">
        <v>91</v>
      </c>
      <c r="E133" s="88" t="s">
        <v>18</v>
      </c>
      <c r="F133" s="90">
        <v>13250000</v>
      </c>
    </row>
    <row r="134" spans="1:6">
      <c r="A134" s="88"/>
      <c r="B134" s="88" t="s">
        <v>364</v>
      </c>
      <c r="C134" s="88"/>
      <c r="D134" s="88"/>
      <c r="E134" s="88" t="s">
        <v>247</v>
      </c>
      <c r="F134" s="90">
        <v>1200000</v>
      </c>
    </row>
    <row r="135" spans="1:6">
      <c r="A135" s="88"/>
      <c r="B135" s="88" t="s">
        <v>364</v>
      </c>
      <c r="C135" s="88"/>
      <c r="D135" s="88"/>
      <c r="E135" s="88" t="s">
        <v>248</v>
      </c>
      <c r="F135" s="90">
        <v>13750000</v>
      </c>
    </row>
    <row r="136" spans="1:6">
      <c r="A136" s="88"/>
      <c r="B136" s="88" t="s">
        <v>364</v>
      </c>
      <c r="C136" s="88"/>
      <c r="D136" s="88" t="s">
        <v>230</v>
      </c>
      <c r="E136" s="88" t="s">
        <v>13</v>
      </c>
      <c r="F136" s="90">
        <v>935000</v>
      </c>
    </row>
    <row r="137" spans="1:6">
      <c r="A137" s="88"/>
      <c r="B137" s="88" t="s">
        <v>364</v>
      </c>
      <c r="C137" s="88"/>
      <c r="D137" s="88"/>
      <c r="E137" s="88" t="s">
        <v>21</v>
      </c>
      <c r="F137" s="90">
        <v>30555556</v>
      </c>
    </row>
    <row r="138" spans="1:6">
      <c r="A138" s="88"/>
      <c r="B138" s="88" t="s">
        <v>364</v>
      </c>
      <c r="C138" s="88"/>
      <c r="D138" s="88"/>
      <c r="E138" s="88" t="s">
        <v>143</v>
      </c>
      <c r="F138" s="90">
        <v>1100000</v>
      </c>
    </row>
    <row r="139" spans="1:6">
      <c r="A139" s="88"/>
      <c r="B139" s="88" t="s">
        <v>364</v>
      </c>
      <c r="C139" s="88"/>
      <c r="D139" s="88"/>
      <c r="E139" s="88" t="s">
        <v>26</v>
      </c>
      <c r="F139" s="90">
        <v>2000000</v>
      </c>
    </row>
    <row r="140" spans="1:6">
      <c r="A140" s="88"/>
      <c r="B140" s="88" t="s">
        <v>364</v>
      </c>
      <c r="C140" s="88"/>
      <c r="D140" s="88"/>
      <c r="E140" s="88" t="s">
        <v>231</v>
      </c>
      <c r="F140" s="90">
        <v>1000000</v>
      </c>
    </row>
    <row r="141" spans="1:6">
      <c r="A141" s="88"/>
      <c r="B141" s="88" t="s">
        <v>364</v>
      </c>
      <c r="C141" s="88"/>
      <c r="D141" s="88"/>
      <c r="E141" s="88" t="s">
        <v>92</v>
      </c>
      <c r="F141" s="90">
        <v>20860000</v>
      </c>
    </row>
    <row r="142" spans="1:6">
      <c r="A142" s="88"/>
      <c r="B142" s="88" t="s">
        <v>432</v>
      </c>
      <c r="C142" s="88"/>
      <c r="D142" s="88"/>
      <c r="E142" s="88"/>
      <c r="F142" s="90">
        <v>84650556</v>
      </c>
    </row>
    <row r="143" spans="1:6">
      <c r="A143" s="88"/>
      <c r="B143" s="88" t="s">
        <v>370</v>
      </c>
      <c r="C143" s="88"/>
      <c r="D143" s="88" t="s">
        <v>230</v>
      </c>
      <c r="E143" s="88" t="s">
        <v>18</v>
      </c>
      <c r="F143" s="90">
        <v>1000000</v>
      </c>
    </row>
    <row r="144" spans="1:6">
      <c r="A144" s="88"/>
      <c r="B144" s="88" t="s">
        <v>370</v>
      </c>
      <c r="C144" s="88"/>
      <c r="D144" s="88"/>
      <c r="E144" s="88" t="s">
        <v>21</v>
      </c>
      <c r="F144" s="90">
        <v>9027778</v>
      </c>
    </row>
    <row r="145" spans="1:6">
      <c r="A145" s="88"/>
      <c r="B145" s="88" t="s">
        <v>370</v>
      </c>
      <c r="C145" s="88"/>
      <c r="D145" s="88"/>
      <c r="E145" s="88" t="s">
        <v>142</v>
      </c>
      <c r="F145" s="90">
        <v>11444400</v>
      </c>
    </row>
    <row r="146" spans="1:6">
      <c r="A146" s="88"/>
      <c r="B146" s="88" t="s">
        <v>433</v>
      </c>
      <c r="C146" s="88"/>
      <c r="D146" s="88"/>
      <c r="E146" s="88"/>
      <c r="F146" s="90">
        <v>21472178</v>
      </c>
    </row>
    <row r="147" spans="1:6">
      <c r="A147" s="88"/>
      <c r="B147" s="88" t="s">
        <v>373</v>
      </c>
      <c r="C147" s="88" t="s">
        <v>374</v>
      </c>
      <c r="D147" s="88" t="s">
        <v>208</v>
      </c>
      <c r="E147" s="88" t="s">
        <v>18</v>
      </c>
      <c r="F147" s="90">
        <v>10250000</v>
      </c>
    </row>
    <row r="148" spans="1:6">
      <c r="A148" s="88"/>
      <c r="B148" s="88" t="s">
        <v>373</v>
      </c>
      <c r="C148" s="88"/>
      <c r="D148" s="88"/>
      <c r="E148" s="88" t="s">
        <v>13</v>
      </c>
      <c r="F148" s="90">
        <v>2586000</v>
      </c>
    </row>
    <row r="149" spans="1:6">
      <c r="A149" s="88"/>
      <c r="B149" s="88" t="s">
        <v>373</v>
      </c>
      <c r="C149" s="88"/>
      <c r="D149" s="88"/>
      <c r="E149" s="88" t="s">
        <v>21</v>
      </c>
      <c r="F149" s="90">
        <v>12500000</v>
      </c>
    </row>
    <row r="150" spans="1:6">
      <c r="A150" s="88"/>
      <c r="B150" s="88" t="s">
        <v>373</v>
      </c>
      <c r="C150" s="88"/>
      <c r="D150" s="88"/>
      <c r="E150" s="88" t="s">
        <v>44</v>
      </c>
      <c r="F150" s="90">
        <v>1750000</v>
      </c>
    </row>
    <row r="151" spans="1:6">
      <c r="A151" s="88"/>
      <c r="B151" s="88" t="s">
        <v>373</v>
      </c>
      <c r="C151" s="88"/>
      <c r="D151" s="88"/>
      <c r="E151" s="88" t="s">
        <v>30</v>
      </c>
      <c r="F151" s="90">
        <v>12500000</v>
      </c>
    </row>
    <row r="152" spans="1:6">
      <c r="A152" s="88"/>
      <c r="B152" s="88" t="s">
        <v>434</v>
      </c>
      <c r="C152" s="88"/>
      <c r="D152" s="88"/>
      <c r="E152" s="88"/>
      <c r="F152" s="90">
        <v>39586000</v>
      </c>
    </row>
    <row r="153" spans="1:6">
      <c r="A153" s="88"/>
      <c r="B153" s="88" t="s">
        <v>375</v>
      </c>
      <c r="C153" s="88" t="s">
        <v>376</v>
      </c>
      <c r="D153" s="88" t="s">
        <v>208</v>
      </c>
      <c r="E153" s="88" t="s">
        <v>21</v>
      </c>
      <c r="F153" s="90">
        <v>12500000</v>
      </c>
    </row>
    <row r="154" spans="1:6">
      <c r="A154" s="88"/>
      <c r="B154" s="88" t="s">
        <v>375</v>
      </c>
      <c r="C154" s="88"/>
      <c r="D154" s="88"/>
      <c r="E154" s="88" t="s">
        <v>44</v>
      </c>
      <c r="F154" s="90">
        <v>1750000</v>
      </c>
    </row>
    <row r="155" spans="1:6">
      <c r="A155" s="88"/>
      <c r="B155" s="88" t="s">
        <v>375</v>
      </c>
      <c r="C155" s="88"/>
      <c r="D155" s="88"/>
      <c r="E155" s="88" t="s">
        <v>30</v>
      </c>
      <c r="F155" s="90">
        <v>12500000</v>
      </c>
    </row>
    <row r="156" spans="1:6">
      <c r="A156" s="88"/>
      <c r="B156" s="88" t="s">
        <v>435</v>
      </c>
      <c r="C156" s="88"/>
      <c r="D156" s="88"/>
      <c r="E156" s="88"/>
      <c r="F156" s="90">
        <v>26750000</v>
      </c>
    </row>
    <row r="157" spans="1:6">
      <c r="A157" s="88"/>
      <c r="B157" s="88" t="s">
        <v>388</v>
      </c>
      <c r="C157" s="88" t="s">
        <v>389</v>
      </c>
      <c r="D157" s="88" t="s">
        <v>283</v>
      </c>
      <c r="E157" s="88" t="s">
        <v>20</v>
      </c>
      <c r="F157" s="90">
        <v>1250000</v>
      </c>
    </row>
    <row r="158" spans="1:6">
      <c r="A158" s="88"/>
      <c r="B158" s="88" t="s">
        <v>388</v>
      </c>
      <c r="C158" s="88"/>
      <c r="D158" s="88"/>
      <c r="E158" s="88" t="s">
        <v>143</v>
      </c>
      <c r="F158" s="90">
        <v>1000000</v>
      </c>
    </row>
    <row r="159" spans="1:6">
      <c r="A159" s="88"/>
      <c r="B159" s="88" t="s">
        <v>388</v>
      </c>
      <c r="C159" s="88"/>
      <c r="D159" s="88"/>
      <c r="E159" s="88" t="s">
        <v>92</v>
      </c>
      <c r="F159" s="90">
        <v>11250000</v>
      </c>
    </row>
    <row r="160" spans="1:6">
      <c r="A160" s="88"/>
      <c r="B160" s="88" t="s">
        <v>436</v>
      </c>
      <c r="C160" s="88"/>
      <c r="D160" s="88"/>
      <c r="E160" s="88"/>
      <c r="F160" s="90">
        <v>13500000</v>
      </c>
    </row>
    <row r="161" spans="1:6">
      <c r="A161" s="88" t="s">
        <v>437</v>
      </c>
      <c r="B161" s="88"/>
      <c r="C161" s="88"/>
      <c r="D161" s="88"/>
      <c r="E161" s="88"/>
      <c r="F161" s="90">
        <v>1349403315</v>
      </c>
    </row>
    <row r="162" spans="1:6">
      <c r="A162" s="88" t="s">
        <v>59</v>
      </c>
      <c r="B162" s="88" t="s">
        <v>55</v>
      </c>
      <c r="C162" s="88" t="s">
        <v>56</v>
      </c>
      <c r="D162" s="88" t="s">
        <v>57</v>
      </c>
      <c r="E162" s="88" t="s">
        <v>58</v>
      </c>
      <c r="F162" s="90">
        <v>48582205.5</v>
      </c>
    </row>
    <row r="163" spans="1:6">
      <c r="A163" s="88"/>
      <c r="B163" s="88" t="s">
        <v>438</v>
      </c>
      <c r="C163" s="88"/>
      <c r="D163" s="88"/>
      <c r="E163" s="88"/>
      <c r="F163" s="90">
        <v>48582205.5</v>
      </c>
    </row>
    <row r="164" spans="1:6">
      <c r="A164" s="88"/>
      <c r="B164" s="88" t="s">
        <v>131</v>
      </c>
      <c r="C164" s="88" t="s">
        <v>132</v>
      </c>
      <c r="D164" s="88" t="s">
        <v>133</v>
      </c>
      <c r="E164" s="88" t="s">
        <v>33</v>
      </c>
      <c r="F164" s="90">
        <v>50490</v>
      </c>
    </row>
    <row r="165" spans="1:6">
      <c r="A165" s="88"/>
      <c r="B165" s="88" t="s">
        <v>439</v>
      </c>
      <c r="C165" s="88"/>
      <c r="D165" s="88"/>
      <c r="E165" s="88"/>
      <c r="F165" s="90">
        <v>50490</v>
      </c>
    </row>
    <row r="166" spans="1:6">
      <c r="A166" s="88"/>
      <c r="B166" s="88" t="s">
        <v>321</v>
      </c>
      <c r="C166" s="88" t="s">
        <v>322</v>
      </c>
      <c r="D166" s="88" t="s">
        <v>323</v>
      </c>
      <c r="E166" s="88" t="s">
        <v>18</v>
      </c>
      <c r="F166" s="90">
        <v>360000</v>
      </c>
    </row>
    <row r="167" spans="1:6">
      <c r="A167" s="88"/>
      <c r="B167" s="88" t="s">
        <v>321</v>
      </c>
      <c r="C167" s="88"/>
      <c r="D167" s="88"/>
      <c r="E167" s="88" t="s">
        <v>13</v>
      </c>
      <c r="F167" s="90">
        <v>5952650</v>
      </c>
    </row>
    <row r="168" spans="1:6">
      <c r="A168" s="88"/>
      <c r="B168" s="88" t="s">
        <v>321</v>
      </c>
      <c r="C168" s="88"/>
      <c r="D168" s="88"/>
      <c r="E168" s="88" t="s">
        <v>194</v>
      </c>
      <c r="F168" s="90">
        <v>1673650</v>
      </c>
    </row>
    <row r="169" spans="1:6">
      <c r="A169" s="88"/>
      <c r="B169" s="88" t="s">
        <v>321</v>
      </c>
      <c r="C169" s="88"/>
      <c r="D169" s="88"/>
      <c r="E169" s="88" t="s">
        <v>94</v>
      </c>
      <c r="F169" s="90">
        <v>800000</v>
      </c>
    </row>
    <row r="170" spans="1:6">
      <c r="A170" s="88"/>
      <c r="B170" s="88" t="s">
        <v>321</v>
      </c>
      <c r="C170" s="88"/>
      <c r="D170" s="88"/>
      <c r="E170" s="88" t="s">
        <v>23</v>
      </c>
      <c r="F170" s="90">
        <v>1071322</v>
      </c>
    </row>
    <row r="171" spans="1:6">
      <c r="A171" s="88"/>
      <c r="B171" s="88" t="s">
        <v>321</v>
      </c>
      <c r="C171" s="88"/>
      <c r="D171" s="88"/>
      <c r="E171" s="88" t="s">
        <v>112</v>
      </c>
      <c r="F171" s="90">
        <v>300000</v>
      </c>
    </row>
    <row r="172" spans="1:6">
      <c r="A172" s="88"/>
      <c r="B172" s="88" t="s">
        <v>321</v>
      </c>
      <c r="C172" s="88"/>
      <c r="D172" s="88"/>
      <c r="E172" s="88" t="s">
        <v>58</v>
      </c>
      <c r="F172" s="90">
        <v>24777452.5</v>
      </c>
    </row>
    <row r="173" spans="1:6">
      <c r="A173" s="88"/>
      <c r="B173" s="88" t="s">
        <v>440</v>
      </c>
      <c r="C173" s="88"/>
      <c r="D173" s="88"/>
      <c r="E173" s="88"/>
      <c r="F173" s="90">
        <v>34935074.5</v>
      </c>
    </row>
    <row r="174" spans="1:6">
      <c r="A174" s="88"/>
      <c r="B174" s="88" t="s">
        <v>343</v>
      </c>
      <c r="C174" s="88" t="s">
        <v>344</v>
      </c>
      <c r="D174" s="88" t="s">
        <v>133</v>
      </c>
      <c r="E174" s="88" t="s">
        <v>33</v>
      </c>
      <c r="F174" s="90">
        <v>1136828</v>
      </c>
    </row>
    <row r="175" spans="1:6">
      <c r="A175" s="88"/>
      <c r="B175" s="88" t="s">
        <v>430</v>
      </c>
      <c r="C175" s="88"/>
      <c r="D175" s="88"/>
      <c r="E175" s="88"/>
      <c r="F175" s="90">
        <v>1136828</v>
      </c>
    </row>
    <row r="176" spans="1:6">
      <c r="A176" s="88"/>
      <c r="B176" s="88" t="s">
        <v>347</v>
      </c>
      <c r="C176" s="88" t="s">
        <v>348</v>
      </c>
      <c r="D176" s="88" t="s">
        <v>133</v>
      </c>
      <c r="E176" s="88" t="s">
        <v>49</v>
      </c>
      <c r="F176" s="90">
        <v>10480000</v>
      </c>
    </row>
    <row r="177" spans="1:6">
      <c r="A177" s="88"/>
      <c r="B177" s="88" t="s">
        <v>347</v>
      </c>
      <c r="C177" s="88"/>
      <c r="D177" s="88"/>
      <c r="E177" s="88" t="s">
        <v>33</v>
      </c>
      <c r="F177" s="90">
        <v>6331565</v>
      </c>
    </row>
    <row r="178" spans="1:6">
      <c r="A178" s="88"/>
      <c r="B178" s="88" t="s">
        <v>347</v>
      </c>
      <c r="C178" s="88"/>
      <c r="D178" s="88"/>
      <c r="E178" s="88" t="s">
        <v>58</v>
      </c>
      <c r="F178" s="90">
        <v>17592123</v>
      </c>
    </row>
    <row r="179" spans="1:6">
      <c r="A179" s="88"/>
      <c r="B179" s="88" t="s">
        <v>441</v>
      </c>
      <c r="C179" s="88"/>
      <c r="D179" s="88"/>
      <c r="E179" s="88"/>
      <c r="F179" s="90">
        <v>34403688</v>
      </c>
    </row>
    <row r="180" spans="1:6">
      <c r="A180" s="88" t="s">
        <v>442</v>
      </c>
      <c r="B180" s="88"/>
      <c r="C180" s="88"/>
      <c r="D180" s="88"/>
      <c r="E180" s="88"/>
      <c r="F180" s="90">
        <v>119108286</v>
      </c>
    </row>
    <row r="181" spans="1:6">
      <c r="A181" s="88" t="s">
        <v>135</v>
      </c>
      <c r="B181" s="88" t="s">
        <v>131</v>
      </c>
      <c r="C181" s="88" t="s">
        <v>132</v>
      </c>
      <c r="D181" s="88" t="s">
        <v>134</v>
      </c>
      <c r="E181" s="88" t="s">
        <v>33</v>
      </c>
      <c r="F181" s="90">
        <v>1323924</v>
      </c>
    </row>
    <row r="182" spans="1:6">
      <c r="A182" s="88"/>
      <c r="B182" s="88" t="s">
        <v>439</v>
      </c>
      <c r="C182" s="88"/>
      <c r="D182" s="88"/>
      <c r="E182" s="88"/>
      <c r="F182" s="90">
        <v>1323924</v>
      </c>
    </row>
    <row r="183" spans="1:6">
      <c r="A183" s="88"/>
      <c r="B183" s="88" t="s">
        <v>174</v>
      </c>
      <c r="C183" s="88" t="s">
        <v>175</v>
      </c>
      <c r="D183" s="88" t="s">
        <v>177</v>
      </c>
      <c r="E183" s="88" t="s">
        <v>13</v>
      </c>
      <c r="F183" s="90">
        <v>737000</v>
      </c>
    </row>
    <row r="184" spans="1:6">
      <c r="A184" s="88"/>
      <c r="B184" s="88" t="s">
        <v>174</v>
      </c>
      <c r="C184" s="88"/>
      <c r="D184" s="88"/>
      <c r="E184" s="88" t="s">
        <v>171</v>
      </c>
      <c r="F184" s="90">
        <v>600000</v>
      </c>
    </row>
    <row r="185" spans="1:6">
      <c r="A185" s="88"/>
      <c r="B185" s="88" t="s">
        <v>174</v>
      </c>
      <c r="C185" s="88"/>
      <c r="D185" s="88"/>
      <c r="E185" s="88" t="s">
        <v>155</v>
      </c>
      <c r="F185" s="90">
        <v>11030000</v>
      </c>
    </row>
    <row r="186" spans="1:6">
      <c r="A186" s="88"/>
      <c r="B186" s="88" t="s">
        <v>174</v>
      </c>
      <c r="C186" s="88"/>
      <c r="D186" s="88"/>
      <c r="E186" s="88" t="s">
        <v>58</v>
      </c>
      <c r="F186" s="90">
        <v>31050378.5</v>
      </c>
    </row>
    <row r="187" spans="1:6">
      <c r="A187" s="88"/>
      <c r="B187" s="88" t="s">
        <v>443</v>
      </c>
      <c r="C187" s="88"/>
      <c r="D187" s="88"/>
      <c r="E187" s="88"/>
      <c r="F187" s="90">
        <v>43417378.5</v>
      </c>
    </row>
    <row r="188" spans="1:6">
      <c r="A188" s="88"/>
      <c r="B188" s="88" t="s">
        <v>356</v>
      </c>
      <c r="C188" s="88" t="s">
        <v>357</v>
      </c>
      <c r="D188" s="88" t="s">
        <v>358</v>
      </c>
      <c r="E188" s="88" t="s">
        <v>18</v>
      </c>
      <c r="F188" s="90">
        <v>500000</v>
      </c>
    </row>
    <row r="189" spans="1:6">
      <c r="A189" s="88"/>
      <c r="B189" s="88" t="s">
        <v>356</v>
      </c>
      <c r="C189" s="88"/>
      <c r="D189" s="88"/>
      <c r="E189" s="88" t="s">
        <v>94</v>
      </c>
      <c r="F189" s="90">
        <v>900000</v>
      </c>
    </row>
    <row r="190" spans="1:6">
      <c r="A190" s="88"/>
      <c r="B190" s="88" t="s">
        <v>356</v>
      </c>
      <c r="C190" s="88"/>
      <c r="D190" s="88"/>
      <c r="E190" s="88" t="s">
        <v>26</v>
      </c>
      <c r="F190" s="90">
        <v>2150000</v>
      </c>
    </row>
    <row r="191" spans="1:6">
      <c r="A191" s="88"/>
      <c r="B191" s="88" t="s">
        <v>356</v>
      </c>
      <c r="C191" s="88"/>
      <c r="D191" s="88"/>
      <c r="E191" s="88" t="s">
        <v>155</v>
      </c>
      <c r="F191" s="90">
        <v>53254000</v>
      </c>
    </row>
    <row r="192" spans="1:6">
      <c r="A192" s="88"/>
      <c r="B192" s="88" t="s">
        <v>356</v>
      </c>
      <c r="C192" s="88"/>
      <c r="D192" s="88"/>
      <c r="E192" s="88" t="s">
        <v>216</v>
      </c>
      <c r="F192" s="90">
        <v>1410000</v>
      </c>
    </row>
    <row r="193" spans="1:6">
      <c r="A193" s="88"/>
      <c r="B193" s="88" t="s">
        <v>356</v>
      </c>
      <c r="C193" s="88"/>
      <c r="D193" s="88"/>
      <c r="E193" s="88" t="s">
        <v>58</v>
      </c>
      <c r="F193" s="90">
        <v>9643329</v>
      </c>
    </row>
    <row r="194" spans="1:6">
      <c r="A194" s="88"/>
      <c r="B194" s="88" t="s">
        <v>444</v>
      </c>
      <c r="C194" s="88"/>
      <c r="D194" s="88"/>
      <c r="E194" s="88"/>
      <c r="F194" s="90">
        <v>67857329</v>
      </c>
    </row>
    <row r="195" spans="1:6">
      <c r="A195" s="88"/>
      <c r="B195" s="88" t="s">
        <v>359</v>
      </c>
      <c r="C195" s="88" t="s">
        <v>360</v>
      </c>
      <c r="D195" s="88" t="s">
        <v>134</v>
      </c>
      <c r="E195" s="88" t="s">
        <v>49</v>
      </c>
      <c r="F195" s="90">
        <v>3760000</v>
      </c>
    </row>
    <row r="196" spans="1:6">
      <c r="A196" s="88"/>
      <c r="B196" s="88" t="s">
        <v>359</v>
      </c>
      <c r="C196" s="88"/>
      <c r="D196" s="88"/>
      <c r="E196" s="88" t="s">
        <v>30</v>
      </c>
      <c r="F196" s="90">
        <v>1500000</v>
      </c>
    </row>
    <row r="197" spans="1:6">
      <c r="A197" s="88"/>
      <c r="B197" s="88" t="s">
        <v>359</v>
      </c>
      <c r="C197" s="88"/>
      <c r="D197" s="88"/>
      <c r="E197" s="88" t="s">
        <v>33</v>
      </c>
      <c r="F197" s="90">
        <v>3359358</v>
      </c>
    </row>
    <row r="198" spans="1:6">
      <c r="A198" s="88"/>
      <c r="B198" s="88" t="s">
        <v>359</v>
      </c>
      <c r="C198" s="88"/>
      <c r="D198" s="88"/>
      <c r="E198" s="88" t="s">
        <v>58</v>
      </c>
      <c r="F198" s="90">
        <v>23390573</v>
      </c>
    </row>
    <row r="199" spans="1:6">
      <c r="A199" s="88"/>
      <c r="B199" s="88" t="s">
        <v>445</v>
      </c>
      <c r="C199" s="88"/>
      <c r="D199" s="88"/>
      <c r="E199" s="88"/>
      <c r="F199" s="90">
        <v>32009931</v>
      </c>
    </row>
    <row r="200" spans="1:6">
      <c r="A200" s="88" t="s">
        <v>446</v>
      </c>
      <c r="B200" s="88"/>
      <c r="C200" s="88"/>
      <c r="D200" s="88"/>
      <c r="E200" s="88"/>
      <c r="F200" s="90">
        <v>144608562.5</v>
      </c>
    </row>
    <row r="201" spans="1:6">
      <c r="A201" s="88" t="s">
        <v>215</v>
      </c>
      <c r="B201" s="88" t="s">
        <v>212</v>
      </c>
      <c r="C201" s="88" t="s">
        <v>213</v>
      </c>
      <c r="D201" s="88" t="s">
        <v>214</v>
      </c>
      <c r="E201" s="88" t="s">
        <v>18</v>
      </c>
      <c r="F201" s="90">
        <v>600000</v>
      </c>
    </row>
    <row r="202" spans="1:6">
      <c r="A202" s="88"/>
      <c r="B202" s="88" t="s">
        <v>212</v>
      </c>
      <c r="C202" s="88"/>
      <c r="D202" s="88"/>
      <c r="E202" s="88" t="s">
        <v>13</v>
      </c>
      <c r="F202" s="90">
        <v>550000</v>
      </c>
    </row>
    <row r="203" spans="1:6">
      <c r="A203" s="88"/>
      <c r="B203" s="88" t="s">
        <v>212</v>
      </c>
      <c r="C203" s="88"/>
      <c r="D203" s="88"/>
      <c r="E203" s="88" t="s">
        <v>25</v>
      </c>
      <c r="F203" s="90">
        <v>572000</v>
      </c>
    </row>
    <row r="204" spans="1:6">
      <c r="A204" s="88"/>
      <c r="B204" s="88" t="s">
        <v>212</v>
      </c>
      <c r="C204" s="88"/>
      <c r="D204" s="88"/>
      <c r="E204" s="88" t="s">
        <v>155</v>
      </c>
      <c r="F204" s="90">
        <v>68809000</v>
      </c>
    </row>
    <row r="205" spans="1:6">
      <c r="A205" s="88"/>
      <c r="B205" s="88" t="s">
        <v>212</v>
      </c>
      <c r="C205" s="88"/>
      <c r="D205" s="88"/>
      <c r="E205" s="88" t="s">
        <v>216</v>
      </c>
      <c r="F205" s="90">
        <v>705000</v>
      </c>
    </row>
    <row r="206" spans="1:6">
      <c r="A206" s="88"/>
      <c r="B206" s="88" t="s">
        <v>212</v>
      </c>
      <c r="C206" s="88"/>
      <c r="D206" s="88"/>
      <c r="E206" s="88" t="s">
        <v>58</v>
      </c>
      <c r="F206" s="90">
        <v>4636618</v>
      </c>
    </row>
    <row r="207" spans="1:6">
      <c r="A207" s="88"/>
      <c r="B207" s="88" t="s">
        <v>447</v>
      </c>
      <c r="C207" s="88"/>
      <c r="D207" s="88"/>
      <c r="E207" s="88"/>
      <c r="F207" s="90">
        <v>75872618</v>
      </c>
    </row>
    <row r="208" spans="1:6">
      <c r="A208" s="88"/>
      <c r="B208" s="88" t="s">
        <v>318</v>
      </c>
      <c r="C208" s="88" t="s">
        <v>319</v>
      </c>
      <c r="D208" s="88" t="s">
        <v>320</v>
      </c>
      <c r="E208" s="88" t="s">
        <v>98</v>
      </c>
      <c r="F208" s="90">
        <v>2000000</v>
      </c>
    </row>
    <row r="209" spans="1:6">
      <c r="A209" s="88"/>
      <c r="B209" s="88" t="s">
        <v>318</v>
      </c>
      <c r="C209" s="88"/>
      <c r="D209" s="88"/>
      <c r="E209" s="88" t="s">
        <v>100</v>
      </c>
      <c r="F209" s="90">
        <v>61052000</v>
      </c>
    </row>
    <row r="210" spans="1:6">
      <c r="A210" s="88"/>
      <c r="B210" s="88" t="s">
        <v>318</v>
      </c>
      <c r="C210" s="88"/>
      <c r="D210" s="88"/>
      <c r="E210" s="88" t="s">
        <v>216</v>
      </c>
      <c r="F210" s="90">
        <v>6580000</v>
      </c>
    </row>
    <row r="211" spans="1:6">
      <c r="A211" s="88"/>
      <c r="B211" s="88" t="s">
        <v>448</v>
      </c>
      <c r="C211" s="88"/>
      <c r="D211" s="88"/>
      <c r="E211" s="88"/>
      <c r="F211" s="90">
        <v>69632000</v>
      </c>
    </row>
    <row r="212" spans="1:6">
      <c r="A212" s="88"/>
      <c r="B212" s="88" t="s">
        <v>351</v>
      </c>
      <c r="C212" s="88" t="s">
        <v>352</v>
      </c>
      <c r="D212" s="88" t="s">
        <v>353</v>
      </c>
      <c r="E212" s="88" t="s">
        <v>98</v>
      </c>
      <c r="F212" s="90">
        <v>8000000</v>
      </c>
    </row>
    <row r="213" spans="1:6">
      <c r="A213" s="88"/>
      <c r="B213" s="88" t="s">
        <v>351</v>
      </c>
      <c r="C213" s="88"/>
      <c r="D213" s="88"/>
      <c r="E213" s="88" t="s">
        <v>100</v>
      </c>
      <c r="F213" s="90">
        <v>74484000</v>
      </c>
    </row>
    <row r="214" spans="1:6">
      <c r="A214" s="88"/>
      <c r="B214" s="88" t="s">
        <v>351</v>
      </c>
      <c r="C214" s="88"/>
      <c r="D214" s="88"/>
      <c r="E214" s="88" t="s">
        <v>216</v>
      </c>
      <c r="F214" s="90">
        <v>3290000</v>
      </c>
    </row>
    <row r="215" spans="1:6">
      <c r="A215" s="88"/>
      <c r="B215" s="88" t="s">
        <v>449</v>
      </c>
      <c r="C215" s="88"/>
      <c r="D215" s="88"/>
      <c r="E215" s="88"/>
      <c r="F215" s="90">
        <v>85774000</v>
      </c>
    </row>
    <row r="216" spans="1:6">
      <c r="A216" s="88"/>
      <c r="B216" s="88" t="s">
        <v>390</v>
      </c>
      <c r="C216" s="88" t="s">
        <v>391</v>
      </c>
      <c r="D216" s="88" t="s">
        <v>392</v>
      </c>
      <c r="E216" s="88" t="s">
        <v>98</v>
      </c>
      <c r="F216" s="90">
        <v>2000000</v>
      </c>
    </row>
    <row r="217" spans="1:6">
      <c r="A217" s="88"/>
      <c r="B217" s="88" t="s">
        <v>390</v>
      </c>
      <c r="C217" s="88"/>
      <c r="D217" s="88"/>
      <c r="E217" s="88" t="s">
        <v>100</v>
      </c>
      <c r="F217" s="90">
        <v>70966000</v>
      </c>
    </row>
    <row r="218" spans="1:6">
      <c r="A218" s="88"/>
      <c r="B218" s="88" t="s">
        <v>450</v>
      </c>
      <c r="C218" s="88"/>
      <c r="D218" s="88"/>
      <c r="E218" s="88"/>
      <c r="F218" s="90">
        <v>72966000</v>
      </c>
    </row>
    <row r="219" spans="1:6">
      <c r="A219" s="88" t="s">
        <v>451</v>
      </c>
      <c r="B219" s="88"/>
      <c r="C219" s="88"/>
      <c r="D219" s="88"/>
      <c r="E219" s="88"/>
      <c r="F219" s="90">
        <v>304244618</v>
      </c>
    </row>
    <row r="220" spans="1:6">
      <c r="A220" s="88" t="s">
        <v>257</v>
      </c>
      <c r="B220" s="88" t="s">
        <v>253</v>
      </c>
      <c r="C220" s="88" t="s">
        <v>254</v>
      </c>
      <c r="D220" s="88" t="s">
        <v>255</v>
      </c>
      <c r="E220" s="88" t="s">
        <v>256</v>
      </c>
      <c r="F220" s="90">
        <v>146625000</v>
      </c>
    </row>
    <row r="221" spans="1:6">
      <c r="A221" s="88"/>
      <c r="B221" s="88" t="s">
        <v>452</v>
      </c>
      <c r="C221" s="88"/>
      <c r="D221" s="88"/>
      <c r="E221" s="88"/>
      <c r="F221" s="90">
        <v>146625000</v>
      </c>
    </row>
    <row r="222" spans="1:6">
      <c r="A222" s="88"/>
      <c r="B222" s="88" t="s">
        <v>401</v>
      </c>
      <c r="C222" s="88" t="s">
        <v>402</v>
      </c>
      <c r="D222" s="88" t="s">
        <v>403</v>
      </c>
      <c r="E222" s="88" t="s">
        <v>33</v>
      </c>
      <c r="F222" s="90">
        <v>1860582</v>
      </c>
    </row>
    <row r="223" spans="1:6">
      <c r="A223" s="88"/>
      <c r="B223" s="88" t="s">
        <v>401</v>
      </c>
      <c r="C223" s="88"/>
      <c r="D223" s="88"/>
      <c r="E223" s="88" t="s">
        <v>58</v>
      </c>
      <c r="F223" s="90">
        <v>54044077.5</v>
      </c>
    </row>
    <row r="224" spans="1:6">
      <c r="A224" s="88"/>
      <c r="B224" s="88" t="s">
        <v>453</v>
      </c>
      <c r="C224" s="88"/>
      <c r="D224" s="88"/>
      <c r="E224" s="88"/>
      <c r="F224" s="90">
        <v>55904659.5</v>
      </c>
    </row>
    <row r="225" spans="1:6">
      <c r="A225" s="88" t="s">
        <v>454</v>
      </c>
      <c r="B225" s="88"/>
      <c r="C225" s="88"/>
      <c r="D225" s="88"/>
      <c r="E225" s="88"/>
      <c r="F225" s="90">
        <v>202529659.5</v>
      </c>
    </row>
    <row r="226" spans="1:6">
      <c r="A226" s="88" t="s">
        <v>10</v>
      </c>
      <c r="B226" s="88" t="s">
        <v>6</v>
      </c>
      <c r="C226" s="88" t="s">
        <v>7</v>
      </c>
      <c r="D226" s="88" t="s">
        <v>8</v>
      </c>
      <c r="E226" s="88" t="s">
        <v>9</v>
      </c>
      <c r="F226" s="90">
        <v>4644000</v>
      </c>
    </row>
    <row r="227" spans="1:6">
      <c r="A227" s="88"/>
      <c r="B227" s="88" t="s">
        <v>6</v>
      </c>
      <c r="C227" s="88"/>
      <c r="D227" s="88"/>
      <c r="E227" s="88" t="s">
        <v>11</v>
      </c>
      <c r="F227" s="90">
        <v>2000000</v>
      </c>
    </row>
    <row r="228" spans="1:6">
      <c r="A228" s="88"/>
      <c r="B228" s="88" t="s">
        <v>455</v>
      </c>
      <c r="C228" s="88"/>
      <c r="D228" s="88"/>
      <c r="E228" s="88"/>
      <c r="F228" s="90">
        <v>6644000</v>
      </c>
    </row>
    <row r="229" spans="1:6">
      <c r="A229" s="88"/>
      <c r="B229" s="88" t="s">
        <v>382</v>
      </c>
      <c r="C229" s="88" t="s">
        <v>383</v>
      </c>
      <c r="D229" s="88" t="s">
        <v>8</v>
      </c>
      <c r="E229" s="88" t="s">
        <v>143</v>
      </c>
      <c r="F229" s="90">
        <v>1000000</v>
      </c>
    </row>
    <row r="230" spans="1:6">
      <c r="A230" s="88"/>
      <c r="B230" s="88" t="s">
        <v>382</v>
      </c>
      <c r="C230" s="88"/>
      <c r="D230" s="88"/>
      <c r="E230" s="88" t="s">
        <v>26</v>
      </c>
      <c r="F230" s="90">
        <v>10100000</v>
      </c>
    </row>
    <row r="231" spans="1:6">
      <c r="A231" s="88"/>
      <c r="B231" s="88" t="s">
        <v>412</v>
      </c>
      <c r="C231" s="88"/>
      <c r="D231" s="88"/>
      <c r="E231" s="88"/>
      <c r="F231" s="90">
        <v>11100000</v>
      </c>
    </row>
    <row r="232" spans="1:6">
      <c r="A232" s="88" t="s">
        <v>456</v>
      </c>
      <c r="B232" s="88"/>
      <c r="C232" s="88"/>
      <c r="D232" s="88"/>
      <c r="E232" s="88"/>
      <c r="F232" s="90">
        <v>17744000</v>
      </c>
    </row>
    <row r="233" spans="1:6">
      <c r="A233" s="88" t="s">
        <v>50</v>
      </c>
      <c r="B233" s="88" t="s">
        <v>46</v>
      </c>
      <c r="C233" s="88" t="s">
        <v>47</v>
      </c>
      <c r="D233" s="88" t="s">
        <v>51</v>
      </c>
      <c r="E233" s="88" t="s">
        <v>49</v>
      </c>
      <c r="F233" s="90">
        <v>17183424</v>
      </c>
    </row>
    <row r="234" spans="1:6">
      <c r="A234" s="88"/>
      <c r="B234" s="88" t="s">
        <v>46</v>
      </c>
      <c r="C234" s="88"/>
      <c r="D234" s="88"/>
      <c r="E234" s="88" t="s">
        <v>33</v>
      </c>
      <c r="F234" s="90">
        <v>1239256</v>
      </c>
    </row>
    <row r="235" spans="1:6">
      <c r="A235" s="88"/>
      <c r="B235" s="88" t="s">
        <v>46</v>
      </c>
      <c r="C235" s="88"/>
      <c r="D235" s="88" t="s">
        <v>48</v>
      </c>
      <c r="E235" s="88" t="s">
        <v>49</v>
      </c>
      <c r="F235" s="90">
        <v>2363192</v>
      </c>
    </row>
    <row r="236" spans="1:6">
      <c r="A236" s="88"/>
      <c r="B236" s="88" t="s">
        <v>457</v>
      </c>
      <c r="C236" s="88"/>
      <c r="D236" s="88"/>
      <c r="E236" s="88"/>
      <c r="F236" s="90">
        <v>20785872</v>
      </c>
    </row>
    <row r="237" spans="1:6">
      <c r="A237" s="88"/>
      <c r="B237" s="88" t="s">
        <v>79</v>
      </c>
      <c r="C237" s="88" t="s">
        <v>80</v>
      </c>
      <c r="D237" s="88" t="s">
        <v>81</v>
      </c>
      <c r="E237" s="88" t="s">
        <v>49</v>
      </c>
      <c r="F237" s="90">
        <v>23619802</v>
      </c>
    </row>
    <row r="238" spans="1:6">
      <c r="A238" s="88"/>
      <c r="B238" s="88" t="s">
        <v>79</v>
      </c>
      <c r="C238" s="88"/>
      <c r="D238" s="88"/>
      <c r="E238" s="88" t="s">
        <v>33</v>
      </c>
      <c r="F238" s="90">
        <v>20973839</v>
      </c>
    </row>
    <row r="239" spans="1:6">
      <c r="A239" s="88"/>
      <c r="B239" s="88" t="s">
        <v>458</v>
      </c>
      <c r="C239" s="88"/>
      <c r="D239" s="88"/>
      <c r="E239" s="88"/>
      <c r="F239" s="90">
        <v>44593641</v>
      </c>
    </row>
    <row r="240" spans="1:6">
      <c r="A240" s="88"/>
      <c r="B240" s="88" t="s">
        <v>82</v>
      </c>
      <c r="C240" s="88" t="s">
        <v>83</v>
      </c>
      <c r="D240" s="88" t="s">
        <v>84</v>
      </c>
      <c r="E240" s="88" t="s">
        <v>49</v>
      </c>
      <c r="F240" s="90">
        <v>35982996</v>
      </c>
    </row>
    <row r="241" spans="1:6">
      <c r="A241" s="88"/>
      <c r="B241" s="88" t="s">
        <v>82</v>
      </c>
      <c r="C241" s="88"/>
      <c r="D241" s="88"/>
      <c r="E241" s="88" t="s">
        <v>33</v>
      </c>
      <c r="F241" s="90">
        <v>19033585</v>
      </c>
    </row>
    <row r="242" spans="1:6">
      <c r="A242" s="88"/>
      <c r="B242" s="88" t="s">
        <v>82</v>
      </c>
      <c r="C242" s="88"/>
      <c r="D242" s="88"/>
      <c r="E242" s="88" t="s">
        <v>58</v>
      </c>
      <c r="F242" s="90">
        <v>2985008</v>
      </c>
    </row>
    <row r="243" spans="1:6">
      <c r="A243" s="88"/>
      <c r="B243" s="88" t="s">
        <v>459</v>
      </c>
      <c r="C243" s="88"/>
      <c r="D243" s="88"/>
      <c r="E243" s="88"/>
      <c r="F243" s="90">
        <v>58001589</v>
      </c>
    </row>
    <row r="244" spans="1:6">
      <c r="A244" s="88"/>
      <c r="B244" s="88" t="s">
        <v>128</v>
      </c>
      <c r="C244" s="88" t="s">
        <v>129</v>
      </c>
      <c r="D244" s="88" t="s">
        <v>51</v>
      </c>
      <c r="E244" s="88" t="s">
        <v>49</v>
      </c>
      <c r="F244" s="90">
        <v>33053038</v>
      </c>
    </row>
    <row r="245" spans="1:6">
      <c r="A245" s="88"/>
      <c r="B245" s="88" t="s">
        <v>128</v>
      </c>
      <c r="C245" s="88"/>
      <c r="D245" s="88"/>
      <c r="E245" s="88" t="s">
        <v>33</v>
      </c>
      <c r="F245" s="90">
        <v>5189323</v>
      </c>
    </row>
    <row r="246" spans="1:6">
      <c r="A246" s="88"/>
      <c r="B246" s="88" t="s">
        <v>460</v>
      </c>
      <c r="C246" s="88"/>
      <c r="D246" s="88"/>
      <c r="E246" s="88"/>
      <c r="F246" s="90">
        <v>38242361</v>
      </c>
    </row>
    <row r="247" spans="1:6">
      <c r="A247" s="88"/>
      <c r="B247" s="88" t="s">
        <v>131</v>
      </c>
      <c r="C247" s="88" t="s">
        <v>132</v>
      </c>
      <c r="D247" s="88" t="s">
        <v>136</v>
      </c>
      <c r="E247" s="88" t="s">
        <v>33</v>
      </c>
      <c r="F247" s="90">
        <v>2800512</v>
      </c>
    </row>
    <row r="248" spans="1:6">
      <c r="A248" s="88"/>
      <c r="B248" s="88" t="s">
        <v>131</v>
      </c>
      <c r="C248" s="88"/>
      <c r="D248" s="88" t="s">
        <v>81</v>
      </c>
      <c r="E248" s="88" t="s">
        <v>33</v>
      </c>
      <c r="F248" s="90">
        <v>3375420</v>
      </c>
    </row>
    <row r="249" spans="1:6">
      <c r="A249" s="88"/>
      <c r="B249" s="88" t="s">
        <v>131</v>
      </c>
      <c r="C249" s="88"/>
      <c r="D249" s="88" t="s">
        <v>84</v>
      </c>
      <c r="E249" s="88" t="s">
        <v>33</v>
      </c>
      <c r="F249" s="90">
        <v>96252</v>
      </c>
    </row>
    <row r="250" spans="1:6">
      <c r="A250" s="88"/>
      <c r="B250" s="88" t="s">
        <v>439</v>
      </c>
      <c r="C250" s="88"/>
      <c r="D250" s="88"/>
      <c r="E250" s="88"/>
      <c r="F250" s="90">
        <v>6272184</v>
      </c>
    </row>
    <row r="251" spans="1:6">
      <c r="A251" s="88"/>
      <c r="B251" s="88" t="s">
        <v>162</v>
      </c>
      <c r="C251" s="88" t="s">
        <v>163</v>
      </c>
      <c r="D251" s="88" t="s">
        <v>164</v>
      </c>
      <c r="E251" s="88" t="s">
        <v>33</v>
      </c>
      <c r="F251" s="90">
        <v>3301302</v>
      </c>
    </row>
    <row r="252" spans="1:6">
      <c r="A252" s="88"/>
      <c r="B252" s="88" t="s">
        <v>162</v>
      </c>
      <c r="C252" s="88"/>
      <c r="D252" s="88" t="s">
        <v>136</v>
      </c>
      <c r="E252" s="88" t="s">
        <v>33</v>
      </c>
      <c r="F252" s="90">
        <v>4230488</v>
      </c>
    </row>
    <row r="253" spans="1:6">
      <c r="A253" s="88"/>
      <c r="B253" s="88" t="s">
        <v>162</v>
      </c>
      <c r="C253" s="88"/>
      <c r="D253" s="88" t="s">
        <v>51</v>
      </c>
      <c r="E253" s="88" t="s">
        <v>49</v>
      </c>
      <c r="F253" s="90">
        <v>2749483</v>
      </c>
    </row>
    <row r="254" spans="1:6">
      <c r="A254" s="88"/>
      <c r="B254" s="88" t="s">
        <v>162</v>
      </c>
      <c r="C254" s="88"/>
      <c r="D254" s="88"/>
      <c r="E254" s="88" t="s">
        <v>33</v>
      </c>
      <c r="F254" s="90">
        <v>5107815</v>
      </c>
    </row>
    <row r="255" spans="1:6">
      <c r="A255" s="88"/>
      <c r="B255" s="88" t="s">
        <v>162</v>
      </c>
      <c r="C255" s="88"/>
      <c r="D255" s="88" t="s">
        <v>81</v>
      </c>
      <c r="E255" s="88" t="s">
        <v>33</v>
      </c>
      <c r="F255" s="90">
        <v>195548</v>
      </c>
    </row>
    <row r="256" spans="1:6">
      <c r="A256" s="88"/>
      <c r="B256" s="88" t="s">
        <v>162</v>
      </c>
      <c r="C256" s="88"/>
      <c r="D256" s="88" t="s">
        <v>48</v>
      </c>
      <c r="E256" s="88" t="s">
        <v>49</v>
      </c>
      <c r="F256" s="90">
        <v>4476431</v>
      </c>
    </row>
    <row r="257" spans="1:6">
      <c r="A257" s="88"/>
      <c r="B257" s="88" t="s">
        <v>162</v>
      </c>
      <c r="C257" s="88"/>
      <c r="D257" s="88"/>
      <c r="E257" s="88" t="s">
        <v>33</v>
      </c>
      <c r="F257" s="90">
        <v>2952874</v>
      </c>
    </row>
    <row r="258" spans="1:6">
      <c r="A258" s="88"/>
      <c r="B258" s="88" t="s">
        <v>418</v>
      </c>
      <c r="C258" s="88"/>
      <c r="D258" s="88"/>
      <c r="E258" s="88"/>
      <c r="F258" s="90">
        <v>23013941</v>
      </c>
    </row>
    <row r="259" spans="1:6">
      <c r="A259" s="88"/>
      <c r="B259" s="88" t="s">
        <v>217</v>
      </c>
      <c r="C259" s="88" t="s">
        <v>218</v>
      </c>
      <c r="D259" s="88" t="s">
        <v>164</v>
      </c>
      <c r="E259" s="88" t="s">
        <v>49</v>
      </c>
      <c r="F259" s="90">
        <v>33303029</v>
      </c>
    </row>
    <row r="260" spans="1:6">
      <c r="A260" s="88"/>
      <c r="B260" s="88" t="s">
        <v>217</v>
      </c>
      <c r="C260" s="88"/>
      <c r="D260" s="88"/>
      <c r="E260" s="88" t="s">
        <v>33</v>
      </c>
      <c r="F260" s="90">
        <v>25176672</v>
      </c>
    </row>
    <row r="261" spans="1:6">
      <c r="A261" s="88"/>
      <c r="B261" s="88" t="s">
        <v>461</v>
      </c>
      <c r="C261" s="88"/>
      <c r="D261" s="88"/>
      <c r="E261" s="88"/>
      <c r="F261" s="90">
        <v>58479701</v>
      </c>
    </row>
    <row r="262" spans="1:6">
      <c r="A262" s="88"/>
      <c r="B262" s="88" t="s">
        <v>324</v>
      </c>
      <c r="C262" s="88" t="s">
        <v>325</v>
      </c>
      <c r="D262" s="88" t="s">
        <v>48</v>
      </c>
      <c r="E262" s="88" t="s">
        <v>49</v>
      </c>
      <c r="F262" s="90">
        <v>25373468</v>
      </c>
    </row>
    <row r="263" spans="1:6">
      <c r="A263" s="88"/>
      <c r="B263" s="88" t="s">
        <v>324</v>
      </c>
      <c r="C263" s="88"/>
      <c r="D263" s="88"/>
      <c r="E263" s="88" t="s">
        <v>33</v>
      </c>
      <c r="F263" s="90">
        <v>11973879</v>
      </c>
    </row>
    <row r="264" spans="1:6">
      <c r="A264" s="88"/>
      <c r="B264" s="88" t="s">
        <v>462</v>
      </c>
      <c r="C264" s="88"/>
      <c r="D264" s="88"/>
      <c r="E264" s="88"/>
      <c r="F264" s="90">
        <v>37347347</v>
      </c>
    </row>
    <row r="265" spans="1:6">
      <c r="A265" s="88"/>
      <c r="B265" s="88" t="s">
        <v>343</v>
      </c>
      <c r="C265" s="88" t="s">
        <v>344</v>
      </c>
      <c r="D265" s="88" t="s">
        <v>81</v>
      </c>
      <c r="E265" s="88" t="s">
        <v>49</v>
      </c>
      <c r="F265" s="90">
        <v>4181032</v>
      </c>
    </row>
    <row r="266" spans="1:6">
      <c r="A266" s="88"/>
      <c r="B266" s="88" t="s">
        <v>430</v>
      </c>
      <c r="C266" s="88"/>
      <c r="D266" s="88"/>
      <c r="E266" s="88"/>
      <c r="F266" s="90">
        <v>4181032</v>
      </c>
    </row>
    <row r="267" spans="1:6">
      <c r="A267" s="88"/>
      <c r="B267" s="88" t="s">
        <v>347</v>
      </c>
      <c r="C267" s="88" t="s">
        <v>348</v>
      </c>
      <c r="D267" s="88" t="s">
        <v>48</v>
      </c>
      <c r="E267" s="88" t="s">
        <v>33</v>
      </c>
      <c r="F267" s="90">
        <v>2240944</v>
      </c>
    </row>
    <row r="268" spans="1:6">
      <c r="A268" s="88"/>
      <c r="B268" s="88" t="s">
        <v>441</v>
      </c>
      <c r="C268" s="88"/>
      <c r="D268" s="88"/>
      <c r="E268" s="88"/>
      <c r="F268" s="90">
        <v>2240944</v>
      </c>
    </row>
    <row r="269" spans="1:6">
      <c r="A269" s="88"/>
      <c r="B269" s="88" t="s">
        <v>361</v>
      </c>
      <c r="C269" s="88" t="s">
        <v>362</v>
      </c>
      <c r="D269" s="88" t="s">
        <v>136</v>
      </c>
      <c r="E269" s="88" t="s">
        <v>49</v>
      </c>
      <c r="F269" s="90">
        <v>28271863</v>
      </c>
    </row>
    <row r="270" spans="1:6">
      <c r="A270" s="88"/>
      <c r="B270" s="88" t="s">
        <v>361</v>
      </c>
      <c r="C270" s="88"/>
      <c r="D270" s="88"/>
      <c r="E270" s="88" t="s">
        <v>33</v>
      </c>
      <c r="F270" s="90">
        <v>22810786</v>
      </c>
    </row>
    <row r="271" spans="1:6">
      <c r="A271" s="88"/>
      <c r="B271" s="88" t="s">
        <v>361</v>
      </c>
      <c r="C271" s="88"/>
      <c r="D271" s="88" t="s">
        <v>81</v>
      </c>
      <c r="E271" s="88" t="s">
        <v>49</v>
      </c>
      <c r="F271" s="90">
        <v>3249389</v>
      </c>
    </row>
    <row r="272" spans="1:6">
      <c r="A272" s="88"/>
      <c r="B272" s="88" t="s">
        <v>463</v>
      </c>
      <c r="C272" s="88"/>
      <c r="D272" s="88"/>
      <c r="E272" s="88"/>
      <c r="F272" s="90">
        <v>54332038</v>
      </c>
    </row>
    <row r="273" spans="1:6">
      <c r="A273" s="88"/>
      <c r="B273" s="88" t="s">
        <v>401</v>
      </c>
      <c r="C273" s="88" t="s">
        <v>402</v>
      </c>
      <c r="D273" s="88" t="s">
        <v>48</v>
      </c>
      <c r="E273" s="88" t="s">
        <v>33</v>
      </c>
      <c r="F273" s="90">
        <v>4515750</v>
      </c>
    </row>
    <row r="274" spans="1:6">
      <c r="A274" s="88"/>
      <c r="B274" s="88" t="s">
        <v>453</v>
      </c>
      <c r="C274" s="88"/>
      <c r="D274" s="88"/>
      <c r="E274" s="88"/>
      <c r="F274" s="90">
        <v>4515750</v>
      </c>
    </row>
    <row r="275" spans="1:6">
      <c r="A275" s="88" t="s">
        <v>464</v>
      </c>
      <c r="B275" s="88"/>
      <c r="C275" s="88"/>
      <c r="D275" s="88"/>
      <c r="E275" s="88"/>
      <c r="F275" s="90">
        <v>352006400</v>
      </c>
    </row>
    <row r="276" spans="1:6">
      <c r="A276" s="88" t="s">
        <v>43</v>
      </c>
      <c r="B276" s="88" t="s">
        <v>40</v>
      </c>
      <c r="C276" s="88" t="s">
        <v>41</v>
      </c>
      <c r="D276" s="88" t="s">
        <v>42</v>
      </c>
      <c r="E276" s="88" t="s">
        <v>18</v>
      </c>
      <c r="F276" s="90">
        <v>48500000</v>
      </c>
    </row>
    <row r="277" spans="1:6">
      <c r="A277" s="88"/>
      <c r="B277" s="88" t="s">
        <v>40</v>
      </c>
      <c r="C277" s="88"/>
      <c r="D277" s="88"/>
      <c r="E277" s="88" t="s">
        <v>20</v>
      </c>
      <c r="F277" s="90">
        <v>600000</v>
      </c>
    </row>
    <row r="278" spans="1:6">
      <c r="A278" s="88"/>
      <c r="B278" s="88" t="s">
        <v>40</v>
      </c>
      <c r="C278" s="88"/>
      <c r="D278" s="88"/>
      <c r="E278" s="88" t="s">
        <v>21</v>
      </c>
      <c r="F278" s="90">
        <v>31250000</v>
      </c>
    </row>
    <row r="279" spans="1:6">
      <c r="A279" s="88"/>
      <c r="B279" s="88" t="s">
        <v>40</v>
      </c>
      <c r="C279" s="88"/>
      <c r="D279" s="88"/>
      <c r="E279" s="88" t="s">
        <v>44</v>
      </c>
      <c r="F279" s="90">
        <v>7250000</v>
      </c>
    </row>
    <row r="280" spans="1:6">
      <c r="A280" s="88"/>
      <c r="B280" s="88" t="s">
        <v>40</v>
      </c>
      <c r="C280" s="88"/>
      <c r="D280" s="88"/>
      <c r="E280" s="88" t="s">
        <v>22</v>
      </c>
      <c r="F280" s="90">
        <v>9750000</v>
      </c>
    </row>
    <row r="281" spans="1:6">
      <c r="A281" s="88"/>
      <c r="B281" s="88" t="s">
        <v>40</v>
      </c>
      <c r="C281" s="88"/>
      <c r="D281" s="88"/>
      <c r="E281" s="88" t="s">
        <v>26</v>
      </c>
      <c r="F281" s="90">
        <v>28000000</v>
      </c>
    </row>
    <row r="282" spans="1:6">
      <c r="A282" s="88"/>
      <c r="B282" s="88" t="s">
        <v>40</v>
      </c>
      <c r="C282" s="88"/>
      <c r="D282" s="88"/>
      <c r="E282" s="88" t="s">
        <v>45</v>
      </c>
      <c r="F282" s="90">
        <v>1497600</v>
      </c>
    </row>
    <row r="283" spans="1:6">
      <c r="A283" s="88"/>
      <c r="B283" s="88" t="s">
        <v>465</v>
      </c>
      <c r="C283" s="88"/>
      <c r="D283" s="88"/>
      <c r="E283" s="88"/>
      <c r="F283" s="90">
        <v>126847600</v>
      </c>
    </row>
    <row r="284" spans="1:6">
      <c r="A284" s="88"/>
      <c r="B284" s="88" t="s">
        <v>89</v>
      </c>
      <c r="C284" s="88" t="s">
        <v>90</v>
      </c>
      <c r="D284" s="88" t="s">
        <v>93</v>
      </c>
      <c r="E284" s="88" t="s">
        <v>13</v>
      </c>
      <c r="F284" s="90">
        <v>5852000</v>
      </c>
    </row>
    <row r="285" spans="1:6">
      <c r="A285" s="88"/>
      <c r="B285" s="88" t="s">
        <v>89</v>
      </c>
      <c r="C285" s="88"/>
      <c r="D285" s="88"/>
      <c r="E285" s="88" t="s">
        <v>21</v>
      </c>
      <c r="F285" s="90">
        <v>11000000</v>
      </c>
    </row>
    <row r="286" spans="1:6">
      <c r="A286" s="88"/>
      <c r="B286" s="88" t="s">
        <v>89</v>
      </c>
      <c r="C286" s="88"/>
      <c r="D286" s="88"/>
      <c r="E286" s="88" t="s">
        <v>94</v>
      </c>
      <c r="F286" s="90">
        <v>1000000</v>
      </c>
    </row>
    <row r="287" spans="1:6">
      <c r="A287" s="88"/>
      <c r="B287" s="88" t="s">
        <v>89</v>
      </c>
      <c r="C287" s="88"/>
      <c r="D287" s="88"/>
      <c r="E287" s="88" t="s">
        <v>26</v>
      </c>
      <c r="F287" s="90">
        <v>4750000</v>
      </c>
    </row>
    <row r="288" spans="1:6">
      <c r="A288" s="88"/>
      <c r="B288" s="88" t="s">
        <v>415</v>
      </c>
      <c r="C288" s="88"/>
      <c r="D288" s="88"/>
      <c r="E288" s="88"/>
      <c r="F288" s="90">
        <v>22602000</v>
      </c>
    </row>
    <row r="289" spans="1:6">
      <c r="A289" s="88"/>
      <c r="B289" s="88" t="s">
        <v>101</v>
      </c>
      <c r="C289" s="88" t="s">
        <v>102</v>
      </c>
      <c r="D289" s="88" t="s">
        <v>103</v>
      </c>
      <c r="E289" s="88" t="s">
        <v>18</v>
      </c>
      <c r="F289" s="90">
        <v>1950000</v>
      </c>
    </row>
    <row r="290" spans="1:6">
      <c r="A290" s="88"/>
      <c r="B290" s="88" t="s">
        <v>101</v>
      </c>
      <c r="C290" s="88"/>
      <c r="D290" s="88"/>
      <c r="E290" s="88" t="s">
        <v>13</v>
      </c>
      <c r="F290" s="90">
        <v>3300000</v>
      </c>
    </row>
    <row r="291" spans="1:6">
      <c r="A291" s="88"/>
      <c r="B291" s="88" t="s">
        <v>101</v>
      </c>
      <c r="C291" s="88"/>
      <c r="D291" s="88"/>
      <c r="E291" s="88" t="s">
        <v>21</v>
      </c>
      <c r="F291" s="90">
        <v>11000000</v>
      </c>
    </row>
    <row r="292" spans="1:6">
      <c r="A292" s="88"/>
      <c r="B292" s="88" t="s">
        <v>101</v>
      </c>
      <c r="C292" s="88"/>
      <c r="D292" s="88"/>
      <c r="E292" s="88" t="s">
        <v>26</v>
      </c>
      <c r="F292" s="90">
        <v>3750000</v>
      </c>
    </row>
    <row r="293" spans="1:6">
      <c r="A293" s="88"/>
      <c r="B293" s="88" t="s">
        <v>101</v>
      </c>
      <c r="C293" s="88"/>
      <c r="D293" s="88"/>
      <c r="E293" s="88" t="s">
        <v>98</v>
      </c>
      <c r="F293" s="90">
        <v>5000000</v>
      </c>
    </row>
    <row r="294" spans="1:6">
      <c r="A294" s="88"/>
      <c r="B294" s="88" t="s">
        <v>101</v>
      </c>
      <c r="C294" s="88"/>
      <c r="D294" s="88"/>
      <c r="E294" s="88" t="s">
        <v>104</v>
      </c>
      <c r="F294" s="90">
        <v>9500000</v>
      </c>
    </row>
    <row r="295" spans="1:6">
      <c r="A295" s="88"/>
      <c r="B295" s="88" t="s">
        <v>466</v>
      </c>
      <c r="C295" s="88"/>
      <c r="D295" s="88"/>
      <c r="E295" s="88"/>
      <c r="F295" s="90">
        <v>34500000</v>
      </c>
    </row>
    <row r="296" spans="1:6">
      <c r="A296" s="88"/>
      <c r="B296" s="88" t="s">
        <v>137</v>
      </c>
      <c r="C296" s="88" t="s">
        <v>138</v>
      </c>
      <c r="D296" s="88" t="s">
        <v>42</v>
      </c>
      <c r="E296" s="88" t="s">
        <v>18</v>
      </c>
      <c r="F296" s="90">
        <v>9500000</v>
      </c>
    </row>
    <row r="297" spans="1:6">
      <c r="A297" s="88"/>
      <c r="B297" s="88" t="s">
        <v>467</v>
      </c>
      <c r="C297" s="88"/>
      <c r="D297" s="88"/>
      <c r="E297" s="88"/>
      <c r="F297" s="90">
        <v>9500000</v>
      </c>
    </row>
    <row r="298" spans="1:6">
      <c r="A298" s="88"/>
      <c r="B298" s="88" t="s">
        <v>139</v>
      </c>
      <c r="C298" s="88" t="s">
        <v>140</v>
      </c>
      <c r="D298" s="88" t="s">
        <v>141</v>
      </c>
      <c r="E298" s="88" t="s">
        <v>18</v>
      </c>
      <c r="F298" s="90">
        <v>14750000</v>
      </c>
    </row>
    <row r="299" spans="1:6">
      <c r="A299" s="88"/>
      <c r="B299" s="88" t="s">
        <v>139</v>
      </c>
      <c r="C299" s="88"/>
      <c r="D299" s="88"/>
      <c r="E299" s="88" t="s">
        <v>13</v>
      </c>
      <c r="F299" s="90">
        <v>2505800</v>
      </c>
    </row>
    <row r="300" spans="1:6">
      <c r="A300" s="88"/>
      <c r="B300" s="88" t="s">
        <v>139</v>
      </c>
      <c r="C300" s="88"/>
      <c r="D300" s="88"/>
      <c r="E300" s="88" t="s">
        <v>21</v>
      </c>
      <c r="F300" s="90">
        <v>20750000</v>
      </c>
    </row>
    <row r="301" spans="1:6">
      <c r="A301" s="88"/>
      <c r="B301" s="88" t="s">
        <v>139</v>
      </c>
      <c r="C301" s="88"/>
      <c r="D301" s="88"/>
      <c r="E301" s="88" t="s">
        <v>22</v>
      </c>
      <c r="F301" s="90">
        <v>10000000</v>
      </c>
    </row>
    <row r="302" spans="1:6">
      <c r="A302" s="88"/>
      <c r="B302" s="88" t="s">
        <v>139</v>
      </c>
      <c r="C302" s="88"/>
      <c r="D302" s="88"/>
      <c r="E302" s="88" t="s">
        <v>23</v>
      </c>
      <c r="F302" s="90">
        <v>2277613.125</v>
      </c>
    </row>
    <row r="303" spans="1:6">
      <c r="A303" s="88"/>
      <c r="B303" s="88" t="s">
        <v>139</v>
      </c>
      <c r="C303" s="88"/>
      <c r="D303" s="88"/>
      <c r="E303" s="88" t="s">
        <v>142</v>
      </c>
      <c r="F303" s="90">
        <v>18117500</v>
      </c>
    </row>
    <row r="304" spans="1:6">
      <c r="A304" s="88"/>
      <c r="B304" s="88" t="s">
        <v>139</v>
      </c>
      <c r="C304" s="88"/>
      <c r="D304" s="88"/>
      <c r="E304" s="88" t="s">
        <v>30</v>
      </c>
      <c r="F304" s="90">
        <v>12000000</v>
      </c>
    </row>
    <row r="305" spans="1:6">
      <c r="A305" s="88"/>
      <c r="B305" s="88" t="s">
        <v>139</v>
      </c>
      <c r="C305" s="88"/>
      <c r="D305" s="88"/>
      <c r="E305" s="88" t="s">
        <v>143</v>
      </c>
      <c r="F305" s="90">
        <v>3750000</v>
      </c>
    </row>
    <row r="306" spans="1:6">
      <c r="A306" s="88"/>
      <c r="B306" s="88" t="s">
        <v>139</v>
      </c>
      <c r="C306" s="88"/>
      <c r="D306" s="88"/>
      <c r="E306" s="88" t="s">
        <v>144</v>
      </c>
      <c r="F306" s="90">
        <v>5000000</v>
      </c>
    </row>
    <row r="307" spans="1:6">
      <c r="A307" s="88"/>
      <c r="B307" s="88" t="s">
        <v>139</v>
      </c>
      <c r="C307" s="88"/>
      <c r="D307" s="88"/>
      <c r="E307" s="88" t="s">
        <v>26</v>
      </c>
      <c r="F307" s="90">
        <v>6000000</v>
      </c>
    </row>
    <row r="308" spans="1:6">
      <c r="A308" s="88"/>
      <c r="B308" s="88" t="s">
        <v>139</v>
      </c>
      <c r="C308" s="88"/>
      <c r="D308" s="88"/>
      <c r="E308" s="88" t="s">
        <v>92</v>
      </c>
      <c r="F308" s="90">
        <v>1350000</v>
      </c>
    </row>
    <row r="309" spans="1:6">
      <c r="A309" s="88"/>
      <c r="B309" s="88" t="s">
        <v>468</v>
      </c>
      <c r="C309" s="88"/>
      <c r="D309" s="88"/>
      <c r="E309" s="88"/>
      <c r="F309" s="90">
        <v>96500913.125</v>
      </c>
    </row>
    <row r="310" spans="1:6">
      <c r="A310" s="88"/>
      <c r="B310" s="88" t="s">
        <v>145</v>
      </c>
      <c r="C310" s="88" t="s">
        <v>146</v>
      </c>
      <c r="D310" s="88" t="s">
        <v>141</v>
      </c>
      <c r="E310" s="88" t="s">
        <v>18</v>
      </c>
      <c r="F310" s="90">
        <v>14750000</v>
      </c>
    </row>
    <row r="311" spans="1:6">
      <c r="A311" s="88"/>
      <c r="B311" s="88" t="s">
        <v>145</v>
      </c>
      <c r="C311" s="88"/>
      <c r="D311" s="88"/>
      <c r="E311" s="88" t="s">
        <v>13</v>
      </c>
      <c r="F311" s="90">
        <v>2505800</v>
      </c>
    </row>
    <row r="312" spans="1:6">
      <c r="A312" s="88"/>
      <c r="B312" s="88" t="s">
        <v>145</v>
      </c>
      <c r="C312" s="88"/>
      <c r="D312" s="88"/>
      <c r="E312" s="88" t="s">
        <v>21</v>
      </c>
      <c r="F312" s="90">
        <v>20750000</v>
      </c>
    </row>
    <row r="313" spans="1:6">
      <c r="A313" s="88"/>
      <c r="B313" s="88" t="s">
        <v>145</v>
      </c>
      <c r="C313" s="88"/>
      <c r="D313" s="88"/>
      <c r="E313" s="88" t="s">
        <v>22</v>
      </c>
      <c r="F313" s="90">
        <v>10000000</v>
      </c>
    </row>
    <row r="314" spans="1:6">
      <c r="A314" s="88"/>
      <c r="B314" s="88" t="s">
        <v>145</v>
      </c>
      <c r="C314" s="88"/>
      <c r="D314" s="88"/>
      <c r="E314" s="88" t="s">
        <v>23</v>
      </c>
      <c r="F314" s="90">
        <v>2277613.125</v>
      </c>
    </row>
    <row r="315" spans="1:6">
      <c r="A315" s="88"/>
      <c r="B315" s="88" t="s">
        <v>145</v>
      </c>
      <c r="C315" s="88"/>
      <c r="D315" s="88"/>
      <c r="E315" s="88" t="s">
        <v>142</v>
      </c>
      <c r="F315" s="90">
        <v>18117500</v>
      </c>
    </row>
    <row r="316" spans="1:6">
      <c r="A316" s="88"/>
      <c r="B316" s="88" t="s">
        <v>145</v>
      </c>
      <c r="C316" s="88"/>
      <c r="D316" s="88"/>
      <c r="E316" s="88" t="s">
        <v>30</v>
      </c>
      <c r="F316" s="90">
        <v>12000000</v>
      </c>
    </row>
    <row r="317" spans="1:6">
      <c r="A317" s="88"/>
      <c r="B317" s="88" t="s">
        <v>145</v>
      </c>
      <c r="C317" s="88"/>
      <c r="D317" s="88"/>
      <c r="E317" s="88" t="s">
        <v>143</v>
      </c>
      <c r="F317" s="90">
        <v>3750000</v>
      </c>
    </row>
    <row r="318" spans="1:6">
      <c r="A318" s="88"/>
      <c r="B318" s="88" t="s">
        <v>145</v>
      </c>
      <c r="C318" s="88"/>
      <c r="D318" s="88"/>
      <c r="E318" s="88" t="s">
        <v>144</v>
      </c>
      <c r="F318" s="90">
        <v>5000000</v>
      </c>
    </row>
    <row r="319" spans="1:6">
      <c r="A319" s="88"/>
      <c r="B319" s="88" t="s">
        <v>145</v>
      </c>
      <c r="C319" s="88"/>
      <c r="D319" s="88"/>
      <c r="E319" s="88" t="s">
        <v>26</v>
      </c>
      <c r="F319" s="90">
        <v>6000000</v>
      </c>
    </row>
    <row r="320" spans="1:6">
      <c r="A320" s="88"/>
      <c r="B320" s="88" t="s">
        <v>145</v>
      </c>
      <c r="C320" s="88"/>
      <c r="D320" s="88"/>
      <c r="E320" s="88" t="s">
        <v>92</v>
      </c>
      <c r="F320" s="90">
        <v>1350000</v>
      </c>
    </row>
    <row r="321" spans="1:6">
      <c r="A321" s="88"/>
      <c r="B321" s="88" t="s">
        <v>469</v>
      </c>
      <c r="C321" s="88"/>
      <c r="D321" s="88"/>
      <c r="E321" s="88"/>
      <c r="F321" s="90">
        <v>96500913.125</v>
      </c>
    </row>
    <row r="322" spans="1:6">
      <c r="A322" s="88"/>
      <c r="B322" s="88" t="s">
        <v>172</v>
      </c>
      <c r="C322" s="88" t="s">
        <v>173</v>
      </c>
      <c r="D322" s="88" t="s">
        <v>103</v>
      </c>
      <c r="E322" s="88" t="s">
        <v>18</v>
      </c>
      <c r="F322" s="90">
        <v>1950000</v>
      </c>
    </row>
    <row r="323" spans="1:6">
      <c r="A323" s="88"/>
      <c r="B323" s="88" t="s">
        <v>172</v>
      </c>
      <c r="C323" s="88"/>
      <c r="D323" s="88"/>
      <c r="E323" s="88" t="s">
        <v>13</v>
      </c>
      <c r="F323" s="90">
        <v>17793957.5</v>
      </c>
    </row>
    <row r="324" spans="1:6">
      <c r="A324" s="88"/>
      <c r="B324" s="88" t="s">
        <v>172</v>
      </c>
      <c r="C324" s="88"/>
      <c r="D324" s="88"/>
      <c r="E324" s="88" t="s">
        <v>20</v>
      </c>
      <c r="F324" s="90">
        <v>1500000</v>
      </c>
    </row>
    <row r="325" spans="1:6">
      <c r="A325" s="88"/>
      <c r="B325" s="88" t="s">
        <v>172</v>
      </c>
      <c r="C325" s="88"/>
      <c r="D325" s="88"/>
      <c r="E325" s="88" t="s">
        <v>21</v>
      </c>
      <c r="F325" s="90">
        <v>45250000</v>
      </c>
    </row>
    <row r="326" spans="1:6">
      <c r="A326" s="88"/>
      <c r="B326" s="88" t="s">
        <v>172</v>
      </c>
      <c r="C326" s="88"/>
      <c r="D326" s="88"/>
      <c r="E326" s="88" t="s">
        <v>94</v>
      </c>
      <c r="F326" s="90">
        <v>2850000</v>
      </c>
    </row>
    <row r="327" spans="1:6">
      <c r="A327" s="88"/>
      <c r="B327" s="88" t="s">
        <v>172</v>
      </c>
      <c r="C327" s="88"/>
      <c r="D327" s="88"/>
      <c r="E327" s="88" t="s">
        <v>143</v>
      </c>
      <c r="F327" s="90">
        <v>850000</v>
      </c>
    </row>
    <row r="328" spans="1:6">
      <c r="A328" s="88"/>
      <c r="B328" s="88" t="s">
        <v>172</v>
      </c>
      <c r="C328" s="88"/>
      <c r="D328" s="88"/>
      <c r="E328" s="88" t="s">
        <v>26</v>
      </c>
      <c r="F328" s="90">
        <v>7500000</v>
      </c>
    </row>
    <row r="329" spans="1:6">
      <c r="A329" s="88"/>
      <c r="B329" s="88" t="s">
        <v>172</v>
      </c>
      <c r="C329" s="88"/>
      <c r="D329" s="88"/>
      <c r="E329" s="88" t="s">
        <v>98</v>
      </c>
      <c r="F329" s="90">
        <v>5000000</v>
      </c>
    </row>
    <row r="330" spans="1:6">
      <c r="A330" s="88"/>
      <c r="B330" s="88" t="s">
        <v>172</v>
      </c>
      <c r="C330" s="88"/>
      <c r="D330" s="88"/>
      <c r="E330" s="88" t="s">
        <v>104</v>
      </c>
      <c r="F330" s="90">
        <v>9500000</v>
      </c>
    </row>
    <row r="331" spans="1:6">
      <c r="A331" s="88"/>
      <c r="B331" s="88" t="s">
        <v>470</v>
      </c>
      <c r="C331" s="88"/>
      <c r="D331" s="88"/>
      <c r="E331" s="88"/>
      <c r="F331" s="90">
        <v>92193957.5</v>
      </c>
    </row>
    <row r="332" spans="1:6">
      <c r="A332" s="88"/>
      <c r="B332" s="88" t="s">
        <v>181</v>
      </c>
      <c r="C332" s="88" t="s">
        <v>182</v>
      </c>
      <c r="D332" s="88" t="s">
        <v>103</v>
      </c>
      <c r="E332" s="88" t="s">
        <v>13</v>
      </c>
      <c r="F332" s="90">
        <v>14493957.5</v>
      </c>
    </row>
    <row r="333" spans="1:6">
      <c r="A333" s="88"/>
      <c r="B333" s="88" t="s">
        <v>181</v>
      </c>
      <c r="C333" s="88"/>
      <c r="D333" s="88"/>
      <c r="E333" s="88" t="s">
        <v>20</v>
      </c>
      <c r="F333" s="90">
        <v>1500000</v>
      </c>
    </row>
    <row r="334" spans="1:6">
      <c r="A334" s="88"/>
      <c r="B334" s="88" t="s">
        <v>181</v>
      </c>
      <c r="C334" s="88"/>
      <c r="D334" s="88"/>
      <c r="E334" s="88" t="s">
        <v>21</v>
      </c>
      <c r="F334" s="90">
        <v>34250000</v>
      </c>
    </row>
    <row r="335" spans="1:6">
      <c r="A335" s="88"/>
      <c r="B335" s="88" t="s">
        <v>181</v>
      </c>
      <c r="C335" s="88"/>
      <c r="D335" s="88"/>
      <c r="E335" s="88" t="s">
        <v>94</v>
      </c>
      <c r="F335" s="90">
        <v>2850000</v>
      </c>
    </row>
    <row r="336" spans="1:6">
      <c r="A336" s="88"/>
      <c r="B336" s="88" t="s">
        <v>181</v>
      </c>
      <c r="C336" s="88"/>
      <c r="D336" s="88"/>
      <c r="E336" s="88" t="s">
        <v>143</v>
      </c>
      <c r="F336" s="90">
        <v>850000</v>
      </c>
    </row>
    <row r="337" spans="1:6">
      <c r="A337" s="88"/>
      <c r="B337" s="88" t="s">
        <v>181</v>
      </c>
      <c r="C337" s="88"/>
      <c r="D337" s="88"/>
      <c r="E337" s="88" t="s">
        <v>26</v>
      </c>
      <c r="F337" s="90">
        <v>5250000</v>
      </c>
    </row>
    <row r="338" spans="1:6">
      <c r="A338" s="88"/>
      <c r="B338" s="88" t="s">
        <v>471</v>
      </c>
      <c r="C338" s="88"/>
      <c r="D338" s="88"/>
      <c r="E338" s="88"/>
      <c r="F338" s="90">
        <v>59193957.5</v>
      </c>
    </row>
    <row r="339" spans="1:6">
      <c r="A339" s="88"/>
      <c r="B339" s="88" t="s">
        <v>209</v>
      </c>
      <c r="C339" s="88" t="s">
        <v>210</v>
      </c>
      <c r="D339" s="88" t="s">
        <v>211</v>
      </c>
      <c r="E339" s="88" t="s">
        <v>18</v>
      </c>
      <c r="F339" s="90">
        <v>1500000</v>
      </c>
    </row>
    <row r="340" spans="1:6">
      <c r="A340" s="88"/>
      <c r="B340" s="88" t="s">
        <v>209</v>
      </c>
      <c r="C340" s="88"/>
      <c r="D340" s="88"/>
      <c r="E340" s="88" t="s">
        <v>21</v>
      </c>
      <c r="F340" s="90">
        <v>33250000</v>
      </c>
    </row>
    <row r="341" spans="1:6">
      <c r="A341" s="88"/>
      <c r="B341" s="88" t="s">
        <v>209</v>
      </c>
      <c r="C341" s="88"/>
      <c r="D341" s="88"/>
      <c r="E341" s="88" t="s">
        <v>44</v>
      </c>
      <c r="F341" s="90">
        <v>7250000</v>
      </c>
    </row>
    <row r="342" spans="1:6">
      <c r="A342" s="88"/>
      <c r="B342" s="88" t="s">
        <v>209</v>
      </c>
      <c r="C342" s="88"/>
      <c r="D342" s="88"/>
      <c r="E342" s="88" t="s">
        <v>24</v>
      </c>
      <c r="F342" s="90">
        <v>4500000</v>
      </c>
    </row>
    <row r="343" spans="1:6">
      <c r="A343" s="88"/>
      <c r="B343" s="88" t="s">
        <v>209</v>
      </c>
      <c r="C343" s="88"/>
      <c r="D343" s="88"/>
      <c r="E343" s="88" t="s">
        <v>142</v>
      </c>
      <c r="F343" s="90">
        <v>5250000</v>
      </c>
    </row>
    <row r="344" spans="1:6">
      <c r="A344" s="88"/>
      <c r="B344" s="88" t="s">
        <v>209</v>
      </c>
      <c r="C344" s="88"/>
      <c r="D344" s="88"/>
      <c r="E344" s="88" t="s">
        <v>30</v>
      </c>
      <c r="F344" s="90">
        <v>10000000</v>
      </c>
    </row>
    <row r="345" spans="1:6">
      <c r="A345" s="88"/>
      <c r="B345" s="88" t="s">
        <v>209</v>
      </c>
      <c r="C345" s="88"/>
      <c r="D345" s="88"/>
      <c r="E345" s="88" t="s">
        <v>26</v>
      </c>
      <c r="F345" s="90">
        <v>6900000</v>
      </c>
    </row>
    <row r="346" spans="1:6">
      <c r="A346" s="88"/>
      <c r="B346" s="88" t="s">
        <v>472</v>
      </c>
      <c r="C346" s="88"/>
      <c r="D346" s="88"/>
      <c r="E346" s="88"/>
      <c r="F346" s="90">
        <v>68650000</v>
      </c>
    </row>
    <row r="347" spans="1:6">
      <c r="A347" s="88"/>
      <c r="B347" s="88" t="s">
        <v>221</v>
      </c>
      <c r="C347" s="88" t="s">
        <v>222</v>
      </c>
      <c r="D347" s="88" t="s">
        <v>223</v>
      </c>
      <c r="E347" s="88" t="s">
        <v>18</v>
      </c>
      <c r="F347" s="90">
        <v>5000000</v>
      </c>
    </row>
    <row r="348" spans="1:6">
      <c r="A348" s="88"/>
      <c r="B348" s="88" t="s">
        <v>221</v>
      </c>
      <c r="C348" s="88"/>
      <c r="D348" s="88"/>
      <c r="E348" s="88" t="s">
        <v>21</v>
      </c>
      <c r="F348" s="90">
        <v>30500000</v>
      </c>
    </row>
    <row r="349" spans="1:6">
      <c r="A349" s="88"/>
      <c r="B349" s="88" t="s">
        <v>221</v>
      </c>
      <c r="C349" s="88"/>
      <c r="D349" s="88"/>
      <c r="E349" s="88" t="s">
        <v>224</v>
      </c>
      <c r="F349" s="90">
        <v>6000000</v>
      </c>
    </row>
    <row r="350" spans="1:6">
      <c r="A350" s="88"/>
      <c r="B350" s="88" t="s">
        <v>221</v>
      </c>
      <c r="C350" s="88"/>
      <c r="D350" s="88"/>
      <c r="E350" s="88" t="s">
        <v>142</v>
      </c>
      <c r="F350" s="90">
        <v>6280500</v>
      </c>
    </row>
    <row r="351" spans="1:6">
      <c r="A351" s="88"/>
      <c r="B351" s="88" t="s">
        <v>221</v>
      </c>
      <c r="C351" s="88"/>
      <c r="D351" s="88"/>
      <c r="E351" s="88" t="s">
        <v>110</v>
      </c>
      <c r="F351" s="90">
        <v>20575000</v>
      </c>
    </row>
    <row r="352" spans="1:6">
      <c r="A352" s="88"/>
      <c r="B352" s="88" t="s">
        <v>221</v>
      </c>
      <c r="C352" s="88"/>
      <c r="D352" s="88"/>
      <c r="E352" s="88" t="s">
        <v>30</v>
      </c>
      <c r="F352" s="90">
        <v>12000000</v>
      </c>
    </row>
    <row r="353" spans="1:6">
      <c r="A353" s="88"/>
      <c r="B353" s="88" t="s">
        <v>221</v>
      </c>
      <c r="C353" s="88"/>
      <c r="D353" s="88"/>
      <c r="E353" s="88" t="s">
        <v>26</v>
      </c>
      <c r="F353" s="90">
        <v>3500000</v>
      </c>
    </row>
    <row r="354" spans="1:6">
      <c r="A354" s="88"/>
      <c r="B354" s="88" t="s">
        <v>473</v>
      </c>
      <c r="C354" s="88"/>
      <c r="D354" s="88"/>
      <c r="E354" s="88"/>
      <c r="F354" s="90">
        <v>83855500</v>
      </c>
    </row>
    <row r="355" spans="1:6">
      <c r="A355" s="88"/>
      <c r="B355" s="88" t="s">
        <v>264</v>
      </c>
      <c r="C355" s="88" t="s">
        <v>265</v>
      </c>
      <c r="D355" s="88" t="s">
        <v>266</v>
      </c>
      <c r="E355" s="88" t="s">
        <v>18</v>
      </c>
      <c r="F355" s="90">
        <v>5750000</v>
      </c>
    </row>
    <row r="356" spans="1:6">
      <c r="A356" s="88"/>
      <c r="B356" s="88" t="s">
        <v>264</v>
      </c>
      <c r="C356" s="88"/>
      <c r="D356" s="88"/>
      <c r="E356" s="88" t="s">
        <v>13</v>
      </c>
      <c r="F356" s="90">
        <v>880000</v>
      </c>
    </row>
    <row r="357" spans="1:6">
      <c r="A357" s="88"/>
      <c r="B357" s="88" t="s">
        <v>264</v>
      </c>
      <c r="C357" s="88"/>
      <c r="D357" s="88"/>
      <c r="E357" s="88" t="s">
        <v>21</v>
      </c>
      <c r="F357" s="90">
        <v>30500000</v>
      </c>
    </row>
    <row r="358" spans="1:6">
      <c r="A358" s="88"/>
      <c r="B358" s="88" t="s">
        <v>264</v>
      </c>
      <c r="C358" s="88"/>
      <c r="D358" s="88"/>
      <c r="E358" s="88" t="s">
        <v>44</v>
      </c>
      <c r="F358" s="90">
        <v>7250000</v>
      </c>
    </row>
    <row r="359" spans="1:6">
      <c r="A359" s="88"/>
      <c r="B359" s="88" t="s">
        <v>264</v>
      </c>
      <c r="C359" s="88"/>
      <c r="D359" s="88"/>
      <c r="E359" s="88" t="s">
        <v>94</v>
      </c>
      <c r="F359" s="90">
        <v>1750000</v>
      </c>
    </row>
    <row r="360" spans="1:6">
      <c r="A360" s="88"/>
      <c r="B360" s="88" t="s">
        <v>264</v>
      </c>
      <c r="C360" s="88"/>
      <c r="D360" s="88"/>
      <c r="E360" s="88" t="s">
        <v>22</v>
      </c>
      <c r="F360" s="90">
        <v>5000000</v>
      </c>
    </row>
    <row r="361" spans="1:6">
      <c r="A361" s="88"/>
      <c r="B361" s="88" t="s">
        <v>264</v>
      </c>
      <c r="C361" s="88"/>
      <c r="D361" s="88"/>
      <c r="E361" s="88" t="s">
        <v>24</v>
      </c>
      <c r="F361" s="90">
        <v>20500000</v>
      </c>
    </row>
    <row r="362" spans="1:6">
      <c r="A362" s="88"/>
      <c r="B362" s="88" t="s">
        <v>264</v>
      </c>
      <c r="C362" s="88"/>
      <c r="D362" s="88"/>
      <c r="E362" s="88" t="s">
        <v>26</v>
      </c>
      <c r="F362" s="90">
        <v>3575000</v>
      </c>
    </row>
    <row r="363" spans="1:6">
      <c r="A363" s="88"/>
      <c r="B363" s="88" t="s">
        <v>264</v>
      </c>
      <c r="C363" s="88"/>
      <c r="D363" s="88"/>
      <c r="E363" s="88" t="s">
        <v>267</v>
      </c>
      <c r="F363" s="90">
        <v>2000000</v>
      </c>
    </row>
    <row r="364" spans="1:6">
      <c r="A364" s="88"/>
      <c r="B364" s="88" t="s">
        <v>264</v>
      </c>
      <c r="C364" s="88"/>
      <c r="D364" s="88"/>
      <c r="E364" s="88" t="s">
        <v>150</v>
      </c>
      <c r="F364" s="90">
        <v>1807500</v>
      </c>
    </row>
    <row r="365" spans="1:6">
      <c r="A365" s="88"/>
      <c r="B365" s="88" t="s">
        <v>474</v>
      </c>
      <c r="C365" s="88"/>
      <c r="D365" s="88"/>
      <c r="E365" s="88"/>
      <c r="F365" s="90">
        <v>79012500</v>
      </c>
    </row>
    <row r="366" spans="1:6">
      <c r="A366" s="88"/>
      <c r="B366" s="88" t="s">
        <v>296</v>
      </c>
      <c r="C366" s="88" t="s">
        <v>297</v>
      </c>
      <c r="D366" s="88" t="s">
        <v>223</v>
      </c>
      <c r="E366" s="88" t="s">
        <v>18</v>
      </c>
      <c r="F366" s="90">
        <v>5000000</v>
      </c>
    </row>
    <row r="367" spans="1:6">
      <c r="A367" s="88"/>
      <c r="B367" s="88" t="s">
        <v>296</v>
      </c>
      <c r="C367" s="88"/>
      <c r="D367" s="88"/>
      <c r="E367" s="88" t="s">
        <v>21</v>
      </c>
      <c r="F367" s="90">
        <v>30500000</v>
      </c>
    </row>
    <row r="368" spans="1:6">
      <c r="A368" s="88"/>
      <c r="B368" s="88" t="s">
        <v>296</v>
      </c>
      <c r="C368" s="88"/>
      <c r="D368" s="88"/>
      <c r="E368" s="88" t="s">
        <v>224</v>
      </c>
      <c r="F368" s="90">
        <v>6000000</v>
      </c>
    </row>
    <row r="369" spans="1:6">
      <c r="A369" s="88"/>
      <c r="B369" s="88" t="s">
        <v>296</v>
      </c>
      <c r="C369" s="88"/>
      <c r="D369" s="88"/>
      <c r="E369" s="88" t="s">
        <v>142</v>
      </c>
      <c r="F369" s="90">
        <v>6280500</v>
      </c>
    </row>
    <row r="370" spans="1:6">
      <c r="A370" s="88"/>
      <c r="B370" s="88" t="s">
        <v>296</v>
      </c>
      <c r="C370" s="88"/>
      <c r="D370" s="88"/>
      <c r="E370" s="88" t="s">
        <v>110</v>
      </c>
      <c r="F370" s="90">
        <v>20575000</v>
      </c>
    </row>
    <row r="371" spans="1:6">
      <c r="A371" s="88"/>
      <c r="B371" s="88" t="s">
        <v>296</v>
      </c>
      <c r="C371" s="88"/>
      <c r="D371" s="88"/>
      <c r="E371" s="88" t="s">
        <v>30</v>
      </c>
      <c r="F371" s="90">
        <v>12000000</v>
      </c>
    </row>
    <row r="372" spans="1:6">
      <c r="A372" s="88"/>
      <c r="B372" s="88" t="s">
        <v>296</v>
      </c>
      <c r="C372" s="88"/>
      <c r="D372" s="88"/>
      <c r="E372" s="88" t="s">
        <v>26</v>
      </c>
      <c r="F372" s="90">
        <v>3500000</v>
      </c>
    </row>
    <row r="373" spans="1:6">
      <c r="A373" s="88"/>
      <c r="B373" s="88" t="s">
        <v>475</v>
      </c>
      <c r="C373" s="88"/>
      <c r="D373" s="88"/>
      <c r="E373" s="88"/>
      <c r="F373" s="90">
        <v>83855500</v>
      </c>
    </row>
    <row r="374" spans="1:6">
      <c r="A374" s="88"/>
      <c r="B374" s="88" t="s">
        <v>307</v>
      </c>
      <c r="C374" s="88" t="s">
        <v>308</v>
      </c>
      <c r="D374" s="88" t="s">
        <v>93</v>
      </c>
      <c r="E374" s="88" t="s">
        <v>13</v>
      </c>
      <c r="F374" s="90">
        <v>2634500</v>
      </c>
    </row>
    <row r="375" spans="1:6">
      <c r="A375" s="88"/>
      <c r="B375" s="88" t="s">
        <v>307</v>
      </c>
      <c r="C375" s="88"/>
      <c r="D375" s="88"/>
      <c r="E375" s="88" t="s">
        <v>20</v>
      </c>
      <c r="F375" s="90">
        <v>500000</v>
      </c>
    </row>
    <row r="376" spans="1:6">
      <c r="A376" s="88"/>
      <c r="B376" s="88" t="s">
        <v>307</v>
      </c>
      <c r="C376" s="88"/>
      <c r="D376" s="88"/>
      <c r="E376" s="88" t="s">
        <v>21</v>
      </c>
      <c r="F376" s="90">
        <v>9750000</v>
      </c>
    </row>
    <row r="377" spans="1:6">
      <c r="A377" s="88"/>
      <c r="B377" s="88" t="s">
        <v>307</v>
      </c>
      <c r="C377" s="88"/>
      <c r="D377" s="88"/>
      <c r="E377" s="88" t="s">
        <v>24</v>
      </c>
      <c r="F377" s="90">
        <v>3325000</v>
      </c>
    </row>
    <row r="378" spans="1:6">
      <c r="A378" s="88"/>
      <c r="B378" s="88" t="s">
        <v>307</v>
      </c>
      <c r="C378" s="88"/>
      <c r="D378" s="88"/>
      <c r="E378" s="88" t="s">
        <v>30</v>
      </c>
      <c r="F378" s="90">
        <v>8500000</v>
      </c>
    </row>
    <row r="379" spans="1:6">
      <c r="A379" s="88"/>
      <c r="B379" s="88" t="s">
        <v>307</v>
      </c>
      <c r="C379" s="88"/>
      <c r="D379" s="88"/>
      <c r="E379" s="88" t="s">
        <v>26</v>
      </c>
      <c r="F379" s="90">
        <v>4750000</v>
      </c>
    </row>
    <row r="380" spans="1:6">
      <c r="A380" s="88"/>
      <c r="B380" s="88" t="s">
        <v>307</v>
      </c>
      <c r="C380" s="88"/>
      <c r="D380" s="88"/>
      <c r="E380" s="88" t="s">
        <v>63</v>
      </c>
      <c r="F380" s="90">
        <v>9500000</v>
      </c>
    </row>
    <row r="381" spans="1:6">
      <c r="A381" s="88"/>
      <c r="B381" s="88" t="s">
        <v>476</v>
      </c>
      <c r="C381" s="88"/>
      <c r="D381" s="88"/>
      <c r="E381" s="88"/>
      <c r="F381" s="90">
        <v>38959500</v>
      </c>
    </row>
    <row r="382" spans="1:6">
      <c r="A382" s="88"/>
      <c r="B382" s="88" t="s">
        <v>310</v>
      </c>
      <c r="C382" s="88" t="s">
        <v>311</v>
      </c>
      <c r="D382" s="88" t="s">
        <v>93</v>
      </c>
      <c r="E382" s="88" t="s">
        <v>13</v>
      </c>
      <c r="F382" s="90">
        <v>2634500</v>
      </c>
    </row>
    <row r="383" spans="1:6">
      <c r="A383" s="88"/>
      <c r="B383" s="88" t="s">
        <v>310</v>
      </c>
      <c r="C383" s="88"/>
      <c r="D383" s="88"/>
      <c r="E383" s="88" t="s">
        <v>20</v>
      </c>
      <c r="F383" s="90">
        <v>500000</v>
      </c>
    </row>
    <row r="384" spans="1:6">
      <c r="A384" s="88"/>
      <c r="B384" s="88" t="s">
        <v>310</v>
      </c>
      <c r="C384" s="88"/>
      <c r="D384" s="88"/>
      <c r="E384" s="88" t="s">
        <v>21</v>
      </c>
      <c r="F384" s="90">
        <v>9750000</v>
      </c>
    </row>
    <row r="385" spans="1:6">
      <c r="A385" s="88"/>
      <c r="B385" s="88" t="s">
        <v>310</v>
      </c>
      <c r="C385" s="88"/>
      <c r="D385" s="88"/>
      <c r="E385" s="88" t="s">
        <v>24</v>
      </c>
      <c r="F385" s="90">
        <v>3325000</v>
      </c>
    </row>
    <row r="386" spans="1:6">
      <c r="A386" s="88"/>
      <c r="B386" s="88" t="s">
        <v>310</v>
      </c>
      <c r="C386" s="88"/>
      <c r="D386" s="88"/>
      <c r="E386" s="88" t="s">
        <v>30</v>
      </c>
      <c r="F386" s="90">
        <v>8500000</v>
      </c>
    </row>
    <row r="387" spans="1:6">
      <c r="A387" s="88"/>
      <c r="B387" s="88" t="s">
        <v>310</v>
      </c>
      <c r="C387" s="88"/>
      <c r="D387" s="88"/>
      <c r="E387" s="88" t="s">
        <v>26</v>
      </c>
      <c r="F387" s="90">
        <v>4750000</v>
      </c>
    </row>
    <row r="388" spans="1:6">
      <c r="A388" s="88"/>
      <c r="B388" s="88" t="s">
        <v>310</v>
      </c>
      <c r="C388" s="88"/>
      <c r="D388" s="88"/>
      <c r="E388" s="88" t="s">
        <v>63</v>
      </c>
      <c r="F388" s="90">
        <v>9500000</v>
      </c>
    </row>
    <row r="389" spans="1:6">
      <c r="A389" s="88"/>
      <c r="B389" s="88" t="s">
        <v>477</v>
      </c>
      <c r="C389" s="88"/>
      <c r="D389" s="88"/>
      <c r="E389" s="88"/>
      <c r="F389" s="90">
        <v>38959500</v>
      </c>
    </row>
    <row r="390" spans="1:6">
      <c r="A390" s="88"/>
      <c r="B390" s="88" t="s">
        <v>316</v>
      </c>
      <c r="C390" s="88" t="s">
        <v>317</v>
      </c>
      <c r="D390" s="88" t="s">
        <v>211</v>
      </c>
      <c r="E390" s="88" t="s">
        <v>18</v>
      </c>
      <c r="F390" s="90">
        <v>1500000</v>
      </c>
    </row>
    <row r="391" spans="1:6">
      <c r="A391" s="88"/>
      <c r="B391" s="88" t="s">
        <v>316</v>
      </c>
      <c r="C391" s="88"/>
      <c r="D391" s="88"/>
      <c r="E391" s="88" t="s">
        <v>21</v>
      </c>
      <c r="F391" s="90">
        <v>33250000</v>
      </c>
    </row>
    <row r="392" spans="1:6">
      <c r="A392" s="88"/>
      <c r="B392" s="88" t="s">
        <v>316</v>
      </c>
      <c r="C392" s="88"/>
      <c r="D392" s="88"/>
      <c r="E392" s="88" t="s">
        <v>44</v>
      </c>
      <c r="F392" s="90">
        <v>7250000</v>
      </c>
    </row>
    <row r="393" spans="1:6">
      <c r="A393" s="88"/>
      <c r="B393" s="88" t="s">
        <v>316</v>
      </c>
      <c r="C393" s="88"/>
      <c r="D393" s="88"/>
      <c r="E393" s="88" t="s">
        <v>24</v>
      </c>
      <c r="F393" s="90">
        <v>4500000</v>
      </c>
    </row>
    <row r="394" spans="1:6">
      <c r="A394" s="88"/>
      <c r="B394" s="88" t="s">
        <v>316</v>
      </c>
      <c r="C394" s="88"/>
      <c r="D394" s="88"/>
      <c r="E394" s="88" t="s">
        <v>142</v>
      </c>
      <c r="F394" s="90">
        <v>5250000</v>
      </c>
    </row>
    <row r="395" spans="1:6">
      <c r="A395" s="88"/>
      <c r="B395" s="88" t="s">
        <v>316</v>
      </c>
      <c r="C395" s="88"/>
      <c r="D395" s="88"/>
      <c r="E395" s="88" t="s">
        <v>30</v>
      </c>
      <c r="F395" s="90">
        <v>10000000</v>
      </c>
    </row>
    <row r="396" spans="1:6">
      <c r="A396" s="88"/>
      <c r="B396" s="88" t="s">
        <v>316</v>
      </c>
      <c r="C396" s="88"/>
      <c r="D396" s="88"/>
      <c r="E396" s="88" t="s">
        <v>26</v>
      </c>
      <c r="F396" s="90">
        <v>6900000</v>
      </c>
    </row>
    <row r="397" spans="1:6">
      <c r="A397" s="88"/>
      <c r="B397" s="88" t="s">
        <v>478</v>
      </c>
      <c r="C397" s="88"/>
      <c r="D397" s="88"/>
      <c r="E397" s="88"/>
      <c r="F397" s="90">
        <v>68650000</v>
      </c>
    </row>
    <row r="398" spans="1:6">
      <c r="A398" s="88"/>
      <c r="B398" s="88" t="s">
        <v>333</v>
      </c>
      <c r="C398" s="88" t="s">
        <v>334</v>
      </c>
      <c r="D398" s="88" t="s">
        <v>42</v>
      </c>
      <c r="E398" s="88" t="s">
        <v>18</v>
      </c>
      <c r="F398" s="90">
        <v>39000000</v>
      </c>
    </row>
    <row r="399" spans="1:6">
      <c r="A399" s="88"/>
      <c r="B399" s="88" t="s">
        <v>333</v>
      </c>
      <c r="C399" s="88"/>
      <c r="D399" s="88"/>
      <c r="E399" s="88" t="s">
        <v>20</v>
      </c>
      <c r="F399" s="90">
        <v>600000</v>
      </c>
    </row>
    <row r="400" spans="1:6">
      <c r="A400" s="88"/>
      <c r="B400" s="88" t="s">
        <v>333</v>
      </c>
      <c r="C400" s="88"/>
      <c r="D400" s="88"/>
      <c r="E400" s="88" t="s">
        <v>21</v>
      </c>
      <c r="F400" s="90">
        <v>31250000</v>
      </c>
    </row>
    <row r="401" spans="1:6">
      <c r="A401" s="88"/>
      <c r="B401" s="88" t="s">
        <v>333</v>
      </c>
      <c r="C401" s="88"/>
      <c r="D401" s="88"/>
      <c r="E401" s="88" t="s">
        <v>44</v>
      </c>
      <c r="F401" s="90">
        <v>7250000</v>
      </c>
    </row>
    <row r="402" spans="1:6">
      <c r="A402" s="88"/>
      <c r="B402" s="88" t="s">
        <v>333</v>
      </c>
      <c r="C402" s="88"/>
      <c r="D402" s="88"/>
      <c r="E402" s="88" t="s">
        <v>22</v>
      </c>
      <c r="F402" s="90">
        <v>9750000</v>
      </c>
    </row>
    <row r="403" spans="1:6">
      <c r="A403" s="88"/>
      <c r="B403" s="88" t="s">
        <v>333</v>
      </c>
      <c r="C403" s="88"/>
      <c r="D403" s="88"/>
      <c r="E403" s="88" t="s">
        <v>26</v>
      </c>
      <c r="F403" s="90">
        <v>28000000</v>
      </c>
    </row>
    <row r="404" spans="1:6">
      <c r="A404" s="88"/>
      <c r="B404" s="88" t="s">
        <v>333</v>
      </c>
      <c r="C404" s="88"/>
      <c r="D404" s="88"/>
      <c r="E404" s="88" t="s">
        <v>45</v>
      </c>
      <c r="F404" s="90">
        <v>1497600</v>
      </c>
    </row>
    <row r="405" spans="1:6">
      <c r="A405" s="88"/>
      <c r="B405" s="88" t="s">
        <v>479</v>
      </c>
      <c r="C405" s="88"/>
      <c r="D405" s="88"/>
      <c r="E405" s="88"/>
      <c r="F405" s="90">
        <v>117347600</v>
      </c>
    </row>
    <row r="406" spans="1:6">
      <c r="A406" s="88"/>
      <c r="B406" s="88" t="s">
        <v>349</v>
      </c>
      <c r="C406" s="88" t="s">
        <v>350</v>
      </c>
      <c r="D406" s="88" t="s">
        <v>93</v>
      </c>
      <c r="E406" s="88" t="s">
        <v>13</v>
      </c>
      <c r="F406" s="90">
        <v>5852000</v>
      </c>
    </row>
    <row r="407" spans="1:6">
      <c r="A407" s="88"/>
      <c r="B407" s="88" t="s">
        <v>349</v>
      </c>
      <c r="C407" s="88"/>
      <c r="D407" s="88"/>
      <c r="E407" s="88" t="s">
        <v>21</v>
      </c>
      <c r="F407" s="90">
        <v>11000000</v>
      </c>
    </row>
    <row r="408" spans="1:6">
      <c r="A408" s="88"/>
      <c r="B408" s="88" t="s">
        <v>349</v>
      </c>
      <c r="C408" s="88"/>
      <c r="D408" s="88"/>
      <c r="E408" s="88" t="s">
        <v>94</v>
      </c>
      <c r="F408" s="90">
        <v>1000000</v>
      </c>
    </row>
    <row r="409" spans="1:6">
      <c r="A409" s="88"/>
      <c r="B409" s="88" t="s">
        <v>349</v>
      </c>
      <c r="C409" s="88"/>
      <c r="D409" s="88"/>
      <c r="E409" s="88" t="s">
        <v>26</v>
      </c>
      <c r="F409" s="90">
        <v>4750000</v>
      </c>
    </row>
    <row r="410" spans="1:6">
      <c r="A410" s="88"/>
      <c r="B410" s="88" t="s">
        <v>431</v>
      </c>
      <c r="C410" s="88"/>
      <c r="D410" s="88"/>
      <c r="E410" s="88"/>
      <c r="F410" s="90">
        <v>22602000</v>
      </c>
    </row>
    <row r="411" spans="1:6">
      <c r="A411" s="88"/>
      <c r="B411" s="88" t="s">
        <v>385</v>
      </c>
      <c r="C411" s="88" t="s">
        <v>386</v>
      </c>
      <c r="D411" s="88" t="s">
        <v>103</v>
      </c>
      <c r="E411" s="88" t="s">
        <v>26</v>
      </c>
      <c r="F411" s="90">
        <v>1500000</v>
      </c>
    </row>
    <row r="412" spans="1:6">
      <c r="A412" s="88"/>
      <c r="B412" s="88" t="s">
        <v>480</v>
      </c>
      <c r="C412" s="88"/>
      <c r="D412" s="88"/>
      <c r="E412" s="88"/>
      <c r="F412" s="90">
        <v>1500000</v>
      </c>
    </row>
    <row r="413" spans="1:6">
      <c r="A413" s="88"/>
      <c r="B413" s="88" t="s">
        <v>399</v>
      </c>
      <c r="C413" s="88" t="s">
        <v>400</v>
      </c>
      <c r="D413" s="88" t="s">
        <v>266</v>
      </c>
      <c r="E413" s="88" t="s">
        <v>18</v>
      </c>
      <c r="F413" s="90">
        <v>5750000</v>
      </c>
    </row>
    <row r="414" spans="1:6">
      <c r="A414" s="88"/>
      <c r="B414" s="88" t="s">
        <v>399</v>
      </c>
      <c r="C414" s="88"/>
      <c r="D414" s="88"/>
      <c r="E414" s="88" t="s">
        <v>13</v>
      </c>
      <c r="F414" s="90">
        <v>880000</v>
      </c>
    </row>
    <row r="415" spans="1:6">
      <c r="A415" s="88"/>
      <c r="B415" s="88" t="s">
        <v>399</v>
      </c>
      <c r="C415" s="88"/>
      <c r="D415" s="88"/>
      <c r="E415" s="88" t="s">
        <v>21</v>
      </c>
      <c r="F415" s="90">
        <v>30500000</v>
      </c>
    </row>
    <row r="416" spans="1:6">
      <c r="A416" s="88"/>
      <c r="B416" s="88" t="s">
        <v>399</v>
      </c>
      <c r="C416" s="88"/>
      <c r="D416" s="88"/>
      <c r="E416" s="88" t="s">
        <v>44</v>
      </c>
      <c r="F416" s="90">
        <v>7250000</v>
      </c>
    </row>
    <row r="417" spans="1:6">
      <c r="A417" s="88"/>
      <c r="B417" s="88" t="s">
        <v>399</v>
      </c>
      <c r="C417" s="88"/>
      <c r="D417" s="88"/>
      <c r="E417" s="88" t="s">
        <v>94</v>
      </c>
      <c r="F417" s="90">
        <v>1750000</v>
      </c>
    </row>
    <row r="418" spans="1:6">
      <c r="A418" s="88"/>
      <c r="B418" s="88" t="s">
        <v>399</v>
      </c>
      <c r="C418" s="88"/>
      <c r="D418" s="88"/>
      <c r="E418" s="88" t="s">
        <v>22</v>
      </c>
      <c r="F418" s="90">
        <v>5000000</v>
      </c>
    </row>
    <row r="419" spans="1:6">
      <c r="A419" s="88"/>
      <c r="B419" s="88" t="s">
        <v>399</v>
      </c>
      <c r="C419" s="88"/>
      <c r="D419" s="88"/>
      <c r="E419" s="88" t="s">
        <v>24</v>
      </c>
      <c r="F419" s="90">
        <v>20500000</v>
      </c>
    </row>
    <row r="420" spans="1:6">
      <c r="A420" s="88"/>
      <c r="B420" s="88" t="s">
        <v>399</v>
      </c>
      <c r="C420" s="88"/>
      <c r="D420" s="88"/>
      <c r="E420" s="88" t="s">
        <v>26</v>
      </c>
      <c r="F420" s="90">
        <v>3575000</v>
      </c>
    </row>
    <row r="421" spans="1:6">
      <c r="A421" s="88"/>
      <c r="B421" s="88" t="s">
        <v>399</v>
      </c>
      <c r="C421" s="88"/>
      <c r="D421" s="88"/>
      <c r="E421" s="88" t="s">
        <v>267</v>
      </c>
      <c r="F421" s="90">
        <v>2000000</v>
      </c>
    </row>
    <row r="422" spans="1:6">
      <c r="A422" s="88"/>
      <c r="B422" s="88" t="s">
        <v>399</v>
      </c>
      <c r="C422" s="88"/>
      <c r="D422" s="88"/>
      <c r="E422" s="88" t="s">
        <v>150</v>
      </c>
      <c r="F422" s="90">
        <v>1807500</v>
      </c>
    </row>
    <row r="423" spans="1:6">
      <c r="A423" s="88"/>
      <c r="B423" s="88" t="s">
        <v>481</v>
      </c>
      <c r="C423" s="88"/>
      <c r="D423" s="88"/>
      <c r="E423" s="88"/>
      <c r="F423" s="90">
        <v>79012500</v>
      </c>
    </row>
    <row r="424" spans="1:6">
      <c r="A424" s="88" t="s">
        <v>482</v>
      </c>
      <c r="B424" s="88"/>
      <c r="C424" s="88"/>
      <c r="D424" s="88"/>
      <c r="E424" s="88"/>
      <c r="F424" s="90">
        <v>1220243941.25</v>
      </c>
    </row>
    <row r="425" spans="1:6">
      <c r="A425" s="88" t="s">
        <v>53</v>
      </c>
      <c r="B425" s="88" t="s">
        <v>46</v>
      </c>
      <c r="C425" s="88" t="s">
        <v>47</v>
      </c>
      <c r="D425" s="88" t="s">
        <v>52</v>
      </c>
      <c r="E425" s="88" t="s">
        <v>49</v>
      </c>
      <c r="F425" s="90">
        <v>3396093</v>
      </c>
    </row>
    <row r="426" spans="1:6">
      <c r="A426" s="88"/>
      <c r="B426" s="88" t="s">
        <v>46</v>
      </c>
      <c r="C426" s="88"/>
      <c r="D426" s="88"/>
      <c r="E426" s="88" t="s">
        <v>33</v>
      </c>
      <c r="F426" s="90">
        <v>9744596</v>
      </c>
    </row>
    <row r="427" spans="1:6">
      <c r="A427" s="88"/>
      <c r="B427" s="88" t="s">
        <v>46</v>
      </c>
      <c r="C427" s="88"/>
      <c r="D427" s="88"/>
      <c r="E427" s="88" t="s">
        <v>54</v>
      </c>
      <c r="F427" s="90">
        <v>3078000</v>
      </c>
    </row>
    <row r="428" spans="1:6">
      <c r="A428" s="88"/>
      <c r="B428" s="88" t="s">
        <v>457</v>
      </c>
      <c r="C428" s="88"/>
      <c r="D428" s="88"/>
      <c r="E428" s="88"/>
      <c r="F428" s="90">
        <v>16218689</v>
      </c>
    </row>
    <row r="429" spans="1:6">
      <c r="A429" s="88"/>
      <c r="B429" s="88" t="s">
        <v>85</v>
      </c>
      <c r="C429" s="88" t="s">
        <v>86</v>
      </c>
      <c r="D429" s="88" t="s">
        <v>87</v>
      </c>
      <c r="E429" s="88" t="s">
        <v>18</v>
      </c>
      <c r="F429" s="90">
        <v>2750000</v>
      </c>
    </row>
    <row r="430" spans="1:6">
      <c r="A430" s="88"/>
      <c r="B430" s="88" t="s">
        <v>85</v>
      </c>
      <c r="C430" s="88"/>
      <c r="D430" s="88"/>
      <c r="E430" s="88" t="s">
        <v>21</v>
      </c>
      <c r="F430" s="90">
        <v>50750000</v>
      </c>
    </row>
    <row r="431" spans="1:6">
      <c r="A431" s="88"/>
      <c r="B431" s="88" t="s">
        <v>85</v>
      </c>
      <c r="C431" s="88"/>
      <c r="D431" s="88"/>
      <c r="E431" s="88" t="s">
        <v>44</v>
      </c>
      <c r="F431" s="90">
        <v>7250000</v>
      </c>
    </row>
    <row r="432" spans="1:6">
      <c r="A432" s="88"/>
      <c r="B432" s="88" t="s">
        <v>85</v>
      </c>
      <c r="C432" s="88"/>
      <c r="D432" s="88"/>
      <c r="E432" s="88" t="s">
        <v>24</v>
      </c>
      <c r="F432" s="90">
        <v>9000000</v>
      </c>
    </row>
    <row r="433" spans="1:6">
      <c r="A433" s="88"/>
      <c r="B433" s="88" t="s">
        <v>85</v>
      </c>
      <c r="C433" s="88"/>
      <c r="D433" s="88"/>
      <c r="E433" s="88" t="s">
        <v>26</v>
      </c>
      <c r="F433" s="90">
        <v>11000000</v>
      </c>
    </row>
    <row r="434" spans="1:6">
      <c r="A434" s="88"/>
      <c r="B434" s="88" t="s">
        <v>85</v>
      </c>
      <c r="C434" s="88"/>
      <c r="D434" s="88"/>
      <c r="E434" s="88" t="s">
        <v>45</v>
      </c>
      <c r="F434" s="90">
        <v>2861400</v>
      </c>
    </row>
    <row r="435" spans="1:6">
      <c r="A435" s="88"/>
      <c r="B435" s="88" t="s">
        <v>85</v>
      </c>
      <c r="C435" s="88"/>
      <c r="D435" s="88"/>
      <c r="E435" s="88" t="s">
        <v>88</v>
      </c>
      <c r="F435" s="90">
        <v>11000000</v>
      </c>
    </row>
    <row r="436" spans="1:6">
      <c r="A436" s="88"/>
      <c r="B436" s="88" t="s">
        <v>483</v>
      </c>
      <c r="C436" s="88"/>
      <c r="D436" s="88"/>
      <c r="E436" s="88"/>
      <c r="F436" s="90">
        <v>94611400</v>
      </c>
    </row>
    <row r="437" spans="1:6">
      <c r="A437" s="88"/>
      <c r="B437" s="88" t="s">
        <v>113</v>
      </c>
      <c r="C437" s="88" t="s">
        <v>114</v>
      </c>
      <c r="D437" s="88" t="s">
        <v>115</v>
      </c>
      <c r="E437" s="88" t="s">
        <v>116</v>
      </c>
      <c r="F437" s="90">
        <v>8000000</v>
      </c>
    </row>
    <row r="438" spans="1:6">
      <c r="A438" s="88"/>
      <c r="B438" s="88" t="s">
        <v>113</v>
      </c>
      <c r="C438" s="88"/>
      <c r="D438" s="88"/>
      <c r="E438" s="88" t="s">
        <v>33</v>
      </c>
      <c r="F438" s="90">
        <v>45349070</v>
      </c>
    </row>
    <row r="439" spans="1:6">
      <c r="A439" s="88"/>
      <c r="B439" s="88" t="s">
        <v>113</v>
      </c>
      <c r="C439" s="88"/>
      <c r="D439" s="88"/>
      <c r="E439" s="88" t="s">
        <v>54</v>
      </c>
      <c r="F439" s="90">
        <v>3078000</v>
      </c>
    </row>
    <row r="440" spans="1:6">
      <c r="A440" s="88"/>
      <c r="B440" s="88" t="s">
        <v>484</v>
      </c>
      <c r="C440" s="88"/>
      <c r="D440" s="88"/>
      <c r="E440" s="88"/>
      <c r="F440" s="90">
        <v>56427070</v>
      </c>
    </row>
    <row r="441" spans="1:6">
      <c r="A441" s="88"/>
      <c r="B441" s="88" t="s">
        <v>117</v>
      </c>
      <c r="C441" s="88" t="s">
        <v>118</v>
      </c>
      <c r="D441" s="88" t="s">
        <v>119</v>
      </c>
      <c r="E441" s="88" t="s">
        <v>26</v>
      </c>
      <c r="F441" s="90">
        <v>25000000</v>
      </c>
    </row>
    <row r="442" spans="1:6">
      <c r="A442" s="88"/>
      <c r="B442" s="88" t="s">
        <v>485</v>
      </c>
      <c r="C442" s="88"/>
      <c r="D442" s="88"/>
      <c r="E442" s="88"/>
      <c r="F442" s="90">
        <v>25000000</v>
      </c>
    </row>
    <row r="443" spans="1:6">
      <c r="A443" s="88"/>
      <c r="B443" s="88" t="s">
        <v>125</v>
      </c>
      <c r="C443" s="88" t="s">
        <v>126</v>
      </c>
      <c r="D443" s="88" t="s">
        <v>127</v>
      </c>
      <c r="E443" s="88" t="s">
        <v>116</v>
      </c>
      <c r="F443" s="90">
        <v>6000000</v>
      </c>
    </row>
    <row r="444" spans="1:6">
      <c r="A444" s="88"/>
      <c r="B444" s="88" t="s">
        <v>125</v>
      </c>
      <c r="C444" s="88"/>
      <c r="D444" s="88"/>
      <c r="E444" s="88" t="s">
        <v>49</v>
      </c>
      <c r="F444" s="90">
        <v>2000000</v>
      </c>
    </row>
    <row r="445" spans="1:6">
      <c r="A445" s="88"/>
      <c r="B445" s="88" t="s">
        <v>125</v>
      </c>
      <c r="C445" s="88"/>
      <c r="D445" s="88"/>
      <c r="E445" s="88" t="s">
        <v>33</v>
      </c>
      <c r="F445" s="90">
        <v>31518295</v>
      </c>
    </row>
    <row r="446" spans="1:6">
      <c r="A446" s="88"/>
      <c r="B446" s="88" t="s">
        <v>125</v>
      </c>
      <c r="C446" s="88"/>
      <c r="D446" s="88"/>
      <c r="E446" s="88" t="s">
        <v>54</v>
      </c>
      <c r="F446" s="90">
        <v>5878000</v>
      </c>
    </row>
    <row r="447" spans="1:6">
      <c r="A447" s="88"/>
      <c r="B447" s="88" t="s">
        <v>486</v>
      </c>
      <c r="C447" s="88"/>
      <c r="D447" s="88"/>
      <c r="E447" s="88"/>
      <c r="F447" s="90">
        <v>45396295</v>
      </c>
    </row>
    <row r="448" spans="1:6">
      <c r="A448" s="88"/>
      <c r="B448" s="88" t="s">
        <v>128</v>
      </c>
      <c r="C448" s="88" t="s">
        <v>129</v>
      </c>
      <c r="D448" s="88" t="s">
        <v>52</v>
      </c>
      <c r="E448" s="88" t="s">
        <v>33</v>
      </c>
      <c r="F448" s="90">
        <v>20733152</v>
      </c>
    </row>
    <row r="449" spans="1:6">
      <c r="A449" s="88"/>
      <c r="B449" s="88" t="s">
        <v>128</v>
      </c>
      <c r="C449" s="88"/>
      <c r="D449" s="88" t="s">
        <v>130</v>
      </c>
      <c r="E449" s="88" t="s">
        <v>33</v>
      </c>
      <c r="F449" s="90">
        <v>11047308</v>
      </c>
    </row>
    <row r="450" spans="1:6">
      <c r="A450" s="88"/>
      <c r="B450" s="88" t="s">
        <v>460</v>
      </c>
      <c r="C450" s="88"/>
      <c r="D450" s="88"/>
      <c r="E450" s="88"/>
      <c r="F450" s="90">
        <v>31780460</v>
      </c>
    </row>
    <row r="451" spans="1:6">
      <c r="A451" s="88"/>
      <c r="B451" s="88" t="s">
        <v>131</v>
      </c>
      <c r="C451" s="88" t="s">
        <v>132</v>
      </c>
      <c r="D451" s="88" t="s">
        <v>52</v>
      </c>
      <c r="E451" s="88" t="s">
        <v>116</v>
      </c>
      <c r="F451" s="90">
        <v>3000000</v>
      </c>
    </row>
    <row r="452" spans="1:6">
      <c r="A452" s="88"/>
      <c r="B452" s="88" t="s">
        <v>131</v>
      </c>
      <c r="C452" s="88"/>
      <c r="D452" s="88" t="s">
        <v>130</v>
      </c>
      <c r="E452" s="88" t="s">
        <v>49</v>
      </c>
      <c r="F452" s="90">
        <v>1550000</v>
      </c>
    </row>
    <row r="453" spans="1:6">
      <c r="A453" s="88"/>
      <c r="B453" s="88" t="s">
        <v>131</v>
      </c>
      <c r="C453" s="88"/>
      <c r="D453" s="88"/>
      <c r="E453" s="88" t="s">
        <v>33</v>
      </c>
      <c r="F453" s="90">
        <v>23480783</v>
      </c>
    </row>
    <row r="454" spans="1:6">
      <c r="A454" s="88"/>
      <c r="B454" s="88" t="s">
        <v>131</v>
      </c>
      <c r="C454" s="88"/>
      <c r="D454" s="88"/>
      <c r="E454" s="88" t="s">
        <v>54</v>
      </c>
      <c r="F454" s="90">
        <v>5878000</v>
      </c>
    </row>
    <row r="455" spans="1:6">
      <c r="A455" s="88"/>
      <c r="B455" s="88" t="s">
        <v>439</v>
      </c>
      <c r="C455" s="88"/>
      <c r="D455" s="88"/>
      <c r="E455" s="88"/>
      <c r="F455" s="90">
        <v>33908783</v>
      </c>
    </row>
    <row r="456" spans="1:6">
      <c r="A456" s="88"/>
      <c r="B456" s="88" t="s">
        <v>147</v>
      </c>
      <c r="C456" s="88" t="s">
        <v>148</v>
      </c>
      <c r="D456" s="88" t="s">
        <v>149</v>
      </c>
      <c r="E456" s="88" t="s">
        <v>21</v>
      </c>
      <c r="F456" s="90">
        <v>21185185</v>
      </c>
    </row>
    <row r="457" spans="1:6">
      <c r="A457" s="88"/>
      <c r="B457" s="88" t="s">
        <v>147</v>
      </c>
      <c r="C457" s="88"/>
      <c r="D457" s="88"/>
      <c r="E457" s="88" t="s">
        <v>150</v>
      </c>
      <c r="F457" s="90">
        <v>4436500</v>
      </c>
    </row>
    <row r="458" spans="1:6">
      <c r="A458" s="88"/>
      <c r="B458" s="88" t="s">
        <v>147</v>
      </c>
      <c r="C458" s="88"/>
      <c r="D458" s="88"/>
      <c r="E458" s="88" t="s">
        <v>92</v>
      </c>
      <c r="F458" s="90">
        <v>11500000</v>
      </c>
    </row>
    <row r="459" spans="1:6">
      <c r="A459" s="88"/>
      <c r="B459" s="88" t="s">
        <v>147</v>
      </c>
      <c r="C459" s="88"/>
      <c r="D459" s="88" t="s">
        <v>151</v>
      </c>
      <c r="E459" s="88" t="s">
        <v>18</v>
      </c>
      <c r="F459" s="90">
        <v>2220000</v>
      </c>
    </row>
    <row r="460" spans="1:6">
      <c r="A460" s="88"/>
      <c r="B460" s="88" t="s">
        <v>147</v>
      </c>
      <c r="C460" s="88"/>
      <c r="D460" s="88"/>
      <c r="E460" s="88" t="s">
        <v>13</v>
      </c>
      <c r="F460" s="90">
        <v>935000</v>
      </c>
    </row>
    <row r="461" spans="1:6">
      <c r="A461" s="88"/>
      <c r="B461" s="88" t="s">
        <v>147</v>
      </c>
      <c r="C461" s="88"/>
      <c r="D461" s="88"/>
      <c r="E461" s="88" t="s">
        <v>21</v>
      </c>
      <c r="F461" s="90">
        <v>11000000</v>
      </c>
    </row>
    <row r="462" spans="1:6">
      <c r="A462" s="88"/>
      <c r="B462" s="88" t="s">
        <v>147</v>
      </c>
      <c r="C462" s="88"/>
      <c r="D462" s="88"/>
      <c r="E462" s="88" t="s">
        <v>94</v>
      </c>
      <c r="F462" s="90">
        <v>1200000</v>
      </c>
    </row>
    <row r="463" spans="1:6">
      <c r="A463" s="88"/>
      <c r="B463" s="88" t="s">
        <v>147</v>
      </c>
      <c r="C463" s="88"/>
      <c r="D463" s="88"/>
      <c r="E463" s="88" t="s">
        <v>23</v>
      </c>
      <c r="F463" s="90">
        <v>3493779.375</v>
      </c>
    </row>
    <row r="464" spans="1:6">
      <c r="A464" s="88"/>
      <c r="B464" s="88" t="s">
        <v>147</v>
      </c>
      <c r="C464" s="88"/>
      <c r="D464" s="88"/>
      <c r="E464" s="88" t="s">
        <v>26</v>
      </c>
      <c r="F464" s="90">
        <v>6000000</v>
      </c>
    </row>
    <row r="465" spans="1:6">
      <c r="A465" s="88"/>
      <c r="B465" s="88" t="s">
        <v>487</v>
      </c>
      <c r="C465" s="88"/>
      <c r="D465" s="88"/>
      <c r="E465" s="88"/>
      <c r="F465" s="90">
        <v>61970464.375</v>
      </c>
    </row>
    <row r="466" spans="1:6">
      <c r="A466" s="88"/>
      <c r="B466" s="88" t="s">
        <v>156</v>
      </c>
      <c r="C466" s="88" t="s">
        <v>157</v>
      </c>
      <c r="D466" s="88" t="s">
        <v>158</v>
      </c>
      <c r="E466" s="88" t="s">
        <v>18</v>
      </c>
      <c r="F466" s="90">
        <v>20500000</v>
      </c>
    </row>
    <row r="467" spans="1:6">
      <c r="A467" s="88"/>
      <c r="B467" s="88" t="s">
        <v>156</v>
      </c>
      <c r="C467" s="88"/>
      <c r="D467" s="88"/>
      <c r="E467" s="88" t="s">
        <v>13</v>
      </c>
      <c r="F467" s="90">
        <v>1842500</v>
      </c>
    </row>
    <row r="468" spans="1:6">
      <c r="A468" s="88"/>
      <c r="B468" s="88" t="s">
        <v>156</v>
      </c>
      <c r="C468" s="88"/>
      <c r="D468" s="88"/>
      <c r="E468" s="88" t="s">
        <v>21</v>
      </c>
      <c r="F468" s="90">
        <v>23250000</v>
      </c>
    </row>
    <row r="469" spans="1:6">
      <c r="A469" s="88"/>
      <c r="B469" s="88" t="s">
        <v>156</v>
      </c>
      <c r="C469" s="88"/>
      <c r="D469" s="88"/>
      <c r="E469" s="88" t="s">
        <v>44</v>
      </c>
      <c r="F469" s="90">
        <v>7750000</v>
      </c>
    </row>
    <row r="470" spans="1:6">
      <c r="A470" s="88"/>
      <c r="B470" s="88" t="s">
        <v>156</v>
      </c>
      <c r="C470" s="88"/>
      <c r="D470" s="88"/>
      <c r="E470" s="88" t="s">
        <v>94</v>
      </c>
      <c r="F470" s="90">
        <v>5750000</v>
      </c>
    </row>
    <row r="471" spans="1:6">
      <c r="A471" s="88"/>
      <c r="B471" s="88" t="s">
        <v>156</v>
      </c>
      <c r="C471" s="88"/>
      <c r="D471" s="88"/>
      <c r="E471" s="88" t="s">
        <v>30</v>
      </c>
      <c r="F471" s="90">
        <v>5000000</v>
      </c>
    </row>
    <row r="472" spans="1:6">
      <c r="A472" s="88"/>
      <c r="B472" s="88" t="s">
        <v>156</v>
      </c>
      <c r="C472" s="88"/>
      <c r="D472" s="88"/>
      <c r="E472" s="88" t="s">
        <v>26</v>
      </c>
      <c r="F472" s="90">
        <v>12050000</v>
      </c>
    </row>
    <row r="473" spans="1:6">
      <c r="A473" s="88"/>
      <c r="B473" s="88" t="s">
        <v>488</v>
      </c>
      <c r="C473" s="88"/>
      <c r="D473" s="88"/>
      <c r="E473" s="88"/>
      <c r="F473" s="90">
        <v>76142500</v>
      </c>
    </row>
    <row r="474" spans="1:6">
      <c r="A474" s="88"/>
      <c r="B474" s="88" t="s">
        <v>159</v>
      </c>
      <c r="C474" s="88" t="s">
        <v>160</v>
      </c>
      <c r="D474" s="88" t="s">
        <v>161</v>
      </c>
      <c r="E474" s="88" t="s">
        <v>9</v>
      </c>
      <c r="F474" s="90">
        <v>6642000</v>
      </c>
    </row>
    <row r="475" spans="1:6">
      <c r="A475" s="88"/>
      <c r="B475" s="88" t="s">
        <v>159</v>
      </c>
      <c r="C475" s="88"/>
      <c r="D475" s="88"/>
      <c r="E475" s="88" t="s">
        <v>21</v>
      </c>
      <c r="F475" s="90">
        <v>11000000</v>
      </c>
    </row>
    <row r="476" spans="1:6">
      <c r="A476" s="88"/>
      <c r="B476" s="88" t="s">
        <v>159</v>
      </c>
      <c r="C476" s="88"/>
      <c r="D476" s="88"/>
      <c r="E476" s="88" t="s">
        <v>44</v>
      </c>
      <c r="F476" s="90">
        <v>7250000</v>
      </c>
    </row>
    <row r="477" spans="1:6">
      <c r="A477" s="88"/>
      <c r="B477" s="88" t="s">
        <v>159</v>
      </c>
      <c r="C477" s="88"/>
      <c r="D477" s="88"/>
      <c r="E477" s="88" t="s">
        <v>22</v>
      </c>
      <c r="F477" s="90">
        <v>10500000</v>
      </c>
    </row>
    <row r="478" spans="1:6">
      <c r="A478" s="88"/>
      <c r="B478" s="88" t="s">
        <v>159</v>
      </c>
      <c r="C478" s="88"/>
      <c r="D478" s="88"/>
      <c r="E478" s="88" t="s">
        <v>45</v>
      </c>
      <c r="F478" s="90">
        <v>6146100</v>
      </c>
    </row>
    <row r="479" spans="1:6">
      <c r="A479" s="88"/>
      <c r="B479" s="88" t="s">
        <v>489</v>
      </c>
      <c r="C479" s="88"/>
      <c r="D479" s="88"/>
      <c r="E479" s="88"/>
      <c r="F479" s="90">
        <v>41538100</v>
      </c>
    </row>
    <row r="480" spans="1:6">
      <c r="A480" s="88"/>
      <c r="B480" s="88" t="s">
        <v>162</v>
      </c>
      <c r="C480" s="88" t="s">
        <v>163</v>
      </c>
      <c r="D480" s="88" t="s">
        <v>52</v>
      </c>
      <c r="E480" s="88" t="s">
        <v>116</v>
      </c>
      <c r="F480" s="90">
        <v>2500000</v>
      </c>
    </row>
    <row r="481" spans="1:6">
      <c r="A481" s="88"/>
      <c r="B481" s="88" t="s">
        <v>162</v>
      </c>
      <c r="C481" s="88"/>
      <c r="D481" s="88"/>
      <c r="E481" s="88" t="s">
        <v>33</v>
      </c>
      <c r="F481" s="90">
        <v>8018843</v>
      </c>
    </row>
    <row r="482" spans="1:6">
      <c r="A482" s="88"/>
      <c r="B482" s="88" t="s">
        <v>162</v>
      </c>
      <c r="C482" s="88"/>
      <c r="D482" s="88" t="s">
        <v>127</v>
      </c>
      <c r="E482" s="88" t="s">
        <v>33</v>
      </c>
      <c r="F482" s="90">
        <v>5030487</v>
      </c>
    </row>
    <row r="483" spans="1:6">
      <c r="A483" s="88"/>
      <c r="B483" s="88" t="s">
        <v>418</v>
      </c>
      <c r="C483" s="88"/>
      <c r="D483" s="88"/>
      <c r="E483" s="88"/>
      <c r="F483" s="90">
        <v>15549330</v>
      </c>
    </row>
    <row r="484" spans="1:6">
      <c r="A484" s="88"/>
      <c r="B484" s="88" t="s">
        <v>168</v>
      </c>
      <c r="C484" s="88" t="s">
        <v>169</v>
      </c>
      <c r="D484" s="88" t="s">
        <v>170</v>
      </c>
      <c r="E484" s="88" t="s">
        <v>13</v>
      </c>
      <c r="F484" s="90">
        <v>5280000</v>
      </c>
    </row>
    <row r="485" spans="1:6">
      <c r="A485" s="88"/>
      <c r="B485" s="88" t="s">
        <v>168</v>
      </c>
      <c r="C485" s="88"/>
      <c r="D485" s="88"/>
      <c r="E485" s="88" t="s">
        <v>20</v>
      </c>
      <c r="F485" s="90">
        <v>2000000</v>
      </c>
    </row>
    <row r="486" spans="1:6">
      <c r="A486" s="88"/>
      <c r="B486" s="88" t="s">
        <v>168</v>
      </c>
      <c r="C486" s="88"/>
      <c r="D486" s="88"/>
      <c r="E486" s="88" t="s">
        <v>21</v>
      </c>
      <c r="F486" s="90">
        <v>48897500</v>
      </c>
    </row>
    <row r="487" spans="1:6">
      <c r="A487" s="88"/>
      <c r="B487" s="88" t="s">
        <v>168</v>
      </c>
      <c r="C487" s="88"/>
      <c r="D487" s="88"/>
      <c r="E487" s="88" t="s">
        <v>22</v>
      </c>
      <c r="F487" s="90">
        <v>9750000</v>
      </c>
    </row>
    <row r="488" spans="1:6">
      <c r="A488" s="88"/>
      <c r="B488" s="88" t="s">
        <v>168</v>
      </c>
      <c r="C488" s="88"/>
      <c r="D488" s="88"/>
      <c r="E488" s="88" t="s">
        <v>23</v>
      </c>
      <c r="F488" s="90">
        <v>1098875</v>
      </c>
    </row>
    <row r="489" spans="1:6">
      <c r="A489" s="88"/>
      <c r="B489" s="88" t="s">
        <v>168</v>
      </c>
      <c r="C489" s="88"/>
      <c r="D489" s="88"/>
      <c r="E489" s="88" t="s">
        <v>24</v>
      </c>
      <c r="F489" s="90">
        <v>13500000</v>
      </c>
    </row>
    <row r="490" spans="1:6">
      <c r="A490" s="88"/>
      <c r="B490" s="88" t="s">
        <v>168</v>
      </c>
      <c r="C490" s="88"/>
      <c r="D490" s="88"/>
      <c r="E490" s="88" t="s">
        <v>142</v>
      </c>
      <c r="F490" s="90">
        <v>6378000</v>
      </c>
    </row>
    <row r="491" spans="1:6">
      <c r="A491" s="88"/>
      <c r="B491" s="88" t="s">
        <v>168</v>
      </c>
      <c r="C491" s="88"/>
      <c r="D491" s="88"/>
      <c r="E491" s="88" t="s">
        <v>26</v>
      </c>
      <c r="F491" s="90">
        <v>1750000</v>
      </c>
    </row>
    <row r="492" spans="1:6">
      <c r="A492" s="88"/>
      <c r="B492" s="88" t="s">
        <v>168</v>
      </c>
      <c r="C492" s="88"/>
      <c r="D492" s="88"/>
      <c r="E492" s="88" t="s">
        <v>171</v>
      </c>
      <c r="F492" s="90">
        <v>6500000</v>
      </c>
    </row>
    <row r="493" spans="1:6">
      <c r="A493" s="88"/>
      <c r="B493" s="88" t="s">
        <v>168</v>
      </c>
      <c r="C493" s="88"/>
      <c r="D493" s="88"/>
      <c r="E493" s="88" t="s">
        <v>98</v>
      </c>
      <c r="F493" s="90">
        <v>4250000</v>
      </c>
    </row>
    <row r="494" spans="1:6">
      <c r="A494" s="88"/>
      <c r="B494" s="88" t="s">
        <v>168</v>
      </c>
      <c r="C494" s="88"/>
      <c r="D494" s="88"/>
      <c r="E494" s="88" t="s">
        <v>92</v>
      </c>
      <c r="F494" s="90">
        <v>2750000</v>
      </c>
    </row>
    <row r="495" spans="1:6">
      <c r="A495" s="88"/>
      <c r="B495" s="88" t="s">
        <v>490</v>
      </c>
      <c r="C495" s="88"/>
      <c r="D495" s="88"/>
      <c r="E495" s="88"/>
      <c r="F495" s="90">
        <v>102154375</v>
      </c>
    </row>
    <row r="496" spans="1:6">
      <c r="A496" s="88"/>
      <c r="B496" s="88" t="s">
        <v>174</v>
      </c>
      <c r="C496" s="88" t="s">
        <v>175</v>
      </c>
      <c r="D496" s="88" t="s">
        <v>176</v>
      </c>
      <c r="E496" s="88" t="s">
        <v>26</v>
      </c>
      <c r="F496" s="90">
        <v>650000</v>
      </c>
    </row>
    <row r="497" spans="1:6">
      <c r="A497" s="88"/>
      <c r="B497" s="88" t="s">
        <v>443</v>
      </c>
      <c r="C497" s="88"/>
      <c r="D497" s="88"/>
      <c r="E497" s="88"/>
      <c r="F497" s="90">
        <v>650000</v>
      </c>
    </row>
    <row r="498" spans="1:6">
      <c r="A498" s="88"/>
      <c r="B498" s="88" t="s">
        <v>189</v>
      </c>
      <c r="C498" s="88" t="s">
        <v>190</v>
      </c>
      <c r="D498" s="88" t="s">
        <v>191</v>
      </c>
      <c r="E498" s="88" t="s">
        <v>33</v>
      </c>
      <c r="F498" s="90">
        <v>57957448</v>
      </c>
    </row>
    <row r="499" spans="1:6">
      <c r="A499" s="88"/>
      <c r="B499" s="88" t="s">
        <v>491</v>
      </c>
      <c r="C499" s="88"/>
      <c r="D499" s="88"/>
      <c r="E499" s="88"/>
      <c r="F499" s="90">
        <v>57957448</v>
      </c>
    </row>
    <row r="500" spans="1:6">
      <c r="A500" s="88"/>
      <c r="B500" s="88" t="s">
        <v>192</v>
      </c>
      <c r="C500" s="88" t="s">
        <v>193</v>
      </c>
      <c r="D500" s="88" t="s">
        <v>176</v>
      </c>
      <c r="E500" s="88" t="s">
        <v>18</v>
      </c>
      <c r="F500" s="90">
        <v>2500000</v>
      </c>
    </row>
    <row r="501" spans="1:6">
      <c r="A501" s="88"/>
      <c r="B501" s="88" t="s">
        <v>192</v>
      </c>
      <c r="C501" s="88"/>
      <c r="D501" s="88"/>
      <c r="E501" s="88" t="s">
        <v>13</v>
      </c>
      <c r="F501" s="90">
        <v>8140000</v>
      </c>
    </row>
    <row r="502" spans="1:6">
      <c r="A502" s="88"/>
      <c r="B502" s="88" t="s">
        <v>192</v>
      </c>
      <c r="C502" s="88"/>
      <c r="D502" s="88"/>
      <c r="E502" s="88" t="s">
        <v>21</v>
      </c>
      <c r="F502" s="90">
        <v>38000000</v>
      </c>
    </row>
    <row r="503" spans="1:6">
      <c r="A503" s="88"/>
      <c r="B503" s="88" t="s">
        <v>192</v>
      </c>
      <c r="C503" s="88"/>
      <c r="D503" s="88"/>
      <c r="E503" s="88" t="s">
        <v>194</v>
      </c>
      <c r="F503" s="90">
        <v>3347300</v>
      </c>
    </row>
    <row r="504" spans="1:6">
      <c r="A504" s="88"/>
      <c r="B504" s="88" t="s">
        <v>192</v>
      </c>
      <c r="C504" s="88"/>
      <c r="D504" s="88"/>
      <c r="E504" s="88" t="s">
        <v>94</v>
      </c>
      <c r="F504" s="90">
        <v>1850000</v>
      </c>
    </row>
    <row r="505" spans="1:6">
      <c r="A505" s="88"/>
      <c r="B505" s="88" t="s">
        <v>192</v>
      </c>
      <c r="C505" s="88"/>
      <c r="D505" s="88"/>
      <c r="E505" s="88" t="s">
        <v>23</v>
      </c>
      <c r="F505" s="90">
        <v>5701828.75</v>
      </c>
    </row>
    <row r="506" spans="1:6">
      <c r="A506" s="88"/>
      <c r="B506" s="88" t="s">
        <v>192</v>
      </c>
      <c r="C506" s="88"/>
      <c r="D506" s="88"/>
      <c r="E506" s="88" t="s">
        <v>24</v>
      </c>
      <c r="F506" s="90">
        <v>2030000</v>
      </c>
    </row>
    <row r="507" spans="1:6">
      <c r="A507" s="88"/>
      <c r="B507" s="88" t="s">
        <v>192</v>
      </c>
      <c r="C507" s="88"/>
      <c r="D507" s="88"/>
      <c r="E507" s="88" t="s">
        <v>143</v>
      </c>
      <c r="F507" s="90">
        <v>1000000</v>
      </c>
    </row>
    <row r="508" spans="1:6">
      <c r="A508" s="88"/>
      <c r="B508" s="88" t="s">
        <v>192</v>
      </c>
      <c r="C508" s="88"/>
      <c r="D508" s="88"/>
      <c r="E508" s="88" t="s">
        <v>26</v>
      </c>
      <c r="F508" s="90">
        <v>24250000</v>
      </c>
    </row>
    <row r="509" spans="1:6">
      <c r="A509" s="88"/>
      <c r="B509" s="88" t="s">
        <v>192</v>
      </c>
      <c r="C509" s="88"/>
      <c r="D509" s="88"/>
      <c r="E509" s="88" t="s">
        <v>98</v>
      </c>
      <c r="F509" s="90">
        <v>3000000</v>
      </c>
    </row>
    <row r="510" spans="1:6">
      <c r="A510" s="88"/>
      <c r="B510" s="88" t="s">
        <v>492</v>
      </c>
      <c r="C510" s="88"/>
      <c r="D510" s="88"/>
      <c r="E510" s="88"/>
      <c r="F510" s="90">
        <v>89819128.75</v>
      </c>
    </row>
    <row r="511" spans="1:6">
      <c r="A511" s="88"/>
      <c r="B511" s="88" t="s">
        <v>195</v>
      </c>
      <c r="C511" s="88" t="s">
        <v>196</v>
      </c>
      <c r="D511" s="88" t="s">
        <v>197</v>
      </c>
      <c r="E511" s="88" t="s">
        <v>49</v>
      </c>
      <c r="F511" s="90">
        <v>2032698</v>
      </c>
    </row>
    <row r="512" spans="1:6">
      <c r="A512" s="88"/>
      <c r="B512" s="88" t="s">
        <v>195</v>
      </c>
      <c r="C512" s="88"/>
      <c r="D512" s="88"/>
      <c r="E512" s="88" t="s">
        <v>33</v>
      </c>
      <c r="F512" s="90">
        <v>43750441</v>
      </c>
    </row>
    <row r="513" spans="1:6">
      <c r="A513" s="88"/>
      <c r="B513" s="88" t="s">
        <v>493</v>
      </c>
      <c r="C513" s="88"/>
      <c r="D513" s="88"/>
      <c r="E513" s="88"/>
      <c r="F513" s="90">
        <v>45783139</v>
      </c>
    </row>
    <row r="514" spans="1:6">
      <c r="A514" s="88"/>
      <c r="B514" s="88" t="s">
        <v>203</v>
      </c>
      <c r="C514" s="88" t="s">
        <v>204</v>
      </c>
      <c r="D514" s="88" t="s">
        <v>205</v>
      </c>
      <c r="E514" s="88" t="s">
        <v>21</v>
      </c>
      <c r="F514" s="90">
        <v>9750000</v>
      </c>
    </row>
    <row r="515" spans="1:6">
      <c r="A515" s="88"/>
      <c r="B515" s="88" t="s">
        <v>203</v>
      </c>
      <c r="C515" s="88"/>
      <c r="D515" s="88" t="s">
        <v>170</v>
      </c>
      <c r="E515" s="88" t="s">
        <v>13</v>
      </c>
      <c r="F515" s="90">
        <v>5280000</v>
      </c>
    </row>
    <row r="516" spans="1:6">
      <c r="A516" s="88"/>
      <c r="B516" s="88" t="s">
        <v>203</v>
      </c>
      <c r="C516" s="88"/>
      <c r="D516" s="88"/>
      <c r="E516" s="88" t="s">
        <v>20</v>
      </c>
      <c r="F516" s="90">
        <v>2000000</v>
      </c>
    </row>
    <row r="517" spans="1:6">
      <c r="A517" s="88"/>
      <c r="B517" s="88" t="s">
        <v>203</v>
      </c>
      <c r="C517" s="88"/>
      <c r="D517" s="88"/>
      <c r="E517" s="88" t="s">
        <v>21</v>
      </c>
      <c r="F517" s="90">
        <v>34250000</v>
      </c>
    </row>
    <row r="518" spans="1:6">
      <c r="A518" s="88"/>
      <c r="B518" s="88" t="s">
        <v>203</v>
      </c>
      <c r="C518" s="88"/>
      <c r="D518" s="88"/>
      <c r="E518" s="88" t="s">
        <v>22</v>
      </c>
      <c r="F518" s="90">
        <v>9750000</v>
      </c>
    </row>
    <row r="519" spans="1:6">
      <c r="A519" s="88"/>
      <c r="B519" s="88" t="s">
        <v>203</v>
      </c>
      <c r="C519" s="88"/>
      <c r="D519" s="88"/>
      <c r="E519" s="88" t="s">
        <v>23</v>
      </c>
      <c r="F519" s="90">
        <v>1098875</v>
      </c>
    </row>
    <row r="520" spans="1:6">
      <c r="A520" s="88"/>
      <c r="B520" s="88" t="s">
        <v>203</v>
      </c>
      <c r="C520" s="88"/>
      <c r="D520" s="88"/>
      <c r="E520" s="88" t="s">
        <v>24</v>
      </c>
      <c r="F520" s="90">
        <v>13500000</v>
      </c>
    </row>
    <row r="521" spans="1:6">
      <c r="A521" s="88"/>
      <c r="B521" s="88" t="s">
        <v>203</v>
      </c>
      <c r="C521" s="88"/>
      <c r="D521" s="88"/>
      <c r="E521" s="88" t="s">
        <v>142</v>
      </c>
      <c r="F521" s="90">
        <v>6378000</v>
      </c>
    </row>
    <row r="522" spans="1:6">
      <c r="A522" s="88"/>
      <c r="B522" s="88" t="s">
        <v>203</v>
      </c>
      <c r="C522" s="88"/>
      <c r="D522" s="88"/>
      <c r="E522" s="88" t="s">
        <v>171</v>
      </c>
      <c r="F522" s="90">
        <v>6500000</v>
      </c>
    </row>
    <row r="523" spans="1:6">
      <c r="A523" s="88"/>
      <c r="B523" s="88" t="s">
        <v>203</v>
      </c>
      <c r="C523" s="88"/>
      <c r="D523" s="88"/>
      <c r="E523" s="88" t="s">
        <v>92</v>
      </c>
      <c r="F523" s="90">
        <v>2750000</v>
      </c>
    </row>
    <row r="524" spans="1:6">
      <c r="A524" s="88"/>
      <c r="B524" s="88" t="s">
        <v>494</v>
      </c>
      <c r="C524" s="88"/>
      <c r="D524" s="88"/>
      <c r="E524" s="88"/>
      <c r="F524" s="90">
        <v>91256875</v>
      </c>
    </row>
    <row r="525" spans="1:6">
      <c r="A525" s="88"/>
      <c r="B525" s="88" t="s">
        <v>225</v>
      </c>
      <c r="C525" s="88" t="s">
        <v>226</v>
      </c>
      <c r="D525" s="88" t="s">
        <v>161</v>
      </c>
      <c r="E525" s="88" t="s">
        <v>9</v>
      </c>
      <c r="F525" s="90">
        <v>6642000</v>
      </c>
    </row>
    <row r="526" spans="1:6">
      <c r="A526" s="88"/>
      <c r="B526" s="88" t="s">
        <v>225</v>
      </c>
      <c r="C526" s="88"/>
      <c r="D526" s="88"/>
      <c r="E526" s="88" t="s">
        <v>18</v>
      </c>
      <c r="F526" s="90">
        <v>82000</v>
      </c>
    </row>
    <row r="527" spans="1:6">
      <c r="A527" s="88"/>
      <c r="B527" s="88" t="s">
        <v>225</v>
      </c>
      <c r="C527" s="88"/>
      <c r="D527" s="88"/>
      <c r="E527" s="88" t="s">
        <v>13</v>
      </c>
      <c r="F527" s="90">
        <v>1362000</v>
      </c>
    </row>
    <row r="528" spans="1:6">
      <c r="A528" s="88"/>
      <c r="B528" s="88" t="s">
        <v>225</v>
      </c>
      <c r="C528" s="88"/>
      <c r="D528" s="88"/>
      <c r="E528" s="88" t="s">
        <v>21</v>
      </c>
      <c r="F528" s="90">
        <v>33500000</v>
      </c>
    </row>
    <row r="529" spans="1:6">
      <c r="A529" s="88"/>
      <c r="B529" s="88" t="s">
        <v>225</v>
      </c>
      <c r="C529" s="88"/>
      <c r="D529" s="88"/>
      <c r="E529" s="88" t="s">
        <v>44</v>
      </c>
      <c r="F529" s="90">
        <v>7250000</v>
      </c>
    </row>
    <row r="530" spans="1:6">
      <c r="A530" s="88"/>
      <c r="B530" s="88" t="s">
        <v>225</v>
      </c>
      <c r="C530" s="88"/>
      <c r="D530" s="88"/>
      <c r="E530" s="88" t="s">
        <v>22</v>
      </c>
      <c r="F530" s="90">
        <v>10500000</v>
      </c>
    </row>
    <row r="531" spans="1:6">
      <c r="A531" s="88"/>
      <c r="B531" s="88" t="s">
        <v>225</v>
      </c>
      <c r="C531" s="88"/>
      <c r="D531" s="88"/>
      <c r="E531" s="88" t="s">
        <v>24</v>
      </c>
      <c r="F531" s="90">
        <v>9000000</v>
      </c>
    </row>
    <row r="532" spans="1:6">
      <c r="A532" s="88"/>
      <c r="B532" s="88" t="s">
        <v>225</v>
      </c>
      <c r="C532" s="88"/>
      <c r="D532" s="88"/>
      <c r="E532" s="88" t="s">
        <v>26</v>
      </c>
      <c r="F532" s="90">
        <v>1000000</v>
      </c>
    </row>
    <row r="533" spans="1:6">
      <c r="A533" s="88"/>
      <c r="B533" s="88" t="s">
        <v>225</v>
      </c>
      <c r="C533" s="88"/>
      <c r="D533" s="88"/>
      <c r="E533" s="88" t="s">
        <v>227</v>
      </c>
      <c r="F533" s="90">
        <v>1532000</v>
      </c>
    </row>
    <row r="534" spans="1:6">
      <c r="A534" s="88"/>
      <c r="B534" s="88" t="s">
        <v>225</v>
      </c>
      <c r="C534" s="88"/>
      <c r="D534" s="88"/>
      <c r="E534" s="88" t="s">
        <v>45</v>
      </c>
      <c r="F534" s="90">
        <v>6146100</v>
      </c>
    </row>
    <row r="535" spans="1:6">
      <c r="A535" s="88"/>
      <c r="B535" s="88" t="s">
        <v>495</v>
      </c>
      <c r="C535" s="88"/>
      <c r="D535" s="88"/>
      <c r="E535" s="88"/>
      <c r="F535" s="90">
        <v>77014100</v>
      </c>
    </row>
    <row r="536" spans="1:6">
      <c r="A536" s="88"/>
      <c r="B536" s="88" t="s">
        <v>235</v>
      </c>
      <c r="C536" s="88" t="s">
        <v>236</v>
      </c>
      <c r="D536" s="88" t="s">
        <v>149</v>
      </c>
      <c r="E536" s="88" t="s">
        <v>21</v>
      </c>
      <c r="F536" s="90">
        <v>21185185</v>
      </c>
    </row>
    <row r="537" spans="1:6">
      <c r="A537" s="88"/>
      <c r="B537" s="88" t="s">
        <v>235</v>
      </c>
      <c r="C537" s="88"/>
      <c r="D537" s="88"/>
      <c r="E537" s="88" t="s">
        <v>150</v>
      </c>
      <c r="F537" s="90">
        <v>4436500</v>
      </c>
    </row>
    <row r="538" spans="1:6">
      <c r="A538" s="88"/>
      <c r="B538" s="88" t="s">
        <v>235</v>
      </c>
      <c r="C538" s="88"/>
      <c r="D538" s="88"/>
      <c r="E538" s="88" t="s">
        <v>92</v>
      </c>
      <c r="F538" s="90">
        <v>11500000</v>
      </c>
    </row>
    <row r="539" spans="1:6">
      <c r="A539" s="88"/>
      <c r="B539" s="88" t="s">
        <v>235</v>
      </c>
      <c r="C539" s="88"/>
      <c r="D539" s="88" t="s">
        <v>151</v>
      </c>
      <c r="E539" s="88" t="s">
        <v>18</v>
      </c>
      <c r="F539" s="90">
        <v>2220000</v>
      </c>
    </row>
    <row r="540" spans="1:6">
      <c r="A540" s="88"/>
      <c r="B540" s="88" t="s">
        <v>235</v>
      </c>
      <c r="C540" s="88"/>
      <c r="D540" s="88"/>
      <c r="E540" s="88" t="s">
        <v>13</v>
      </c>
      <c r="F540" s="90">
        <v>935000</v>
      </c>
    </row>
    <row r="541" spans="1:6">
      <c r="A541" s="88"/>
      <c r="B541" s="88" t="s">
        <v>235</v>
      </c>
      <c r="C541" s="88"/>
      <c r="D541" s="88"/>
      <c r="E541" s="88" t="s">
        <v>21</v>
      </c>
      <c r="F541" s="90">
        <v>11000000</v>
      </c>
    </row>
    <row r="542" spans="1:6">
      <c r="A542" s="88"/>
      <c r="B542" s="88" t="s">
        <v>235</v>
      </c>
      <c r="C542" s="88"/>
      <c r="D542" s="88"/>
      <c r="E542" s="88" t="s">
        <v>94</v>
      </c>
      <c r="F542" s="90">
        <v>1200000</v>
      </c>
    </row>
    <row r="543" spans="1:6">
      <c r="A543" s="88"/>
      <c r="B543" s="88" t="s">
        <v>235</v>
      </c>
      <c r="C543" s="88"/>
      <c r="D543" s="88"/>
      <c r="E543" s="88" t="s">
        <v>23</v>
      </c>
      <c r="F543" s="90">
        <v>3493779.375</v>
      </c>
    </row>
    <row r="544" spans="1:6">
      <c r="A544" s="88"/>
      <c r="B544" s="88" t="s">
        <v>235</v>
      </c>
      <c r="C544" s="88"/>
      <c r="D544" s="88"/>
      <c r="E544" s="88" t="s">
        <v>26</v>
      </c>
      <c r="F544" s="90">
        <v>6000000</v>
      </c>
    </row>
    <row r="545" spans="1:6">
      <c r="A545" s="88"/>
      <c r="B545" s="88" t="s">
        <v>496</v>
      </c>
      <c r="C545" s="88"/>
      <c r="D545" s="88"/>
      <c r="E545" s="88"/>
      <c r="F545" s="90">
        <v>61970464.375</v>
      </c>
    </row>
    <row r="546" spans="1:6">
      <c r="A546" s="88"/>
      <c r="B546" s="88" t="s">
        <v>273</v>
      </c>
      <c r="C546" s="88" t="s">
        <v>274</v>
      </c>
      <c r="D546" s="88" t="s">
        <v>275</v>
      </c>
      <c r="E546" s="88" t="s">
        <v>18</v>
      </c>
      <c r="F546" s="90">
        <v>1500000</v>
      </c>
    </row>
    <row r="547" spans="1:6">
      <c r="A547" s="88"/>
      <c r="B547" s="88" t="s">
        <v>273</v>
      </c>
      <c r="C547" s="88"/>
      <c r="D547" s="88"/>
      <c r="E547" s="88" t="s">
        <v>21</v>
      </c>
      <c r="F547" s="90">
        <v>20750000</v>
      </c>
    </row>
    <row r="548" spans="1:6">
      <c r="A548" s="88"/>
      <c r="B548" s="88" t="s">
        <v>273</v>
      </c>
      <c r="C548" s="88"/>
      <c r="D548" s="88"/>
      <c r="E548" s="88" t="s">
        <v>142</v>
      </c>
      <c r="F548" s="90">
        <v>17380000</v>
      </c>
    </row>
    <row r="549" spans="1:6">
      <c r="A549" s="88"/>
      <c r="B549" s="88" t="s">
        <v>273</v>
      </c>
      <c r="C549" s="88"/>
      <c r="D549" s="88"/>
      <c r="E549" s="88" t="s">
        <v>26</v>
      </c>
      <c r="F549" s="90">
        <v>4850000</v>
      </c>
    </row>
    <row r="550" spans="1:6">
      <c r="A550" s="88"/>
      <c r="B550" s="88" t="s">
        <v>273</v>
      </c>
      <c r="C550" s="88"/>
      <c r="D550" s="88"/>
      <c r="E550" s="88" t="s">
        <v>88</v>
      </c>
      <c r="F550" s="90">
        <v>4000000</v>
      </c>
    </row>
    <row r="551" spans="1:6">
      <c r="A551" s="88"/>
      <c r="B551" s="88" t="s">
        <v>273</v>
      </c>
      <c r="C551" s="88"/>
      <c r="D551" s="88"/>
      <c r="E551" s="88" t="s">
        <v>92</v>
      </c>
      <c r="F551" s="90">
        <v>1400000</v>
      </c>
    </row>
    <row r="552" spans="1:6">
      <c r="A552" s="88"/>
      <c r="B552" s="88" t="s">
        <v>273</v>
      </c>
      <c r="C552" s="88"/>
      <c r="D552" s="88" t="s">
        <v>276</v>
      </c>
      <c r="E552" s="88" t="s">
        <v>18</v>
      </c>
      <c r="F552" s="90">
        <v>1500000</v>
      </c>
    </row>
    <row r="553" spans="1:6">
      <c r="A553" s="88"/>
      <c r="B553" s="88" t="s">
        <v>273</v>
      </c>
      <c r="C553" s="88"/>
      <c r="D553" s="88"/>
      <c r="E553" s="88" t="s">
        <v>21</v>
      </c>
      <c r="F553" s="90">
        <v>19981481.5</v>
      </c>
    </row>
    <row r="554" spans="1:6">
      <c r="A554" s="88"/>
      <c r="B554" s="88" t="s">
        <v>273</v>
      </c>
      <c r="C554" s="88"/>
      <c r="D554" s="88"/>
      <c r="E554" s="88" t="s">
        <v>24</v>
      </c>
      <c r="F554" s="90">
        <v>11950000</v>
      </c>
    </row>
    <row r="555" spans="1:6">
      <c r="A555" s="88"/>
      <c r="B555" s="88" t="s">
        <v>497</v>
      </c>
      <c r="C555" s="88"/>
      <c r="D555" s="88"/>
      <c r="E555" s="88"/>
      <c r="F555" s="90">
        <v>83311481.5</v>
      </c>
    </row>
    <row r="556" spans="1:6">
      <c r="A556" s="88"/>
      <c r="B556" s="88" t="s">
        <v>277</v>
      </c>
      <c r="C556" s="88" t="s">
        <v>278</v>
      </c>
      <c r="D556" s="88" t="s">
        <v>158</v>
      </c>
      <c r="E556" s="88" t="s">
        <v>18</v>
      </c>
      <c r="F556" s="90">
        <v>20500000</v>
      </c>
    </row>
    <row r="557" spans="1:6">
      <c r="A557" s="88"/>
      <c r="B557" s="88" t="s">
        <v>277</v>
      </c>
      <c r="C557" s="88"/>
      <c r="D557" s="88"/>
      <c r="E557" s="88" t="s">
        <v>13</v>
      </c>
      <c r="F557" s="90">
        <v>1842500</v>
      </c>
    </row>
    <row r="558" spans="1:6">
      <c r="A558" s="88"/>
      <c r="B558" s="88" t="s">
        <v>277</v>
      </c>
      <c r="C558" s="88"/>
      <c r="D558" s="88"/>
      <c r="E558" s="88" t="s">
        <v>21</v>
      </c>
      <c r="F558" s="90">
        <v>23250000</v>
      </c>
    </row>
    <row r="559" spans="1:6">
      <c r="A559" s="88"/>
      <c r="B559" s="88" t="s">
        <v>277</v>
      </c>
      <c r="C559" s="88"/>
      <c r="D559" s="88"/>
      <c r="E559" s="88" t="s">
        <v>44</v>
      </c>
      <c r="F559" s="90">
        <v>7750000</v>
      </c>
    </row>
    <row r="560" spans="1:6">
      <c r="A560" s="88"/>
      <c r="B560" s="88" t="s">
        <v>277</v>
      </c>
      <c r="C560" s="88"/>
      <c r="D560" s="88"/>
      <c r="E560" s="88" t="s">
        <v>94</v>
      </c>
      <c r="F560" s="90">
        <v>5750000</v>
      </c>
    </row>
    <row r="561" spans="1:6">
      <c r="A561" s="88"/>
      <c r="B561" s="88" t="s">
        <v>277</v>
      </c>
      <c r="C561" s="88"/>
      <c r="D561" s="88"/>
      <c r="E561" s="88" t="s">
        <v>30</v>
      </c>
      <c r="F561" s="90">
        <v>5000000</v>
      </c>
    </row>
    <row r="562" spans="1:6">
      <c r="A562" s="88"/>
      <c r="B562" s="88" t="s">
        <v>277</v>
      </c>
      <c r="C562" s="88"/>
      <c r="D562" s="88"/>
      <c r="E562" s="88" t="s">
        <v>26</v>
      </c>
      <c r="F562" s="90">
        <v>12050000</v>
      </c>
    </row>
    <row r="563" spans="1:6">
      <c r="A563" s="88"/>
      <c r="B563" s="88" t="s">
        <v>498</v>
      </c>
      <c r="C563" s="88"/>
      <c r="D563" s="88"/>
      <c r="E563" s="88"/>
      <c r="F563" s="90">
        <v>76142500</v>
      </c>
    </row>
    <row r="564" spans="1:6">
      <c r="A564" s="88"/>
      <c r="B564" s="88" t="s">
        <v>279</v>
      </c>
      <c r="C564" s="88" t="s">
        <v>280</v>
      </c>
      <c r="D564" s="88" t="s">
        <v>275</v>
      </c>
      <c r="E564" s="88" t="s">
        <v>30</v>
      </c>
      <c r="F564" s="90">
        <v>11000000</v>
      </c>
    </row>
    <row r="565" spans="1:6">
      <c r="A565" s="88"/>
      <c r="B565" s="88" t="s">
        <v>499</v>
      </c>
      <c r="C565" s="88"/>
      <c r="D565" s="88"/>
      <c r="E565" s="88"/>
      <c r="F565" s="90">
        <v>11000000</v>
      </c>
    </row>
    <row r="566" spans="1:6">
      <c r="A566" s="88"/>
      <c r="B566" s="88" t="s">
        <v>281</v>
      </c>
      <c r="C566" s="88" t="s">
        <v>282</v>
      </c>
      <c r="D566" s="88" t="s">
        <v>119</v>
      </c>
      <c r="E566" s="88" t="s">
        <v>18</v>
      </c>
      <c r="F566" s="90">
        <v>2000000</v>
      </c>
    </row>
    <row r="567" spans="1:6">
      <c r="A567" s="88"/>
      <c r="B567" s="88" t="s">
        <v>281</v>
      </c>
      <c r="C567" s="88"/>
      <c r="D567" s="88"/>
      <c r="E567" s="88" t="s">
        <v>21</v>
      </c>
      <c r="F567" s="90">
        <v>1000000</v>
      </c>
    </row>
    <row r="568" spans="1:6">
      <c r="A568" s="88"/>
      <c r="B568" s="88" t="s">
        <v>281</v>
      </c>
      <c r="C568" s="88"/>
      <c r="D568" s="88"/>
      <c r="E568" s="88" t="s">
        <v>247</v>
      </c>
      <c r="F568" s="90">
        <v>1750000</v>
      </c>
    </row>
    <row r="569" spans="1:6">
      <c r="A569" s="88"/>
      <c r="B569" s="88" t="s">
        <v>281</v>
      </c>
      <c r="C569" s="88"/>
      <c r="D569" s="88"/>
      <c r="E569" s="88" t="s">
        <v>92</v>
      </c>
      <c r="F569" s="90">
        <v>4500000</v>
      </c>
    </row>
    <row r="570" spans="1:6">
      <c r="A570" s="88"/>
      <c r="B570" s="88" t="s">
        <v>281</v>
      </c>
      <c r="C570" s="88"/>
      <c r="D570" s="88" t="s">
        <v>276</v>
      </c>
      <c r="E570" s="88" t="s">
        <v>24</v>
      </c>
      <c r="F570" s="90">
        <v>9000000</v>
      </c>
    </row>
    <row r="571" spans="1:6">
      <c r="A571" s="88"/>
      <c r="B571" s="88" t="s">
        <v>426</v>
      </c>
      <c r="C571" s="88"/>
      <c r="D571" s="88"/>
      <c r="E571" s="88"/>
      <c r="F571" s="90">
        <v>18250000</v>
      </c>
    </row>
    <row r="572" spans="1:6">
      <c r="A572" s="88"/>
      <c r="B572" s="88" t="s">
        <v>284</v>
      </c>
      <c r="C572" s="88" t="s">
        <v>285</v>
      </c>
      <c r="D572" s="88" t="s">
        <v>286</v>
      </c>
      <c r="E572" s="88" t="s">
        <v>18</v>
      </c>
      <c r="F572" s="90">
        <v>7225000</v>
      </c>
    </row>
    <row r="573" spans="1:6">
      <c r="A573" s="88"/>
      <c r="B573" s="88" t="s">
        <v>284</v>
      </c>
      <c r="C573" s="88"/>
      <c r="D573" s="88"/>
      <c r="E573" s="88" t="s">
        <v>20</v>
      </c>
      <c r="F573" s="90">
        <v>3950000</v>
      </c>
    </row>
    <row r="574" spans="1:6">
      <c r="A574" s="88"/>
      <c r="B574" s="88" t="s">
        <v>284</v>
      </c>
      <c r="C574" s="88"/>
      <c r="D574" s="88"/>
      <c r="E574" s="88" t="s">
        <v>21</v>
      </c>
      <c r="F574" s="90">
        <v>33000000</v>
      </c>
    </row>
    <row r="575" spans="1:6">
      <c r="A575" s="88"/>
      <c r="B575" s="88" t="s">
        <v>284</v>
      </c>
      <c r="C575" s="88"/>
      <c r="D575" s="88"/>
      <c r="E575" s="88" t="s">
        <v>23</v>
      </c>
      <c r="F575" s="90">
        <v>5000000</v>
      </c>
    </row>
    <row r="576" spans="1:6">
      <c r="A576" s="88"/>
      <c r="B576" s="88" t="s">
        <v>284</v>
      </c>
      <c r="C576" s="88"/>
      <c r="D576" s="88"/>
      <c r="E576" s="88" t="s">
        <v>24</v>
      </c>
      <c r="F576" s="90">
        <v>3000000</v>
      </c>
    </row>
    <row r="577" spans="1:6">
      <c r="A577" s="88"/>
      <c r="B577" s="88" t="s">
        <v>284</v>
      </c>
      <c r="C577" s="88"/>
      <c r="D577" s="88"/>
      <c r="E577" s="88" t="s">
        <v>142</v>
      </c>
      <c r="F577" s="90">
        <v>750000</v>
      </c>
    </row>
    <row r="578" spans="1:6">
      <c r="A578" s="88"/>
      <c r="B578" s="88" t="s">
        <v>284</v>
      </c>
      <c r="C578" s="88"/>
      <c r="D578" s="88"/>
      <c r="E578" s="88" t="s">
        <v>287</v>
      </c>
      <c r="F578" s="90">
        <v>7500000</v>
      </c>
    </row>
    <row r="579" spans="1:6">
      <c r="A579" s="88"/>
      <c r="B579" s="88" t="s">
        <v>284</v>
      </c>
      <c r="C579" s="88"/>
      <c r="D579" s="88"/>
      <c r="E579" s="88" t="s">
        <v>26</v>
      </c>
      <c r="F579" s="90">
        <v>22200000</v>
      </c>
    </row>
    <row r="580" spans="1:6">
      <c r="A580" s="88"/>
      <c r="B580" s="88" t="s">
        <v>284</v>
      </c>
      <c r="C580" s="88"/>
      <c r="D580" s="88"/>
      <c r="E580" s="88" t="s">
        <v>247</v>
      </c>
      <c r="F580" s="90">
        <v>1000000</v>
      </c>
    </row>
    <row r="581" spans="1:6">
      <c r="A581" s="88"/>
      <c r="B581" s="88" t="s">
        <v>284</v>
      </c>
      <c r="C581" s="88"/>
      <c r="D581" s="88"/>
      <c r="E581" s="88" t="s">
        <v>92</v>
      </c>
      <c r="F581" s="90">
        <v>1750000</v>
      </c>
    </row>
    <row r="582" spans="1:6">
      <c r="A582" s="88"/>
      <c r="B582" s="88" t="s">
        <v>500</v>
      </c>
      <c r="C582" s="88"/>
      <c r="D582" s="88"/>
      <c r="E582" s="88"/>
      <c r="F582" s="90">
        <v>85375000</v>
      </c>
    </row>
    <row r="583" spans="1:6">
      <c r="A583" s="88"/>
      <c r="B583" s="88" t="s">
        <v>288</v>
      </c>
      <c r="C583" s="88" t="s">
        <v>289</v>
      </c>
      <c r="D583" s="88" t="s">
        <v>290</v>
      </c>
      <c r="E583" s="88" t="s">
        <v>13</v>
      </c>
      <c r="F583" s="90">
        <v>5575000</v>
      </c>
    </row>
    <row r="584" spans="1:6">
      <c r="A584" s="88"/>
      <c r="B584" s="88" t="s">
        <v>288</v>
      </c>
      <c r="C584" s="88"/>
      <c r="D584" s="88"/>
      <c r="E584" s="88" t="s">
        <v>21</v>
      </c>
      <c r="F584" s="90">
        <v>23750000</v>
      </c>
    </row>
    <row r="585" spans="1:6">
      <c r="A585" s="88"/>
      <c r="B585" s="88" t="s">
        <v>288</v>
      </c>
      <c r="C585" s="88"/>
      <c r="D585" s="88"/>
      <c r="E585" s="88" t="s">
        <v>44</v>
      </c>
      <c r="F585" s="90">
        <v>7250000</v>
      </c>
    </row>
    <row r="586" spans="1:6">
      <c r="A586" s="88"/>
      <c r="B586" s="88" t="s">
        <v>288</v>
      </c>
      <c r="C586" s="88"/>
      <c r="D586" s="88"/>
      <c r="E586" s="88" t="s">
        <v>94</v>
      </c>
      <c r="F586" s="90">
        <v>1600000</v>
      </c>
    </row>
    <row r="587" spans="1:6">
      <c r="A587" s="88"/>
      <c r="B587" s="88" t="s">
        <v>288</v>
      </c>
      <c r="C587" s="88"/>
      <c r="D587" s="88"/>
      <c r="E587" s="88" t="s">
        <v>22</v>
      </c>
      <c r="F587" s="90">
        <v>12500000</v>
      </c>
    </row>
    <row r="588" spans="1:6">
      <c r="A588" s="88"/>
      <c r="B588" s="88" t="s">
        <v>288</v>
      </c>
      <c r="C588" s="88"/>
      <c r="D588" s="88"/>
      <c r="E588" s="88" t="s">
        <v>24</v>
      </c>
      <c r="F588" s="90">
        <v>4500000</v>
      </c>
    </row>
    <row r="589" spans="1:6">
      <c r="A589" s="88"/>
      <c r="B589" s="88" t="s">
        <v>288</v>
      </c>
      <c r="C589" s="88"/>
      <c r="D589" s="88"/>
      <c r="E589" s="88" t="s">
        <v>26</v>
      </c>
      <c r="F589" s="90">
        <v>12400000</v>
      </c>
    </row>
    <row r="590" spans="1:6">
      <c r="A590" s="88"/>
      <c r="B590" s="88" t="s">
        <v>288</v>
      </c>
      <c r="C590" s="88"/>
      <c r="D590" s="88"/>
      <c r="E590" s="88" t="s">
        <v>45</v>
      </c>
      <c r="F590" s="90">
        <v>2352200.5</v>
      </c>
    </row>
    <row r="591" spans="1:6">
      <c r="A591" s="88"/>
      <c r="B591" s="88" t="s">
        <v>501</v>
      </c>
      <c r="C591" s="88"/>
      <c r="D591" s="88"/>
      <c r="E591" s="88"/>
      <c r="F591" s="90">
        <v>69927200.5</v>
      </c>
    </row>
    <row r="592" spans="1:6">
      <c r="A592" s="88"/>
      <c r="B592" s="88" t="s">
        <v>331</v>
      </c>
      <c r="C592" s="88" t="s">
        <v>332</v>
      </c>
      <c r="D592" s="88" t="s">
        <v>275</v>
      </c>
      <c r="E592" s="88" t="s">
        <v>30</v>
      </c>
      <c r="F592" s="90">
        <v>11000000</v>
      </c>
    </row>
    <row r="593" spans="1:6">
      <c r="A593" s="88"/>
      <c r="B593" s="88" t="s">
        <v>502</v>
      </c>
      <c r="C593" s="88"/>
      <c r="D593" s="88"/>
      <c r="E593" s="88"/>
      <c r="F593" s="90">
        <v>11000000</v>
      </c>
    </row>
    <row r="594" spans="1:6">
      <c r="A594" s="88"/>
      <c r="B594" s="88" t="s">
        <v>291</v>
      </c>
      <c r="C594" s="88" t="s">
        <v>292</v>
      </c>
      <c r="D594" s="88" t="s">
        <v>293</v>
      </c>
      <c r="E594" s="88" t="s">
        <v>18</v>
      </c>
      <c r="F594" s="90">
        <v>8700000</v>
      </c>
    </row>
    <row r="595" spans="1:6">
      <c r="A595" s="88"/>
      <c r="B595" s="88" t="s">
        <v>291</v>
      </c>
      <c r="C595" s="88"/>
      <c r="D595" s="88"/>
      <c r="E595" s="88" t="s">
        <v>13</v>
      </c>
      <c r="F595" s="90">
        <v>7012500</v>
      </c>
    </row>
    <row r="596" spans="1:6">
      <c r="A596" s="88"/>
      <c r="B596" s="88" t="s">
        <v>291</v>
      </c>
      <c r="C596" s="88"/>
      <c r="D596" s="88"/>
      <c r="E596" s="88" t="s">
        <v>21</v>
      </c>
      <c r="F596" s="90">
        <v>35000000</v>
      </c>
    </row>
    <row r="597" spans="1:6">
      <c r="A597" s="88"/>
      <c r="B597" s="88" t="s">
        <v>291</v>
      </c>
      <c r="C597" s="88"/>
      <c r="D597" s="88"/>
      <c r="E597" s="88" t="s">
        <v>22</v>
      </c>
      <c r="F597" s="90">
        <v>10500000</v>
      </c>
    </row>
    <row r="598" spans="1:6">
      <c r="A598" s="88"/>
      <c r="B598" s="88" t="s">
        <v>291</v>
      </c>
      <c r="C598" s="88"/>
      <c r="D598" s="88"/>
      <c r="E598" s="88" t="s">
        <v>23</v>
      </c>
      <c r="F598" s="90">
        <v>7123648.375</v>
      </c>
    </row>
    <row r="599" spans="1:6">
      <c r="A599" s="88"/>
      <c r="B599" s="88" t="s">
        <v>291</v>
      </c>
      <c r="C599" s="88"/>
      <c r="D599" s="88"/>
      <c r="E599" s="88" t="s">
        <v>24</v>
      </c>
      <c r="F599" s="90">
        <v>9000000</v>
      </c>
    </row>
    <row r="600" spans="1:6">
      <c r="A600" s="88"/>
      <c r="B600" s="88" t="s">
        <v>291</v>
      </c>
      <c r="C600" s="88"/>
      <c r="D600" s="88"/>
      <c r="E600" s="88" t="s">
        <v>143</v>
      </c>
      <c r="F600" s="90">
        <v>2000000</v>
      </c>
    </row>
    <row r="601" spans="1:6">
      <c r="A601" s="88"/>
      <c r="B601" s="88" t="s">
        <v>291</v>
      </c>
      <c r="C601" s="88"/>
      <c r="D601" s="88"/>
      <c r="E601" s="88" t="s">
        <v>287</v>
      </c>
      <c r="F601" s="90">
        <v>7000000</v>
      </c>
    </row>
    <row r="602" spans="1:6">
      <c r="A602" s="88"/>
      <c r="B602" s="88" t="s">
        <v>291</v>
      </c>
      <c r="C602" s="88"/>
      <c r="D602" s="88"/>
      <c r="E602" s="88" t="s">
        <v>26</v>
      </c>
      <c r="F602" s="90">
        <v>3600000</v>
      </c>
    </row>
    <row r="603" spans="1:6">
      <c r="A603" s="88"/>
      <c r="B603" s="88" t="s">
        <v>291</v>
      </c>
      <c r="C603" s="88"/>
      <c r="D603" s="88"/>
      <c r="E603" s="88" t="s">
        <v>171</v>
      </c>
      <c r="F603" s="90">
        <v>1200000</v>
      </c>
    </row>
    <row r="604" spans="1:6">
      <c r="A604" s="88"/>
      <c r="B604" s="88" t="s">
        <v>291</v>
      </c>
      <c r="C604" s="88"/>
      <c r="D604" s="88"/>
      <c r="E604" s="88" t="s">
        <v>150</v>
      </c>
      <c r="F604" s="90">
        <v>7000000</v>
      </c>
    </row>
    <row r="605" spans="1:6">
      <c r="A605" s="88"/>
      <c r="B605" s="88" t="s">
        <v>291</v>
      </c>
      <c r="C605" s="88"/>
      <c r="D605" s="88"/>
      <c r="E605" s="88" t="s">
        <v>112</v>
      </c>
      <c r="F605" s="90">
        <v>2250000</v>
      </c>
    </row>
    <row r="606" spans="1:6">
      <c r="A606" s="88"/>
      <c r="B606" s="88" t="s">
        <v>291</v>
      </c>
      <c r="C606" s="88"/>
      <c r="D606" s="88"/>
      <c r="E606" s="88" t="s">
        <v>92</v>
      </c>
      <c r="F606" s="90">
        <v>4500000</v>
      </c>
    </row>
    <row r="607" spans="1:6">
      <c r="A607" s="88"/>
      <c r="B607" s="88" t="s">
        <v>503</v>
      </c>
      <c r="C607" s="88"/>
      <c r="D607" s="88"/>
      <c r="E607" s="88"/>
      <c r="F607" s="90">
        <v>104886148.375</v>
      </c>
    </row>
    <row r="608" spans="1:6">
      <c r="A608" s="88"/>
      <c r="B608" s="88" t="s">
        <v>294</v>
      </c>
      <c r="C608" s="88" t="s">
        <v>295</v>
      </c>
      <c r="D608" s="88" t="s">
        <v>293</v>
      </c>
      <c r="E608" s="88" t="s">
        <v>18</v>
      </c>
      <c r="F608" s="90">
        <v>8700000</v>
      </c>
    </row>
    <row r="609" spans="1:6">
      <c r="A609" s="88"/>
      <c r="B609" s="88" t="s">
        <v>294</v>
      </c>
      <c r="C609" s="88"/>
      <c r="D609" s="88"/>
      <c r="E609" s="88" t="s">
        <v>13</v>
      </c>
      <c r="F609" s="90">
        <v>7012500</v>
      </c>
    </row>
    <row r="610" spans="1:6">
      <c r="A610" s="88"/>
      <c r="B610" s="88" t="s">
        <v>294</v>
      </c>
      <c r="C610" s="88"/>
      <c r="D610" s="88"/>
      <c r="E610" s="88" t="s">
        <v>21</v>
      </c>
      <c r="F610" s="90">
        <v>35000000</v>
      </c>
    </row>
    <row r="611" spans="1:6">
      <c r="A611" s="88"/>
      <c r="B611" s="88" t="s">
        <v>294</v>
      </c>
      <c r="C611" s="88"/>
      <c r="D611" s="88"/>
      <c r="E611" s="88" t="s">
        <v>22</v>
      </c>
      <c r="F611" s="90">
        <v>10500000</v>
      </c>
    </row>
    <row r="612" spans="1:6">
      <c r="A612" s="88"/>
      <c r="B612" s="88" t="s">
        <v>294</v>
      </c>
      <c r="C612" s="88"/>
      <c r="D612" s="88"/>
      <c r="E612" s="88" t="s">
        <v>23</v>
      </c>
      <c r="F612" s="90">
        <v>7123648.375</v>
      </c>
    </row>
    <row r="613" spans="1:6">
      <c r="A613" s="88"/>
      <c r="B613" s="88" t="s">
        <v>294</v>
      </c>
      <c r="C613" s="88"/>
      <c r="D613" s="88"/>
      <c r="E613" s="88" t="s">
        <v>24</v>
      </c>
      <c r="F613" s="90">
        <v>9000000</v>
      </c>
    </row>
    <row r="614" spans="1:6">
      <c r="A614" s="88"/>
      <c r="B614" s="88" t="s">
        <v>294</v>
      </c>
      <c r="C614" s="88"/>
      <c r="D614" s="88"/>
      <c r="E614" s="88" t="s">
        <v>143</v>
      </c>
      <c r="F614" s="90">
        <v>2000000</v>
      </c>
    </row>
    <row r="615" spans="1:6">
      <c r="A615" s="88"/>
      <c r="B615" s="88" t="s">
        <v>294</v>
      </c>
      <c r="C615" s="88"/>
      <c r="D615" s="88"/>
      <c r="E615" s="88" t="s">
        <v>287</v>
      </c>
      <c r="F615" s="90">
        <v>7000000</v>
      </c>
    </row>
    <row r="616" spans="1:6">
      <c r="A616" s="88"/>
      <c r="B616" s="88" t="s">
        <v>294</v>
      </c>
      <c r="C616" s="88"/>
      <c r="D616" s="88"/>
      <c r="E616" s="88" t="s">
        <v>26</v>
      </c>
      <c r="F616" s="90">
        <v>3600000</v>
      </c>
    </row>
    <row r="617" spans="1:6">
      <c r="A617" s="88"/>
      <c r="B617" s="88" t="s">
        <v>294</v>
      </c>
      <c r="C617" s="88"/>
      <c r="D617" s="88"/>
      <c r="E617" s="88" t="s">
        <v>171</v>
      </c>
      <c r="F617" s="90">
        <v>1200000</v>
      </c>
    </row>
    <row r="618" spans="1:6">
      <c r="A618" s="88"/>
      <c r="B618" s="88" t="s">
        <v>294</v>
      </c>
      <c r="C618" s="88"/>
      <c r="D618" s="88"/>
      <c r="E618" s="88" t="s">
        <v>150</v>
      </c>
      <c r="F618" s="90">
        <v>7000000</v>
      </c>
    </row>
    <row r="619" spans="1:6">
      <c r="A619" s="88"/>
      <c r="B619" s="88" t="s">
        <v>294</v>
      </c>
      <c r="C619" s="88"/>
      <c r="D619" s="88"/>
      <c r="E619" s="88" t="s">
        <v>112</v>
      </c>
      <c r="F619" s="90">
        <v>2250000</v>
      </c>
    </row>
    <row r="620" spans="1:6">
      <c r="A620" s="88"/>
      <c r="B620" s="88" t="s">
        <v>294</v>
      </c>
      <c r="C620" s="88"/>
      <c r="D620" s="88"/>
      <c r="E620" s="88" t="s">
        <v>92</v>
      </c>
      <c r="F620" s="90">
        <v>4500000</v>
      </c>
    </row>
    <row r="621" spans="1:6">
      <c r="A621" s="88"/>
      <c r="B621" s="88" t="s">
        <v>504</v>
      </c>
      <c r="C621" s="88"/>
      <c r="D621" s="88"/>
      <c r="E621" s="88"/>
      <c r="F621" s="90">
        <v>104886148.375</v>
      </c>
    </row>
    <row r="622" spans="1:6">
      <c r="A622" s="88"/>
      <c r="B622" s="88" t="s">
        <v>298</v>
      </c>
      <c r="C622" s="88" t="s">
        <v>299</v>
      </c>
      <c r="D622" s="88" t="s">
        <v>300</v>
      </c>
      <c r="E622" s="88" t="s">
        <v>18</v>
      </c>
      <c r="F622" s="90">
        <v>9350000</v>
      </c>
    </row>
    <row r="623" spans="1:6">
      <c r="A623" s="88"/>
      <c r="B623" s="88" t="s">
        <v>298</v>
      </c>
      <c r="C623" s="88"/>
      <c r="D623" s="88"/>
      <c r="E623" s="88" t="s">
        <v>13</v>
      </c>
      <c r="F623" s="90">
        <v>3740000</v>
      </c>
    </row>
    <row r="624" spans="1:6">
      <c r="A624" s="88"/>
      <c r="B624" s="88" t="s">
        <v>298</v>
      </c>
      <c r="C624" s="88"/>
      <c r="D624" s="88"/>
      <c r="E624" s="88" t="s">
        <v>21</v>
      </c>
      <c r="F624" s="90">
        <v>57100000</v>
      </c>
    </row>
    <row r="625" spans="1:6">
      <c r="A625" s="88"/>
      <c r="B625" s="88" t="s">
        <v>298</v>
      </c>
      <c r="C625" s="88"/>
      <c r="D625" s="88"/>
      <c r="E625" s="88" t="s">
        <v>142</v>
      </c>
      <c r="F625" s="90">
        <v>15800000</v>
      </c>
    </row>
    <row r="626" spans="1:6">
      <c r="A626" s="88"/>
      <c r="B626" s="88" t="s">
        <v>298</v>
      </c>
      <c r="C626" s="88"/>
      <c r="D626" s="88"/>
      <c r="E626" s="88" t="s">
        <v>92</v>
      </c>
      <c r="F626" s="90">
        <v>1000000</v>
      </c>
    </row>
    <row r="627" spans="1:6">
      <c r="A627" s="88"/>
      <c r="B627" s="88" t="s">
        <v>505</v>
      </c>
      <c r="C627" s="88"/>
      <c r="D627" s="88"/>
      <c r="E627" s="88"/>
      <c r="F627" s="90">
        <v>86990000</v>
      </c>
    </row>
    <row r="628" spans="1:6">
      <c r="A628" s="88"/>
      <c r="B628" s="88" t="s">
        <v>301</v>
      </c>
      <c r="C628" s="88" t="s">
        <v>302</v>
      </c>
      <c r="D628" s="88" t="s">
        <v>300</v>
      </c>
      <c r="E628" s="88" t="s">
        <v>18</v>
      </c>
      <c r="F628" s="90">
        <v>9350000</v>
      </c>
    </row>
    <row r="629" spans="1:6">
      <c r="A629" s="88"/>
      <c r="B629" s="88" t="s">
        <v>301</v>
      </c>
      <c r="C629" s="88"/>
      <c r="D629" s="88"/>
      <c r="E629" s="88" t="s">
        <v>13</v>
      </c>
      <c r="F629" s="90">
        <v>3740000</v>
      </c>
    </row>
    <row r="630" spans="1:6">
      <c r="A630" s="88"/>
      <c r="B630" s="88" t="s">
        <v>301</v>
      </c>
      <c r="C630" s="88"/>
      <c r="D630" s="88"/>
      <c r="E630" s="88" t="s">
        <v>21</v>
      </c>
      <c r="F630" s="90">
        <v>57100000</v>
      </c>
    </row>
    <row r="631" spans="1:6">
      <c r="A631" s="88"/>
      <c r="B631" s="88" t="s">
        <v>301</v>
      </c>
      <c r="C631" s="88"/>
      <c r="D631" s="88"/>
      <c r="E631" s="88" t="s">
        <v>142</v>
      </c>
      <c r="F631" s="90">
        <v>15800000</v>
      </c>
    </row>
    <row r="632" spans="1:6">
      <c r="A632" s="88"/>
      <c r="B632" s="88" t="s">
        <v>301</v>
      </c>
      <c r="C632" s="88"/>
      <c r="D632" s="88"/>
      <c r="E632" s="88" t="s">
        <v>92</v>
      </c>
      <c r="F632" s="90">
        <v>1000000</v>
      </c>
    </row>
    <row r="633" spans="1:6">
      <c r="A633" s="88"/>
      <c r="B633" s="88" t="s">
        <v>506</v>
      </c>
      <c r="C633" s="88"/>
      <c r="D633" s="88"/>
      <c r="E633" s="88"/>
      <c r="F633" s="90">
        <v>86990000</v>
      </c>
    </row>
    <row r="634" spans="1:6">
      <c r="A634" s="88"/>
      <c r="B634" s="88" t="s">
        <v>303</v>
      </c>
      <c r="C634" s="88" t="s">
        <v>304</v>
      </c>
      <c r="D634" s="88" t="s">
        <v>275</v>
      </c>
      <c r="E634" s="88" t="s">
        <v>18</v>
      </c>
      <c r="F634" s="90">
        <v>1500000</v>
      </c>
    </row>
    <row r="635" spans="1:6">
      <c r="A635" s="88"/>
      <c r="B635" s="88" t="s">
        <v>303</v>
      </c>
      <c r="C635" s="88"/>
      <c r="D635" s="88"/>
      <c r="E635" s="88" t="s">
        <v>21</v>
      </c>
      <c r="F635" s="90">
        <v>20750000</v>
      </c>
    </row>
    <row r="636" spans="1:6">
      <c r="A636" s="88"/>
      <c r="B636" s="88" t="s">
        <v>303</v>
      </c>
      <c r="C636" s="88"/>
      <c r="D636" s="88"/>
      <c r="E636" s="88" t="s">
        <v>142</v>
      </c>
      <c r="F636" s="90">
        <v>17380000</v>
      </c>
    </row>
    <row r="637" spans="1:6">
      <c r="A637" s="88"/>
      <c r="B637" s="88" t="s">
        <v>303</v>
      </c>
      <c r="C637" s="88"/>
      <c r="D637" s="88"/>
      <c r="E637" s="88" t="s">
        <v>26</v>
      </c>
      <c r="F637" s="90">
        <v>4850000</v>
      </c>
    </row>
    <row r="638" spans="1:6">
      <c r="A638" s="88"/>
      <c r="B638" s="88" t="s">
        <v>303</v>
      </c>
      <c r="C638" s="88"/>
      <c r="D638" s="88"/>
      <c r="E638" s="88" t="s">
        <v>88</v>
      </c>
      <c r="F638" s="90">
        <v>4000000</v>
      </c>
    </row>
    <row r="639" spans="1:6">
      <c r="A639" s="88"/>
      <c r="B639" s="88" t="s">
        <v>303</v>
      </c>
      <c r="C639" s="88"/>
      <c r="D639" s="88"/>
      <c r="E639" s="88" t="s">
        <v>92</v>
      </c>
      <c r="F639" s="90">
        <v>1400000</v>
      </c>
    </row>
    <row r="640" spans="1:6">
      <c r="A640" s="88"/>
      <c r="B640" s="88" t="s">
        <v>303</v>
      </c>
      <c r="C640" s="88"/>
      <c r="D640" s="88" t="s">
        <v>276</v>
      </c>
      <c r="E640" s="88" t="s">
        <v>18</v>
      </c>
      <c r="F640" s="90">
        <v>1500000</v>
      </c>
    </row>
    <row r="641" spans="1:6">
      <c r="A641" s="88"/>
      <c r="B641" s="88" t="s">
        <v>303</v>
      </c>
      <c r="C641" s="88"/>
      <c r="D641" s="88"/>
      <c r="E641" s="88" t="s">
        <v>21</v>
      </c>
      <c r="F641" s="90">
        <v>19981481.5</v>
      </c>
    </row>
    <row r="642" spans="1:6">
      <c r="A642" s="88"/>
      <c r="B642" s="88" t="s">
        <v>303</v>
      </c>
      <c r="C642" s="88"/>
      <c r="D642" s="88"/>
      <c r="E642" s="88" t="s">
        <v>24</v>
      </c>
      <c r="F642" s="90">
        <v>11950000</v>
      </c>
    </row>
    <row r="643" spans="1:6">
      <c r="A643" s="88"/>
      <c r="B643" s="88" t="s">
        <v>507</v>
      </c>
      <c r="C643" s="88"/>
      <c r="D643" s="88"/>
      <c r="E643" s="88"/>
      <c r="F643" s="90">
        <v>83311481.5</v>
      </c>
    </row>
    <row r="644" spans="1:6">
      <c r="A644" s="88"/>
      <c r="B644" s="88" t="s">
        <v>305</v>
      </c>
      <c r="C644" s="88" t="s">
        <v>306</v>
      </c>
      <c r="D644" s="88" t="s">
        <v>87</v>
      </c>
      <c r="E644" s="88" t="s">
        <v>18</v>
      </c>
      <c r="F644" s="90">
        <v>2750000</v>
      </c>
    </row>
    <row r="645" spans="1:6">
      <c r="A645" s="88"/>
      <c r="B645" s="88" t="s">
        <v>305</v>
      </c>
      <c r="C645" s="88"/>
      <c r="D645" s="88"/>
      <c r="E645" s="88" t="s">
        <v>21</v>
      </c>
      <c r="F645" s="90">
        <v>50750000</v>
      </c>
    </row>
    <row r="646" spans="1:6">
      <c r="A646" s="88"/>
      <c r="B646" s="88" t="s">
        <v>305</v>
      </c>
      <c r="C646" s="88"/>
      <c r="D646" s="88"/>
      <c r="E646" s="88" t="s">
        <v>44</v>
      </c>
      <c r="F646" s="90">
        <v>7250000</v>
      </c>
    </row>
    <row r="647" spans="1:6">
      <c r="A647" s="88"/>
      <c r="B647" s="88" t="s">
        <v>305</v>
      </c>
      <c r="C647" s="88"/>
      <c r="D647" s="88"/>
      <c r="E647" s="88" t="s">
        <v>24</v>
      </c>
      <c r="F647" s="90">
        <v>9000000</v>
      </c>
    </row>
    <row r="648" spans="1:6">
      <c r="A648" s="88"/>
      <c r="B648" s="88" t="s">
        <v>305</v>
      </c>
      <c r="C648" s="88"/>
      <c r="D648" s="88"/>
      <c r="E648" s="88" t="s">
        <v>26</v>
      </c>
      <c r="F648" s="90">
        <v>11000000</v>
      </c>
    </row>
    <row r="649" spans="1:6">
      <c r="A649" s="88"/>
      <c r="B649" s="88" t="s">
        <v>305</v>
      </c>
      <c r="C649" s="88"/>
      <c r="D649" s="88"/>
      <c r="E649" s="88" t="s">
        <v>45</v>
      </c>
      <c r="F649" s="90">
        <v>2861400</v>
      </c>
    </row>
    <row r="650" spans="1:6">
      <c r="A650" s="88"/>
      <c r="B650" s="88" t="s">
        <v>305</v>
      </c>
      <c r="C650" s="88"/>
      <c r="D650" s="88"/>
      <c r="E650" s="88" t="s">
        <v>88</v>
      </c>
      <c r="F650" s="90">
        <v>11000000</v>
      </c>
    </row>
    <row r="651" spans="1:6">
      <c r="A651" s="88"/>
      <c r="B651" s="88" t="s">
        <v>508</v>
      </c>
      <c r="C651" s="88"/>
      <c r="D651" s="88"/>
      <c r="E651" s="88"/>
      <c r="F651" s="90">
        <v>94611400</v>
      </c>
    </row>
    <row r="652" spans="1:6">
      <c r="A652" s="88"/>
      <c r="B652" s="88" t="s">
        <v>307</v>
      </c>
      <c r="C652" s="88" t="s">
        <v>308</v>
      </c>
      <c r="D652" s="88" t="s">
        <v>119</v>
      </c>
      <c r="E652" s="88" t="s">
        <v>18</v>
      </c>
      <c r="F652" s="90">
        <v>7500000</v>
      </c>
    </row>
    <row r="653" spans="1:6">
      <c r="A653" s="88"/>
      <c r="B653" s="88" t="s">
        <v>307</v>
      </c>
      <c r="C653" s="88"/>
      <c r="D653" s="88"/>
      <c r="E653" s="88" t="s">
        <v>13</v>
      </c>
      <c r="F653" s="90">
        <v>2502500</v>
      </c>
    </row>
    <row r="654" spans="1:6">
      <c r="A654" s="88"/>
      <c r="B654" s="88" t="s">
        <v>307</v>
      </c>
      <c r="C654" s="88"/>
      <c r="D654" s="88"/>
      <c r="E654" s="88" t="s">
        <v>21</v>
      </c>
      <c r="F654" s="90">
        <v>9650000</v>
      </c>
    </row>
    <row r="655" spans="1:6">
      <c r="A655" s="88"/>
      <c r="B655" s="88" t="s">
        <v>307</v>
      </c>
      <c r="C655" s="88"/>
      <c r="D655" s="88"/>
      <c r="E655" s="88" t="s">
        <v>94</v>
      </c>
      <c r="F655" s="90">
        <v>1250000</v>
      </c>
    </row>
    <row r="656" spans="1:6">
      <c r="A656" s="88"/>
      <c r="B656" s="88" t="s">
        <v>307</v>
      </c>
      <c r="C656" s="88"/>
      <c r="D656" s="88"/>
      <c r="E656" s="88" t="s">
        <v>142</v>
      </c>
      <c r="F656" s="90">
        <v>6893500</v>
      </c>
    </row>
    <row r="657" spans="1:6">
      <c r="A657" s="88"/>
      <c r="B657" s="88" t="s">
        <v>307</v>
      </c>
      <c r="C657" s="88"/>
      <c r="D657" s="88"/>
      <c r="E657" s="88" t="s">
        <v>309</v>
      </c>
      <c r="F657" s="90">
        <v>12000000</v>
      </c>
    </row>
    <row r="658" spans="1:6">
      <c r="A658" s="88"/>
      <c r="B658" s="88" t="s">
        <v>307</v>
      </c>
      <c r="C658" s="88"/>
      <c r="D658" s="88"/>
      <c r="E658" s="88" t="s">
        <v>112</v>
      </c>
      <c r="F658" s="90">
        <v>750000</v>
      </c>
    </row>
    <row r="659" spans="1:6">
      <c r="A659" s="88"/>
      <c r="B659" s="88" t="s">
        <v>476</v>
      </c>
      <c r="C659" s="88"/>
      <c r="D659" s="88"/>
      <c r="E659" s="88"/>
      <c r="F659" s="90">
        <v>40546000</v>
      </c>
    </row>
    <row r="660" spans="1:6">
      <c r="A660" s="88"/>
      <c r="B660" s="88" t="s">
        <v>310</v>
      </c>
      <c r="C660" s="88" t="s">
        <v>311</v>
      </c>
      <c r="D660" s="88" t="s">
        <v>119</v>
      </c>
      <c r="E660" s="88" t="s">
        <v>18</v>
      </c>
      <c r="F660" s="90">
        <v>7500000</v>
      </c>
    </row>
    <row r="661" spans="1:6">
      <c r="A661" s="88"/>
      <c r="B661" s="88" t="s">
        <v>310</v>
      </c>
      <c r="C661" s="88"/>
      <c r="D661" s="88"/>
      <c r="E661" s="88" t="s">
        <v>13</v>
      </c>
      <c r="F661" s="90">
        <v>2502500</v>
      </c>
    </row>
    <row r="662" spans="1:6">
      <c r="A662" s="88"/>
      <c r="B662" s="88" t="s">
        <v>310</v>
      </c>
      <c r="C662" s="88"/>
      <c r="D662" s="88"/>
      <c r="E662" s="88" t="s">
        <v>21</v>
      </c>
      <c r="F662" s="90">
        <v>9650000</v>
      </c>
    </row>
    <row r="663" spans="1:6">
      <c r="A663" s="88"/>
      <c r="B663" s="88" t="s">
        <v>310</v>
      </c>
      <c r="C663" s="88"/>
      <c r="D663" s="88"/>
      <c r="E663" s="88" t="s">
        <v>94</v>
      </c>
      <c r="F663" s="90">
        <v>1250000</v>
      </c>
    </row>
    <row r="664" spans="1:6">
      <c r="A664" s="88"/>
      <c r="B664" s="88" t="s">
        <v>310</v>
      </c>
      <c r="C664" s="88"/>
      <c r="D664" s="88"/>
      <c r="E664" s="88" t="s">
        <v>142</v>
      </c>
      <c r="F664" s="90">
        <v>6893500</v>
      </c>
    </row>
    <row r="665" spans="1:6">
      <c r="A665" s="88"/>
      <c r="B665" s="88" t="s">
        <v>310</v>
      </c>
      <c r="C665" s="88"/>
      <c r="D665" s="88"/>
      <c r="E665" s="88" t="s">
        <v>309</v>
      </c>
      <c r="F665" s="90">
        <v>12000000</v>
      </c>
    </row>
    <row r="666" spans="1:6">
      <c r="A666" s="88"/>
      <c r="B666" s="88" t="s">
        <v>310</v>
      </c>
      <c r="C666" s="88"/>
      <c r="D666" s="88"/>
      <c r="E666" s="88" t="s">
        <v>112</v>
      </c>
      <c r="F666" s="90">
        <v>750000</v>
      </c>
    </row>
    <row r="667" spans="1:6">
      <c r="A667" s="88"/>
      <c r="B667" s="88" t="s">
        <v>477</v>
      </c>
      <c r="C667" s="88"/>
      <c r="D667" s="88"/>
      <c r="E667" s="88"/>
      <c r="F667" s="90">
        <v>40546000</v>
      </c>
    </row>
    <row r="668" spans="1:6">
      <c r="A668" s="88"/>
      <c r="B668" s="88" t="s">
        <v>312</v>
      </c>
      <c r="C668" s="88" t="s">
        <v>313</v>
      </c>
      <c r="D668" s="88" t="s">
        <v>205</v>
      </c>
      <c r="E668" s="88" t="s">
        <v>18</v>
      </c>
      <c r="F668" s="90">
        <v>16400000</v>
      </c>
    </row>
    <row r="669" spans="1:6">
      <c r="A669" s="88"/>
      <c r="B669" s="88" t="s">
        <v>312</v>
      </c>
      <c r="C669" s="88"/>
      <c r="D669" s="88"/>
      <c r="E669" s="88" t="s">
        <v>13</v>
      </c>
      <c r="F669" s="90">
        <v>1897500</v>
      </c>
    </row>
    <row r="670" spans="1:6">
      <c r="A670" s="88"/>
      <c r="B670" s="88" t="s">
        <v>312</v>
      </c>
      <c r="C670" s="88"/>
      <c r="D670" s="88"/>
      <c r="E670" s="88" t="s">
        <v>21</v>
      </c>
      <c r="F670" s="90">
        <v>22000000</v>
      </c>
    </row>
    <row r="671" spans="1:6">
      <c r="A671" s="88"/>
      <c r="B671" s="88" t="s">
        <v>312</v>
      </c>
      <c r="C671" s="88"/>
      <c r="D671" s="88"/>
      <c r="E671" s="88" t="s">
        <v>22</v>
      </c>
      <c r="F671" s="90">
        <v>9500000</v>
      </c>
    </row>
    <row r="672" spans="1:6">
      <c r="A672" s="88"/>
      <c r="B672" s="88" t="s">
        <v>312</v>
      </c>
      <c r="C672" s="88"/>
      <c r="D672" s="88"/>
      <c r="E672" s="88" t="s">
        <v>23</v>
      </c>
      <c r="F672" s="90">
        <v>5000000</v>
      </c>
    </row>
    <row r="673" spans="1:6">
      <c r="A673" s="88"/>
      <c r="B673" s="88" t="s">
        <v>312</v>
      </c>
      <c r="C673" s="88"/>
      <c r="D673" s="88"/>
      <c r="E673" s="88" t="s">
        <v>24</v>
      </c>
      <c r="F673" s="90">
        <v>7125000</v>
      </c>
    </row>
    <row r="674" spans="1:6">
      <c r="A674" s="88"/>
      <c r="B674" s="88" t="s">
        <v>312</v>
      </c>
      <c r="C674" s="88"/>
      <c r="D674" s="88"/>
      <c r="E674" s="88" t="s">
        <v>142</v>
      </c>
      <c r="F674" s="90">
        <v>10260000</v>
      </c>
    </row>
    <row r="675" spans="1:6">
      <c r="A675" s="88"/>
      <c r="B675" s="88" t="s">
        <v>312</v>
      </c>
      <c r="C675" s="88"/>
      <c r="D675" s="88"/>
      <c r="E675" s="88" t="s">
        <v>143</v>
      </c>
      <c r="F675" s="90">
        <v>4500000</v>
      </c>
    </row>
    <row r="676" spans="1:6">
      <c r="A676" s="88"/>
      <c r="B676" s="88" t="s">
        <v>312</v>
      </c>
      <c r="C676" s="88"/>
      <c r="D676" s="88" t="s">
        <v>170</v>
      </c>
      <c r="E676" s="88" t="s">
        <v>21</v>
      </c>
      <c r="F676" s="90">
        <v>14647500</v>
      </c>
    </row>
    <row r="677" spans="1:6">
      <c r="A677" s="88"/>
      <c r="B677" s="88" t="s">
        <v>312</v>
      </c>
      <c r="C677" s="88"/>
      <c r="D677" s="88"/>
      <c r="E677" s="88" t="s">
        <v>26</v>
      </c>
      <c r="F677" s="90">
        <v>1750000</v>
      </c>
    </row>
    <row r="678" spans="1:6">
      <c r="A678" s="88"/>
      <c r="B678" s="88" t="s">
        <v>312</v>
      </c>
      <c r="C678" s="88"/>
      <c r="D678" s="88"/>
      <c r="E678" s="88" t="s">
        <v>98</v>
      </c>
      <c r="F678" s="90">
        <v>4250000</v>
      </c>
    </row>
    <row r="679" spans="1:6">
      <c r="A679" s="88"/>
      <c r="B679" s="88" t="s">
        <v>509</v>
      </c>
      <c r="C679" s="88"/>
      <c r="D679" s="88"/>
      <c r="E679" s="88"/>
      <c r="F679" s="90">
        <v>97330000</v>
      </c>
    </row>
    <row r="680" spans="1:6">
      <c r="A680" s="88"/>
      <c r="B680" s="88" t="s">
        <v>314</v>
      </c>
      <c r="C680" s="88" t="s">
        <v>315</v>
      </c>
      <c r="D680" s="88" t="s">
        <v>205</v>
      </c>
      <c r="E680" s="88" t="s">
        <v>18</v>
      </c>
      <c r="F680" s="90">
        <v>16400000</v>
      </c>
    </row>
    <row r="681" spans="1:6">
      <c r="A681" s="88"/>
      <c r="B681" s="88" t="s">
        <v>314</v>
      </c>
      <c r="C681" s="88"/>
      <c r="D681" s="88"/>
      <c r="E681" s="88" t="s">
        <v>13</v>
      </c>
      <c r="F681" s="90">
        <v>1897500</v>
      </c>
    </row>
    <row r="682" spans="1:6">
      <c r="A682" s="88"/>
      <c r="B682" s="88" t="s">
        <v>314</v>
      </c>
      <c r="C682" s="88"/>
      <c r="D682" s="88"/>
      <c r="E682" s="88" t="s">
        <v>21</v>
      </c>
      <c r="F682" s="90">
        <v>31750000</v>
      </c>
    </row>
    <row r="683" spans="1:6">
      <c r="A683" s="88"/>
      <c r="B683" s="88" t="s">
        <v>314</v>
      </c>
      <c r="C683" s="88"/>
      <c r="D683" s="88"/>
      <c r="E683" s="88" t="s">
        <v>22</v>
      </c>
      <c r="F683" s="90">
        <v>9500000</v>
      </c>
    </row>
    <row r="684" spans="1:6">
      <c r="A684" s="88"/>
      <c r="B684" s="88" t="s">
        <v>314</v>
      </c>
      <c r="C684" s="88"/>
      <c r="D684" s="88"/>
      <c r="E684" s="88" t="s">
        <v>23</v>
      </c>
      <c r="F684" s="90">
        <v>5000000</v>
      </c>
    </row>
    <row r="685" spans="1:6">
      <c r="A685" s="88"/>
      <c r="B685" s="88" t="s">
        <v>314</v>
      </c>
      <c r="C685" s="88"/>
      <c r="D685" s="88"/>
      <c r="E685" s="88" t="s">
        <v>24</v>
      </c>
      <c r="F685" s="90">
        <v>7125000</v>
      </c>
    </row>
    <row r="686" spans="1:6">
      <c r="A686" s="88"/>
      <c r="B686" s="88" t="s">
        <v>314</v>
      </c>
      <c r="C686" s="88"/>
      <c r="D686" s="88"/>
      <c r="E686" s="88" t="s">
        <v>142</v>
      </c>
      <c r="F686" s="90">
        <v>10260000</v>
      </c>
    </row>
    <row r="687" spans="1:6">
      <c r="A687" s="88"/>
      <c r="B687" s="88" t="s">
        <v>314</v>
      </c>
      <c r="C687" s="88"/>
      <c r="D687" s="88"/>
      <c r="E687" s="88" t="s">
        <v>143</v>
      </c>
      <c r="F687" s="90">
        <v>4500000</v>
      </c>
    </row>
    <row r="688" spans="1:6">
      <c r="A688" s="88"/>
      <c r="B688" s="88" t="s">
        <v>314</v>
      </c>
      <c r="C688" s="88"/>
      <c r="D688" s="88"/>
      <c r="E688" s="88" t="s">
        <v>26</v>
      </c>
      <c r="F688" s="90">
        <v>6000000</v>
      </c>
    </row>
    <row r="689" spans="1:6">
      <c r="A689" s="88"/>
      <c r="B689" s="88" t="s">
        <v>510</v>
      </c>
      <c r="C689" s="88"/>
      <c r="D689" s="88"/>
      <c r="E689" s="88"/>
      <c r="F689" s="90">
        <v>92432500</v>
      </c>
    </row>
    <row r="690" spans="1:6">
      <c r="A690" s="88"/>
      <c r="B690" s="88" t="s">
        <v>329</v>
      </c>
      <c r="C690" s="88" t="s">
        <v>330</v>
      </c>
      <c r="D690" s="88" t="s">
        <v>290</v>
      </c>
      <c r="E690" s="88" t="s">
        <v>13</v>
      </c>
      <c r="F690" s="90">
        <v>5575000</v>
      </c>
    </row>
    <row r="691" spans="1:6">
      <c r="A691" s="88"/>
      <c r="B691" s="88" t="s">
        <v>329</v>
      </c>
      <c r="C691" s="88"/>
      <c r="D691" s="88"/>
      <c r="E691" s="88" t="s">
        <v>21</v>
      </c>
      <c r="F691" s="90">
        <v>23750000</v>
      </c>
    </row>
    <row r="692" spans="1:6">
      <c r="A692" s="88"/>
      <c r="B692" s="88" t="s">
        <v>329</v>
      </c>
      <c r="C692" s="88"/>
      <c r="D692" s="88"/>
      <c r="E692" s="88" t="s">
        <v>44</v>
      </c>
      <c r="F692" s="90">
        <v>7250000</v>
      </c>
    </row>
    <row r="693" spans="1:6">
      <c r="A693" s="88"/>
      <c r="B693" s="88" t="s">
        <v>329</v>
      </c>
      <c r="C693" s="88"/>
      <c r="D693" s="88"/>
      <c r="E693" s="88" t="s">
        <v>94</v>
      </c>
      <c r="F693" s="90">
        <v>1600000</v>
      </c>
    </row>
    <row r="694" spans="1:6">
      <c r="A694" s="88"/>
      <c r="B694" s="88" t="s">
        <v>329</v>
      </c>
      <c r="C694" s="88"/>
      <c r="D694" s="88"/>
      <c r="E694" s="88" t="s">
        <v>22</v>
      </c>
      <c r="F694" s="90">
        <v>12500000</v>
      </c>
    </row>
    <row r="695" spans="1:6">
      <c r="A695" s="88"/>
      <c r="B695" s="88" t="s">
        <v>329</v>
      </c>
      <c r="C695" s="88"/>
      <c r="D695" s="88"/>
      <c r="E695" s="88" t="s">
        <v>24</v>
      </c>
      <c r="F695" s="90">
        <v>4500000</v>
      </c>
    </row>
    <row r="696" spans="1:6">
      <c r="A696" s="88"/>
      <c r="B696" s="88" t="s">
        <v>329</v>
      </c>
      <c r="C696" s="88"/>
      <c r="D696" s="88"/>
      <c r="E696" s="88" t="s">
        <v>26</v>
      </c>
      <c r="F696" s="90">
        <v>12400000</v>
      </c>
    </row>
    <row r="697" spans="1:6">
      <c r="A697" s="88"/>
      <c r="B697" s="88" t="s">
        <v>329</v>
      </c>
      <c r="C697" s="88"/>
      <c r="D697" s="88"/>
      <c r="E697" s="88" t="s">
        <v>45</v>
      </c>
      <c r="F697" s="90">
        <v>2352200.5</v>
      </c>
    </row>
    <row r="698" spans="1:6">
      <c r="A698" s="88"/>
      <c r="B698" s="88" t="s">
        <v>511</v>
      </c>
      <c r="C698" s="88"/>
      <c r="D698" s="88"/>
      <c r="E698" s="88"/>
      <c r="F698" s="90">
        <v>69927200.5</v>
      </c>
    </row>
    <row r="699" spans="1:6">
      <c r="A699" s="88"/>
      <c r="B699" s="88" t="s">
        <v>335</v>
      </c>
      <c r="C699" s="88" t="s">
        <v>336</v>
      </c>
      <c r="D699" s="88" t="s">
        <v>286</v>
      </c>
      <c r="E699" s="88" t="s">
        <v>18</v>
      </c>
      <c r="F699" s="90">
        <v>7225000</v>
      </c>
    </row>
    <row r="700" spans="1:6">
      <c r="A700" s="88"/>
      <c r="B700" s="88" t="s">
        <v>335</v>
      </c>
      <c r="C700" s="88"/>
      <c r="D700" s="88"/>
      <c r="E700" s="88" t="s">
        <v>20</v>
      </c>
      <c r="F700" s="90">
        <v>3950000</v>
      </c>
    </row>
    <row r="701" spans="1:6">
      <c r="A701" s="88"/>
      <c r="B701" s="88" t="s">
        <v>335</v>
      </c>
      <c r="C701" s="88"/>
      <c r="D701" s="88"/>
      <c r="E701" s="88" t="s">
        <v>21</v>
      </c>
      <c r="F701" s="90">
        <v>33000000</v>
      </c>
    </row>
    <row r="702" spans="1:6">
      <c r="A702" s="88"/>
      <c r="B702" s="88" t="s">
        <v>335</v>
      </c>
      <c r="C702" s="88"/>
      <c r="D702" s="88"/>
      <c r="E702" s="88" t="s">
        <v>23</v>
      </c>
      <c r="F702" s="90">
        <v>5000000</v>
      </c>
    </row>
    <row r="703" spans="1:6">
      <c r="A703" s="88"/>
      <c r="B703" s="88" t="s">
        <v>335</v>
      </c>
      <c r="C703" s="88"/>
      <c r="D703" s="88"/>
      <c r="E703" s="88" t="s">
        <v>24</v>
      </c>
      <c r="F703" s="90">
        <v>3000000</v>
      </c>
    </row>
    <row r="704" spans="1:6">
      <c r="A704" s="88"/>
      <c r="B704" s="88" t="s">
        <v>335</v>
      </c>
      <c r="C704" s="88"/>
      <c r="D704" s="88"/>
      <c r="E704" s="88" t="s">
        <v>142</v>
      </c>
      <c r="F704" s="90">
        <v>750000</v>
      </c>
    </row>
    <row r="705" spans="1:6">
      <c r="A705" s="88"/>
      <c r="B705" s="88" t="s">
        <v>335</v>
      </c>
      <c r="C705" s="88"/>
      <c r="D705" s="88"/>
      <c r="E705" s="88" t="s">
        <v>287</v>
      </c>
      <c r="F705" s="90">
        <v>7500000</v>
      </c>
    </row>
    <row r="706" spans="1:6">
      <c r="A706" s="88"/>
      <c r="B706" s="88" t="s">
        <v>335</v>
      </c>
      <c r="C706" s="88"/>
      <c r="D706" s="88"/>
      <c r="E706" s="88" t="s">
        <v>26</v>
      </c>
      <c r="F706" s="90">
        <v>22200000</v>
      </c>
    </row>
    <row r="707" spans="1:6">
      <c r="A707" s="88"/>
      <c r="B707" s="88" t="s">
        <v>335</v>
      </c>
      <c r="C707" s="88"/>
      <c r="D707" s="88"/>
      <c r="E707" s="88" t="s">
        <v>247</v>
      </c>
      <c r="F707" s="90">
        <v>1000000</v>
      </c>
    </row>
    <row r="708" spans="1:6">
      <c r="A708" s="88"/>
      <c r="B708" s="88" t="s">
        <v>335</v>
      </c>
      <c r="C708" s="88"/>
      <c r="D708" s="88"/>
      <c r="E708" s="88" t="s">
        <v>92</v>
      </c>
      <c r="F708" s="90">
        <v>1750000</v>
      </c>
    </row>
    <row r="709" spans="1:6">
      <c r="A709" s="88"/>
      <c r="B709" s="88" t="s">
        <v>512</v>
      </c>
      <c r="C709" s="88"/>
      <c r="D709" s="88"/>
      <c r="E709" s="88"/>
      <c r="F709" s="90">
        <v>85375000</v>
      </c>
    </row>
    <row r="710" spans="1:6">
      <c r="A710" s="88"/>
      <c r="B710" s="88" t="s">
        <v>343</v>
      </c>
      <c r="C710" s="88" t="s">
        <v>344</v>
      </c>
      <c r="D710" s="88" t="s">
        <v>52</v>
      </c>
      <c r="E710" s="88" t="s">
        <v>33</v>
      </c>
      <c r="F710" s="90">
        <v>58900</v>
      </c>
    </row>
    <row r="711" spans="1:6">
      <c r="A711" s="88"/>
      <c r="B711" s="88" t="s">
        <v>430</v>
      </c>
      <c r="C711" s="88"/>
      <c r="D711" s="88"/>
      <c r="E711" s="88"/>
      <c r="F711" s="90">
        <v>58900</v>
      </c>
    </row>
    <row r="712" spans="1:6">
      <c r="A712" s="88"/>
      <c r="B712" s="88" t="s">
        <v>354</v>
      </c>
      <c r="C712" s="88" t="s">
        <v>355</v>
      </c>
      <c r="D712" s="88" t="s">
        <v>176</v>
      </c>
      <c r="E712" s="88" t="s">
        <v>18</v>
      </c>
      <c r="F712" s="90">
        <v>2500000</v>
      </c>
    </row>
    <row r="713" spans="1:6">
      <c r="A713" s="88"/>
      <c r="B713" s="88" t="s">
        <v>354</v>
      </c>
      <c r="C713" s="88"/>
      <c r="D713" s="88"/>
      <c r="E713" s="88" t="s">
        <v>13</v>
      </c>
      <c r="F713" s="90">
        <v>8140000</v>
      </c>
    </row>
    <row r="714" spans="1:6">
      <c r="A714" s="88"/>
      <c r="B714" s="88" t="s">
        <v>354</v>
      </c>
      <c r="C714" s="88"/>
      <c r="D714" s="88"/>
      <c r="E714" s="88" t="s">
        <v>21</v>
      </c>
      <c r="F714" s="90">
        <v>38000000</v>
      </c>
    </row>
    <row r="715" spans="1:6">
      <c r="A715" s="88"/>
      <c r="B715" s="88" t="s">
        <v>354</v>
      </c>
      <c r="C715" s="88"/>
      <c r="D715" s="88"/>
      <c r="E715" s="88" t="s">
        <v>194</v>
      </c>
      <c r="F715" s="90">
        <v>3347300</v>
      </c>
    </row>
    <row r="716" spans="1:6">
      <c r="A716" s="88"/>
      <c r="B716" s="88" t="s">
        <v>354</v>
      </c>
      <c r="C716" s="88"/>
      <c r="D716" s="88"/>
      <c r="E716" s="88" t="s">
        <v>94</v>
      </c>
      <c r="F716" s="90">
        <v>1850000</v>
      </c>
    </row>
    <row r="717" spans="1:6">
      <c r="A717" s="88"/>
      <c r="B717" s="88" t="s">
        <v>354</v>
      </c>
      <c r="C717" s="88"/>
      <c r="D717" s="88"/>
      <c r="E717" s="88" t="s">
        <v>23</v>
      </c>
      <c r="F717" s="90">
        <v>5701828.75</v>
      </c>
    </row>
    <row r="718" spans="1:6">
      <c r="A718" s="88"/>
      <c r="B718" s="88" t="s">
        <v>354</v>
      </c>
      <c r="C718" s="88"/>
      <c r="D718" s="88"/>
      <c r="E718" s="88" t="s">
        <v>24</v>
      </c>
      <c r="F718" s="90">
        <v>2030000</v>
      </c>
    </row>
    <row r="719" spans="1:6">
      <c r="A719" s="88"/>
      <c r="B719" s="88" t="s">
        <v>354</v>
      </c>
      <c r="C719" s="88"/>
      <c r="D719" s="88"/>
      <c r="E719" s="88" t="s">
        <v>143</v>
      </c>
      <c r="F719" s="90">
        <v>1000000</v>
      </c>
    </row>
    <row r="720" spans="1:6">
      <c r="A720" s="88"/>
      <c r="B720" s="88" t="s">
        <v>354</v>
      </c>
      <c r="C720" s="88"/>
      <c r="D720" s="88"/>
      <c r="E720" s="88" t="s">
        <v>26</v>
      </c>
      <c r="F720" s="90">
        <v>24250000</v>
      </c>
    </row>
    <row r="721" spans="1:6">
      <c r="A721" s="88"/>
      <c r="B721" s="88" t="s">
        <v>354</v>
      </c>
      <c r="C721" s="88"/>
      <c r="D721" s="88"/>
      <c r="E721" s="88" t="s">
        <v>98</v>
      </c>
      <c r="F721" s="90">
        <v>3000000</v>
      </c>
    </row>
    <row r="722" spans="1:6">
      <c r="A722" s="88"/>
      <c r="B722" s="88" t="s">
        <v>513</v>
      </c>
      <c r="C722" s="88"/>
      <c r="D722" s="88"/>
      <c r="E722" s="88"/>
      <c r="F722" s="90">
        <v>89819128.75</v>
      </c>
    </row>
    <row r="723" spans="1:6">
      <c r="A723" s="88"/>
      <c r="B723" s="88" t="s">
        <v>363</v>
      </c>
      <c r="C723" s="88"/>
      <c r="D723" s="88" t="s">
        <v>119</v>
      </c>
      <c r="E723" s="88" t="s">
        <v>18</v>
      </c>
      <c r="F723" s="90">
        <v>2000000</v>
      </c>
    </row>
    <row r="724" spans="1:6">
      <c r="A724" s="88"/>
      <c r="B724" s="88" t="s">
        <v>363</v>
      </c>
      <c r="C724" s="88"/>
      <c r="D724" s="88"/>
      <c r="E724" s="88" t="s">
        <v>21</v>
      </c>
      <c r="F724" s="90">
        <v>1000000</v>
      </c>
    </row>
    <row r="725" spans="1:6">
      <c r="A725" s="88"/>
      <c r="B725" s="88" t="s">
        <v>363</v>
      </c>
      <c r="C725" s="88"/>
      <c r="D725" s="88"/>
      <c r="E725" s="88" t="s">
        <v>247</v>
      </c>
      <c r="F725" s="90">
        <v>1750000</v>
      </c>
    </row>
    <row r="726" spans="1:6">
      <c r="A726" s="88"/>
      <c r="B726" s="88" t="s">
        <v>363</v>
      </c>
      <c r="C726" s="88"/>
      <c r="D726" s="88"/>
      <c r="E726" s="88" t="s">
        <v>92</v>
      </c>
      <c r="F726" s="90">
        <v>4500000</v>
      </c>
    </row>
    <row r="727" spans="1:6">
      <c r="A727" s="88"/>
      <c r="B727" s="88" t="s">
        <v>363</v>
      </c>
      <c r="C727" s="88"/>
      <c r="D727" s="88" t="s">
        <v>276</v>
      </c>
      <c r="E727" s="88" t="s">
        <v>24</v>
      </c>
      <c r="F727" s="90">
        <v>9000000</v>
      </c>
    </row>
    <row r="728" spans="1:6">
      <c r="A728" s="88"/>
      <c r="B728" s="88" t="s">
        <v>514</v>
      </c>
      <c r="C728" s="88"/>
      <c r="D728" s="88"/>
      <c r="E728" s="88"/>
      <c r="F728" s="90">
        <v>18250000</v>
      </c>
    </row>
    <row r="729" spans="1:6">
      <c r="A729" s="88"/>
      <c r="B729" s="88" t="s">
        <v>371</v>
      </c>
      <c r="C729" s="88" t="s">
        <v>372</v>
      </c>
      <c r="D729" s="88" t="s">
        <v>161</v>
      </c>
      <c r="E729" s="88" t="s">
        <v>18</v>
      </c>
      <c r="F729" s="90">
        <v>82000</v>
      </c>
    </row>
    <row r="730" spans="1:6">
      <c r="A730" s="88"/>
      <c r="B730" s="88" t="s">
        <v>371</v>
      </c>
      <c r="C730" s="88"/>
      <c r="D730" s="88"/>
      <c r="E730" s="88" t="s">
        <v>13</v>
      </c>
      <c r="F730" s="90">
        <v>1362000</v>
      </c>
    </row>
    <row r="731" spans="1:6">
      <c r="A731" s="88"/>
      <c r="B731" s="88" t="s">
        <v>371</v>
      </c>
      <c r="C731" s="88"/>
      <c r="D731" s="88"/>
      <c r="E731" s="88" t="s">
        <v>21</v>
      </c>
      <c r="F731" s="90">
        <v>22500000</v>
      </c>
    </row>
    <row r="732" spans="1:6">
      <c r="A732" s="88"/>
      <c r="B732" s="88" t="s">
        <v>371</v>
      </c>
      <c r="C732" s="88"/>
      <c r="D732" s="88"/>
      <c r="E732" s="88" t="s">
        <v>24</v>
      </c>
      <c r="F732" s="90">
        <v>9000000</v>
      </c>
    </row>
    <row r="733" spans="1:6">
      <c r="A733" s="88"/>
      <c r="B733" s="88" t="s">
        <v>371</v>
      </c>
      <c r="C733" s="88"/>
      <c r="D733" s="88"/>
      <c r="E733" s="88" t="s">
        <v>26</v>
      </c>
      <c r="F733" s="90">
        <v>1000000</v>
      </c>
    </row>
    <row r="734" spans="1:6">
      <c r="A734" s="88"/>
      <c r="B734" s="88" t="s">
        <v>371</v>
      </c>
      <c r="C734" s="88"/>
      <c r="D734" s="88"/>
      <c r="E734" s="88" t="s">
        <v>227</v>
      </c>
      <c r="F734" s="90">
        <v>1532000</v>
      </c>
    </row>
    <row r="735" spans="1:6">
      <c r="A735" s="88"/>
      <c r="B735" s="88" t="s">
        <v>515</v>
      </c>
      <c r="C735" s="88"/>
      <c r="D735" s="88"/>
      <c r="E735" s="88"/>
      <c r="F735" s="90">
        <v>35476000</v>
      </c>
    </row>
    <row r="736" spans="1:6">
      <c r="A736" s="88"/>
      <c r="B736" s="88" t="s">
        <v>387</v>
      </c>
      <c r="C736" s="88"/>
      <c r="D736" s="88" t="s">
        <v>205</v>
      </c>
      <c r="E736" s="88" t="s">
        <v>26</v>
      </c>
      <c r="F736" s="90">
        <v>6000000</v>
      </c>
    </row>
    <row r="737" spans="1:6">
      <c r="A737" s="88"/>
      <c r="B737" s="88" t="s">
        <v>516</v>
      </c>
      <c r="C737" s="88"/>
      <c r="D737" s="88"/>
      <c r="E737" s="88"/>
      <c r="F737" s="90">
        <v>6000000</v>
      </c>
    </row>
    <row r="738" spans="1:6">
      <c r="A738" s="88" t="s">
        <v>517</v>
      </c>
      <c r="B738" s="88"/>
      <c r="C738" s="88"/>
      <c r="D738" s="88"/>
      <c r="E738" s="88"/>
      <c r="F738" s="90">
        <v>2517590711</v>
      </c>
    </row>
    <row r="739" spans="1:6">
      <c r="A739" s="88" t="s">
        <v>31</v>
      </c>
      <c r="B739" s="88" t="s">
        <v>27</v>
      </c>
      <c r="C739" s="88" t="s">
        <v>28</v>
      </c>
      <c r="D739" s="88" t="s">
        <v>29</v>
      </c>
      <c r="E739" s="88" t="s">
        <v>30</v>
      </c>
      <c r="F739" s="90">
        <v>13000000</v>
      </c>
    </row>
    <row r="740" spans="1:6">
      <c r="A740" s="88"/>
      <c r="B740" s="88" t="s">
        <v>27</v>
      </c>
      <c r="C740" s="88"/>
      <c r="D740" s="88"/>
      <c r="E740" s="88" t="s">
        <v>32</v>
      </c>
      <c r="F740" s="90">
        <v>79000000</v>
      </c>
    </row>
    <row r="741" spans="1:6">
      <c r="A741" s="88"/>
      <c r="B741" s="88" t="s">
        <v>27</v>
      </c>
      <c r="C741" s="88"/>
      <c r="D741" s="88"/>
      <c r="E741" s="88" t="s">
        <v>33</v>
      </c>
      <c r="F741" s="90">
        <v>19693206</v>
      </c>
    </row>
    <row r="742" spans="1:6">
      <c r="A742" s="88"/>
      <c r="B742" s="88" t="s">
        <v>27</v>
      </c>
      <c r="C742" s="88"/>
      <c r="D742" s="88"/>
      <c r="E742" s="88" t="s">
        <v>34</v>
      </c>
      <c r="F742" s="90">
        <v>12500000</v>
      </c>
    </row>
    <row r="743" spans="1:6">
      <c r="A743" s="88"/>
      <c r="B743" s="88" t="s">
        <v>518</v>
      </c>
      <c r="C743" s="88"/>
      <c r="D743" s="88"/>
      <c r="E743" s="88"/>
      <c r="F743" s="90">
        <v>124193206</v>
      </c>
    </row>
    <row r="744" spans="1:6">
      <c r="A744" s="88"/>
      <c r="B744" s="88" t="s">
        <v>35</v>
      </c>
      <c r="C744" s="88" t="s">
        <v>36</v>
      </c>
      <c r="D744" s="88" t="s">
        <v>38</v>
      </c>
      <c r="E744" s="88" t="s">
        <v>39</v>
      </c>
      <c r="F744" s="90">
        <v>29978000</v>
      </c>
    </row>
    <row r="745" spans="1:6">
      <c r="A745" s="88"/>
      <c r="B745" s="88" t="s">
        <v>35</v>
      </c>
      <c r="C745" s="88"/>
      <c r="D745" s="88"/>
      <c r="E745" s="88" t="s">
        <v>32</v>
      </c>
      <c r="F745" s="90">
        <v>39225000</v>
      </c>
    </row>
    <row r="746" spans="1:6">
      <c r="A746" s="88"/>
      <c r="B746" s="88" t="s">
        <v>35</v>
      </c>
      <c r="C746" s="88"/>
      <c r="D746" s="88"/>
      <c r="E746" s="88" t="s">
        <v>33</v>
      </c>
      <c r="F746" s="90">
        <v>20983644</v>
      </c>
    </row>
    <row r="747" spans="1:6">
      <c r="A747" s="88"/>
      <c r="B747" s="88" t="s">
        <v>35</v>
      </c>
      <c r="C747" s="88"/>
      <c r="D747" s="88" t="s">
        <v>37</v>
      </c>
      <c r="E747" s="88" t="s">
        <v>30</v>
      </c>
      <c r="F747" s="90">
        <v>11750000</v>
      </c>
    </row>
    <row r="748" spans="1:6">
      <c r="A748" s="88"/>
      <c r="B748" s="88" t="s">
        <v>519</v>
      </c>
      <c r="C748" s="88"/>
      <c r="D748" s="88"/>
      <c r="E748" s="88"/>
      <c r="F748" s="90">
        <v>101936644</v>
      </c>
    </row>
    <row r="749" spans="1:6">
      <c r="A749" s="88"/>
      <c r="B749" s="88" t="s">
        <v>60</v>
      </c>
      <c r="C749" s="88" t="s">
        <v>61</v>
      </c>
      <c r="D749" s="88" t="s">
        <v>62</v>
      </c>
      <c r="E749" s="88" t="s">
        <v>24</v>
      </c>
      <c r="F749" s="90">
        <v>6000000</v>
      </c>
    </row>
    <row r="750" spans="1:6">
      <c r="A750" s="88"/>
      <c r="B750" s="88" t="s">
        <v>60</v>
      </c>
      <c r="C750" s="88"/>
      <c r="D750" s="88"/>
      <c r="E750" s="88" t="s">
        <v>30</v>
      </c>
      <c r="F750" s="90">
        <v>11750000</v>
      </c>
    </row>
    <row r="751" spans="1:6">
      <c r="A751" s="88"/>
      <c r="B751" s="88" t="s">
        <v>60</v>
      </c>
      <c r="C751" s="88"/>
      <c r="D751" s="88"/>
      <c r="E751" s="88" t="s">
        <v>39</v>
      </c>
      <c r="F751" s="90">
        <v>61419000</v>
      </c>
    </row>
    <row r="752" spans="1:6">
      <c r="A752" s="88"/>
      <c r="B752" s="88" t="s">
        <v>60</v>
      </c>
      <c r="C752" s="88"/>
      <c r="D752" s="88"/>
      <c r="E752" s="88" t="s">
        <v>63</v>
      </c>
      <c r="F752" s="90">
        <v>9950000</v>
      </c>
    </row>
    <row r="753" spans="1:6">
      <c r="A753" s="88"/>
      <c r="B753" s="88" t="s">
        <v>520</v>
      </c>
      <c r="C753" s="88"/>
      <c r="D753" s="88"/>
      <c r="E753" s="88"/>
      <c r="F753" s="90">
        <v>89119000</v>
      </c>
    </row>
    <row r="754" spans="1:6">
      <c r="A754" s="88"/>
      <c r="B754" s="88" t="s">
        <v>64</v>
      </c>
      <c r="C754" s="88" t="s">
        <v>65</v>
      </c>
      <c r="D754" s="88" t="s">
        <v>66</v>
      </c>
      <c r="E754" s="88" t="s">
        <v>30</v>
      </c>
      <c r="F754" s="90">
        <v>36000000</v>
      </c>
    </row>
    <row r="755" spans="1:6">
      <c r="A755" s="88"/>
      <c r="B755" s="88" t="s">
        <v>64</v>
      </c>
      <c r="C755" s="88"/>
      <c r="D755" s="88"/>
      <c r="E755" s="88" t="s">
        <v>32</v>
      </c>
      <c r="F755" s="90">
        <v>39050000</v>
      </c>
    </row>
    <row r="756" spans="1:6">
      <c r="A756" s="88"/>
      <c r="B756" s="88" t="s">
        <v>521</v>
      </c>
      <c r="C756" s="88"/>
      <c r="D756" s="88"/>
      <c r="E756" s="88"/>
      <c r="F756" s="90">
        <v>75050000</v>
      </c>
    </row>
    <row r="757" spans="1:6">
      <c r="A757" s="88"/>
      <c r="B757" s="88" t="s">
        <v>67</v>
      </c>
      <c r="C757" s="88" t="s">
        <v>68</v>
      </c>
      <c r="D757" s="88" t="s">
        <v>69</v>
      </c>
      <c r="E757" s="88" t="s">
        <v>30</v>
      </c>
      <c r="F757" s="90">
        <v>12000000</v>
      </c>
    </row>
    <row r="758" spans="1:6">
      <c r="A758" s="88"/>
      <c r="B758" s="88" t="s">
        <v>67</v>
      </c>
      <c r="C758" s="88"/>
      <c r="D758" s="88"/>
      <c r="E758" s="88" t="s">
        <v>39</v>
      </c>
      <c r="F758" s="90">
        <v>31441000</v>
      </c>
    </row>
    <row r="759" spans="1:6">
      <c r="A759" s="88"/>
      <c r="B759" s="88" t="s">
        <v>67</v>
      </c>
      <c r="C759" s="88"/>
      <c r="D759" s="88"/>
      <c r="E759" s="88" t="s">
        <v>63</v>
      </c>
      <c r="F759" s="90">
        <v>12000000</v>
      </c>
    </row>
    <row r="760" spans="1:6">
      <c r="A760" s="88"/>
      <c r="B760" s="88" t="s">
        <v>522</v>
      </c>
      <c r="C760" s="88"/>
      <c r="D760" s="88"/>
      <c r="E760" s="88"/>
      <c r="F760" s="90">
        <v>55441000</v>
      </c>
    </row>
    <row r="761" spans="1:6">
      <c r="A761" s="88"/>
      <c r="B761" s="88" t="s">
        <v>70</v>
      </c>
      <c r="C761" s="88" t="s">
        <v>71</v>
      </c>
      <c r="D761" s="88" t="s">
        <v>72</v>
      </c>
      <c r="E761" s="88" t="s">
        <v>18</v>
      </c>
      <c r="F761" s="90">
        <v>8500000</v>
      </c>
    </row>
    <row r="762" spans="1:6">
      <c r="A762" s="88"/>
      <c r="B762" s="88" t="s">
        <v>70</v>
      </c>
      <c r="C762" s="88"/>
      <c r="D762" s="88"/>
      <c r="E762" s="88" t="s">
        <v>30</v>
      </c>
      <c r="F762" s="90">
        <v>12000000</v>
      </c>
    </row>
    <row r="763" spans="1:6">
      <c r="A763" s="88"/>
      <c r="B763" s="88" t="s">
        <v>70</v>
      </c>
      <c r="C763" s="88"/>
      <c r="D763" s="88"/>
      <c r="E763" s="88" t="s">
        <v>73</v>
      </c>
      <c r="F763" s="90">
        <v>9000000</v>
      </c>
    </row>
    <row r="764" spans="1:6">
      <c r="A764" s="88"/>
      <c r="B764" s="88" t="s">
        <v>70</v>
      </c>
      <c r="C764" s="88"/>
      <c r="D764" s="88"/>
      <c r="E764" s="88" t="s">
        <v>32</v>
      </c>
      <c r="F764" s="90">
        <v>38550000</v>
      </c>
    </row>
    <row r="765" spans="1:6">
      <c r="A765" s="88"/>
      <c r="B765" s="88" t="s">
        <v>523</v>
      </c>
      <c r="C765" s="88"/>
      <c r="D765" s="88"/>
      <c r="E765" s="88"/>
      <c r="F765" s="90">
        <v>68050000</v>
      </c>
    </row>
    <row r="766" spans="1:6">
      <c r="A766" s="88"/>
      <c r="B766" s="88" t="s">
        <v>74</v>
      </c>
      <c r="C766" s="88" t="s">
        <v>75</v>
      </c>
      <c r="D766" s="88" t="s">
        <v>76</v>
      </c>
      <c r="E766" s="88" t="s">
        <v>33</v>
      </c>
      <c r="F766" s="90">
        <v>20834028</v>
      </c>
    </row>
    <row r="767" spans="1:6">
      <c r="A767" s="88"/>
      <c r="B767" s="88" t="s">
        <v>524</v>
      </c>
      <c r="C767" s="88"/>
      <c r="D767" s="88"/>
      <c r="E767" s="88"/>
      <c r="F767" s="90">
        <v>20834028</v>
      </c>
    </row>
    <row r="768" spans="1:6">
      <c r="A768" s="88"/>
      <c r="B768" s="88" t="s">
        <v>77</v>
      </c>
      <c r="C768" s="88" t="s">
        <v>78</v>
      </c>
      <c r="D768" s="88" t="s">
        <v>76</v>
      </c>
      <c r="E768" s="88" t="s">
        <v>33</v>
      </c>
      <c r="F768" s="90">
        <v>20834028</v>
      </c>
    </row>
    <row r="769" spans="1:6">
      <c r="A769" s="88"/>
      <c r="B769" s="88" t="s">
        <v>525</v>
      </c>
      <c r="C769" s="88"/>
      <c r="D769" s="88"/>
      <c r="E769" s="88"/>
      <c r="F769" s="90">
        <v>20834028</v>
      </c>
    </row>
    <row r="770" spans="1:6">
      <c r="A770" s="88"/>
      <c r="B770" s="88" t="s">
        <v>105</v>
      </c>
      <c r="C770" s="88" t="s">
        <v>106</v>
      </c>
      <c r="D770" s="88" t="s">
        <v>38</v>
      </c>
      <c r="E770" s="88" t="s">
        <v>22</v>
      </c>
      <c r="F770" s="90">
        <v>29000000</v>
      </c>
    </row>
    <row r="771" spans="1:6">
      <c r="A771" s="88"/>
      <c r="B771" s="88" t="s">
        <v>105</v>
      </c>
      <c r="C771" s="88"/>
      <c r="D771" s="88"/>
      <c r="E771" s="88" t="s">
        <v>39</v>
      </c>
      <c r="F771" s="90">
        <v>29978000</v>
      </c>
    </row>
    <row r="772" spans="1:6">
      <c r="A772" s="88"/>
      <c r="B772" s="88" t="s">
        <v>105</v>
      </c>
      <c r="C772" s="88"/>
      <c r="D772" s="88"/>
      <c r="E772" s="88" t="s">
        <v>32</v>
      </c>
      <c r="F772" s="90">
        <v>39225000</v>
      </c>
    </row>
    <row r="773" spans="1:6">
      <c r="A773" s="88"/>
      <c r="B773" s="88" t="s">
        <v>105</v>
      </c>
      <c r="C773" s="88"/>
      <c r="D773" s="88"/>
      <c r="E773" s="88" t="s">
        <v>33</v>
      </c>
      <c r="F773" s="90">
        <v>20983644</v>
      </c>
    </row>
    <row r="774" spans="1:6">
      <c r="A774" s="88"/>
      <c r="B774" s="88" t="s">
        <v>526</v>
      </c>
      <c r="C774" s="88"/>
      <c r="D774" s="88"/>
      <c r="E774" s="88"/>
      <c r="F774" s="90">
        <v>119186644</v>
      </c>
    </row>
    <row r="775" spans="1:6">
      <c r="A775" s="88"/>
      <c r="B775" s="88" t="s">
        <v>122</v>
      </c>
      <c r="C775" s="88" t="s">
        <v>123</v>
      </c>
      <c r="D775" s="88" t="s">
        <v>124</v>
      </c>
      <c r="E775" s="88" t="s">
        <v>30</v>
      </c>
      <c r="F775" s="90">
        <v>27500000</v>
      </c>
    </row>
    <row r="776" spans="1:6">
      <c r="A776" s="88"/>
      <c r="B776" s="88" t="s">
        <v>122</v>
      </c>
      <c r="C776" s="88"/>
      <c r="D776" s="88"/>
      <c r="E776" s="88" t="s">
        <v>32</v>
      </c>
      <c r="F776" s="90">
        <v>37500000</v>
      </c>
    </row>
    <row r="777" spans="1:6">
      <c r="A777" s="88"/>
      <c r="B777" s="88" t="s">
        <v>527</v>
      </c>
      <c r="C777" s="88"/>
      <c r="D777" s="88"/>
      <c r="E777" s="88"/>
      <c r="F777" s="90">
        <v>65000000</v>
      </c>
    </row>
    <row r="778" spans="1:6">
      <c r="A778" s="88"/>
      <c r="B778" s="88" t="s">
        <v>166</v>
      </c>
      <c r="C778" s="88" t="s">
        <v>167</v>
      </c>
      <c r="D778" s="88" t="s">
        <v>72</v>
      </c>
      <c r="E778" s="88" t="s">
        <v>18</v>
      </c>
      <c r="F778" s="90">
        <v>8500000</v>
      </c>
    </row>
    <row r="779" spans="1:6">
      <c r="A779" s="88"/>
      <c r="B779" s="88" t="s">
        <v>166</v>
      </c>
      <c r="C779" s="88"/>
      <c r="D779" s="88"/>
      <c r="E779" s="88" t="s">
        <v>30</v>
      </c>
      <c r="F779" s="90">
        <v>12000000</v>
      </c>
    </row>
    <row r="780" spans="1:6">
      <c r="A780" s="88"/>
      <c r="B780" s="88" t="s">
        <v>166</v>
      </c>
      <c r="C780" s="88"/>
      <c r="D780" s="88"/>
      <c r="E780" s="88" t="s">
        <v>73</v>
      </c>
      <c r="F780" s="90">
        <v>9000000</v>
      </c>
    </row>
    <row r="781" spans="1:6">
      <c r="A781" s="88"/>
      <c r="B781" s="88" t="s">
        <v>166</v>
      </c>
      <c r="C781" s="88"/>
      <c r="D781" s="88"/>
      <c r="E781" s="88" t="s">
        <v>32</v>
      </c>
      <c r="F781" s="90">
        <v>38550000</v>
      </c>
    </row>
    <row r="782" spans="1:6">
      <c r="A782" s="88"/>
      <c r="B782" s="88" t="s">
        <v>528</v>
      </c>
      <c r="C782" s="88"/>
      <c r="D782" s="88"/>
      <c r="E782" s="88"/>
      <c r="F782" s="90">
        <v>68050000</v>
      </c>
    </row>
    <row r="783" spans="1:6">
      <c r="A783" s="88"/>
      <c r="B783" s="88" t="s">
        <v>178</v>
      </c>
      <c r="C783" s="88" t="s">
        <v>179</v>
      </c>
      <c r="D783" s="88" t="s">
        <v>180</v>
      </c>
      <c r="E783" s="88" t="s">
        <v>39</v>
      </c>
      <c r="F783" s="90">
        <v>31441000</v>
      </c>
    </row>
    <row r="784" spans="1:6">
      <c r="A784" s="88"/>
      <c r="B784" s="88" t="s">
        <v>178</v>
      </c>
      <c r="C784" s="88"/>
      <c r="D784" s="88"/>
      <c r="E784" s="88" t="s">
        <v>73</v>
      </c>
      <c r="F784" s="90">
        <v>9000000</v>
      </c>
    </row>
    <row r="785" spans="1:6">
      <c r="A785" s="88"/>
      <c r="B785" s="88" t="s">
        <v>178</v>
      </c>
      <c r="C785" s="88"/>
      <c r="D785" s="88"/>
      <c r="E785" s="88" t="s">
        <v>32</v>
      </c>
      <c r="F785" s="90">
        <v>37000000</v>
      </c>
    </row>
    <row r="786" spans="1:6">
      <c r="A786" s="88"/>
      <c r="B786" s="88" t="s">
        <v>178</v>
      </c>
      <c r="C786" s="88"/>
      <c r="D786" s="88"/>
      <c r="E786" s="88" t="s">
        <v>33</v>
      </c>
      <c r="F786" s="90">
        <v>28177000</v>
      </c>
    </row>
    <row r="787" spans="1:6">
      <c r="A787" s="88"/>
      <c r="B787" s="88" t="s">
        <v>529</v>
      </c>
      <c r="C787" s="88"/>
      <c r="D787" s="88"/>
      <c r="E787" s="88"/>
      <c r="F787" s="90">
        <v>105618000</v>
      </c>
    </row>
    <row r="788" spans="1:6">
      <c r="A788" s="88"/>
      <c r="B788" s="88" t="s">
        <v>183</v>
      </c>
      <c r="C788" s="88" t="s">
        <v>184</v>
      </c>
      <c r="D788" s="88" t="s">
        <v>69</v>
      </c>
      <c r="E788" s="88" t="s">
        <v>30</v>
      </c>
      <c r="F788" s="90">
        <v>12000000</v>
      </c>
    </row>
    <row r="789" spans="1:6">
      <c r="A789" s="88"/>
      <c r="B789" s="88" t="s">
        <v>183</v>
      </c>
      <c r="C789" s="88"/>
      <c r="D789" s="88"/>
      <c r="E789" s="88" t="s">
        <v>39</v>
      </c>
      <c r="F789" s="90">
        <v>31441000</v>
      </c>
    </row>
    <row r="790" spans="1:6">
      <c r="A790" s="88"/>
      <c r="B790" s="88" t="s">
        <v>183</v>
      </c>
      <c r="C790" s="88"/>
      <c r="D790" s="88"/>
      <c r="E790" s="88" t="s">
        <v>63</v>
      </c>
      <c r="F790" s="90">
        <v>12000000</v>
      </c>
    </row>
    <row r="791" spans="1:6">
      <c r="A791" s="88"/>
      <c r="B791" s="88" t="s">
        <v>530</v>
      </c>
      <c r="C791" s="88"/>
      <c r="D791" s="88"/>
      <c r="E791" s="88"/>
      <c r="F791" s="90">
        <v>55441000</v>
      </c>
    </row>
    <row r="792" spans="1:6">
      <c r="A792" s="88"/>
      <c r="B792" s="88" t="s">
        <v>185</v>
      </c>
      <c r="C792" s="88" t="s">
        <v>186</v>
      </c>
      <c r="D792" s="88" t="s">
        <v>29</v>
      </c>
      <c r="E792" s="88" t="s">
        <v>30</v>
      </c>
      <c r="F792" s="90">
        <v>13000000</v>
      </c>
    </row>
    <row r="793" spans="1:6">
      <c r="A793" s="88"/>
      <c r="B793" s="88" t="s">
        <v>185</v>
      </c>
      <c r="C793" s="88"/>
      <c r="D793" s="88"/>
      <c r="E793" s="88" t="s">
        <v>32</v>
      </c>
      <c r="F793" s="90">
        <v>79000000</v>
      </c>
    </row>
    <row r="794" spans="1:6">
      <c r="A794" s="88"/>
      <c r="B794" s="88" t="s">
        <v>185</v>
      </c>
      <c r="C794" s="88"/>
      <c r="D794" s="88"/>
      <c r="E794" s="88" t="s">
        <v>33</v>
      </c>
      <c r="F794" s="90">
        <v>19693206</v>
      </c>
    </row>
    <row r="795" spans="1:6">
      <c r="A795" s="88"/>
      <c r="B795" s="88" t="s">
        <v>185</v>
      </c>
      <c r="C795" s="88"/>
      <c r="D795" s="88"/>
      <c r="E795" s="88" t="s">
        <v>34</v>
      </c>
      <c r="F795" s="90">
        <v>12500000</v>
      </c>
    </row>
    <row r="796" spans="1:6">
      <c r="A796" s="88"/>
      <c r="B796" s="88" t="s">
        <v>531</v>
      </c>
      <c r="C796" s="88"/>
      <c r="D796" s="88"/>
      <c r="E796" s="88"/>
      <c r="F796" s="90">
        <v>124193206</v>
      </c>
    </row>
    <row r="797" spans="1:6">
      <c r="A797" s="88"/>
      <c r="B797" s="88" t="s">
        <v>187</v>
      </c>
      <c r="C797" s="88" t="s">
        <v>188</v>
      </c>
      <c r="D797" s="88" t="s">
        <v>124</v>
      </c>
      <c r="E797" s="88" t="s">
        <v>30</v>
      </c>
      <c r="F797" s="90">
        <v>27500000</v>
      </c>
    </row>
    <row r="798" spans="1:6">
      <c r="A798" s="88"/>
      <c r="B798" s="88" t="s">
        <v>187</v>
      </c>
      <c r="C798" s="88"/>
      <c r="D798" s="88"/>
      <c r="E798" s="88" t="s">
        <v>32</v>
      </c>
      <c r="F798" s="90">
        <v>37500000</v>
      </c>
    </row>
    <row r="799" spans="1:6">
      <c r="A799" s="88"/>
      <c r="B799" s="88" t="s">
        <v>532</v>
      </c>
      <c r="C799" s="88"/>
      <c r="D799" s="88"/>
      <c r="E799" s="88"/>
      <c r="F799" s="90">
        <v>65000000</v>
      </c>
    </row>
    <row r="800" spans="1:6">
      <c r="A800" s="88"/>
      <c r="B800" s="88" t="s">
        <v>198</v>
      </c>
      <c r="C800" s="88" t="s">
        <v>199</v>
      </c>
      <c r="D800" s="88" t="s">
        <v>200</v>
      </c>
      <c r="E800" s="88" t="s">
        <v>18</v>
      </c>
      <c r="F800" s="90">
        <v>10000000</v>
      </c>
    </row>
    <row r="801" spans="1:6">
      <c r="A801" s="88"/>
      <c r="B801" s="88" t="s">
        <v>198</v>
      </c>
      <c r="C801" s="88"/>
      <c r="D801" s="88"/>
      <c r="E801" s="88" t="s">
        <v>24</v>
      </c>
      <c r="F801" s="90">
        <v>6000000</v>
      </c>
    </row>
    <row r="802" spans="1:6">
      <c r="A802" s="88"/>
      <c r="B802" s="88" t="s">
        <v>198</v>
      </c>
      <c r="C802" s="88"/>
      <c r="D802" s="88"/>
      <c r="E802" s="88" t="s">
        <v>32</v>
      </c>
      <c r="F802" s="90">
        <v>38650000</v>
      </c>
    </row>
    <row r="803" spans="1:6">
      <c r="A803" s="88"/>
      <c r="B803" s="88" t="s">
        <v>198</v>
      </c>
      <c r="C803" s="88"/>
      <c r="D803" s="88"/>
      <c r="E803" s="88" t="s">
        <v>34</v>
      </c>
      <c r="F803" s="90">
        <v>12500000</v>
      </c>
    </row>
    <row r="804" spans="1:6">
      <c r="A804" s="88"/>
      <c r="B804" s="88" t="s">
        <v>533</v>
      </c>
      <c r="C804" s="88"/>
      <c r="D804" s="88"/>
      <c r="E804" s="88"/>
      <c r="F804" s="90">
        <v>67150000</v>
      </c>
    </row>
    <row r="805" spans="1:6">
      <c r="A805" s="88"/>
      <c r="B805" s="88" t="s">
        <v>201</v>
      </c>
      <c r="C805" s="88" t="s">
        <v>202</v>
      </c>
      <c r="D805" s="88" t="s">
        <v>180</v>
      </c>
      <c r="E805" s="88" t="s">
        <v>39</v>
      </c>
      <c r="F805" s="90">
        <v>31441000</v>
      </c>
    </row>
    <row r="806" spans="1:6">
      <c r="A806" s="88"/>
      <c r="B806" s="88" t="s">
        <v>201</v>
      </c>
      <c r="C806" s="88"/>
      <c r="D806" s="88"/>
      <c r="E806" s="88" t="s">
        <v>73</v>
      </c>
      <c r="F806" s="90">
        <v>9000000</v>
      </c>
    </row>
    <row r="807" spans="1:6">
      <c r="A807" s="88"/>
      <c r="B807" s="88" t="s">
        <v>201</v>
      </c>
      <c r="C807" s="88"/>
      <c r="D807" s="88"/>
      <c r="E807" s="88" t="s">
        <v>32</v>
      </c>
      <c r="F807" s="90">
        <v>37000000</v>
      </c>
    </row>
    <row r="808" spans="1:6">
      <c r="A808" s="88"/>
      <c r="B808" s="88" t="s">
        <v>201</v>
      </c>
      <c r="C808" s="88"/>
      <c r="D808" s="88"/>
      <c r="E808" s="88" t="s">
        <v>33</v>
      </c>
      <c r="F808" s="90">
        <v>28177000</v>
      </c>
    </row>
    <row r="809" spans="1:6">
      <c r="A809" s="88"/>
      <c r="B809" s="88" t="s">
        <v>534</v>
      </c>
      <c r="C809" s="88"/>
      <c r="D809" s="88"/>
      <c r="E809" s="88"/>
      <c r="F809" s="90">
        <v>105618000</v>
      </c>
    </row>
    <row r="810" spans="1:6">
      <c r="A810" s="88"/>
      <c r="B810" s="88" t="s">
        <v>232</v>
      </c>
      <c r="C810" s="88" t="s">
        <v>233</v>
      </c>
      <c r="D810" s="88" t="s">
        <v>234</v>
      </c>
      <c r="E810" s="88" t="s">
        <v>18</v>
      </c>
      <c r="F810" s="90">
        <v>12500000</v>
      </c>
    </row>
    <row r="811" spans="1:6">
      <c r="A811" s="88"/>
      <c r="B811" s="88" t="s">
        <v>232</v>
      </c>
      <c r="C811" s="88"/>
      <c r="D811" s="88"/>
      <c r="E811" s="88" t="s">
        <v>39</v>
      </c>
      <c r="F811" s="90">
        <v>62882000</v>
      </c>
    </row>
    <row r="812" spans="1:6">
      <c r="A812" s="88"/>
      <c r="B812" s="88" t="s">
        <v>232</v>
      </c>
      <c r="C812" s="88"/>
      <c r="D812" s="88"/>
      <c r="E812" s="88" t="s">
        <v>63</v>
      </c>
      <c r="F812" s="90">
        <v>10000000</v>
      </c>
    </row>
    <row r="813" spans="1:6">
      <c r="A813" s="88"/>
      <c r="B813" s="88" t="s">
        <v>535</v>
      </c>
      <c r="C813" s="88"/>
      <c r="D813" s="88"/>
      <c r="E813" s="88"/>
      <c r="F813" s="90">
        <v>85382000</v>
      </c>
    </row>
    <row r="814" spans="1:6">
      <c r="A814" s="88"/>
      <c r="B814" s="88" t="s">
        <v>237</v>
      </c>
      <c r="C814" s="88" t="s">
        <v>238</v>
      </c>
      <c r="D814" s="88" t="s">
        <v>200</v>
      </c>
      <c r="E814" s="88" t="s">
        <v>18</v>
      </c>
      <c r="F814" s="90">
        <v>10000000</v>
      </c>
    </row>
    <row r="815" spans="1:6">
      <c r="A815" s="88"/>
      <c r="B815" s="88" t="s">
        <v>237</v>
      </c>
      <c r="C815" s="88"/>
      <c r="D815" s="88"/>
      <c r="E815" s="88" t="s">
        <v>24</v>
      </c>
      <c r="F815" s="90">
        <v>6000000</v>
      </c>
    </row>
    <row r="816" spans="1:6">
      <c r="A816" s="88"/>
      <c r="B816" s="88" t="s">
        <v>237</v>
      </c>
      <c r="C816" s="88"/>
      <c r="D816" s="88"/>
      <c r="E816" s="88" t="s">
        <v>32</v>
      </c>
      <c r="F816" s="90">
        <v>38650000</v>
      </c>
    </row>
    <row r="817" spans="1:6">
      <c r="A817" s="88"/>
      <c r="B817" s="88" t="s">
        <v>237</v>
      </c>
      <c r="C817" s="88"/>
      <c r="D817" s="88"/>
      <c r="E817" s="88" t="s">
        <v>34</v>
      </c>
      <c r="F817" s="90">
        <v>12500000</v>
      </c>
    </row>
    <row r="818" spans="1:6">
      <c r="A818" s="88"/>
      <c r="B818" s="88" t="s">
        <v>536</v>
      </c>
      <c r="C818" s="88"/>
      <c r="D818" s="88"/>
      <c r="E818" s="88"/>
      <c r="F818" s="90">
        <v>67150000</v>
      </c>
    </row>
    <row r="819" spans="1:6">
      <c r="A819" s="88"/>
      <c r="B819" s="88" t="s">
        <v>239</v>
      </c>
      <c r="C819" s="88" t="s">
        <v>240</v>
      </c>
      <c r="D819" s="88" t="s">
        <v>234</v>
      </c>
      <c r="E819" s="88" t="s">
        <v>18</v>
      </c>
      <c r="F819" s="90">
        <v>12500000</v>
      </c>
    </row>
    <row r="820" spans="1:6">
      <c r="A820" s="88"/>
      <c r="B820" s="88" t="s">
        <v>239</v>
      </c>
      <c r="C820" s="88"/>
      <c r="D820" s="88"/>
      <c r="E820" s="88" t="s">
        <v>39</v>
      </c>
      <c r="F820" s="90">
        <v>62882000</v>
      </c>
    </row>
    <row r="821" spans="1:6">
      <c r="A821" s="88"/>
      <c r="B821" s="88" t="s">
        <v>239</v>
      </c>
      <c r="C821" s="88"/>
      <c r="D821" s="88"/>
      <c r="E821" s="88" t="s">
        <v>63</v>
      </c>
      <c r="F821" s="90">
        <v>10000000</v>
      </c>
    </row>
    <row r="822" spans="1:6">
      <c r="A822" s="88"/>
      <c r="B822" s="88" t="s">
        <v>537</v>
      </c>
      <c r="C822" s="88"/>
      <c r="D822" s="88"/>
      <c r="E822" s="88"/>
      <c r="F822" s="90">
        <v>85382000</v>
      </c>
    </row>
    <row r="823" spans="1:6">
      <c r="A823" s="88"/>
      <c r="B823" s="88" t="s">
        <v>241</v>
      </c>
      <c r="C823" s="88" t="s">
        <v>242</v>
      </c>
      <c r="D823" s="88" t="s">
        <v>37</v>
      </c>
      <c r="E823" s="88" t="s">
        <v>18</v>
      </c>
      <c r="F823" s="90">
        <v>7500000</v>
      </c>
    </row>
    <row r="824" spans="1:6">
      <c r="A824" s="88"/>
      <c r="B824" s="88" t="s">
        <v>241</v>
      </c>
      <c r="C824" s="88"/>
      <c r="D824" s="88"/>
      <c r="E824" s="88" t="s">
        <v>150</v>
      </c>
      <c r="F824" s="90">
        <v>1000000</v>
      </c>
    </row>
    <row r="825" spans="1:6">
      <c r="A825" s="88"/>
      <c r="B825" s="88" t="s">
        <v>241</v>
      </c>
      <c r="C825" s="88"/>
      <c r="D825" s="88"/>
      <c r="E825" s="88" t="s">
        <v>32</v>
      </c>
      <c r="F825" s="90">
        <v>39050000</v>
      </c>
    </row>
    <row r="826" spans="1:6">
      <c r="A826" s="88"/>
      <c r="B826" s="88" t="s">
        <v>538</v>
      </c>
      <c r="C826" s="88"/>
      <c r="D826" s="88"/>
      <c r="E826" s="88"/>
      <c r="F826" s="90">
        <v>47550000</v>
      </c>
    </row>
    <row r="827" spans="1:6">
      <c r="A827" s="88"/>
      <c r="B827" s="88" t="s">
        <v>243</v>
      </c>
      <c r="C827" s="88" t="s">
        <v>244</v>
      </c>
      <c r="D827" s="88" t="s">
        <v>37</v>
      </c>
      <c r="E827" s="88" t="s">
        <v>18</v>
      </c>
      <c r="F827" s="90">
        <v>7500000</v>
      </c>
    </row>
    <row r="828" spans="1:6">
      <c r="A828" s="88"/>
      <c r="B828" s="88" t="s">
        <v>243</v>
      </c>
      <c r="C828" s="88"/>
      <c r="D828" s="88"/>
      <c r="E828" s="88" t="s">
        <v>150</v>
      </c>
      <c r="F828" s="90">
        <v>1000000</v>
      </c>
    </row>
    <row r="829" spans="1:6">
      <c r="A829" s="88"/>
      <c r="B829" s="88" t="s">
        <v>243</v>
      </c>
      <c r="C829" s="88"/>
      <c r="D829" s="88"/>
      <c r="E829" s="88" t="s">
        <v>32</v>
      </c>
      <c r="F829" s="90">
        <v>39050000</v>
      </c>
    </row>
    <row r="830" spans="1:6">
      <c r="A830" s="88"/>
      <c r="B830" s="88" t="s">
        <v>539</v>
      </c>
      <c r="C830" s="88"/>
      <c r="D830" s="88"/>
      <c r="E830" s="88"/>
      <c r="F830" s="90">
        <v>47550000</v>
      </c>
    </row>
    <row r="831" spans="1:6">
      <c r="A831" s="88"/>
      <c r="B831" s="88" t="s">
        <v>327</v>
      </c>
      <c r="C831" s="88" t="s">
        <v>328</v>
      </c>
      <c r="D831" s="88" t="s">
        <v>66</v>
      </c>
      <c r="E831" s="88" t="s">
        <v>30</v>
      </c>
      <c r="F831" s="90">
        <v>12500000</v>
      </c>
    </row>
    <row r="832" spans="1:6">
      <c r="A832" s="88"/>
      <c r="B832" s="88" t="s">
        <v>327</v>
      </c>
      <c r="C832" s="88"/>
      <c r="D832" s="88"/>
      <c r="E832" s="88" t="s">
        <v>32</v>
      </c>
      <c r="F832" s="90">
        <v>39050000</v>
      </c>
    </row>
    <row r="833" spans="1:6">
      <c r="A833" s="88"/>
      <c r="B833" s="88" t="s">
        <v>327</v>
      </c>
      <c r="C833" s="88"/>
      <c r="D833" s="88" t="s">
        <v>37</v>
      </c>
      <c r="E833" s="88" t="s">
        <v>30</v>
      </c>
      <c r="F833" s="90">
        <v>11750000</v>
      </c>
    </row>
    <row r="834" spans="1:6">
      <c r="A834" s="88"/>
      <c r="B834" s="88" t="s">
        <v>327</v>
      </c>
      <c r="C834" s="88"/>
      <c r="D834" s="88"/>
      <c r="E834" s="88" t="s">
        <v>33</v>
      </c>
      <c r="F834" s="90">
        <v>12254000</v>
      </c>
    </row>
    <row r="835" spans="1:6">
      <c r="A835" s="88"/>
      <c r="B835" s="88" t="s">
        <v>540</v>
      </c>
      <c r="C835" s="88"/>
      <c r="D835" s="88"/>
      <c r="E835" s="88"/>
      <c r="F835" s="90">
        <v>75554000</v>
      </c>
    </row>
    <row r="836" spans="1:6">
      <c r="A836" s="88"/>
      <c r="B836" s="88" t="s">
        <v>366</v>
      </c>
      <c r="C836" s="88" t="s">
        <v>367</v>
      </c>
      <c r="D836" s="88" t="s">
        <v>62</v>
      </c>
      <c r="E836" s="88" t="s">
        <v>24</v>
      </c>
      <c r="F836" s="90">
        <v>6000000</v>
      </c>
    </row>
    <row r="837" spans="1:6">
      <c r="A837" s="88"/>
      <c r="B837" s="88" t="s">
        <v>366</v>
      </c>
      <c r="C837" s="88"/>
      <c r="D837" s="88"/>
      <c r="E837" s="88" t="s">
        <v>30</v>
      </c>
      <c r="F837" s="90">
        <v>11750000</v>
      </c>
    </row>
    <row r="838" spans="1:6">
      <c r="A838" s="88"/>
      <c r="B838" s="88" t="s">
        <v>366</v>
      </c>
      <c r="C838" s="88"/>
      <c r="D838" s="88"/>
      <c r="E838" s="88" t="s">
        <v>39</v>
      </c>
      <c r="F838" s="90">
        <v>61419000</v>
      </c>
    </row>
    <row r="839" spans="1:6">
      <c r="A839" s="88"/>
      <c r="B839" s="88" t="s">
        <v>366</v>
      </c>
      <c r="C839" s="88"/>
      <c r="D839" s="88"/>
      <c r="E839" s="88" t="s">
        <v>63</v>
      </c>
      <c r="F839" s="90">
        <v>9950000</v>
      </c>
    </row>
    <row r="840" spans="1:6">
      <c r="A840" s="88"/>
      <c r="B840" s="88" t="s">
        <v>541</v>
      </c>
      <c r="C840" s="88"/>
      <c r="D840" s="88"/>
      <c r="E840" s="88"/>
      <c r="F840" s="90">
        <v>89119000</v>
      </c>
    </row>
    <row r="841" spans="1:6">
      <c r="A841" s="88"/>
      <c r="B841" s="88" t="s">
        <v>368</v>
      </c>
      <c r="C841" s="88" t="s">
        <v>75</v>
      </c>
      <c r="D841" s="88" t="s">
        <v>76</v>
      </c>
      <c r="E841" s="88" t="s">
        <v>30</v>
      </c>
      <c r="F841" s="90">
        <v>12500000</v>
      </c>
    </row>
    <row r="842" spans="1:6">
      <c r="A842" s="88"/>
      <c r="B842" s="88" t="s">
        <v>368</v>
      </c>
      <c r="C842" s="88"/>
      <c r="D842" s="88"/>
      <c r="E842" s="88" t="s">
        <v>39</v>
      </c>
      <c r="F842" s="90">
        <v>29978000</v>
      </c>
    </row>
    <row r="843" spans="1:6">
      <c r="A843" s="88"/>
      <c r="B843" s="88" t="s">
        <v>368</v>
      </c>
      <c r="C843" s="88"/>
      <c r="D843" s="88"/>
      <c r="E843" s="88" t="s">
        <v>33</v>
      </c>
      <c r="F843" s="90">
        <v>6127000</v>
      </c>
    </row>
    <row r="844" spans="1:6">
      <c r="A844" s="88"/>
      <c r="B844" s="88" t="s">
        <v>542</v>
      </c>
      <c r="C844" s="88"/>
      <c r="D844" s="88"/>
      <c r="E844" s="88"/>
      <c r="F844" s="90">
        <v>48605000</v>
      </c>
    </row>
    <row r="845" spans="1:6">
      <c r="A845" s="88"/>
      <c r="B845" s="88" t="s">
        <v>369</v>
      </c>
      <c r="C845" s="88" t="s">
        <v>78</v>
      </c>
      <c r="D845" s="88" t="s">
        <v>76</v>
      </c>
      <c r="E845" s="88" t="s">
        <v>30</v>
      </c>
      <c r="F845" s="90">
        <v>12500000</v>
      </c>
    </row>
    <row r="846" spans="1:6">
      <c r="A846" s="88"/>
      <c r="B846" s="88" t="s">
        <v>369</v>
      </c>
      <c r="C846" s="88"/>
      <c r="D846" s="88"/>
      <c r="E846" s="88" t="s">
        <v>39</v>
      </c>
      <c r="F846" s="90">
        <v>29978000</v>
      </c>
    </row>
    <row r="847" spans="1:6">
      <c r="A847" s="88"/>
      <c r="B847" s="88" t="s">
        <v>369</v>
      </c>
      <c r="C847" s="88"/>
      <c r="D847" s="88"/>
      <c r="E847" s="88" t="s">
        <v>33</v>
      </c>
      <c r="F847" s="90">
        <v>6127000</v>
      </c>
    </row>
    <row r="848" spans="1:6">
      <c r="A848" s="88"/>
      <c r="B848" s="88" t="s">
        <v>543</v>
      </c>
      <c r="C848" s="88"/>
      <c r="D848" s="88"/>
      <c r="E848" s="88"/>
      <c r="F848" s="90">
        <v>48605000</v>
      </c>
    </row>
    <row r="849" spans="1:6">
      <c r="A849" s="88" t="s">
        <v>544</v>
      </c>
      <c r="B849" s="88"/>
      <c r="C849" s="88"/>
      <c r="D849" s="88"/>
      <c r="E849" s="88"/>
      <c r="F849" s="90">
        <v>1925611756</v>
      </c>
    </row>
    <row r="850" spans="1:6">
      <c r="A850" s="88" t="s">
        <v>252</v>
      </c>
      <c r="B850" s="88" t="s">
        <v>252</v>
      </c>
      <c r="C850" s="88" t="s">
        <v>252</v>
      </c>
      <c r="D850" s="88" t="s">
        <v>252</v>
      </c>
      <c r="E850" s="88" t="s">
        <v>252</v>
      </c>
      <c r="F850" s="90"/>
    </row>
    <row r="851" spans="1:6">
      <c r="A851" s="88"/>
      <c r="B851" s="88" t="s">
        <v>545</v>
      </c>
      <c r="C851" s="88"/>
      <c r="D851" s="88"/>
      <c r="E851" s="88"/>
      <c r="F851" s="90"/>
    </row>
    <row r="852" spans="1:6">
      <c r="A852" s="88" t="s">
        <v>546</v>
      </c>
      <c r="B852" s="88"/>
      <c r="C852" s="88"/>
      <c r="D852" s="88"/>
      <c r="E852" s="88"/>
      <c r="F852" s="90"/>
    </row>
    <row r="853" spans="1:6">
      <c r="A853" s="88" t="s">
        <v>14</v>
      </c>
      <c r="B853" s="88" t="s">
        <v>6</v>
      </c>
      <c r="C853" s="88" t="s">
        <v>7</v>
      </c>
      <c r="D853" s="88" t="s">
        <v>12</v>
      </c>
      <c r="E853" s="88" t="s">
        <v>13</v>
      </c>
      <c r="F853" s="90">
        <v>3500000</v>
      </c>
    </row>
    <row r="854" spans="1:6">
      <c r="A854" s="88"/>
      <c r="B854" s="88" t="s">
        <v>455</v>
      </c>
      <c r="C854" s="88"/>
      <c r="D854" s="88"/>
      <c r="E854" s="88"/>
      <c r="F854" s="90">
        <v>3500000</v>
      </c>
    </row>
    <row r="855" spans="1:6">
      <c r="A855" s="88"/>
      <c r="B855" s="88" t="s">
        <v>324</v>
      </c>
      <c r="C855" s="88" t="s">
        <v>325</v>
      </c>
      <c r="D855" s="88" t="s">
        <v>326</v>
      </c>
      <c r="E855" s="88" t="s">
        <v>33</v>
      </c>
      <c r="F855" s="90">
        <v>3790640</v>
      </c>
    </row>
    <row r="856" spans="1:6">
      <c r="A856" s="88"/>
      <c r="B856" s="88" t="s">
        <v>462</v>
      </c>
      <c r="C856" s="88"/>
      <c r="D856" s="88"/>
      <c r="E856" s="88"/>
      <c r="F856" s="90">
        <v>3790640</v>
      </c>
    </row>
    <row r="857" spans="1:6">
      <c r="A857" s="88"/>
      <c r="B857" s="88" t="s">
        <v>343</v>
      </c>
      <c r="C857" s="88" t="s">
        <v>344</v>
      </c>
      <c r="D857" s="88" t="s">
        <v>345</v>
      </c>
      <c r="E857" s="88" t="s">
        <v>18</v>
      </c>
      <c r="F857" s="90">
        <v>100000</v>
      </c>
    </row>
    <row r="858" spans="1:6">
      <c r="A858" s="88"/>
      <c r="B858" s="88" t="s">
        <v>343</v>
      </c>
      <c r="C858" s="88"/>
      <c r="D858" s="88"/>
      <c r="E858" s="88" t="s">
        <v>13</v>
      </c>
      <c r="F858" s="90">
        <v>1001000</v>
      </c>
    </row>
    <row r="859" spans="1:6">
      <c r="A859" s="88"/>
      <c r="B859" s="88" t="s">
        <v>343</v>
      </c>
      <c r="C859" s="88"/>
      <c r="D859" s="88"/>
      <c r="E859" s="88" t="s">
        <v>24</v>
      </c>
      <c r="F859" s="90">
        <v>1858000</v>
      </c>
    </row>
    <row r="860" spans="1:6">
      <c r="A860" s="88"/>
      <c r="B860" s="88" t="s">
        <v>343</v>
      </c>
      <c r="C860" s="88"/>
      <c r="D860" s="88"/>
      <c r="E860" s="88" t="s">
        <v>346</v>
      </c>
      <c r="F860" s="90">
        <v>1199968</v>
      </c>
    </row>
    <row r="861" spans="1:6">
      <c r="A861" s="88"/>
      <c r="B861" s="88" t="s">
        <v>343</v>
      </c>
      <c r="C861" s="88"/>
      <c r="D861" s="88"/>
      <c r="E861" s="88" t="s">
        <v>112</v>
      </c>
      <c r="F861" s="90">
        <v>600000</v>
      </c>
    </row>
    <row r="862" spans="1:6">
      <c r="A862" s="88"/>
      <c r="B862" s="88" t="s">
        <v>343</v>
      </c>
      <c r="C862" s="88"/>
      <c r="D862" s="88"/>
      <c r="E862" s="88" t="s">
        <v>155</v>
      </c>
      <c r="F862" s="90">
        <v>3202000</v>
      </c>
    </row>
    <row r="863" spans="1:6">
      <c r="A863" s="88"/>
      <c r="B863" s="88" t="s">
        <v>343</v>
      </c>
      <c r="C863" s="88"/>
      <c r="D863" s="88" t="s">
        <v>326</v>
      </c>
      <c r="E863" s="88" t="s">
        <v>33</v>
      </c>
      <c r="F863" s="90">
        <v>2255377</v>
      </c>
    </row>
    <row r="864" spans="1:6">
      <c r="A864" s="88"/>
      <c r="B864" s="88" t="s">
        <v>430</v>
      </c>
      <c r="C864" s="88"/>
      <c r="D864" s="88"/>
      <c r="E864" s="88"/>
      <c r="F864" s="90">
        <v>10216345</v>
      </c>
    </row>
    <row r="865" spans="1:6">
      <c r="A865" s="88"/>
      <c r="B865" s="88" t="s">
        <v>347</v>
      </c>
      <c r="C865" s="88" t="s">
        <v>348</v>
      </c>
      <c r="D865" s="88" t="s">
        <v>326</v>
      </c>
      <c r="E865" s="88" t="s">
        <v>33</v>
      </c>
      <c r="F865" s="90">
        <v>3239320</v>
      </c>
    </row>
    <row r="866" spans="1:6">
      <c r="A866" s="88"/>
      <c r="B866" s="88" t="s">
        <v>441</v>
      </c>
      <c r="C866" s="88"/>
      <c r="D866" s="88"/>
      <c r="E866" s="88"/>
      <c r="F866" s="90">
        <v>3239320</v>
      </c>
    </row>
    <row r="867" spans="1:6">
      <c r="A867" s="88"/>
      <c r="B867" s="88" t="s">
        <v>377</v>
      </c>
      <c r="C867" s="88" t="s">
        <v>378</v>
      </c>
      <c r="D867" s="88" t="s">
        <v>379</v>
      </c>
      <c r="E867" s="88" t="s">
        <v>13</v>
      </c>
      <c r="F867" s="90">
        <v>3000000</v>
      </c>
    </row>
    <row r="868" spans="1:6">
      <c r="A868" s="88"/>
      <c r="B868" s="88" t="s">
        <v>377</v>
      </c>
      <c r="C868" s="88"/>
      <c r="D868" s="88"/>
      <c r="E868" s="88" t="s">
        <v>44</v>
      </c>
      <c r="F868" s="90">
        <v>3800000</v>
      </c>
    </row>
    <row r="869" spans="1:6">
      <c r="A869" s="88"/>
      <c r="B869" s="88" t="s">
        <v>377</v>
      </c>
      <c r="C869" s="88"/>
      <c r="D869" s="88"/>
      <c r="E869" s="88" t="s">
        <v>26</v>
      </c>
      <c r="F869" s="90">
        <v>3150000</v>
      </c>
    </row>
    <row r="870" spans="1:6">
      <c r="A870" s="88"/>
      <c r="B870" s="88" t="s">
        <v>377</v>
      </c>
      <c r="C870" s="88"/>
      <c r="D870" s="88"/>
      <c r="E870" s="88" t="s">
        <v>380</v>
      </c>
      <c r="F870" s="90">
        <v>900000</v>
      </c>
    </row>
    <row r="871" spans="1:6">
      <c r="A871" s="88"/>
      <c r="B871" s="88" t="s">
        <v>377</v>
      </c>
      <c r="C871" s="88"/>
      <c r="D871" s="88" t="s">
        <v>381</v>
      </c>
      <c r="E871" s="88" t="s">
        <v>18</v>
      </c>
      <c r="F871" s="90">
        <v>900000</v>
      </c>
    </row>
    <row r="872" spans="1:6">
      <c r="A872" s="88"/>
      <c r="B872" s="88" t="s">
        <v>377</v>
      </c>
      <c r="C872" s="88"/>
      <c r="D872" s="88"/>
      <c r="E872" s="88" t="s">
        <v>26</v>
      </c>
      <c r="F872" s="90">
        <v>2000000</v>
      </c>
    </row>
    <row r="873" spans="1:6">
      <c r="A873" s="88"/>
      <c r="B873" s="88" t="s">
        <v>547</v>
      </c>
      <c r="C873" s="88"/>
      <c r="D873" s="88"/>
      <c r="E873" s="88"/>
      <c r="F873" s="90">
        <v>13750000</v>
      </c>
    </row>
    <row r="874" spans="1:6">
      <c r="A874" s="88" t="s">
        <v>548</v>
      </c>
      <c r="B874" s="88"/>
      <c r="C874" s="88"/>
      <c r="D874" s="88"/>
      <c r="E874" s="88"/>
      <c r="F874" s="90">
        <v>34496305</v>
      </c>
    </row>
    <row r="875" spans="1:6">
      <c r="A875" s="88" t="s">
        <v>404</v>
      </c>
      <c r="B875" s="88"/>
      <c r="C875" s="88"/>
      <c r="D875" s="88"/>
      <c r="E875" s="88"/>
      <c r="F875" s="90">
        <v>8561365747.25</v>
      </c>
    </row>
  </sheetData>
  <autoFilter xmlns:etc="http://www.wps.cn/officeDocument/2017/etCustomData" ref="A3:F88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762"/>
  <sheetViews>
    <sheetView topLeftCell="A736" workbookViewId="0">
      <selection activeCell="F744" sqref="F744"/>
    </sheetView>
  </sheetViews>
  <sheetFormatPr defaultColWidth="9" defaultRowHeight="15" outlineLevelCol="5"/>
  <cols>
    <col min="1" max="1" width="30.1428571428571"/>
    <col min="2" max="2" width="33.8095238095238"/>
    <col min="3" max="3" width="14"/>
    <col min="4" max="4" width="11.8095238095238"/>
    <col min="5" max="5" width="10"/>
    <col min="6" max="6" width="27.5714285714286"/>
  </cols>
  <sheetData>
    <row r="3" spans="1:6">
      <c r="A3" s="88" t="s">
        <v>0</v>
      </c>
      <c r="B3" s="88" t="s">
        <v>405</v>
      </c>
      <c r="C3" s="88" t="s">
        <v>1</v>
      </c>
      <c r="D3" s="88" t="s">
        <v>2</v>
      </c>
      <c r="E3" s="88" t="s">
        <v>4</v>
      </c>
      <c r="F3" s="88" t="s">
        <v>5</v>
      </c>
    </row>
    <row r="4" spans="1:6">
      <c r="A4" s="88" t="s">
        <v>9</v>
      </c>
      <c r="B4" s="88" t="s">
        <v>6</v>
      </c>
      <c r="C4" s="88" t="s">
        <v>7</v>
      </c>
      <c r="D4" s="88" t="s">
        <v>8</v>
      </c>
      <c r="E4" s="88" t="s">
        <v>10</v>
      </c>
      <c r="F4" s="90">
        <v>4644000</v>
      </c>
    </row>
    <row r="5" spans="1:6">
      <c r="A5" s="88"/>
      <c r="B5" s="88" t="s">
        <v>159</v>
      </c>
      <c r="C5" s="88" t="s">
        <v>160</v>
      </c>
      <c r="D5" s="88" t="s">
        <v>161</v>
      </c>
      <c r="E5" s="88" t="s">
        <v>53</v>
      </c>
      <c r="F5" s="90">
        <v>6642000</v>
      </c>
    </row>
    <row r="6" spans="1:6">
      <c r="A6" s="88"/>
      <c r="B6" s="88" t="s">
        <v>225</v>
      </c>
      <c r="C6" s="88" t="s">
        <v>226</v>
      </c>
      <c r="D6" s="88" t="s">
        <v>161</v>
      </c>
      <c r="E6" s="88" t="s">
        <v>53</v>
      </c>
      <c r="F6" s="90">
        <v>6642000</v>
      </c>
    </row>
    <row r="7" spans="1:6">
      <c r="A7" s="88" t="s">
        <v>549</v>
      </c>
      <c r="B7" s="88"/>
      <c r="C7" s="88"/>
      <c r="D7" s="88"/>
      <c r="E7" s="88"/>
      <c r="F7" s="90">
        <v>17928000</v>
      </c>
    </row>
    <row r="8" spans="1:6">
      <c r="A8" s="88" t="s">
        <v>18</v>
      </c>
      <c r="B8" s="88" t="s">
        <v>15</v>
      </c>
      <c r="C8" s="88" t="s">
        <v>16</v>
      </c>
      <c r="D8" s="88" t="s">
        <v>17</v>
      </c>
      <c r="E8" s="88" t="s">
        <v>19</v>
      </c>
      <c r="F8" s="90">
        <v>15147500</v>
      </c>
    </row>
    <row r="9" spans="1:6">
      <c r="A9" s="88"/>
      <c r="B9" s="88" t="s">
        <v>40</v>
      </c>
      <c r="C9" s="88" t="s">
        <v>41</v>
      </c>
      <c r="D9" s="88" t="s">
        <v>42</v>
      </c>
      <c r="E9" s="88" t="s">
        <v>43</v>
      </c>
      <c r="F9" s="90">
        <v>48500000</v>
      </c>
    </row>
    <row r="10" spans="1:6">
      <c r="A10" s="88"/>
      <c r="B10" s="88" t="s">
        <v>70</v>
      </c>
      <c r="C10" s="88" t="s">
        <v>71</v>
      </c>
      <c r="D10" s="88" t="s">
        <v>72</v>
      </c>
      <c r="E10" s="88" t="s">
        <v>31</v>
      </c>
      <c r="F10" s="90">
        <v>8500000</v>
      </c>
    </row>
    <row r="11" spans="1:6">
      <c r="A11" s="88"/>
      <c r="B11" s="88" t="s">
        <v>85</v>
      </c>
      <c r="C11" s="88" t="s">
        <v>86</v>
      </c>
      <c r="D11" s="88" t="s">
        <v>87</v>
      </c>
      <c r="E11" s="88" t="s">
        <v>53</v>
      </c>
      <c r="F11" s="90">
        <v>2750000</v>
      </c>
    </row>
    <row r="12" spans="1:6">
      <c r="A12" s="88"/>
      <c r="B12" s="88" t="s">
        <v>101</v>
      </c>
      <c r="C12" s="88" t="s">
        <v>102</v>
      </c>
      <c r="D12" s="88" t="s">
        <v>103</v>
      </c>
      <c r="E12" s="88" t="s">
        <v>43</v>
      </c>
      <c r="F12" s="90">
        <v>1950000</v>
      </c>
    </row>
    <row r="13" spans="1:6">
      <c r="A13" s="88"/>
      <c r="B13" s="88" t="s">
        <v>137</v>
      </c>
      <c r="C13" s="88" t="s">
        <v>138</v>
      </c>
      <c r="D13" s="88" t="s">
        <v>42</v>
      </c>
      <c r="E13" s="88" t="s">
        <v>43</v>
      </c>
      <c r="F13" s="90">
        <v>9500000</v>
      </c>
    </row>
    <row r="14" spans="1:6">
      <c r="A14" s="88"/>
      <c r="B14" s="88" t="s">
        <v>139</v>
      </c>
      <c r="C14" s="88" t="s">
        <v>140</v>
      </c>
      <c r="D14" s="88" t="s">
        <v>141</v>
      </c>
      <c r="E14" s="88" t="s">
        <v>43</v>
      </c>
      <c r="F14" s="90">
        <v>14750000</v>
      </c>
    </row>
    <row r="15" spans="1:6">
      <c r="A15" s="88"/>
      <c r="B15" s="88" t="s">
        <v>145</v>
      </c>
      <c r="C15" s="88" t="s">
        <v>146</v>
      </c>
      <c r="D15" s="88" t="s">
        <v>141</v>
      </c>
      <c r="E15" s="88" t="s">
        <v>43</v>
      </c>
      <c r="F15" s="90">
        <v>14750000</v>
      </c>
    </row>
    <row r="16" spans="1:6">
      <c r="A16" s="88"/>
      <c r="B16" s="88" t="s">
        <v>147</v>
      </c>
      <c r="C16" s="88" t="s">
        <v>148</v>
      </c>
      <c r="D16" s="88" t="s">
        <v>151</v>
      </c>
      <c r="E16" s="88" t="s">
        <v>53</v>
      </c>
      <c r="F16" s="90">
        <v>2220000</v>
      </c>
    </row>
    <row r="17" spans="1:6">
      <c r="A17" s="88"/>
      <c r="B17" s="88" t="s">
        <v>156</v>
      </c>
      <c r="C17" s="88" t="s">
        <v>157</v>
      </c>
      <c r="D17" s="88" t="s">
        <v>158</v>
      </c>
      <c r="E17" s="88" t="s">
        <v>53</v>
      </c>
      <c r="F17" s="90">
        <v>20500000</v>
      </c>
    </row>
    <row r="18" spans="1:6">
      <c r="A18" s="88"/>
      <c r="B18" s="88" t="s">
        <v>166</v>
      </c>
      <c r="C18" s="88" t="s">
        <v>167</v>
      </c>
      <c r="D18" s="88" t="s">
        <v>72</v>
      </c>
      <c r="E18" s="88" t="s">
        <v>31</v>
      </c>
      <c r="F18" s="90">
        <v>8500000</v>
      </c>
    </row>
    <row r="19" spans="1:6">
      <c r="A19" s="88"/>
      <c r="B19" s="88" t="s">
        <v>172</v>
      </c>
      <c r="C19" s="88" t="s">
        <v>173</v>
      </c>
      <c r="D19" s="88" t="s">
        <v>103</v>
      </c>
      <c r="E19" s="88" t="s">
        <v>43</v>
      </c>
      <c r="F19" s="90">
        <v>1950000</v>
      </c>
    </row>
    <row r="20" spans="1:6">
      <c r="A20" s="88"/>
      <c r="B20" s="88" t="s">
        <v>192</v>
      </c>
      <c r="C20" s="88" t="s">
        <v>193</v>
      </c>
      <c r="D20" s="88" t="s">
        <v>176</v>
      </c>
      <c r="E20" s="88" t="s">
        <v>53</v>
      </c>
      <c r="F20" s="90">
        <v>2500000</v>
      </c>
    </row>
    <row r="21" spans="1:6">
      <c r="A21" s="88"/>
      <c r="B21" s="88" t="s">
        <v>198</v>
      </c>
      <c r="C21" s="88" t="s">
        <v>199</v>
      </c>
      <c r="D21" s="88" t="s">
        <v>200</v>
      </c>
      <c r="E21" s="88" t="s">
        <v>31</v>
      </c>
      <c r="F21" s="90">
        <v>10000000</v>
      </c>
    </row>
    <row r="22" spans="1:6">
      <c r="A22" s="88"/>
      <c r="B22" s="88" t="s">
        <v>206</v>
      </c>
      <c r="C22" s="88" t="s">
        <v>207</v>
      </c>
      <c r="D22" s="88" t="s">
        <v>208</v>
      </c>
      <c r="E22" s="88" t="s">
        <v>19</v>
      </c>
      <c r="F22" s="90">
        <v>1000000</v>
      </c>
    </row>
    <row r="23" spans="1:6">
      <c r="A23" s="88"/>
      <c r="B23" s="88" t="s">
        <v>209</v>
      </c>
      <c r="C23" s="88" t="s">
        <v>210</v>
      </c>
      <c r="D23" s="88" t="s">
        <v>211</v>
      </c>
      <c r="E23" s="88" t="s">
        <v>43</v>
      </c>
      <c r="F23" s="90">
        <v>1500000</v>
      </c>
    </row>
    <row r="24" spans="1:6">
      <c r="A24" s="88"/>
      <c r="B24" s="88" t="s">
        <v>212</v>
      </c>
      <c r="C24" s="88" t="s">
        <v>213</v>
      </c>
      <c r="D24" s="88" t="s">
        <v>214</v>
      </c>
      <c r="E24" s="88" t="s">
        <v>215</v>
      </c>
      <c r="F24" s="90">
        <v>600000</v>
      </c>
    </row>
    <row r="25" spans="1:6">
      <c r="A25" s="88"/>
      <c r="B25" s="88" t="s">
        <v>219</v>
      </c>
      <c r="C25" s="88" t="s">
        <v>220</v>
      </c>
      <c r="D25" s="88" t="s">
        <v>208</v>
      </c>
      <c r="E25" s="88" t="s">
        <v>19</v>
      </c>
      <c r="F25" s="90">
        <v>11250000</v>
      </c>
    </row>
    <row r="26" spans="1:6">
      <c r="A26" s="88"/>
      <c r="B26" s="88" t="s">
        <v>221</v>
      </c>
      <c r="C26" s="88" t="s">
        <v>222</v>
      </c>
      <c r="D26" s="88" t="s">
        <v>223</v>
      </c>
      <c r="E26" s="88" t="s">
        <v>43</v>
      </c>
      <c r="F26" s="90">
        <v>5000000</v>
      </c>
    </row>
    <row r="27" spans="1:6">
      <c r="A27" s="88"/>
      <c r="B27" s="88" t="s">
        <v>225</v>
      </c>
      <c r="C27" s="88" t="s">
        <v>226</v>
      </c>
      <c r="D27" s="88" t="s">
        <v>161</v>
      </c>
      <c r="E27" s="88" t="s">
        <v>53</v>
      </c>
      <c r="F27" s="90">
        <v>82000</v>
      </c>
    </row>
    <row r="28" spans="1:6">
      <c r="A28" s="88"/>
      <c r="B28" s="88" t="s">
        <v>228</v>
      </c>
      <c r="C28" s="88" t="s">
        <v>229</v>
      </c>
      <c r="D28" s="88" t="s">
        <v>230</v>
      </c>
      <c r="E28" s="88" t="s">
        <v>19</v>
      </c>
      <c r="F28" s="90">
        <v>1000000</v>
      </c>
    </row>
    <row r="29" spans="1:6">
      <c r="A29" s="88"/>
      <c r="B29" s="88" t="s">
        <v>232</v>
      </c>
      <c r="C29" s="88" t="s">
        <v>233</v>
      </c>
      <c r="D29" s="88" t="s">
        <v>234</v>
      </c>
      <c r="E29" s="88" t="s">
        <v>31</v>
      </c>
      <c r="F29" s="90">
        <v>12500000</v>
      </c>
    </row>
    <row r="30" spans="1:6">
      <c r="A30" s="88"/>
      <c r="B30" s="88" t="s">
        <v>235</v>
      </c>
      <c r="C30" s="88" t="s">
        <v>236</v>
      </c>
      <c r="D30" s="88" t="s">
        <v>151</v>
      </c>
      <c r="E30" s="88" t="s">
        <v>53</v>
      </c>
      <c r="F30" s="90">
        <v>2220000</v>
      </c>
    </row>
    <row r="31" spans="1:6">
      <c r="A31" s="88"/>
      <c r="B31" s="88" t="s">
        <v>237</v>
      </c>
      <c r="C31" s="88" t="s">
        <v>238</v>
      </c>
      <c r="D31" s="88" t="s">
        <v>200</v>
      </c>
      <c r="E31" s="88" t="s">
        <v>31</v>
      </c>
      <c r="F31" s="90">
        <v>10000000</v>
      </c>
    </row>
    <row r="32" spans="1:6">
      <c r="A32" s="88"/>
      <c r="B32" s="88" t="s">
        <v>239</v>
      </c>
      <c r="C32" s="88" t="s">
        <v>240</v>
      </c>
      <c r="D32" s="88" t="s">
        <v>234</v>
      </c>
      <c r="E32" s="88" t="s">
        <v>31</v>
      </c>
      <c r="F32" s="90">
        <v>12500000</v>
      </c>
    </row>
    <row r="33" spans="1:6">
      <c r="A33" s="88"/>
      <c r="B33" s="88" t="s">
        <v>241</v>
      </c>
      <c r="C33" s="88" t="s">
        <v>242</v>
      </c>
      <c r="D33" s="88" t="s">
        <v>37</v>
      </c>
      <c r="E33" s="88" t="s">
        <v>31</v>
      </c>
      <c r="F33" s="90">
        <v>7500000</v>
      </c>
    </row>
    <row r="34" spans="1:6">
      <c r="A34" s="88"/>
      <c r="B34" s="88" t="s">
        <v>243</v>
      </c>
      <c r="C34" s="88" t="s">
        <v>244</v>
      </c>
      <c r="D34" s="88" t="s">
        <v>37</v>
      </c>
      <c r="E34" s="88" t="s">
        <v>31</v>
      </c>
      <c r="F34" s="90">
        <v>7500000</v>
      </c>
    </row>
    <row r="35" spans="1:6">
      <c r="A35" s="88"/>
      <c r="B35" s="88" t="s">
        <v>245</v>
      </c>
      <c r="C35" s="88" t="s">
        <v>246</v>
      </c>
      <c r="D35" s="88" t="s">
        <v>91</v>
      </c>
      <c r="E35" s="88" t="s">
        <v>19</v>
      </c>
      <c r="F35" s="90">
        <v>13250000</v>
      </c>
    </row>
    <row r="36" spans="1:6">
      <c r="A36" s="88"/>
      <c r="B36" s="88" t="s">
        <v>264</v>
      </c>
      <c r="C36" s="88" t="s">
        <v>265</v>
      </c>
      <c r="D36" s="88" t="s">
        <v>266</v>
      </c>
      <c r="E36" s="88" t="s">
        <v>43</v>
      </c>
      <c r="F36" s="90">
        <v>5750000</v>
      </c>
    </row>
    <row r="37" spans="1:6">
      <c r="A37" s="88"/>
      <c r="B37" s="88" t="s">
        <v>268</v>
      </c>
      <c r="C37" s="88" t="s">
        <v>269</v>
      </c>
      <c r="D37" s="88" t="s">
        <v>270</v>
      </c>
      <c r="E37" s="88" t="s">
        <v>19</v>
      </c>
      <c r="F37" s="90">
        <v>18500000</v>
      </c>
    </row>
    <row r="38" spans="1:6">
      <c r="A38" s="88"/>
      <c r="B38" s="88" t="s">
        <v>271</v>
      </c>
      <c r="C38" s="88" t="s">
        <v>272</v>
      </c>
      <c r="D38" s="88" t="s">
        <v>270</v>
      </c>
      <c r="E38" s="88" t="s">
        <v>19</v>
      </c>
      <c r="F38" s="90">
        <v>18500000</v>
      </c>
    </row>
    <row r="39" spans="1:6">
      <c r="A39" s="88"/>
      <c r="B39" s="88" t="s">
        <v>273</v>
      </c>
      <c r="C39" s="88" t="s">
        <v>274</v>
      </c>
      <c r="D39" s="88" t="s">
        <v>275</v>
      </c>
      <c r="E39" s="88" t="s">
        <v>53</v>
      </c>
      <c r="F39" s="90">
        <v>1500000</v>
      </c>
    </row>
    <row r="40" spans="1:6">
      <c r="A40" s="88"/>
      <c r="B40" s="88"/>
      <c r="C40" s="88"/>
      <c r="D40" s="88" t="s">
        <v>276</v>
      </c>
      <c r="E40" s="88" t="s">
        <v>53</v>
      </c>
      <c r="F40" s="90">
        <v>1500000</v>
      </c>
    </row>
    <row r="41" spans="1:6">
      <c r="A41" s="88"/>
      <c r="B41" s="88" t="s">
        <v>277</v>
      </c>
      <c r="C41" s="88" t="s">
        <v>278</v>
      </c>
      <c r="D41" s="88" t="s">
        <v>158</v>
      </c>
      <c r="E41" s="88" t="s">
        <v>53</v>
      </c>
      <c r="F41" s="90">
        <v>20500000</v>
      </c>
    </row>
    <row r="42" spans="1:6">
      <c r="A42" s="88"/>
      <c r="B42" s="88" t="s">
        <v>281</v>
      </c>
      <c r="C42" s="88" t="s">
        <v>282</v>
      </c>
      <c r="D42" s="88" t="s">
        <v>119</v>
      </c>
      <c r="E42" s="88" t="s">
        <v>53</v>
      </c>
      <c r="F42" s="90">
        <v>2000000</v>
      </c>
    </row>
    <row r="43" spans="1:6">
      <c r="A43" s="88"/>
      <c r="B43" s="88" t="s">
        <v>284</v>
      </c>
      <c r="C43" s="88" t="s">
        <v>285</v>
      </c>
      <c r="D43" s="88" t="s">
        <v>286</v>
      </c>
      <c r="E43" s="88" t="s">
        <v>53</v>
      </c>
      <c r="F43" s="90">
        <v>7225000</v>
      </c>
    </row>
    <row r="44" spans="1:6">
      <c r="A44" s="88"/>
      <c r="B44" s="88" t="s">
        <v>291</v>
      </c>
      <c r="C44" s="88" t="s">
        <v>292</v>
      </c>
      <c r="D44" s="88" t="s">
        <v>293</v>
      </c>
      <c r="E44" s="88" t="s">
        <v>53</v>
      </c>
      <c r="F44" s="90">
        <v>8700000</v>
      </c>
    </row>
    <row r="45" spans="1:6">
      <c r="A45" s="88"/>
      <c r="B45" s="88" t="s">
        <v>294</v>
      </c>
      <c r="C45" s="88" t="s">
        <v>295</v>
      </c>
      <c r="D45" s="88" t="s">
        <v>293</v>
      </c>
      <c r="E45" s="88" t="s">
        <v>53</v>
      </c>
      <c r="F45" s="90">
        <v>8700000</v>
      </c>
    </row>
    <row r="46" spans="1:6">
      <c r="A46" s="88"/>
      <c r="B46" s="88" t="s">
        <v>296</v>
      </c>
      <c r="C46" s="88" t="s">
        <v>297</v>
      </c>
      <c r="D46" s="88" t="s">
        <v>223</v>
      </c>
      <c r="E46" s="88" t="s">
        <v>43</v>
      </c>
      <c r="F46" s="90">
        <v>5000000</v>
      </c>
    </row>
    <row r="47" spans="1:6">
      <c r="A47" s="88"/>
      <c r="B47" s="88" t="s">
        <v>298</v>
      </c>
      <c r="C47" s="88" t="s">
        <v>299</v>
      </c>
      <c r="D47" s="88" t="s">
        <v>300</v>
      </c>
      <c r="E47" s="88" t="s">
        <v>53</v>
      </c>
      <c r="F47" s="90">
        <v>9350000</v>
      </c>
    </row>
    <row r="48" spans="1:6">
      <c r="A48" s="88"/>
      <c r="B48" s="88" t="s">
        <v>301</v>
      </c>
      <c r="C48" s="88" t="s">
        <v>302</v>
      </c>
      <c r="D48" s="88" t="s">
        <v>300</v>
      </c>
      <c r="E48" s="88" t="s">
        <v>53</v>
      </c>
      <c r="F48" s="90">
        <v>9350000</v>
      </c>
    </row>
    <row r="49" spans="1:6">
      <c r="A49" s="88"/>
      <c r="B49" s="88" t="s">
        <v>303</v>
      </c>
      <c r="C49" s="88" t="s">
        <v>304</v>
      </c>
      <c r="D49" s="88" t="s">
        <v>275</v>
      </c>
      <c r="E49" s="88" t="s">
        <v>53</v>
      </c>
      <c r="F49" s="90">
        <v>1500000</v>
      </c>
    </row>
    <row r="50" spans="1:6">
      <c r="A50" s="88"/>
      <c r="B50" s="88"/>
      <c r="C50" s="88"/>
      <c r="D50" s="88" t="s">
        <v>276</v>
      </c>
      <c r="E50" s="88" t="s">
        <v>53</v>
      </c>
      <c r="F50" s="90">
        <v>1500000</v>
      </c>
    </row>
    <row r="51" spans="1:6">
      <c r="A51" s="88"/>
      <c r="B51" s="88" t="s">
        <v>305</v>
      </c>
      <c r="C51" s="88" t="s">
        <v>306</v>
      </c>
      <c r="D51" s="88" t="s">
        <v>87</v>
      </c>
      <c r="E51" s="88" t="s">
        <v>53</v>
      </c>
      <c r="F51" s="90">
        <v>2750000</v>
      </c>
    </row>
    <row r="52" spans="1:6">
      <c r="A52" s="88"/>
      <c r="B52" s="88" t="s">
        <v>307</v>
      </c>
      <c r="C52" s="88" t="s">
        <v>308</v>
      </c>
      <c r="D52" s="88" t="s">
        <v>119</v>
      </c>
      <c r="E52" s="88" t="s">
        <v>53</v>
      </c>
      <c r="F52" s="90">
        <v>7500000</v>
      </c>
    </row>
    <row r="53" spans="1:6">
      <c r="A53" s="88"/>
      <c r="B53" s="88" t="s">
        <v>310</v>
      </c>
      <c r="C53" s="88" t="s">
        <v>311</v>
      </c>
      <c r="D53" s="88" t="s">
        <v>119</v>
      </c>
      <c r="E53" s="88" t="s">
        <v>53</v>
      </c>
      <c r="F53" s="90">
        <v>7500000</v>
      </c>
    </row>
    <row r="54" spans="1:6">
      <c r="A54" s="88"/>
      <c r="B54" s="88" t="s">
        <v>312</v>
      </c>
      <c r="C54" s="88" t="s">
        <v>313</v>
      </c>
      <c r="D54" s="88" t="s">
        <v>205</v>
      </c>
      <c r="E54" s="88" t="s">
        <v>53</v>
      </c>
      <c r="F54" s="90">
        <v>16400000</v>
      </c>
    </row>
    <row r="55" spans="1:6">
      <c r="A55" s="88"/>
      <c r="B55" s="88" t="s">
        <v>314</v>
      </c>
      <c r="C55" s="88" t="s">
        <v>315</v>
      </c>
      <c r="D55" s="88" t="s">
        <v>205</v>
      </c>
      <c r="E55" s="88" t="s">
        <v>53</v>
      </c>
      <c r="F55" s="90">
        <v>16400000</v>
      </c>
    </row>
    <row r="56" spans="1:6">
      <c r="A56" s="88"/>
      <c r="B56" s="88" t="s">
        <v>316</v>
      </c>
      <c r="C56" s="88" t="s">
        <v>317</v>
      </c>
      <c r="D56" s="88" t="s">
        <v>211</v>
      </c>
      <c r="E56" s="88" t="s">
        <v>43</v>
      </c>
      <c r="F56" s="90">
        <v>1500000</v>
      </c>
    </row>
    <row r="57" spans="1:6">
      <c r="A57" s="88"/>
      <c r="B57" s="88" t="s">
        <v>321</v>
      </c>
      <c r="C57" s="88" t="s">
        <v>322</v>
      </c>
      <c r="D57" s="88" t="s">
        <v>323</v>
      </c>
      <c r="E57" s="88" t="s">
        <v>59</v>
      </c>
      <c r="F57" s="90">
        <v>360000</v>
      </c>
    </row>
    <row r="58" spans="1:6">
      <c r="A58" s="88"/>
      <c r="B58" s="88" t="s">
        <v>333</v>
      </c>
      <c r="C58" s="88" t="s">
        <v>334</v>
      </c>
      <c r="D58" s="88" t="s">
        <v>42</v>
      </c>
      <c r="E58" s="88" t="s">
        <v>43</v>
      </c>
      <c r="F58" s="90">
        <v>39000000</v>
      </c>
    </row>
    <row r="59" spans="1:6">
      <c r="A59" s="88"/>
      <c r="B59" s="88" t="s">
        <v>335</v>
      </c>
      <c r="C59" s="88" t="s">
        <v>336</v>
      </c>
      <c r="D59" s="88" t="s">
        <v>286</v>
      </c>
      <c r="E59" s="88" t="s">
        <v>53</v>
      </c>
      <c r="F59" s="90">
        <v>7225000</v>
      </c>
    </row>
    <row r="60" spans="1:6">
      <c r="A60" s="88"/>
      <c r="B60" s="88" t="s">
        <v>337</v>
      </c>
      <c r="C60" s="88" t="s">
        <v>338</v>
      </c>
      <c r="D60" s="88" t="s">
        <v>283</v>
      </c>
      <c r="E60" s="88" t="s">
        <v>19</v>
      </c>
      <c r="F60" s="90">
        <v>10500000</v>
      </c>
    </row>
    <row r="61" spans="1:6">
      <c r="A61" s="88"/>
      <c r="B61" s="88" t="s">
        <v>339</v>
      </c>
      <c r="C61" s="88" t="s">
        <v>340</v>
      </c>
      <c r="D61" s="88" t="s">
        <v>283</v>
      </c>
      <c r="E61" s="88" t="s">
        <v>19</v>
      </c>
      <c r="F61" s="90">
        <v>10500000</v>
      </c>
    </row>
    <row r="62" spans="1:6">
      <c r="A62" s="88"/>
      <c r="B62" s="88" t="s">
        <v>341</v>
      </c>
      <c r="C62" s="88" t="s">
        <v>342</v>
      </c>
      <c r="D62" s="88" t="s">
        <v>17</v>
      </c>
      <c r="E62" s="88" t="s">
        <v>19</v>
      </c>
      <c r="F62" s="90">
        <v>15147500</v>
      </c>
    </row>
    <row r="63" spans="1:6">
      <c r="A63" s="88"/>
      <c r="B63" s="88" t="s">
        <v>343</v>
      </c>
      <c r="C63" s="88" t="s">
        <v>344</v>
      </c>
      <c r="D63" s="88" t="s">
        <v>345</v>
      </c>
      <c r="E63" s="88" t="s">
        <v>14</v>
      </c>
      <c r="F63" s="90">
        <v>100000</v>
      </c>
    </row>
    <row r="64" spans="1:6">
      <c r="A64" s="88"/>
      <c r="B64" s="88" t="s">
        <v>354</v>
      </c>
      <c r="C64" s="88" t="s">
        <v>355</v>
      </c>
      <c r="D64" s="88" t="s">
        <v>176</v>
      </c>
      <c r="E64" s="88" t="s">
        <v>53</v>
      </c>
      <c r="F64" s="90">
        <v>2500000</v>
      </c>
    </row>
    <row r="65" spans="1:6">
      <c r="A65" s="88"/>
      <c r="B65" s="88" t="s">
        <v>356</v>
      </c>
      <c r="C65" s="88" t="s">
        <v>357</v>
      </c>
      <c r="D65" s="88" t="s">
        <v>358</v>
      </c>
      <c r="E65" s="88" t="s">
        <v>135</v>
      </c>
      <c r="F65" s="90">
        <v>500000</v>
      </c>
    </row>
    <row r="66" spans="1:6">
      <c r="A66" s="88"/>
      <c r="B66" s="88" t="s">
        <v>363</v>
      </c>
      <c r="C66" s="88"/>
      <c r="D66" s="88" t="s">
        <v>119</v>
      </c>
      <c r="E66" s="88" t="s">
        <v>53</v>
      </c>
      <c r="F66" s="90">
        <v>2000000</v>
      </c>
    </row>
    <row r="67" spans="1:6">
      <c r="A67" s="88"/>
      <c r="B67" s="88" t="s">
        <v>364</v>
      </c>
      <c r="C67" s="88" t="s">
        <v>365</v>
      </c>
      <c r="D67" s="88" t="s">
        <v>91</v>
      </c>
      <c r="E67" s="88" t="s">
        <v>19</v>
      </c>
      <c r="F67" s="90">
        <v>13250000</v>
      </c>
    </row>
    <row r="68" spans="1:6">
      <c r="A68" s="88"/>
      <c r="B68" s="88" t="s">
        <v>370</v>
      </c>
      <c r="C68" s="88"/>
      <c r="D68" s="88" t="s">
        <v>230</v>
      </c>
      <c r="E68" s="88" t="s">
        <v>19</v>
      </c>
      <c r="F68" s="90">
        <v>1000000</v>
      </c>
    </row>
    <row r="69" spans="1:6">
      <c r="A69" s="88"/>
      <c r="B69" s="88" t="s">
        <v>371</v>
      </c>
      <c r="C69" s="88" t="s">
        <v>372</v>
      </c>
      <c r="D69" s="88" t="s">
        <v>161</v>
      </c>
      <c r="E69" s="88" t="s">
        <v>53</v>
      </c>
      <c r="F69" s="90">
        <v>82000</v>
      </c>
    </row>
    <row r="70" spans="1:6">
      <c r="A70" s="88"/>
      <c r="B70" s="88" t="s">
        <v>373</v>
      </c>
      <c r="C70" s="88" t="s">
        <v>374</v>
      </c>
      <c r="D70" s="88" t="s">
        <v>208</v>
      </c>
      <c r="E70" s="88" t="s">
        <v>19</v>
      </c>
      <c r="F70" s="90">
        <v>10250000</v>
      </c>
    </row>
    <row r="71" spans="1:6">
      <c r="A71" s="88"/>
      <c r="B71" s="88" t="s">
        <v>377</v>
      </c>
      <c r="C71" s="88" t="s">
        <v>378</v>
      </c>
      <c r="D71" s="88" t="s">
        <v>381</v>
      </c>
      <c r="E71" s="88" t="s">
        <v>14</v>
      </c>
      <c r="F71" s="90">
        <v>900000</v>
      </c>
    </row>
    <row r="72" spans="1:6">
      <c r="A72" s="88"/>
      <c r="B72" s="88" t="s">
        <v>399</v>
      </c>
      <c r="C72" s="88" t="s">
        <v>400</v>
      </c>
      <c r="D72" s="88" t="s">
        <v>266</v>
      </c>
      <c r="E72" s="88" t="s">
        <v>43</v>
      </c>
      <c r="F72" s="90">
        <v>5750000</v>
      </c>
    </row>
    <row r="73" spans="1:6">
      <c r="A73" s="88" t="s">
        <v>550</v>
      </c>
      <c r="B73" s="88"/>
      <c r="C73" s="88"/>
      <c r="D73" s="88"/>
      <c r="E73" s="88"/>
      <c r="F73" s="90">
        <v>538109000</v>
      </c>
    </row>
    <row r="74" spans="1:6">
      <c r="A74" s="88" t="s">
        <v>13</v>
      </c>
      <c r="B74" s="88" t="s">
        <v>6</v>
      </c>
      <c r="C74" s="88" t="s">
        <v>7</v>
      </c>
      <c r="D74" s="88" t="s">
        <v>12</v>
      </c>
      <c r="E74" s="88" t="s">
        <v>14</v>
      </c>
      <c r="F74" s="90">
        <v>3500000</v>
      </c>
    </row>
    <row r="75" spans="1:6">
      <c r="A75" s="88"/>
      <c r="B75" s="88" t="s">
        <v>15</v>
      </c>
      <c r="C75" s="88" t="s">
        <v>16</v>
      </c>
      <c r="D75" s="88" t="s">
        <v>17</v>
      </c>
      <c r="E75" s="88" t="s">
        <v>19</v>
      </c>
      <c r="F75" s="90">
        <v>6957500</v>
      </c>
    </row>
    <row r="76" spans="1:6">
      <c r="A76" s="88"/>
      <c r="B76" s="88" t="s">
        <v>89</v>
      </c>
      <c r="C76" s="88" t="s">
        <v>90</v>
      </c>
      <c r="D76" s="88" t="s">
        <v>93</v>
      </c>
      <c r="E76" s="88" t="s">
        <v>43</v>
      </c>
      <c r="F76" s="90">
        <v>5852000</v>
      </c>
    </row>
    <row r="77" spans="1:6">
      <c r="A77" s="88"/>
      <c r="B77" s="88" t="s">
        <v>101</v>
      </c>
      <c r="C77" s="88" t="s">
        <v>102</v>
      </c>
      <c r="D77" s="88" t="s">
        <v>103</v>
      </c>
      <c r="E77" s="88" t="s">
        <v>43</v>
      </c>
      <c r="F77" s="90">
        <v>3300000</v>
      </c>
    </row>
    <row r="78" spans="1:6">
      <c r="A78" s="88"/>
      <c r="B78" s="88" t="s">
        <v>139</v>
      </c>
      <c r="C78" s="88" t="s">
        <v>140</v>
      </c>
      <c r="D78" s="88" t="s">
        <v>141</v>
      </c>
      <c r="E78" s="88" t="s">
        <v>43</v>
      </c>
      <c r="F78" s="90">
        <v>2505800</v>
      </c>
    </row>
    <row r="79" spans="1:6">
      <c r="A79" s="88"/>
      <c r="B79" s="88" t="s">
        <v>145</v>
      </c>
      <c r="C79" s="88" t="s">
        <v>146</v>
      </c>
      <c r="D79" s="88" t="s">
        <v>141</v>
      </c>
      <c r="E79" s="88" t="s">
        <v>43</v>
      </c>
      <c r="F79" s="90">
        <v>2505800</v>
      </c>
    </row>
    <row r="80" spans="1:6">
      <c r="A80" s="88"/>
      <c r="B80" s="88" t="s">
        <v>147</v>
      </c>
      <c r="C80" s="88" t="s">
        <v>148</v>
      </c>
      <c r="D80" s="88" t="s">
        <v>151</v>
      </c>
      <c r="E80" s="88" t="s">
        <v>53</v>
      </c>
      <c r="F80" s="90">
        <v>935000</v>
      </c>
    </row>
    <row r="81" spans="1:6">
      <c r="A81" s="88"/>
      <c r="B81" s="88" t="s">
        <v>156</v>
      </c>
      <c r="C81" s="88" t="s">
        <v>157</v>
      </c>
      <c r="D81" s="88" t="s">
        <v>158</v>
      </c>
      <c r="E81" s="88" t="s">
        <v>53</v>
      </c>
      <c r="F81" s="90">
        <v>1842500</v>
      </c>
    </row>
    <row r="82" spans="1:6">
      <c r="A82" s="88"/>
      <c r="B82" s="88" t="s">
        <v>168</v>
      </c>
      <c r="C82" s="88" t="s">
        <v>169</v>
      </c>
      <c r="D82" s="88" t="s">
        <v>170</v>
      </c>
      <c r="E82" s="88" t="s">
        <v>53</v>
      </c>
      <c r="F82" s="90">
        <v>5280000</v>
      </c>
    </row>
    <row r="83" spans="1:6">
      <c r="A83" s="88"/>
      <c r="B83" s="88" t="s">
        <v>172</v>
      </c>
      <c r="C83" s="88" t="s">
        <v>173</v>
      </c>
      <c r="D83" s="88" t="s">
        <v>103</v>
      </c>
      <c r="E83" s="88" t="s">
        <v>43</v>
      </c>
      <c r="F83" s="90">
        <v>17793957.5</v>
      </c>
    </row>
    <row r="84" spans="1:6">
      <c r="A84" s="88"/>
      <c r="B84" s="88" t="s">
        <v>174</v>
      </c>
      <c r="C84" s="88" t="s">
        <v>175</v>
      </c>
      <c r="D84" s="88" t="s">
        <v>177</v>
      </c>
      <c r="E84" s="88" t="s">
        <v>135</v>
      </c>
      <c r="F84" s="90">
        <v>737000</v>
      </c>
    </row>
    <row r="85" spans="1:6">
      <c r="A85" s="88"/>
      <c r="B85" s="88" t="s">
        <v>181</v>
      </c>
      <c r="C85" s="88" t="s">
        <v>182</v>
      </c>
      <c r="D85" s="88" t="s">
        <v>103</v>
      </c>
      <c r="E85" s="88" t="s">
        <v>43</v>
      </c>
      <c r="F85" s="90">
        <v>14493957.5</v>
      </c>
    </row>
    <row r="86" spans="1:6">
      <c r="A86" s="88"/>
      <c r="B86" s="88" t="s">
        <v>192</v>
      </c>
      <c r="C86" s="88" t="s">
        <v>193</v>
      </c>
      <c r="D86" s="88" t="s">
        <v>176</v>
      </c>
      <c r="E86" s="88" t="s">
        <v>53</v>
      </c>
      <c r="F86" s="90">
        <v>8140000</v>
      </c>
    </row>
    <row r="87" spans="1:6">
      <c r="A87" s="88"/>
      <c r="B87" s="88" t="s">
        <v>203</v>
      </c>
      <c r="C87" s="88" t="s">
        <v>204</v>
      </c>
      <c r="D87" s="88" t="s">
        <v>170</v>
      </c>
      <c r="E87" s="88" t="s">
        <v>53</v>
      </c>
      <c r="F87" s="90">
        <v>5280000</v>
      </c>
    </row>
    <row r="88" spans="1:6">
      <c r="A88" s="88"/>
      <c r="B88" s="88" t="s">
        <v>212</v>
      </c>
      <c r="C88" s="88" t="s">
        <v>213</v>
      </c>
      <c r="D88" s="88" t="s">
        <v>214</v>
      </c>
      <c r="E88" s="88" t="s">
        <v>215</v>
      </c>
      <c r="F88" s="90">
        <v>550000</v>
      </c>
    </row>
    <row r="89" spans="1:6">
      <c r="A89" s="88"/>
      <c r="B89" s="88" t="s">
        <v>219</v>
      </c>
      <c r="C89" s="88" t="s">
        <v>220</v>
      </c>
      <c r="D89" s="88" t="s">
        <v>208</v>
      </c>
      <c r="E89" s="88" t="s">
        <v>19</v>
      </c>
      <c r="F89" s="90">
        <v>2586000</v>
      </c>
    </row>
    <row r="90" spans="1:6">
      <c r="A90" s="88"/>
      <c r="B90" s="88" t="s">
        <v>225</v>
      </c>
      <c r="C90" s="88" t="s">
        <v>226</v>
      </c>
      <c r="D90" s="88" t="s">
        <v>161</v>
      </c>
      <c r="E90" s="88" t="s">
        <v>53</v>
      </c>
      <c r="F90" s="90">
        <v>1362000</v>
      </c>
    </row>
    <row r="91" spans="1:6">
      <c r="A91" s="88"/>
      <c r="B91" s="88" t="s">
        <v>228</v>
      </c>
      <c r="C91" s="88" t="s">
        <v>229</v>
      </c>
      <c r="D91" s="88" t="s">
        <v>230</v>
      </c>
      <c r="E91" s="88" t="s">
        <v>19</v>
      </c>
      <c r="F91" s="90">
        <v>935000</v>
      </c>
    </row>
    <row r="92" spans="1:6">
      <c r="A92" s="88"/>
      <c r="B92" s="88" t="s">
        <v>235</v>
      </c>
      <c r="C92" s="88" t="s">
        <v>236</v>
      </c>
      <c r="D92" s="88" t="s">
        <v>151</v>
      </c>
      <c r="E92" s="88" t="s">
        <v>53</v>
      </c>
      <c r="F92" s="90">
        <v>935000</v>
      </c>
    </row>
    <row r="93" spans="1:6">
      <c r="A93" s="88"/>
      <c r="B93" s="88" t="s">
        <v>264</v>
      </c>
      <c r="C93" s="88" t="s">
        <v>265</v>
      </c>
      <c r="D93" s="88" t="s">
        <v>266</v>
      </c>
      <c r="E93" s="88" t="s">
        <v>43</v>
      </c>
      <c r="F93" s="90">
        <v>880000</v>
      </c>
    </row>
    <row r="94" spans="1:6">
      <c r="A94" s="88"/>
      <c r="B94" s="88" t="s">
        <v>277</v>
      </c>
      <c r="C94" s="88" t="s">
        <v>278</v>
      </c>
      <c r="D94" s="88" t="s">
        <v>158</v>
      </c>
      <c r="E94" s="88" t="s">
        <v>53</v>
      </c>
      <c r="F94" s="90">
        <v>1842500</v>
      </c>
    </row>
    <row r="95" spans="1:6">
      <c r="A95" s="88"/>
      <c r="B95" s="88" t="s">
        <v>288</v>
      </c>
      <c r="C95" s="88" t="s">
        <v>289</v>
      </c>
      <c r="D95" s="88" t="s">
        <v>290</v>
      </c>
      <c r="E95" s="88" t="s">
        <v>53</v>
      </c>
      <c r="F95" s="90">
        <v>5575000</v>
      </c>
    </row>
    <row r="96" spans="1:6">
      <c r="A96" s="88"/>
      <c r="B96" s="88" t="s">
        <v>291</v>
      </c>
      <c r="C96" s="88" t="s">
        <v>292</v>
      </c>
      <c r="D96" s="88" t="s">
        <v>293</v>
      </c>
      <c r="E96" s="88" t="s">
        <v>53</v>
      </c>
      <c r="F96" s="90">
        <v>7012500</v>
      </c>
    </row>
    <row r="97" spans="1:6">
      <c r="A97" s="88"/>
      <c r="B97" s="88" t="s">
        <v>294</v>
      </c>
      <c r="C97" s="88" t="s">
        <v>295</v>
      </c>
      <c r="D97" s="88" t="s">
        <v>293</v>
      </c>
      <c r="E97" s="88" t="s">
        <v>53</v>
      </c>
      <c r="F97" s="90">
        <v>7012500</v>
      </c>
    </row>
    <row r="98" spans="1:6">
      <c r="A98" s="88"/>
      <c r="B98" s="88" t="s">
        <v>298</v>
      </c>
      <c r="C98" s="88" t="s">
        <v>299</v>
      </c>
      <c r="D98" s="88" t="s">
        <v>300</v>
      </c>
      <c r="E98" s="88" t="s">
        <v>53</v>
      </c>
      <c r="F98" s="90">
        <v>3740000</v>
      </c>
    </row>
    <row r="99" spans="1:6">
      <c r="A99" s="88"/>
      <c r="B99" s="88" t="s">
        <v>301</v>
      </c>
      <c r="C99" s="88" t="s">
        <v>302</v>
      </c>
      <c r="D99" s="88" t="s">
        <v>300</v>
      </c>
      <c r="E99" s="88" t="s">
        <v>53</v>
      </c>
      <c r="F99" s="90">
        <v>3740000</v>
      </c>
    </row>
    <row r="100" spans="1:6">
      <c r="A100" s="88"/>
      <c r="B100" s="88" t="s">
        <v>307</v>
      </c>
      <c r="C100" s="88" t="s">
        <v>308</v>
      </c>
      <c r="D100" s="88" t="s">
        <v>119</v>
      </c>
      <c r="E100" s="88" t="s">
        <v>53</v>
      </c>
      <c r="F100" s="90">
        <v>2502500</v>
      </c>
    </row>
    <row r="101" spans="1:6">
      <c r="A101" s="88"/>
      <c r="B101" s="88"/>
      <c r="C101" s="88"/>
      <c r="D101" s="88" t="s">
        <v>93</v>
      </c>
      <c r="E101" s="88" t="s">
        <v>43</v>
      </c>
      <c r="F101" s="90">
        <v>2634500</v>
      </c>
    </row>
    <row r="102" spans="1:6">
      <c r="A102" s="88"/>
      <c r="B102" s="88" t="s">
        <v>310</v>
      </c>
      <c r="C102" s="88" t="s">
        <v>311</v>
      </c>
      <c r="D102" s="88" t="s">
        <v>119</v>
      </c>
      <c r="E102" s="88" t="s">
        <v>53</v>
      </c>
      <c r="F102" s="90">
        <v>2502500</v>
      </c>
    </row>
    <row r="103" spans="1:6">
      <c r="A103" s="88"/>
      <c r="B103" s="88"/>
      <c r="C103" s="88"/>
      <c r="D103" s="88" t="s">
        <v>93</v>
      </c>
      <c r="E103" s="88" t="s">
        <v>43</v>
      </c>
      <c r="F103" s="90">
        <v>2634500</v>
      </c>
    </row>
    <row r="104" spans="1:6">
      <c r="A104" s="88"/>
      <c r="B104" s="88" t="s">
        <v>312</v>
      </c>
      <c r="C104" s="88" t="s">
        <v>313</v>
      </c>
      <c r="D104" s="88" t="s">
        <v>205</v>
      </c>
      <c r="E104" s="88" t="s">
        <v>53</v>
      </c>
      <c r="F104" s="90">
        <v>1897500</v>
      </c>
    </row>
    <row r="105" spans="1:6">
      <c r="A105" s="88"/>
      <c r="B105" s="88" t="s">
        <v>314</v>
      </c>
      <c r="C105" s="88" t="s">
        <v>315</v>
      </c>
      <c r="D105" s="88" t="s">
        <v>205</v>
      </c>
      <c r="E105" s="88" t="s">
        <v>53</v>
      </c>
      <c r="F105" s="90">
        <v>1897500</v>
      </c>
    </row>
    <row r="106" spans="1:6">
      <c r="A106" s="88"/>
      <c r="B106" s="88" t="s">
        <v>321</v>
      </c>
      <c r="C106" s="88" t="s">
        <v>322</v>
      </c>
      <c r="D106" s="88" t="s">
        <v>323</v>
      </c>
      <c r="E106" s="88" t="s">
        <v>59</v>
      </c>
      <c r="F106" s="90">
        <v>5952650</v>
      </c>
    </row>
    <row r="107" spans="1:6">
      <c r="A107" s="88"/>
      <c r="B107" s="88" t="s">
        <v>329</v>
      </c>
      <c r="C107" s="88" t="s">
        <v>330</v>
      </c>
      <c r="D107" s="88" t="s">
        <v>290</v>
      </c>
      <c r="E107" s="88" t="s">
        <v>53</v>
      </c>
      <c r="F107" s="90">
        <v>5575000</v>
      </c>
    </row>
    <row r="108" spans="1:6">
      <c r="A108" s="88"/>
      <c r="B108" s="88" t="s">
        <v>341</v>
      </c>
      <c r="C108" s="88" t="s">
        <v>342</v>
      </c>
      <c r="D108" s="88" t="s">
        <v>17</v>
      </c>
      <c r="E108" s="88" t="s">
        <v>19</v>
      </c>
      <c r="F108" s="90">
        <v>6957500</v>
      </c>
    </row>
    <row r="109" spans="1:6">
      <c r="A109" s="88"/>
      <c r="B109" s="88" t="s">
        <v>343</v>
      </c>
      <c r="C109" s="88" t="s">
        <v>344</v>
      </c>
      <c r="D109" s="88" t="s">
        <v>345</v>
      </c>
      <c r="E109" s="88" t="s">
        <v>14</v>
      </c>
      <c r="F109" s="90">
        <v>1001000</v>
      </c>
    </row>
    <row r="110" spans="1:6">
      <c r="A110" s="88"/>
      <c r="B110" s="88" t="s">
        <v>349</v>
      </c>
      <c r="C110" s="88" t="s">
        <v>350</v>
      </c>
      <c r="D110" s="88" t="s">
        <v>93</v>
      </c>
      <c r="E110" s="88" t="s">
        <v>43</v>
      </c>
      <c r="F110" s="90">
        <v>5852000</v>
      </c>
    </row>
    <row r="111" spans="1:6">
      <c r="A111" s="88"/>
      <c r="B111" s="88" t="s">
        <v>354</v>
      </c>
      <c r="C111" s="88" t="s">
        <v>355</v>
      </c>
      <c r="D111" s="88" t="s">
        <v>176</v>
      </c>
      <c r="E111" s="88" t="s">
        <v>53</v>
      </c>
      <c r="F111" s="90">
        <v>8140000</v>
      </c>
    </row>
    <row r="112" spans="1:6">
      <c r="A112" s="88"/>
      <c r="B112" s="88" t="s">
        <v>364</v>
      </c>
      <c r="C112" s="88" t="s">
        <v>365</v>
      </c>
      <c r="D112" s="88" t="s">
        <v>230</v>
      </c>
      <c r="E112" s="88" t="s">
        <v>19</v>
      </c>
      <c r="F112" s="90">
        <v>935000</v>
      </c>
    </row>
    <row r="113" spans="1:6">
      <c r="A113" s="88"/>
      <c r="B113" s="88" t="s">
        <v>371</v>
      </c>
      <c r="C113" s="88" t="s">
        <v>372</v>
      </c>
      <c r="D113" s="88" t="s">
        <v>161</v>
      </c>
      <c r="E113" s="88" t="s">
        <v>53</v>
      </c>
      <c r="F113" s="90">
        <v>1362000</v>
      </c>
    </row>
    <row r="114" spans="1:6">
      <c r="A114" s="88"/>
      <c r="B114" s="88" t="s">
        <v>373</v>
      </c>
      <c r="C114" s="88" t="s">
        <v>374</v>
      </c>
      <c r="D114" s="88" t="s">
        <v>208</v>
      </c>
      <c r="E114" s="88" t="s">
        <v>19</v>
      </c>
      <c r="F114" s="90">
        <v>2586000</v>
      </c>
    </row>
    <row r="115" spans="1:6">
      <c r="A115" s="88"/>
      <c r="B115" s="88" t="s">
        <v>377</v>
      </c>
      <c r="C115" s="88" t="s">
        <v>378</v>
      </c>
      <c r="D115" s="88" t="s">
        <v>379</v>
      </c>
      <c r="E115" s="88" t="s">
        <v>14</v>
      </c>
      <c r="F115" s="90">
        <v>3000000</v>
      </c>
    </row>
    <row r="116" spans="1:6">
      <c r="A116" s="88"/>
      <c r="B116" s="88" t="s">
        <v>399</v>
      </c>
      <c r="C116" s="88" t="s">
        <v>400</v>
      </c>
      <c r="D116" s="88" t="s">
        <v>266</v>
      </c>
      <c r="E116" s="88" t="s">
        <v>43</v>
      </c>
      <c r="F116" s="90">
        <v>880000</v>
      </c>
    </row>
    <row r="117" spans="1:6">
      <c r="A117" s="88" t="s">
        <v>551</v>
      </c>
      <c r="B117" s="88"/>
      <c r="C117" s="88"/>
      <c r="D117" s="88"/>
      <c r="E117" s="88"/>
      <c r="F117" s="90">
        <v>171604165</v>
      </c>
    </row>
    <row r="118" spans="1:6">
      <c r="A118" s="88" t="s">
        <v>116</v>
      </c>
      <c r="B118" s="88" t="s">
        <v>113</v>
      </c>
      <c r="C118" s="88" t="s">
        <v>114</v>
      </c>
      <c r="D118" s="88" t="s">
        <v>115</v>
      </c>
      <c r="E118" s="88" t="s">
        <v>53</v>
      </c>
      <c r="F118" s="90">
        <v>8000000</v>
      </c>
    </row>
    <row r="119" spans="1:6">
      <c r="A119" s="88"/>
      <c r="B119" s="88" t="s">
        <v>125</v>
      </c>
      <c r="C119" s="88" t="s">
        <v>126</v>
      </c>
      <c r="D119" s="88" t="s">
        <v>127</v>
      </c>
      <c r="E119" s="88" t="s">
        <v>53</v>
      </c>
      <c r="F119" s="90">
        <v>6000000</v>
      </c>
    </row>
    <row r="120" spans="1:6">
      <c r="A120" s="88"/>
      <c r="B120" s="88" t="s">
        <v>131</v>
      </c>
      <c r="C120" s="88" t="s">
        <v>132</v>
      </c>
      <c r="D120" s="88" t="s">
        <v>52</v>
      </c>
      <c r="E120" s="88" t="s">
        <v>53</v>
      </c>
      <c r="F120" s="90">
        <v>3000000</v>
      </c>
    </row>
    <row r="121" spans="1:6">
      <c r="A121" s="88"/>
      <c r="B121" s="88" t="s">
        <v>162</v>
      </c>
      <c r="C121" s="88" t="s">
        <v>163</v>
      </c>
      <c r="D121" s="88" t="s">
        <v>52</v>
      </c>
      <c r="E121" s="88" t="s">
        <v>53</v>
      </c>
      <c r="F121" s="90">
        <v>2500000</v>
      </c>
    </row>
    <row r="122" spans="1:6">
      <c r="A122" s="88" t="s">
        <v>552</v>
      </c>
      <c r="B122" s="88"/>
      <c r="C122" s="88"/>
      <c r="D122" s="88"/>
      <c r="E122" s="88"/>
      <c r="F122" s="90">
        <v>19500000</v>
      </c>
    </row>
    <row r="123" spans="1:6">
      <c r="A123" s="88" t="s">
        <v>20</v>
      </c>
      <c r="B123" s="88" t="s">
        <v>15</v>
      </c>
      <c r="C123" s="88" t="s">
        <v>16</v>
      </c>
      <c r="D123" s="88" t="s">
        <v>17</v>
      </c>
      <c r="E123" s="88" t="s">
        <v>19</v>
      </c>
      <c r="F123" s="90">
        <v>4156000</v>
      </c>
    </row>
    <row r="124" spans="1:6">
      <c r="A124" s="88"/>
      <c r="B124" s="88" t="s">
        <v>40</v>
      </c>
      <c r="C124" s="88" t="s">
        <v>41</v>
      </c>
      <c r="D124" s="88" t="s">
        <v>42</v>
      </c>
      <c r="E124" s="88" t="s">
        <v>43</v>
      </c>
      <c r="F124" s="90">
        <v>600000</v>
      </c>
    </row>
    <row r="125" spans="1:6">
      <c r="A125" s="88"/>
      <c r="B125" s="88" t="s">
        <v>168</v>
      </c>
      <c r="C125" s="88" t="s">
        <v>169</v>
      </c>
      <c r="D125" s="88" t="s">
        <v>170</v>
      </c>
      <c r="E125" s="88" t="s">
        <v>53</v>
      </c>
      <c r="F125" s="90">
        <v>2000000</v>
      </c>
    </row>
    <row r="126" spans="1:6">
      <c r="A126" s="88"/>
      <c r="B126" s="88" t="s">
        <v>172</v>
      </c>
      <c r="C126" s="88" t="s">
        <v>173</v>
      </c>
      <c r="D126" s="88" t="s">
        <v>103</v>
      </c>
      <c r="E126" s="88" t="s">
        <v>43</v>
      </c>
      <c r="F126" s="90">
        <v>1500000</v>
      </c>
    </row>
    <row r="127" spans="1:6">
      <c r="A127" s="88"/>
      <c r="B127" s="88" t="s">
        <v>181</v>
      </c>
      <c r="C127" s="88" t="s">
        <v>182</v>
      </c>
      <c r="D127" s="88" t="s">
        <v>103</v>
      </c>
      <c r="E127" s="88" t="s">
        <v>43</v>
      </c>
      <c r="F127" s="90">
        <v>1500000</v>
      </c>
    </row>
    <row r="128" spans="1:6">
      <c r="A128" s="88"/>
      <c r="B128" s="88" t="s">
        <v>203</v>
      </c>
      <c r="C128" s="88" t="s">
        <v>204</v>
      </c>
      <c r="D128" s="88" t="s">
        <v>170</v>
      </c>
      <c r="E128" s="88" t="s">
        <v>53</v>
      </c>
      <c r="F128" s="90">
        <v>2000000</v>
      </c>
    </row>
    <row r="129" spans="1:6">
      <c r="A129" s="88"/>
      <c r="B129" s="88" t="s">
        <v>281</v>
      </c>
      <c r="C129" s="88" t="s">
        <v>282</v>
      </c>
      <c r="D129" s="88" t="s">
        <v>283</v>
      </c>
      <c r="E129" s="88" t="s">
        <v>19</v>
      </c>
      <c r="F129" s="90">
        <v>1250000</v>
      </c>
    </row>
    <row r="130" spans="1:6">
      <c r="A130" s="88"/>
      <c r="B130" s="88" t="s">
        <v>284</v>
      </c>
      <c r="C130" s="88" t="s">
        <v>285</v>
      </c>
      <c r="D130" s="88" t="s">
        <v>286</v>
      </c>
      <c r="E130" s="88" t="s">
        <v>53</v>
      </c>
      <c r="F130" s="90">
        <v>3950000</v>
      </c>
    </row>
    <row r="131" spans="1:6">
      <c r="A131" s="88"/>
      <c r="B131" s="88" t="s">
        <v>307</v>
      </c>
      <c r="C131" s="88" t="s">
        <v>308</v>
      </c>
      <c r="D131" s="88" t="s">
        <v>93</v>
      </c>
      <c r="E131" s="88" t="s">
        <v>43</v>
      </c>
      <c r="F131" s="90">
        <v>500000</v>
      </c>
    </row>
    <row r="132" spans="1:6">
      <c r="A132" s="88"/>
      <c r="B132" s="88" t="s">
        <v>310</v>
      </c>
      <c r="C132" s="88" t="s">
        <v>311</v>
      </c>
      <c r="D132" s="88" t="s">
        <v>93</v>
      </c>
      <c r="E132" s="88" t="s">
        <v>43</v>
      </c>
      <c r="F132" s="90">
        <v>500000</v>
      </c>
    </row>
    <row r="133" spans="1:6">
      <c r="A133" s="88"/>
      <c r="B133" s="88" t="s">
        <v>333</v>
      </c>
      <c r="C133" s="88" t="s">
        <v>334</v>
      </c>
      <c r="D133" s="88" t="s">
        <v>42</v>
      </c>
      <c r="E133" s="88" t="s">
        <v>43</v>
      </c>
      <c r="F133" s="90">
        <v>600000</v>
      </c>
    </row>
    <row r="134" spans="1:6">
      <c r="A134" s="88"/>
      <c r="B134" s="88" t="s">
        <v>335</v>
      </c>
      <c r="C134" s="88" t="s">
        <v>336</v>
      </c>
      <c r="D134" s="88" t="s">
        <v>286</v>
      </c>
      <c r="E134" s="88" t="s">
        <v>53</v>
      </c>
      <c r="F134" s="90">
        <v>3950000</v>
      </c>
    </row>
    <row r="135" spans="1:6">
      <c r="A135" s="88"/>
      <c r="B135" s="88" t="s">
        <v>341</v>
      </c>
      <c r="C135" s="88" t="s">
        <v>342</v>
      </c>
      <c r="D135" s="88" t="s">
        <v>17</v>
      </c>
      <c r="E135" s="88" t="s">
        <v>19</v>
      </c>
      <c r="F135" s="90">
        <v>4156000</v>
      </c>
    </row>
    <row r="136" spans="1:6">
      <c r="A136" s="88"/>
      <c r="B136" s="88" t="s">
        <v>388</v>
      </c>
      <c r="C136" s="88" t="s">
        <v>389</v>
      </c>
      <c r="D136" s="88" t="s">
        <v>283</v>
      </c>
      <c r="E136" s="88" t="s">
        <v>19</v>
      </c>
      <c r="F136" s="90">
        <v>1250000</v>
      </c>
    </row>
    <row r="137" spans="1:6">
      <c r="A137" s="88" t="s">
        <v>553</v>
      </c>
      <c r="B137" s="88"/>
      <c r="C137" s="88"/>
      <c r="D137" s="88"/>
      <c r="E137" s="88"/>
      <c r="F137" s="90">
        <v>27912000</v>
      </c>
    </row>
    <row r="138" spans="1:6">
      <c r="A138" s="88" t="s">
        <v>21</v>
      </c>
      <c r="B138" s="88" t="s">
        <v>15</v>
      </c>
      <c r="C138" s="88" t="s">
        <v>16</v>
      </c>
      <c r="D138" s="88" t="s">
        <v>17</v>
      </c>
      <c r="E138" s="88" t="s">
        <v>19</v>
      </c>
      <c r="F138" s="90">
        <v>28047500</v>
      </c>
    </row>
    <row r="139" spans="1:6">
      <c r="A139" s="88"/>
      <c r="B139" s="88" t="s">
        <v>40</v>
      </c>
      <c r="C139" s="88" t="s">
        <v>41</v>
      </c>
      <c r="D139" s="88" t="s">
        <v>42</v>
      </c>
      <c r="E139" s="88" t="s">
        <v>43</v>
      </c>
      <c r="F139" s="90">
        <v>31250000</v>
      </c>
    </row>
    <row r="140" spans="1:6">
      <c r="A140" s="88"/>
      <c r="B140" s="88" t="s">
        <v>85</v>
      </c>
      <c r="C140" s="88" t="s">
        <v>86</v>
      </c>
      <c r="D140" s="88" t="s">
        <v>87</v>
      </c>
      <c r="E140" s="88" t="s">
        <v>53</v>
      </c>
      <c r="F140" s="90">
        <v>50750000</v>
      </c>
    </row>
    <row r="141" spans="1:6">
      <c r="A141" s="88"/>
      <c r="B141" s="88" t="s">
        <v>89</v>
      </c>
      <c r="C141" s="88" t="s">
        <v>90</v>
      </c>
      <c r="D141" s="88" t="s">
        <v>91</v>
      </c>
      <c r="E141" s="88" t="s">
        <v>19</v>
      </c>
      <c r="F141" s="90">
        <v>9750000</v>
      </c>
    </row>
    <row r="142" spans="1:6">
      <c r="A142" s="88"/>
      <c r="B142" s="88"/>
      <c r="C142" s="88"/>
      <c r="D142" s="88" t="s">
        <v>93</v>
      </c>
      <c r="E142" s="88" t="s">
        <v>43</v>
      </c>
      <c r="F142" s="90">
        <v>11000000</v>
      </c>
    </row>
    <row r="143" spans="1:6">
      <c r="A143" s="88"/>
      <c r="B143" s="88" t="s">
        <v>101</v>
      </c>
      <c r="C143" s="88" t="s">
        <v>102</v>
      </c>
      <c r="D143" s="88" t="s">
        <v>103</v>
      </c>
      <c r="E143" s="88" t="s">
        <v>43</v>
      </c>
      <c r="F143" s="90">
        <v>11000000</v>
      </c>
    </row>
    <row r="144" spans="1:6">
      <c r="A144" s="88"/>
      <c r="B144" s="88" t="s">
        <v>107</v>
      </c>
      <c r="C144" s="88" t="s">
        <v>108</v>
      </c>
      <c r="D144" s="88" t="s">
        <v>109</v>
      </c>
      <c r="E144" s="88" t="s">
        <v>19</v>
      </c>
      <c r="F144" s="90">
        <v>73211112</v>
      </c>
    </row>
    <row r="145" spans="1:6">
      <c r="A145" s="88"/>
      <c r="B145" s="88" t="s">
        <v>120</v>
      </c>
      <c r="C145" s="88" t="s">
        <v>121</v>
      </c>
      <c r="D145" s="88" t="s">
        <v>109</v>
      </c>
      <c r="E145" s="88" t="s">
        <v>19</v>
      </c>
      <c r="F145" s="90">
        <v>73211112</v>
      </c>
    </row>
    <row r="146" spans="1:6">
      <c r="A146" s="88"/>
      <c r="B146" s="88" t="s">
        <v>139</v>
      </c>
      <c r="C146" s="88" t="s">
        <v>140</v>
      </c>
      <c r="D146" s="88" t="s">
        <v>141</v>
      </c>
      <c r="E146" s="88" t="s">
        <v>43</v>
      </c>
      <c r="F146" s="90">
        <v>20750000</v>
      </c>
    </row>
    <row r="147" spans="1:6">
      <c r="A147" s="88"/>
      <c r="B147" s="88" t="s">
        <v>145</v>
      </c>
      <c r="C147" s="88" t="s">
        <v>146</v>
      </c>
      <c r="D147" s="88" t="s">
        <v>141</v>
      </c>
      <c r="E147" s="88" t="s">
        <v>43</v>
      </c>
      <c r="F147" s="90">
        <v>20750000</v>
      </c>
    </row>
    <row r="148" spans="1:6">
      <c r="A148" s="88"/>
      <c r="B148" s="88" t="s">
        <v>147</v>
      </c>
      <c r="C148" s="88" t="s">
        <v>148</v>
      </c>
      <c r="D148" s="88" t="s">
        <v>149</v>
      </c>
      <c r="E148" s="88" t="s">
        <v>53</v>
      </c>
      <c r="F148" s="90">
        <v>21185185</v>
      </c>
    </row>
    <row r="149" spans="1:6">
      <c r="A149" s="88"/>
      <c r="B149" s="88"/>
      <c r="C149" s="88"/>
      <c r="D149" s="88" t="s">
        <v>151</v>
      </c>
      <c r="E149" s="88" t="s">
        <v>53</v>
      </c>
      <c r="F149" s="90">
        <v>11000000</v>
      </c>
    </row>
    <row r="150" spans="1:6">
      <c r="A150" s="88"/>
      <c r="B150" s="88" t="s">
        <v>156</v>
      </c>
      <c r="C150" s="88" t="s">
        <v>157</v>
      </c>
      <c r="D150" s="88" t="s">
        <v>158</v>
      </c>
      <c r="E150" s="88" t="s">
        <v>53</v>
      </c>
      <c r="F150" s="90">
        <v>23250000</v>
      </c>
    </row>
    <row r="151" spans="1:6">
      <c r="A151" s="88"/>
      <c r="B151" s="88" t="s">
        <v>159</v>
      </c>
      <c r="C151" s="88" t="s">
        <v>160</v>
      </c>
      <c r="D151" s="88" t="s">
        <v>161</v>
      </c>
      <c r="E151" s="88" t="s">
        <v>53</v>
      </c>
      <c r="F151" s="90">
        <v>11000000</v>
      </c>
    </row>
    <row r="152" spans="1:6">
      <c r="A152" s="88"/>
      <c r="B152" s="88" t="s">
        <v>168</v>
      </c>
      <c r="C152" s="88" t="s">
        <v>169</v>
      </c>
      <c r="D152" s="88" t="s">
        <v>170</v>
      </c>
      <c r="E152" s="88" t="s">
        <v>53</v>
      </c>
      <c r="F152" s="90">
        <v>48897500</v>
      </c>
    </row>
    <row r="153" spans="1:6">
      <c r="A153" s="88"/>
      <c r="B153" s="88" t="s">
        <v>172</v>
      </c>
      <c r="C153" s="88" t="s">
        <v>173</v>
      </c>
      <c r="D153" s="88" t="s">
        <v>103</v>
      </c>
      <c r="E153" s="88" t="s">
        <v>43</v>
      </c>
      <c r="F153" s="90">
        <v>45250000</v>
      </c>
    </row>
    <row r="154" spans="1:6">
      <c r="A154" s="88"/>
      <c r="B154" s="88" t="s">
        <v>181</v>
      </c>
      <c r="C154" s="88" t="s">
        <v>182</v>
      </c>
      <c r="D154" s="88" t="s">
        <v>103</v>
      </c>
      <c r="E154" s="88" t="s">
        <v>43</v>
      </c>
      <c r="F154" s="90">
        <v>34250000</v>
      </c>
    </row>
    <row r="155" spans="1:6">
      <c r="A155" s="88"/>
      <c r="B155" s="88" t="s">
        <v>192</v>
      </c>
      <c r="C155" s="88" t="s">
        <v>193</v>
      </c>
      <c r="D155" s="88" t="s">
        <v>176</v>
      </c>
      <c r="E155" s="88" t="s">
        <v>53</v>
      </c>
      <c r="F155" s="90">
        <v>38000000</v>
      </c>
    </row>
    <row r="156" spans="1:6">
      <c r="A156" s="88"/>
      <c r="B156" s="88" t="s">
        <v>203</v>
      </c>
      <c r="C156" s="88" t="s">
        <v>204</v>
      </c>
      <c r="D156" s="88" t="s">
        <v>205</v>
      </c>
      <c r="E156" s="88" t="s">
        <v>53</v>
      </c>
      <c r="F156" s="90">
        <v>9750000</v>
      </c>
    </row>
    <row r="157" spans="1:6">
      <c r="A157" s="88"/>
      <c r="B157" s="88"/>
      <c r="C157" s="88"/>
      <c r="D157" s="88" t="s">
        <v>170</v>
      </c>
      <c r="E157" s="88" t="s">
        <v>53</v>
      </c>
      <c r="F157" s="90">
        <v>34250000</v>
      </c>
    </row>
    <row r="158" spans="1:6">
      <c r="A158" s="88"/>
      <c r="B158" s="88" t="s">
        <v>206</v>
      </c>
      <c r="C158" s="88" t="s">
        <v>207</v>
      </c>
      <c r="D158" s="88" t="s">
        <v>208</v>
      </c>
      <c r="E158" s="88" t="s">
        <v>19</v>
      </c>
      <c r="F158" s="90">
        <v>22000000</v>
      </c>
    </row>
    <row r="159" spans="1:6">
      <c r="A159" s="88"/>
      <c r="B159" s="88" t="s">
        <v>209</v>
      </c>
      <c r="C159" s="88" t="s">
        <v>210</v>
      </c>
      <c r="D159" s="88" t="s">
        <v>211</v>
      </c>
      <c r="E159" s="88" t="s">
        <v>43</v>
      </c>
      <c r="F159" s="90">
        <v>33250000</v>
      </c>
    </row>
    <row r="160" spans="1:6">
      <c r="A160" s="88"/>
      <c r="B160" s="88" t="s">
        <v>219</v>
      </c>
      <c r="C160" s="88" t="s">
        <v>220</v>
      </c>
      <c r="D160" s="88" t="s">
        <v>208</v>
      </c>
      <c r="E160" s="88" t="s">
        <v>19</v>
      </c>
      <c r="F160" s="90">
        <v>22000000</v>
      </c>
    </row>
    <row r="161" spans="1:6">
      <c r="A161" s="88"/>
      <c r="B161" s="88" t="s">
        <v>221</v>
      </c>
      <c r="C161" s="88" t="s">
        <v>222</v>
      </c>
      <c r="D161" s="88" t="s">
        <v>223</v>
      </c>
      <c r="E161" s="88" t="s">
        <v>43</v>
      </c>
      <c r="F161" s="90">
        <v>30500000</v>
      </c>
    </row>
    <row r="162" spans="1:6">
      <c r="A162" s="88"/>
      <c r="B162" s="88" t="s">
        <v>225</v>
      </c>
      <c r="C162" s="88" t="s">
        <v>226</v>
      </c>
      <c r="D162" s="88" t="s">
        <v>161</v>
      </c>
      <c r="E162" s="88" t="s">
        <v>53</v>
      </c>
      <c r="F162" s="90">
        <v>33500000</v>
      </c>
    </row>
    <row r="163" spans="1:6">
      <c r="A163" s="88"/>
      <c r="B163" s="88" t="s">
        <v>228</v>
      </c>
      <c r="C163" s="88" t="s">
        <v>229</v>
      </c>
      <c r="D163" s="88" t="s">
        <v>230</v>
      </c>
      <c r="E163" s="88" t="s">
        <v>19</v>
      </c>
      <c r="F163" s="90">
        <v>49768519</v>
      </c>
    </row>
    <row r="164" spans="1:6">
      <c r="A164" s="88"/>
      <c r="B164" s="88" t="s">
        <v>235</v>
      </c>
      <c r="C164" s="88" t="s">
        <v>236</v>
      </c>
      <c r="D164" s="88" t="s">
        <v>149</v>
      </c>
      <c r="E164" s="88" t="s">
        <v>53</v>
      </c>
      <c r="F164" s="90">
        <v>21185185</v>
      </c>
    </row>
    <row r="165" spans="1:6">
      <c r="A165" s="88"/>
      <c r="B165" s="88"/>
      <c r="C165" s="88"/>
      <c r="D165" s="88" t="s">
        <v>151</v>
      </c>
      <c r="E165" s="88" t="s">
        <v>53</v>
      </c>
      <c r="F165" s="90">
        <v>11000000</v>
      </c>
    </row>
    <row r="166" spans="1:6">
      <c r="A166" s="88"/>
      <c r="B166" s="88" t="s">
        <v>245</v>
      </c>
      <c r="C166" s="88" t="s">
        <v>246</v>
      </c>
      <c r="D166" s="88" t="s">
        <v>249</v>
      </c>
      <c r="E166" s="88" t="s">
        <v>19</v>
      </c>
      <c r="F166" s="90">
        <v>35250000</v>
      </c>
    </row>
    <row r="167" spans="1:6">
      <c r="A167" s="88"/>
      <c r="B167" s="88" t="s">
        <v>250</v>
      </c>
      <c r="C167" s="88" t="s">
        <v>251</v>
      </c>
      <c r="D167" s="88" t="s">
        <v>249</v>
      </c>
      <c r="E167" s="88" t="s">
        <v>19</v>
      </c>
      <c r="F167" s="90">
        <v>35250000</v>
      </c>
    </row>
    <row r="168" spans="1:6">
      <c r="A168" s="88"/>
      <c r="B168" s="88" t="s">
        <v>264</v>
      </c>
      <c r="C168" s="88" t="s">
        <v>265</v>
      </c>
      <c r="D168" s="88" t="s">
        <v>266</v>
      </c>
      <c r="E168" s="88" t="s">
        <v>43</v>
      </c>
      <c r="F168" s="90">
        <v>30500000</v>
      </c>
    </row>
    <row r="169" spans="1:6">
      <c r="A169" s="88"/>
      <c r="B169" s="88" t="s">
        <v>268</v>
      </c>
      <c r="C169" s="88" t="s">
        <v>269</v>
      </c>
      <c r="D169" s="88" t="s">
        <v>270</v>
      </c>
      <c r="E169" s="88" t="s">
        <v>19</v>
      </c>
      <c r="F169" s="90">
        <v>20750000</v>
      </c>
    </row>
    <row r="170" spans="1:6">
      <c r="A170" s="88"/>
      <c r="B170" s="88" t="s">
        <v>271</v>
      </c>
      <c r="C170" s="88" t="s">
        <v>272</v>
      </c>
      <c r="D170" s="88" t="s">
        <v>270</v>
      </c>
      <c r="E170" s="88" t="s">
        <v>19</v>
      </c>
      <c r="F170" s="90">
        <v>20750000</v>
      </c>
    </row>
    <row r="171" spans="1:6">
      <c r="A171" s="88"/>
      <c r="B171" s="88" t="s">
        <v>273</v>
      </c>
      <c r="C171" s="88" t="s">
        <v>274</v>
      </c>
      <c r="D171" s="88" t="s">
        <v>275</v>
      </c>
      <c r="E171" s="88" t="s">
        <v>53</v>
      </c>
      <c r="F171" s="90">
        <v>20750000</v>
      </c>
    </row>
    <row r="172" spans="1:6">
      <c r="A172" s="88"/>
      <c r="B172" s="88"/>
      <c r="C172" s="88"/>
      <c r="D172" s="88" t="s">
        <v>276</v>
      </c>
      <c r="E172" s="88" t="s">
        <v>53</v>
      </c>
      <c r="F172" s="90">
        <v>19981481.5</v>
      </c>
    </row>
    <row r="173" spans="1:6">
      <c r="A173" s="88"/>
      <c r="B173" s="88" t="s">
        <v>277</v>
      </c>
      <c r="C173" s="88" t="s">
        <v>278</v>
      </c>
      <c r="D173" s="88" t="s">
        <v>158</v>
      </c>
      <c r="E173" s="88" t="s">
        <v>53</v>
      </c>
      <c r="F173" s="90">
        <v>23250000</v>
      </c>
    </row>
    <row r="174" spans="1:6">
      <c r="A174" s="88"/>
      <c r="B174" s="88" t="s">
        <v>281</v>
      </c>
      <c r="C174" s="88" t="s">
        <v>282</v>
      </c>
      <c r="D174" s="88" t="s">
        <v>119</v>
      </c>
      <c r="E174" s="88" t="s">
        <v>53</v>
      </c>
      <c r="F174" s="90">
        <v>1000000</v>
      </c>
    </row>
    <row r="175" spans="1:6">
      <c r="A175" s="88"/>
      <c r="B175" s="88"/>
      <c r="C175" s="88"/>
      <c r="D175" s="88" t="s">
        <v>230</v>
      </c>
      <c r="E175" s="88" t="s">
        <v>19</v>
      </c>
      <c r="F175" s="90">
        <v>10185185</v>
      </c>
    </row>
    <row r="176" spans="1:6">
      <c r="A176" s="88"/>
      <c r="B176" s="88" t="s">
        <v>284</v>
      </c>
      <c r="C176" s="88" t="s">
        <v>285</v>
      </c>
      <c r="D176" s="88" t="s">
        <v>286</v>
      </c>
      <c r="E176" s="88" t="s">
        <v>53</v>
      </c>
      <c r="F176" s="90">
        <v>33000000</v>
      </c>
    </row>
    <row r="177" spans="1:6">
      <c r="A177" s="88"/>
      <c r="B177" s="88" t="s">
        <v>288</v>
      </c>
      <c r="C177" s="88" t="s">
        <v>289</v>
      </c>
      <c r="D177" s="88" t="s">
        <v>290</v>
      </c>
      <c r="E177" s="88" t="s">
        <v>53</v>
      </c>
      <c r="F177" s="90">
        <v>23750000</v>
      </c>
    </row>
    <row r="178" spans="1:6">
      <c r="A178" s="88"/>
      <c r="B178" s="88" t="s">
        <v>291</v>
      </c>
      <c r="C178" s="88" t="s">
        <v>292</v>
      </c>
      <c r="D178" s="88" t="s">
        <v>293</v>
      </c>
      <c r="E178" s="88" t="s">
        <v>53</v>
      </c>
      <c r="F178" s="90">
        <v>35000000</v>
      </c>
    </row>
    <row r="179" spans="1:6">
      <c r="A179" s="88"/>
      <c r="B179" s="88" t="s">
        <v>294</v>
      </c>
      <c r="C179" s="88" t="s">
        <v>295</v>
      </c>
      <c r="D179" s="88" t="s">
        <v>293</v>
      </c>
      <c r="E179" s="88" t="s">
        <v>53</v>
      </c>
      <c r="F179" s="90">
        <v>35000000</v>
      </c>
    </row>
    <row r="180" spans="1:6">
      <c r="A180" s="88"/>
      <c r="B180" s="88" t="s">
        <v>296</v>
      </c>
      <c r="C180" s="88" t="s">
        <v>297</v>
      </c>
      <c r="D180" s="88" t="s">
        <v>223</v>
      </c>
      <c r="E180" s="88" t="s">
        <v>43</v>
      </c>
      <c r="F180" s="90">
        <v>30500000</v>
      </c>
    </row>
    <row r="181" spans="1:6">
      <c r="A181" s="88"/>
      <c r="B181" s="88" t="s">
        <v>298</v>
      </c>
      <c r="C181" s="88" t="s">
        <v>299</v>
      </c>
      <c r="D181" s="88" t="s">
        <v>300</v>
      </c>
      <c r="E181" s="88" t="s">
        <v>53</v>
      </c>
      <c r="F181" s="90">
        <v>57100000</v>
      </c>
    </row>
    <row r="182" spans="1:6">
      <c r="A182" s="88"/>
      <c r="B182" s="88" t="s">
        <v>301</v>
      </c>
      <c r="C182" s="88" t="s">
        <v>302</v>
      </c>
      <c r="D182" s="88" t="s">
        <v>300</v>
      </c>
      <c r="E182" s="88" t="s">
        <v>53</v>
      </c>
      <c r="F182" s="90">
        <v>57100000</v>
      </c>
    </row>
    <row r="183" spans="1:6">
      <c r="A183" s="88"/>
      <c r="B183" s="88" t="s">
        <v>303</v>
      </c>
      <c r="C183" s="88" t="s">
        <v>304</v>
      </c>
      <c r="D183" s="88" t="s">
        <v>275</v>
      </c>
      <c r="E183" s="88" t="s">
        <v>53</v>
      </c>
      <c r="F183" s="90">
        <v>20750000</v>
      </c>
    </row>
    <row r="184" spans="1:6">
      <c r="A184" s="88"/>
      <c r="B184" s="88"/>
      <c r="C184" s="88"/>
      <c r="D184" s="88" t="s">
        <v>276</v>
      </c>
      <c r="E184" s="88" t="s">
        <v>53</v>
      </c>
      <c r="F184" s="90">
        <v>19981481.5</v>
      </c>
    </row>
    <row r="185" spans="1:6">
      <c r="A185" s="88"/>
      <c r="B185" s="88" t="s">
        <v>305</v>
      </c>
      <c r="C185" s="88" t="s">
        <v>306</v>
      </c>
      <c r="D185" s="88" t="s">
        <v>87</v>
      </c>
      <c r="E185" s="88" t="s">
        <v>53</v>
      </c>
      <c r="F185" s="90">
        <v>50750000</v>
      </c>
    </row>
    <row r="186" spans="1:6">
      <c r="A186" s="88"/>
      <c r="B186" s="88" t="s">
        <v>307</v>
      </c>
      <c r="C186" s="88" t="s">
        <v>308</v>
      </c>
      <c r="D186" s="88" t="s">
        <v>119</v>
      </c>
      <c r="E186" s="88" t="s">
        <v>53</v>
      </c>
      <c r="F186" s="90">
        <v>9650000</v>
      </c>
    </row>
    <row r="187" spans="1:6">
      <c r="A187" s="88"/>
      <c r="B187" s="88"/>
      <c r="C187" s="88"/>
      <c r="D187" s="88" t="s">
        <v>93</v>
      </c>
      <c r="E187" s="88" t="s">
        <v>43</v>
      </c>
      <c r="F187" s="90">
        <v>9750000</v>
      </c>
    </row>
    <row r="188" spans="1:6">
      <c r="A188" s="88"/>
      <c r="B188" s="88" t="s">
        <v>310</v>
      </c>
      <c r="C188" s="88" t="s">
        <v>311</v>
      </c>
      <c r="D188" s="88" t="s">
        <v>119</v>
      </c>
      <c r="E188" s="88" t="s">
        <v>53</v>
      </c>
      <c r="F188" s="90">
        <v>9650000</v>
      </c>
    </row>
    <row r="189" spans="1:6">
      <c r="A189" s="88"/>
      <c r="B189" s="88"/>
      <c r="C189" s="88"/>
      <c r="D189" s="88" t="s">
        <v>93</v>
      </c>
      <c r="E189" s="88" t="s">
        <v>43</v>
      </c>
      <c r="F189" s="90">
        <v>9750000</v>
      </c>
    </row>
    <row r="190" spans="1:6">
      <c r="A190" s="88"/>
      <c r="B190" s="88" t="s">
        <v>312</v>
      </c>
      <c r="C190" s="88" t="s">
        <v>313</v>
      </c>
      <c r="D190" s="88" t="s">
        <v>205</v>
      </c>
      <c r="E190" s="88" t="s">
        <v>53</v>
      </c>
      <c r="F190" s="90">
        <v>22000000</v>
      </c>
    </row>
    <row r="191" spans="1:6">
      <c r="A191" s="88"/>
      <c r="B191" s="88"/>
      <c r="C191" s="88"/>
      <c r="D191" s="88" t="s">
        <v>170</v>
      </c>
      <c r="E191" s="88" t="s">
        <v>53</v>
      </c>
      <c r="F191" s="90">
        <v>14647500</v>
      </c>
    </row>
    <row r="192" spans="1:6">
      <c r="A192" s="88"/>
      <c r="B192" s="88" t="s">
        <v>314</v>
      </c>
      <c r="C192" s="88" t="s">
        <v>315</v>
      </c>
      <c r="D192" s="88" t="s">
        <v>205</v>
      </c>
      <c r="E192" s="88" t="s">
        <v>53</v>
      </c>
      <c r="F192" s="90">
        <v>31750000</v>
      </c>
    </row>
    <row r="193" spans="1:6">
      <c r="A193" s="88"/>
      <c r="B193" s="88" t="s">
        <v>316</v>
      </c>
      <c r="C193" s="88" t="s">
        <v>317</v>
      </c>
      <c r="D193" s="88" t="s">
        <v>211</v>
      </c>
      <c r="E193" s="88" t="s">
        <v>43</v>
      </c>
      <c r="F193" s="90">
        <v>33250000</v>
      </c>
    </row>
    <row r="194" spans="1:6">
      <c r="A194" s="88"/>
      <c r="B194" s="88" t="s">
        <v>329</v>
      </c>
      <c r="C194" s="88" t="s">
        <v>330</v>
      </c>
      <c r="D194" s="88" t="s">
        <v>290</v>
      </c>
      <c r="E194" s="88" t="s">
        <v>53</v>
      </c>
      <c r="F194" s="90">
        <v>23750000</v>
      </c>
    </row>
    <row r="195" spans="1:6">
      <c r="A195" s="88"/>
      <c r="B195" s="88" t="s">
        <v>333</v>
      </c>
      <c r="C195" s="88" t="s">
        <v>334</v>
      </c>
      <c r="D195" s="88" t="s">
        <v>42</v>
      </c>
      <c r="E195" s="88" t="s">
        <v>43</v>
      </c>
      <c r="F195" s="90">
        <v>31250000</v>
      </c>
    </row>
    <row r="196" spans="1:6">
      <c r="A196" s="88"/>
      <c r="B196" s="88" t="s">
        <v>335</v>
      </c>
      <c r="C196" s="88" t="s">
        <v>336</v>
      </c>
      <c r="D196" s="88" t="s">
        <v>286</v>
      </c>
      <c r="E196" s="88" t="s">
        <v>53</v>
      </c>
      <c r="F196" s="90">
        <v>33000000</v>
      </c>
    </row>
    <row r="197" spans="1:6">
      <c r="A197" s="88"/>
      <c r="B197" s="88" t="s">
        <v>337</v>
      </c>
      <c r="C197" s="88" t="s">
        <v>338</v>
      </c>
      <c r="D197" s="88" t="s">
        <v>283</v>
      </c>
      <c r="E197" s="88" t="s">
        <v>19</v>
      </c>
      <c r="F197" s="90">
        <v>32000000</v>
      </c>
    </row>
    <row r="198" spans="1:6">
      <c r="A198" s="88"/>
      <c r="B198" s="88" t="s">
        <v>339</v>
      </c>
      <c r="C198" s="88" t="s">
        <v>340</v>
      </c>
      <c r="D198" s="88" t="s">
        <v>283</v>
      </c>
      <c r="E198" s="88" t="s">
        <v>19</v>
      </c>
      <c r="F198" s="90">
        <v>32000000</v>
      </c>
    </row>
    <row r="199" spans="1:6">
      <c r="A199" s="88"/>
      <c r="B199" s="88" t="s">
        <v>341</v>
      </c>
      <c r="C199" s="88" t="s">
        <v>342</v>
      </c>
      <c r="D199" s="88" t="s">
        <v>17</v>
      </c>
      <c r="E199" s="88" t="s">
        <v>19</v>
      </c>
      <c r="F199" s="90">
        <v>28047500</v>
      </c>
    </row>
    <row r="200" spans="1:6">
      <c r="A200" s="88"/>
      <c r="B200" s="88" t="s">
        <v>349</v>
      </c>
      <c r="C200" s="88" t="s">
        <v>350</v>
      </c>
      <c r="D200" s="88" t="s">
        <v>91</v>
      </c>
      <c r="E200" s="88" t="s">
        <v>19</v>
      </c>
      <c r="F200" s="90">
        <v>9750000</v>
      </c>
    </row>
    <row r="201" spans="1:6">
      <c r="A201" s="88"/>
      <c r="B201" s="88"/>
      <c r="C201" s="88"/>
      <c r="D201" s="88" t="s">
        <v>93</v>
      </c>
      <c r="E201" s="88" t="s">
        <v>43</v>
      </c>
      <c r="F201" s="90">
        <v>11000000</v>
      </c>
    </row>
    <row r="202" spans="1:6">
      <c r="A202" s="88"/>
      <c r="B202" s="88" t="s">
        <v>354</v>
      </c>
      <c r="C202" s="88" t="s">
        <v>355</v>
      </c>
      <c r="D202" s="88" t="s">
        <v>176</v>
      </c>
      <c r="E202" s="88" t="s">
        <v>53</v>
      </c>
      <c r="F202" s="90">
        <v>38000000</v>
      </c>
    </row>
    <row r="203" spans="1:6">
      <c r="A203" s="88"/>
      <c r="B203" s="88" t="s">
        <v>363</v>
      </c>
      <c r="C203" s="88"/>
      <c r="D203" s="88" t="s">
        <v>119</v>
      </c>
      <c r="E203" s="88" t="s">
        <v>53</v>
      </c>
      <c r="F203" s="90">
        <v>1000000</v>
      </c>
    </row>
    <row r="204" spans="1:6">
      <c r="A204" s="88"/>
      <c r="B204" s="88" t="s">
        <v>364</v>
      </c>
      <c r="C204" s="88" t="s">
        <v>365</v>
      </c>
      <c r="D204" s="88" t="s">
        <v>230</v>
      </c>
      <c r="E204" s="88" t="s">
        <v>19</v>
      </c>
      <c r="F204" s="90">
        <v>30555556</v>
      </c>
    </row>
    <row r="205" spans="1:6">
      <c r="A205" s="88"/>
      <c r="B205" s="88" t="s">
        <v>370</v>
      </c>
      <c r="C205" s="88"/>
      <c r="D205" s="88" t="s">
        <v>230</v>
      </c>
      <c r="E205" s="88" t="s">
        <v>19</v>
      </c>
      <c r="F205" s="90">
        <v>9027778</v>
      </c>
    </row>
    <row r="206" spans="1:6">
      <c r="A206" s="88"/>
      <c r="B206" s="88" t="s">
        <v>371</v>
      </c>
      <c r="C206" s="88" t="s">
        <v>372</v>
      </c>
      <c r="D206" s="88" t="s">
        <v>161</v>
      </c>
      <c r="E206" s="88" t="s">
        <v>53</v>
      </c>
      <c r="F206" s="90">
        <v>22500000</v>
      </c>
    </row>
    <row r="207" spans="1:6">
      <c r="A207" s="88"/>
      <c r="B207" s="88" t="s">
        <v>373</v>
      </c>
      <c r="C207" s="88" t="s">
        <v>374</v>
      </c>
      <c r="D207" s="88" t="s">
        <v>208</v>
      </c>
      <c r="E207" s="88" t="s">
        <v>19</v>
      </c>
      <c r="F207" s="90">
        <v>12500000</v>
      </c>
    </row>
    <row r="208" spans="1:6">
      <c r="A208" s="88"/>
      <c r="B208" s="88" t="s">
        <v>375</v>
      </c>
      <c r="C208" s="88" t="s">
        <v>376</v>
      </c>
      <c r="D208" s="88" t="s">
        <v>208</v>
      </c>
      <c r="E208" s="88" t="s">
        <v>19</v>
      </c>
      <c r="F208" s="90">
        <v>12500000</v>
      </c>
    </row>
    <row r="209" spans="1:6">
      <c r="A209" s="88"/>
      <c r="B209" s="88" t="s">
        <v>399</v>
      </c>
      <c r="C209" s="88" t="s">
        <v>400</v>
      </c>
      <c r="D209" s="88" t="s">
        <v>266</v>
      </c>
      <c r="E209" s="88" t="s">
        <v>43</v>
      </c>
      <c r="F209" s="90">
        <v>30500000</v>
      </c>
    </row>
    <row r="210" spans="1:6">
      <c r="A210" s="88" t="s">
        <v>554</v>
      </c>
      <c r="B210" s="88"/>
      <c r="C210" s="88"/>
      <c r="D210" s="88"/>
      <c r="E210" s="88"/>
      <c r="F210" s="90">
        <v>1908182595</v>
      </c>
    </row>
    <row r="211" spans="1:6">
      <c r="A211" s="88" t="s">
        <v>252</v>
      </c>
      <c r="B211" s="88" t="s">
        <v>252</v>
      </c>
      <c r="C211" s="88" t="s">
        <v>252</v>
      </c>
      <c r="D211" s="88" t="s">
        <v>252</v>
      </c>
      <c r="E211" s="88" t="s">
        <v>252</v>
      </c>
      <c r="F211" s="90"/>
    </row>
    <row r="212" spans="1:6">
      <c r="A212" s="88" t="s">
        <v>546</v>
      </c>
      <c r="B212" s="88"/>
      <c r="C212" s="88"/>
      <c r="D212" s="88"/>
      <c r="E212" s="88"/>
      <c r="F212" s="90"/>
    </row>
    <row r="213" spans="1:6">
      <c r="A213" s="88" t="s">
        <v>256</v>
      </c>
      <c r="B213" s="88" t="s">
        <v>253</v>
      </c>
      <c r="C213" s="88" t="s">
        <v>254</v>
      </c>
      <c r="D213" s="88" t="s">
        <v>255</v>
      </c>
      <c r="E213" s="88" t="s">
        <v>257</v>
      </c>
      <c r="F213" s="90">
        <v>146625000</v>
      </c>
    </row>
    <row r="214" spans="1:6">
      <c r="A214" s="88"/>
      <c r="B214" s="88" t="s">
        <v>258</v>
      </c>
      <c r="C214" s="88" t="s">
        <v>259</v>
      </c>
      <c r="D214" s="88" t="s">
        <v>260</v>
      </c>
      <c r="E214" s="88" t="s">
        <v>261</v>
      </c>
      <c r="F214" s="90">
        <v>13156000</v>
      </c>
    </row>
    <row r="215" spans="1:6">
      <c r="A215" s="88"/>
      <c r="B215" s="88"/>
      <c r="C215" s="88"/>
      <c r="D215" s="88" t="s">
        <v>262</v>
      </c>
      <c r="E215" s="88" t="s">
        <v>261</v>
      </c>
      <c r="F215" s="90">
        <v>84483000</v>
      </c>
    </row>
    <row r="216" spans="1:6">
      <c r="A216" s="88"/>
      <c r="B216" s="88"/>
      <c r="C216" s="88"/>
      <c r="D216" s="88" t="s">
        <v>263</v>
      </c>
      <c r="E216" s="88" t="s">
        <v>261</v>
      </c>
      <c r="F216" s="90">
        <v>4550000</v>
      </c>
    </row>
    <row r="217" spans="1:6">
      <c r="A217" s="88" t="s">
        <v>555</v>
      </c>
      <c r="B217" s="88"/>
      <c r="C217" s="88"/>
      <c r="D217" s="88"/>
      <c r="E217" s="88"/>
      <c r="F217" s="90">
        <v>248814000</v>
      </c>
    </row>
    <row r="218" spans="1:6">
      <c r="A218" s="88" t="s">
        <v>49</v>
      </c>
      <c r="B218" s="88" t="s">
        <v>46</v>
      </c>
      <c r="C218" s="88" t="s">
        <v>47</v>
      </c>
      <c r="D218" s="88" t="s">
        <v>51</v>
      </c>
      <c r="E218" s="88" t="s">
        <v>50</v>
      </c>
      <c r="F218" s="90">
        <v>17183424</v>
      </c>
    </row>
    <row r="219" spans="1:6">
      <c r="A219" s="88"/>
      <c r="B219" s="88"/>
      <c r="C219" s="88"/>
      <c r="D219" s="88" t="s">
        <v>52</v>
      </c>
      <c r="E219" s="88" t="s">
        <v>53</v>
      </c>
      <c r="F219" s="90">
        <v>3396093</v>
      </c>
    </row>
    <row r="220" spans="1:6">
      <c r="A220" s="88"/>
      <c r="B220" s="88"/>
      <c r="C220" s="88"/>
      <c r="D220" s="88" t="s">
        <v>48</v>
      </c>
      <c r="E220" s="88" t="s">
        <v>50</v>
      </c>
      <c r="F220" s="90">
        <v>2363192</v>
      </c>
    </row>
    <row r="221" spans="1:6">
      <c r="A221" s="88"/>
      <c r="B221" s="88" t="s">
        <v>79</v>
      </c>
      <c r="C221" s="88" t="s">
        <v>80</v>
      </c>
      <c r="D221" s="88" t="s">
        <v>81</v>
      </c>
      <c r="E221" s="88" t="s">
        <v>50</v>
      </c>
      <c r="F221" s="90">
        <v>23619802</v>
      </c>
    </row>
    <row r="222" spans="1:6">
      <c r="A222" s="88"/>
      <c r="B222" s="88" t="s">
        <v>82</v>
      </c>
      <c r="C222" s="88" t="s">
        <v>83</v>
      </c>
      <c r="D222" s="88" t="s">
        <v>84</v>
      </c>
      <c r="E222" s="88" t="s">
        <v>50</v>
      </c>
      <c r="F222" s="90">
        <v>35982996</v>
      </c>
    </row>
    <row r="223" spans="1:6">
      <c r="A223" s="88"/>
      <c r="B223" s="88" t="s">
        <v>125</v>
      </c>
      <c r="C223" s="88" t="s">
        <v>126</v>
      </c>
      <c r="D223" s="88" t="s">
        <v>127</v>
      </c>
      <c r="E223" s="88" t="s">
        <v>53</v>
      </c>
      <c r="F223" s="90">
        <v>2000000</v>
      </c>
    </row>
    <row r="224" spans="1:6">
      <c r="A224" s="88"/>
      <c r="B224" s="88" t="s">
        <v>128</v>
      </c>
      <c r="C224" s="88" t="s">
        <v>129</v>
      </c>
      <c r="D224" s="88" t="s">
        <v>51</v>
      </c>
      <c r="E224" s="88" t="s">
        <v>50</v>
      </c>
      <c r="F224" s="90">
        <v>33053038</v>
      </c>
    </row>
    <row r="225" spans="1:6">
      <c r="A225" s="88"/>
      <c r="B225" s="88" t="s">
        <v>131</v>
      </c>
      <c r="C225" s="88" t="s">
        <v>132</v>
      </c>
      <c r="D225" s="88" t="s">
        <v>130</v>
      </c>
      <c r="E225" s="88" t="s">
        <v>53</v>
      </c>
      <c r="F225" s="90">
        <v>1550000</v>
      </c>
    </row>
    <row r="226" spans="1:6">
      <c r="A226" s="88"/>
      <c r="B226" s="88" t="s">
        <v>162</v>
      </c>
      <c r="C226" s="88" t="s">
        <v>163</v>
      </c>
      <c r="D226" s="88" t="s">
        <v>51</v>
      </c>
      <c r="E226" s="88" t="s">
        <v>50</v>
      </c>
      <c r="F226" s="90">
        <v>2749483</v>
      </c>
    </row>
    <row r="227" spans="1:6">
      <c r="A227" s="88"/>
      <c r="B227" s="88"/>
      <c r="C227" s="88"/>
      <c r="D227" s="88" t="s">
        <v>48</v>
      </c>
      <c r="E227" s="88" t="s">
        <v>50</v>
      </c>
      <c r="F227" s="90">
        <v>4476431</v>
      </c>
    </row>
    <row r="228" spans="1:6">
      <c r="A228" s="88"/>
      <c r="B228" s="88" t="s">
        <v>195</v>
      </c>
      <c r="C228" s="88" t="s">
        <v>196</v>
      </c>
      <c r="D228" s="88" t="s">
        <v>197</v>
      </c>
      <c r="E228" s="88" t="s">
        <v>53</v>
      </c>
      <c r="F228" s="90">
        <v>2032698</v>
      </c>
    </row>
    <row r="229" spans="1:6">
      <c r="A229" s="88"/>
      <c r="B229" s="88" t="s">
        <v>217</v>
      </c>
      <c r="C229" s="88" t="s">
        <v>218</v>
      </c>
      <c r="D229" s="88" t="s">
        <v>164</v>
      </c>
      <c r="E229" s="88" t="s">
        <v>50</v>
      </c>
      <c r="F229" s="90">
        <v>33303029</v>
      </c>
    </row>
    <row r="230" spans="1:6">
      <c r="A230" s="88"/>
      <c r="B230" s="88" t="s">
        <v>324</v>
      </c>
      <c r="C230" s="88" t="s">
        <v>325</v>
      </c>
      <c r="D230" s="88" t="s">
        <v>48</v>
      </c>
      <c r="E230" s="88" t="s">
        <v>50</v>
      </c>
      <c r="F230" s="90">
        <v>25373468</v>
      </c>
    </row>
    <row r="231" spans="1:6">
      <c r="A231" s="88"/>
      <c r="B231" s="88" t="s">
        <v>343</v>
      </c>
      <c r="C231" s="88" t="s">
        <v>344</v>
      </c>
      <c r="D231" s="88" t="s">
        <v>81</v>
      </c>
      <c r="E231" s="88" t="s">
        <v>50</v>
      </c>
      <c r="F231" s="90">
        <v>4181032</v>
      </c>
    </row>
    <row r="232" spans="1:6">
      <c r="A232" s="88"/>
      <c r="B232" s="88" t="s">
        <v>347</v>
      </c>
      <c r="C232" s="88" t="s">
        <v>348</v>
      </c>
      <c r="D232" s="88" t="s">
        <v>133</v>
      </c>
      <c r="E232" s="88" t="s">
        <v>59</v>
      </c>
      <c r="F232" s="90">
        <v>10480000</v>
      </c>
    </row>
    <row r="233" spans="1:6">
      <c r="A233" s="88"/>
      <c r="B233" s="88" t="s">
        <v>359</v>
      </c>
      <c r="C233" s="88" t="s">
        <v>360</v>
      </c>
      <c r="D233" s="88" t="s">
        <v>134</v>
      </c>
      <c r="E233" s="88" t="s">
        <v>135</v>
      </c>
      <c r="F233" s="90">
        <v>3760000</v>
      </c>
    </row>
    <row r="234" spans="1:6">
      <c r="A234" s="88"/>
      <c r="B234" s="88" t="s">
        <v>361</v>
      </c>
      <c r="C234" s="88" t="s">
        <v>362</v>
      </c>
      <c r="D234" s="88" t="s">
        <v>136</v>
      </c>
      <c r="E234" s="88" t="s">
        <v>50</v>
      </c>
      <c r="F234" s="90">
        <v>28271863</v>
      </c>
    </row>
    <row r="235" spans="1:6">
      <c r="A235" s="88"/>
      <c r="B235" s="88"/>
      <c r="C235" s="88"/>
      <c r="D235" s="88" t="s">
        <v>81</v>
      </c>
      <c r="E235" s="88" t="s">
        <v>50</v>
      </c>
      <c r="F235" s="90">
        <v>3249389</v>
      </c>
    </row>
    <row r="236" spans="1:6">
      <c r="A236" s="88" t="s">
        <v>556</v>
      </c>
      <c r="B236" s="88"/>
      <c r="C236" s="88"/>
      <c r="D236" s="88"/>
      <c r="E236" s="88"/>
      <c r="F236" s="90">
        <v>237025938</v>
      </c>
    </row>
    <row r="237" spans="1:6">
      <c r="A237" s="88" t="s">
        <v>194</v>
      </c>
      <c r="B237" s="88" t="s">
        <v>192</v>
      </c>
      <c r="C237" s="88" t="s">
        <v>193</v>
      </c>
      <c r="D237" s="88" t="s">
        <v>176</v>
      </c>
      <c r="E237" s="88" t="s">
        <v>53</v>
      </c>
      <c r="F237" s="90">
        <v>3347300</v>
      </c>
    </row>
    <row r="238" spans="1:6">
      <c r="A238" s="88"/>
      <c r="B238" s="88" t="s">
        <v>321</v>
      </c>
      <c r="C238" s="88" t="s">
        <v>322</v>
      </c>
      <c r="D238" s="88" t="s">
        <v>323</v>
      </c>
      <c r="E238" s="88" t="s">
        <v>59</v>
      </c>
      <c r="F238" s="90">
        <v>1673650</v>
      </c>
    </row>
    <row r="239" spans="1:6">
      <c r="A239" s="88"/>
      <c r="B239" s="88" t="s">
        <v>354</v>
      </c>
      <c r="C239" s="88" t="s">
        <v>355</v>
      </c>
      <c r="D239" s="88" t="s">
        <v>176</v>
      </c>
      <c r="E239" s="88" t="s">
        <v>53</v>
      </c>
      <c r="F239" s="90">
        <v>3347300</v>
      </c>
    </row>
    <row r="240" spans="1:6">
      <c r="A240" s="88" t="s">
        <v>557</v>
      </c>
      <c r="B240" s="88"/>
      <c r="C240" s="88"/>
      <c r="D240" s="88"/>
      <c r="E240" s="88"/>
      <c r="F240" s="90">
        <v>8368250</v>
      </c>
    </row>
    <row r="241" spans="1:6">
      <c r="A241" s="88" t="s">
        <v>44</v>
      </c>
      <c r="B241" s="88" t="s">
        <v>40</v>
      </c>
      <c r="C241" s="88" t="s">
        <v>41</v>
      </c>
      <c r="D241" s="88" t="s">
        <v>42</v>
      </c>
      <c r="E241" s="88" t="s">
        <v>43</v>
      </c>
      <c r="F241" s="90">
        <v>7250000</v>
      </c>
    </row>
    <row r="242" spans="1:6">
      <c r="A242" s="88"/>
      <c r="B242" s="88" t="s">
        <v>85</v>
      </c>
      <c r="C242" s="88" t="s">
        <v>86</v>
      </c>
      <c r="D242" s="88" t="s">
        <v>87</v>
      </c>
      <c r="E242" s="88" t="s">
        <v>53</v>
      </c>
      <c r="F242" s="90">
        <v>7250000</v>
      </c>
    </row>
    <row r="243" spans="1:6">
      <c r="A243" s="88"/>
      <c r="B243" s="88" t="s">
        <v>156</v>
      </c>
      <c r="C243" s="88" t="s">
        <v>157</v>
      </c>
      <c r="D243" s="88" t="s">
        <v>158</v>
      </c>
      <c r="E243" s="88" t="s">
        <v>53</v>
      </c>
      <c r="F243" s="90">
        <v>7750000</v>
      </c>
    </row>
    <row r="244" spans="1:6">
      <c r="A244" s="88"/>
      <c r="B244" s="88" t="s">
        <v>159</v>
      </c>
      <c r="C244" s="88" t="s">
        <v>160</v>
      </c>
      <c r="D244" s="88" t="s">
        <v>161</v>
      </c>
      <c r="E244" s="88" t="s">
        <v>53</v>
      </c>
      <c r="F244" s="90">
        <v>7250000</v>
      </c>
    </row>
    <row r="245" spans="1:6">
      <c r="A245" s="88"/>
      <c r="B245" s="88" t="s">
        <v>209</v>
      </c>
      <c r="C245" s="88" t="s">
        <v>210</v>
      </c>
      <c r="D245" s="88" t="s">
        <v>211</v>
      </c>
      <c r="E245" s="88" t="s">
        <v>43</v>
      </c>
      <c r="F245" s="90">
        <v>7250000</v>
      </c>
    </row>
    <row r="246" spans="1:6">
      <c r="A246" s="88"/>
      <c r="B246" s="88" t="s">
        <v>225</v>
      </c>
      <c r="C246" s="88" t="s">
        <v>226</v>
      </c>
      <c r="D246" s="88" t="s">
        <v>161</v>
      </c>
      <c r="E246" s="88" t="s">
        <v>53</v>
      </c>
      <c r="F246" s="90">
        <v>7250000</v>
      </c>
    </row>
    <row r="247" spans="1:6">
      <c r="A247" s="88"/>
      <c r="B247" s="88" t="s">
        <v>264</v>
      </c>
      <c r="C247" s="88" t="s">
        <v>265</v>
      </c>
      <c r="D247" s="88" t="s">
        <v>266</v>
      </c>
      <c r="E247" s="88" t="s">
        <v>43</v>
      </c>
      <c r="F247" s="90">
        <v>7250000</v>
      </c>
    </row>
    <row r="248" spans="1:6">
      <c r="A248" s="88"/>
      <c r="B248" s="88" t="s">
        <v>277</v>
      </c>
      <c r="C248" s="88" t="s">
        <v>278</v>
      </c>
      <c r="D248" s="88" t="s">
        <v>158</v>
      </c>
      <c r="E248" s="88" t="s">
        <v>53</v>
      </c>
      <c r="F248" s="90">
        <v>7750000</v>
      </c>
    </row>
    <row r="249" spans="1:6">
      <c r="A249" s="88"/>
      <c r="B249" s="88" t="s">
        <v>288</v>
      </c>
      <c r="C249" s="88" t="s">
        <v>289</v>
      </c>
      <c r="D249" s="88" t="s">
        <v>290</v>
      </c>
      <c r="E249" s="88" t="s">
        <v>53</v>
      </c>
      <c r="F249" s="90">
        <v>7250000</v>
      </c>
    </row>
    <row r="250" spans="1:6">
      <c r="A250" s="88"/>
      <c r="B250" s="88" t="s">
        <v>305</v>
      </c>
      <c r="C250" s="88" t="s">
        <v>306</v>
      </c>
      <c r="D250" s="88" t="s">
        <v>87</v>
      </c>
      <c r="E250" s="88" t="s">
        <v>53</v>
      </c>
      <c r="F250" s="90">
        <v>7250000</v>
      </c>
    </row>
    <row r="251" spans="1:6">
      <c r="A251" s="88"/>
      <c r="B251" s="88" t="s">
        <v>316</v>
      </c>
      <c r="C251" s="88" t="s">
        <v>317</v>
      </c>
      <c r="D251" s="88" t="s">
        <v>211</v>
      </c>
      <c r="E251" s="88" t="s">
        <v>43</v>
      </c>
      <c r="F251" s="90">
        <v>7250000</v>
      </c>
    </row>
    <row r="252" spans="1:6">
      <c r="A252" s="88"/>
      <c r="B252" s="88" t="s">
        <v>329</v>
      </c>
      <c r="C252" s="88" t="s">
        <v>330</v>
      </c>
      <c r="D252" s="88" t="s">
        <v>290</v>
      </c>
      <c r="E252" s="88" t="s">
        <v>53</v>
      </c>
      <c r="F252" s="90">
        <v>7250000</v>
      </c>
    </row>
    <row r="253" spans="1:6">
      <c r="A253" s="88"/>
      <c r="B253" s="88" t="s">
        <v>333</v>
      </c>
      <c r="C253" s="88" t="s">
        <v>334</v>
      </c>
      <c r="D253" s="88" t="s">
        <v>42</v>
      </c>
      <c r="E253" s="88" t="s">
        <v>43</v>
      </c>
      <c r="F253" s="90">
        <v>7250000</v>
      </c>
    </row>
    <row r="254" spans="1:6">
      <c r="A254" s="88"/>
      <c r="B254" s="88" t="s">
        <v>373</v>
      </c>
      <c r="C254" s="88" t="s">
        <v>374</v>
      </c>
      <c r="D254" s="88" t="s">
        <v>208</v>
      </c>
      <c r="E254" s="88" t="s">
        <v>19</v>
      </c>
      <c r="F254" s="90">
        <v>1750000</v>
      </c>
    </row>
    <row r="255" spans="1:6">
      <c r="A255" s="88"/>
      <c r="B255" s="88" t="s">
        <v>375</v>
      </c>
      <c r="C255" s="88" t="s">
        <v>376</v>
      </c>
      <c r="D255" s="88" t="s">
        <v>208</v>
      </c>
      <c r="E255" s="88" t="s">
        <v>19</v>
      </c>
      <c r="F255" s="90">
        <v>1750000</v>
      </c>
    </row>
    <row r="256" spans="1:6">
      <c r="A256" s="88"/>
      <c r="B256" s="88" t="s">
        <v>377</v>
      </c>
      <c r="C256" s="88" t="s">
        <v>378</v>
      </c>
      <c r="D256" s="88" t="s">
        <v>379</v>
      </c>
      <c r="E256" s="88" t="s">
        <v>14</v>
      </c>
      <c r="F256" s="90">
        <v>3800000</v>
      </c>
    </row>
    <row r="257" spans="1:6">
      <c r="A257" s="88"/>
      <c r="B257" s="88" t="s">
        <v>382</v>
      </c>
      <c r="C257" s="88" t="s">
        <v>383</v>
      </c>
      <c r="D257" s="88" t="s">
        <v>384</v>
      </c>
      <c r="E257" s="88" t="s">
        <v>261</v>
      </c>
      <c r="F257" s="90">
        <v>2200000</v>
      </c>
    </row>
    <row r="258" spans="1:6">
      <c r="A258" s="88"/>
      <c r="B258" s="88" t="s">
        <v>393</v>
      </c>
      <c r="C258" s="88"/>
      <c r="D258" s="88" t="s">
        <v>396</v>
      </c>
      <c r="E258" s="88"/>
      <c r="F258" s="90">
        <v>14500000</v>
      </c>
    </row>
    <row r="259" spans="1:6">
      <c r="A259" s="88"/>
      <c r="B259" s="88" t="s">
        <v>399</v>
      </c>
      <c r="C259" s="88" t="s">
        <v>400</v>
      </c>
      <c r="D259" s="88" t="s">
        <v>266</v>
      </c>
      <c r="E259" s="88" t="s">
        <v>43</v>
      </c>
      <c r="F259" s="90">
        <v>7250000</v>
      </c>
    </row>
    <row r="260" spans="1:6">
      <c r="A260" s="88" t="s">
        <v>558</v>
      </c>
      <c r="B260" s="88"/>
      <c r="C260" s="88"/>
      <c r="D260" s="88"/>
      <c r="E260" s="88"/>
      <c r="F260" s="90">
        <v>126500000</v>
      </c>
    </row>
    <row r="261" spans="1:6">
      <c r="A261" s="88" t="s">
        <v>94</v>
      </c>
      <c r="B261" s="88" t="s">
        <v>89</v>
      </c>
      <c r="C261" s="88" t="s">
        <v>90</v>
      </c>
      <c r="D261" s="88" t="s">
        <v>93</v>
      </c>
      <c r="E261" s="88" t="s">
        <v>43</v>
      </c>
      <c r="F261" s="90">
        <v>1000000</v>
      </c>
    </row>
    <row r="262" spans="1:6">
      <c r="A262" s="88"/>
      <c r="B262" s="88" t="s">
        <v>147</v>
      </c>
      <c r="C262" s="88" t="s">
        <v>148</v>
      </c>
      <c r="D262" s="88" t="s">
        <v>151</v>
      </c>
      <c r="E262" s="88" t="s">
        <v>53</v>
      </c>
      <c r="F262" s="90">
        <v>1200000</v>
      </c>
    </row>
    <row r="263" spans="1:6">
      <c r="A263" s="88"/>
      <c r="B263" s="88" t="s">
        <v>156</v>
      </c>
      <c r="C263" s="88" t="s">
        <v>157</v>
      </c>
      <c r="D263" s="88" t="s">
        <v>158</v>
      </c>
      <c r="E263" s="88" t="s">
        <v>53</v>
      </c>
      <c r="F263" s="90">
        <v>5750000</v>
      </c>
    </row>
    <row r="264" spans="1:6">
      <c r="A264" s="88"/>
      <c r="B264" s="88" t="s">
        <v>172</v>
      </c>
      <c r="C264" s="88" t="s">
        <v>173</v>
      </c>
      <c r="D264" s="88" t="s">
        <v>103</v>
      </c>
      <c r="E264" s="88" t="s">
        <v>43</v>
      </c>
      <c r="F264" s="90">
        <v>2850000</v>
      </c>
    </row>
    <row r="265" spans="1:6">
      <c r="A265" s="88"/>
      <c r="B265" s="88" t="s">
        <v>181</v>
      </c>
      <c r="C265" s="88" t="s">
        <v>182</v>
      </c>
      <c r="D265" s="88" t="s">
        <v>103</v>
      </c>
      <c r="E265" s="88" t="s">
        <v>43</v>
      </c>
      <c r="F265" s="90">
        <v>2850000</v>
      </c>
    </row>
    <row r="266" spans="1:6">
      <c r="A266" s="88"/>
      <c r="B266" s="88" t="s">
        <v>192</v>
      </c>
      <c r="C266" s="88" t="s">
        <v>193</v>
      </c>
      <c r="D266" s="88" t="s">
        <v>176</v>
      </c>
      <c r="E266" s="88" t="s">
        <v>53</v>
      </c>
      <c r="F266" s="90">
        <v>1850000</v>
      </c>
    </row>
    <row r="267" spans="1:6">
      <c r="A267" s="88"/>
      <c r="B267" s="88" t="s">
        <v>235</v>
      </c>
      <c r="C267" s="88" t="s">
        <v>236</v>
      </c>
      <c r="D267" s="88" t="s">
        <v>151</v>
      </c>
      <c r="E267" s="88" t="s">
        <v>53</v>
      </c>
      <c r="F267" s="90">
        <v>1200000</v>
      </c>
    </row>
    <row r="268" spans="1:6">
      <c r="A268" s="88"/>
      <c r="B268" s="88" t="s">
        <v>264</v>
      </c>
      <c r="C268" s="88" t="s">
        <v>265</v>
      </c>
      <c r="D268" s="88" t="s">
        <v>266</v>
      </c>
      <c r="E268" s="88" t="s">
        <v>43</v>
      </c>
      <c r="F268" s="90">
        <v>1750000</v>
      </c>
    </row>
    <row r="269" spans="1:6">
      <c r="A269" s="88"/>
      <c r="B269" s="88" t="s">
        <v>277</v>
      </c>
      <c r="C269" s="88" t="s">
        <v>278</v>
      </c>
      <c r="D269" s="88" t="s">
        <v>158</v>
      </c>
      <c r="E269" s="88" t="s">
        <v>53</v>
      </c>
      <c r="F269" s="90">
        <v>5750000</v>
      </c>
    </row>
    <row r="270" spans="1:6">
      <c r="A270" s="88"/>
      <c r="B270" s="88" t="s">
        <v>288</v>
      </c>
      <c r="C270" s="88" t="s">
        <v>289</v>
      </c>
      <c r="D270" s="88" t="s">
        <v>290</v>
      </c>
      <c r="E270" s="88" t="s">
        <v>53</v>
      </c>
      <c r="F270" s="90">
        <v>1600000</v>
      </c>
    </row>
    <row r="271" spans="1:6">
      <c r="A271" s="88"/>
      <c r="B271" s="88" t="s">
        <v>307</v>
      </c>
      <c r="C271" s="88" t="s">
        <v>308</v>
      </c>
      <c r="D271" s="88" t="s">
        <v>119</v>
      </c>
      <c r="E271" s="88" t="s">
        <v>53</v>
      </c>
      <c r="F271" s="90">
        <v>1250000</v>
      </c>
    </row>
    <row r="272" spans="1:6">
      <c r="A272" s="88"/>
      <c r="B272" s="88" t="s">
        <v>310</v>
      </c>
      <c r="C272" s="88" t="s">
        <v>311</v>
      </c>
      <c r="D272" s="88" t="s">
        <v>119</v>
      </c>
      <c r="E272" s="88" t="s">
        <v>53</v>
      </c>
      <c r="F272" s="90">
        <v>1250000</v>
      </c>
    </row>
    <row r="273" spans="1:6">
      <c r="A273" s="88"/>
      <c r="B273" s="88" t="s">
        <v>321</v>
      </c>
      <c r="C273" s="88" t="s">
        <v>322</v>
      </c>
      <c r="D273" s="88" t="s">
        <v>323</v>
      </c>
      <c r="E273" s="88" t="s">
        <v>59</v>
      </c>
      <c r="F273" s="90">
        <v>800000</v>
      </c>
    </row>
    <row r="274" spans="1:6">
      <c r="A274" s="88"/>
      <c r="B274" s="88" t="s">
        <v>329</v>
      </c>
      <c r="C274" s="88" t="s">
        <v>330</v>
      </c>
      <c r="D274" s="88" t="s">
        <v>290</v>
      </c>
      <c r="E274" s="88" t="s">
        <v>53</v>
      </c>
      <c r="F274" s="90">
        <v>1600000</v>
      </c>
    </row>
    <row r="275" spans="1:6">
      <c r="A275" s="88"/>
      <c r="B275" s="88" t="s">
        <v>349</v>
      </c>
      <c r="C275" s="88" t="s">
        <v>350</v>
      </c>
      <c r="D275" s="88" t="s">
        <v>93</v>
      </c>
      <c r="E275" s="88" t="s">
        <v>43</v>
      </c>
      <c r="F275" s="90">
        <v>1000000</v>
      </c>
    </row>
    <row r="276" spans="1:6">
      <c r="A276" s="88"/>
      <c r="B276" s="88" t="s">
        <v>354</v>
      </c>
      <c r="C276" s="88" t="s">
        <v>355</v>
      </c>
      <c r="D276" s="88" t="s">
        <v>176</v>
      </c>
      <c r="E276" s="88" t="s">
        <v>53</v>
      </c>
      <c r="F276" s="90">
        <v>1850000</v>
      </c>
    </row>
    <row r="277" spans="1:6">
      <c r="A277" s="88"/>
      <c r="B277" s="88" t="s">
        <v>356</v>
      </c>
      <c r="C277" s="88" t="s">
        <v>357</v>
      </c>
      <c r="D277" s="88" t="s">
        <v>358</v>
      </c>
      <c r="E277" s="88" t="s">
        <v>135</v>
      </c>
      <c r="F277" s="90">
        <v>900000</v>
      </c>
    </row>
    <row r="278" spans="1:6">
      <c r="A278" s="88"/>
      <c r="B278" s="88" t="s">
        <v>399</v>
      </c>
      <c r="C278" s="88" t="s">
        <v>400</v>
      </c>
      <c r="D278" s="88" t="s">
        <v>266</v>
      </c>
      <c r="E278" s="88" t="s">
        <v>43</v>
      </c>
      <c r="F278" s="90">
        <v>1750000</v>
      </c>
    </row>
    <row r="279" spans="1:6">
      <c r="A279" s="88" t="s">
        <v>559</v>
      </c>
      <c r="B279" s="88"/>
      <c r="C279" s="88"/>
      <c r="D279" s="88"/>
      <c r="E279" s="88"/>
      <c r="F279" s="90">
        <v>36200000</v>
      </c>
    </row>
    <row r="280" spans="1:6">
      <c r="A280" s="88" t="s">
        <v>224</v>
      </c>
      <c r="B280" s="88" t="s">
        <v>221</v>
      </c>
      <c r="C280" s="88" t="s">
        <v>222</v>
      </c>
      <c r="D280" s="88" t="s">
        <v>223</v>
      </c>
      <c r="E280" s="88" t="s">
        <v>43</v>
      </c>
      <c r="F280" s="90">
        <v>6000000</v>
      </c>
    </row>
    <row r="281" spans="1:6">
      <c r="A281" s="88"/>
      <c r="B281" s="88" t="s">
        <v>296</v>
      </c>
      <c r="C281" s="88" t="s">
        <v>297</v>
      </c>
      <c r="D281" s="88" t="s">
        <v>223</v>
      </c>
      <c r="E281" s="88" t="s">
        <v>43</v>
      </c>
      <c r="F281" s="90">
        <v>6000000</v>
      </c>
    </row>
    <row r="282" spans="1:6">
      <c r="A282" s="88" t="s">
        <v>560</v>
      </c>
      <c r="B282" s="88"/>
      <c r="C282" s="88"/>
      <c r="D282" s="88"/>
      <c r="E282" s="88"/>
      <c r="F282" s="90">
        <v>12000000</v>
      </c>
    </row>
    <row r="283" spans="1:6">
      <c r="A283" s="88" t="s">
        <v>22</v>
      </c>
      <c r="B283" s="88" t="s">
        <v>15</v>
      </c>
      <c r="C283" s="88" t="s">
        <v>16</v>
      </c>
      <c r="D283" s="88" t="s">
        <v>17</v>
      </c>
      <c r="E283" s="88" t="s">
        <v>19</v>
      </c>
      <c r="F283" s="90">
        <v>21000000</v>
      </c>
    </row>
    <row r="284" spans="1:6">
      <c r="A284" s="88"/>
      <c r="B284" s="88" t="s">
        <v>40</v>
      </c>
      <c r="C284" s="88" t="s">
        <v>41</v>
      </c>
      <c r="D284" s="88" t="s">
        <v>42</v>
      </c>
      <c r="E284" s="88" t="s">
        <v>43</v>
      </c>
      <c r="F284" s="90">
        <v>9750000</v>
      </c>
    </row>
    <row r="285" spans="1:6">
      <c r="A285" s="88"/>
      <c r="B285" s="88" t="s">
        <v>105</v>
      </c>
      <c r="C285" s="88" t="s">
        <v>106</v>
      </c>
      <c r="D285" s="88" t="s">
        <v>38</v>
      </c>
      <c r="E285" s="88" t="s">
        <v>31</v>
      </c>
      <c r="F285" s="90">
        <v>29000000</v>
      </c>
    </row>
    <row r="286" spans="1:6">
      <c r="A286" s="88"/>
      <c r="B286" s="88" t="s">
        <v>139</v>
      </c>
      <c r="C286" s="88" t="s">
        <v>140</v>
      </c>
      <c r="D286" s="88" t="s">
        <v>141</v>
      </c>
      <c r="E286" s="88" t="s">
        <v>43</v>
      </c>
      <c r="F286" s="90">
        <v>10000000</v>
      </c>
    </row>
    <row r="287" spans="1:6">
      <c r="A287" s="88"/>
      <c r="B287" s="88" t="s">
        <v>145</v>
      </c>
      <c r="C287" s="88" t="s">
        <v>146</v>
      </c>
      <c r="D287" s="88" t="s">
        <v>141</v>
      </c>
      <c r="E287" s="88" t="s">
        <v>43</v>
      </c>
      <c r="F287" s="90">
        <v>10000000</v>
      </c>
    </row>
    <row r="288" spans="1:6">
      <c r="A288" s="88"/>
      <c r="B288" s="88" t="s">
        <v>159</v>
      </c>
      <c r="C288" s="88" t="s">
        <v>160</v>
      </c>
      <c r="D288" s="88" t="s">
        <v>161</v>
      </c>
      <c r="E288" s="88" t="s">
        <v>53</v>
      </c>
      <c r="F288" s="90">
        <v>10500000</v>
      </c>
    </row>
    <row r="289" spans="1:6">
      <c r="A289" s="88"/>
      <c r="B289" s="88" t="s">
        <v>168</v>
      </c>
      <c r="C289" s="88" t="s">
        <v>169</v>
      </c>
      <c r="D289" s="88" t="s">
        <v>170</v>
      </c>
      <c r="E289" s="88" t="s">
        <v>53</v>
      </c>
      <c r="F289" s="90">
        <v>9750000</v>
      </c>
    </row>
    <row r="290" spans="1:6">
      <c r="A290" s="88"/>
      <c r="B290" s="88" t="s">
        <v>203</v>
      </c>
      <c r="C290" s="88" t="s">
        <v>204</v>
      </c>
      <c r="D290" s="88" t="s">
        <v>170</v>
      </c>
      <c r="E290" s="88" t="s">
        <v>53</v>
      </c>
      <c r="F290" s="90">
        <v>9750000</v>
      </c>
    </row>
    <row r="291" spans="1:6">
      <c r="A291" s="88"/>
      <c r="B291" s="88" t="s">
        <v>225</v>
      </c>
      <c r="C291" s="88" t="s">
        <v>226</v>
      </c>
      <c r="D291" s="88" t="s">
        <v>161</v>
      </c>
      <c r="E291" s="88" t="s">
        <v>53</v>
      </c>
      <c r="F291" s="90">
        <v>10500000</v>
      </c>
    </row>
    <row r="292" spans="1:6">
      <c r="A292" s="88"/>
      <c r="B292" s="88" t="s">
        <v>245</v>
      </c>
      <c r="C292" s="88" t="s">
        <v>246</v>
      </c>
      <c r="D292" s="88" t="s">
        <v>249</v>
      </c>
      <c r="E292" s="88" t="s">
        <v>19</v>
      </c>
      <c r="F292" s="90">
        <v>15500000</v>
      </c>
    </row>
    <row r="293" spans="1:6">
      <c r="A293" s="88"/>
      <c r="B293" s="88" t="s">
        <v>250</v>
      </c>
      <c r="C293" s="88" t="s">
        <v>251</v>
      </c>
      <c r="D293" s="88" t="s">
        <v>249</v>
      </c>
      <c r="E293" s="88" t="s">
        <v>19</v>
      </c>
      <c r="F293" s="90">
        <v>15500000</v>
      </c>
    </row>
    <row r="294" spans="1:6">
      <c r="A294" s="88"/>
      <c r="B294" s="88" t="s">
        <v>264</v>
      </c>
      <c r="C294" s="88" t="s">
        <v>265</v>
      </c>
      <c r="D294" s="88" t="s">
        <v>266</v>
      </c>
      <c r="E294" s="88" t="s">
        <v>43</v>
      </c>
      <c r="F294" s="90">
        <v>5000000</v>
      </c>
    </row>
    <row r="295" spans="1:6">
      <c r="A295" s="88"/>
      <c r="B295" s="88" t="s">
        <v>268</v>
      </c>
      <c r="C295" s="88" t="s">
        <v>269</v>
      </c>
      <c r="D295" s="88" t="s">
        <v>270</v>
      </c>
      <c r="E295" s="88" t="s">
        <v>19</v>
      </c>
      <c r="F295" s="90">
        <v>12500000</v>
      </c>
    </row>
    <row r="296" spans="1:6">
      <c r="A296" s="88"/>
      <c r="B296" s="88" t="s">
        <v>271</v>
      </c>
      <c r="C296" s="88" t="s">
        <v>272</v>
      </c>
      <c r="D296" s="88" t="s">
        <v>270</v>
      </c>
      <c r="E296" s="88" t="s">
        <v>19</v>
      </c>
      <c r="F296" s="90">
        <v>12500000</v>
      </c>
    </row>
    <row r="297" spans="1:6">
      <c r="A297" s="88"/>
      <c r="B297" s="88" t="s">
        <v>288</v>
      </c>
      <c r="C297" s="88" t="s">
        <v>289</v>
      </c>
      <c r="D297" s="88" t="s">
        <v>290</v>
      </c>
      <c r="E297" s="88" t="s">
        <v>53</v>
      </c>
      <c r="F297" s="90">
        <v>12500000</v>
      </c>
    </row>
    <row r="298" spans="1:6">
      <c r="A298" s="88"/>
      <c r="B298" s="88" t="s">
        <v>291</v>
      </c>
      <c r="C298" s="88" t="s">
        <v>292</v>
      </c>
      <c r="D298" s="88" t="s">
        <v>293</v>
      </c>
      <c r="E298" s="88" t="s">
        <v>53</v>
      </c>
      <c r="F298" s="90">
        <v>10500000</v>
      </c>
    </row>
    <row r="299" spans="1:6">
      <c r="A299" s="88"/>
      <c r="B299" s="88" t="s">
        <v>294</v>
      </c>
      <c r="C299" s="88" t="s">
        <v>295</v>
      </c>
      <c r="D299" s="88" t="s">
        <v>293</v>
      </c>
      <c r="E299" s="88" t="s">
        <v>53</v>
      </c>
      <c r="F299" s="90">
        <v>10500000</v>
      </c>
    </row>
    <row r="300" spans="1:6">
      <c r="A300" s="88"/>
      <c r="B300" s="88" t="s">
        <v>312</v>
      </c>
      <c r="C300" s="88" t="s">
        <v>313</v>
      </c>
      <c r="D300" s="88" t="s">
        <v>205</v>
      </c>
      <c r="E300" s="88" t="s">
        <v>53</v>
      </c>
      <c r="F300" s="90">
        <v>9500000</v>
      </c>
    </row>
    <row r="301" spans="1:6">
      <c r="A301" s="88"/>
      <c r="B301" s="88" t="s">
        <v>314</v>
      </c>
      <c r="C301" s="88" t="s">
        <v>315</v>
      </c>
      <c r="D301" s="88" t="s">
        <v>205</v>
      </c>
      <c r="E301" s="88" t="s">
        <v>53</v>
      </c>
      <c r="F301" s="90">
        <v>9500000</v>
      </c>
    </row>
    <row r="302" spans="1:6">
      <c r="A302" s="88"/>
      <c r="B302" s="88" t="s">
        <v>329</v>
      </c>
      <c r="C302" s="88" t="s">
        <v>330</v>
      </c>
      <c r="D302" s="88" t="s">
        <v>290</v>
      </c>
      <c r="E302" s="88" t="s">
        <v>53</v>
      </c>
      <c r="F302" s="90">
        <v>12500000</v>
      </c>
    </row>
    <row r="303" spans="1:6">
      <c r="A303" s="88"/>
      <c r="B303" s="88" t="s">
        <v>333</v>
      </c>
      <c r="C303" s="88" t="s">
        <v>334</v>
      </c>
      <c r="D303" s="88" t="s">
        <v>42</v>
      </c>
      <c r="E303" s="88" t="s">
        <v>43</v>
      </c>
      <c r="F303" s="90">
        <v>9750000</v>
      </c>
    </row>
    <row r="304" spans="1:6">
      <c r="A304" s="88"/>
      <c r="B304" s="88" t="s">
        <v>337</v>
      </c>
      <c r="C304" s="88" t="s">
        <v>338</v>
      </c>
      <c r="D304" s="88" t="s">
        <v>283</v>
      </c>
      <c r="E304" s="88" t="s">
        <v>19</v>
      </c>
      <c r="F304" s="90">
        <v>10000000</v>
      </c>
    </row>
    <row r="305" spans="1:6">
      <c r="A305" s="88"/>
      <c r="B305" s="88" t="s">
        <v>339</v>
      </c>
      <c r="C305" s="88" t="s">
        <v>340</v>
      </c>
      <c r="D305" s="88" t="s">
        <v>283</v>
      </c>
      <c r="E305" s="88" t="s">
        <v>19</v>
      </c>
      <c r="F305" s="90">
        <v>10000000</v>
      </c>
    </row>
    <row r="306" spans="1:6">
      <c r="A306" s="88"/>
      <c r="B306" s="88" t="s">
        <v>341</v>
      </c>
      <c r="C306" s="88" t="s">
        <v>342</v>
      </c>
      <c r="D306" s="88" t="s">
        <v>17</v>
      </c>
      <c r="E306" s="88" t="s">
        <v>19</v>
      </c>
      <c r="F306" s="90">
        <v>21000000</v>
      </c>
    </row>
    <row r="307" spans="1:6">
      <c r="A307" s="88"/>
      <c r="B307" s="88" t="s">
        <v>399</v>
      </c>
      <c r="C307" s="88" t="s">
        <v>400</v>
      </c>
      <c r="D307" s="88" t="s">
        <v>266</v>
      </c>
      <c r="E307" s="88" t="s">
        <v>43</v>
      </c>
      <c r="F307" s="90">
        <v>5000000</v>
      </c>
    </row>
    <row r="308" spans="1:6">
      <c r="A308" s="88" t="s">
        <v>561</v>
      </c>
      <c r="B308" s="88"/>
      <c r="C308" s="88"/>
      <c r="D308" s="88"/>
      <c r="E308" s="88"/>
      <c r="F308" s="90">
        <v>302000000</v>
      </c>
    </row>
    <row r="309" spans="1:6">
      <c r="A309" s="88" t="s">
        <v>23</v>
      </c>
      <c r="B309" s="88" t="s">
        <v>15</v>
      </c>
      <c r="C309" s="88" t="s">
        <v>16</v>
      </c>
      <c r="D309" s="88" t="s">
        <v>17</v>
      </c>
      <c r="E309" s="88" t="s">
        <v>19</v>
      </c>
      <c r="F309" s="90">
        <v>1050000</v>
      </c>
    </row>
    <row r="310" spans="1:6">
      <c r="A310" s="88"/>
      <c r="B310" s="88" t="s">
        <v>139</v>
      </c>
      <c r="C310" s="88" t="s">
        <v>140</v>
      </c>
      <c r="D310" s="88" t="s">
        <v>141</v>
      </c>
      <c r="E310" s="88" t="s">
        <v>43</v>
      </c>
      <c r="F310" s="90">
        <v>2277613.125</v>
      </c>
    </row>
    <row r="311" spans="1:6">
      <c r="A311" s="88"/>
      <c r="B311" s="88" t="s">
        <v>145</v>
      </c>
      <c r="C311" s="88" t="s">
        <v>146</v>
      </c>
      <c r="D311" s="88" t="s">
        <v>141</v>
      </c>
      <c r="E311" s="88" t="s">
        <v>43</v>
      </c>
      <c r="F311" s="90">
        <v>2277613.125</v>
      </c>
    </row>
    <row r="312" spans="1:6">
      <c r="A312" s="88"/>
      <c r="B312" s="88" t="s">
        <v>147</v>
      </c>
      <c r="C312" s="88" t="s">
        <v>148</v>
      </c>
      <c r="D312" s="88" t="s">
        <v>151</v>
      </c>
      <c r="E312" s="88" t="s">
        <v>53</v>
      </c>
      <c r="F312" s="90">
        <v>3493779.375</v>
      </c>
    </row>
    <row r="313" spans="1:6">
      <c r="A313" s="88"/>
      <c r="B313" s="88" t="s">
        <v>168</v>
      </c>
      <c r="C313" s="88" t="s">
        <v>169</v>
      </c>
      <c r="D313" s="88" t="s">
        <v>170</v>
      </c>
      <c r="E313" s="88" t="s">
        <v>53</v>
      </c>
      <c r="F313" s="90">
        <v>1098875</v>
      </c>
    </row>
    <row r="314" spans="1:6">
      <c r="A314" s="88"/>
      <c r="B314" s="88" t="s">
        <v>192</v>
      </c>
      <c r="C314" s="88" t="s">
        <v>193</v>
      </c>
      <c r="D314" s="88" t="s">
        <v>176</v>
      </c>
      <c r="E314" s="88" t="s">
        <v>53</v>
      </c>
      <c r="F314" s="90">
        <v>5701828.75</v>
      </c>
    </row>
    <row r="315" spans="1:6">
      <c r="A315" s="88"/>
      <c r="B315" s="88" t="s">
        <v>203</v>
      </c>
      <c r="C315" s="88" t="s">
        <v>204</v>
      </c>
      <c r="D315" s="88" t="s">
        <v>170</v>
      </c>
      <c r="E315" s="88" t="s">
        <v>53</v>
      </c>
      <c r="F315" s="90">
        <v>1098875</v>
      </c>
    </row>
    <row r="316" spans="1:6">
      <c r="A316" s="88"/>
      <c r="B316" s="88" t="s">
        <v>235</v>
      </c>
      <c r="C316" s="88" t="s">
        <v>236</v>
      </c>
      <c r="D316" s="88" t="s">
        <v>151</v>
      </c>
      <c r="E316" s="88" t="s">
        <v>53</v>
      </c>
      <c r="F316" s="90">
        <v>3493779.375</v>
      </c>
    </row>
    <row r="317" spans="1:6">
      <c r="A317" s="88"/>
      <c r="B317" s="88" t="s">
        <v>268</v>
      </c>
      <c r="C317" s="88" t="s">
        <v>269</v>
      </c>
      <c r="D317" s="88" t="s">
        <v>270</v>
      </c>
      <c r="E317" s="88" t="s">
        <v>19</v>
      </c>
      <c r="F317" s="90">
        <v>1736695</v>
      </c>
    </row>
    <row r="318" spans="1:6">
      <c r="A318" s="88"/>
      <c r="B318" s="88" t="s">
        <v>271</v>
      </c>
      <c r="C318" s="88" t="s">
        <v>272</v>
      </c>
      <c r="D318" s="88" t="s">
        <v>270</v>
      </c>
      <c r="E318" s="88" t="s">
        <v>19</v>
      </c>
      <c r="F318" s="90">
        <v>1736695</v>
      </c>
    </row>
    <row r="319" spans="1:6">
      <c r="A319" s="88"/>
      <c r="B319" s="88" t="s">
        <v>284</v>
      </c>
      <c r="C319" s="88" t="s">
        <v>285</v>
      </c>
      <c r="D319" s="88" t="s">
        <v>286</v>
      </c>
      <c r="E319" s="88" t="s">
        <v>53</v>
      </c>
      <c r="F319" s="90">
        <v>5000000</v>
      </c>
    </row>
    <row r="320" spans="1:6">
      <c r="A320" s="88"/>
      <c r="B320" s="88" t="s">
        <v>291</v>
      </c>
      <c r="C320" s="88" t="s">
        <v>292</v>
      </c>
      <c r="D320" s="88" t="s">
        <v>293</v>
      </c>
      <c r="E320" s="88" t="s">
        <v>53</v>
      </c>
      <c r="F320" s="90">
        <v>7123648.375</v>
      </c>
    </row>
    <row r="321" spans="1:6">
      <c r="A321" s="88"/>
      <c r="B321" s="88" t="s">
        <v>294</v>
      </c>
      <c r="C321" s="88" t="s">
        <v>295</v>
      </c>
      <c r="D321" s="88" t="s">
        <v>293</v>
      </c>
      <c r="E321" s="88" t="s">
        <v>53</v>
      </c>
      <c r="F321" s="90">
        <v>7123648.375</v>
      </c>
    </row>
    <row r="322" spans="1:6">
      <c r="A322" s="88"/>
      <c r="B322" s="88" t="s">
        <v>312</v>
      </c>
      <c r="C322" s="88" t="s">
        <v>313</v>
      </c>
      <c r="D322" s="88" t="s">
        <v>205</v>
      </c>
      <c r="E322" s="88" t="s">
        <v>53</v>
      </c>
      <c r="F322" s="90">
        <v>5000000</v>
      </c>
    </row>
    <row r="323" spans="1:6">
      <c r="A323" s="88"/>
      <c r="B323" s="88" t="s">
        <v>314</v>
      </c>
      <c r="C323" s="88" t="s">
        <v>315</v>
      </c>
      <c r="D323" s="88" t="s">
        <v>205</v>
      </c>
      <c r="E323" s="88" t="s">
        <v>53</v>
      </c>
      <c r="F323" s="90">
        <v>5000000</v>
      </c>
    </row>
    <row r="324" spans="1:6">
      <c r="A324" s="88"/>
      <c r="B324" s="88" t="s">
        <v>321</v>
      </c>
      <c r="C324" s="88" t="s">
        <v>322</v>
      </c>
      <c r="D324" s="88" t="s">
        <v>323</v>
      </c>
      <c r="E324" s="88" t="s">
        <v>59</v>
      </c>
      <c r="F324" s="90">
        <v>1071322</v>
      </c>
    </row>
    <row r="325" spans="1:6">
      <c r="A325" s="88"/>
      <c r="B325" s="88" t="s">
        <v>335</v>
      </c>
      <c r="C325" s="88" t="s">
        <v>336</v>
      </c>
      <c r="D325" s="88" t="s">
        <v>286</v>
      </c>
      <c r="E325" s="88" t="s">
        <v>53</v>
      </c>
      <c r="F325" s="90">
        <v>5000000</v>
      </c>
    </row>
    <row r="326" spans="1:6">
      <c r="A326" s="88"/>
      <c r="B326" s="88" t="s">
        <v>341</v>
      </c>
      <c r="C326" s="88" t="s">
        <v>342</v>
      </c>
      <c r="D326" s="88" t="s">
        <v>17</v>
      </c>
      <c r="E326" s="88" t="s">
        <v>19</v>
      </c>
      <c r="F326" s="90">
        <v>1050000</v>
      </c>
    </row>
    <row r="327" spans="1:6">
      <c r="A327" s="88"/>
      <c r="B327" s="88" t="s">
        <v>354</v>
      </c>
      <c r="C327" s="88" t="s">
        <v>355</v>
      </c>
      <c r="D327" s="88" t="s">
        <v>176</v>
      </c>
      <c r="E327" s="88" t="s">
        <v>53</v>
      </c>
      <c r="F327" s="90">
        <v>5701828.75</v>
      </c>
    </row>
    <row r="328" spans="1:6">
      <c r="A328" s="88" t="s">
        <v>562</v>
      </c>
      <c r="B328" s="88"/>
      <c r="C328" s="88"/>
      <c r="D328" s="88"/>
      <c r="E328" s="88"/>
      <c r="F328" s="90">
        <v>66036201.25</v>
      </c>
    </row>
    <row r="329" spans="1:6">
      <c r="A329" s="88" t="s">
        <v>24</v>
      </c>
      <c r="B329" s="88" t="s">
        <v>15</v>
      </c>
      <c r="C329" s="88" t="s">
        <v>16</v>
      </c>
      <c r="D329" s="88" t="s">
        <v>17</v>
      </c>
      <c r="E329" s="88" t="s">
        <v>19</v>
      </c>
      <c r="F329" s="90">
        <v>896000</v>
      </c>
    </row>
    <row r="330" spans="1:6">
      <c r="A330" s="88"/>
      <c r="B330" s="88" t="s">
        <v>60</v>
      </c>
      <c r="C330" s="88" t="s">
        <v>61</v>
      </c>
      <c r="D330" s="88" t="s">
        <v>62</v>
      </c>
      <c r="E330" s="88" t="s">
        <v>31</v>
      </c>
      <c r="F330" s="90">
        <v>6000000</v>
      </c>
    </row>
    <row r="331" spans="1:6">
      <c r="A331" s="88"/>
      <c r="B331" s="88" t="s">
        <v>85</v>
      </c>
      <c r="C331" s="88" t="s">
        <v>86</v>
      </c>
      <c r="D331" s="88" t="s">
        <v>87</v>
      </c>
      <c r="E331" s="88" t="s">
        <v>53</v>
      </c>
      <c r="F331" s="90">
        <v>9000000</v>
      </c>
    </row>
    <row r="332" spans="1:6">
      <c r="A332" s="88"/>
      <c r="B332" s="88" t="s">
        <v>107</v>
      </c>
      <c r="C332" s="88" t="s">
        <v>108</v>
      </c>
      <c r="D332" s="88" t="s">
        <v>109</v>
      </c>
      <c r="E332" s="88" t="s">
        <v>19</v>
      </c>
      <c r="F332" s="90">
        <v>17500000</v>
      </c>
    </row>
    <row r="333" spans="1:6">
      <c r="A333" s="88"/>
      <c r="B333" s="88" t="s">
        <v>120</v>
      </c>
      <c r="C333" s="88" t="s">
        <v>121</v>
      </c>
      <c r="D333" s="88" t="s">
        <v>109</v>
      </c>
      <c r="E333" s="88" t="s">
        <v>19</v>
      </c>
      <c r="F333" s="90">
        <v>17500000</v>
      </c>
    </row>
    <row r="334" spans="1:6">
      <c r="A334" s="88"/>
      <c r="B334" s="88" t="s">
        <v>168</v>
      </c>
      <c r="C334" s="88" t="s">
        <v>169</v>
      </c>
      <c r="D334" s="88" t="s">
        <v>170</v>
      </c>
      <c r="E334" s="88" t="s">
        <v>53</v>
      </c>
      <c r="F334" s="90">
        <v>13500000</v>
      </c>
    </row>
    <row r="335" spans="1:6">
      <c r="A335" s="88"/>
      <c r="B335" s="88" t="s">
        <v>192</v>
      </c>
      <c r="C335" s="88" t="s">
        <v>193</v>
      </c>
      <c r="D335" s="88" t="s">
        <v>176</v>
      </c>
      <c r="E335" s="88" t="s">
        <v>53</v>
      </c>
      <c r="F335" s="90">
        <v>2030000</v>
      </c>
    </row>
    <row r="336" spans="1:6">
      <c r="A336" s="88"/>
      <c r="B336" s="88" t="s">
        <v>198</v>
      </c>
      <c r="C336" s="88" t="s">
        <v>199</v>
      </c>
      <c r="D336" s="88" t="s">
        <v>200</v>
      </c>
      <c r="E336" s="88" t="s">
        <v>31</v>
      </c>
      <c r="F336" s="90">
        <v>6000000</v>
      </c>
    </row>
    <row r="337" spans="1:6">
      <c r="A337" s="88"/>
      <c r="B337" s="88" t="s">
        <v>203</v>
      </c>
      <c r="C337" s="88" t="s">
        <v>204</v>
      </c>
      <c r="D337" s="88" t="s">
        <v>170</v>
      </c>
      <c r="E337" s="88" t="s">
        <v>53</v>
      </c>
      <c r="F337" s="90">
        <v>13500000</v>
      </c>
    </row>
    <row r="338" spans="1:6">
      <c r="A338" s="88"/>
      <c r="B338" s="88" t="s">
        <v>209</v>
      </c>
      <c r="C338" s="88" t="s">
        <v>210</v>
      </c>
      <c r="D338" s="88" t="s">
        <v>211</v>
      </c>
      <c r="E338" s="88" t="s">
        <v>43</v>
      </c>
      <c r="F338" s="90">
        <v>4500000</v>
      </c>
    </row>
    <row r="339" spans="1:6">
      <c r="A339" s="88"/>
      <c r="B339" s="88" t="s">
        <v>225</v>
      </c>
      <c r="C339" s="88" t="s">
        <v>226</v>
      </c>
      <c r="D339" s="88" t="s">
        <v>161</v>
      </c>
      <c r="E339" s="88" t="s">
        <v>53</v>
      </c>
      <c r="F339" s="90">
        <v>9000000</v>
      </c>
    </row>
    <row r="340" spans="1:6">
      <c r="A340" s="88"/>
      <c r="B340" s="88" t="s">
        <v>237</v>
      </c>
      <c r="C340" s="88" t="s">
        <v>238</v>
      </c>
      <c r="D340" s="88" t="s">
        <v>200</v>
      </c>
      <c r="E340" s="88" t="s">
        <v>31</v>
      </c>
      <c r="F340" s="90">
        <v>6000000</v>
      </c>
    </row>
    <row r="341" spans="1:6">
      <c r="A341" s="88"/>
      <c r="B341" s="88" t="s">
        <v>264</v>
      </c>
      <c r="C341" s="88" t="s">
        <v>265</v>
      </c>
      <c r="D341" s="88" t="s">
        <v>266</v>
      </c>
      <c r="E341" s="88" t="s">
        <v>43</v>
      </c>
      <c r="F341" s="90">
        <v>20500000</v>
      </c>
    </row>
    <row r="342" spans="1:6">
      <c r="A342" s="88"/>
      <c r="B342" s="88" t="s">
        <v>268</v>
      </c>
      <c r="C342" s="88" t="s">
        <v>269</v>
      </c>
      <c r="D342" s="88" t="s">
        <v>270</v>
      </c>
      <c r="E342" s="88" t="s">
        <v>19</v>
      </c>
      <c r="F342" s="90">
        <v>13320000</v>
      </c>
    </row>
    <row r="343" spans="1:6">
      <c r="A343" s="88"/>
      <c r="B343" s="88" t="s">
        <v>271</v>
      </c>
      <c r="C343" s="88" t="s">
        <v>272</v>
      </c>
      <c r="D343" s="88" t="s">
        <v>270</v>
      </c>
      <c r="E343" s="88" t="s">
        <v>19</v>
      </c>
      <c r="F343" s="90">
        <v>13320000</v>
      </c>
    </row>
    <row r="344" spans="1:6">
      <c r="A344" s="88"/>
      <c r="B344" s="88" t="s">
        <v>273</v>
      </c>
      <c r="C344" s="88" t="s">
        <v>274</v>
      </c>
      <c r="D344" s="88" t="s">
        <v>276</v>
      </c>
      <c r="E344" s="88" t="s">
        <v>53</v>
      </c>
      <c r="F344" s="90">
        <v>11950000</v>
      </c>
    </row>
    <row r="345" spans="1:6">
      <c r="A345" s="88"/>
      <c r="B345" s="88" t="s">
        <v>281</v>
      </c>
      <c r="C345" s="88" t="s">
        <v>282</v>
      </c>
      <c r="D345" s="88" t="s">
        <v>276</v>
      </c>
      <c r="E345" s="88" t="s">
        <v>53</v>
      </c>
      <c r="F345" s="90">
        <v>9000000</v>
      </c>
    </row>
    <row r="346" spans="1:6">
      <c r="A346" s="88"/>
      <c r="B346" s="88" t="s">
        <v>284</v>
      </c>
      <c r="C346" s="88" t="s">
        <v>285</v>
      </c>
      <c r="D346" s="88" t="s">
        <v>286</v>
      </c>
      <c r="E346" s="88" t="s">
        <v>53</v>
      </c>
      <c r="F346" s="90">
        <v>3000000</v>
      </c>
    </row>
    <row r="347" spans="1:6">
      <c r="A347" s="88"/>
      <c r="B347" s="88" t="s">
        <v>288</v>
      </c>
      <c r="C347" s="88" t="s">
        <v>289</v>
      </c>
      <c r="D347" s="88" t="s">
        <v>290</v>
      </c>
      <c r="E347" s="88" t="s">
        <v>53</v>
      </c>
      <c r="F347" s="90">
        <v>4500000</v>
      </c>
    </row>
    <row r="348" spans="1:6">
      <c r="A348" s="88"/>
      <c r="B348" s="88" t="s">
        <v>291</v>
      </c>
      <c r="C348" s="88" t="s">
        <v>292</v>
      </c>
      <c r="D348" s="88" t="s">
        <v>293</v>
      </c>
      <c r="E348" s="88" t="s">
        <v>53</v>
      </c>
      <c r="F348" s="90">
        <v>9000000</v>
      </c>
    </row>
    <row r="349" spans="1:6">
      <c r="A349" s="88"/>
      <c r="B349" s="88" t="s">
        <v>294</v>
      </c>
      <c r="C349" s="88" t="s">
        <v>295</v>
      </c>
      <c r="D349" s="88" t="s">
        <v>293</v>
      </c>
      <c r="E349" s="88" t="s">
        <v>53</v>
      </c>
      <c r="F349" s="90">
        <v>9000000</v>
      </c>
    </row>
    <row r="350" spans="1:6">
      <c r="A350" s="88"/>
      <c r="B350" s="88" t="s">
        <v>303</v>
      </c>
      <c r="C350" s="88" t="s">
        <v>304</v>
      </c>
      <c r="D350" s="88" t="s">
        <v>276</v>
      </c>
      <c r="E350" s="88" t="s">
        <v>53</v>
      </c>
      <c r="F350" s="90">
        <v>11950000</v>
      </c>
    </row>
    <row r="351" spans="1:6">
      <c r="A351" s="88"/>
      <c r="B351" s="88" t="s">
        <v>305</v>
      </c>
      <c r="C351" s="88" t="s">
        <v>306</v>
      </c>
      <c r="D351" s="88" t="s">
        <v>87</v>
      </c>
      <c r="E351" s="88" t="s">
        <v>53</v>
      </c>
      <c r="F351" s="90">
        <v>9000000</v>
      </c>
    </row>
    <row r="352" spans="1:6">
      <c r="A352" s="88"/>
      <c r="B352" s="88" t="s">
        <v>307</v>
      </c>
      <c r="C352" s="88" t="s">
        <v>308</v>
      </c>
      <c r="D352" s="88" t="s">
        <v>93</v>
      </c>
      <c r="E352" s="88" t="s">
        <v>43</v>
      </c>
      <c r="F352" s="90">
        <v>3325000</v>
      </c>
    </row>
    <row r="353" spans="1:6">
      <c r="A353" s="88"/>
      <c r="B353" s="88" t="s">
        <v>310</v>
      </c>
      <c r="C353" s="88" t="s">
        <v>311</v>
      </c>
      <c r="D353" s="88" t="s">
        <v>93</v>
      </c>
      <c r="E353" s="88" t="s">
        <v>43</v>
      </c>
      <c r="F353" s="90">
        <v>3325000</v>
      </c>
    </row>
    <row r="354" spans="1:6">
      <c r="A354" s="88"/>
      <c r="B354" s="88" t="s">
        <v>312</v>
      </c>
      <c r="C354" s="88" t="s">
        <v>313</v>
      </c>
      <c r="D354" s="88" t="s">
        <v>205</v>
      </c>
      <c r="E354" s="88" t="s">
        <v>53</v>
      </c>
      <c r="F354" s="90">
        <v>7125000</v>
      </c>
    </row>
    <row r="355" spans="1:6">
      <c r="A355" s="88"/>
      <c r="B355" s="88" t="s">
        <v>314</v>
      </c>
      <c r="C355" s="88" t="s">
        <v>315</v>
      </c>
      <c r="D355" s="88" t="s">
        <v>205</v>
      </c>
      <c r="E355" s="88" t="s">
        <v>53</v>
      </c>
      <c r="F355" s="90">
        <v>7125000</v>
      </c>
    </row>
    <row r="356" spans="1:6">
      <c r="A356" s="88"/>
      <c r="B356" s="88" t="s">
        <v>316</v>
      </c>
      <c r="C356" s="88" t="s">
        <v>317</v>
      </c>
      <c r="D356" s="88" t="s">
        <v>211</v>
      </c>
      <c r="E356" s="88" t="s">
        <v>43</v>
      </c>
      <c r="F356" s="90">
        <v>4500000</v>
      </c>
    </row>
    <row r="357" spans="1:6">
      <c r="A357" s="88"/>
      <c r="B357" s="88" t="s">
        <v>329</v>
      </c>
      <c r="C357" s="88" t="s">
        <v>330</v>
      </c>
      <c r="D357" s="88" t="s">
        <v>290</v>
      </c>
      <c r="E357" s="88" t="s">
        <v>53</v>
      </c>
      <c r="F357" s="90">
        <v>4500000</v>
      </c>
    </row>
    <row r="358" spans="1:6">
      <c r="A358" s="88"/>
      <c r="B358" s="88" t="s">
        <v>335</v>
      </c>
      <c r="C358" s="88" t="s">
        <v>336</v>
      </c>
      <c r="D358" s="88" t="s">
        <v>286</v>
      </c>
      <c r="E358" s="88" t="s">
        <v>53</v>
      </c>
      <c r="F358" s="90">
        <v>3000000</v>
      </c>
    </row>
    <row r="359" spans="1:6">
      <c r="A359" s="88"/>
      <c r="B359" s="88" t="s">
        <v>341</v>
      </c>
      <c r="C359" s="88" t="s">
        <v>342</v>
      </c>
      <c r="D359" s="88" t="s">
        <v>17</v>
      </c>
      <c r="E359" s="88" t="s">
        <v>19</v>
      </c>
      <c r="F359" s="90">
        <v>896000</v>
      </c>
    </row>
    <row r="360" spans="1:6">
      <c r="A360" s="88"/>
      <c r="B360" s="88" t="s">
        <v>343</v>
      </c>
      <c r="C360" s="88" t="s">
        <v>344</v>
      </c>
      <c r="D360" s="88" t="s">
        <v>345</v>
      </c>
      <c r="E360" s="88" t="s">
        <v>14</v>
      </c>
      <c r="F360" s="90">
        <v>1858000</v>
      </c>
    </row>
    <row r="361" spans="1:6">
      <c r="A361" s="88"/>
      <c r="B361" s="88" t="s">
        <v>354</v>
      </c>
      <c r="C361" s="88" t="s">
        <v>355</v>
      </c>
      <c r="D361" s="88" t="s">
        <v>176</v>
      </c>
      <c r="E361" s="88" t="s">
        <v>53</v>
      </c>
      <c r="F361" s="90">
        <v>2030000</v>
      </c>
    </row>
    <row r="362" spans="1:6">
      <c r="A362" s="88"/>
      <c r="B362" s="88" t="s">
        <v>363</v>
      </c>
      <c r="C362" s="88"/>
      <c r="D362" s="88" t="s">
        <v>276</v>
      </c>
      <c r="E362" s="88" t="s">
        <v>53</v>
      </c>
      <c r="F362" s="90">
        <v>9000000</v>
      </c>
    </row>
    <row r="363" spans="1:6">
      <c r="A363" s="88"/>
      <c r="B363" s="88" t="s">
        <v>366</v>
      </c>
      <c r="C363" s="88" t="s">
        <v>367</v>
      </c>
      <c r="D363" s="88" t="s">
        <v>62</v>
      </c>
      <c r="E363" s="88" t="s">
        <v>31</v>
      </c>
      <c r="F363" s="90">
        <v>6000000</v>
      </c>
    </row>
    <row r="364" spans="1:6">
      <c r="A364" s="88"/>
      <c r="B364" s="88" t="s">
        <v>371</v>
      </c>
      <c r="C364" s="88" t="s">
        <v>372</v>
      </c>
      <c r="D364" s="88" t="s">
        <v>161</v>
      </c>
      <c r="E364" s="88" t="s">
        <v>53</v>
      </c>
      <c r="F364" s="90">
        <v>9000000</v>
      </c>
    </row>
    <row r="365" spans="1:6">
      <c r="A365" s="88"/>
      <c r="B365" s="88" t="s">
        <v>399</v>
      </c>
      <c r="C365" s="88" t="s">
        <v>400</v>
      </c>
      <c r="D365" s="88" t="s">
        <v>266</v>
      </c>
      <c r="E365" s="88" t="s">
        <v>43</v>
      </c>
      <c r="F365" s="90">
        <v>20500000</v>
      </c>
    </row>
    <row r="366" spans="1:6">
      <c r="A366" s="88" t="s">
        <v>563</v>
      </c>
      <c r="B366" s="88"/>
      <c r="C366" s="88"/>
      <c r="D366" s="88"/>
      <c r="E366" s="88"/>
      <c r="F366" s="90">
        <v>302150000</v>
      </c>
    </row>
    <row r="367" spans="1:6">
      <c r="A367" s="88" t="s">
        <v>142</v>
      </c>
      <c r="B367" s="88" t="s">
        <v>139</v>
      </c>
      <c r="C367" s="88" t="s">
        <v>140</v>
      </c>
      <c r="D367" s="88" t="s">
        <v>141</v>
      </c>
      <c r="E367" s="88" t="s">
        <v>43</v>
      </c>
      <c r="F367" s="90">
        <v>18117500</v>
      </c>
    </row>
    <row r="368" spans="1:6">
      <c r="A368" s="88"/>
      <c r="B368" s="88" t="s">
        <v>145</v>
      </c>
      <c r="C368" s="88" t="s">
        <v>146</v>
      </c>
      <c r="D368" s="88" t="s">
        <v>141</v>
      </c>
      <c r="E368" s="88" t="s">
        <v>43</v>
      </c>
      <c r="F368" s="90">
        <v>18117500</v>
      </c>
    </row>
    <row r="369" spans="1:6">
      <c r="A369" s="88"/>
      <c r="B369" s="88" t="s">
        <v>168</v>
      </c>
      <c r="C369" s="88" t="s">
        <v>169</v>
      </c>
      <c r="D369" s="88" t="s">
        <v>170</v>
      </c>
      <c r="E369" s="88" t="s">
        <v>53</v>
      </c>
      <c r="F369" s="90">
        <v>6378000</v>
      </c>
    </row>
    <row r="370" spans="1:6">
      <c r="A370" s="88"/>
      <c r="B370" s="88" t="s">
        <v>203</v>
      </c>
      <c r="C370" s="88" t="s">
        <v>204</v>
      </c>
      <c r="D370" s="88" t="s">
        <v>170</v>
      </c>
      <c r="E370" s="88" t="s">
        <v>53</v>
      </c>
      <c r="F370" s="90">
        <v>6378000</v>
      </c>
    </row>
    <row r="371" spans="1:6">
      <c r="A371" s="88"/>
      <c r="B371" s="88" t="s">
        <v>209</v>
      </c>
      <c r="C371" s="88" t="s">
        <v>210</v>
      </c>
      <c r="D371" s="88" t="s">
        <v>211</v>
      </c>
      <c r="E371" s="88" t="s">
        <v>43</v>
      </c>
      <c r="F371" s="90">
        <v>5250000</v>
      </c>
    </row>
    <row r="372" spans="1:6">
      <c r="A372" s="88"/>
      <c r="B372" s="88" t="s">
        <v>221</v>
      </c>
      <c r="C372" s="88" t="s">
        <v>222</v>
      </c>
      <c r="D372" s="88" t="s">
        <v>223</v>
      </c>
      <c r="E372" s="88" t="s">
        <v>43</v>
      </c>
      <c r="F372" s="90">
        <v>6280500</v>
      </c>
    </row>
    <row r="373" spans="1:6">
      <c r="A373" s="88"/>
      <c r="B373" s="88" t="s">
        <v>228</v>
      </c>
      <c r="C373" s="88" t="s">
        <v>229</v>
      </c>
      <c r="D373" s="88" t="s">
        <v>230</v>
      </c>
      <c r="E373" s="88" t="s">
        <v>19</v>
      </c>
      <c r="F373" s="90">
        <v>11444400</v>
      </c>
    </row>
    <row r="374" spans="1:6">
      <c r="A374" s="88"/>
      <c r="B374" s="88" t="s">
        <v>273</v>
      </c>
      <c r="C374" s="88" t="s">
        <v>274</v>
      </c>
      <c r="D374" s="88" t="s">
        <v>275</v>
      </c>
      <c r="E374" s="88" t="s">
        <v>53</v>
      </c>
      <c r="F374" s="90">
        <v>17380000</v>
      </c>
    </row>
    <row r="375" spans="1:6">
      <c r="A375" s="88"/>
      <c r="B375" s="88" t="s">
        <v>284</v>
      </c>
      <c r="C375" s="88" t="s">
        <v>285</v>
      </c>
      <c r="D375" s="88" t="s">
        <v>286</v>
      </c>
      <c r="E375" s="88" t="s">
        <v>53</v>
      </c>
      <c r="F375" s="90">
        <v>750000</v>
      </c>
    </row>
    <row r="376" spans="1:6">
      <c r="A376" s="88"/>
      <c r="B376" s="88" t="s">
        <v>296</v>
      </c>
      <c r="C376" s="88" t="s">
        <v>297</v>
      </c>
      <c r="D376" s="88" t="s">
        <v>223</v>
      </c>
      <c r="E376" s="88" t="s">
        <v>43</v>
      </c>
      <c r="F376" s="90">
        <v>6280500</v>
      </c>
    </row>
    <row r="377" spans="1:6">
      <c r="A377" s="88"/>
      <c r="B377" s="88" t="s">
        <v>298</v>
      </c>
      <c r="C377" s="88" t="s">
        <v>299</v>
      </c>
      <c r="D377" s="88" t="s">
        <v>300</v>
      </c>
      <c r="E377" s="88" t="s">
        <v>53</v>
      </c>
      <c r="F377" s="90">
        <v>15800000</v>
      </c>
    </row>
    <row r="378" spans="1:6">
      <c r="A378" s="88"/>
      <c r="B378" s="88" t="s">
        <v>301</v>
      </c>
      <c r="C378" s="88" t="s">
        <v>302</v>
      </c>
      <c r="D378" s="88" t="s">
        <v>300</v>
      </c>
      <c r="E378" s="88" t="s">
        <v>53</v>
      </c>
      <c r="F378" s="90">
        <v>15800000</v>
      </c>
    </row>
    <row r="379" spans="1:6">
      <c r="A379" s="88"/>
      <c r="B379" s="88" t="s">
        <v>303</v>
      </c>
      <c r="C379" s="88" t="s">
        <v>304</v>
      </c>
      <c r="D379" s="88" t="s">
        <v>275</v>
      </c>
      <c r="E379" s="88" t="s">
        <v>53</v>
      </c>
      <c r="F379" s="90">
        <v>17380000</v>
      </c>
    </row>
    <row r="380" spans="1:6">
      <c r="A380" s="88"/>
      <c r="B380" s="88" t="s">
        <v>307</v>
      </c>
      <c r="C380" s="88" t="s">
        <v>308</v>
      </c>
      <c r="D380" s="88" t="s">
        <v>119</v>
      </c>
      <c r="E380" s="88" t="s">
        <v>53</v>
      </c>
      <c r="F380" s="90">
        <v>6893500</v>
      </c>
    </row>
    <row r="381" spans="1:6">
      <c r="A381" s="88"/>
      <c r="B381" s="88" t="s">
        <v>310</v>
      </c>
      <c r="C381" s="88" t="s">
        <v>311</v>
      </c>
      <c r="D381" s="88" t="s">
        <v>119</v>
      </c>
      <c r="E381" s="88" t="s">
        <v>53</v>
      </c>
      <c r="F381" s="90">
        <v>6893500</v>
      </c>
    </row>
    <row r="382" spans="1:6">
      <c r="A382" s="88"/>
      <c r="B382" s="88" t="s">
        <v>312</v>
      </c>
      <c r="C382" s="88" t="s">
        <v>313</v>
      </c>
      <c r="D382" s="88" t="s">
        <v>205</v>
      </c>
      <c r="E382" s="88" t="s">
        <v>53</v>
      </c>
      <c r="F382" s="90">
        <v>10260000</v>
      </c>
    </row>
    <row r="383" spans="1:6">
      <c r="A383" s="88"/>
      <c r="B383" s="88" t="s">
        <v>314</v>
      </c>
      <c r="C383" s="88" t="s">
        <v>315</v>
      </c>
      <c r="D383" s="88" t="s">
        <v>205</v>
      </c>
      <c r="E383" s="88" t="s">
        <v>53</v>
      </c>
      <c r="F383" s="90">
        <v>10260000</v>
      </c>
    </row>
    <row r="384" spans="1:6">
      <c r="A384" s="88"/>
      <c r="B384" s="88" t="s">
        <v>316</v>
      </c>
      <c r="C384" s="88" t="s">
        <v>317</v>
      </c>
      <c r="D384" s="88" t="s">
        <v>211</v>
      </c>
      <c r="E384" s="88" t="s">
        <v>43</v>
      </c>
      <c r="F384" s="90">
        <v>5250000</v>
      </c>
    </row>
    <row r="385" spans="1:6">
      <c r="A385" s="88"/>
      <c r="B385" s="88" t="s">
        <v>335</v>
      </c>
      <c r="C385" s="88" t="s">
        <v>336</v>
      </c>
      <c r="D385" s="88" t="s">
        <v>286</v>
      </c>
      <c r="E385" s="88" t="s">
        <v>53</v>
      </c>
      <c r="F385" s="90">
        <v>750000</v>
      </c>
    </row>
    <row r="386" spans="1:6">
      <c r="A386" s="88"/>
      <c r="B386" s="88" t="s">
        <v>370</v>
      </c>
      <c r="C386" s="88"/>
      <c r="D386" s="88" t="s">
        <v>230</v>
      </c>
      <c r="E386" s="88" t="s">
        <v>19</v>
      </c>
      <c r="F386" s="90">
        <v>11444400</v>
      </c>
    </row>
    <row r="387" spans="1:6">
      <c r="A387" s="88" t="s">
        <v>564</v>
      </c>
      <c r="B387" s="88"/>
      <c r="C387" s="88"/>
      <c r="D387" s="88"/>
      <c r="E387" s="88"/>
      <c r="F387" s="90">
        <v>197107800</v>
      </c>
    </row>
    <row r="388" spans="1:6">
      <c r="A388" s="88" t="s">
        <v>110</v>
      </c>
      <c r="B388" s="88" t="s">
        <v>107</v>
      </c>
      <c r="C388" s="88" t="s">
        <v>108</v>
      </c>
      <c r="D388" s="88" t="s">
        <v>109</v>
      </c>
      <c r="E388" s="88" t="s">
        <v>19</v>
      </c>
      <c r="F388" s="90">
        <v>6637500</v>
      </c>
    </row>
    <row r="389" spans="1:6">
      <c r="A389" s="88"/>
      <c r="B389" s="88" t="s">
        <v>120</v>
      </c>
      <c r="C389" s="88" t="s">
        <v>121</v>
      </c>
      <c r="D389" s="88" t="s">
        <v>109</v>
      </c>
      <c r="E389" s="88" t="s">
        <v>19</v>
      </c>
      <c r="F389" s="90">
        <v>6637500</v>
      </c>
    </row>
    <row r="390" spans="1:6">
      <c r="A390" s="88"/>
      <c r="B390" s="88" t="s">
        <v>221</v>
      </c>
      <c r="C390" s="88" t="s">
        <v>222</v>
      </c>
      <c r="D390" s="88" t="s">
        <v>223</v>
      </c>
      <c r="E390" s="88" t="s">
        <v>43</v>
      </c>
      <c r="F390" s="90">
        <v>20575000</v>
      </c>
    </row>
    <row r="391" spans="1:6">
      <c r="A391" s="88"/>
      <c r="B391" s="88" t="s">
        <v>296</v>
      </c>
      <c r="C391" s="88" t="s">
        <v>297</v>
      </c>
      <c r="D391" s="88" t="s">
        <v>223</v>
      </c>
      <c r="E391" s="88" t="s">
        <v>43</v>
      </c>
      <c r="F391" s="90">
        <v>20575000</v>
      </c>
    </row>
    <row r="392" spans="1:6">
      <c r="A392" s="88" t="s">
        <v>565</v>
      </c>
      <c r="B392" s="88"/>
      <c r="C392" s="88"/>
      <c r="D392" s="88"/>
      <c r="E392" s="88"/>
      <c r="F392" s="90">
        <v>54425000</v>
      </c>
    </row>
    <row r="393" spans="1:6">
      <c r="A393" s="88" t="s">
        <v>30</v>
      </c>
      <c r="B393" s="88" t="s">
        <v>27</v>
      </c>
      <c r="C393" s="88" t="s">
        <v>28</v>
      </c>
      <c r="D393" s="88" t="s">
        <v>29</v>
      </c>
      <c r="E393" s="88" t="s">
        <v>31</v>
      </c>
      <c r="F393" s="90">
        <v>13000000</v>
      </c>
    </row>
    <row r="394" spans="1:6">
      <c r="A394" s="88"/>
      <c r="B394" s="88" t="s">
        <v>35</v>
      </c>
      <c r="C394" s="88" t="s">
        <v>36</v>
      </c>
      <c r="D394" s="88" t="s">
        <v>37</v>
      </c>
      <c r="E394" s="88" t="s">
        <v>31</v>
      </c>
      <c r="F394" s="90">
        <v>11750000</v>
      </c>
    </row>
    <row r="395" spans="1:6">
      <c r="A395" s="88"/>
      <c r="B395" s="88" t="s">
        <v>60</v>
      </c>
      <c r="C395" s="88" t="s">
        <v>61</v>
      </c>
      <c r="D395" s="88" t="s">
        <v>62</v>
      </c>
      <c r="E395" s="88" t="s">
        <v>31</v>
      </c>
      <c r="F395" s="90">
        <v>11750000</v>
      </c>
    </row>
    <row r="396" spans="1:6">
      <c r="A396" s="88"/>
      <c r="B396" s="88" t="s">
        <v>64</v>
      </c>
      <c r="C396" s="88" t="s">
        <v>65</v>
      </c>
      <c r="D396" s="88" t="s">
        <v>66</v>
      </c>
      <c r="E396" s="88" t="s">
        <v>31</v>
      </c>
      <c r="F396" s="90">
        <v>36000000</v>
      </c>
    </row>
    <row r="397" spans="1:6">
      <c r="A397" s="88"/>
      <c r="B397" s="88" t="s">
        <v>67</v>
      </c>
      <c r="C397" s="88" t="s">
        <v>68</v>
      </c>
      <c r="D397" s="88" t="s">
        <v>69</v>
      </c>
      <c r="E397" s="88" t="s">
        <v>31</v>
      </c>
      <c r="F397" s="90">
        <v>12000000</v>
      </c>
    </row>
    <row r="398" spans="1:6">
      <c r="A398" s="88"/>
      <c r="B398" s="88" t="s">
        <v>70</v>
      </c>
      <c r="C398" s="88" t="s">
        <v>71</v>
      </c>
      <c r="D398" s="88" t="s">
        <v>72</v>
      </c>
      <c r="E398" s="88" t="s">
        <v>31</v>
      </c>
      <c r="F398" s="90">
        <v>12000000</v>
      </c>
    </row>
    <row r="399" spans="1:6">
      <c r="A399" s="88"/>
      <c r="B399" s="88" t="s">
        <v>122</v>
      </c>
      <c r="C399" s="88" t="s">
        <v>123</v>
      </c>
      <c r="D399" s="88" t="s">
        <v>124</v>
      </c>
      <c r="E399" s="88" t="s">
        <v>31</v>
      </c>
      <c r="F399" s="90">
        <v>27500000</v>
      </c>
    </row>
    <row r="400" spans="1:6">
      <c r="A400" s="88"/>
      <c r="B400" s="88" t="s">
        <v>139</v>
      </c>
      <c r="C400" s="88" t="s">
        <v>140</v>
      </c>
      <c r="D400" s="88" t="s">
        <v>141</v>
      </c>
      <c r="E400" s="88" t="s">
        <v>43</v>
      </c>
      <c r="F400" s="90">
        <v>12000000</v>
      </c>
    </row>
    <row r="401" spans="1:6">
      <c r="A401" s="88"/>
      <c r="B401" s="88" t="s">
        <v>145</v>
      </c>
      <c r="C401" s="88" t="s">
        <v>146</v>
      </c>
      <c r="D401" s="88" t="s">
        <v>141</v>
      </c>
      <c r="E401" s="88" t="s">
        <v>43</v>
      </c>
      <c r="F401" s="90">
        <v>12000000</v>
      </c>
    </row>
    <row r="402" spans="1:6">
      <c r="A402" s="88"/>
      <c r="B402" s="88" t="s">
        <v>156</v>
      </c>
      <c r="C402" s="88" t="s">
        <v>157</v>
      </c>
      <c r="D402" s="88" t="s">
        <v>158</v>
      </c>
      <c r="E402" s="88" t="s">
        <v>53</v>
      </c>
      <c r="F402" s="90">
        <v>5000000</v>
      </c>
    </row>
    <row r="403" spans="1:6">
      <c r="A403" s="88"/>
      <c r="B403" s="88" t="s">
        <v>166</v>
      </c>
      <c r="C403" s="88" t="s">
        <v>167</v>
      </c>
      <c r="D403" s="88" t="s">
        <v>72</v>
      </c>
      <c r="E403" s="88" t="s">
        <v>31</v>
      </c>
      <c r="F403" s="90">
        <v>12000000</v>
      </c>
    </row>
    <row r="404" spans="1:6">
      <c r="A404" s="88"/>
      <c r="B404" s="88" t="s">
        <v>183</v>
      </c>
      <c r="C404" s="88" t="s">
        <v>184</v>
      </c>
      <c r="D404" s="88" t="s">
        <v>69</v>
      </c>
      <c r="E404" s="88" t="s">
        <v>31</v>
      </c>
      <c r="F404" s="90">
        <v>12000000</v>
      </c>
    </row>
    <row r="405" spans="1:6">
      <c r="A405" s="88"/>
      <c r="B405" s="88" t="s">
        <v>185</v>
      </c>
      <c r="C405" s="88" t="s">
        <v>186</v>
      </c>
      <c r="D405" s="88" t="s">
        <v>29</v>
      </c>
      <c r="E405" s="88" t="s">
        <v>31</v>
      </c>
      <c r="F405" s="90">
        <v>13000000</v>
      </c>
    </row>
    <row r="406" spans="1:6">
      <c r="A406" s="88"/>
      <c r="B406" s="88" t="s">
        <v>187</v>
      </c>
      <c r="C406" s="88" t="s">
        <v>188</v>
      </c>
      <c r="D406" s="88" t="s">
        <v>124</v>
      </c>
      <c r="E406" s="88" t="s">
        <v>31</v>
      </c>
      <c r="F406" s="90">
        <v>27500000</v>
      </c>
    </row>
    <row r="407" spans="1:6">
      <c r="A407" s="88"/>
      <c r="B407" s="88" t="s">
        <v>209</v>
      </c>
      <c r="C407" s="88" t="s">
        <v>210</v>
      </c>
      <c r="D407" s="88" t="s">
        <v>211</v>
      </c>
      <c r="E407" s="88" t="s">
        <v>43</v>
      </c>
      <c r="F407" s="90">
        <v>10000000</v>
      </c>
    </row>
    <row r="408" spans="1:6">
      <c r="A408" s="88"/>
      <c r="B408" s="88" t="s">
        <v>221</v>
      </c>
      <c r="C408" s="88" t="s">
        <v>222</v>
      </c>
      <c r="D408" s="88" t="s">
        <v>223</v>
      </c>
      <c r="E408" s="88" t="s">
        <v>43</v>
      </c>
      <c r="F408" s="90">
        <v>12000000</v>
      </c>
    </row>
    <row r="409" spans="1:6">
      <c r="A409" s="88"/>
      <c r="B409" s="88" t="s">
        <v>228</v>
      </c>
      <c r="C409" s="88" t="s">
        <v>229</v>
      </c>
      <c r="D409" s="88" t="s">
        <v>230</v>
      </c>
      <c r="E409" s="88" t="s">
        <v>19</v>
      </c>
      <c r="F409" s="90">
        <v>25500000</v>
      </c>
    </row>
    <row r="410" spans="1:6">
      <c r="A410" s="88"/>
      <c r="B410" s="88" t="s">
        <v>277</v>
      </c>
      <c r="C410" s="88" t="s">
        <v>278</v>
      </c>
      <c r="D410" s="88" t="s">
        <v>158</v>
      </c>
      <c r="E410" s="88" t="s">
        <v>53</v>
      </c>
      <c r="F410" s="90">
        <v>5000000</v>
      </c>
    </row>
    <row r="411" spans="1:6">
      <c r="A411" s="88"/>
      <c r="B411" s="88" t="s">
        <v>279</v>
      </c>
      <c r="C411" s="88" t="s">
        <v>280</v>
      </c>
      <c r="D411" s="88" t="s">
        <v>275</v>
      </c>
      <c r="E411" s="88" t="s">
        <v>53</v>
      </c>
      <c r="F411" s="90">
        <v>11000000</v>
      </c>
    </row>
    <row r="412" spans="1:6">
      <c r="A412" s="88"/>
      <c r="B412" s="88" t="s">
        <v>331</v>
      </c>
      <c r="C412" s="88" t="s">
        <v>332</v>
      </c>
      <c r="D412" s="88" t="s">
        <v>275</v>
      </c>
      <c r="E412" s="88" t="s">
        <v>53</v>
      </c>
      <c r="F412" s="90">
        <v>11000000</v>
      </c>
    </row>
    <row r="413" spans="1:6">
      <c r="A413" s="88"/>
      <c r="B413" s="88" t="s">
        <v>296</v>
      </c>
      <c r="C413" s="88" t="s">
        <v>297</v>
      </c>
      <c r="D413" s="88" t="s">
        <v>223</v>
      </c>
      <c r="E413" s="88" t="s">
        <v>43</v>
      </c>
      <c r="F413" s="90">
        <v>12000000</v>
      </c>
    </row>
    <row r="414" spans="1:6">
      <c r="A414" s="88"/>
      <c r="B414" s="88" t="s">
        <v>307</v>
      </c>
      <c r="C414" s="88" t="s">
        <v>308</v>
      </c>
      <c r="D414" s="88" t="s">
        <v>93</v>
      </c>
      <c r="E414" s="88" t="s">
        <v>43</v>
      </c>
      <c r="F414" s="90">
        <v>8500000</v>
      </c>
    </row>
    <row r="415" spans="1:6">
      <c r="A415" s="88"/>
      <c r="B415" s="88" t="s">
        <v>310</v>
      </c>
      <c r="C415" s="88" t="s">
        <v>311</v>
      </c>
      <c r="D415" s="88" t="s">
        <v>93</v>
      </c>
      <c r="E415" s="88" t="s">
        <v>43</v>
      </c>
      <c r="F415" s="90">
        <v>8500000</v>
      </c>
    </row>
    <row r="416" spans="1:6">
      <c r="A416" s="88"/>
      <c r="B416" s="88" t="s">
        <v>316</v>
      </c>
      <c r="C416" s="88" t="s">
        <v>317</v>
      </c>
      <c r="D416" s="88" t="s">
        <v>211</v>
      </c>
      <c r="E416" s="88" t="s">
        <v>43</v>
      </c>
      <c r="F416" s="90">
        <v>10000000</v>
      </c>
    </row>
    <row r="417" spans="1:6">
      <c r="A417" s="88"/>
      <c r="B417" s="88" t="s">
        <v>327</v>
      </c>
      <c r="C417" s="88" t="s">
        <v>328</v>
      </c>
      <c r="D417" s="88" t="s">
        <v>66</v>
      </c>
      <c r="E417" s="88" t="s">
        <v>31</v>
      </c>
      <c r="F417" s="90">
        <v>12500000</v>
      </c>
    </row>
    <row r="418" spans="1:6">
      <c r="A418" s="88"/>
      <c r="B418" s="88"/>
      <c r="C418" s="88"/>
      <c r="D418" s="88" t="s">
        <v>37</v>
      </c>
      <c r="E418" s="88" t="s">
        <v>31</v>
      </c>
      <c r="F418" s="90">
        <v>11750000</v>
      </c>
    </row>
    <row r="419" spans="1:6">
      <c r="A419" s="88"/>
      <c r="B419" s="88" t="s">
        <v>337</v>
      </c>
      <c r="C419" s="88" t="s">
        <v>338</v>
      </c>
      <c r="D419" s="88" t="s">
        <v>283</v>
      </c>
      <c r="E419" s="88" t="s">
        <v>19</v>
      </c>
      <c r="F419" s="90">
        <v>11500000</v>
      </c>
    </row>
    <row r="420" spans="1:6">
      <c r="A420" s="88"/>
      <c r="B420" s="88" t="s">
        <v>339</v>
      </c>
      <c r="C420" s="88" t="s">
        <v>340</v>
      </c>
      <c r="D420" s="88" t="s">
        <v>283</v>
      </c>
      <c r="E420" s="88" t="s">
        <v>19</v>
      </c>
      <c r="F420" s="90">
        <v>11500000</v>
      </c>
    </row>
    <row r="421" spans="1:6">
      <c r="A421" s="88"/>
      <c r="B421" s="88" t="s">
        <v>359</v>
      </c>
      <c r="C421" s="88" t="s">
        <v>360</v>
      </c>
      <c r="D421" s="88" t="s">
        <v>134</v>
      </c>
      <c r="E421" s="88" t="s">
        <v>135</v>
      </c>
      <c r="F421" s="90">
        <v>1500000</v>
      </c>
    </row>
    <row r="422" spans="1:6">
      <c r="A422" s="88"/>
      <c r="B422" s="88" t="s">
        <v>366</v>
      </c>
      <c r="C422" s="88" t="s">
        <v>367</v>
      </c>
      <c r="D422" s="88" t="s">
        <v>62</v>
      </c>
      <c r="E422" s="88" t="s">
        <v>31</v>
      </c>
      <c r="F422" s="90">
        <v>11750000</v>
      </c>
    </row>
    <row r="423" spans="1:6">
      <c r="A423" s="88"/>
      <c r="B423" s="88" t="s">
        <v>368</v>
      </c>
      <c r="C423" s="88" t="s">
        <v>75</v>
      </c>
      <c r="D423" s="88" t="s">
        <v>76</v>
      </c>
      <c r="E423" s="88" t="s">
        <v>31</v>
      </c>
      <c r="F423" s="90">
        <v>12500000</v>
      </c>
    </row>
    <row r="424" spans="1:6">
      <c r="A424" s="88"/>
      <c r="B424" s="88" t="s">
        <v>369</v>
      </c>
      <c r="C424" s="88" t="s">
        <v>78</v>
      </c>
      <c r="D424" s="88" t="s">
        <v>76</v>
      </c>
      <c r="E424" s="88" t="s">
        <v>31</v>
      </c>
      <c r="F424" s="90">
        <v>12500000</v>
      </c>
    </row>
    <row r="425" spans="1:6">
      <c r="A425" s="88"/>
      <c r="B425" s="88" t="s">
        <v>373</v>
      </c>
      <c r="C425" s="88" t="s">
        <v>374</v>
      </c>
      <c r="D425" s="88" t="s">
        <v>208</v>
      </c>
      <c r="E425" s="88" t="s">
        <v>19</v>
      </c>
      <c r="F425" s="90">
        <v>12500000</v>
      </c>
    </row>
    <row r="426" spans="1:6">
      <c r="A426" s="88"/>
      <c r="B426" s="88" t="s">
        <v>375</v>
      </c>
      <c r="C426" s="88" t="s">
        <v>376</v>
      </c>
      <c r="D426" s="88" t="s">
        <v>208</v>
      </c>
      <c r="E426" s="88" t="s">
        <v>19</v>
      </c>
      <c r="F426" s="90">
        <v>12500000</v>
      </c>
    </row>
    <row r="427" spans="1:6">
      <c r="A427" s="88" t="s">
        <v>566</v>
      </c>
      <c r="B427" s="88"/>
      <c r="C427" s="88"/>
      <c r="D427" s="88"/>
      <c r="E427" s="88"/>
      <c r="F427" s="90">
        <v>441500000</v>
      </c>
    </row>
    <row r="428" spans="1:6">
      <c r="A428" s="88" t="s">
        <v>143</v>
      </c>
      <c r="B428" s="88" t="s">
        <v>139</v>
      </c>
      <c r="C428" s="88" t="s">
        <v>140</v>
      </c>
      <c r="D428" s="88" t="s">
        <v>141</v>
      </c>
      <c r="E428" s="88" t="s">
        <v>43</v>
      </c>
      <c r="F428" s="90">
        <v>3750000</v>
      </c>
    </row>
    <row r="429" spans="1:6">
      <c r="A429" s="88"/>
      <c r="B429" s="88" t="s">
        <v>145</v>
      </c>
      <c r="C429" s="88" t="s">
        <v>146</v>
      </c>
      <c r="D429" s="88" t="s">
        <v>141</v>
      </c>
      <c r="E429" s="88" t="s">
        <v>43</v>
      </c>
      <c r="F429" s="90">
        <v>3750000</v>
      </c>
    </row>
    <row r="430" spans="1:6">
      <c r="A430" s="88"/>
      <c r="B430" s="88" t="s">
        <v>172</v>
      </c>
      <c r="C430" s="88" t="s">
        <v>173</v>
      </c>
      <c r="D430" s="88" t="s">
        <v>103</v>
      </c>
      <c r="E430" s="88" t="s">
        <v>43</v>
      </c>
      <c r="F430" s="90">
        <v>850000</v>
      </c>
    </row>
    <row r="431" spans="1:6">
      <c r="A431" s="88"/>
      <c r="B431" s="88" t="s">
        <v>181</v>
      </c>
      <c r="C431" s="88" t="s">
        <v>182</v>
      </c>
      <c r="D431" s="88" t="s">
        <v>103</v>
      </c>
      <c r="E431" s="88" t="s">
        <v>43</v>
      </c>
      <c r="F431" s="90">
        <v>850000</v>
      </c>
    </row>
    <row r="432" spans="1:6">
      <c r="A432" s="88"/>
      <c r="B432" s="88" t="s">
        <v>192</v>
      </c>
      <c r="C432" s="88" t="s">
        <v>193</v>
      </c>
      <c r="D432" s="88" t="s">
        <v>176</v>
      </c>
      <c r="E432" s="88" t="s">
        <v>53</v>
      </c>
      <c r="F432" s="90">
        <v>1000000</v>
      </c>
    </row>
    <row r="433" spans="1:6">
      <c r="A433" s="88"/>
      <c r="B433" s="88" t="s">
        <v>228</v>
      </c>
      <c r="C433" s="88" t="s">
        <v>229</v>
      </c>
      <c r="D433" s="88" t="s">
        <v>230</v>
      </c>
      <c r="E433" s="88" t="s">
        <v>19</v>
      </c>
      <c r="F433" s="90">
        <v>1100000</v>
      </c>
    </row>
    <row r="434" spans="1:6">
      <c r="A434" s="88"/>
      <c r="B434" s="88" t="s">
        <v>281</v>
      </c>
      <c r="C434" s="88" t="s">
        <v>282</v>
      </c>
      <c r="D434" s="88" t="s">
        <v>283</v>
      </c>
      <c r="E434" s="88" t="s">
        <v>19</v>
      </c>
      <c r="F434" s="90">
        <v>1000000</v>
      </c>
    </row>
    <row r="435" spans="1:6">
      <c r="A435" s="88"/>
      <c r="B435" s="88" t="s">
        <v>291</v>
      </c>
      <c r="C435" s="88" t="s">
        <v>292</v>
      </c>
      <c r="D435" s="88" t="s">
        <v>293</v>
      </c>
      <c r="E435" s="88" t="s">
        <v>53</v>
      </c>
      <c r="F435" s="90">
        <v>2000000</v>
      </c>
    </row>
    <row r="436" spans="1:6">
      <c r="A436" s="88"/>
      <c r="B436" s="88" t="s">
        <v>294</v>
      </c>
      <c r="C436" s="88" t="s">
        <v>295</v>
      </c>
      <c r="D436" s="88" t="s">
        <v>293</v>
      </c>
      <c r="E436" s="88" t="s">
        <v>53</v>
      </c>
      <c r="F436" s="90">
        <v>2000000</v>
      </c>
    </row>
    <row r="437" spans="1:6">
      <c r="A437" s="88"/>
      <c r="B437" s="88" t="s">
        <v>312</v>
      </c>
      <c r="C437" s="88" t="s">
        <v>313</v>
      </c>
      <c r="D437" s="88" t="s">
        <v>205</v>
      </c>
      <c r="E437" s="88" t="s">
        <v>53</v>
      </c>
      <c r="F437" s="90">
        <v>4500000</v>
      </c>
    </row>
    <row r="438" spans="1:6">
      <c r="A438" s="88"/>
      <c r="B438" s="88" t="s">
        <v>314</v>
      </c>
      <c r="C438" s="88" t="s">
        <v>315</v>
      </c>
      <c r="D438" s="88" t="s">
        <v>205</v>
      </c>
      <c r="E438" s="88" t="s">
        <v>53</v>
      </c>
      <c r="F438" s="90">
        <v>4500000</v>
      </c>
    </row>
    <row r="439" spans="1:6">
      <c r="A439" s="88"/>
      <c r="B439" s="88" t="s">
        <v>354</v>
      </c>
      <c r="C439" s="88" t="s">
        <v>355</v>
      </c>
      <c r="D439" s="88" t="s">
        <v>176</v>
      </c>
      <c r="E439" s="88" t="s">
        <v>53</v>
      </c>
      <c r="F439" s="90">
        <v>1000000</v>
      </c>
    </row>
    <row r="440" spans="1:6">
      <c r="A440" s="88"/>
      <c r="B440" s="88" t="s">
        <v>364</v>
      </c>
      <c r="C440" s="88" t="s">
        <v>365</v>
      </c>
      <c r="D440" s="88" t="s">
        <v>230</v>
      </c>
      <c r="E440" s="88" t="s">
        <v>19</v>
      </c>
      <c r="F440" s="90">
        <v>1100000</v>
      </c>
    </row>
    <row r="441" spans="1:6">
      <c r="A441" s="88"/>
      <c r="B441" s="88" t="s">
        <v>382</v>
      </c>
      <c r="C441" s="88" t="s">
        <v>383</v>
      </c>
      <c r="D441" s="88" t="s">
        <v>8</v>
      </c>
      <c r="E441" s="88" t="s">
        <v>10</v>
      </c>
      <c r="F441" s="90">
        <v>1000000</v>
      </c>
    </row>
    <row r="442" spans="1:6">
      <c r="A442" s="88"/>
      <c r="B442" s="88" t="s">
        <v>388</v>
      </c>
      <c r="C442" s="88" t="s">
        <v>389</v>
      </c>
      <c r="D442" s="88" t="s">
        <v>283</v>
      </c>
      <c r="E442" s="88" t="s">
        <v>19</v>
      </c>
      <c r="F442" s="90">
        <v>1000000</v>
      </c>
    </row>
    <row r="443" spans="1:6">
      <c r="A443" s="88" t="s">
        <v>567</v>
      </c>
      <c r="B443" s="88"/>
      <c r="C443" s="88"/>
      <c r="D443" s="88"/>
      <c r="E443" s="88"/>
      <c r="F443" s="90">
        <v>29400000</v>
      </c>
    </row>
    <row r="444" spans="1:6">
      <c r="A444" s="88" t="s">
        <v>144</v>
      </c>
      <c r="B444" s="88" t="s">
        <v>139</v>
      </c>
      <c r="C444" s="88" t="s">
        <v>140</v>
      </c>
      <c r="D444" s="88" t="s">
        <v>141</v>
      </c>
      <c r="E444" s="88" t="s">
        <v>43</v>
      </c>
      <c r="F444" s="90">
        <v>5000000</v>
      </c>
    </row>
    <row r="445" spans="1:6">
      <c r="A445" s="88"/>
      <c r="B445" s="88" t="s">
        <v>145</v>
      </c>
      <c r="C445" s="88" t="s">
        <v>146</v>
      </c>
      <c r="D445" s="88" t="s">
        <v>141</v>
      </c>
      <c r="E445" s="88" t="s">
        <v>43</v>
      </c>
      <c r="F445" s="90">
        <v>5000000</v>
      </c>
    </row>
    <row r="446" spans="1:6">
      <c r="A446" s="88" t="s">
        <v>568</v>
      </c>
      <c r="B446" s="88"/>
      <c r="C446" s="88"/>
      <c r="D446" s="88"/>
      <c r="E446" s="88"/>
      <c r="F446" s="90">
        <v>10000000</v>
      </c>
    </row>
    <row r="447" spans="1:6">
      <c r="A447" s="88" t="s">
        <v>25</v>
      </c>
      <c r="B447" s="88" t="s">
        <v>15</v>
      </c>
      <c r="C447" s="88" t="s">
        <v>16</v>
      </c>
      <c r="D447" s="88" t="s">
        <v>17</v>
      </c>
      <c r="E447" s="88" t="s">
        <v>19</v>
      </c>
      <c r="F447" s="90">
        <v>1144000</v>
      </c>
    </row>
    <row r="448" spans="1:6">
      <c r="A448" s="88"/>
      <c r="B448" s="88" t="s">
        <v>212</v>
      </c>
      <c r="C448" s="88" t="s">
        <v>213</v>
      </c>
      <c r="D448" s="88" t="s">
        <v>214</v>
      </c>
      <c r="E448" s="88" t="s">
        <v>215</v>
      </c>
      <c r="F448" s="90">
        <v>572000</v>
      </c>
    </row>
    <row r="449" spans="1:6">
      <c r="A449" s="88"/>
      <c r="B449" s="88" t="s">
        <v>341</v>
      </c>
      <c r="C449" s="88" t="s">
        <v>342</v>
      </c>
      <c r="D449" s="88" t="s">
        <v>17</v>
      </c>
      <c r="E449" s="88" t="s">
        <v>19</v>
      </c>
      <c r="F449" s="90">
        <v>1144000</v>
      </c>
    </row>
    <row r="450" spans="1:6">
      <c r="A450" s="88" t="s">
        <v>569</v>
      </c>
      <c r="B450" s="88"/>
      <c r="C450" s="88"/>
      <c r="D450" s="88"/>
      <c r="E450" s="88"/>
      <c r="F450" s="90">
        <v>2860000</v>
      </c>
    </row>
    <row r="451" spans="1:6">
      <c r="A451" s="88" t="s">
        <v>287</v>
      </c>
      <c r="B451" s="88" t="s">
        <v>284</v>
      </c>
      <c r="C451" s="88" t="s">
        <v>285</v>
      </c>
      <c r="D451" s="88" t="s">
        <v>286</v>
      </c>
      <c r="E451" s="88" t="s">
        <v>53</v>
      </c>
      <c r="F451" s="90">
        <v>7500000</v>
      </c>
    </row>
    <row r="452" spans="1:6">
      <c r="A452" s="88"/>
      <c r="B452" s="88" t="s">
        <v>291</v>
      </c>
      <c r="C452" s="88" t="s">
        <v>292</v>
      </c>
      <c r="D452" s="88" t="s">
        <v>293</v>
      </c>
      <c r="E452" s="88" t="s">
        <v>53</v>
      </c>
      <c r="F452" s="90">
        <v>7000000</v>
      </c>
    </row>
    <row r="453" spans="1:6">
      <c r="A453" s="88"/>
      <c r="B453" s="88" t="s">
        <v>294</v>
      </c>
      <c r="C453" s="88" t="s">
        <v>295</v>
      </c>
      <c r="D453" s="88" t="s">
        <v>293</v>
      </c>
      <c r="E453" s="88" t="s">
        <v>53</v>
      </c>
      <c r="F453" s="90">
        <v>7000000</v>
      </c>
    </row>
    <row r="454" spans="1:6">
      <c r="A454" s="88"/>
      <c r="B454" s="88" t="s">
        <v>335</v>
      </c>
      <c r="C454" s="88" t="s">
        <v>336</v>
      </c>
      <c r="D454" s="88" t="s">
        <v>286</v>
      </c>
      <c r="E454" s="88" t="s">
        <v>53</v>
      </c>
      <c r="F454" s="90">
        <v>7500000</v>
      </c>
    </row>
    <row r="455" spans="1:6">
      <c r="A455" s="88" t="s">
        <v>570</v>
      </c>
      <c r="B455" s="88"/>
      <c r="C455" s="88"/>
      <c r="D455" s="88"/>
      <c r="E455" s="88"/>
      <c r="F455" s="90">
        <v>29000000</v>
      </c>
    </row>
    <row r="456" spans="1:6">
      <c r="A456" s="88" t="s">
        <v>26</v>
      </c>
      <c r="B456" s="88" t="s">
        <v>15</v>
      </c>
      <c r="C456" s="88" t="s">
        <v>16</v>
      </c>
      <c r="D456" s="88" t="s">
        <v>17</v>
      </c>
      <c r="E456" s="88" t="s">
        <v>19</v>
      </c>
      <c r="F456" s="90">
        <v>28870000</v>
      </c>
    </row>
    <row r="457" spans="1:6">
      <c r="A457" s="88"/>
      <c r="B457" s="88" t="s">
        <v>40</v>
      </c>
      <c r="C457" s="88" t="s">
        <v>41</v>
      </c>
      <c r="D457" s="88" t="s">
        <v>42</v>
      </c>
      <c r="E457" s="88" t="s">
        <v>43</v>
      </c>
      <c r="F457" s="90">
        <v>28000000</v>
      </c>
    </row>
    <row r="458" spans="1:6">
      <c r="A458" s="88"/>
      <c r="B458" s="88" t="s">
        <v>85</v>
      </c>
      <c r="C458" s="88" t="s">
        <v>86</v>
      </c>
      <c r="D458" s="88" t="s">
        <v>87</v>
      </c>
      <c r="E458" s="88" t="s">
        <v>53</v>
      </c>
      <c r="F458" s="90">
        <v>11000000</v>
      </c>
    </row>
    <row r="459" spans="1:6">
      <c r="A459" s="88"/>
      <c r="B459" s="88" t="s">
        <v>89</v>
      </c>
      <c r="C459" s="88" t="s">
        <v>90</v>
      </c>
      <c r="D459" s="88" t="s">
        <v>91</v>
      </c>
      <c r="E459" s="88" t="s">
        <v>19</v>
      </c>
      <c r="F459" s="90">
        <v>6675000</v>
      </c>
    </row>
    <row r="460" spans="1:6">
      <c r="A460" s="88"/>
      <c r="B460" s="88"/>
      <c r="C460" s="88"/>
      <c r="D460" s="88" t="s">
        <v>93</v>
      </c>
      <c r="E460" s="88" t="s">
        <v>43</v>
      </c>
      <c r="F460" s="90">
        <v>4750000</v>
      </c>
    </row>
    <row r="461" spans="1:6">
      <c r="A461" s="88"/>
      <c r="B461" s="88" t="s">
        <v>101</v>
      </c>
      <c r="C461" s="88" t="s">
        <v>102</v>
      </c>
      <c r="D461" s="88" t="s">
        <v>103</v>
      </c>
      <c r="E461" s="88" t="s">
        <v>43</v>
      </c>
      <c r="F461" s="90">
        <v>3750000</v>
      </c>
    </row>
    <row r="462" spans="1:6">
      <c r="A462" s="88"/>
      <c r="B462" s="88" t="s">
        <v>107</v>
      </c>
      <c r="C462" s="88" t="s">
        <v>108</v>
      </c>
      <c r="D462" s="88" t="s">
        <v>109</v>
      </c>
      <c r="E462" s="88" t="s">
        <v>19</v>
      </c>
      <c r="F462" s="90">
        <v>775000</v>
      </c>
    </row>
    <row r="463" spans="1:6">
      <c r="A463" s="88"/>
      <c r="B463" s="88" t="s">
        <v>117</v>
      </c>
      <c r="C463" s="88" t="s">
        <v>118</v>
      </c>
      <c r="D463" s="88" t="s">
        <v>119</v>
      </c>
      <c r="E463" s="88" t="s">
        <v>53</v>
      </c>
      <c r="F463" s="90">
        <v>25000000</v>
      </c>
    </row>
    <row r="464" spans="1:6">
      <c r="A464" s="88"/>
      <c r="B464" s="88" t="s">
        <v>120</v>
      </c>
      <c r="C464" s="88" t="s">
        <v>121</v>
      </c>
      <c r="D464" s="88" t="s">
        <v>109</v>
      </c>
      <c r="E464" s="88" t="s">
        <v>19</v>
      </c>
      <c r="F464" s="90">
        <v>775000</v>
      </c>
    </row>
    <row r="465" spans="1:6">
      <c r="A465" s="88"/>
      <c r="B465" s="88" t="s">
        <v>139</v>
      </c>
      <c r="C465" s="88" t="s">
        <v>140</v>
      </c>
      <c r="D465" s="88" t="s">
        <v>141</v>
      </c>
      <c r="E465" s="88" t="s">
        <v>43</v>
      </c>
      <c r="F465" s="90">
        <v>6000000</v>
      </c>
    </row>
    <row r="466" spans="1:6">
      <c r="A466" s="88"/>
      <c r="B466" s="88" t="s">
        <v>145</v>
      </c>
      <c r="C466" s="88" t="s">
        <v>146</v>
      </c>
      <c r="D466" s="88" t="s">
        <v>141</v>
      </c>
      <c r="E466" s="88" t="s">
        <v>43</v>
      </c>
      <c r="F466" s="90">
        <v>6000000</v>
      </c>
    </row>
    <row r="467" spans="1:6">
      <c r="A467" s="88"/>
      <c r="B467" s="88" t="s">
        <v>147</v>
      </c>
      <c r="C467" s="88" t="s">
        <v>148</v>
      </c>
      <c r="D467" s="88" t="s">
        <v>151</v>
      </c>
      <c r="E467" s="88" t="s">
        <v>53</v>
      </c>
      <c r="F467" s="90">
        <v>6000000</v>
      </c>
    </row>
    <row r="468" spans="1:6">
      <c r="A468" s="88"/>
      <c r="B468" s="88" t="s">
        <v>156</v>
      </c>
      <c r="C468" s="88" t="s">
        <v>157</v>
      </c>
      <c r="D468" s="88" t="s">
        <v>158</v>
      </c>
      <c r="E468" s="88" t="s">
        <v>53</v>
      </c>
      <c r="F468" s="90">
        <v>12050000</v>
      </c>
    </row>
    <row r="469" spans="1:6">
      <c r="A469" s="88"/>
      <c r="B469" s="88" t="s">
        <v>168</v>
      </c>
      <c r="C469" s="88" t="s">
        <v>169</v>
      </c>
      <c r="D469" s="88" t="s">
        <v>170</v>
      </c>
      <c r="E469" s="88" t="s">
        <v>53</v>
      </c>
      <c r="F469" s="90">
        <v>1750000</v>
      </c>
    </row>
    <row r="470" spans="1:6">
      <c r="A470" s="88"/>
      <c r="B470" s="88" t="s">
        <v>172</v>
      </c>
      <c r="C470" s="88" t="s">
        <v>173</v>
      </c>
      <c r="D470" s="88" t="s">
        <v>103</v>
      </c>
      <c r="E470" s="88" t="s">
        <v>43</v>
      </c>
      <c r="F470" s="90">
        <v>7500000</v>
      </c>
    </row>
    <row r="471" spans="1:6">
      <c r="A471" s="88"/>
      <c r="B471" s="88" t="s">
        <v>174</v>
      </c>
      <c r="C471" s="88" t="s">
        <v>175</v>
      </c>
      <c r="D471" s="88" t="s">
        <v>176</v>
      </c>
      <c r="E471" s="88" t="s">
        <v>53</v>
      </c>
      <c r="F471" s="90">
        <v>650000</v>
      </c>
    </row>
    <row r="472" spans="1:6">
      <c r="A472" s="88"/>
      <c r="B472" s="88" t="s">
        <v>181</v>
      </c>
      <c r="C472" s="88" t="s">
        <v>182</v>
      </c>
      <c r="D472" s="88" t="s">
        <v>103</v>
      </c>
      <c r="E472" s="88" t="s">
        <v>43</v>
      </c>
      <c r="F472" s="90">
        <v>5250000</v>
      </c>
    </row>
    <row r="473" spans="1:6">
      <c r="A473" s="88"/>
      <c r="B473" s="88" t="s">
        <v>192</v>
      </c>
      <c r="C473" s="88" t="s">
        <v>193</v>
      </c>
      <c r="D473" s="88" t="s">
        <v>176</v>
      </c>
      <c r="E473" s="88" t="s">
        <v>53</v>
      </c>
      <c r="F473" s="90">
        <v>24250000</v>
      </c>
    </row>
    <row r="474" spans="1:6">
      <c r="A474" s="88"/>
      <c r="B474" s="88" t="s">
        <v>209</v>
      </c>
      <c r="C474" s="88" t="s">
        <v>210</v>
      </c>
      <c r="D474" s="88" t="s">
        <v>211</v>
      </c>
      <c r="E474" s="88" t="s">
        <v>43</v>
      </c>
      <c r="F474" s="90">
        <v>6900000</v>
      </c>
    </row>
    <row r="475" spans="1:6">
      <c r="A475" s="88"/>
      <c r="B475" s="88" t="s">
        <v>221</v>
      </c>
      <c r="C475" s="88" t="s">
        <v>222</v>
      </c>
      <c r="D475" s="88" t="s">
        <v>223</v>
      </c>
      <c r="E475" s="88" t="s">
        <v>43</v>
      </c>
      <c r="F475" s="90">
        <v>3500000</v>
      </c>
    </row>
    <row r="476" spans="1:6">
      <c r="A476" s="88"/>
      <c r="B476" s="88" t="s">
        <v>225</v>
      </c>
      <c r="C476" s="88" t="s">
        <v>226</v>
      </c>
      <c r="D476" s="88" t="s">
        <v>161</v>
      </c>
      <c r="E476" s="88" t="s">
        <v>53</v>
      </c>
      <c r="F476" s="90">
        <v>1000000</v>
      </c>
    </row>
    <row r="477" spans="1:6">
      <c r="A477" s="88"/>
      <c r="B477" s="88" t="s">
        <v>228</v>
      </c>
      <c r="C477" s="88" t="s">
        <v>229</v>
      </c>
      <c r="D477" s="88" t="s">
        <v>230</v>
      </c>
      <c r="E477" s="88" t="s">
        <v>19</v>
      </c>
      <c r="F477" s="90">
        <v>2000000</v>
      </c>
    </row>
    <row r="478" spans="1:6">
      <c r="A478" s="88"/>
      <c r="B478" s="88" t="s">
        <v>235</v>
      </c>
      <c r="C478" s="88" t="s">
        <v>236</v>
      </c>
      <c r="D478" s="88" t="s">
        <v>151</v>
      </c>
      <c r="E478" s="88" t="s">
        <v>53</v>
      </c>
      <c r="F478" s="90">
        <v>6000000</v>
      </c>
    </row>
    <row r="479" spans="1:6">
      <c r="A479" s="88"/>
      <c r="B479" s="88" t="s">
        <v>264</v>
      </c>
      <c r="C479" s="88" t="s">
        <v>265</v>
      </c>
      <c r="D479" s="88" t="s">
        <v>266</v>
      </c>
      <c r="E479" s="88" t="s">
        <v>43</v>
      </c>
      <c r="F479" s="90">
        <v>3575000</v>
      </c>
    </row>
    <row r="480" spans="1:6">
      <c r="A480" s="88"/>
      <c r="B480" s="88" t="s">
        <v>268</v>
      </c>
      <c r="C480" s="88" t="s">
        <v>269</v>
      </c>
      <c r="D480" s="88" t="s">
        <v>270</v>
      </c>
      <c r="E480" s="88" t="s">
        <v>19</v>
      </c>
      <c r="F480" s="90">
        <v>13910700</v>
      </c>
    </row>
    <row r="481" spans="1:6">
      <c r="A481" s="88"/>
      <c r="B481" s="88" t="s">
        <v>271</v>
      </c>
      <c r="C481" s="88" t="s">
        <v>272</v>
      </c>
      <c r="D481" s="88" t="s">
        <v>270</v>
      </c>
      <c r="E481" s="88" t="s">
        <v>19</v>
      </c>
      <c r="F481" s="90">
        <v>13910700</v>
      </c>
    </row>
    <row r="482" spans="1:6">
      <c r="A482" s="88"/>
      <c r="B482" s="88" t="s">
        <v>273</v>
      </c>
      <c r="C482" s="88" t="s">
        <v>274</v>
      </c>
      <c r="D482" s="88" t="s">
        <v>275</v>
      </c>
      <c r="E482" s="88" t="s">
        <v>53</v>
      </c>
      <c r="F482" s="90">
        <v>4850000</v>
      </c>
    </row>
    <row r="483" spans="1:6">
      <c r="A483" s="88"/>
      <c r="B483" s="88" t="s">
        <v>277</v>
      </c>
      <c r="C483" s="88" t="s">
        <v>278</v>
      </c>
      <c r="D483" s="88" t="s">
        <v>158</v>
      </c>
      <c r="E483" s="88" t="s">
        <v>53</v>
      </c>
      <c r="F483" s="90">
        <v>12050000</v>
      </c>
    </row>
    <row r="484" spans="1:6">
      <c r="A484" s="88"/>
      <c r="B484" s="88" t="s">
        <v>284</v>
      </c>
      <c r="C484" s="88" t="s">
        <v>285</v>
      </c>
      <c r="D484" s="88" t="s">
        <v>286</v>
      </c>
      <c r="E484" s="88" t="s">
        <v>53</v>
      </c>
      <c r="F484" s="90">
        <v>22200000</v>
      </c>
    </row>
    <row r="485" spans="1:6">
      <c r="A485" s="88"/>
      <c r="B485" s="88" t="s">
        <v>288</v>
      </c>
      <c r="C485" s="88" t="s">
        <v>289</v>
      </c>
      <c r="D485" s="88" t="s">
        <v>290</v>
      </c>
      <c r="E485" s="88" t="s">
        <v>53</v>
      </c>
      <c r="F485" s="90">
        <v>12400000</v>
      </c>
    </row>
    <row r="486" spans="1:6">
      <c r="A486" s="88"/>
      <c r="B486" s="88" t="s">
        <v>291</v>
      </c>
      <c r="C486" s="88" t="s">
        <v>292</v>
      </c>
      <c r="D486" s="88" t="s">
        <v>293</v>
      </c>
      <c r="E486" s="88" t="s">
        <v>53</v>
      </c>
      <c r="F486" s="90">
        <v>3600000</v>
      </c>
    </row>
    <row r="487" spans="1:6">
      <c r="A487" s="88"/>
      <c r="B487" s="88" t="s">
        <v>294</v>
      </c>
      <c r="C487" s="88" t="s">
        <v>295</v>
      </c>
      <c r="D487" s="88" t="s">
        <v>293</v>
      </c>
      <c r="E487" s="88" t="s">
        <v>53</v>
      </c>
      <c r="F487" s="90">
        <v>3600000</v>
      </c>
    </row>
    <row r="488" spans="1:6">
      <c r="A488" s="88"/>
      <c r="B488" s="88" t="s">
        <v>296</v>
      </c>
      <c r="C488" s="88" t="s">
        <v>297</v>
      </c>
      <c r="D488" s="88" t="s">
        <v>223</v>
      </c>
      <c r="E488" s="88" t="s">
        <v>43</v>
      </c>
      <c r="F488" s="90">
        <v>3500000</v>
      </c>
    </row>
    <row r="489" spans="1:6">
      <c r="A489" s="88"/>
      <c r="B489" s="88" t="s">
        <v>303</v>
      </c>
      <c r="C489" s="88" t="s">
        <v>304</v>
      </c>
      <c r="D489" s="88" t="s">
        <v>275</v>
      </c>
      <c r="E489" s="88" t="s">
        <v>53</v>
      </c>
      <c r="F489" s="90">
        <v>4850000</v>
      </c>
    </row>
    <row r="490" spans="1:6">
      <c r="A490" s="88"/>
      <c r="B490" s="88" t="s">
        <v>305</v>
      </c>
      <c r="C490" s="88" t="s">
        <v>306</v>
      </c>
      <c r="D490" s="88" t="s">
        <v>87</v>
      </c>
      <c r="E490" s="88" t="s">
        <v>53</v>
      </c>
      <c r="F490" s="90">
        <v>11000000</v>
      </c>
    </row>
    <row r="491" spans="1:6">
      <c r="A491" s="88"/>
      <c r="B491" s="88" t="s">
        <v>307</v>
      </c>
      <c r="C491" s="88" t="s">
        <v>308</v>
      </c>
      <c r="D491" s="88" t="s">
        <v>93</v>
      </c>
      <c r="E491" s="88" t="s">
        <v>43</v>
      </c>
      <c r="F491" s="90">
        <v>4750000</v>
      </c>
    </row>
    <row r="492" spans="1:6">
      <c r="A492" s="88"/>
      <c r="B492" s="88" t="s">
        <v>310</v>
      </c>
      <c r="C492" s="88" t="s">
        <v>311</v>
      </c>
      <c r="D492" s="88" t="s">
        <v>93</v>
      </c>
      <c r="E492" s="88" t="s">
        <v>43</v>
      </c>
      <c r="F492" s="90">
        <v>4750000</v>
      </c>
    </row>
    <row r="493" spans="1:6">
      <c r="A493" s="88"/>
      <c r="B493" s="88" t="s">
        <v>312</v>
      </c>
      <c r="C493" s="88" t="s">
        <v>313</v>
      </c>
      <c r="D493" s="88" t="s">
        <v>170</v>
      </c>
      <c r="E493" s="88" t="s">
        <v>53</v>
      </c>
      <c r="F493" s="90">
        <v>1750000</v>
      </c>
    </row>
    <row r="494" spans="1:6">
      <c r="A494" s="88"/>
      <c r="B494" s="88" t="s">
        <v>314</v>
      </c>
      <c r="C494" s="88" t="s">
        <v>315</v>
      </c>
      <c r="D494" s="88" t="s">
        <v>205</v>
      </c>
      <c r="E494" s="88" t="s">
        <v>53</v>
      </c>
      <c r="F494" s="90">
        <v>6000000</v>
      </c>
    </row>
    <row r="495" spans="1:6">
      <c r="A495" s="88"/>
      <c r="B495" s="88" t="s">
        <v>316</v>
      </c>
      <c r="C495" s="88" t="s">
        <v>317</v>
      </c>
      <c r="D495" s="88" t="s">
        <v>211</v>
      </c>
      <c r="E495" s="88" t="s">
        <v>43</v>
      </c>
      <c r="F495" s="90">
        <v>6900000</v>
      </c>
    </row>
    <row r="496" spans="1:6">
      <c r="A496" s="88"/>
      <c r="B496" s="88" t="s">
        <v>329</v>
      </c>
      <c r="C496" s="88" t="s">
        <v>330</v>
      </c>
      <c r="D496" s="88" t="s">
        <v>290</v>
      </c>
      <c r="E496" s="88" t="s">
        <v>53</v>
      </c>
      <c r="F496" s="90">
        <v>12400000</v>
      </c>
    </row>
    <row r="497" spans="1:6">
      <c r="A497" s="88"/>
      <c r="B497" s="88" t="s">
        <v>333</v>
      </c>
      <c r="C497" s="88" t="s">
        <v>334</v>
      </c>
      <c r="D497" s="88" t="s">
        <v>42</v>
      </c>
      <c r="E497" s="88" t="s">
        <v>43</v>
      </c>
      <c r="F497" s="90">
        <v>28000000</v>
      </c>
    </row>
    <row r="498" spans="1:6">
      <c r="A498" s="88"/>
      <c r="B498" s="88" t="s">
        <v>335</v>
      </c>
      <c r="C498" s="88" t="s">
        <v>336</v>
      </c>
      <c r="D498" s="88" t="s">
        <v>286</v>
      </c>
      <c r="E498" s="88" t="s">
        <v>53</v>
      </c>
      <c r="F498" s="90">
        <v>22200000</v>
      </c>
    </row>
    <row r="499" spans="1:6">
      <c r="A499" s="88"/>
      <c r="B499" s="88" t="s">
        <v>341</v>
      </c>
      <c r="C499" s="88" t="s">
        <v>342</v>
      </c>
      <c r="D499" s="88" t="s">
        <v>17</v>
      </c>
      <c r="E499" s="88" t="s">
        <v>19</v>
      </c>
      <c r="F499" s="90">
        <v>28870000</v>
      </c>
    </row>
    <row r="500" spans="1:6">
      <c r="A500" s="88"/>
      <c r="B500" s="88" t="s">
        <v>349</v>
      </c>
      <c r="C500" s="88" t="s">
        <v>350</v>
      </c>
      <c r="D500" s="88" t="s">
        <v>91</v>
      </c>
      <c r="E500" s="88" t="s">
        <v>19</v>
      </c>
      <c r="F500" s="90">
        <v>6675000</v>
      </c>
    </row>
    <row r="501" spans="1:6">
      <c r="A501" s="88"/>
      <c r="B501" s="88"/>
      <c r="C501" s="88"/>
      <c r="D501" s="88" t="s">
        <v>93</v>
      </c>
      <c r="E501" s="88" t="s">
        <v>43</v>
      </c>
      <c r="F501" s="90">
        <v>4750000</v>
      </c>
    </row>
    <row r="502" spans="1:6">
      <c r="A502" s="88"/>
      <c r="B502" s="88" t="s">
        <v>354</v>
      </c>
      <c r="C502" s="88" t="s">
        <v>355</v>
      </c>
      <c r="D502" s="88" t="s">
        <v>176</v>
      </c>
      <c r="E502" s="88" t="s">
        <v>53</v>
      </c>
      <c r="F502" s="90">
        <v>24250000</v>
      </c>
    </row>
    <row r="503" spans="1:6">
      <c r="A503" s="88"/>
      <c r="B503" s="88" t="s">
        <v>356</v>
      </c>
      <c r="C503" s="88" t="s">
        <v>357</v>
      </c>
      <c r="D503" s="88" t="s">
        <v>358</v>
      </c>
      <c r="E503" s="88" t="s">
        <v>135</v>
      </c>
      <c r="F503" s="90">
        <v>2150000</v>
      </c>
    </row>
    <row r="504" spans="1:6">
      <c r="A504" s="88"/>
      <c r="B504" s="88" t="s">
        <v>364</v>
      </c>
      <c r="C504" s="88" t="s">
        <v>365</v>
      </c>
      <c r="D504" s="88" t="s">
        <v>230</v>
      </c>
      <c r="E504" s="88" t="s">
        <v>19</v>
      </c>
      <c r="F504" s="90">
        <v>2000000</v>
      </c>
    </row>
    <row r="505" spans="1:6">
      <c r="A505" s="88"/>
      <c r="B505" s="88" t="s">
        <v>371</v>
      </c>
      <c r="C505" s="88" t="s">
        <v>372</v>
      </c>
      <c r="D505" s="88" t="s">
        <v>161</v>
      </c>
      <c r="E505" s="88" t="s">
        <v>53</v>
      </c>
      <c r="F505" s="90">
        <v>1000000</v>
      </c>
    </row>
    <row r="506" spans="1:6">
      <c r="A506" s="88"/>
      <c r="B506" s="88" t="s">
        <v>377</v>
      </c>
      <c r="C506" s="88" t="s">
        <v>378</v>
      </c>
      <c r="D506" s="88" t="s">
        <v>379</v>
      </c>
      <c r="E506" s="88" t="s">
        <v>14</v>
      </c>
      <c r="F506" s="90">
        <v>3150000</v>
      </c>
    </row>
    <row r="507" spans="1:6">
      <c r="A507" s="88"/>
      <c r="B507" s="88"/>
      <c r="C507" s="88"/>
      <c r="D507" s="88" t="s">
        <v>381</v>
      </c>
      <c r="E507" s="88" t="s">
        <v>14</v>
      </c>
      <c r="F507" s="90">
        <v>2000000</v>
      </c>
    </row>
    <row r="508" spans="1:6">
      <c r="A508" s="88"/>
      <c r="B508" s="88" t="s">
        <v>382</v>
      </c>
      <c r="C508" s="88" t="s">
        <v>383</v>
      </c>
      <c r="D508" s="88" t="s">
        <v>8</v>
      </c>
      <c r="E508" s="88" t="s">
        <v>10</v>
      </c>
      <c r="F508" s="90">
        <v>10100000</v>
      </c>
    </row>
    <row r="509" spans="1:6">
      <c r="A509" s="88"/>
      <c r="B509" s="88" t="s">
        <v>385</v>
      </c>
      <c r="C509" s="88" t="s">
        <v>386</v>
      </c>
      <c r="D509" s="88" t="s">
        <v>103</v>
      </c>
      <c r="E509" s="88" t="s">
        <v>43</v>
      </c>
      <c r="F509" s="90">
        <v>1500000</v>
      </c>
    </row>
    <row r="510" spans="1:6">
      <c r="A510" s="88"/>
      <c r="B510" s="88" t="s">
        <v>387</v>
      </c>
      <c r="C510" s="88"/>
      <c r="D510" s="88" t="s">
        <v>205</v>
      </c>
      <c r="E510" s="88" t="s">
        <v>53</v>
      </c>
      <c r="F510" s="90">
        <v>6000000</v>
      </c>
    </row>
    <row r="511" spans="1:6">
      <c r="A511" s="88"/>
      <c r="B511" s="88" t="s">
        <v>399</v>
      </c>
      <c r="C511" s="88" t="s">
        <v>400</v>
      </c>
      <c r="D511" s="88" t="s">
        <v>266</v>
      </c>
      <c r="E511" s="88" t="s">
        <v>43</v>
      </c>
      <c r="F511" s="90">
        <v>3575000</v>
      </c>
    </row>
    <row r="512" spans="1:6">
      <c r="A512" s="88" t="s">
        <v>571</v>
      </c>
      <c r="B512" s="88"/>
      <c r="C512" s="88"/>
      <c r="D512" s="88"/>
      <c r="E512" s="88"/>
      <c r="F512" s="90">
        <v>490661400</v>
      </c>
    </row>
    <row r="513" spans="1:6">
      <c r="A513" s="88" t="s">
        <v>247</v>
      </c>
      <c r="B513" s="88" t="s">
        <v>245</v>
      </c>
      <c r="C513" s="88" t="s">
        <v>246</v>
      </c>
      <c r="D513" s="88" t="s">
        <v>91</v>
      </c>
      <c r="E513" s="88" t="s">
        <v>19</v>
      </c>
      <c r="F513" s="90">
        <v>1200000</v>
      </c>
    </row>
    <row r="514" spans="1:6">
      <c r="A514" s="88"/>
      <c r="B514" s="88" t="s">
        <v>281</v>
      </c>
      <c r="C514" s="88" t="s">
        <v>282</v>
      </c>
      <c r="D514" s="88" t="s">
        <v>119</v>
      </c>
      <c r="E514" s="88" t="s">
        <v>53</v>
      </c>
      <c r="F514" s="90">
        <v>1750000</v>
      </c>
    </row>
    <row r="515" spans="1:6">
      <c r="A515" s="88"/>
      <c r="B515" s="88" t="s">
        <v>284</v>
      </c>
      <c r="C515" s="88" t="s">
        <v>285</v>
      </c>
      <c r="D515" s="88" t="s">
        <v>286</v>
      </c>
      <c r="E515" s="88" t="s">
        <v>53</v>
      </c>
      <c r="F515" s="90">
        <v>1000000</v>
      </c>
    </row>
    <row r="516" spans="1:6">
      <c r="A516" s="88"/>
      <c r="B516" s="88" t="s">
        <v>335</v>
      </c>
      <c r="C516" s="88" t="s">
        <v>336</v>
      </c>
      <c r="D516" s="88" t="s">
        <v>286</v>
      </c>
      <c r="E516" s="88" t="s">
        <v>53</v>
      </c>
      <c r="F516" s="90">
        <v>1000000</v>
      </c>
    </row>
    <row r="517" spans="1:6">
      <c r="A517" s="88"/>
      <c r="B517" s="88" t="s">
        <v>363</v>
      </c>
      <c r="C517" s="88"/>
      <c r="D517" s="88" t="s">
        <v>119</v>
      </c>
      <c r="E517" s="88" t="s">
        <v>53</v>
      </c>
      <c r="F517" s="90">
        <v>1750000</v>
      </c>
    </row>
    <row r="518" spans="1:6">
      <c r="A518" s="88"/>
      <c r="B518" s="88" t="s">
        <v>364</v>
      </c>
      <c r="C518" s="88" t="s">
        <v>365</v>
      </c>
      <c r="D518" s="88" t="s">
        <v>91</v>
      </c>
      <c r="E518" s="88" t="s">
        <v>19</v>
      </c>
      <c r="F518" s="90">
        <v>1200000</v>
      </c>
    </row>
    <row r="519" spans="1:6">
      <c r="A519" s="88" t="s">
        <v>572</v>
      </c>
      <c r="B519" s="88"/>
      <c r="C519" s="88"/>
      <c r="D519" s="88"/>
      <c r="E519" s="88"/>
      <c r="F519" s="90">
        <v>7900000</v>
      </c>
    </row>
    <row r="520" spans="1:6">
      <c r="A520" s="88" t="s">
        <v>346</v>
      </c>
      <c r="B520" s="88" t="s">
        <v>343</v>
      </c>
      <c r="C520" s="88" t="s">
        <v>344</v>
      </c>
      <c r="D520" s="88" t="s">
        <v>345</v>
      </c>
      <c r="E520" s="88" t="s">
        <v>14</v>
      </c>
      <c r="F520" s="90">
        <v>1199968</v>
      </c>
    </row>
    <row r="521" spans="1:6">
      <c r="A521" s="88" t="s">
        <v>573</v>
      </c>
      <c r="B521" s="88"/>
      <c r="C521" s="88"/>
      <c r="D521" s="88"/>
      <c r="E521" s="88"/>
      <c r="F521" s="90">
        <v>1199968</v>
      </c>
    </row>
    <row r="522" spans="1:6">
      <c r="A522" s="88" t="s">
        <v>39</v>
      </c>
      <c r="B522" s="88" t="s">
        <v>35</v>
      </c>
      <c r="C522" s="88" t="s">
        <v>36</v>
      </c>
      <c r="D522" s="88" t="s">
        <v>38</v>
      </c>
      <c r="E522" s="88" t="s">
        <v>31</v>
      </c>
      <c r="F522" s="90">
        <v>29978000</v>
      </c>
    </row>
    <row r="523" spans="1:6">
      <c r="A523" s="88"/>
      <c r="B523" s="88" t="s">
        <v>60</v>
      </c>
      <c r="C523" s="88" t="s">
        <v>61</v>
      </c>
      <c r="D523" s="88" t="s">
        <v>62</v>
      </c>
      <c r="E523" s="88" t="s">
        <v>31</v>
      </c>
      <c r="F523" s="90">
        <v>61419000</v>
      </c>
    </row>
    <row r="524" spans="1:6">
      <c r="A524" s="88"/>
      <c r="B524" s="88" t="s">
        <v>67</v>
      </c>
      <c r="C524" s="88" t="s">
        <v>68</v>
      </c>
      <c r="D524" s="88" t="s">
        <v>69</v>
      </c>
      <c r="E524" s="88" t="s">
        <v>31</v>
      </c>
      <c r="F524" s="90">
        <v>31441000</v>
      </c>
    </row>
    <row r="525" spans="1:6">
      <c r="A525" s="88"/>
      <c r="B525" s="88" t="s">
        <v>105</v>
      </c>
      <c r="C525" s="88" t="s">
        <v>106</v>
      </c>
      <c r="D525" s="88" t="s">
        <v>38</v>
      </c>
      <c r="E525" s="88" t="s">
        <v>31</v>
      </c>
      <c r="F525" s="90">
        <v>29978000</v>
      </c>
    </row>
    <row r="526" spans="1:6">
      <c r="A526" s="88"/>
      <c r="B526" s="88" t="s">
        <v>178</v>
      </c>
      <c r="C526" s="88" t="s">
        <v>179</v>
      </c>
      <c r="D526" s="88"/>
      <c r="E526" s="88"/>
      <c r="F526" s="90">
        <v>31441000</v>
      </c>
    </row>
    <row r="527" spans="1:6">
      <c r="A527" s="88"/>
      <c r="B527" s="88" t="s">
        <v>183</v>
      </c>
      <c r="C527" s="88" t="s">
        <v>184</v>
      </c>
      <c r="D527" s="88" t="s">
        <v>69</v>
      </c>
      <c r="E527" s="88" t="s">
        <v>31</v>
      </c>
      <c r="F527" s="90">
        <v>31441000</v>
      </c>
    </row>
    <row r="528" spans="1:6">
      <c r="A528" s="88"/>
      <c r="B528" s="88" t="s">
        <v>201</v>
      </c>
      <c r="C528" s="88" t="s">
        <v>202</v>
      </c>
      <c r="D528" s="88" t="s">
        <v>180</v>
      </c>
      <c r="E528" s="88" t="s">
        <v>31</v>
      </c>
      <c r="F528" s="90">
        <v>31441000</v>
      </c>
    </row>
    <row r="529" spans="1:6">
      <c r="A529" s="88"/>
      <c r="B529" s="88" t="s">
        <v>232</v>
      </c>
      <c r="C529" s="88" t="s">
        <v>233</v>
      </c>
      <c r="D529" s="88" t="s">
        <v>234</v>
      </c>
      <c r="E529" s="88" t="s">
        <v>31</v>
      </c>
      <c r="F529" s="90">
        <v>62882000</v>
      </c>
    </row>
    <row r="530" spans="1:6">
      <c r="A530" s="88"/>
      <c r="B530" s="88" t="s">
        <v>239</v>
      </c>
      <c r="C530" s="88" t="s">
        <v>240</v>
      </c>
      <c r="D530" s="88" t="s">
        <v>234</v>
      </c>
      <c r="E530" s="88" t="s">
        <v>31</v>
      </c>
      <c r="F530" s="90">
        <v>62882000</v>
      </c>
    </row>
    <row r="531" spans="1:6">
      <c r="A531" s="88"/>
      <c r="B531" s="88" t="s">
        <v>366</v>
      </c>
      <c r="C531" s="88" t="s">
        <v>367</v>
      </c>
      <c r="D531" s="88" t="s">
        <v>62</v>
      </c>
      <c r="E531" s="88" t="s">
        <v>31</v>
      </c>
      <c r="F531" s="90">
        <v>61419000</v>
      </c>
    </row>
    <row r="532" spans="1:6">
      <c r="A532" s="88"/>
      <c r="B532" s="88" t="s">
        <v>368</v>
      </c>
      <c r="C532" s="88" t="s">
        <v>75</v>
      </c>
      <c r="D532" s="88" t="s">
        <v>76</v>
      </c>
      <c r="E532" s="88" t="s">
        <v>31</v>
      </c>
      <c r="F532" s="90">
        <v>29978000</v>
      </c>
    </row>
    <row r="533" spans="1:6">
      <c r="A533" s="88"/>
      <c r="B533" s="88" t="s">
        <v>369</v>
      </c>
      <c r="C533" s="88" t="s">
        <v>78</v>
      </c>
      <c r="D533" s="88" t="s">
        <v>76</v>
      </c>
      <c r="E533" s="88" t="s">
        <v>31</v>
      </c>
      <c r="F533" s="90">
        <v>29978000</v>
      </c>
    </row>
    <row r="534" spans="1:6">
      <c r="A534" s="88" t="s">
        <v>574</v>
      </c>
      <c r="B534" s="88"/>
      <c r="C534" s="88"/>
      <c r="D534" s="88"/>
      <c r="E534" s="88"/>
      <c r="F534" s="90">
        <v>494278000</v>
      </c>
    </row>
    <row r="535" spans="1:6">
      <c r="A535" s="88" t="s">
        <v>63</v>
      </c>
      <c r="B535" s="88" t="s">
        <v>60</v>
      </c>
      <c r="C535" s="88" t="s">
        <v>61</v>
      </c>
      <c r="D535" s="88" t="s">
        <v>62</v>
      </c>
      <c r="E535" s="88" t="s">
        <v>31</v>
      </c>
      <c r="F535" s="90">
        <v>9950000</v>
      </c>
    </row>
    <row r="536" spans="1:6">
      <c r="A536" s="88"/>
      <c r="B536" s="88" t="s">
        <v>67</v>
      </c>
      <c r="C536" s="88" t="s">
        <v>68</v>
      </c>
      <c r="D536" s="88" t="s">
        <v>69</v>
      </c>
      <c r="E536" s="88" t="s">
        <v>31</v>
      </c>
      <c r="F536" s="90">
        <v>12000000</v>
      </c>
    </row>
    <row r="537" spans="1:6">
      <c r="A537" s="88"/>
      <c r="B537" s="88" t="s">
        <v>183</v>
      </c>
      <c r="C537" s="88" t="s">
        <v>184</v>
      </c>
      <c r="D537" s="88" t="s">
        <v>69</v>
      </c>
      <c r="E537" s="88" t="s">
        <v>31</v>
      </c>
      <c r="F537" s="90">
        <v>12000000</v>
      </c>
    </row>
    <row r="538" spans="1:6">
      <c r="A538" s="88"/>
      <c r="B538" s="88" t="s">
        <v>232</v>
      </c>
      <c r="C538" s="88" t="s">
        <v>233</v>
      </c>
      <c r="D538" s="88" t="s">
        <v>234</v>
      </c>
      <c r="E538" s="88" t="s">
        <v>31</v>
      </c>
      <c r="F538" s="90">
        <v>10000000</v>
      </c>
    </row>
    <row r="539" spans="1:6">
      <c r="A539" s="88"/>
      <c r="B539" s="88" t="s">
        <v>239</v>
      </c>
      <c r="C539" s="88" t="s">
        <v>240</v>
      </c>
      <c r="D539" s="88" t="s">
        <v>234</v>
      </c>
      <c r="E539" s="88" t="s">
        <v>31</v>
      </c>
      <c r="F539" s="90">
        <v>10000000</v>
      </c>
    </row>
    <row r="540" spans="1:6">
      <c r="A540" s="88"/>
      <c r="B540" s="88" t="s">
        <v>307</v>
      </c>
      <c r="C540" s="88" t="s">
        <v>308</v>
      </c>
      <c r="D540" s="88" t="s">
        <v>93</v>
      </c>
      <c r="E540" s="88" t="s">
        <v>43</v>
      </c>
      <c r="F540" s="90">
        <v>9500000</v>
      </c>
    </row>
    <row r="541" spans="1:6">
      <c r="A541" s="88"/>
      <c r="B541" s="88" t="s">
        <v>310</v>
      </c>
      <c r="C541" s="88" t="s">
        <v>311</v>
      </c>
      <c r="D541" s="88" t="s">
        <v>93</v>
      </c>
      <c r="E541" s="88" t="s">
        <v>43</v>
      </c>
      <c r="F541" s="90">
        <v>9500000</v>
      </c>
    </row>
    <row r="542" spans="1:6">
      <c r="A542" s="88"/>
      <c r="B542" s="88" t="s">
        <v>366</v>
      </c>
      <c r="C542" s="88" t="s">
        <v>367</v>
      </c>
      <c r="D542" s="88" t="s">
        <v>62</v>
      </c>
      <c r="E542" s="88" t="s">
        <v>31</v>
      </c>
      <c r="F542" s="90">
        <v>9950000</v>
      </c>
    </row>
    <row r="543" spans="1:6">
      <c r="A543" s="88" t="s">
        <v>575</v>
      </c>
      <c r="B543" s="88"/>
      <c r="C543" s="88"/>
      <c r="D543" s="88"/>
      <c r="E543" s="88"/>
      <c r="F543" s="90">
        <v>82900000</v>
      </c>
    </row>
    <row r="544" spans="1:6">
      <c r="A544" s="88" t="s">
        <v>309</v>
      </c>
      <c r="B544" s="88" t="s">
        <v>307</v>
      </c>
      <c r="C544" s="88" t="s">
        <v>308</v>
      </c>
      <c r="D544" s="88" t="s">
        <v>119</v>
      </c>
      <c r="E544" s="88" t="s">
        <v>53</v>
      </c>
      <c r="F544" s="90">
        <v>12000000</v>
      </c>
    </row>
    <row r="545" spans="1:6">
      <c r="A545" s="88"/>
      <c r="B545" s="88" t="s">
        <v>310</v>
      </c>
      <c r="C545" s="88" t="s">
        <v>311</v>
      </c>
      <c r="D545" s="88" t="s">
        <v>119</v>
      </c>
      <c r="E545" s="88" t="s">
        <v>53</v>
      </c>
      <c r="F545" s="90">
        <v>12000000</v>
      </c>
    </row>
    <row r="546" spans="1:6">
      <c r="A546" s="88" t="s">
        <v>576</v>
      </c>
      <c r="B546" s="88"/>
      <c r="C546" s="88"/>
      <c r="D546" s="88"/>
      <c r="E546" s="88"/>
      <c r="F546" s="90">
        <v>24000000</v>
      </c>
    </row>
    <row r="547" spans="1:6">
      <c r="A547" s="88" t="s">
        <v>171</v>
      </c>
      <c r="B547" s="88" t="s">
        <v>168</v>
      </c>
      <c r="C547" s="88" t="s">
        <v>169</v>
      </c>
      <c r="D547" s="88" t="s">
        <v>170</v>
      </c>
      <c r="E547" s="88" t="s">
        <v>53</v>
      </c>
      <c r="F547" s="90">
        <v>6500000</v>
      </c>
    </row>
    <row r="548" spans="1:6">
      <c r="A548" s="88"/>
      <c r="B548" s="88" t="s">
        <v>174</v>
      </c>
      <c r="C548" s="88" t="s">
        <v>175</v>
      </c>
      <c r="D548" s="88" t="s">
        <v>177</v>
      </c>
      <c r="E548" s="88" t="s">
        <v>135</v>
      </c>
      <c r="F548" s="90">
        <v>600000</v>
      </c>
    </row>
    <row r="549" spans="1:6">
      <c r="A549" s="88"/>
      <c r="B549" s="88" t="s">
        <v>203</v>
      </c>
      <c r="C549" s="88" t="s">
        <v>204</v>
      </c>
      <c r="D549" s="88" t="s">
        <v>170</v>
      </c>
      <c r="E549" s="88" t="s">
        <v>53</v>
      </c>
      <c r="F549" s="90">
        <v>6500000</v>
      </c>
    </row>
    <row r="550" spans="1:6">
      <c r="A550" s="88"/>
      <c r="B550" s="88" t="s">
        <v>291</v>
      </c>
      <c r="C550" s="88" t="s">
        <v>292</v>
      </c>
      <c r="D550" s="88" t="s">
        <v>293</v>
      </c>
      <c r="E550" s="88" t="s">
        <v>53</v>
      </c>
      <c r="F550" s="90">
        <v>1200000</v>
      </c>
    </row>
    <row r="551" spans="1:6">
      <c r="A551" s="88"/>
      <c r="B551" s="88" t="s">
        <v>294</v>
      </c>
      <c r="C551" s="88" t="s">
        <v>295</v>
      </c>
      <c r="D551" s="88" t="s">
        <v>293</v>
      </c>
      <c r="E551" s="88" t="s">
        <v>53</v>
      </c>
      <c r="F551" s="90">
        <v>1200000</v>
      </c>
    </row>
    <row r="552" spans="1:6">
      <c r="A552" s="88" t="s">
        <v>577</v>
      </c>
      <c r="B552" s="88"/>
      <c r="C552" s="88"/>
      <c r="D552" s="88"/>
      <c r="E552" s="88"/>
      <c r="F552" s="90">
        <v>16000000</v>
      </c>
    </row>
    <row r="553" spans="1:6">
      <c r="A553" s="88" t="s">
        <v>111</v>
      </c>
      <c r="B553" s="88" t="s">
        <v>107</v>
      </c>
      <c r="C553" s="88" t="s">
        <v>108</v>
      </c>
      <c r="D553" s="88" t="s">
        <v>109</v>
      </c>
      <c r="E553" s="88" t="s">
        <v>19</v>
      </c>
      <c r="F553" s="90">
        <v>2600000</v>
      </c>
    </row>
    <row r="554" spans="1:6">
      <c r="A554" s="88"/>
      <c r="B554" s="88" t="s">
        <v>120</v>
      </c>
      <c r="C554" s="88" t="s">
        <v>121</v>
      </c>
      <c r="D554" s="88" t="s">
        <v>109</v>
      </c>
      <c r="E554" s="88" t="s">
        <v>19</v>
      </c>
      <c r="F554" s="90">
        <v>2600000</v>
      </c>
    </row>
    <row r="555" spans="1:6">
      <c r="A555" s="88" t="s">
        <v>578</v>
      </c>
      <c r="B555" s="88"/>
      <c r="C555" s="88"/>
      <c r="D555" s="88"/>
      <c r="E555" s="88"/>
      <c r="F555" s="90">
        <v>5200000</v>
      </c>
    </row>
    <row r="556" spans="1:6">
      <c r="A556" s="88" t="s">
        <v>11</v>
      </c>
      <c r="B556" s="88" t="s">
        <v>6</v>
      </c>
      <c r="C556" s="88" t="s">
        <v>7</v>
      </c>
      <c r="D556" s="88" t="s">
        <v>8</v>
      </c>
      <c r="E556" s="88" t="s">
        <v>10</v>
      </c>
      <c r="F556" s="90">
        <v>2000000</v>
      </c>
    </row>
    <row r="557" spans="1:6">
      <c r="A557" s="88" t="s">
        <v>579</v>
      </c>
      <c r="B557" s="88"/>
      <c r="C557" s="88"/>
      <c r="D557" s="88"/>
      <c r="E557" s="88"/>
      <c r="F557" s="90">
        <v>2000000</v>
      </c>
    </row>
    <row r="558" spans="1:6">
      <c r="A558" s="88" t="s">
        <v>231</v>
      </c>
      <c r="B558" s="88" t="s">
        <v>228</v>
      </c>
      <c r="C558" s="88" t="s">
        <v>229</v>
      </c>
      <c r="D558" s="88" t="s">
        <v>230</v>
      </c>
      <c r="E558" s="88" t="s">
        <v>19</v>
      </c>
      <c r="F558" s="90">
        <v>1000000</v>
      </c>
    </row>
    <row r="559" spans="1:6">
      <c r="A559" s="88"/>
      <c r="B559" s="88" t="s">
        <v>364</v>
      </c>
      <c r="C559" s="88" t="s">
        <v>365</v>
      </c>
      <c r="D559" s="88" t="s">
        <v>230</v>
      </c>
      <c r="E559" s="88" t="s">
        <v>19</v>
      </c>
      <c r="F559" s="90">
        <v>1000000</v>
      </c>
    </row>
    <row r="560" spans="1:6">
      <c r="A560" s="88" t="s">
        <v>580</v>
      </c>
      <c r="B560" s="88"/>
      <c r="C560" s="88"/>
      <c r="D560" s="88"/>
      <c r="E560" s="88"/>
      <c r="F560" s="90">
        <v>2000000</v>
      </c>
    </row>
    <row r="561" spans="1:6">
      <c r="A561" s="88" t="s">
        <v>267</v>
      </c>
      <c r="B561" s="88" t="s">
        <v>264</v>
      </c>
      <c r="C561" s="88" t="s">
        <v>265</v>
      </c>
      <c r="D561" s="88" t="s">
        <v>266</v>
      </c>
      <c r="E561" s="88" t="s">
        <v>43</v>
      </c>
      <c r="F561" s="90">
        <v>2000000</v>
      </c>
    </row>
    <row r="562" spans="1:6">
      <c r="A562" s="88"/>
      <c r="B562" s="88" t="s">
        <v>399</v>
      </c>
      <c r="C562" s="88" t="s">
        <v>400</v>
      </c>
      <c r="D562" s="88" t="s">
        <v>266</v>
      </c>
      <c r="E562" s="88" t="s">
        <v>43</v>
      </c>
      <c r="F562" s="90">
        <v>2000000</v>
      </c>
    </row>
    <row r="563" spans="1:6">
      <c r="A563" s="88" t="s">
        <v>581</v>
      </c>
      <c r="B563" s="88"/>
      <c r="C563" s="88"/>
      <c r="D563" s="88"/>
      <c r="E563" s="88"/>
      <c r="F563" s="90">
        <v>4000000</v>
      </c>
    </row>
    <row r="564" spans="1:6">
      <c r="A564" s="88" t="s">
        <v>227</v>
      </c>
      <c r="B564" s="88" t="s">
        <v>225</v>
      </c>
      <c r="C564" s="88" t="s">
        <v>226</v>
      </c>
      <c r="D564" s="88" t="s">
        <v>161</v>
      </c>
      <c r="E564" s="88" t="s">
        <v>53</v>
      </c>
      <c r="F564" s="90">
        <v>1532000</v>
      </c>
    </row>
    <row r="565" spans="1:6">
      <c r="A565" s="88"/>
      <c r="B565" s="88" t="s">
        <v>371</v>
      </c>
      <c r="C565" s="88" t="s">
        <v>372</v>
      </c>
      <c r="D565" s="88" t="s">
        <v>161</v>
      </c>
      <c r="E565" s="88" t="s">
        <v>53</v>
      </c>
      <c r="F565" s="90">
        <v>1532000</v>
      </c>
    </row>
    <row r="566" spans="1:6">
      <c r="A566" s="88" t="s">
        <v>582</v>
      </c>
      <c r="B566" s="88"/>
      <c r="C566" s="88"/>
      <c r="D566" s="88"/>
      <c r="E566" s="88"/>
      <c r="F566" s="90">
        <v>3064000</v>
      </c>
    </row>
    <row r="567" spans="1:6">
      <c r="A567" s="88" t="s">
        <v>73</v>
      </c>
      <c r="B567" s="88" t="s">
        <v>70</v>
      </c>
      <c r="C567" s="88" t="s">
        <v>71</v>
      </c>
      <c r="D567" s="88" t="s">
        <v>72</v>
      </c>
      <c r="E567" s="88" t="s">
        <v>31</v>
      </c>
      <c r="F567" s="90">
        <v>9000000</v>
      </c>
    </row>
    <row r="568" spans="1:6">
      <c r="A568" s="88"/>
      <c r="B568" s="88" t="s">
        <v>166</v>
      </c>
      <c r="C568" s="88" t="s">
        <v>167</v>
      </c>
      <c r="D568" s="88" t="s">
        <v>72</v>
      </c>
      <c r="E568" s="88" t="s">
        <v>31</v>
      </c>
      <c r="F568" s="90">
        <v>9000000</v>
      </c>
    </row>
    <row r="569" spans="1:6">
      <c r="A569" s="88"/>
      <c r="B569" s="88" t="s">
        <v>178</v>
      </c>
      <c r="C569" s="88" t="s">
        <v>179</v>
      </c>
      <c r="D569" s="88"/>
      <c r="E569" s="88"/>
      <c r="F569" s="90">
        <v>9000000</v>
      </c>
    </row>
    <row r="570" spans="1:6">
      <c r="A570" s="88"/>
      <c r="B570" s="88" t="s">
        <v>201</v>
      </c>
      <c r="C570" s="88" t="s">
        <v>202</v>
      </c>
      <c r="D570" s="88" t="s">
        <v>180</v>
      </c>
      <c r="E570" s="88" t="s">
        <v>31</v>
      </c>
      <c r="F570" s="90">
        <v>9000000</v>
      </c>
    </row>
    <row r="571" spans="1:6">
      <c r="A571" s="88" t="s">
        <v>583</v>
      </c>
      <c r="B571" s="88"/>
      <c r="C571" s="88"/>
      <c r="D571" s="88"/>
      <c r="E571" s="88"/>
      <c r="F571" s="90">
        <v>36000000</v>
      </c>
    </row>
    <row r="572" spans="1:6">
      <c r="A572" s="88" t="s">
        <v>248</v>
      </c>
      <c r="B572" s="88" t="s">
        <v>245</v>
      </c>
      <c r="C572" s="88" t="s">
        <v>246</v>
      </c>
      <c r="D572" s="88" t="s">
        <v>91</v>
      </c>
      <c r="E572" s="88" t="s">
        <v>19</v>
      </c>
      <c r="F572" s="90">
        <v>13750000</v>
      </c>
    </row>
    <row r="573" spans="1:6">
      <c r="A573" s="88"/>
      <c r="B573" s="88" t="s">
        <v>364</v>
      </c>
      <c r="C573" s="88" t="s">
        <v>365</v>
      </c>
      <c r="D573" s="88" t="s">
        <v>91</v>
      </c>
      <c r="E573" s="88" t="s">
        <v>19</v>
      </c>
      <c r="F573" s="90">
        <v>13750000</v>
      </c>
    </row>
    <row r="574" spans="1:6">
      <c r="A574" s="88" t="s">
        <v>584</v>
      </c>
      <c r="B574" s="88"/>
      <c r="C574" s="88"/>
      <c r="D574" s="88"/>
      <c r="E574" s="88"/>
      <c r="F574" s="90">
        <v>27500000</v>
      </c>
    </row>
    <row r="575" spans="1:6">
      <c r="A575" s="88" t="s">
        <v>380</v>
      </c>
      <c r="B575" s="88" t="s">
        <v>377</v>
      </c>
      <c r="C575" s="88" t="s">
        <v>378</v>
      </c>
      <c r="D575" s="88" t="s">
        <v>379</v>
      </c>
      <c r="E575" s="88" t="s">
        <v>14</v>
      </c>
      <c r="F575" s="90">
        <v>900000</v>
      </c>
    </row>
    <row r="576" spans="1:6">
      <c r="A576" s="88"/>
      <c r="B576" s="88" t="s">
        <v>393</v>
      </c>
      <c r="C576" s="88"/>
      <c r="D576" s="88" t="s">
        <v>394</v>
      </c>
      <c r="E576" s="88"/>
      <c r="F576" s="90">
        <v>21000000</v>
      </c>
    </row>
    <row r="577" spans="1:6">
      <c r="A577" s="88"/>
      <c r="B577" s="88"/>
      <c r="C577" s="88"/>
      <c r="D577" s="88" t="s">
        <v>395</v>
      </c>
      <c r="E577" s="88"/>
      <c r="F577" s="90">
        <v>21000000</v>
      </c>
    </row>
    <row r="578" spans="1:6">
      <c r="A578" s="88" t="s">
        <v>585</v>
      </c>
      <c r="B578" s="88"/>
      <c r="C578" s="88"/>
      <c r="D578" s="88"/>
      <c r="E578" s="88"/>
      <c r="F578" s="90">
        <v>42900000</v>
      </c>
    </row>
    <row r="579" spans="1:6">
      <c r="A579" s="88" t="s">
        <v>45</v>
      </c>
      <c r="B579" s="88" t="s">
        <v>40</v>
      </c>
      <c r="C579" s="88" t="s">
        <v>41</v>
      </c>
      <c r="D579" s="88" t="s">
        <v>42</v>
      </c>
      <c r="E579" s="88" t="s">
        <v>43</v>
      </c>
      <c r="F579" s="90">
        <v>1497600</v>
      </c>
    </row>
    <row r="580" spans="1:6">
      <c r="A580" s="88"/>
      <c r="B580" s="88" t="s">
        <v>85</v>
      </c>
      <c r="C580" s="88" t="s">
        <v>86</v>
      </c>
      <c r="D580" s="88" t="s">
        <v>87</v>
      </c>
      <c r="E580" s="88" t="s">
        <v>53</v>
      </c>
      <c r="F580" s="90">
        <v>2861400</v>
      </c>
    </row>
    <row r="581" spans="1:6">
      <c r="A581" s="88"/>
      <c r="B581" s="88" t="s">
        <v>159</v>
      </c>
      <c r="C581" s="88" t="s">
        <v>160</v>
      </c>
      <c r="D581" s="88" t="s">
        <v>161</v>
      </c>
      <c r="E581" s="88" t="s">
        <v>53</v>
      </c>
      <c r="F581" s="90">
        <v>6146100</v>
      </c>
    </row>
    <row r="582" spans="1:6">
      <c r="A582" s="88"/>
      <c r="B582" s="88" t="s">
        <v>225</v>
      </c>
      <c r="C582" s="88" t="s">
        <v>226</v>
      </c>
      <c r="D582" s="88" t="s">
        <v>161</v>
      </c>
      <c r="E582" s="88" t="s">
        <v>53</v>
      </c>
      <c r="F582" s="90">
        <v>6146100</v>
      </c>
    </row>
    <row r="583" spans="1:6">
      <c r="A583" s="88"/>
      <c r="B583" s="88" t="s">
        <v>288</v>
      </c>
      <c r="C583" s="88" t="s">
        <v>289</v>
      </c>
      <c r="D583" s="88" t="s">
        <v>290</v>
      </c>
      <c r="E583" s="88" t="s">
        <v>53</v>
      </c>
      <c r="F583" s="90">
        <v>2352200.5</v>
      </c>
    </row>
    <row r="584" spans="1:6">
      <c r="A584" s="88"/>
      <c r="B584" s="88" t="s">
        <v>305</v>
      </c>
      <c r="C584" s="88" t="s">
        <v>306</v>
      </c>
      <c r="D584" s="88" t="s">
        <v>87</v>
      </c>
      <c r="E584" s="88" t="s">
        <v>53</v>
      </c>
      <c r="F584" s="90">
        <v>2861400</v>
      </c>
    </row>
    <row r="585" spans="1:6">
      <c r="A585" s="88"/>
      <c r="B585" s="88" t="s">
        <v>329</v>
      </c>
      <c r="C585" s="88" t="s">
        <v>330</v>
      </c>
      <c r="D585" s="88" t="s">
        <v>290</v>
      </c>
      <c r="E585" s="88" t="s">
        <v>53</v>
      </c>
      <c r="F585" s="90">
        <v>2352200.5</v>
      </c>
    </row>
    <row r="586" spans="1:6">
      <c r="A586" s="88"/>
      <c r="B586" s="88" t="s">
        <v>333</v>
      </c>
      <c r="C586" s="88" t="s">
        <v>334</v>
      </c>
      <c r="D586" s="88" t="s">
        <v>42</v>
      </c>
      <c r="E586" s="88" t="s">
        <v>43</v>
      </c>
      <c r="F586" s="90">
        <v>1497600</v>
      </c>
    </row>
    <row r="587" spans="1:6">
      <c r="A587" s="88" t="s">
        <v>586</v>
      </c>
      <c r="B587" s="88"/>
      <c r="C587" s="88"/>
      <c r="D587" s="88"/>
      <c r="E587" s="88"/>
      <c r="F587" s="90">
        <v>25714601</v>
      </c>
    </row>
    <row r="588" spans="1:6">
      <c r="A588" s="88" t="s">
        <v>150</v>
      </c>
      <c r="B588" s="88" t="s">
        <v>147</v>
      </c>
      <c r="C588" s="88" t="s">
        <v>148</v>
      </c>
      <c r="D588" s="88" t="s">
        <v>149</v>
      </c>
      <c r="E588" s="88" t="s">
        <v>53</v>
      </c>
      <c r="F588" s="90">
        <v>4436500</v>
      </c>
    </row>
    <row r="589" spans="1:6">
      <c r="A589" s="88"/>
      <c r="B589" s="88" t="s">
        <v>235</v>
      </c>
      <c r="C589" s="88" t="s">
        <v>236</v>
      </c>
      <c r="D589" s="88" t="s">
        <v>149</v>
      </c>
      <c r="E589" s="88" t="s">
        <v>53</v>
      </c>
      <c r="F589" s="90">
        <v>4436500</v>
      </c>
    </row>
    <row r="590" spans="1:6">
      <c r="A590" s="88"/>
      <c r="B590" s="88" t="s">
        <v>241</v>
      </c>
      <c r="C590" s="88" t="s">
        <v>242</v>
      </c>
      <c r="D590" s="88" t="s">
        <v>37</v>
      </c>
      <c r="E590" s="88" t="s">
        <v>31</v>
      </c>
      <c r="F590" s="90">
        <v>1000000</v>
      </c>
    </row>
    <row r="591" spans="1:6">
      <c r="A591" s="88"/>
      <c r="B591" s="88" t="s">
        <v>243</v>
      </c>
      <c r="C591" s="88" t="s">
        <v>244</v>
      </c>
      <c r="D591" s="88" t="s">
        <v>37</v>
      </c>
      <c r="E591" s="88" t="s">
        <v>31</v>
      </c>
      <c r="F591" s="90">
        <v>1000000</v>
      </c>
    </row>
    <row r="592" spans="1:6">
      <c r="A592" s="88"/>
      <c r="B592" s="88" t="s">
        <v>264</v>
      </c>
      <c r="C592" s="88" t="s">
        <v>265</v>
      </c>
      <c r="D592" s="88" t="s">
        <v>266</v>
      </c>
      <c r="E592" s="88" t="s">
        <v>43</v>
      </c>
      <c r="F592" s="90">
        <v>1807500</v>
      </c>
    </row>
    <row r="593" spans="1:6">
      <c r="A593" s="88"/>
      <c r="B593" s="88" t="s">
        <v>291</v>
      </c>
      <c r="C593" s="88" t="s">
        <v>292</v>
      </c>
      <c r="D593" s="88" t="s">
        <v>293</v>
      </c>
      <c r="E593" s="88" t="s">
        <v>53</v>
      </c>
      <c r="F593" s="90">
        <v>7000000</v>
      </c>
    </row>
    <row r="594" spans="1:6">
      <c r="A594" s="88"/>
      <c r="B594" s="88" t="s">
        <v>294</v>
      </c>
      <c r="C594" s="88" t="s">
        <v>295</v>
      </c>
      <c r="D594" s="88" t="s">
        <v>293</v>
      </c>
      <c r="E594" s="88" t="s">
        <v>53</v>
      </c>
      <c r="F594" s="90">
        <v>7000000</v>
      </c>
    </row>
    <row r="595" spans="1:6">
      <c r="A595" s="88"/>
      <c r="B595" s="88" t="s">
        <v>393</v>
      </c>
      <c r="C595" s="88"/>
      <c r="D595" s="88" t="s">
        <v>397</v>
      </c>
      <c r="E595" s="88"/>
      <c r="F595" s="90">
        <v>18000000</v>
      </c>
    </row>
    <row r="596" spans="1:6">
      <c r="A596" s="88"/>
      <c r="B596" s="88"/>
      <c r="C596" s="88"/>
      <c r="D596" s="88" t="s">
        <v>398</v>
      </c>
      <c r="E596" s="88"/>
      <c r="F596" s="90">
        <v>18000000</v>
      </c>
    </row>
    <row r="597" spans="1:6">
      <c r="A597" s="88"/>
      <c r="B597" s="88" t="s">
        <v>399</v>
      </c>
      <c r="C597" s="88" t="s">
        <v>400</v>
      </c>
      <c r="D597" s="88" t="s">
        <v>266</v>
      </c>
      <c r="E597" s="88" t="s">
        <v>43</v>
      </c>
      <c r="F597" s="90">
        <v>1807500</v>
      </c>
    </row>
    <row r="598" spans="1:6">
      <c r="A598" s="88" t="s">
        <v>587</v>
      </c>
      <c r="B598" s="88"/>
      <c r="C598" s="88"/>
      <c r="D598" s="88"/>
      <c r="E598" s="88"/>
      <c r="F598" s="90">
        <v>64488000</v>
      </c>
    </row>
    <row r="599" spans="1:6">
      <c r="A599" s="88" t="s">
        <v>32</v>
      </c>
      <c r="B599" s="88" t="s">
        <v>27</v>
      </c>
      <c r="C599" s="88" t="s">
        <v>28</v>
      </c>
      <c r="D599" s="88" t="s">
        <v>29</v>
      </c>
      <c r="E599" s="88" t="s">
        <v>31</v>
      </c>
      <c r="F599" s="90">
        <v>79000000</v>
      </c>
    </row>
    <row r="600" spans="1:6">
      <c r="A600" s="88"/>
      <c r="B600" s="88" t="s">
        <v>35</v>
      </c>
      <c r="C600" s="88" t="s">
        <v>36</v>
      </c>
      <c r="D600" s="88" t="s">
        <v>38</v>
      </c>
      <c r="E600" s="88" t="s">
        <v>31</v>
      </c>
      <c r="F600" s="90">
        <v>39225000</v>
      </c>
    </row>
    <row r="601" spans="1:6">
      <c r="A601" s="88"/>
      <c r="B601" s="88" t="s">
        <v>64</v>
      </c>
      <c r="C601" s="88" t="s">
        <v>65</v>
      </c>
      <c r="D601" s="88" t="s">
        <v>66</v>
      </c>
      <c r="E601" s="88" t="s">
        <v>31</v>
      </c>
      <c r="F601" s="90">
        <v>39050000</v>
      </c>
    </row>
    <row r="602" spans="1:6">
      <c r="A602" s="88"/>
      <c r="B602" s="88" t="s">
        <v>70</v>
      </c>
      <c r="C602" s="88" t="s">
        <v>71</v>
      </c>
      <c r="D602" s="88" t="s">
        <v>72</v>
      </c>
      <c r="E602" s="88" t="s">
        <v>31</v>
      </c>
      <c r="F602" s="90">
        <v>38550000</v>
      </c>
    </row>
    <row r="603" spans="1:6">
      <c r="A603" s="88"/>
      <c r="B603" s="88" t="s">
        <v>105</v>
      </c>
      <c r="C603" s="88" t="s">
        <v>106</v>
      </c>
      <c r="D603" s="88" t="s">
        <v>38</v>
      </c>
      <c r="E603" s="88" t="s">
        <v>31</v>
      </c>
      <c r="F603" s="90">
        <v>39225000</v>
      </c>
    </row>
    <row r="604" spans="1:6">
      <c r="A604" s="88"/>
      <c r="B604" s="88" t="s">
        <v>122</v>
      </c>
      <c r="C604" s="88" t="s">
        <v>123</v>
      </c>
      <c r="D604" s="88" t="s">
        <v>124</v>
      </c>
      <c r="E604" s="88" t="s">
        <v>31</v>
      </c>
      <c r="F604" s="90">
        <v>37500000</v>
      </c>
    </row>
    <row r="605" spans="1:6">
      <c r="A605" s="88"/>
      <c r="B605" s="88" t="s">
        <v>166</v>
      </c>
      <c r="C605" s="88" t="s">
        <v>167</v>
      </c>
      <c r="D605" s="88" t="s">
        <v>72</v>
      </c>
      <c r="E605" s="88" t="s">
        <v>31</v>
      </c>
      <c r="F605" s="90">
        <v>38550000</v>
      </c>
    </row>
    <row r="606" spans="1:6">
      <c r="A606" s="88"/>
      <c r="B606" s="88" t="s">
        <v>178</v>
      </c>
      <c r="C606" s="88" t="s">
        <v>179</v>
      </c>
      <c r="D606" s="88"/>
      <c r="E606" s="88"/>
      <c r="F606" s="90">
        <v>37000000</v>
      </c>
    </row>
    <row r="607" spans="1:6">
      <c r="A607" s="88"/>
      <c r="B607" s="88" t="s">
        <v>185</v>
      </c>
      <c r="C607" s="88" t="s">
        <v>186</v>
      </c>
      <c r="D607" s="88" t="s">
        <v>29</v>
      </c>
      <c r="E607" s="88" t="s">
        <v>31</v>
      </c>
      <c r="F607" s="90">
        <v>79000000</v>
      </c>
    </row>
    <row r="608" spans="1:6">
      <c r="A608" s="88"/>
      <c r="B608" s="88" t="s">
        <v>187</v>
      </c>
      <c r="C608" s="88" t="s">
        <v>188</v>
      </c>
      <c r="D608" s="88" t="s">
        <v>124</v>
      </c>
      <c r="E608" s="88" t="s">
        <v>31</v>
      </c>
      <c r="F608" s="90">
        <v>37500000</v>
      </c>
    </row>
    <row r="609" spans="1:6">
      <c r="A609" s="88"/>
      <c r="B609" s="88" t="s">
        <v>198</v>
      </c>
      <c r="C609" s="88" t="s">
        <v>199</v>
      </c>
      <c r="D609" s="88" t="s">
        <v>200</v>
      </c>
      <c r="E609" s="88" t="s">
        <v>31</v>
      </c>
      <c r="F609" s="90">
        <v>38650000</v>
      </c>
    </row>
    <row r="610" spans="1:6">
      <c r="A610" s="88"/>
      <c r="B610" s="88" t="s">
        <v>201</v>
      </c>
      <c r="C610" s="88" t="s">
        <v>202</v>
      </c>
      <c r="D610" s="88" t="s">
        <v>180</v>
      </c>
      <c r="E610" s="88" t="s">
        <v>31</v>
      </c>
      <c r="F610" s="90">
        <v>37000000</v>
      </c>
    </row>
    <row r="611" spans="1:6">
      <c r="A611" s="88"/>
      <c r="B611" s="88" t="s">
        <v>237</v>
      </c>
      <c r="C611" s="88" t="s">
        <v>238</v>
      </c>
      <c r="D611" s="88" t="s">
        <v>200</v>
      </c>
      <c r="E611" s="88" t="s">
        <v>31</v>
      </c>
      <c r="F611" s="90">
        <v>38650000</v>
      </c>
    </row>
    <row r="612" spans="1:6">
      <c r="A612" s="88"/>
      <c r="B612" s="88" t="s">
        <v>241</v>
      </c>
      <c r="C612" s="88" t="s">
        <v>242</v>
      </c>
      <c r="D612" s="88" t="s">
        <v>37</v>
      </c>
      <c r="E612" s="88" t="s">
        <v>31</v>
      </c>
      <c r="F612" s="90">
        <v>39050000</v>
      </c>
    </row>
    <row r="613" spans="1:6">
      <c r="A613" s="88"/>
      <c r="B613" s="88" t="s">
        <v>243</v>
      </c>
      <c r="C613" s="88" t="s">
        <v>244</v>
      </c>
      <c r="D613" s="88" t="s">
        <v>37</v>
      </c>
      <c r="E613" s="88" t="s">
        <v>31</v>
      </c>
      <c r="F613" s="90">
        <v>39050000</v>
      </c>
    </row>
    <row r="614" spans="1:6">
      <c r="A614" s="88"/>
      <c r="B614" s="88" t="s">
        <v>327</v>
      </c>
      <c r="C614" s="88" t="s">
        <v>328</v>
      </c>
      <c r="D614" s="88" t="s">
        <v>66</v>
      </c>
      <c r="E614" s="88" t="s">
        <v>31</v>
      </c>
      <c r="F614" s="90">
        <v>39050000</v>
      </c>
    </row>
    <row r="615" spans="1:6">
      <c r="A615" s="88" t="s">
        <v>588</v>
      </c>
      <c r="B615" s="88"/>
      <c r="C615" s="88"/>
      <c r="D615" s="88"/>
      <c r="E615" s="88"/>
      <c r="F615" s="90">
        <v>696050000</v>
      </c>
    </row>
    <row r="616" spans="1:6">
      <c r="A616" s="88" t="s">
        <v>88</v>
      </c>
      <c r="B616" s="88" t="s">
        <v>85</v>
      </c>
      <c r="C616" s="88" t="s">
        <v>86</v>
      </c>
      <c r="D616" s="88" t="s">
        <v>87</v>
      </c>
      <c r="E616" s="88" t="s">
        <v>53</v>
      </c>
      <c r="F616" s="90">
        <v>11000000</v>
      </c>
    </row>
    <row r="617" spans="1:6">
      <c r="A617" s="88"/>
      <c r="B617" s="88" t="s">
        <v>273</v>
      </c>
      <c r="C617" s="88" t="s">
        <v>274</v>
      </c>
      <c r="D617" s="88" t="s">
        <v>275</v>
      </c>
      <c r="E617" s="88" t="s">
        <v>53</v>
      </c>
      <c r="F617" s="90">
        <v>4000000</v>
      </c>
    </row>
    <row r="618" spans="1:6">
      <c r="A618" s="88"/>
      <c r="B618" s="88" t="s">
        <v>303</v>
      </c>
      <c r="C618" s="88" t="s">
        <v>304</v>
      </c>
      <c r="D618" s="88" t="s">
        <v>275</v>
      </c>
      <c r="E618" s="88" t="s">
        <v>53</v>
      </c>
      <c r="F618" s="90">
        <v>4000000</v>
      </c>
    </row>
    <row r="619" spans="1:6">
      <c r="A619" s="88"/>
      <c r="B619" s="88" t="s">
        <v>305</v>
      </c>
      <c r="C619" s="88" t="s">
        <v>306</v>
      </c>
      <c r="D619" s="88" t="s">
        <v>87</v>
      </c>
      <c r="E619" s="88" t="s">
        <v>53</v>
      </c>
      <c r="F619" s="90">
        <v>11000000</v>
      </c>
    </row>
    <row r="620" spans="1:6">
      <c r="A620" s="88" t="s">
        <v>589</v>
      </c>
      <c r="B620" s="88"/>
      <c r="C620" s="88"/>
      <c r="D620" s="88"/>
      <c r="E620" s="88"/>
      <c r="F620" s="90">
        <v>30000000</v>
      </c>
    </row>
    <row r="621" spans="1:6">
      <c r="A621" s="88" t="s">
        <v>112</v>
      </c>
      <c r="B621" s="88" t="s">
        <v>107</v>
      </c>
      <c r="C621" s="88" t="s">
        <v>108</v>
      </c>
      <c r="D621" s="88" t="s">
        <v>109</v>
      </c>
      <c r="E621" s="88" t="s">
        <v>19</v>
      </c>
      <c r="F621" s="90">
        <v>7050000</v>
      </c>
    </row>
    <row r="622" spans="1:6">
      <c r="A622" s="88"/>
      <c r="B622" s="88" t="s">
        <v>120</v>
      </c>
      <c r="C622" s="88" t="s">
        <v>121</v>
      </c>
      <c r="D622" s="88" t="s">
        <v>109</v>
      </c>
      <c r="E622" s="88" t="s">
        <v>19</v>
      </c>
      <c r="F622" s="90">
        <v>7050000</v>
      </c>
    </row>
    <row r="623" spans="1:6">
      <c r="A623" s="88"/>
      <c r="B623" s="88" t="s">
        <v>291</v>
      </c>
      <c r="C623" s="88" t="s">
        <v>292</v>
      </c>
      <c r="D623" s="88" t="s">
        <v>293</v>
      </c>
      <c r="E623" s="88" t="s">
        <v>53</v>
      </c>
      <c r="F623" s="90">
        <v>2250000</v>
      </c>
    </row>
    <row r="624" spans="1:6">
      <c r="A624" s="88"/>
      <c r="B624" s="88" t="s">
        <v>294</v>
      </c>
      <c r="C624" s="88" t="s">
        <v>295</v>
      </c>
      <c r="D624" s="88" t="s">
        <v>293</v>
      </c>
      <c r="E624" s="88" t="s">
        <v>53</v>
      </c>
      <c r="F624" s="90">
        <v>2250000</v>
      </c>
    </row>
    <row r="625" spans="1:6">
      <c r="A625" s="88"/>
      <c r="B625" s="88" t="s">
        <v>307</v>
      </c>
      <c r="C625" s="88" t="s">
        <v>308</v>
      </c>
      <c r="D625" s="88" t="s">
        <v>119</v>
      </c>
      <c r="E625" s="88" t="s">
        <v>53</v>
      </c>
      <c r="F625" s="90">
        <v>750000</v>
      </c>
    </row>
    <row r="626" spans="1:6">
      <c r="A626" s="88"/>
      <c r="B626" s="88" t="s">
        <v>310</v>
      </c>
      <c r="C626" s="88" t="s">
        <v>311</v>
      </c>
      <c r="D626" s="88" t="s">
        <v>119</v>
      </c>
      <c r="E626" s="88" t="s">
        <v>53</v>
      </c>
      <c r="F626" s="90">
        <v>750000</v>
      </c>
    </row>
    <row r="627" spans="1:6">
      <c r="A627" s="88"/>
      <c r="B627" s="88" t="s">
        <v>321</v>
      </c>
      <c r="C627" s="88" t="s">
        <v>322</v>
      </c>
      <c r="D627" s="88" t="s">
        <v>323</v>
      </c>
      <c r="E627" s="88" t="s">
        <v>59</v>
      </c>
      <c r="F627" s="90">
        <v>300000</v>
      </c>
    </row>
    <row r="628" spans="1:6">
      <c r="A628" s="88"/>
      <c r="B628" s="88" t="s">
        <v>343</v>
      </c>
      <c r="C628" s="88" t="s">
        <v>344</v>
      </c>
      <c r="D628" s="88" t="s">
        <v>345</v>
      </c>
      <c r="E628" s="88" t="s">
        <v>14</v>
      </c>
      <c r="F628" s="90">
        <v>600000</v>
      </c>
    </row>
    <row r="629" spans="1:6">
      <c r="A629" s="88" t="s">
        <v>590</v>
      </c>
      <c r="B629" s="88"/>
      <c r="C629" s="88"/>
      <c r="D629" s="88"/>
      <c r="E629" s="88"/>
      <c r="F629" s="90">
        <v>21000000</v>
      </c>
    </row>
    <row r="630" spans="1:6">
      <c r="A630" s="88" t="s">
        <v>98</v>
      </c>
      <c r="B630" s="88" t="s">
        <v>95</v>
      </c>
      <c r="C630" s="88" t="s">
        <v>96</v>
      </c>
      <c r="D630" s="88" t="s">
        <v>97</v>
      </c>
      <c r="E630" s="88" t="s">
        <v>99</v>
      </c>
      <c r="F630" s="90">
        <v>10000000</v>
      </c>
    </row>
    <row r="631" spans="1:6">
      <c r="A631" s="88"/>
      <c r="B631" s="88" t="s">
        <v>101</v>
      </c>
      <c r="C631" s="88" t="s">
        <v>102</v>
      </c>
      <c r="D631" s="88" t="s">
        <v>103</v>
      </c>
      <c r="E631" s="88" t="s">
        <v>43</v>
      </c>
      <c r="F631" s="90">
        <v>5000000</v>
      </c>
    </row>
    <row r="632" spans="1:6">
      <c r="A632" s="88"/>
      <c r="B632" s="88" t="s">
        <v>168</v>
      </c>
      <c r="C632" s="88" t="s">
        <v>169</v>
      </c>
      <c r="D632" s="88" t="s">
        <v>170</v>
      </c>
      <c r="E632" s="88" t="s">
        <v>53</v>
      </c>
      <c r="F632" s="90">
        <v>4250000</v>
      </c>
    </row>
    <row r="633" spans="1:6">
      <c r="A633" s="88"/>
      <c r="B633" s="88" t="s">
        <v>172</v>
      </c>
      <c r="C633" s="88" t="s">
        <v>173</v>
      </c>
      <c r="D633" s="88" t="s">
        <v>103</v>
      </c>
      <c r="E633" s="88" t="s">
        <v>43</v>
      </c>
      <c r="F633" s="90">
        <v>5000000</v>
      </c>
    </row>
    <row r="634" spans="1:6">
      <c r="A634" s="88"/>
      <c r="B634" s="88" t="s">
        <v>192</v>
      </c>
      <c r="C634" s="88" t="s">
        <v>193</v>
      </c>
      <c r="D634" s="88" t="s">
        <v>176</v>
      </c>
      <c r="E634" s="88" t="s">
        <v>53</v>
      </c>
      <c r="F634" s="90">
        <v>3000000</v>
      </c>
    </row>
    <row r="635" spans="1:6">
      <c r="A635" s="88"/>
      <c r="B635" s="88" t="s">
        <v>206</v>
      </c>
      <c r="C635" s="88" t="s">
        <v>207</v>
      </c>
      <c r="D635" s="88" t="s">
        <v>208</v>
      </c>
      <c r="E635" s="88" t="s">
        <v>19</v>
      </c>
      <c r="F635" s="90">
        <v>7000000</v>
      </c>
    </row>
    <row r="636" spans="1:6">
      <c r="A636" s="88"/>
      <c r="B636" s="88" t="s">
        <v>219</v>
      </c>
      <c r="C636" s="88" t="s">
        <v>220</v>
      </c>
      <c r="D636" s="88" t="s">
        <v>208</v>
      </c>
      <c r="E636" s="88" t="s">
        <v>19</v>
      </c>
      <c r="F636" s="90">
        <v>7000000</v>
      </c>
    </row>
    <row r="637" spans="1:6">
      <c r="A637" s="88"/>
      <c r="B637" s="88" t="s">
        <v>312</v>
      </c>
      <c r="C637" s="88" t="s">
        <v>313</v>
      </c>
      <c r="D637" s="88" t="s">
        <v>170</v>
      </c>
      <c r="E637" s="88" t="s">
        <v>53</v>
      </c>
      <c r="F637" s="90">
        <v>4250000</v>
      </c>
    </row>
    <row r="638" spans="1:6">
      <c r="A638" s="88"/>
      <c r="B638" s="88" t="s">
        <v>318</v>
      </c>
      <c r="C638" s="88" t="s">
        <v>319</v>
      </c>
      <c r="D638" s="88" t="s">
        <v>320</v>
      </c>
      <c r="E638" s="88" t="s">
        <v>215</v>
      </c>
      <c r="F638" s="90">
        <v>2000000</v>
      </c>
    </row>
    <row r="639" spans="1:6">
      <c r="A639" s="88"/>
      <c r="B639" s="88" t="s">
        <v>351</v>
      </c>
      <c r="C639" s="88" t="s">
        <v>352</v>
      </c>
      <c r="D639" s="88" t="s">
        <v>353</v>
      </c>
      <c r="E639" s="88" t="s">
        <v>215</v>
      </c>
      <c r="F639" s="90">
        <v>8000000</v>
      </c>
    </row>
    <row r="640" spans="1:6">
      <c r="A640" s="88"/>
      <c r="B640" s="88" t="s">
        <v>354</v>
      </c>
      <c r="C640" s="88" t="s">
        <v>355</v>
      </c>
      <c r="D640" s="88" t="s">
        <v>176</v>
      </c>
      <c r="E640" s="88" t="s">
        <v>53</v>
      </c>
      <c r="F640" s="90">
        <v>3000000</v>
      </c>
    </row>
    <row r="641" spans="1:6">
      <c r="A641" s="88"/>
      <c r="B641" s="88" t="s">
        <v>390</v>
      </c>
      <c r="C641" s="88" t="s">
        <v>391</v>
      </c>
      <c r="D641" s="88" t="s">
        <v>392</v>
      </c>
      <c r="E641" s="88" t="s">
        <v>215</v>
      </c>
      <c r="F641" s="90">
        <v>2000000</v>
      </c>
    </row>
    <row r="642" spans="1:6">
      <c r="A642" s="88" t="s">
        <v>591</v>
      </c>
      <c r="B642" s="88"/>
      <c r="C642" s="88"/>
      <c r="D642" s="88"/>
      <c r="E642" s="88"/>
      <c r="F642" s="90">
        <v>60500000</v>
      </c>
    </row>
    <row r="643" spans="1:6">
      <c r="A643" s="88" t="s">
        <v>92</v>
      </c>
      <c r="B643" s="88" t="s">
        <v>89</v>
      </c>
      <c r="C643" s="88" t="s">
        <v>90</v>
      </c>
      <c r="D643" s="88" t="s">
        <v>91</v>
      </c>
      <c r="E643" s="88" t="s">
        <v>19</v>
      </c>
      <c r="F643" s="90">
        <v>9000000</v>
      </c>
    </row>
    <row r="644" spans="1:6">
      <c r="A644" s="88"/>
      <c r="B644" s="88" t="s">
        <v>107</v>
      </c>
      <c r="C644" s="88" t="s">
        <v>108</v>
      </c>
      <c r="D644" s="88" t="s">
        <v>109</v>
      </c>
      <c r="E644" s="88" t="s">
        <v>19</v>
      </c>
      <c r="F644" s="90">
        <v>2000000</v>
      </c>
    </row>
    <row r="645" spans="1:6">
      <c r="A645" s="88"/>
      <c r="B645" s="88" t="s">
        <v>120</v>
      </c>
      <c r="C645" s="88" t="s">
        <v>121</v>
      </c>
      <c r="D645" s="88" t="s">
        <v>109</v>
      </c>
      <c r="E645" s="88" t="s">
        <v>19</v>
      </c>
      <c r="F645" s="90">
        <v>2000000</v>
      </c>
    </row>
    <row r="646" spans="1:6">
      <c r="A646" s="88"/>
      <c r="B646" s="88" t="s">
        <v>139</v>
      </c>
      <c r="C646" s="88" t="s">
        <v>140</v>
      </c>
      <c r="D646" s="88" t="s">
        <v>141</v>
      </c>
      <c r="E646" s="88" t="s">
        <v>43</v>
      </c>
      <c r="F646" s="90">
        <v>1350000</v>
      </c>
    </row>
    <row r="647" spans="1:6">
      <c r="A647" s="88"/>
      <c r="B647" s="88" t="s">
        <v>145</v>
      </c>
      <c r="C647" s="88" t="s">
        <v>146</v>
      </c>
      <c r="D647" s="88" t="s">
        <v>141</v>
      </c>
      <c r="E647" s="88" t="s">
        <v>43</v>
      </c>
      <c r="F647" s="90">
        <v>1350000</v>
      </c>
    </row>
    <row r="648" spans="1:6">
      <c r="A648" s="88"/>
      <c r="B648" s="88" t="s">
        <v>147</v>
      </c>
      <c r="C648" s="88" t="s">
        <v>148</v>
      </c>
      <c r="D648" s="88" t="s">
        <v>149</v>
      </c>
      <c r="E648" s="88" t="s">
        <v>53</v>
      </c>
      <c r="F648" s="90">
        <v>11500000</v>
      </c>
    </row>
    <row r="649" spans="1:6">
      <c r="A649" s="88"/>
      <c r="B649" s="88" t="s">
        <v>168</v>
      </c>
      <c r="C649" s="88" t="s">
        <v>169</v>
      </c>
      <c r="D649" s="88" t="s">
        <v>170</v>
      </c>
      <c r="E649" s="88" t="s">
        <v>53</v>
      </c>
      <c r="F649" s="90">
        <v>2750000</v>
      </c>
    </row>
    <row r="650" spans="1:6">
      <c r="A650" s="88"/>
      <c r="B650" s="88" t="s">
        <v>203</v>
      </c>
      <c r="C650" s="88" t="s">
        <v>204</v>
      </c>
      <c r="D650" s="88" t="s">
        <v>170</v>
      </c>
      <c r="E650" s="88" t="s">
        <v>53</v>
      </c>
      <c r="F650" s="90">
        <v>2750000</v>
      </c>
    </row>
    <row r="651" spans="1:6">
      <c r="A651" s="88"/>
      <c r="B651" s="88" t="s">
        <v>228</v>
      </c>
      <c r="C651" s="88" t="s">
        <v>229</v>
      </c>
      <c r="D651" s="88" t="s">
        <v>230</v>
      </c>
      <c r="E651" s="88" t="s">
        <v>19</v>
      </c>
      <c r="F651" s="90">
        <v>20860000</v>
      </c>
    </row>
    <row r="652" spans="1:6">
      <c r="A652" s="88"/>
      <c r="B652" s="88" t="s">
        <v>235</v>
      </c>
      <c r="C652" s="88" t="s">
        <v>236</v>
      </c>
      <c r="D652" s="88" t="s">
        <v>149</v>
      </c>
      <c r="E652" s="88" t="s">
        <v>53</v>
      </c>
      <c r="F652" s="90">
        <v>11500000</v>
      </c>
    </row>
    <row r="653" spans="1:6">
      <c r="A653" s="88"/>
      <c r="B653" s="88" t="s">
        <v>268</v>
      </c>
      <c r="C653" s="88" t="s">
        <v>269</v>
      </c>
      <c r="D653" s="88" t="s">
        <v>270</v>
      </c>
      <c r="E653" s="88" t="s">
        <v>19</v>
      </c>
      <c r="F653" s="90">
        <v>12000000</v>
      </c>
    </row>
    <row r="654" spans="1:6">
      <c r="A654" s="88"/>
      <c r="B654" s="88" t="s">
        <v>271</v>
      </c>
      <c r="C654" s="88" t="s">
        <v>272</v>
      </c>
      <c r="D654" s="88" t="s">
        <v>270</v>
      </c>
      <c r="E654" s="88" t="s">
        <v>19</v>
      </c>
      <c r="F654" s="90">
        <v>12000000</v>
      </c>
    </row>
    <row r="655" spans="1:6">
      <c r="A655" s="88"/>
      <c r="B655" s="88" t="s">
        <v>273</v>
      </c>
      <c r="C655" s="88" t="s">
        <v>274</v>
      </c>
      <c r="D655" s="88" t="s">
        <v>275</v>
      </c>
      <c r="E655" s="88" t="s">
        <v>53</v>
      </c>
      <c r="F655" s="90">
        <v>1400000</v>
      </c>
    </row>
    <row r="656" spans="1:6">
      <c r="A656" s="88"/>
      <c r="B656" s="88" t="s">
        <v>281</v>
      </c>
      <c r="C656" s="88" t="s">
        <v>282</v>
      </c>
      <c r="D656" s="88" t="s">
        <v>119</v>
      </c>
      <c r="E656" s="88" t="s">
        <v>53</v>
      </c>
      <c r="F656" s="90">
        <v>4500000</v>
      </c>
    </row>
    <row r="657" spans="1:6">
      <c r="A657" s="88"/>
      <c r="B657" s="88"/>
      <c r="C657" s="88"/>
      <c r="D657" s="88" t="s">
        <v>283</v>
      </c>
      <c r="E657" s="88" t="s">
        <v>19</v>
      </c>
      <c r="F657" s="90">
        <v>11250000</v>
      </c>
    </row>
    <row r="658" spans="1:6">
      <c r="A658" s="88"/>
      <c r="B658" s="88" t="s">
        <v>284</v>
      </c>
      <c r="C658" s="88" t="s">
        <v>285</v>
      </c>
      <c r="D658" s="88" t="s">
        <v>286</v>
      </c>
      <c r="E658" s="88" t="s">
        <v>53</v>
      </c>
      <c r="F658" s="90">
        <v>1750000</v>
      </c>
    </row>
    <row r="659" spans="1:6">
      <c r="A659" s="88"/>
      <c r="B659" s="88" t="s">
        <v>291</v>
      </c>
      <c r="C659" s="88" t="s">
        <v>292</v>
      </c>
      <c r="D659" s="88" t="s">
        <v>293</v>
      </c>
      <c r="E659" s="88" t="s">
        <v>53</v>
      </c>
      <c r="F659" s="90">
        <v>4500000</v>
      </c>
    </row>
    <row r="660" spans="1:6">
      <c r="A660" s="88"/>
      <c r="B660" s="88" t="s">
        <v>294</v>
      </c>
      <c r="C660" s="88" t="s">
        <v>295</v>
      </c>
      <c r="D660" s="88" t="s">
        <v>293</v>
      </c>
      <c r="E660" s="88" t="s">
        <v>53</v>
      </c>
      <c r="F660" s="90">
        <v>4500000</v>
      </c>
    </row>
    <row r="661" spans="1:6">
      <c r="A661" s="88"/>
      <c r="B661" s="88" t="s">
        <v>298</v>
      </c>
      <c r="C661" s="88" t="s">
        <v>299</v>
      </c>
      <c r="D661" s="88" t="s">
        <v>300</v>
      </c>
      <c r="E661" s="88" t="s">
        <v>53</v>
      </c>
      <c r="F661" s="90">
        <v>1000000</v>
      </c>
    </row>
    <row r="662" spans="1:6">
      <c r="A662" s="88"/>
      <c r="B662" s="88" t="s">
        <v>301</v>
      </c>
      <c r="C662" s="88" t="s">
        <v>302</v>
      </c>
      <c r="D662" s="88" t="s">
        <v>300</v>
      </c>
      <c r="E662" s="88" t="s">
        <v>53</v>
      </c>
      <c r="F662" s="90">
        <v>1000000</v>
      </c>
    </row>
    <row r="663" spans="1:6">
      <c r="A663" s="88"/>
      <c r="B663" s="88" t="s">
        <v>303</v>
      </c>
      <c r="C663" s="88" t="s">
        <v>304</v>
      </c>
      <c r="D663" s="88" t="s">
        <v>275</v>
      </c>
      <c r="E663" s="88" t="s">
        <v>53</v>
      </c>
      <c r="F663" s="90">
        <v>1400000</v>
      </c>
    </row>
    <row r="664" spans="1:6">
      <c r="A664" s="88"/>
      <c r="B664" s="88" t="s">
        <v>335</v>
      </c>
      <c r="C664" s="88" t="s">
        <v>336</v>
      </c>
      <c r="D664" s="88" t="s">
        <v>286</v>
      </c>
      <c r="E664" s="88" t="s">
        <v>53</v>
      </c>
      <c r="F664" s="90">
        <v>1750000</v>
      </c>
    </row>
    <row r="665" spans="1:6">
      <c r="A665" s="88"/>
      <c r="B665" s="88" t="s">
        <v>349</v>
      </c>
      <c r="C665" s="88" t="s">
        <v>350</v>
      </c>
      <c r="D665" s="88" t="s">
        <v>91</v>
      </c>
      <c r="E665" s="88" t="s">
        <v>19</v>
      </c>
      <c r="F665" s="90">
        <v>9000000</v>
      </c>
    </row>
    <row r="666" spans="1:6">
      <c r="A666" s="88"/>
      <c r="B666" s="88" t="s">
        <v>363</v>
      </c>
      <c r="C666" s="88"/>
      <c r="D666" s="88" t="s">
        <v>119</v>
      </c>
      <c r="E666" s="88" t="s">
        <v>53</v>
      </c>
      <c r="F666" s="90">
        <v>4500000</v>
      </c>
    </row>
    <row r="667" spans="1:6">
      <c r="A667" s="88"/>
      <c r="B667" s="88" t="s">
        <v>364</v>
      </c>
      <c r="C667" s="88" t="s">
        <v>365</v>
      </c>
      <c r="D667" s="88" t="s">
        <v>230</v>
      </c>
      <c r="E667" s="88" t="s">
        <v>19</v>
      </c>
      <c r="F667" s="90">
        <v>20860000</v>
      </c>
    </row>
    <row r="668" spans="1:6">
      <c r="A668" s="88"/>
      <c r="B668" s="88" t="s">
        <v>388</v>
      </c>
      <c r="C668" s="88" t="s">
        <v>389</v>
      </c>
      <c r="D668" s="88" t="s">
        <v>283</v>
      </c>
      <c r="E668" s="88" t="s">
        <v>19</v>
      </c>
      <c r="F668" s="90">
        <v>11250000</v>
      </c>
    </row>
    <row r="669" spans="1:6">
      <c r="A669" s="88" t="s">
        <v>592</v>
      </c>
      <c r="B669" s="88"/>
      <c r="C669" s="88"/>
      <c r="D669" s="88"/>
      <c r="E669" s="88"/>
      <c r="F669" s="90">
        <v>167720000</v>
      </c>
    </row>
    <row r="670" spans="1:6">
      <c r="A670" s="88" t="s">
        <v>155</v>
      </c>
      <c r="B670" s="88" t="s">
        <v>152</v>
      </c>
      <c r="C670" s="88" t="s">
        <v>153</v>
      </c>
      <c r="D670" s="88" t="s">
        <v>154</v>
      </c>
      <c r="E670" s="88" t="s">
        <v>99</v>
      </c>
      <c r="F670" s="90">
        <v>71990000</v>
      </c>
    </row>
    <row r="671" spans="1:6">
      <c r="A671" s="88"/>
      <c r="B671" s="88" t="s">
        <v>174</v>
      </c>
      <c r="C671" s="88" t="s">
        <v>175</v>
      </c>
      <c r="D671" s="88" t="s">
        <v>177</v>
      </c>
      <c r="E671" s="88" t="s">
        <v>135</v>
      </c>
      <c r="F671" s="90">
        <v>11030000</v>
      </c>
    </row>
    <row r="672" spans="1:6">
      <c r="A672" s="88"/>
      <c r="B672" s="88" t="s">
        <v>212</v>
      </c>
      <c r="C672" s="88" t="s">
        <v>213</v>
      </c>
      <c r="D672" s="88" t="s">
        <v>214</v>
      </c>
      <c r="E672" s="88" t="s">
        <v>215</v>
      </c>
      <c r="F672" s="90">
        <v>68809000</v>
      </c>
    </row>
    <row r="673" spans="1:6">
      <c r="A673" s="88"/>
      <c r="B673" s="88" t="s">
        <v>343</v>
      </c>
      <c r="C673" s="88" t="s">
        <v>344</v>
      </c>
      <c r="D673" s="88" t="s">
        <v>345</v>
      </c>
      <c r="E673" s="88" t="s">
        <v>14</v>
      </c>
      <c r="F673" s="90">
        <v>3202000</v>
      </c>
    </row>
    <row r="674" spans="1:6">
      <c r="A674" s="88"/>
      <c r="B674" s="88" t="s">
        <v>356</v>
      </c>
      <c r="C674" s="88" t="s">
        <v>357</v>
      </c>
      <c r="D674" s="88" t="s">
        <v>358</v>
      </c>
      <c r="E674" s="88" t="s">
        <v>135</v>
      </c>
      <c r="F674" s="90">
        <v>53254000</v>
      </c>
    </row>
    <row r="675" spans="1:6">
      <c r="A675" s="88" t="s">
        <v>593</v>
      </c>
      <c r="B675" s="88"/>
      <c r="C675" s="88"/>
      <c r="D675" s="88"/>
      <c r="E675" s="88"/>
      <c r="F675" s="90">
        <v>208285000</v>
      </c>
    </row>
    <row r="676" spans="1:6">
      <c r="A676" s="88" t="s">
        <v>100</v>
      </c>
      <c r="B676" s="88" t="s">
        <v>95</v>
      </c>
      <c r="C676" s="88" t="s">
        <v>96</v>
      </c>
      <c r="D676" s="88" t="s">
        <v>97</v>
      </c>
      <c r="E676" s="88" t="s">
        <v>99</v>
      </c>
      <c r="F676" s="90">
        <v>88428000</v>
      </c>
    </row>
    <row r="677" spans="1:6">
      <c r="A677" s="88"/>
      <c r="B677" s="88" t="s">
        <v>318</v>
      </c>
      <c r="C677" s="88" t="s">
        <v>319</v>
      </c>
      <c r="D677" s="88" t="s">
        <v>320</v>
      </c>
      <c r="E677" s="88" t="s">
        <v>215</v>
      </c>
      <c r="F677" s="90">
        <v>61052000</v>
      </c>
    </row>
    <row r="678" spans="1:6">
      <c r="A678" s="88"/>
      <c r="B678" s="88" t="s">
        <v>351</v>
      </c>
      <c r="C678" s="88" t="s">
        <v>352</v>
      </c>
      <c r="D678" s="88" t="s">
        <v>353</v>
      </c>
      <c r="E678" s="88" t="s">
        <v>215</v>
      </c>
      <c r="F678" s="90">
        <v>74484000</v>
      </c>
    </row>
    <row r="679" spans="1:6">
      <c r="A679" s="88"/>
      <c r="B679" s="88" t="s">
        <v>390</v>
      </c>
      <c r="C679" s="88" t="s">
        <v>391</v>
      </c>
      <c r="D679" s="88" t="s">
        <v>392</v>
      </c>
      <c r="E679" s="88" t="s">
        <v>215</v>
      </c>
      <c r="F679" s="90">
        <v>70966000</v>
      </c>
    </row>
    <row r="680" spans="1:6">
      <c r="A680" s="88" t="s">
        <v>594</v>
      </c>
      <c r="B680" s="88"/>
      <c r="C680" s="88"/>
      <c r="D680" s="88"/>
      <c r="E680" s="88"/>
      <c r="F680" s="90">
        <v>294930000</v>
      </c>
    </row>
    <row r="681" spans="1:6">
      <c r="A681" s="88" t="s">
        <v>216</v>
      </c>
      <c r="B681" s="88" t="s">
        <v>212</v>
      </c>
      <c r="C681" s="88" t="s">
        <v>213</v>
      </c>
      <c r="D681" s="88" t="s">
        <v>214</v>
      </c>
      <c r="E681" s="88" t="s">
        <v>215</v>
      </c>
      <c r="F681" s="90">
        <v>705000</v>
      </c>
    </row>
    <row r="682" spans="1:6">
      <c r="A682" s="88"/>
      <c r="B682" s="88" t="s">
        <v>318</v>
      </c>
      <c r="C682" s="88" t="s">
        <v>319</v>
      </c>
      <c r="D682" s="88" t="s">
        <v>320</v>
      </c>
      <c r="E682" s="88" t="s">
        <v>215</v>
      </c>
      <c r="F682" s="90">
        <v>6580000</v>
      </c>
    </row>
    <row r="683" spans="1:6">
      <c r="A683" s="88"/>
      <c r="B683" s="88" t="s">
        <v>351</v>
      </c>
      <c r="C683" s="88" t="s">
        <v>352</v>
      </c>
      <c r="D683" s="88" t="s">
        <v>353</v>
      </c>
      <c r="E683" s="88" t="s">
        <v>215</v>
      </c>
      <c r="F683" s="90">
        <v>3290000</v>
      </c>
    </row>
    <row r="684" spans="1:6">
      <c r="A684" s="88"/>
      <c r="B684" s="88" t="s">
        <v>356</v>
      </c>
      <c r="C684" s="88" t="s">
        <v>357</v>
      </c>
      <c r="D684" s="88" t="s">
        <v>358</v>
      </c>
      <c r="E684" s="88" t="s">
        <v>135</v>
      </c>
      <c r="F684" s="90">
        <v>1410000</v>
      </c>
    </row>
    <row r="685" spans="1:6">
      <c r="A685" s="88" t="s">
        <v>595</v>
      </c>
      <c r="B685" s="88"/>
      <c r="C685" s="88"/>
      <c r="D685" s="88"/>
      <c r="E685" s="88"/>
      <c r="F685" s="90">
        <v>11985000</v>
      </c>
    </row>
    <row r="686" spans="1:6">
      <c r="A686" s="88" t="s">
        <v>33</v>
      </c>
      <c r="B686" s="88" t="s">
        <v>27</v>
      </c>
      <c r="C686" s="88" t="s">
        <v>28</v>
      </c>
      <c r="D686" s="88" t="s">
        <v>29</v>
      </c>
      <c r="E686" s="88" t="s">
        <v>31</v>
      </c>
      <c r="F686" s="90">
        <v>19693206</v>
      </c>
    </row>
    <row r="687" spans="1:6">
      <c r="A687" s="88"/>
      <c r="B687" s="88" t="s">
        <v>35</v>
      </c>
      <c r="C687" s="88" t="s">
        <v>36</v>
      </c>
      <c r="D687" s="88" t="s">
        <v>38</v>
      </c>
      <c r="E687" s="88" t="s">
        <v>31</v>
      </c>
      <c r="F687" s="90">
        <v>20983644</v>
      </c>
    </row>
    <row r="688" spans="1:6">
      <c r="A688" s="88"/>
      <c r="B688" s="88" t="s">
        <v>46</v>
      </c>
      <c r="C688" s="88" t="s">
        <v>47</v>
      </c>
      <c r="D688" s="88" t="s">
        <v>51</v>
      </c>
      <c r="E688" s="88" t="s">
        <v>50</v>
      </c>
      <c r="F688" s="90">
        <v>1239256</v>
      </c>
    </row>
    <row r="689" spans="1:6">
      <c r="A689" s="88"/>
      <c r="B689" s="88"/>
      <c r="C689" s="88"/>
      <c r="D689" s="88" t="s">
        <v>52</v>
      </c>
      <c r="E689" s="88" t="s">
        <v>53</v>
      </c>
      <c r="F689" s="90">
        <v>9744596</v>
      </c>
    </row>
    <row r="690" spans="1:6">
      <c r="A690" s="88"/>
      <c r="B690" s="88" t="s">
        <v>74</v>
      </c>
      <c r="C690" s="88" t="s">
        <v>75</v>
      </c>
      <c r="D690" s="88" t="s">
        <v>76</v>
      </c>
      <c r="E690" s="88" t="s">
        <v>31</v>
      </c>
      <c r="F690" s="90">
        <v>20834028</v>
      </c>
    </row>
    <row r="691" spans="1:6">
      <c r="A691" s="88"/>
      <c r="B691" s="88" t="s">
        <v>77</v>
      </c>
      <c r="C691" s="88" t="s">
        <v>78</v>
      </c>
      <c r="D691" s="88" t="s">
        <v>76</v>
      </c>
      <c r="E691" s="88" t="s">
        <v>31</v>
      </c>
      <c r="F691" s="90">
        <v>20834028</v>
      </c>
    </row>
    <row r="692" spans="1:6">
      <c r="A692" s="88"/>
      <c r="B692" s="88" t="s">
        <v>79</v>
      </c>
      <c r="C692" s="88" t="s">
        <v>80</v>
      </c>
      <c r="D692" s="88" t="s">
        <v>81</v>
      </c>
      <c r="E692" s="88" t="s">
        <v>50</v>
      </c>
      <c r="F692" s="90">
        <v>20973839</v>
      </c>
    </row>
    <row r="693" spans="1:6">
      <c r="A693" s="88"/>
      <c r="B693" s="88" t="s">
        <v>82</v>
      </c>
      <c r="C693" s="88" t="s">
        <v>83</v>
      </c>
      <c r="D693" s="88" t="s">
        <v>84</v>
      </c>
      <c r="E693" s="88" t="s">
        <v>50</v>
      </c>
      <c r="F693" s="90">
        <v>19033585</v>
      </c>
    </row>
    <row r="694" spans="1:6">
      <c r="A694" s="88"/>
      <c r="B694" s="88" t="s">
        <v>105</v>
      </c>
      <c r="C694" s="88" t="s">
        <v>106</v>
      </c>
      <c r="D694" s="88" t="s">
        <v>38</v>
      </c>
      <c r="E694" s="88" t="s">
        <v>31</v>
      </c>
      <c r="F694" s="90">
        <v>20983644</v>
      </c>
    </row>
    <row r="695" spans="1:6">
      <c r="A695" s="88"/>
      <c r="B695" s="88" t="s">
        <v>113</v>
      </c>
      <c r="C695" s="88" t="s">
        <v>114</v>
      </c>
      <c r="D695" s="88" t="s">
        <v>115</v>
      </c>
      <c r="E695" s="88" t="s">
        <v>53</v>
      </c>
      <c r="F695" s="90">
        <v>45349070</v>
      </c>
    </row>
    <row r="696" spans="1:6">
      <c r="A696" s="88"/>
      <c r="B696" s="88" t="s">
        <v>125</v>
      </c>
      <c r="C696" s="88" t="s">
        <v>126</v>
      </c>
      <c r="D696" s="88" t="s">
        <v>127</v>
      </c>
      <c r="E696" s="88" t="s">
        <v>53</v>
      </c>
      <c r="F696" s="90">
        <v>31518295</v>
      </c>
    </row>
    <row r="697" spans="1:6">
      <c r="A697" s="88"/>
      <c r="B697" s="88" t="s">
        <v>128</v>
      </c>
      <c r="C697" s="88" t="s">
        <v>129</v>
      </c>
      <c r="D697" s="88" t="s">
        <v>51</v>
      </c>
      <c r="E697" s="88" t="s">
        <v>50</v>
      </c>
      <c r="F697" s="90">
        <v>5189323</v>
      </c>
    </row>
    <row r="698" spans="1:6">
      <c r="A698" s="88"/>
      <c r="B698" s="88"/>
      <c r="C698" s="88"/>
      <c r="D698" s="88" t="s">
        <v>52</v>
      </c>
      <c r="E698" s="88" t="s">
        <v>53</v>
      </c>
      <c r="F698" s="90">
        <v>20733152</v>
      </c>
    </row>
    <row r="699" spans="1:6">
      <c r="A699" s="88"/>
      <c r="B699" s="88"/>
      <c r="C699" s="88"/>
      <c r="D699" s="88" t="s">
        <v>130</v>
      </c>
      <c r="E699" s="88" t="s">
        <v>53</v>
      </c>
      <c r="F699" s="90">
        <v>11047308</v>
      </c>
    </row>
    <row r="700" spans="1:6">
      <c r="A700" s="88"/>
      <c r="B700" s="88" t="s">
        <v>131</v>
      </c>
      <c r="C700" s="88" t="s">
        <v>132</v>
      </c>
      <c r="D700" s="88" t="s">
        <v>136</v>
      </c>
      <c r="E700" s="88" t="s">
        <v>50</v>
      </c>
      <c r="F700" s="90">
        <v>2800512</v>
      </c>
    </row>
    <row r="701" spans="1:6">
      <c r="A701" s="88"/>
      <c r="B701" s="88"/>
      <c r="C701" s="88"/>
      <c r="D701" s="88" t="s">
        <v>81</v>
      </c>
      <c r="E701" s="88" t="s">
        <v>50</v>
      </c>
      <c r="F701" s="90">
        <v>3375420</v>
      </c>
    </row>
    <row r="702" spans="1:6">
      <c r="A702" s="88"/>
      <c r="B702" s="88"/>
      <c r="C702" s="88"/>
      <c r="D702" s="88" t="s">
        <v>84</v>
      </c>
      <c r="E702" s="88" t="s">
        <v>50</v>
      </c>
      <c r="F702" s="90">
        <v>96252</v>
      </c>
    </row>
    <row r="703" spans="1:6">
      <c r="A703" s="88"/>
      <c r="B703" s="88"/>
      <c r="C703" s="88"/>
      <c r="D703" s="88" t="s">
        <v>133</v>
      </c>
      <c r="E703" s="88" t="s">
        <v>59</v>
      </c>
      <c r="F703" s="90">
        <v>50490</v>
      </c>
    </row>
    <row r="704" spans="1:6">
      <c r="A704" s="88"/>
      <c r="B704" s="88"/>
      <c r="C704" s="88"/>
      <c r="D704" s="88" t="s">
        <v>134</v>
      </c>
      <c r="E704" s="88" t="s">
        <v>135</v>
      </c>
      <c r="F704" s="90">
        <v>1323924</v>
      </c>
    </row>
    <row r="705" spans="1:6">
      <c r="A705" s="88"/>
      <c r="B705" s="88"/>
      <c r="C705" s="88"/>
      <c r="D705" s="88" t="s">
        <v>130</v>
      </c>
      <c r="E705" s="88" t="s">
        <v>53</v>
      </c>
      <c r="F705" s="90">
        <v>23480783</v>
      </c>
    </row>
    <row r="706" spans="1:6">
      <c r="A706" s="88"/>
      <c r="B706" s="88" t="s">
        <v>162</v>
      </c>
      <c r="C706" s="88" t="s">
        <v>163</v>
      </c>
      <c r="D706" s="88" t="s">
        <v>164</v>
      </c>
      <c r="E706" s="88" t="s">
        <v>50</v>
      </c>
      <c r="F706" s="90">
        <v>3301302</v>
      </c>
    </row>
    <row r="707" spans="1:6">
      <c r="A707" s="88"/>
      <c r="B707" s="88"/>
      <c r="C707" s="88"/>
      <c r="D707" s="88" t="s">
        <v>136</v>
      </c>
      <c r="E707" s="88" t="s">
        <v>50</v>
      </c>
      <c r="F707" s="90">
        <v>4230488</v>
      </c>
    </row>
    <row r="708" spans="1:6">
      <c r="A708" s="88"/>
      <c r="B708" s="88"/>
      <c r="C708" s="88"/>
      <c r="D708" s="88" t="s">
        <v>165</v>
      </c>
      <c r="E708" s="88" t="s">
        <v>19</v>
      </c>
      <c r="F708" s="90">
        <v>18003703</v>
      </c>
    </row>
    <row r="709" spans="1:6">
      <c r="A709" s="88"/>
      <c r="B709" s="88"/>
      <c r="C709" s="88"/>
      <c r="D709" s="88" t="s">
        <v>51</v>
      </c>
      <c r="E709" s="88" t="s">
        <v>50</v>
      </c>
      <c r="F709" s="90">
        <v>5107815</v>
      </c>
    </row>
    <row r="710" spans="1:6">
      <c r="A710" s="88"/>
      <c r="B710" s="88"/>
      <c r="C710" s="88"/>
      <c r="D710" s="88" t="s">
        <v>52</v>
      </c>
      <c r="E710" s="88" t="s">
        <v>53</v>
      </c>
      <c r="F710" s="90">
        <v>8018843</v>
      </c>
    </row>
    <row r="711" spans="1:6">
      <c r="A711" s="88"/>
      <c r="B711" s="88"/>
      <c r="C711" s="88"/>
      <c r="D711" s="88" t="s">
        <v>81</v>
      </c>
      <c r="E711" s="88" t="s">
        <v>50</v>
      </c>
      <c r="F711" s="90">
        <v>195548</v>
      </c>
    </row>
    <row r="712" spans="1:6">
      <c r="A712" s="88"/>
      <c r="B712" s="88"/>
      <c r="C712" s="88"/>
      <c r="D712" s="88" t="s">
        <v>48</v>
      </c>
      <c r="E712" s="88" t="s">
        <v>50</v>
      </c>
      <c r="F712" s="90">
        <v>2952874</v>
      </c>
    </row>
    <row r="713" spans="1:6">
      <c r="A713" s="88"/>
      <c r="B713" s="88"/>
      <c r="C713" s="88"/>
      <c r="D713" s="88" t="s">
        <v>127</v>
      </c>
      <c r="E713" s="88" t="s">
        <v>53</v>
      </c>
      <c r="F713" s="90">
        <v>5030487</v>
      </c>
    </row>
    <row r="714" spans="1:6">
      <c r="A714" s="88"/>
      <c r="B714" s="88" t="s">
        <v>178</v>
      </c>
      <c r="C714" s="88" t="s">
        <v>179</v>
      </c>
      <c r="D714" s="88"/>
      <c r="E714" s="88"/>
      <c r="F714" s="90">
        <v>28177000</v>
      </c>
    </row>
    <row r="715" spans="1:6">
      <c r="A715" s="88"/>
      <c r="B715" s="88" t="s">
        <v>185</v>
      </c>
      <c r="C715" s="88" t="s">
        <v>186</v>
      </c>
      <c r="D715" s="88" t="s">
        <v>29</v>
      </c>
      <c r="E715" s="88" t="s">
        <v>31</v>
      </c>
      <c r="F715" s="90">
        <v>19693206</v>
      </c>
    </row>
    <row r="716" spans="1:6">
      <c r="A716" s="88"/>
      <c r="B716" s="88" t="s">
        <v>189</v>
      </c>
      <c r="C716" s="88" t="s">
        <v>190</v>
      </c>
      <c r="D716" s="88" t="s">
        <v>191</v>
      </c>
      <c r="E716" s="88" t="s">
        <v>53</v>
      </c>
      <c r="F716" s="90">
        <v>57957448</v>
      </c>
    </row>
    <row r="717" spans="1:6">
      <c r="A717" s="88"/>
      <c r="B717" s="88" t="s">
        <v>195</v>
      </c>
      <c r="C717" s="88" t="s">
        <v>196</v>
      </c>
      <c r="D717" s="88" t="s">
        <v>197</v>
      </c>
      <c r="E717" s="88" t="s">
        <v>53</v>
      </c>
      <c r="F717" s="90">
        <v>43750441</v>
      </c>
    </row>
    <row r="718" spans="1:6">
      <c r="A718" s="88"/>
      <c r="B718" s="88" t="s">
        <v>201</v>
      </c>
      <c r="C718" s="88" t="s">
        <v>202</v>
      </c>
      <c r="D718" s="88" t="s">
        <v>180</v>
      </c>
      <c r="E718" s="88" t="s">
        <v>31</v>
      </c>
      <c r="F718" s="90">
        <v>28177000</v>
      </c>
    </row>
    <row r="719" spans="1:6">
      <c r="A719" s="88"/>
      <c r="B719" s="88" t="s">
        <v>217</v>
      </c>
      <c r="C719" s="88" t="s">
        <v>218</v>
      </c>
      <c r="D719" s="88" t="s">
        <v>164</v>
      </c>
      <c r="E719" s="88" t="s">
        <v>50</v>
      </c>
      <c r="F719" s="90">
        <v>25176672</v>
      </c>
    </row>
    <row r="720" spans="1:6">
      <c r="A720" s="88"/>
      <c r="B720" s="88" t="s">
        <v>324</v>
      </c>
      <c r="C720" s="88" t="s">
        <v>325</v>
      </c>
      <c r="D720" s="88" t="s">
        <v>48</v>
      </c>
      <c r="E720" s="88" t="s">
        <v>50</v>
      </c>
      <c r="F720" s="90">
        <v>11973879</v>
      </c>
    </row>
    <row r="721" spans="1:6">
      <c r="A721" s="88"/>
      <c r="B721" s="88"/>
      <c r="C721" s="88"/>
      <c r="D721" s="88" t="s">
        <v>326</v>
      </c>
      <c r="E721" s="88" t="s">
        <v>14</v>
      </c>
      <c r="F721" s="90">
        <v>3790640</v>
      </c>
    </row>
    <row r="722" spans="1:6">
      <c r="A722" s="88"/>
      <c r="B722" s="88" t="s">
        <v>327</v>
      </c>
      <c r="C722" s="88" t="s">
        <v>328</v>
      </c>
      <c r="D722" s="88" t="s">
        <v>37</v>
      </c>
      <c r="E722" s="88" t="s">
        <v>31</v>
      </c>
      <c r="F722" s="90">
        <v>12254000</v>
      </c>
    </row>
    <row r="723" spans="1:6">
      <c r="A723" s="88"/>
      <c r="B723" s="88" t="s">
        <v>343</v>
      </c>
      <c r="C723" s="88" t="s">
        <v>344</v>
      </c>
      <c r="D723" s="88" t="s">
        <v>165</v>
      </c>
      <c r="E723" s="88" t="s">
        <v>19</v>
      </c>
      <c r="F723" s="90">
        <v>1364760</v>
      </c>
    </row>
    <row r="724" spans="1:6">
      <c r="A724" s="88"/>
      <c r="B724" s="88"/>
      <c r="C724" s="88"/>
      <c r="D724" s="88" t="s">
        <v>52</v>
      </c>
      <c r="E724" s="88" t="s">
        <v>53</v>
      </c>
      <c r="F724" s="90">
        <v>58900</v>
      </c>
    </row>
    <row r="725" spans="1:6">
      <c r="A725" s="88"/>
      <c r="B725" s="88"/>
      <c r="C725" s="88"/>
      <c r="D725" s="88" t="s">
        <v>133</v>
      </c>
      <c r="E725" s="88" t="s">
        <v>59</v>
      </c>
      <c r="F725" s="90">
        <v>1136828</v>
      </c>
    </row>
    <row r="726" spans="1:6">
      <c r="A726" s="88"/>
      <c r="B726" s="88"/>
      <c r="C726" s="88"/>
      <c r="D726" s="88" t="s">
        <v>326</v>
      </c>
      <c r="E726" s="88" t="s">
        <v>14</v>
      </c>
      <c r="F726" s="90">
        <v>2255377</v>
      </c>
    </row>
    <row r="727" spans="1:6">
      <c r="A727" s="88"/>
      <c r="B727" s="88" t="s">
        <v>347</v>
      </c>
      <c r="C727" s="88" t="s">
        <v>348</v>
      </c>
      <c r="D727" s="88" t="s">
        <v>48</v>
      </c>
      <c r="E727" s="88" t="s">
        <v>50</v>
      </c>
      <c r="F727" s="90">
        <v>2240944</v>
      </c>
    </row>
    <row r="728" spans="1:6">
      <c r="A728" s="88"/>
      <c r="B728" s="88"/>
      <c r="C728" s="88"/>
      <c r="D728" s="88" t="s">
        <v>133</v>
      </c>
      <c r="E728" s="88" t="s">
        <v>59</v>
      </c>
      <c r="F728" s="90">
        <v>6331565</v>
      </c>
    </row>
    <row r="729" spans="1:6">
      <c r="A729" s="88"/>
      <c r="B729" s="88"/>
      <c r="C729" s="88"/>
      <c r="D729" s="88" t="s">
        <v>326</v>
      </c>
      <c r="E729" s="88" t="s">
        <v>14</v>
      </c>
      <c r="F729" s="90">
        <v>3239320</v>
      </c>
    </row>
    <row r="730" spans="1:6">
      <c r="A730" s="88"/>
      <c r="B730" s="88" t="s">
        <v>359</v>
      </c>
      <c r="C730" s="88" t="s">
        <v>360</v>
      </c>
      <c r="D730" s="88" t="s">
        <v>134</v>
      </c>
      <c r="E730" s="88" t="s">
        <v>135</v>
      </c>
      <c r="F730" s="90">
        <v>3359358</v>
      </c>
    </row>
    <row r="731" spans="1:6">
      <c r="A731" s="88"/>
      <c r="B731" s="88" t="s">
        <v>361</v>
      </c>
      <c r="C731" s="88" t="s">
        <v>362</v>
      </c>
      <c r="D731" s="88" t="s">
        <v>136</v>
      </c>
      <c r="E731" s="88" t="s">
        <v>50</v>
      </c>
      <c r="F731" s="90">
        <v>22810786</v>
      </c>
    </row>
    <row r="732" spans="1:6">
      <c r="A732" s="88"/>
      <c r="B732" s="88" t="s">
        <v>368</v>
      </c>
      <c r="C732" s="88" t="s">
        <v>75</v>
      </c>
      <c r="D732" s="88" t="s">
        <v>76</v>
      </c>
      <c r="E732" s="88" t="s">
        <v>31</v>
      </c>
      <c r="F732" s="90">
        <v>6127000</v>
      </c>
    </row>
    <row r="733" spans="1:6">
      <c r="A733" s="88"/>
      <c r="B733" s="88" t="s">
        <v>369</v>
      </c>
      <c r="C733" s="88" t="s">
        <v>78</v>
      </c>
      <c r="D733" s="88" t="s">
        <v>76</v>
      </c>
      <c r="E733" s="88" t="s">
        <v>31</v>
      </c>
      <c r="F733" s="90">
        <v>6127000</v>
      </c>
    </row>
    <row r="734" spans="1:6">
      <c r="A734" s="88"/>
      <c r="B734" s="88" t="s">
        <v>401</v>
      </c>
      <c r="C734" s="88" t="s">
        <v>402</v>
      </c>
      <c r="D734" s="88" t="s">
        <v>48</v>
      </c>
      <c r="E734" s="88" t="s">
        <v>50</v>
      </c>
      <c r="F734" s="90">
        <v>4515750</v>
      </c>
    </row>
    <row r="735" spans="1:6">
      <c r="A735" s="88"/>
      <c r="B735" s="88"/>
      <c r="C735" s="88"/>
      <c r="D735" s="88" t="s">
        <v>403</v>
      </c>
      <c r="E735" s="88" t="s">
        <v>257</v>
      </c>
      <c r="F735" s="90">
        <v>1860582</v>
      </c>
    </row>
    <row r="736" spans="1:6">
      <c r="A736" s="88" t="s">
        <v>596</v>
      </c>
      <c r="B736" s="88"/>
      <c r="C736" s="88"/>
      <c r="D736" s="88"/>
      <c r="E736" s="88"/>
      <c r="F736" s="90">
        <v>638503871</v>
      </c>
    </row>
    <row r="737" spans="1:6">
      <c r="A737" s="88" t="s">
        <v>58</v>
      </c>
      <c r="B737" s="88" t="s">
        <v>55</v>
      </c>
      <c r="C737" s="88" t="s">
        <v>56</v>
      </c>
      <c r="D737" s="88" t="s">
        <v>57</v>
      </c>
      <c r="E737" s="88" t="s">
        <v>59</v>
      </c>
      <c r="F737" s="90">
        <v>48582205.5</v>
      </c>
    </row>
    <row r="738" spans="1:6">
      <c r="A738" s="88"/>
      <c r="B738" s="88" t="s">
        <v>82</v>
      </c>
      <c r="C738" s="88" t="s">
        <v>83</v>
      </c>
      <c r="D738" s="88" t="s">
        <v>84</v>
      </c>
      <c r="E738" s="88" t="s">
        <v>50</v>
      </c>
      <c r="F738" s="90">
        <v>2985008</v>
      </c>
    </row>
    <row r="739" spans="1:6">
      <c r="A739" s="88"/>
      <c r="B739" s="88" t="s">
        <v>152</v>
      </c>
      <c r="C739" s="88" t="s">
        <v>153</v>
      </c>
      <c r="D739" s="88" t="s">
        <v>154</v>
      </c>
      <c r="E739" s="88" t="s">
        <v>99</v>
      </c>
      <c r="F739" s="90">
        <v>6471193</v>
      </c>
    </row>
    <row r="740" spans="1:6">
      <c r="A740" s="88"/>
      <c r="B740" s="88" t="s">
        <v>174</v>
      </c>
      <c r="C740" s="88" t="s">
        <v>175</v>
      </c>
      <c r="D740" s="88" t="s">
        <v>177</v>
      </c>
      <c r="E740" s="88" t="s">
        <v>135</v>
      </c>
      <c r="F740" s="90">
        <v>31050378.5</v>
      </c>
    </row>
    <row r="741" spans="1:6">
      <c r="A741" s="88"/>
      <c r="B741" s="88" t="s">
        <v>212</v>
      </c>
      <c r="C741" s="88" t="s">
        <v>213</v>
      </c>
      <c r="D741" s="88" t="s">
        <v>214</v>
      </c>
      <c r="E741" s="88" t="s">
        <v>215</v>
      </c>
      <c r="F741" s="90">
        <v>4636618</v>
      </c>
    </row>
    <row r="742" spans="1:6">
      <c r="A742" s="88"/>
      <c r="B742" s="88" t="s">
        <v>321</v>
      </c>
      <c r="C742" s="88" t="s">
        <v>322</v>
      </c>
      <c r="D742" s="88" t="s">
        <v>323</v>
      </c>
      <c r="E742" s="88" t="s">
        <v>59</v>
      </c>
      <c r="F742" s="90">
        <v>24777452.5</v>
      </c>
    </row>
    <row r="743" spans="1:6">
      <c r="A743" s="88"/>
      <c r="B743" s="88" t="s">
        <v>347</v>
      </c>
      <c r="C743" s="88" t="s">
        <v>348</v>
      </c>
      <c r="D743" s="88" t="s">
        <v>133</v>
      </c>
      <c r="E743" s="88" t="s">
        <v>59</v>
      </c>
      <c r="F743" s="90">
        <v>17592123</v>
      </c>
    </row>
    <row r="744" spans="1:6">
      <c r="A744" s="88"/>
      <c r="B744" s="88" t="s">
        <v>356</v>
      </c>
      <c r="C744" s="88" t="s">
        <v>357</v>
      </c>
      <c r="D744" s="88" t="s">
        <v>358</v>
      </c>
      <c r="E744" s="88" t="s">
        <v>135</v>
      </c>
      <c r="F744" s="90">
        <v>9643329</v>
      </c>
    </row>
    <row r="745" spans="1:6">
      <c r="A745" s="88"/>
      <c r="B745" s="88" t="s">
        <v>359</v>
      </c>
      <c r="C745" s="88" t="s">
        <v>360</v>
      </c>
      <c r="D745" s="88" t="s">
        <v>134</v>
      </c>
      <c r="E745" s="88" t="s">
        <v>135</v>
      </c>
      <c r="F745" s="90">
        <v>23390573</v>
      </c>
    </row>
    <row r="746" spans="1:6">
      <c r="A746" s="88"/>
      <c r="B746" s="88" t="s">
        <v>401</v>
      </c>
      <c r="C746" s="88" t="s">
        <v>402</v>
      </c>
      <c r="D746" s="88" t="s">
        <v>403</v>
      </c>
      <c r="E746" s="88" t="s">
        <v>257</v>
      </c>
      <c r="F746" s="90">
        <v>54044077.5</v>
      </c>
    </row>
    <row r="747" spans="1:6">
      <c r="A747" s="88" t="s">
        <v>597</v>
      </c>
      <c r="B747" s="88"/>
      <c r="C747" s="88"/>
      <c r="D747" s="88"/>
      <c r="E747" s="88"/>
      <c r="F747" s="90">
        <v>223172958</v>
      </c>
    </row>
    <row r="748" spans="1:6">
      <c r="A748" s="88" t="s">
        <v>34</v>
      </c>
      <c r="B748" s="88" t="s">
        <v>27</v>
      </c>
      <c r="C748" s="88" t="s">
        <v>28</v>
      </c>
      <c r="D748" s="88" t="s">
        <v>29</v>
      </c>
      <c r="E748" s="88" t="s">
        <v>31</v>
      </c>
      <c r="F748" s="90">
        <v>12500000</v>
      </c>
    </row>
    <row r="749" spans="1:6">
      <c r="A749" s="88"/>
      <c r="B749" s="88" t="s">
        <v>185</v>
      </c>
      <c r="C749" s="88" t="s">
        <v>186</v>
      </c>
      <c r="D749" s="88" t="s">
        <v>29</v>
      </c>
      <c r="E749" s="88" t="s">
        <v>31</v>
      </c>
      <c r="F749" s="90">
        <v>12500000</v>
      </c>
    </row>
    <row r="750" spans="1:6">
      <c r="A750" s="88"/>
      <c r="B750" s="88" t="s">
        <v>198</v>
      </c>
      <c r="C750" s="88" t="s">
        <v>199</v>
      </c>
      <c r="D750" s="88" t="s">
        <v>200</v>
      </c>
      <c r="E750" s="88" t="s">
        <v>31</v>
      </c>
      <c r="F750" s="90">
        <v>12500000</v>
      </c>
    </row>
    <row r="751" spans="1:6">
      <c r="A751" s="88"/>
      <c r="B751" s="88" t="s">
        <v>237</v>
      </c>
      <c r="C751" s="88" t="s">
        <v>238</v>
      </c>
      <c r="D751" s="88" t="s">
        <v>200</v>
      </c>
      <c r="E751" s="88" t="s">
        <v>31</v>
      </c>
      <c r="F751" s="90">
        <v>12500000</v>
      </c>
    </row>
    <row r="752" spans="1:6">
      <c r="A752" s="88" t="s">
        <v>598</v>
      </c>
      <c r="B752" s="88"/>
      <c r="C752" s="88"/>
      <c r="D752" s="88"/>
      <c r="E752" s="88"/>
      <c r="F752" s="90">
        <v>50000000</v>
      </c>
    </row>
    <row r="753" spans="1:6">
      <c r="A753" s="88" t="s">
        <v>54</v>
      </c>
      <c r="B753" s="88" t="s">
        <v>46</v>
      </c>
      <c r="C753" s="88" t="s">
        <v>47</v>
      </c>
      <c r="D753" s="88" t="s">
        <v>52</v>
      </c>
      <c r="E753" s="88" t="s">
        <v>53</v>
      </c>
      <c r="F753" s="90">
        <v>3078000</v>
      </c>
    </row>
    <row r="754" spans="1:6">
      <c r="A754" s="88"/>
      <c r="B754" s="88" t="s">
        <v>113</v>
      </c>
      <c r="C754" s="88" t="s">
        <v>114</v>
      </c>
      <c r="D754" s="88" t="s">
        <v>115</v>
      </c>
      <c r="E754" s="88" t="s">
        <v>53</v>
      </c>
      <c r="F754" s="90">
        <v>3078000</v>
      </c>
    </row>
    <row r="755" spans="1:6">
      <c r="A755" s="88"/>
      <c r="B755" s="88" t="s">
        <v>125</v>
      </c>
      <c r="C755" s="88" t="s">
        <v>126</v>
      </c>
      <c r="D755" s="88" t="s">
        <v>127</v>
      </c>
      <c r="E755" s="88" t="s">
        <v>53</v>
      </c>
      <c r="F755" s="90">
        <v>5878000</v>
      </c>
    </row>
    <row r="756" spans="1:6">
      <c r="A756" s="88"/>
      <c r="B756" s="88" t="s">
        <v>131</v>
      </c>
      <c r="C756" s="88" t="s">
        <v>132</v>
      </c>
      <c r="D756" s="88" t="s">
        <v>130</v>
      </c>
      <c r="E756" s="88" t="s">
        <v>53</v>
      </c>
      <c r="F756" s="90">
        <v>5878000</v>
      </c>
    </row>
    <row r="757" spans="1:6">
      <c r="A757" s="88"/>
      <c r="B757" s="88" t="s">
        <v>162</v>
      </c>
      <c r="C757" s="88" t="s">
        <v>163</v>
      </c>
      <c r="D757" s="88" t="s">
        <v>165</v>
      </c>
      <c r="E757" s="88" t="s">
        <v>19</v>
      </c>
      <c r="F757" s="90">
        <v>5878000</v>
      </c>
    </row>
    <row r="758" spans="1:6">
      <c r="A758" s="88" t="s">
        <v>599</v>
      </c>
      <c r="B758" s="88"/>
      <c r="C758" s="88"/>
      <c r="D758" s="88"/>
      <c r="E758" s="88"/>
      <c r="F758" s="90">
        <v>23790000</v>
      </c>
    </row>
    <row r="759" spans="1:6">
      <c r="A759" s="88" t="s">
        <v>104</v>
      </c>
      <c r="B759" s="88" t="s">
        <v>101</v>
      </c>
      <c r="C759" s="88" t="s">
        <v>102</v>
      </c>
      <c r="D759" s="88" t="s">
        <v>103</v>
      </c>
      <c r="E759" s="88" t="s">
        <v>43</v>
      </c>
      <c r="F759" s="90">
        <v>9500000</v>
      </c>
    </row>
    <row r="760" spans="1:6">
      <c r="A760" s="88"/>
      <c r="B760" s="88" t="s">
        <v>172</v>
      </c>
      <c r="C760" s="88" t="s">
        <v>173</v>
      </c>
      <c r="D760" s="88" t="s">
        <v>103</v>
      </c>
      <c r="E760" s="88" t="s">
        <v>43</v>
      </c>
      <c r="F760" s="90">
        <v>9500000</v>
      </c>
    </row>
    <row r="761" spans="1:6">
      <c r="A761" s="88" t="s">
        <v>600</v>
      </c>
      <c r="B761" s="88"/>
      <c r="C761" s="88"/>
      <c r="D761" s="88"/>
      <c r="E761" s="88"/>
      <c r="F761" s="90">
        <v>19000000</v>
      </c>
    </row>
    <row r="762" spans="1:6">
      <c r="A762" s="88" t="s">
        <v>404</v>
      </c>
      <c r="B762" s="88"/>
      <c r="C762" s="88"/>
      <c r="D762" s="88"/>
      <c r="E762" s="88"/>
      <c r="F762" s="90">
        <v>8561365747.25</v>
      </c>
    </row>
  </sheetData>
  <autoFilter xmlns:etc="http://www.wps.cn/officeDocument/2017/etCustomData" ref="A3:F764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837"/>
  <sheetViews>
    <sheetView topLeftCell="A809" workbookViewId="0">
      <selection activeCell="F817" sqref="F817"/>
    </sheetView>
  </sheetViews>
  <sheetFormatPr defaultColWidth="9" defaultRowHeight="15" outlineLevelCol="5"/>
  <cols>
    <col min="1" max="1" width="36.7142857142857"/>
    <col min="2" max="2" width="14"/>
    <col min="3" max="3" width="11.8095238095238"/>
    <col min="4" max="4" width="11.952380952381"/>
    <col min="5" max="5" width="25"/>
    <col min="6" max="6" width="27.5714285714286"/>
  </cols>
  <sheetData>
    <row r="3" spans="1:6">
      <c r="A3" s="4" t="s">
        <v>0</v>
      </c>
      <c r="B3" s="4" t="s">
        <v>1</v>
      </c>
      <c r="C3" s="4" t="s">
        <v>2</v>
      </c>
      <c r="D3" s="4" t="s">
        <v>4</v>
      </c>
      <c r="E3" s="4" t="s">
        <v>3</v>
      </c>
      <c r="F3" s="4" t="s">
        <v>5</v>
      </c>
    </row>
    <row r="4" spans="1:6">
      <c r="A4" s="88" t="s">
        <v>6</v>
      </c>
      <c r="B4" s="88" t="s">
        <v>7</v>
      </c>
      <c r="C4" s="4" t="s">
        <v>8</v>
      </c>
      <c r="D4" s="4" t="s">
        <v>10</v>
      </c>
      <c r="E4" s="4" t="s">
        <v>9</v>
      </c>
      <c r="F4" s="89">
        <v>4644000</v>
      </c>
    </row>
    <row r="5" spans="1:6">
      <c r="A5" s="88"/>
      <c r="B5" s="88"/>
      <c r="C5" s="4"/>
      <c r="D5" s="4"/>
      <c r="E5" s="4" t="s">
        <v>11</v>
      </c>
      <c r="F5" s="89">
        <v>2000000</v>
      </c>
    </row>
    <row r="6" spans="1:6">
      <c r="A6" s="88"/>
      <c r="B6" s="88"/>
      <c r="C6" s="4" t="s">
        <v>12</v>
      </c>
      <c r="D6" s="4" t="s">
        <v>14</v>
      </c>
      <c r="E6" s="4" t="s">
        <v>13</v>
      </c>
      <c r="F6" s="89">
        <v>3500000</v>
      </c>
    </row>
    <row r="7" spans="1:6">
      <c r="A7" s="88" t="s">
        <v>601</v>
      </c>
      <c r="B7" s="88"/>
      <c r="C7" s="88"/>
      <c r="D7" s="88"/>
      <c r="E7" s="88"/>
      <c r="F7" s="90">
        <v>10144000</v>
      </c>
    </row>
    <row r="8" spans="1:6">
      <c r="A8" s="88" t="s">
        <v>15</v>
      </c>
      <c r="B8" s="88" t="s">
        <v>16</v>
      </c>
      <c r="C8" s="88" t="s">
        <v>17</v>
      </c>
      <c r="D8" s="88" t="s">
        <v>19</v>
      </c>
      <c r="E8" s="88" t="s">
        <v>18</v>
      </c>
      <c r="F8" s="89">
        <v>15147500</v>
      </c>
    </row>
    <row r="9" spans="1:6">
      <c r="A9" s="88"/>
      <c r="B9" s="88"/>
      <c r="C9" s="88"/>
      <c r="D9" s="88"/>
      <c r="E9" s="4" t="s">
        <v>13</v>
      </c>
      <c r="F9" s="89">
        <v>6957500</v>
      </c>
    </row>
    <row r="10" spans="1:6">
      <c r="A10" s="88"/>
      <c r="B10" s="88"/>
      <c r="C10" s="88"/>
      <c r="D10" s="88"/>
      <c r="E10" s="88" t="s">
        <v>20</v>
      </c>
      <c r="F10" s="89">
        <v>4156000</v>
      </c>
    </row>
    <row r="11" spans="1:6">
      <c r="A11" s="88"/>
      <c r="B11" s="88"/>
      <c r="C11" s="88"/>
      <c r="D11" s="88"/>
      <c r="E11" s="4" t="s">
        <v>21</v>
      </c>
      <c r="F11" s="89">
        <v>28047500</v>
      </c>
    </row>
    <row r="12" spans="1:6">
      <c r="A12" s="88"/>
      <c r="B12" s="88"/>
      <c r="C12" s="88"/>
      <c r="D12" s="88"/>
      <c r="E12" s="4" t="s">
        <v>22</v>
      </c>
      <c r="F12" s="89">
        <v>21000000</v>
      </c>
    </row>
    <row r="13" spans="1:6">
      <c r="A13" s="88"/>
      <c r="B13" s="88"/>
      <c r="C13" s="88"/>
      <c r="D13" s="88"/>
      <c r="E13" s="4" t="s">
        <v>23</v>
      </c>
      <c r="F13" s="89">
        <v>1050000</v>
      </c>
    </row>
    <row r="14" spans="1:6">
      <c r="A14" s="88"/>
      <c r="B14" s="88"/>
      <c r="C14" s="88"/>
      <c r="D14" s="88"/>
      <c r="E14" s="4" t="s">
        <v>24</v>
      </c>
      <c r="F14" s="89">
        <v>896000</v>
      </c>
    </row>
    <row r="15" spans="1:6">
      <c r="A15" s="88"/>
      <c r="B15" s="88"/>
      <c r="C15" s="88"/>
      <c r="D15" s="88"/>
      <c r="E15" s="4" t="s">
        <v>25</v>
      </c>
      <c r="F15" s="89">
        <v>1144000</v>
      </c>
    </row>
    <row r="16" spans="1:6">
      <c r="A16" s="88"/>
      <c r="B16" s="88"/>
      <c r="C16" s="88"/>
      <c r="D16" s="88"/>
      <c r="E16" s="4" t="s">
        <v>26</v>
      </c>
      <c r="F16" s="89">
        <v>28870000</v>
      </c>
    </row>
    <row r="17" spans="1:6">
      <c r="A17" s="88" t="s">
        <v>602</v>
      </c>
      <c r="B17" s="88"/>
      <c r="C17" s="88"/>
      <c r="D17" s="88"/>
      <c r="E17" s="88"/>
      <c r="F17" s="90">
        <v>107268500</v>
      </c>
    </row>
    <row r="18" spans="1:6">
      <c r="A18" s="88" t="s">
        <v>27</v>
      </c>
      <c r="B18" s="88" t="s">
        <v>28</v>
      </c>
      <c r="C18" s="88" t="s">
        <v>29</v>
      </c>
      <c r="D18" s="88" t="s">
        <v>31</v>
      </c>
      <c r="E18" s="4" t="s">
        <v>30</v>
      </c>
      <c r="F18" s="89">
        <v>13000000</v>
      </c>
    </row>
    <row r="19" spans="1:6">
      <c r="A19" s="88"/>
      <c r="B19" s="88"/>
      <c r="C19" s="88"/>
      <c r="D19" s="88"/>
      <c r="E19" s="4" t="s">
        <v>32</v>
      </c>
      <c r="F19" s="89">
        <v>79000000</v>
      </c>
    </row>
    <row r="20" spans="1:6">
      <c r="A20" s="88"/>
      <c r="B20" s="88"/>
      <c r="C20" s="88"/>
      <c r="D20" s="88"/>
      <c r="E20" s="4" t="s">
        <v>33</v>
      </c>
      <c r="F20" s="89">
        <v>19693206</v>
      </c>
    </row>
    <row r="21" spans="1:6">
      <c r="A21" s="88"/>
      <c r="B21" s="88"/>
      <c r="C21" s="88"/>
      <c r="D21" s="88"/>
      <c r="E21" s="4" t="s">
        <v>34</v>
      </c>
      <c r="F21" s="89">
        <v>12500000</v>
      </c>
    </row>
    <row r="22" spans="1:6">
      <c r="A22" s="88" t="s">
        <v>603</v>
      </c>
      <c r="B22" s="88"/>
      <c r="C22" s="88"/>
      <c r="D22" s="88"/>
      <c r="E22" s="88"/>
      <c r="F22" s="90">
        <v>124193206</v>
      </c>
    </row>
    <row r="23" spans="1:6">
      <c r="A23" s="88" t="s">
        <v>35</v>
      </c>
      <c r="B23" s="88" t="s">
        <v>36</v>
      </c>
      <c r="C23" s="88" t="s">
        <v>38</v>
      </c>
      <c r="D23" s="88" t="s">
        <v>31</v>
      </c>
      <c r="E23" s="4" t="s">
        <v>39</v>
      </c>
      <c r="F23" s="89">
        <v>29978000</v>
      </c>
    </row>
    <row r="24" spans="1:6">
      <c r="A24" s="88"/>
      <c r="B24" s="88"/>
      <c r="C24" s="88"/>
      <c r="D24" s="88"/>
      <c r="E24" s="4" t="s">
        <v>32</v>
      </c>
      <c r="F24" s="89">
        <v>39225000</v>
      </c>
    </row>
    <row r="25" spans="1:6">
      <c r="A25" s="88"/>
      <c r="B25" s="88"/>
      <c r="C25" s="88"/>
      <c r="D25" s="88"/>
      <c r="E25" s="4" t="s">
        <v>33</v>
      </c>
      <c r="F25" s="89">
        <v>20983644</v>
      </c>
    </row>
    <row r="26" spans="1:6">
      <c r="A26" s="88"/>
      <c r="B26" s="88"/>
      <c r="C26" s="4" t="s">
        <v>37</v>
      </c>
      <c r="D26" s="4" t="s">
        <v>31</v>
      </c>
      <c r="E26" s="4" t="s">
        <v>30</v>
      </c>
      <c r="F26" s="89">
        <v>11750000</v>
      </c>
    </row>
    <row r="27" spans="1:6">
      <c r="A27" s="88" t="s">
        <v>604</v>
      </c>
      <c r="B27" s="88"/>
      <c r="C27" s="88"/>
      <c r="D27" s="88"/>
      <c r="E27" s="88"/>
      <c r="F27" s="90">
        <v>101936644</v>
      </c>
    </row>
    <row r="28" spans="1:6">
      <c r="A28" s="88" t="s">
        <v>40</v>
      </c>
      <c r="B28" s="88" t="s">
        <v>41</v>
      </c>
      <c r="C28" s="88" t="s">
        <v>42</v>
      </c>
      <c r="D28" s="88" t="s">
        <v>43</v>
      </c>
      <c r="E28" s="88" t="s">
        <v>18</v>
      </c>
      <c r="F28" s="89">
        <v>48500000</v>
      </c>
    </row>
    <row r="29" spans="1:6">
      <c r="A29" s="88"/>
      <c r="B29" s="88"/>
      <c r="C29" s="88"/>
      <c r="D29" s="88"/>
      <c r="E29" s="4" t="s">
        <v>20</v>
      </c>
      <c r="F29" s="89">
        <v>600000</v>
      </c>
    </row>
    <row r="30" spans="1:6">
      <c r="A30" s="88"/>
      <c r="B30" s="88"/>
      <c r="C30" s="88"/>
      <c r="D30" s="88"/>
      <c r="E30" s="4" t="s">
        <v>21</v>
      </c>
      <c r="F30" s="89">
        <v>31250000</v>
      </c>
    </row>
    <row r="31" spans="1:6">
      <c r="A31" s="88"/>
      <c r="B31" s="88"/>
      <c r="C31" s="88"/>
      <c r="D31" s="88"/>
      <c r="E31" s="4" t="s">
        <v>44</v>
      </c>
      <c r="F31" s="89">
        <v>7250000</v>
      </c>
    </row>
    <row r="32" spans="1:6">
      <c r="A32" s="88"/>
      <c r="B32" s="88"/>
      <c r="C32" s="88"/>
      <c r="D32" s="88"/>
      <c r="E32" s="4" t="s">
        <v>22</v>
      </c>
      <c r="F32" s="89">
        <v>9750000</v>
      </c>
    </row>
    <row r="33" spans="1:6">
      <c r="A33" s="88"/>
      <c r="B33" s="88"/>
      <c r="C33" s="88"/>
      <c r="D33" s="88"/>
      <c r="E33" s="4" t="s">
        <v>26</v>
      </c>
      <c r="F33" s="89">
        <v>28000000</v>
      </c>
    </row>
    <row r="34" spans="1:6">
      <c r="A34" s="88"/>
      <c r="B34" s="88"/>
      <c r="C34" s="88"/>
      <c r="D34" s="88"/>
      <c r="E34" s="4" t="s">
        <v>45</v>
      </c>
      <c r="F34" s="89">
        <v>1497600</v>
      </c>
    </row>
    <row r="35" spans="1:6">
      <c r="A35" s="88" t="s">
        <v>605</v>
      </c>
      <c r="B35" s="88"/>
      <c r="C35" s="88"/>
      <c r="D35" s="88"/>
      <c r="E35" s="88"/>
      <c r="F35" s="90">
        <v>126847600</v>
      </c>
    </row>
    <row r="36" spans="1:6">
      <c r="A36" s="88" t="s">
        <v>46</v>
      </c>
      <c r="B36" s="88" t="s">
        <v>47</v>
      </c>
      <c r="C36" s="4" t="s">
        <v>51</v>
      </c>
      <c r="D36" s="4" t="s">
        <v>50</v>
      </c>
      <c r="E36" s="4" t="s">
        <v>49</v>
      </c>
      <c r="F36" s="89">
        <v>17183424</v>
      </c>
    </row>
    <row r="37" spans="1:6">
      <c r="A37" s="88"/>
      <c r="B37" s="88"/>
      <c r="C37" s="4"/>
      <c r="D37" s="4"/>
      <c r="E37" s="4" t="s">
        <v>33</v>
      </c>
      <c r="F37" s="89">
        <v>1239256</v>
      </c>
    </row>
    <row r="38" spans="1:6">
      <c r="A38" s="88"/>
      <c r="B38" s="88"/>
      <c r="C38" s="88" t="s">
        <v>52</v>
      </c>
      <c r="D38" s="88" t="s">
        <v>53</v>
      </c>
      <c r="E38" s="4" t="s">
        <v>49</v>
      </c>
      <c r="F38" s="89">
        <v>3396093</v>
      </c>
    </row>
    <row r="39" spans="1:6">
      <c r="A39" s="88"/>
      <c r="B39" s="88"/>
      <c r="C39" s="88"/>
      <c r="D39" s="88"/>
      <c r="E39" s="4" t="s">
        <v>33</v>
      </c>
      <c r="F39" s="89">
        <v>9744596</v>
      </c>
    </row>
    <row r="40" spans="1:6">
      <c r="A40" s="88"/>
      <c r="B40" s="88"/>
      <c r="C40" s="88"/>
      <c r="D40" s="88"/>
      <c r="E40" s="4" t="s">
        <v>54</v>
      </c>
      <c r="F40" s="89">
        <v>3078000</v>
      </c>
    </row>
    <row r="41" spans="1:6">
      <c r="A41" s="88"/>
      <c r="B41" s="88"/>
      <c r="C41" s="4" t="s">
        <v>48</v>
      </c>
      <c r="D41" s="4" t="s">
        <v>50</v>
      </c>
      <c r="E41" s="4" t="s">
        <v>49</v>
      </c>
      <c r="F41" s="89">
        <v>2363192</v>
      </c>
    </row>
    <row r="42" spans="1:6">
      <c r="A42" s="88" t="s">
        <v>606</v>
      </c>
      <c r="B42" s="88"/>
      <c r="C42" s="88"/>
      <c r="D42" s="88"/>
      <c r="E42" s="88"/>
      <c r="F42" s="90">
        <v>37004561</v>
      </c>
    </row>
    <row r="43" spans="1:6">
      <c r="A43" s="88" t="s">
        <v>55</v>
      </c>
      <c r="B43" s="88" t="s">
        <v>56</v>
      </c>
      <c r="C43" s="88" t="s">
        <v>57</v>
      </c>
      <c r="D43" s="88" t="s">
        <v>59</v>
      </c>
      <c r="E43" s="4" t="s">
        <v>58</v>
      </c>
      <c r="F43" s="89">
        <v>48582205.5</v>
      </c>
    </row>
    <row r="44" spans="1:6">
      <c r="A44" s="88" t="s">
        <v>607</v>
      </c>
      <c r="B44" s="88"/>
      <c r="C44" s="88"/>
      <c r="D44" s="88"/>
      <c r="E44" s="88"/>
      <c r="F44" s="90">
        <v>48582205.5</v>
      </c>
    </row>
    <row r="45" spans="1:6">
      <c r="A45" s="88" t="s">
        <v>60</v>
      </c>
      <c r="B45" s="88" t="s">
        <v>61</v>
      </c>
      <c r="C45" s="88" t="s">
        <v>62</v>
      </c>
      <c r="D45" s="88" t="s">
        <v>31</v>
      </c>
      <c r="E45" s="4" t="s">
        <v>24</v>
      </c>
      <c r="F45" s="89">
        <v>6000000</v>
      </c>
    </row>
    <row r="46" spans="1:6">
      <c r="A46" s="88"/>
      <c r="B46" s="88"/>
      <c r="C46" s="88"/>
      <c r="D46" s="88"/>
      <c r="E46" s="4" t="s">
        <v>30</v>
      </c>
      <c r="F46" s="89">
        <v>11750000</v>
      </c>
    </row>
    <row r="47" spans="1:6">
      <c r="A47" s="88"/>
      <c r="B47" s="88"/>
      <c r="C47" s="88"/>
      <c r="D47" s="88"/>
      <c r="E47" s="4" t="s">
        <v>39</v>
      </c>
      <c r="F47" s="89">
        <v>61419000</v>
      </c>
    </row>
    <row r="48" spans="1:6">
      <c r="A48" s="88"/>
      <c r="B48" s="88"/>
      <c r="C48" s="88"/>
      <c r="D48" s="88"/>
      <c r="E48" s="4" t="s">
        <v>63</v>
      </c>
      <c r="F48" s="89">
        <v>9950000</v>
      </c>
    </row>
    <row r="49" spans="1:6">
      <c r="A49" s="88" t="s">
        <v>608</v>
      </c>
      <c r="B49" s="88"/>
      <c r="C49" s="88"/>
      <c r="D49" s="88"/>
      <c r="E49" s="88"/>
      <c r="F49" s="90">
        <v>89119000</v>
      </c>
    </row>
    <row r="50" spans="1:6">
      <c r="A50" s="88" t="s">
        <v>64</v>
      </c>
      <c r="B50" s="88" t="s">
        <v>65</v>
      </c>
      <c r="C50" s="88" t="s">
        <v>66</v>
      </c>
      <c r="D50" s="88" t="s">
        <v>31</v>
      </c>
      <c r="E50" s="4" t="s">
        <v>30</v>
      </c>
      <c r="F50" s="89">
        <v>36000000</v>
      </c>
    </row>
    <row r="51" spans="1:6">
      <c r="A51" s="88"/>
      <c r="B51" s="88"/>
      <c r="C51" s="88"/>
      <c r="D51" s="88"/>
      <c r="E51" s="4" t="s">
        <v>32</v>
      </c>
      <c r="F51" s="89">
        <v>39050000</v>
      </c>
    </row>
    <row r="52" spans="1:6">
      <c r="A52" s="88" t="s">
        <v>609</v>
      </c>
      <c r="B52" s="88"/>
      <c r="C52" s="88"/>
      <c r="D52" s="88"/>
      <c r="E52" s="88"/>
      <c r="F52" s="90">
        <v>75050000</v>
      </c>
    </row>
    <row r="53" spans="1:6">
      <c r="A53" s="88" t="s">
        <v>67</v>
      </c>
      <c r="B53" s="88" t="s">
        <v>68</v>
      </c>
      <c r="C53" s="88" t="s">
        <v>69</v>
      </c>
      <c r="D53" s="88" t="s">
        <v>31</v>
      </c>
      <c r="E53" s="4" t="s">
        <v>30</v>
      </c>
      <c r="F53" s="89">
        <v>12000000</v>
      </c>
    </row>
    <row r="54" spans="1:6">
      <c r="A54" s="88"/>
      <c r="B54" s="88"/>
      <c r="C54" s="88"/>
      <c r="D54" s="88"/>
      <c r="E54" s="4" t="s">
        <v>39</v>
      </c>
      <c r="F54" s="89">
        <v>31441000</v>
      </c>
    </row>
    <row r="55" spans="1:6">
      <c r="A55" s="88"/>
      <c r="B55" s="88"/>
      <c r="C55" s="88"/>
      <c r="D55" s="88"/>
      <c r="E55" s="4" t="s">
        <v>63</v>
      </c>
      <c r="F55" s="89">
        <v>12000000</v>
      </c>
    </row>
    <row r="56" spans="1:6">
      <c r="A56" s="88" t="s">
        <v>610</v>
      </c>
      <c r="B56" s="88"/>
      <c r="C56" s="88"/>
      <c r="D56" s="88"/>
      <c r="E56" s="88"/>
      <c r="F56" s="90">
        <v>55441000</v>
      </c>
    </row>
    <row r="57" spans="1:6">
      <c r="A57" s="88" t="s">
        <v>70</v>
      </c>
      <c r="B57" s="88" t="s">
        <v>71</v>
      </c>
      <c r="C57" s="88" t="s">
        <v>72</v>
      </c>
      <c r="D57" s="88" t="s">
        <v>31</v>
      </c>
      <c r="E57" s="4" t="s">
        <v>18</v>
      </c>
      <c r="F57" s="89">
        <v>8500000</v>
      </c>
    </row>
    <row r="58" spans="1:6">
      <c r="A58" s="88"/>
      <c r="B58" s="88"/>
      <c r="C58" s="88"/>
      <c r="D58" s="88"/>
      <c r="E58" s="4" t="s">
        <v>30</v>
      </c>
      <c r="F58" s="89">
        <v>12000000</v>
      </c>
    </row>
    <row r="59" spans="1:6">
      <c r="A59" s="88"/>
      <c r="B59" s="88"/>
      <c r="C59" s="88"/>
      <c r="D59" s="88"/>
      <c r="E59" s="4" t="s">
        <v>73</v>
      </c>
      <c r="F59" s="89">
        <v>9000000</v>
      </c>
    </row>
    <row r="60" spans="1:6">
      <c r="A60" s="88"/>
      <c r="B60" s="88"/>
      <c r="C60" s="88"/>
      <c r="D60" s="88"/>
      <c r="E60" s="4" t="s">
        <v>32</v>
      </c>
      <c r="F60" s="89">
        <v>38550000</v>
      </c>
    </row>
    <row r="61" spans="1:6">
      <c r="A61" s="88" t="s">
        <v>611</v>
      </c>
      <c r="B61" s="88"/>
      <c r="C61" s="88"/>
      <c r="D61" s="88"/>
      <c r="E61" s="88"/>
      <c r="F61" s="90">
        <v>68050000</v>
      </c>
    </row>
    <row r="62" spans="1:6">
      <c r="A62" s="88" t="s">
        <v>74</v>
      </c>
      <c r="B62" s="88" t="s">
        <v>75</v>
      </c>
      <c r="C62" s="88" t="s">
        <v>76</v>
      </c>
      <c r="D62" s="88" t="s">
        <v>31</v>
      </c>
      <c r="E62" s="4" t="s">
        <v>33</v>
      </c>
      <c r="F62" s="89">
        <v>20834028</v>
      </c>
    </row>
    <row r="63" spans="1:6">
      <c r="A63" s="88" t="s">
        <v>612</v>
      </c>
      <c r="B63" s="88"/>
      <c r="C63" s="88"/>
      <c r="D63" s="88"/>
      <c r="E63" s="88"/>
      <c r="F63" s="90">
        <v>20834028</v>
      </c>
    </row>
    <row r="64" spans="1:6">
      <c r="A64" s="88" t="s">
        <v>77</v>
      </c>
      <c r="B64" s="88" t="s">
        <v>78</v>
      </c>
      <c r="C64" s="88" t="s">
        <v>76</v>
      </c>
      <c r="D64" s="88" t="s">
        <v>31</v>
      </c>
      <c r="E64" s="4" t="s">
        <v>33</v>
      </c>
      <c r="F64" s="89">
        <v>20834028</v>
      </c>
    </row>
    <row r="65" spans="1:6">
      <c r="A65" s="88" t="s">
        <v>613</v>
      </c>
      <c r="B65" s="88"/>
      <c r="C65" s="88"/>
      <c r="D65" s="88"/>
      <c r="E65" s="88"/>
      <c r="F65" s="90">
        <v>20834028</v>
      </c>
    </row>
    <row r="66" spans="1:6">
      <c r="A66" s="88" t="s">
        <v>79</v>
      </c>
      <c r="B66" s="88" t="s">
        <v>80</v>
      </c>
      <c r="C66" s="88" t="s">
        <v>81</v>
      </c>
      <c r="D66" s="4" t="s">
        <v>50</v>
      </c>
      <c r="E66" s="4" t="s">
        <v>49</v>
      </c>
      <c r="F66" s="89">
        <v>23619802</v>
      </c>
    </row>
    <row r="67" spans="1:6">
      <c r="A67" s="88"/>
      <c r="B67" s="88"/>
      <c r="C67" s="88"/>
      <c r="D67" s="4"/>
      <c r="E67" s="4" t="s">
        <v>33</v>
      </c>
      <c r="F67" s="89">
        <v>20973839</v>
      </c>
    </row>
    <row r="68" spans="1:6">
      <c r="A68" s="88" t="s">
        <v>614</v>
      </c>
      <c r="B68" s="88"/>
      <c r="C68" s="88"/>
      <c r="D68" s="88"/>
      <c r="E68" s="88"/>
      <c r="F68" s="90">
        <v>44593641</v>
      </c>
    </row>
    <row r="69" spans="1:6">
      <c r="A69" s="88" t="s">
        <v>82</v>
      </c>
      <c r="B69" s="88" t="s">
        <v>83</v>
      </c>
      <c r="C69" s="88" t="s">
        <v>84</v>
      </c>
      <c r="D69" s="88" t="s">
        <v>50</v>
      </c>
      <c r="E69" s="4" t="s">
        <v>49</v>
      </c>
      <c r="F69" s="89">
        <v>35982996</v>
      </c>
    </row>
    <row r="70" spans="1:6">
      <c r="A70" s="88"/>
      <c r="B70" s="88"/>
      <c r="C70" s="88"/>
      <c r="D70" s="88"/>
      <c r="E70" s="4" t="s">
        <v>33</v>
      </c>
      <c r="F70" s="89">
        <v>19033585</v>
      </c>
    </row>
    <row r="71" spans="1:6">
      <c r="A71" s="88"/>
      <c r="B71" s="88"/>
      <c r="C71" s="88"/>
      <c r="D71" s="88"/>
      <c r="E71" s="4" t="s">
        <v>58</v>
      </c>
      <c r="F71" s="89">
        <v>2985008</v>
      </c>
    </row>
    <row r="72" spans="1:6">
      <c r="A72" s="88" t="s">
        <v>615</v>
      </c>
      <c r="B72" s="88"/>
      <c r="C72" s="88"/>
      <c r="D72" s="88"/>
      <c r="E72" s="88"/>
      <c r="F72" s="90">
        <v>58001589</v>
      </c>
    </row>
    <row r="73" spans="1:6">
      <c r="A73" s="88" t="s">
        <v>85</v>
      </c>
      <c r="B73" s="88" t="s">
        <v>86</v>
      </c>
      <c r="C73" s="4" t="s">
        <v>87</v>
      </c>
      <c r="D73" s="4" t="s">
        <v>53</v>
      </c>
      <c r="E73" s="4" t="s">
        <v>18</v>
      </c>
      <c r="F73" s="89">
        <v>2750000</v>
      </c>
    </row>
    <row r="74" spans="1:6">
      <c r="A74" s="88"/>
      <c r="B74" s="88"/>
      <c r="C74" s="4"/>
      <c r="D74" s="4"/>
      <c r="E74" s="4" t="s">
        <v>21</v>
      </c>
      <c r="F74" s="89">
        <v>50750000</v>
      </c>
    </row>
    <row r="75" spans="1:6">
      <c r="A75" s="88"/>
      <c r="B75" s="88"/>
      <c r="C75" s="4"/>
      <c r="D75" s="4"/>
      <c r="E75" s="4" t="s">
        <v>44</v>
      </c>
      <c r="F75" s="89">
        <v>7250000</v>
      </c>
    </row>
    <row r="76" spans="1:6">
      <c r="A76" s="88"/>
      <c r="B76" s="88"/>
      <c r="C76" s="4"/>
      <c r="D76" s="4"/>
      <c r="E76" s="4" t="s">
        <v>24</v>
      </c>
      <c r="F76" s="89">
        <v>9000000</v>
      </c>
    </row>
    <row r="77" spans="1:6">
      <c r="A77" s="88"/>
      <c r="B77" s="88"/>
      <c r="C77" s="4"/>
      <c r="D77" s="4"/>
      <c r="E77" s="4" t="s">
        <v>26</v>
      </c>
      <c r="F77" s="89">
        <v>11000000</v>
      </c>
    </row>
    <row r="78" spans="1:6">
      <c r="A78" s="88"/>
      <c r="B78" s="88"/>
      <c r="C78" s="4"/>
      <c r="D78" s="4"/>
      <c r="E78" s="4" t="s">
        <v>45</v>
      </c>
      <c r="F78" s="89">
        <v>2861400</v>
      </c>
    </row>
    <row r="79" spans="1:6">
      <c r="A79" s="88"/>
      <c r="B79" s="88"/>
      <c r="C79" s="4"/>
      <c r="D79" s="4"/>
      <c r="E79" s="4" t="s">
        <v>88</v>
      </c>
      <c r="F79" s="89">
        <v>11000000</v>
      </c>
    </row>
    <row r="80" spans="1:6">
      <c r="A80" s="88" t="s">
        <v>616</v>
      </c>
      <c r="B80" s="88"/>
      <c r="C80" s="88"/>
      <c r="D80" s="88"/>
      <c r="E80" s="88"/>
      <c r="F80" s="90">
        <v>94611400</v>
      </c>
    </row>
    <row r="81" spans="1:6">
      <c r="A81" s="88" t="s">
        <v>89</v>
      </c>
      <c r="B81" s="88" t="s">
        <v>90</v>
      </c>
      <c r="C81" s="88" t="s">
        <v>91</v>
      </c>
      <c r="D81" s="88" t="s">
        <v>19</v>
      </c>
      <c r="E81" s="88" t="s">
        <v>21</v>
      </c>
      <c r="F81" s="89">
        <v>9750000</v>
      </c>
    </row>
    <row r="82" spans="1:6">
      <c r="A82" s="88"/>
      <c r="B82" s="88"/>
      <c r="C82" s="88"/>
      <c r="D82" s="88"/>
      <c r="E82" s="4" t="s">
        <v>26</v>
      </c>
      <c r="F82" s="89">
        <v>6675000</v>
      </c>
    </row>
    <row r="83" spans="1:6">
      <c r="A83" s="88"/>
      <c r="B83" s="88"/>
      <c r="C83" s="88"/>
      <c r="D83" s="88"/>
      <c r="E83" s="4" t="s">
        <v>92</v>
      </c>
      <c r="F83" s="89">
        <v>9000000</v>
      </c>
    </row>
    <row r="84" spans="1:6">
      <c r="A84" s="88"/>
      <c r="B84" s="88"/>
      <c r="C84" s="4" t="s">
        <v>93</v>
      </c>
      <c r="D84" s="4" t="s">
        <v>43</v>
      </c>
      <c r="E84" s="4" t="s">
        <v>13</v>
      </c>
      <c r="F84" s="89">
        <v>5852000</v>
      </c>
    </row>
    <row r="85" spans="1:6">
      <c r="A85" s="88"/>
      <c r="B85" s="88"/>
      <c r="C85" s="4"/>
      <c r="D85" s="4"/>
      <c r="E85" s="4" t="s">
        <v>21</v>
      </c>
      <c r="F85" s="89">
        <v>11000000</v>
      </c>
    </row>
    <row r="86" spans="1:6">
      <c r="A86" s="88"/>
      <c r="B86" s="88"/>
      <c r="C86" s="4"/>
      <c r="D86" s="4"/>
      <c r="E86" s="4" t="s">
        <v>94</v>
      </c>
      <c r="F86" s="89">
        <v>1000000</v>
      </c>
    </row>
    <row r="87" spans="1:6">
      <c r="A87" s="88"/>
      <c r="B87" s="88"/>
      <c r="C87" s="4"/>
      <c r="D87" s="4"/>
      <c r="E87" s="4" t="s">
        <v>26</v>
      </c>
      <c r="F87" s="89">
        <v>4750000</v>
      </c>
    </row>
    <row r="88" spans="1:6">
      <c r="A88" s="88" t="s">
        <v>617</v>
      </c>
      <c r="B88" s="88"/>
      <c r="C88" s="88"/>
      <c r="D88" s="88"/>
      <c r="E88" s="88"/>
      <c r="F88" s="90">
        <v>48027000</v>
      </c>
    </row>
    <row r="89" spans="1:6">
      <c r="A89" s="88" t="s">
        <v>95</v>
      </c>
      <c r="B89" s="88" t="s">
        <v>96</v>
      </c>
      <c r="C89" s="4" t="s">
        <v>97</v>
      </c>
      <c r="D89" s="4" t="s">
        <v>99</v>
      </c>
      <c r="E89" s="4" t="s">
        <v>98</v>
      </c>
      <c r="F89" s="89">
        <v>10000000</v>
      </c>
    </row>
    <row r="90" spans="1:6">
      <c r="A90" s="88"/>
      <c r="B90" s="88"/>
      <c r="C90" s="4"/>
      <c r="D90" s="4"/>
      <c r="E90" s="4" t="s">
        <v>100</v>
      </c>
      <c r="F90" s="89">
        <v>88428000</v>
      </c>
    </row>
    <row r="91" spans="1:6">
      <c r="A91" s="88" t="s">
        <v>618</v>
      </c>
      <c r="B91" s="88"/>
      <c r="C91" s="88"/>
      <c r="D91" s="88"/>
      <c r="E91" s="88"/>
      <c r="F91" s="90">
        <v>98428000</v>
      </c>
    </row>
    <row r="92" spans="1:6">
      <c r="A92" s="88" t="s">
        <v>101</v>
      </c>
      <c r="B92" s="88" t="s">
        <v>102</v>
      </c>
      <c r="C92" s="88" t="s">
        <v>103</v>
      </c>
      <c r="D92" s="88" t="s">
        <v>43</v>
      </c>
      <c r="E92" s="88" t="s">
        <v>18</v>
      </c>
      <c r="F92" s="89">
        <v>1950000</v>
      </c>
    </row>
    <row r="93" spans="1:6">
      <c r="A93" s="88"/>
      <c r="B93" s="88"/>
      <c r="C93" s="88"/>
      <c r="D93" s="88"/>
      <c r="E93" s="4" t="s">
        <v>13</v>
      </c>
      <c r="F93" s="89">
        <v>3300000</v>
      </c>
    </row>
    <row r="94" spans="1:6">
      <c r="A94" s="88"/>
      <c r="B94" s="88"/>
      <c r="C94" s="88"/>
      <c r="D94" s="88"/>
      <c r="E94" s="4" t="s">
        <v>21</v>
      </c>
      <c r="F94" s="89">
        <v>11000000</v>
      </c>
    </row>
    <row r="95" spans="1:6">
      <c r="A95" s="88"/>
      <c r="B95" s="88"/>
      <c r="C95" s="88"/>
      <c r="D95" s="88"/>
      <c r="E95" s="4" t="s">
        <v>26</v>
      </c>
      <c r="F95" s="89">
        <v>3750000</v>
      </c>
    </row>
    <row r="96" spans="1:6">
      <c r="A96" s="88"/>
      <c r="B96" s="88"/>
      <c r="C96" s="88"/>
      <c r="D96" s="88"/>
      <c r="E96" s="4" t="s">
        <v>98</v>
      </c>
      <c r="F96" s="89">
        <v>5000000</v>
      </c>
    </row>
    <row r="97" spans="1:6">
      <c r="A97" s="88"/>
      <c r="B97" s="88"/>
      <c r="C97" s="88"/>
      <c r="D97" s="88"/>
      <c r="E97" s="4" t="s">
        <v>104</v>
      </c>
      <c r="F97" s="89">
        <v>9500000</v>
      </c>
    </row>
    <row r="98" spans="1:6">
      <c r="A98" s="88" t="s">
        <v>619</v>
      </c>
      <c r="B98" s="88"/>
      <c r="C98" s="88"/>
      <c r="D98" s="88"/>
      <c r="E98" s="88"/>
      <c r="F98" s="90">
        <v>34500000</v>
      </c>
    </row>
    <row r="99" spans="1:6">
      <c r="A99" s="88" t="s">
        <v>105</v>
      </c>
      <c r="B99" s="88" t="s">
        <v>106</v>
      </c>
      <c r="C99" s="88" t="s">
        <v>38</v>
      </c>
      <c r="D99" s="88" t="s">
        <v>31</v>
      </c>
      <c r="E99" s="4" t="s">
        <v>22</v>
      </c>
      <c r="F99" s="89">
        <v>29000000</v>
      </c>
    </row>
    <row r="100" spans="1:6">
      <c r="A100" s="88"/>
      <c r="B100" s="88"/>
      <c r="C100" s="88"/>
      <c r="D100" s="88"/>
      <c r="E100" s="4" t="s">
        <v>39</v>
      </c>
      <c r="F100" s="89">
        <v>29978000</v>
      </c>
    </row>
    <row r="101" spans="1:6">
      <c r="A101" s="88"/>
      <c r="B101" s="88"/>
      <c r="C101" s="88"/>
      <c r="D101" s="88"/>
      <c r="E101" s="4" t="s">
        <v>32</v>
      </c>
      <c r="F101" s="89">
        <v>39225000</v>
      </c>
    </row>
    <row r="102" spans="1:6">
      <c r="A102" s="88"/>
      <c r="B102" s="88"/>
      <c r="C102" s="88"/>
      <c r="D102" s="88"/>
      <c r="E102" s="4" t="s">
        <v>33</v>
      </c>
      <c r="F102" s="89">
        <v>20983644</v>
      </c>
    </row>
    <row r="103" spans="1:6">
      <c r="A103" s="88" t="s">
        <v>620</v>
      </c>
      <c r="B103" s="88"/>
      <c r="C103" s="88"/>
      <c r="D103" s="88"/>
      <c r="E103" s="88"/>
      <c r="F103" s="90">
        <v>119186644</v>
      </c>
    </row>
    <row r="104" spans="1:6">
      <c r="A104" s="88" t="s">
        <v>107</v>
      </c>
      <c r="B104" s="88" t="s">
        <v>108</v>
      </c>
      <c r="C104" s="4" t="s">
        <v>109</v>
      </c>
      <c r="D104" s="4" t="s">
        <v>19</v>
      </c>
      <c r="E104" s="4" t="s">
        <v>21</v>
      </c>
      <c r="F104" s="89">
        <v>73211112</v>
      </c>
    </row>
    <row r="105" spans="1:6">
      <c r="A105" s="88"/>
      <c r="B105" s="88"/>
      <c r="C105" s="4"/>
      <c r="D105" s="4"/>
      <c r="E105" s="4" t="s">
        <v>24</v>
      </c>
      <c r="F105" s="89">
        <v>17500000</v>
      </c>
    </row>
    <row r="106" spans="1:6">
      <c r="A106" s="88"/>
      <c r="B106" s="88"/>
      <c r="C106" s="4"/>
      <c r="D106" s="4"/>
      <c r="E106" s="4" t="s">
        <v>110</v>
      </c>
      <c r="F106" s="89">
        <v>6637500</v>
      </c>
    </row>
    <row r="107" spans="1:6">
      <c r="A107" s="88"/>
      <c r="B107" s="88"/>
      <c r="C107" s="4"/>
      <c r="D107" s="4"/>
      <c r="E107" s="4" t="s">
        <v>26</v>
      </c>
      <c r="F107" s="89">
        <v>775000</v>
      </c>
    </row>
    <row r="108" spans="1:6">
      <c r="A108" s="88"/>
      <c r="B108" s="88"/>
      <c r="C108" s="4"/>
      <c r="D108" s="4"/>
      <c r="E108" s="4" t="s">
        <v>111</v>
      </c>
      <c r="F108" s="89">
        <v>2600000</v>
      </c>
    </row>
    <row r="109" spans="1:6">
      <c r="A109" s="88"/>
      <c r="B109" s="88"/>
      <c r="C109" s="4"/>
      <c r="D109" s="4"/>
      <c r="E109" s="4" t="s">
        <v>112</v>
      </c>
      <c r="F109" s="89">
        <v>7050000</v>
      </c>
    </row>
    <row r="110" spans="1:6">
      <c r="A110" s="88"/>
      <c r="B110" s="88"/>
      <c r="C110" s="4"/>
      <c r="D110" s="4"/>
      <c r="E110" s="4" t="s">
        <v>92</v>
      </c>
      <c r="F110" s="89">
        <v>2000000</v>
      </c>
    </row>
    <row r="111" spans="1:6">
      <c r="A111" s="88" t="s">
        <v>621</v>
      </c>
      <c r="B111" s="88"/>
      <c r="C111" s="88"/>
      <c r="D111" s="88"/>
      <c r="E111" s="88"/>
      <c r="F111" s="90">
        <v>109773612</v>
      </c>
    </row>
    <row r="112" spans="1:6">
      <c r="A112" s="88" t="s">
        <v>113</v>
      </c>
      <c r="B112" s="88" t="s">
        <v>114</v>
      </c>
      <c r="C112" s="88" t="s">
        <v>115</v>
      </c>
      <c r="D112" s="88" t="s">
        <v>53</v>
      </c>
      <c r="E112" s="88" t="s">
        <v>116</v>
      </c>
      <c r="F112" s="89">
        <v>8000000</v>
      </c>
    </row>
    <row r="113" spans="1:6">
      <c r="A113" s="88"/>
      <c r="B113" s="88"/>
      <c r="C113" s="88"/>
      <c r="D113" s="88"/>
      <c r="E113" s="4" t="s">
        <v>33</v>
      </c>
      <c r="F113" s="89">
        <v>45349070</v>
      </c>
    </row>
    <row r="114" spans="1:6">
      <c r="A114" s="88"/>
      <c r="B114" s="88"/>
      <c r="C114" s="88"/>
      <c r="D114" s="88"/>
      <c r="E114" s="4" t="s">
        <v>54</v>
      </c>
      <c r="F114" s="89">
        <v>3078000</v>
      </c>
    </row>
    <row r="115" spans="1:6">
      <c r="A115" s="88" t="s">
        <v>622</v>
      </c>
      <c r="B115" s="88"/>
      <c r="C115" s="88"/>
      <c r="D115" s="88"/>
      <c r="E115" s="88"/>
      <c r="F115" s="90">
        <v>56427070</v>
      </c>
    </row>
    <row r="116" spans="1:6">
      <c r="A116" s="88" t="s">
        <v>117</v>
      </c>
      <c r="B116" s="88" t="s">
        <v>118</v>
      </c>
      <c r="C116" s="4" t="s">
        <v>119</v>
      </c>
      <c r="D116" s="4" t="s">
        <v>53</v>
      </c>
      <c r="E116" s="4" t="s">
        <v>26</v>
      </c>
      <c r="F116" s="89">
        <v>25000000</v>
      </c>
    </row>
    <row r="117" spans="1:6">
      <c r="A117" s="88" t="s">
        <v>623</v>
      </c>
      <c r="B117" s="88"/>
      <c r="C117" s="88"/>
      <c r="D117" s="88"/>
      <c r="E117" s="88"/>
      <c r="F117" s="90">
        <v>25000000</v>
      </c>
    </row>
    <row r="118" spans="1:6">
      <c r="A118" s="88" t="s">
        <v>120</v>
      </c>
      <c r="B118" s="88" t="s">
        <v>121</v>
      </c>
      <c r="C118" s="4" t="s">
        <v>109</v>
      </c>
      <c r="D118" s="4" t="s">
        <v>19</v>
      </c>
      <c r="E118" s="4" t="s">
        <v>21</v>
      </c>
      <c r="F118" s="89">
        <v>73211112</v>
      </c>
    </row>
    <row r="119" spans="1:6">
      <c r="A119" s="88"/>
      <c r="B119" s="88"/>
      <c r="C119" s="4"/>
      <c r="D119" s="4"/>
      <c r="E119" s="4" t="s">
        <v>24</v>
      </c>
      <c r="F119" s="89">
        <v>17500000</v>
      </c>
    </row>
    <row r="120" spans="1:6">
      <c r="A120" s="88"/>
      <c r="B120" s="88"/>
      <c r="C120" s="4"/>
      <c r="D120" s="4"/>
      <c r="E120" s="4" t="s">
        <v>110</v>
      </c>
      <c r="F120" s="89">
        <v>6637500</v>
      </c>
    </row>
    <row r="121" spans="1:6">
      <c r="A121" s="88"/>
      <c r="B121" s="88"/>
      <c r="C121" s="4"/>
      <c r="D121" s="4"/>
      <c r="E121" s="4" t="s">
        <v>26</v>
      </c>
      <c r="F121" s="89">
        <v>775000</v>
      </c>
    </row>
    <row r="122" spans="1:6">
      <c r="A122" s="88"/>
      <c r="B122" s="88"/>
      <c r="C122" s="4"/>
      <c r="D122" s="4"/>
      <c r="E122" s="4" t="s">
        <v>111</v>
      </c>
      <c r="F122" s="89">
        <v>2600000</v>
      </c>
    </row>
    <row r="123" spans="1:6">
      <c r="A123" s="88"/>
      <c r="B123" s="88"/>
      <c r="C123" s="4"/>
      <c r="D123" s="4"/>
      <c r="E123" s="4" t="s">
        <v>112</v>
      </c>
      <c r="F123" s="89">
        <v>7050000</v>
      </c>
    </row>
    <row r="124" spans="1:6">
      <c r="A124" s="88"/>
      <c r="B124" s="88"/>
      <c r="C124" s="4"/>
      <c r="D124" s="4"/>
      <c r="E124" s="4" t="s">
        <v>92</v>
      </c>
      <c r="F124" s="89">
        <v>2000000</v>
      </c>
    </row>
    <row r="125" spans="1:6">
      <c r="A125" s="88" t="s">
        <v>624</v>
      </c>
      <c r="B125" s="88"/>
      <c r="C125" s="88"/>
      <c r="D125" s="88"/>
      <c r="E125" s="88"/>
      <c r="F125" s="90">
        <v>109773612</v>
      </c>
    </row>
    <row r="126" spans="1:6">
      <c r="A126" s="88" t="s">
        <v>122</v>
      </c>
      <c r="B126" s="88" t="s">
        <v>123</v>
      </c>
      <c r="C126" s="88" t="s">
        <v>124</v>
      </c>
      <c r="D126" s="88" t="s">
        <v>31</v>
      </c>
      <c r="E126" s="4" t="s">
        <v>30</v>
      </c>
      <c r="F126" s="89">
        <v>27500000</v>
      </c>
    </row>
    <row r="127" spans="1:6">
      <c r="A127" s="88"/>
      <c r="B127" s="88"/>
      <c r="C127" s="88"/>
      <c r="D127" s="88"/>
      <c r="E127" s="4" t="s">
        <v>32</v>
      </c>
      <c r="F127" s="89">
        <v>37500000</v>
      </c>
    </row>
    <row r="128" spans="1:6">
      <c r="A128" s="88" t="s">
        <v>625</v>
      </c>
      <c r="B128" s="88"/>
      <c r="C128" s="88"/>
      <c r="D128" s="88"/>
      <c r="E128" s="88"/>
      <c r="F128" s="90">
        <v>65000000</v>
      </c>
    </row>
    <row r="129" spans="1:6">
      <c r="A129" s="88" t="s">
        <v>125</v>
      </c>
      <c r="B129" s="88" t="s">
        <v>126</v>
      </c>
      <c r="C129" s="4" t="s">
        <v>127</v>
      </c>
      <c r="D129" s="4" t="s">
        <v>53</v>
      </c>
      <c r="E129" s="4" t="s">
        <v>116</v>
      </c>
      <c r="F129" s="89">
        <v>6000000</v>
      </c>
    </row>
    <row r="130" spans="1:6">
      <c r="A130" s="88"/>
      <c r="B130" s="88"/>
      <c r="C130" s="4"/>
      <c r="D130" s="4"/>
      <c r="E130" s="4" t="s">
        <v>49</v>
      </c>
      <c r="F130" s="89">
        <v>2000000</v>
      </c>
    </row>
    <row r="131" spans="1:6">
      <c r="A131" s="88"/>
      <c r="B131" s="88"/>
      <c r="C131" s="4"/>
      <c r="D131" s="4"/>
      <c r="E131" s="4" t="s">
        <v>33</v>
      </c>
      <c r="F131" s="89">
        <v>31518295</v>
      </c>
    </row>
    <row r="132" spans="1:6">
      <c r="A132" s="88"/>
      <c r="B132" s="88"/>
      <c r="C132" s="4"/>
      <c r="D132" s="4"/>
      <c r="E132" s="4" t="s">
        <v>54</v>
      </c>
      <c r="F132" s="89">
        <v>5878000</v>
      </c>
    </row>
    <row r="133" spans="1:6">
      <c r="A133" s="88" t="s">
        <v>626</v>
      </c>
      <c r="B133" s="88"/>
      <c r="C133" s="88"/>
      <c r="D133" s="88"/>
      <c r="E133" s="88"/>
      <c r="F133" s="90">
        <v>45396295</v>
      </c>
    </row>
    <row r="134" spans="1:6">
      <c r="A134" s="88" t="s">
        <v>128</v>
      </c>
      <c r="B134" s="88" t="s">
        <v>129</v>
      </c>
      <c r="C134" s="4" t="s">
        <v>51</v>
      </c>
      <c r="D134" s="4" t="s">
        <v>50</v>
      </c>
      <c r="E134" s="4" t="s">
        <v>49</v>
      </c>
      <c r="F134" s="89">
        <v>33053038</v>
      </c>
    </row>
    <row r="135" spans="1:6">
      <c r="A135" s="88"/>
      <c r="B135" s="88"/>
      <c r="C135" s="4"/>
      <c r="D135" s="4"/>
      <c r="E135" s="4" t="s">
        <v>33</v>
      </c>
      <c r="F135" s="89">
        <v>5189323</v>
      </c>
    </row>
    <row r="136" spans="1:6">
      <c r="A136" s="88"/>
      <c r="B136" s="88"/>
      <c r="C136" s="88" t="s">
        <v>52</v>
      </c>
      <c r="D136" s="88" t="s">
        <v>53</v>
      </c>
      <c r="E136" s="4" t="s">
        <v>33</v>
      </c>
      <c r="F136" s="89">
        <v>20733152</v>
      </c>
    </row>
    <row r="137" spans="1:6">
      <c r="A137" s="88"/>
      <c r="B137" s="88"/>
      <c r="C137" s="4" t="s">
        <v>130</v>
      </c>
      <c r="D137" s="4" t="s">
        <v>53</v>
      </c>
      <c r="E137" s="4" t="s">
        <v>33</v>
      </c>
      <c r="F137" s="89">
        <v>11047308</v>
      </c>
    </row>
    <row r="138" spans="1:6">
      <c r="A138" s="88" t="s">
        <v>627</v>
      </c>
      <c r="B138" s="88"/>
      <c r="C138" s="88"/>
      <c r="D138" s="88"/>
      <c r="E138" s="88"/>
      <c r="F138" s="90">
        <v>70022821</v>
      </c>
    </row>
    <row r="139" spans="1:6">
      <c r="A139" s="88" t="s">
        <v>131</v>
      </c>
      <c r="B139" s="88" t="s">
        <v>132</v>
      </c>
      <c r="C139" s="4" t="s">
        <v>136</v>
      </c>
      <c r="D139" s="4" t="s">
        <v>50</v>
      </c>
      <c r="E139" s="4" t="s">
        <v>33</v>
      </c>
      <c r="F139" s="89">
        <v>2800512</v>
      </c>
    </row>
    <row r="140" spans="1:6">
      <c r="A140" s="88"/>
      <c r="B140" s="88"/>
      <c r="C140" s="88" t="s">
        <v>52</v>
      </c>
      <c r="D140" s="88" t="s">
        <v>53</v>
      </c>
      <c r="E140" s="4" t="s">
        <v>116</v>
      </c>
      <c r="F140" s="89">
        <v>3000000</v>
      </c>
    </row>
    <row r="141" spans="1:6">
      <c r="A141" s="88"/>
      <c r="B141" s="88"/>
      <c r="C141" s="4" t="s">
        <v>81</v>
      </c>
      <c r="D141" s="4" t="s">
        <v>50</v>
      </c>
      <c r="E141" s="4" t="s">
        <v>33</v>
      </c>
      <c r="F141" s="89">
        <v>3375420</v>
      </c>
    </row>
    <row r="142" spans="1:6">
      <c r="A142" s="88"/>
      <c r="B142" s="88"/>
      <c r="C142" s="4" t="s">
        <v>84</v>
      </c>
      <c r="D142" s="4" t="s">
        <v>50</v>
      </c>
      <c r="E142" s="4" t="s">
        <v>33</v>
      </c>
      <c r="F142" s="89">
        <v>96252</v>
      </c>
    </row>
    <row r="143" spans="1:6">
      <c r="A143" s="88"/>
      <c r="B143" s="88"/>
      <c r="C143" s="4" t="s">
        <v>133</v>
      </c>
      <c r="D143" s="4" t="s">
        <v>59</v>
      </c>
      <c r="E143" s="4" t="s">
        <v>33</v>
      </c>
      <c r="F143" s="89">
        <v>50490</v>
      </c>
    </row>
    <row r="144" spans="1:6">
      <c r="A144" s="88"/>
      <c r="B144" s="88"/>
      <c r="C144" s="88" t="s">
        <v>134</v>
      </c>
      <c r="D144" s="88" t="s">
        <v>135</v>
      </c>
      <c r="E144" s="4" t="s">
        <v>33</v>
      </c>
      <c r="F144" s="89">
        <v>1323924</v>
      </c>
    </row>
    <row r="145" spans="1:6">
      <c r="A145" s="88"/>
      <c r="B145" s="88"/>
      <c r="C145" s="88" t="s">
        <v>130</v>
      </c>
      <c r="D145" s="88" t="s">
        <v>53</v>
      </c>
      <c r="E145" s="4" t="s">
        <v>49</v>
      </c>
      <c r="F145" s="89">
        <v>1550000</v>
      </c>
    </row>
    <row r="146" spans="1:6">
      <c r="A146" s="88"/>
      <c r="B146" s="88"/>
      <c r="C146" s="88"/>
      <c r="D146" s="88"/>
      <c r="E146" s="4" t="s">
        <v>33</v>
      </c>
      <c r="F146" s="89">
        <v>23480783</v>
      </c>
    </row>
    <row r="147" spans="1:6">
      <c r="A147" s="88"/>
      <c r="B147" s="88"/>
      <c r="C147" s="88"/>
      <c r="D147" s="88"/>
      <c r="E147" s="4" t="s">
        <v>54</v>
      </c>
      <c r="F147" s="89">
        <v>5878000</v>
      </c>
    </row>
    <row r="148" spans="1:6">
      <c r="A148" s="88" t="s">
        <v>628</v>
      </c>
      <c r="B148" s="88"/>
      <c r="C148" s="88"/>
      <c r="D148" s="88"/>
      <c r="E148" s="88"/>
      <c r="F148" s="90">
        <v>41555381</v>
      </c>
    </row>
    <row r="149" spans="1:6">
      <c r="A149" s="88" t="s">
        <v>137</v>
      </c>
      <c r="B149" s="88" t="s">
        <v>138</v>
      </c>
      <c r="C149" s="88" t="s">
        <v>42</v>
      </c>
      <c r="D149" s="88" t="s">
        <v>43</v>
      </c>
      <c r="E149" s="88" t="s">
        <v>18</v>
      </c>
      <c r="F149" s="89">
        <v>9500000</v>
      </c>
    </row>
    <row r="150" spans="1:6">
      <c r="A150" s="88" t="s">
        <v>629</v>
      </c>
      <c r="B150" s="88"/>
      <c r="C150" s="88"/>
      <c r="D150" s="88"/>
      <c r="E150" s="88"/>
      <c r="F150" s="90">
        <v>9500000</v>
      </c>
    </row>
    <row r="151" spans="1:6">
      <c r="A151" s="88" t="s">
        <v>139</v>
      </c>
      <c r="B151" s="88" t="s">
        <v>140</v>
      </c>
      <c r="C151" s="88" t="s">
        <v>141</v>
      </c>
      <c r="D151" s="88" t="s">
        <v>43</v>
      </c>
      <c r="E151" s="88" t="s">
        <v>18</v>
      </c>
      <c r="F151" s="89">
        <v>14750000</v>
      </c>
    </row>
    <row r="152" spans="1:6">
      <c r="A152" s="88"/>
      <c r="B152" s="88"/>
      <c r="C152" s="88"/>
      <c r="D152" s="88"/>
      <c r="E152" s="4" t="s">
        <v>13</v>
      </c>
      <c r="F152" s="89">
        <v>2505800</v>
      </c>
    </row>
    <row r="153" spans="1:6">
      <c r="A153" s="88"/>
      <c r="B153" s="88"/>
      <c r="C153" s="88"/>
      <c r="D153" s="88"/>
      <c r="E153" s="4" t="s">
        <v>21</v>
      </c>
      <c r="F153" s="89">
        <v>20750000</v>
      </c>
    </row>
    <row r="154" spans="1:6">
      <c r="A154" s="88"/>
      <c r="B154" s="88"/>
      <c r="C154" s="88"/>
      <c r="D154" s="88"/>
      <c r="E154" s="4" t="s">
        <v>22</v>
      </c>
      <c r="F154" s="89">
        <v>10000000</v>
      </c>
    </row>
    <row r="155" spans="1:6">
      <c r="A155" s="88"/>
      <c r="B155" s="88"/>
      <c r="C155" s="88"/>
      <c r="D155" s="88"/>
      <c r="E155" s="4" t="s">
        <v>23</v>
      </c>
      <c r="F155" s="89">
        <v>2277613.125</v>
      </c>
    </row>
    <row r="156" spans="1:6">
      <c r="A156" s="88"/>
      <c r="B156" s="88"/>
      <c r="C156" s="88"/>
      <c r="D156" s="88"/>
      <c r="E156" s="4" t="s">
        <v>142</v>
      </c>
      <c r="F156" s="89">
        <v>18117500</v>
      </c>
    </row>
    <row r="157" spans="1:6">
      <c r="A157" s="88"/>
      <c r="B157" s="88"/>
      <c r="C157" s="88"/>
      <c r="D157" s="88"/>
      <c r="E157" s="4" t="s">
        <v>30</v>
      </c>
      <c r="F157" s="89">
        <v>12000000</v>
      </c>
    </row>
    <row r="158" spans="1:6">
      <c r="A158" s="88"/>
      <c r="B158" s="88"/>
      <c r="C158" s="88"/>
      <c r="D158" s="88"/>
      <c r="E158" s="4" t="s">
        <v>143</v>
      </c>
      <c r="F158" s="89">
        <v>3750000</v>
      </c>
    </row>
    <row r="159" spans="1:6">
      <c r="A159" s="88"/>
      <c r="B159" s="88"/>
      <c r="C159" s="88"/>
      <c r="D159" s="88"/>
      <c r="E159" s="4" t="s">
        <v>144</v>
      </c>
      <c r="F159" s="89">
        <v>5000000</v>
      </c>
    </row>
    <row r="160" spans="1:6">
      <c r="A160" s="88"/>
      <c r="B160" s="88"/>
      <c r="C160" s="88"/>
      <c r="D160" s="88"/>
      <c r="E160" s="4" t="s">
        <v>26</v>
      </c>
      <c r="F160" s="89">
        <v>6000000</v>
      </c>
    </row>
    <row r="161" spans="1:6">
      <c r="A161" s="88"/>
      <c r="B161" s="88"/>
      <c r="C161" s="88"/>
      <c r="D161" s="88"/>
      <c r="E161" s="4" t="s">
        <v>92</v>
      </c>
      <c r="F161" s="89">
        <v>1350000</v>
      </c>
    </row>
    <row r="162" spans="1:6">
      <c r="A162" s="88" t="s">
        <v>630</v>
      </c>
      <c r="B162" s="88"/>
      <c r="C162" s="88"/>
      <c r="D162" s="88"/>
      <c r="E162" s="88"/>
      <c r="F162" s="90">
        <v>96500913.125</v>
      </c>
    </row>
    <row r="163" spans="1:6">
      <c r="A163" s="88" t="s">
        <v>145</v>
      </c>
      <c r="B163" s="88" t="s">
        <v>146</v>
      </c>
      <c r="C163" s="88" t="s">
        <v>141</v>
      </c>
      <c r="D163" s="88" t="s">
        <v>43</v>
      </c>
      <c r="E163" s="88" t="s">
        <v>18</v>
      </c>
      <c r="F163" s="89">
        <v>14750000</v>
      </c>
    </row>
    <row r="164" spans="1:6">
      <c r="A164" s="88"/>
      <c r="B164" s="88"/>
      <c r="C164" s="88"/>
      <c r="D164" s="88"/>
      <c r="E164" s="4" t="s">
        <v>13</v>
      </c>
      <c r="F164" s="89">
        <v>2505800</v>
      </c>
    </row>
    <row r="165" spans="1:6">
      <c r="A165" s="88"/>
      <c r="B165" s="88"/>
      <c r="C165" s="88"/>
      <c r="D165" s="88"/>
      <c r="E165" s="4" t="s">
        <v>21</v>
      </c>
      <c r="F165" s="89">
        <v>20750000</v>
      </c>
    </row>
    <row r="166" spans="1:6">
      <c r="A166" s="88"/>
      <c r="B166" s="88"/>
      <c r="C166" s="88"/>
      <c r="D166" s="88"/>
      <c r="E166" s="4" t="s">
        <v>22</v>
      </c>
      <c r="F166" s="89">
        <v>10000000</v>
      </c>
    </row>
    <row r="167" spans="1:6">
      <c r="A167" s="88"/>
      <c r="B167" s="88"/>
      <c r="C167" s="88"/>
      <c r="D167" s="88"/>
      <c r="E167" s="4" t="s">
        <v>23</v>
      </c>
      <c r="F167" s="89">
        <v>2277613.125</v>
      </c>
    </row>
    <row r="168" spans="1:6">
      <c r="A168" s="88"/>
      <c r="B168" s="88"/>
      <c r="C168" s="88"/>
      <c r="D168" s="88"/>
      <c r="E168" s="4" t="s">
        <v>142</v>
      </c>
      <c r="F168" s="89">
        <v>18117500</v>
      </c>
    </row>
    <row r="169" spans="1:6">
      <c r="A169" s="88"/>
      <c r="B169" s="88"/>
      <c r="C169" s="88"/>
      <c r="D169" s="88"/>
      <c r="E169" s="4" t="s">
        <v>30</v>
      </c>
      <c r="F169" s="89">
        <v>12000000</v>
      </c>
    </row>
    <row r="170" spans="1:6">
      <c r="A170" s="88"/>
      <c r="B170" s="88"/>
      <c r="C170" s="88"/>
      <c r="D170" s="88"/>
      <c r="E170" s="4" t="s">
        <v>143</v>
      </c>
      <c r="F170" s="89">
        <v>3750000</v>
      </c>
    </row>
    <row r="171" spans="1:6">
      <c r="A171" s="88"/>
      <c r="B171" s="88"/>
      <c r="C171" s="88"/>
      <c r="D171" s="88"/>
      <c r="E171" s="4" t="s">
        <v>144</v>
      </c>
      <c r="F171" s="89">
        <v>5000000</v>
      </c>
    </row>
    <row r="172" spans="1:6">
      <c r="A172" s="88"/>
      <c r="B172" s="88"/>
      <c r="C172" s="88"/>
      <c r="D172" s="88"/>
      <c r="E172" s="4" t="s">
        <v>26</v>
      </c>
      <c r="F172" s="89">
        <v>6000000</v>
      </c>
    </row>
    <row r="173" spans="1:6">
      <c r="A173" s="88"/>
      <c r="B173" s="88"/>
      <c r="C173" s="88"/>
      <c r="D173" s="88"/>
      <c r="E173" s="4" t="s">
        <v>92</v>
      </c>
      <c r="F173" s="89">
        <v>1350000</v>
      </c>
    </row>
    <row r="174" spans="1:6">
      <c r="A174" s="88" t="s">
        <v>631</v>
      </c>
      <c r="B174" s="88"/>
      <c r="C174" s="88"/>
      <c r="D174" s="88"/>
      <c r="E174" s="88"/>
      <c r="F174" s="90">
        <v>96500913.125</v>
      </c>
    </row>
    <row r="175" spans="1:6">
      <c r="A175" s="88" t="s">
        <v>147</v>
      </c>
      <c r="B175" s="88" t="s">
        <v>148</v>
      </c>
      <c r="C175" s="88" t="s">
        <v>149</v>
      </c>
      <c r="D175" s="4" t="s">
        <v>53</v>
      </c>
      <c r="E175" s="4" t="s">
        <v>21</v>
      </c>
      <c r="F175" s="89">
        <v>21185185</v>
      </c>
    </row>
    <row r="176" spans="1:6">
      <c r="A176" s="88"/>
      <c r="B176" s="88"/>
      <c r="C176" s="88"/>
      <c r="D176" s="4"/>
      <c r="E176" s="4" t="s">
        <v>150</v>
      </c>
      <c r="F176" s="89">
        <v>4436500</v>
      </c>
    </row>
    <row r="177" spans="1:6">
      <c r="A177" s="88"/>
      <c r="B177" s="88"/>
      <c r="C177" s="88"/>
      <c r="D177" s="4"/>
      <c r="E177" s="4" t="s">
        <v>92</v>
      </c>
      <c r="F177" s="89">
        <v>11500000</v>
      </c>
    </row>
    <row r="178" spans="1:6">
      <c r="A178" s="88"/>
      <c r="B178" s="88"/>
      <c r="C178" s="4" t="s">
        <v>151</v>
      </c>
      <c r="D178" s="4" t="s">
        <v>53</v>
      </c>
      <c r="E178" s="4" t="s">
        <v>18</v>
      </c>
      <c r="F178" s="89">
        <v>2220000</v>
      </c>
    </row>
    <row r="179" spans="1:6">
      <c r="A179" s="88"/>
      <c r="B179" s="88"/>
      <c r="C179" s="4"/>
      <c r="D179" s="4"/>
      <c r="E179" s="4" t="s">
        <v>13</v>
      </c>
      <c r="F179" s="89">
        <v>935000</v>
      </c>
    </row>
    <row r="180" spans="1:6">
      <c r="A180" s="88"/>
      <c r="B180" s="88"/>
      <c r="C180" s="4"/>
      <c r="D180" s="4"/>
      <c r="E180" s="4" t="s">
        <v>21</v>
      </c>
      <c r="F180" s="89">
        <v>11000000</v>
      </c>
    </row>
    <row r="181" spans="1:6">
      <c r="A181" s="88"/>
      <c r="B181" s="88"/>
      <c r="C181" s="4"/>
      <c r="D181" s="4"/>
      <c r="E181" s="4" t="s">
        <v>94</v>
      </c>
      <c r="F181" s="89">
        <v>1200000</v>
      </c>
    </row>
    <row r="182" spans="1:6">
      <c r="A182" s="88"/>
      <c r="B182" s="88"/>
      <c r="C182" s="4"/>
      <c r="D182" s="4"/>
      <c r="E182" s="4" t="s">
        <v>23</v>
      </c>
      <c r="F182" s="89">
        <v>3493779.375</v>
      </c>
    </row>
    <row r="183" spans="1:6">
      <c r="A183" s="88"/>
      <c r="B183" s="88"/>
      <c r="C183" s="4"/>
      <c r="D183" s="4"/>
      <c r="E183" s="4" t="s">
        <v>26</v>
      </c>
      <c r="F183" s="89">
        <v>6000000</v>
      </c>
    </row>
    <row r="184" spans="1:6">
      <c r="A184" s="88" t="s">
        <v>632</v>
      </c>
      <c r="B184" s="88"/>
      <c r="C184" s="88"/>
      <c r="D184" s="88"/>
      <c r="E184" s="88"/>
      <c r="F184" s="90">
        <v>61970464.375</v>
      </c>
    </row>
    <row r="185" spans="1:6">
      <c r="A185" s="88" t="s">
        <v>152</v>
      </c>
      <c r="B185" s="88" t="s">
        <v>153</v>
      </c>
      <c r="C185" s="88" t="s">
        <v>154</v>
      </c>
      <c r="D185" s="88" t="s">
        <v>99</v>
      </c>
      <c r="E185" s="4" t="s">
        <v>155</v>
      </c>
      <c r="F185" s="89">
        <v>71990000</v>
      </c>
    </row>
    <row r="186" spans="1:6">
      <c r="A186" s="88"/>
      <c r="B186" s="88"/>
      <c r="C186" s="88"/>
      <c r="D186" s="88"/>
      <c r="E186" s="4" t="s">
        <v>58</v>
      </c>
      <c r="F186" s="89">
        <v>6471193</v>
      </c>
    </row>
    <row r="187" spans="1:6">
      <c r="A187" s="88" t="s">
        <v>633</v>
      </c>
      <c r="B187" s="88"/>
      <c r="C187" s="88"/>
      <c r="D187" s="88"/>
      <c r="E187" s="88"/>
      <c r="F187" s="90">
        <v>78461193</v>
      </c>
    </row>
    <row r="188" spans="1:6">
      <c r="A188" s="88" t="s">
        <v>156</v>
      </c>
      <c r="B188" s="88" t="s">
        <v>157</v>
      </c>
      <c r="C188" s="4" t="s">
        <v>158</v>
      </c>
      <c r="D188" s="4" t="s">
        <v>53</v>
      </c>
      <c r="E188" s="4" t="s">
        <v>18</v>
      </c>
      <c r="F188" s="89">
        <v>20500000</v>
      </c>
    </row>
    <row r="189" spans="1:6">
      <c r="A189" s="88"/>
      <c r="B189" s="88"/>
      <c r="C189" s="4"/>
      <c r="D189" s="4"/>
      <c r="E189" s="4" t="s">
        <v>13</v>
      </c>
      <c r="F189" s="89">
        <v>1842500</v>
      </c>
    </row>
    <row r="190" spans="1:6">
      <c r="A190" s="88"/>
      <c r="B190" s="88"/>
      <c r="C190" s="4"/>
      <c r="D190" s="4"/>
      <c r="E190" s="4" t="s">
        <v>21</v>
      </c>
      <c r="F190" s="89">
        <v>23250000</v>
      </c>
    </row>
    <row r="191" spans="1:6">
      <c r="A191" s="88"/>
      <c r="B191" s="88"/>
      <c r="C191" s="4"/>
      <c r="D191" s="4"/>
      <c r="E191" s="4" t="s">
        <v>44</v>
      </c>
      <c r="F191" s="89">
        <v>7750000</v>
      </c>
    </row>
    <row r="192" spans="1:6">
      <c r="A192" s="88"/>
      <c r="B192" s="88"/>
      <c r="C192" s="4"/>
      <c r="D192" s="4"/>
      <c r="E192" s="4" t="s">
        <v>94</v>
      </c>
      <c r="F192" s="89">
        <v>5750000</v>
      </c>
    </row>
    <row r="193" spans="1:6">
      <c r="A193" s="88"/>
      <c r="B193" s="88"/>
      <c r="C193" s="4"/>
      <c r="D193" s="4"/>
      <c r="E193" s="4" t="s">
        <v>30</v>
      </c>
      <c r="F193" s="89">
        <v>5000000</v>
      </c>
    </row>
    <row r="194" spans="1:6">
      <c r="A194" s="88"/>
      <c r="B194" s="88"/>
      <c r="C194" s="4"/>
      <c r="D194" s="4"/>
      <c r="E194" s="4" t="s">
        <v>26</v>
      </c>
      <c r="F194" s="89">
        <v>12050000</v>
      </c>
    </row>
    <row r="195" spans="1:6">
      <c r="A195" s="88" t="s">
        <v>634</v>
      </c>
      <c r="B195" s="88"/>
      <c r="C195" s="88"/>
      <c r="D195" s="88"/>
      <c r="E195" s="88"/>
      <c r="F195" s="90">
        <v>76142500</v>
      </c>
    </row>
    <row r="196" spans="1:6">
      <c r="A196" s="88" t="s">
        <v>159</v>
      </c>
      <c r="B196" s="88" t="s">
        <v>160</v>
      </c>
      <c r="C196" s="88" t="s">
        <v>161</v>
      </c>
      <c r="D196" s="88" t="s">
        <v>53</v>
      </c>
      <c r="E196" s="4" t="s">
        <v>9</v>
      </c>
      <c r="F196" s="89">
        <v>6642000</v>
      </c>
    </row>
    <row r="197" spans="1:6">
      <c r="A197" s="88"/>
      <c r="B197" s="88"/>
      <c r="C197" s="88"/>
      <c r="D197" s="88"/>
      <c r="E197" s="4" t="s">
        <v>21</v>
      </c>
      <c r="F197" s="89">
        <v>11000000</v>
      </c>
    </row>
    <row r="198" spans="1:6">
      <c r="A198" s="88"/>
      <c r="B198" s="88"/>
      <c r="C198" s="88"/>
      <c r="D198" s="88"/>
      <c r="E198" s="4" t="s">
        <v>44</v>
      </c>
      <c r="F198" s="89">
        <v>7250000</v>
      </c>
    </row>
    <row r="199" spans="1:6">
      <c r="A199" s="88"/>
      <c r="B199" s="88"/>
      <c r="C199" s="88"/>
      <c r="D199" s="88"/>
      <c r="E199" s="4" t="s">
        <v>22</v>
      </c>
      <c r="F199" s="89">
        <v>10500000</v>
      </c>
    </row>
    <row r="200" spans="1:6">
      <c r="A200" s="88"/>
      <c r="B200" s="88"/>
      <c r="C200" s="88"/>
      <c r="D200" s="88"/>
      <c r="E200" s="4" t="s">
        <v>45</v>
      </c>
      <c r="F200" s="89">
        <v>6146100</v>
      </c>
    </row>
    <row r="201" spans="1:6">
      <c r="A201" s="88" t="s">
        <v>635</v>
      </c>
      <c r="B201" s="88"/>
      <c r="C201" s="88"/>
      <c r="D201" s="88"/>
      <c r="E201" s="88"/>
      <c r="F201" s="90">
        <v>41538100</v>
      </c>
    </row>
    <row r="202" spans="1:6">
      <c r="A202" s="88" t="s">
        <v>162</v>
      </c>
      <c r="B202" s="88" t="s">
        <v>163</v>
      </c>
      <c r="C202" s="88" t="s">
        <v>164</v>
      </c>
      <c r="D202" s="88" t="s">
        <v>50</v>
      </c>
      <c r="E202" s="4" t="s">
        <v>33</v>
      </c>
      <c r="F202" s="89">
        <v>3301302</v>
      </c>
    </row>
    <row r="203" spans="1:6">
      <c r="A203" s="88"/>
      <c r="B203" s="88"/>
      <c r="C203" s="88" t="s">
        <v>136</v>
      </c>
      <c r="D203" s="4" t="s">
        <v>50</v>
      </c>
      <c r="E203" s="4" t="s">
        <v>33</v>
      </c>
      <c r="F203" s="89">
        <v>4230488</v>
      </c>
    </row>
    <row r="204" spans="1:6">
      <c r="A204" s="88"/>
      <c r="B204" s="88"/>
      <c r="C204" s="4" t="s">
        <v>165</v>
      </c>
      <c r="D204" s="4" t="s">
        <v>19</v>
      </c>
      <c r="E204" s="4" t="s">
        <v>33</v>
      </c>
      <c r="F204" s="89">
        <v>18003703</v>
      </c>
    </row>
    <row r="205" spans="1:6">
      <c r="A205" s="88"/>
      <c r="B205" s="88"/>
      <c r="C205" s="4"/>
      <c r="D205" s="4"/>
      <c r="E205" s="4" t="s">
        <v>54</v>
      </c>
      <c r="F205" s="89">
        <v>5878000</v>
      </c>
    </row>
    <row r="206" spans="1:6">
      <c r="A206" s="88"/>
      <c r="B206" s="88"/>
      <c r="C206" s="88" t="s">
        <v>51</v>
      </c>
      <c r="D206" s="4" t="s">
        <v>50</v>
      </c>
      <c r="E206" s="4" t="s">
        <v>49</v>
      </c>
      <c r="F206" s="89">
        <v>2749483</v>
      </c>
    </row>
    <row r="207" spans="1:6">
      <c r="A207" s="88"/>
      <c r="B207" s="88"/>
      <c r="C207" s="88"/>
      <c r="D207" s="4"/>
      <c r="E207" s="4" t="s">
        <v>33</v>
      </c>
      <c r="F207" s="89">
        <v>5107815</v>
      </c>
    </row>
    <row r="208" spans="1:6">
      <c r="A208" s="88"/>
      <c r="B208" s="88"/>
      <c r="C208" s="4" t="s">
        <v>52</v>
      </c>
      <c r="D208" s="4" t="s">
        <v>53</v>
      </c>
      <c r="E208" s="4" t="s">
        <v>116</v>
      </c>
      <c r="F208" s="89">
        <v>2500000</v>
      </c>
    </row>
    <row r="209" spans="1:6">
      <c r="A209" s="88"/>
      <c r="B209" s="88"/>
      <c r="C209" s="4"/>
      <c r="D209" s="4"/>
      <c r="E209" s="4" t="s">
        <v>33</v>
      </c>
      <c r="F209" s="89">
        <v>8018843</v>
      </c>
    </row>
    <row r="210" spans="1:6">
      <c r="A210" s="88"/>
      <c r="B210" s="88"/>
      <c r="C210" s="88" t="s">
        <v>81</v>
      </c>
      <c r="D210" s="4" t="s">
        <v>50</v>
      </c>
      <c r="E210" s="4" t="s">
        <v>33</v>
      </c>
      <c r="F210" s="89">
        <v>195548</v>
      </c>
    </row>
    <row r="211" spans="1:6">
      <c r="A211" s="88"/>
      <c r="B211" s="88"/>
      <c r="C211" s="4" t="s">
        <v>48</v>
      </c>
      <c r="D211" s="4" t="s">
        <v>50</v>
      </c>
      <c r="E211" s="4" t="s">
        <v>49</v>
      </c>
      <c r="F211" s="89">
        <v>4476431</v>
      </c>
    </row>
    <row r="212" spans="1:6">
      <c r="A212" s="88"/>
      <c r="B212" s="88"/>
      <c r="C212" s="4"/>
      <c r="D212" s="4"/>
      <c r="E212" s="4" t="s">
        <v>33</v>
      </c>
      <c r="F212" s="89">
        <v>2952874</v>
      </c>
    </row>
    <row r="213" spans="1:6">
      <c r="A213" s="88"/>
      <c r="B213" s="88"/>
      <c r="C213" s="88" t="s">
        <v>127</v>
      </c>
      <c r="D213" s="88" t="s">
        <v>53</v>
      </c>
      <c r="E213" s="4" t="s">
        <v>33</v>
      </c>
      <c r="F213" s="89">
        <v>5030487</v>
      </c>
    </row>
    <row r="214" spans="1:6">
      <c r="A214" s="88" t="s">
        <v>636</v>
      </c>
      <c r="B214" s="88"/>
      <c r="C214" s="88"/>
      <c r="D214" s="88"/>
      <c r="E214" s="88"/>
      <c r="F214" s="90">
        <v>62444974</v>
      </c>
    </row>
    <row r="215" spans="1:6">
      <c r="A215" s="88" t="s">
        <v>166</v>
      </c>
      <c r="B215" s="88" t="s">
        <v>167</v>
      </c>
      <c r="C215" s="88" t="s">
        <v>72</v>
      </c>
      <c r="D215" s="88" t="s">
        <v>31</v>
      </c>
      <c r="E215" s="4" t="s">
        <v>18</v>
      </c>
      <c r="F215" s="89">
        <v>8500000</v>
      </c>
    </row>
    <row r="216" spans="1:6">
      <c r="A216" s="88"/>
      <c r="B216" s="88"/>
      <c r="C216" s="88"/>
      <c r="D216" s="88"/>
      <c r="E216" s="4" t="s">
        <v>30</v>
      </c>
      <c r="F216" s="89">
        <v>12000000</v>
      </c>
    </row>
    <row r="217" spans="1:6">
      <c r="A217" s="88"/>
      <c r="B217" s="88"/>
      <c r="C217" s="88"/>
      <c r="D217" s="88"/>
      <c r="E217" s="4" t="s">
        <v>73</v>
      </c>
      <c r="F217" s="89">
        <v>9000000</v>
      </c>
    </row>
    <row r="218" spans="1:6">
      <c r="A218" s="88"/>
      <c r="B218" s="88"/>
      <c r="C218" s="88"/>
      <c r="D218" s="88"/>
      <c r="E218" s="4" t="s">
        <v>32</v>
      </c>
      <c r="F218" s="89">
        <v>38550000</v>
      </c>
    </row>
    <row r="219" spans="1:6">
      <c r="A219" s="88" t="s">
        <v>637</v>
      </c>
      <c r="B219" s="88"/>
      <c r="C219" s="88"/>
      <c r="D219" s="88"/>
      <c r="E219" s="88"/>
      <c r="F219" s="90">
        <v>68050000</v>
      </c>
    </row>
    <row r="220" spans="1:6">
      <c r="A220" s="88" t="s">
        <v>168</v>
      </c>
      <c r="B220" s="88" t="s">
        <v>169</v>
      </c>
      <c r="C220" s="88" t="s">
        <v>170</v>
      </c>
      <c r="D220" s="88" t="s">
        <v>53</v>
      </c>
      <c r="E220" s="4" t="s">
        <v>13</v>
      </c>
      <c r="F220" s="89">
        <v>5280000</v>
      </c>
    </row>
    <row r="221" spans="1:6">
      <c r="A221" s="88"/>
      <c r="B221" s="88"/>
      <c r="C221" s="88"/>
      <c r="D221" s="88"/>
      <c r="E221" s="4" t="s">
        <v>20</v>
      </c>
      <c r="F221" s="89">
        <v>2000000</v>
      </c>
    </row>
    <row r="222" spans="1:6">
      <c r="A222" s="88"/>
      <c r="B222" s="88"/>
      <c r="C222" s="88"/>
      <c r="D222" s="88"/>
      <c r="E222" s="4" t="s">
        <v>21</v>
      </c>
      <c r="F222" s="89">
        <v>48897500</v>
      </c>
    </row>
    <row r="223" spans="1:6">
      <c r="A223" s="88"/>
      <c r="B223" s="88"/>
      <c r="C223" s="88"/>
      <c r="D223" s="88"/>
      <c r="E223" s="4" t="s">
        <v>22</v>
      </c>
      <c r="F223" s="89">
        <v>9750000</v>
      </c>
    </row>
    <row r="224" spans="1:6">
      <c r="A224" s="88"/>
      <c r="B224" s="88"/>
      <c r="C224" s="88"/>
      <c r="D224" s="88"/>
      <c r="E224" s="4" t="s">
        <v>23</v>
      </c>
      <c r="F224" s="89">
        <v>1098875</v>
      </c>
    </row>
    <row r="225" spans="1:6">
      <c r="A225" s="88"/>
      <c r="B225" s="88"/>
      <c r="C225" s="88"/>
      <c r="D225" s="88"/>
      <c r="E225" s="4" t="s">
        <v>24</v>
      </c>
      <c r="F225" s="89">
        <v>13500000</v>
      </c>
    </row>
    <row r="226" spans="1:6">
      <c r="A226" s="88"/>
      <c r="B226" s="88"/>
      <c r="C226" s="88"/>
      <c r="D226" s="88"/>
      <c r="E226" s="4" t="s">
        <v>142</v>
      </c>
      <c r="F226" s="89">
        <v>6378000</v>
      </c>
    </row>
    <row r="227" spans="1:6">
      <c r="A227" s="88"/>
      <c r="B227" s="88"/>
      <c r="C227" s="88"/>
      <c r="D227" s="88"/>
      <c r="E227" s="4" t="s">
        <v>26</v>
      </c>
      <c r="F227" s="89">
        <v>1750000</v>
      </c>
    </row>
    <row r="228" spans="1:6">
      <c r="A228" s="88"/>
      <c r="B228" s="88"/>
      <c r="C228" s="88"/>
      <c r="D228" s="88"/>
      <c r="E228" s="4" t="s">
        <v>171</v>
      </c>
      <c r="F228" s="89">
        <v>6500000</v>
      </c>
    </row>
    <row r="229" spans="1:6">
      <c r="A229" s="88"/>
      <c r="B229" s="88"/>
      <c r="C229" s="88"/>
      <c r="D229" s="88"/>
      <c r="E229" s="4" t="s">
        <v>98</v>
      </c>
      <c r="F229" s="89">
        <v>4250000</v>
      </c>
    </row>
    <row r="230" spans="1:6">
      <c r="A230" s="88"/>
      <c r="B230" s="88"/>
      <c r="C230" s="88"/>
      <c r="D230" s="88"/>
      <c r="E230" s="4" t="s">
        <v>92</v>
      </c>
      <c r="F230" s="89">
        <v>2750000</v>
      </c>
    </row>
    <row r="231" spans="1:6">
      <c r="A231" s="88" t="s">
        <v>638</v>
      </c>
      <c r="B231" s="88"/>
      <c r="C231" s="88"/>
      <c r="D231" s="88"/>
      <c r="E231" s="88"/>
      <c r="F231" s="90">
        <v>102154375</v>
      </c>
    </row>
    <row r="232" spans="1:6">
      <c r="A232" s="88" t="s">
        <v>172</v>
      </c>
      <c r="B232" s="88" t="s">
        <v>173</v>
      </c>
      <c r="C232" s="88" t="s">
        <v>103</v>
      </c>
      <c r="D232" s="88" t="s">
        <v>43</v>
      </c>
      <c r="E232" s="88" t="s">
        <v>18</v>
      </c>
      <c r="F232" s="89">
        <v>1950000</v>
      </c>
    </row>
    <row r="233" spans="1:6">
      <c r="A233" s="88"/>
      <c r="B233" s="88"/>
      <c r="C233" s="88"/>
      <c r="D233" s="88"/>
      <c r="E233" s="4" t="s">
        <v>13</v>
      </c>
      <c r="F233" s="89">
        <v>17793957.5</v>
      </c>
    </row>
    <row r="234" spans="1:6">
      <c r="A234" s="88"/>
      <c r="B234" s="88"/>
      <c r="C234" s="88"/>
      <c r="D234" s="88"/>
      <c r="E234" s="4" t="s">
        <v>20</v>
      </c>
      <c r="F234" s="89">
        <v>1500000</v>
      </c>
    </row>
    <row r="235" spans="1:6">
      <c r="A235" s="88"/>
      <c r="B235" s="88"/>
      <c r="C235" s="88"/>
      <c r="D235" s="88"/>
      <c r="E235" s="4" t="s">
        <v>21</v>
      </c>
      <c r="F235" s="89">
        <v>45250000</v>
      </c>
    </row>
    <row r="236" spans="1:6">
      <c r="A236" s="88"/>
      <c r="B236" s="88"/>
      <c r="C236" s="88"/>
      <c r="D236" s="88"/>
      <c r="E236" s="4" t="s">
        <v>94</v>
      </c>
      <c r="F236" s="89">
        <v>2850000</v>
      </c>
    </row>
    <row r="237" spans="1:6">
      <c r="A237" s="88"/>
      <c r="B237" s="88"/>
      <c r="C237" s="88"/>
      <c r="D237" s="88"/>
      <c r="E237" s="4" t="s">
        <v>143</v>
      </c>
      <c r="F237" s="89">
        <v>850000</v>
      </c>
    </row>
    <row r="238" spans="1:6">
      <c r="A238" s="88"/>
      <c r="B238" s="88"/>
      <c r="C238" s="88"/>
      <c r="D238" s="88"/>
      <c r="E238" s="4" t="s">
        <v>26</v>
      </c>
      <c r="F238" s="89">
        <v>7500000</v>
      </c>
    </row>
    <row r="239" spans="1:6">
      <c r="A239" s="88"/>
      <c r="B239" s="88"/>
      <c r="C239" s="88"/>
      <c r="D239" s="88"/>
      <c r="E239" s="4" t="s">
        <v>98</v>
      </c>
      <c r="F239" s="89">
        <v>5000000</v>
      </c>
    </row>
    <row r="240" spans="1:6">
      <c r="A240" s="88"/>
      <c r="B240" s="88"/>
      <c r="C240" s="88"/>
      <c r="D240" s="88"/>
      <c r="E240" s="4" t="s">
        <v>104</v>
      </c>
      <c r="F240" s="89">
        <v>9500000</v>
      </c>
    </row>
    <row r="241" spans="1:6">
      <c r="A241" s="88" t="s">
        <v>639</v>
      </c>
      <c r="B241" s="88"/>
      <c r="C241" s="88"/>
      <c r="D241" s="88"/>
      <c r="E241" s="88"/>
      <c r="F241" s="90">
        <v>92193957.5</v>
      </c>
    </row>
    <row r="242" spans="1:6">
      <c r="A242" s="88" t="s">
        <v>174</v>
      </c>
      <c r="B242" s="88" t="s">
        <v>175</v>
      </c>
      <c r="C242" s="4" t="s">
        <v>176</v>
      </c>
      <c r="D242" s="4" t="s">
        <v>53</v>
      </c>
      <c r="E242" s="4" t="s">
        <v>26</v>
      </c>
      <c r="F242" s="89">
        <v>650000</v>
      </c>
    </row>
    <row r="243" spans="1:6">
      <c r="A243" s="88"/>
      <c r="B243" s="88"/>
      <c r="C243" s="88" t="s">
        <v>177</v>
      </c>
      <c r="D243" s="88" t="s">
        <v>135</v>
      </c>
      <c r="E243" s="4" t="s">
        <v>13</v>
      </c>
      <c r="F243" s="89">
        <v>737000</v>
      </c>
    </row>
    <row r="244" spans="1:6">
      <c r="A244" s="88"/>
      <c r="B244" s="88"/>
      <c r="C244" s="88"/>
      <c r="D244" s="88"/>
      <c r="E244" s="4" t="s">
        <v>171</v>
      </c>
      <c r="F244" s="89">
        <v>600000</v>
      </c>
    </row>
    <row r="245" spans="1:6">
      <c r="A245" s="88"/>
      <c r="B245" s="88"/>
      <c r="C245" s="88"/>
      <c r="D245" s="88"/>
      <c r="E245" s="4" t="s">
        <v>155</v>
      </c>
      <c r="F245" s="89">
        <v>11030000</v>
      </c>
    </row>
    <row r="246" spans="1:6">
      <c r="A246" s="88"/>
      <c r="B246" s="88"/>
      <c r="C246" s="88"/>
      <c r="D246" s="88"/>
      <c r="E246" s="4" t="s">
        <v>58</v>
      </c>
      <c r="F246" s="89">
        <v>31050378.5</v>
      </c>
    </row>
    <row r="247" spans="1:6">
      <c r="A247" s="88" t="s">
        <v>640</v>
      </c>
      <c r="B247" s="88"/>
      <c r="C247" s="88"/>
      <c r="D247" s="88"/>
      <c r="E247" s="88"/>
      <c r="F247" s="90">
        <v>44067378.5</v>
      </c>
    </row>
    <row r="248" spans="1:6">
      <c r="A248" s="88" t="s">
        <v>178</v>
      </c>
      <c r="B248" s="88" t="s">
        <v>179</v>
      </c>
      <c r="C248" s="88" t="s">
        <v>180</v>
      </c>
      <c r="D248" s="88" t="s">
        <v>31</v>
      </c>
      <c r="E248" s="4" t="s">
        <v>39</v>
      </c>
      <c r="F248" s="89">
        <v>31441000</v>
      </c>
    </row>
    <row r="249" spans="1:6">
      <c r="A249" s="88"/>
      <c r="B249" s="88"/>
      <c r="C249" s="88"/>
      <c r="D249" s="88"/>
      <c r="E249" s="4" t="s">
        <v>73</v>
      </c>
      <c r="F249" s="89">
        <v>9000000</v>
      </c>
    </row>
    <row r="250" spans="1:6">
      <c r="A250" s="88"/>
      <c r="B250" s="88"/>
      <c r="C250" s="88"/>
      <c r="D250" s="88"/>
      <c r="E250" s="4" t="s">
        <v>32</v>
      </c>
      <c r="F250" s="89">
        <v>37000000</v>
      </c>
    </row>
    <row r="251" spans="1:6">
      <c r="A251" s="88"/>
      <c r="B251" s="88"/>
      <c r="C251" s="88"/>
      <c r="D251" s="88"/>
      <c r="E251" s="4" t="s">
        <v>33</v>
      </c>
      <c r="F251" s="89">
        <v>28177000</v>
      </c>
    </row>
    <row r="252" spans="1:6">
      <c r="A252" s="88" t="s">
        <v>641</v>
      </c>
      <c r="B252" s="88"/>
      <c r="C252" s="88"/>
      <c r="D252" s="88"/>
      <c r="E252" s="88"/>
      <c r="F252" s="90">
        <v>105618000</v>
      </c>
    </row>
    <row r="253" spans="1:6">
      <c r="A253" s="88" t="s">
        <v>181</v>
      </c>
      <c r="B253" s="88" t="s">
        <v>182</v>
      </c>
      <c r="C253" s="4" t="s">
        <v>103</v>
      </c>
      <c r="D253" s="4" t="s">
        <v>43</v>
      </c>
      <c r="E253" s="4" t="s">
        <v>13</v>
      </c>
      <c r="F253" s="89">
        <v>14493957.5</v>
      </c>
    </row>
    <row r="254" spans="1:6">
      <c r="A254" s="88"/>
      <c r="B254" s="88"/>
      <c r="C254" s="4"/>
      <c r="D254" s="4"/>
      <c r="E254" s="4" t="s">
        <v>20</v>
      </c>
      <c r="F254" s="89">
        <v>1500000</v>
      </c>
    </row>
    <row r="255" spans="1:6">
      <c r="A255" s="88"/>
      <c r="B255" s="88"/>
      <c r="C255" s="4"/>
      <c r="D255" s="4"/>
      <c r="E255" s="4" t="s">
        <v>21</v>
      </c>
      <c r="F255" s="89">
        <v>34250000</v>
      </c>
    </row>
    <row r="256" spans="1:6">
      <c r="A256" s="88"/>
      <c r="B256" s="88"/>
      <c r="C256" s="4"/>
      <c r="D256" s="4"/>
      <c r="E256" s="4" t="s">
        <v>94</v>
      </c>
      <c r="F256" s="89">
        <v>2850000</v>
      </c>
    </row>
    <row r="257" spans="1:6">
      <c r="A257" s="88"/>
      <c r="B257" s="88"/>
      <c r="C257" s="4"/>
      <c r="D257" s="4"/>
      <c r="E257" s="4" t="s">
        <v>143</v>
      </c>
      <c r="F257" s="89">
        <v>850000</v>
      </c>
    </row>
    <row r="258" spans="1:6">
      <c r="A258" s="88"/>
      <c r="B258" s="88"/>
      <c r="C258" s="4"/>
      <c r="D258" s="4"/>
      <c r="E258" s="4" t="s">
        <v>26</v>
      </c>
      <c r="F258" s="89">
        <v>5250000</v>
      </c>
    </row>
    <row r="259" spans="1:6">
      <c r="A259" s="88" t="s">
        <v>642</v>
      </c>
      <c r="B259" s="88"/>
      <c r="C259" s="88"/>
      <c r="D259" s="88"/>
      <c r="E259" s="88"/>
      <c r="F259" s="90">
        <v>59193957.5</v>
      </c>
    </row>
    <row r="260" spans="1:6">
      <c r="A260" s="88" t="s">
        <v>183</v>
      </c>
      <c r="B260" s="88" t="s">
        <v>184</v>
      </c>
      <c r="C260" s="88" t="s">
        <v>69</v>
      </c>
      <c r="D260" s="88" t="s">
        <v>31</v>
      </c>
      <c r="E260" s="4" t="s">
        <v>30</v>
      </c>
      <c r="F260" s="89">
        <v>12000000</v>
      </c>
    </row>
    <row r="261" spans="1:6">
      <c r="A261" s="88"/>
      <c r="B261" s="88"/>
      <c r="C261" s="88"/>
      <c r="D261" s="88"/>
      <c r="E261" s="4" t="s">
        <v>39</v>
      </c>
      <c r="F261" s="89">
        <v>31441000</v>
      </c>
    </row>
    <row r="262" spans="1:6">
      <c r="A262" s="88"/>
      <c r="B262" s="88"/>
      <c r="C262" s="88"/>
      <c r="D262" s="88"/>
      <c r="E262" s="4" t="s">
        <v>63</v>
      </c>
      <c r="F262" s="89">
        <v>12000000</v>
      </c>
    </row>
    <row r="263" spans="1:6">
      <c r="A263" s="88" t="s">
        <v>643</v>
      </c>
      <c r="B263" s="88"/>
      <c r="C263" s="88"/>
      <c r="D263" s="88"/>
      <c r="E263" s="88"/>
      <c r="F263" s="90">
        <v>55441000</v>
      </c>
    </row>
    <row r="264" spans="1:6">
      <c r="A264" s="88" t="s">
        <v>185</v>
      </c>
      <c r="B264" s="88" t="s">
        <v>186</v>
      </c>
      <c r="C264" s="88" t="s">
        <v>29</v>
      </c>
      <c r="D264" s="88" t="s">
        <v>31</v>
      </c>
      <c r="E264" s="4" t="s">
        <v>30</v>
      </c>
      <c r="F264" s="89">
        <v>13000000</v>
      </c>
    </row>
    <row r="265" spans="1:6">
      <c r="A265" s="88"/>
      <c r="B265" s="88"/>
      <c r="C265" s="88"/>
      <c r="D265" s="88"/>
      <c r="E265" s="4" t="s">
        <v>32</v>
      </c>
      <c r="F265" s="89">
        <v>79000000</v>
      </c>
    </row>
    <row r="266" spans="1:6">
      <c r="A266" s="88"/>
      <c r="B266" s="88"/>
      <c r="C266" s="88"/>
      <c r="D266" s="88"/>
      <c r="E266" s="4" t="s">
        <v>33</v>
      </c>
      <c r="F266" s="89">
        <v>19693206</v>
      </c>
    </row>
    <row r="267" spans="1:6">
      <c r="A267" s="88"/>
      <c r="B267" s="88"/>
      <c r="C267" s="88"/>
      <c r="D267" s="88"/>
      <c r="E267" s="4" t="s">
        <v>34</v>
      </c>
      <c r="F267" s="89">
        <v>12500000</v>
      </c>
    </row>
    <row r="268" spans="1:6">
      <c r="A268" s="88" t="s">
        <v>644</v>
      </c>
      <c r="B268" s="88"/>
      <c r="C268" s="88"/>
      <c r="D268" s="88"/>
      <c r="E268" s="88"/>
      <c r="F268" s="90">
        <v>124193206</v>
      </c>
    </row>
    <row r="269" spans="1:6">
      <c r="A269" s="88" t="s">
        <v>187</v>
      </c>
      <c r="B269" s="88" t="s">
        <v>188</v>
      </c>
      <c r="C269" s="88" t="s">
        <v>124</v>
      </c>
      <c r="D269" s="88" t="s">
        <v>31</v>
      </c>
      <c r="E269" s="4" t="s">
        <v>30</v>
      </c>
      <c r="F269" s="89">
        <v>27500000</v>
      </c>
    </row>
    <row r="270" spans="1:6">
      <c r="A270" s="88"/>
      <c r="B270" s="88"/>
      <c r="C270" s="88"/>
      <c r="D270" s="88"/>
      <c r="E270" s="4" t="s">
        <v>32</v>
      </c>
      <c r="F270" s="89">
        <v>37500000</v>
      </c>
    </row>
    <row r="271" spans="1:6">
      <c r="A271" s="88" t="s">
        <v>645</v>
      </c>
      <c r="B271" s="88"/>
      <c r="C271" s="88"/>
      <c r="D271" s="88"/>
      <c r="E271" s="88"/>
      <c r="F271" s="90">
        <v>65000000</v>
      </c>
    </row>
    <row r="272" spans="1:6">
      <c r="A272" s="88" t="s">
        <v>189</v>
      </c>
      <c r="B272" s="88" t="s">
        <v>190</v>
      </c>
      <c r="C272" s="4" t="s">
        <v>191</v>
      </c>
      <c r="D272" s="4" t="s">
        <v>53</v>
      </c>
      <c r="E272" s="4" t="s">
        <v>33</v>
      </c>
      <c r="F272" s="89">
        <v>57957448</v>
      </c>
    </row>
    <row r="273" spans="1:6">
      <c r="A273" s="88" t="s">
        <v>646</v>
      </c>
      <c r="B273" s="88"/>
      <c r="C273" s="88"/>
      <c r="D273" s="88"/>
      <c r="E273" s="88"/>
      <c r="F273" s="90">
        <v>57957448</v>
      </c>
    </row>
    <row r="274" spans="1:6">
      <c r="A274" s="88" t="s">
        <v>192</v>
      </c>
      <c r="B274" s="88" t="s">
        <v>193</v>
      </c>
      <c r="C274" s="88" t="s">
        <v>176</v>
      </c>
      <c r="D274" s="88" t="s">
        <v>53</v>
      </c>
      <c r="E274" s="4" t="s">
        <v>18</v>
      </c>
      <c r="F274" s="89">
        <v>2500000</v>
      </c>
    </row>
    <row r="275" spans="1:6">
      <c r="A275" s="88"/>
      <c r="B275" s="88"/>
      <c r="C275" s="88"/>
      <c r="D275" s="88"/>
      <c r="E275" s="4" t="s">
        <v>13</v>
      </c>
      <c r="F275" s="89">
        <v>8140000</v>
      </c>
    </row>
    <row r="276" spans="1:6">
      <c r="A276" s="88"/>
      <c r="B276" s="88"/>
      <c r="C276" s="88"/>
      <c r="D276" s="88"/>
      <c r="E276" s="4" t="s">
        <v>21</v>
      </c>
      <c r="F276" s="89">
        <v>38000000</v>
      </c>
    </row>
    <row r="277" spans="1:6">
      <c r="A277" s="88"/>
      <c r="B277" s="88"/>
      <c r="C277" s="88"/>
      <c r="D277" s="88"/>
      <c r="E277" s="4" t="s">
        <v>194</v>
      </c>
      <c r="F277" s="89">
        <v>3347300</v>
      </c>
    </row>
    <row r="278" spans="1:6">
      <c r="A278" s="88"/>
      <c r="B278" s="88"/>
      <c r="C278" s="88"/>
      <c r="D278" s="88"/>
      <c r="E278" s="4" t="s">
        <v>94</v>
      </c>
      <c r="F278" s="89">
        <v>1850000</v>
      </c>
    </row>
    <row r="279" spans="1:6">
      <c r="A279" s="88"/>
      <c r="B279" s="88"/>
      <c r="C279" s="88"/>
      <c r="D279" s="88"/>
      <c r="E279" s="4" t="s">
        <v>23</v>
      </c>
      <c r="F279" s="89">
        <v>5701828.75</v>
      </c>
    </row>
    <row r="280" spans="1:6">
      <c r="A280" s="88"/>
      <c r="B280" s="88"/>
      <c r="C280" s="88"/>
      <c r="D280" s="88"/>
      <c r="E280" s="4" t="s">
        <v>24</v>
      </c>
      <c r="F280" s="89">
        <v>2030000</v>
      </c>
    </row>
    <row r="281" spans="1:6">
      <c r="A281" s="88"/>
      <c r="B281" s="88"/>
      <c r="C281" s="88"/>
      <c r="D281" s="88"/>
      <c r="E281" s="4" t="s">
        <v>143</v>
      </c>
      <c r="F281" s="89">
        <v>1000000</v>
      </c>
    </row>
    <row r="282" spans="1:6">
      <c r="A282" s="88"/>
      <c r="B282" s="88"/>
      <c r="C282" s="88"/>
      <c r="D282" s="88"/>
      <c r="E282" s="4" t="s">
        <v>26</v>
      </c>
      <c r="F282" s="89">
        <v>24250000</v>
      </c>
    </row>
    <row r="283" spans="1:6">
      <c r="A283" s="88"/>
      <c r="B283" s="88"/>
      <c r="C283" s="88"/>
      <c r="D283" s="88"/>
      <c r="E283" s="4" t="s">
        <v>98</v>
      </c>
      <c r="F283" s="89">
        <v>3000000</v>
      </c>
    </row>
    <row r="284" spans="1:6">
      <c r="A284" s="88" t="s">
        <v>647</v>
      </c>
      <c r="B284" s="88"/>
      <c r="C284" s="88"/>
      <c r="D284" s="88"/>
      <c r="E284" s="88"/>
      <c r="F284" s="90">
        <v>89819128.75</v>
      </c>
    </row>
    <row r="285" spans="1:6">
      <c r="A285" s="88" t="s">
        <v>195</v>
      </c>
      <c r="B285" s="88" t="s">
        <v>196</v>
      </c>
      <c r="C285" s="88" t="s">
        <v>197</v>
      </c>
      <c r="D285" s="4" t="s">
        <v>53</v>
      </c>
      <c r="E285" s="4" t="s">
        <v>49</v>
      </c>
      <c r="F285" s="89">
        <v>2032698</v>
      </c>
    </row>
    <row r="286" spans="1:6">
      <c r="A286" s="88"/>
      <c r="B286" s="88"/>
      <c r="C286" s="88"/>
      <c r="D286" s="4"/>
      <c r="E286" s="4" t="s">
        <v>33</v>
      </c>
      <c r="F286" s="89">
        <v>43750441</v>
      </c>
    </row>
    <row r="287" spans="1:6">
      <c r="A287" s="88" t="s">
        <v>648</v>
      </c>
      <c r="B287" s="88"/>
      <c r="C287" s="88"/>
      <c r="D287" s="88"/>
      <c r="E287" s="88"/>
      <c r="F287" s="90">
        <v>45783139</v>
      </c>
    </row>
    <row r="288" spans="1:6">
      <c r="A288" s="88" t="s">
        <v>198</v>
      </c>
      <c r="B288" s="88" t="s">
        <v>199</v>
      </c>
      <c r="C288" s="88" t="s">
        <v>200</v>
      </c>
      <c r="D288" s="88" t="s">
        <v>31</v>
      </c>
      <c r="E288" s="4" t="s">
        <v>18</v>
      </c>
      <c r="F288" s="89">
        <v>10000000</v>
      </c>
    </row>
    <row r="289" spans="1:6">
      <c r="A289" s="88"/>
      <c r="B289" s="88"/>
      <c r="C289" s="88"/>
      <c r="D289" s="88"/>
      <c r="E289" s="4" t="s">
        <v>24</v>
      </c>
      <c r="F289" s="89">
        <v>6000000</v>
      </c>
    </row>
    <row r="290" spans="1:6">
      <c r="A290" s="88"/>
      <c r="B290" s="88"/>
      <c r="C290" s="88"/>
      <c r="D290" s="88"/>
      <c r="E290" s="4" t="s">
        <v>32</v>
      </c>
      <c r="F290" s="89">
        <v>38650000</v>
      </c>
    </row>
    <row r="291" spans="1:6">
      <c r="A291" s="88"/>
      <c r="B291" s="88"/>
      <c r="C291" s="88"/>
      <c r="D291" s="88"/>
      <c r="E291" s="4" t="s">
        <v>34</v>
      </c>
      <c r="F291" s="89">
        <v>12500000</v>
      </c>
    </row>
    <row r="292" spans="1:6">
      <c r="A292" s="88" t="s">
        <v>649</v>
      </c>
      <c r="B292" s="88"/>
      <c r="C292" s="88"/>
      <c r="D292" s="88"/>
      <c r="E292" s="88"/>
      <c r="F292" s="90">
        <v>67150000</v>
      </c>
    </row>
    <row r="293" spans="1:6">
      <c r="A293" s="88" t="s">
        <v>201</v>
      </c>
      <c r="B293" s="88" t="s">
        <v>202</v>
      </c>
      <c r="C293" s="88" t="s">
        <v>180</v>
      </c>
      <c r="D293" s="88" t="s">
        <v>31</v>
      </c>
      <c r="E293" s="4" t="s">
        <v>39</v>
      </c>
      <c r="F293" s="89">
        <v>31441000</v>
      </c>
    </row>
    <row r="294" spans="1:6">
      <c r="A294" s="88"/>
      <c r="B294" s="88"/>
      <c r="C294" s="88"/>
      <c r="D294" s="88"/>
      <c r="E294" s="4" t="s">
        <v>73</v>
      </c>
      <c r="F294" s="89">
        <v>9000000</v>
      </c>
    </row>
    <row r="295" spans="1:6">
      <c r="A295" s="88"/>
      <c r="B295" s="88"/>
      <c r="C295" s="88"/>
      <c r="D295" s="88"/>
      <c r="E295" s="4" t="s">
        <v>32</v>
      </c>
      <c r="F295" s="89">
        <v>37000000</v>
      </c>
    </row>
    <row r="296" spans="1:6">
      <c r="A296" s="88"/>
      <c r="B296" s="88"/>
      <c r="C296" s="88"/>
      <c r="D296" s="88"/>
      <c r="E296" s="4" t="s">
        <v>33</v>
      </c>
      <c r="F296" s="89">
        <v>28177000</v>
      </c>
    </row>
    <row r="297" spans="1:6">
      <c r="A297" s="88" t="s">
        <v>650</v>
      </c>
      <c r="B297" s="88"/>
      <c r="C297" s="88"/>
      <c r="D297" s="88"/>
      <c r="E297" s="88"/>
      <c r="F297" s="90">
        <v>105618000</v>
      </c>
    </row>
    <row r="298" spans="1:6">
      <c r="A298" s="88" t="s">
        <v>203</v>
      </c>
      <c r="B298" s="88" t="s">
        <v>204</v>
      </c>
      <c r="C298" s="4" t="s">
        <v>205</v>
      </c>
      <c r="D298" s="4" t="s">
        <v>53</v>
      </c>
      <c r="E298" s="4" t="s">
        <v>21</v>
      </c>
      <c r="F298" s="89">
        <v>9750000</v>
      </c>
    </row>
    <row r="299" spans="1:6">
      <c r="A299" s="88"/>
      <c r="B299" s="88"/>
      <c r="C299" s="4" t="s">
        <v>170</v>
      </c>
      <c r="D299" s="4" t="s">
        <v>53</v>
      </c>
      <c r="E299" s="4" t="s">
        <v>13</v>
      </c>
      <c r="F299" s="89">
        <v>5280000</v>
      </c>
    </row>
    <row r="300" spans="1:6">
      <c r="A300" s="88"/>
      <c r="B300" s="88"/>
      <c r="C300" s="4"/>
      <c r="D300" s="4"/>
      <c r="E300" s="4" t="s">
        <v>20</v>
      </c>
      <c r="F300" s="89">
        <v>2000000</v>
      </c>
    </row>
    <row r="301" spans="1:6">
      <c r="A301" s="88"/>
      <c r="B301" s="88"/>
      <c r="C301" s="4"/>
      <c r="D301" s="4"/>
      <c r="E301" s="4" t="s">
        <v>21</v>
      </c>
      <c r="F301" s="89">
        <v>34250000</v>
      </c>
    </row>
    <row r="302" spans="1:6">
      <c r="A302" s="88"/>
      <c r="B302" s="88"/>
      <c r="C302" s="4"/>
      <c r="D302" s="4"/>
      <c r="E302" s="4" t="s">
        <v>22</v>
      </c>
      <c r="F302" s="89">
        <v>9750000</v>
      </c>
    </row>
    <row r="303" spans="1:6">
      <c r="A303" s="88"/>
      <c r="B303" s="88"/>
      <c r="C303" s="4"/>
      <c r="D303" s="4"/>
      <c r="E303" s="4" t="s">
        <v>23</v>
      </c>
      <c r="F303" s="89">
        <v>1098875</v>
      </c>
    </row>
    <row r="304" spans="1:6">
      <c r="A304" s="88"/>
      <c r="B304" s="88"/>
      <c r="C304" s="4"/>
      <c r="D304" s="4"/>
      <c r="E304" s="4" t="s">
        <v>24</v>
      </c>
      <c r="F304" s="89">
        <v>13500000</v>
      </c>
    </row>
    <row r="305" spans="1:6">
      <c r="A305" s="88"/>
      <c r="B305" s="88"/>
      <c r="C305" s="4"/>
      <c r="D305" s="4"/>
      <c r="E305" s="4" t="s">
        <v>142</v>
      </c>
      <c r="F305" s="89">
        <v>6378000</v>
      </c>
    </row>
    <row r="306" spans="1:6">
      <c r="A306" s="88"/>
      <c r="B306" s="88"/>
      <c r="C306" s="4"/>
      <c r="D306" s="4"/>
      <c r="E306" s="4" t="s">
        <v>171</v>
      </c>
      <c r="F306" s="89">
        <v>6500000</v>
      </c>
    </row>
    <row r="307" spans="1:6">
      <c r="A307" s="88"/>
      <c r="B307" s="88"/>
      <c r="C307" s="4"/>
      <c r="D307" s="4"/>
      <c r="E307" s="4" t="s">
        <v>92</v>
      </c>
      <c r="F307" s="89">
        <v>2750000</v>
      </c>
    </row>
    <row r="308" spans="1:6">
      <c r="A308" s="88" t="s">
        <v>651</v>
      </c>
      <c r="B308" s="88"/>
      <c r="C308" s="88"/>
      <c r="D308" s="88"/>
      <c r="E308" s="88"/>
      <c r="F308" s="90">
        <v>91256875</v>
      </c>
    </row>
    <row r="309" spans="1:6">
      <c r="A309" s="88" t="s">
        <v>206</v>
      </c>
      <c r="B309" s="88" t="s">
        <v>207</v>
      </c>
      <c r="C309" s="4" t="s">
        <v>208</v>
      </c>
      <c r="D309" s="4" t="s">
        <v>19</v>
      </c>
      <c r="E309" s="4" t="s">
        <v>18</v>
      </c>
      <c r="F309" s="89">
        <v>1000000</v>
      </c>
    </row>
    <row r="310" spans="1:6">
      <c r="A310" s="88"/>
      <c r="B310" s="88"/>
      <c r="C310" s="4"/>
      <c r="D310" s="4"/>
      <c r="E310" s="4" t="s">
        <v>21</v>
      </c>
      <c r="F310" s="89">
        <v>22000000</v>
      </c>
    </row>
    <row r="311" spans="1:6">
      <c r="A311" s="88"/>
      <c r="B311" s="88"/>
      <c r="C311" s="4"/>
      <c r="D311" s="4"/>
      <c r="E311" s="4" t="s">
        <v>98</v>
      </c>
      <c r="F311" s="89">
        <v>7000000</v>
      </c>
    </row>
    <row r="312" spans="1:6">
      <c r="A312" s="88" t="s">
        <v>652</v>
      </c>
      <c r="B312" s="88"/>
      <c r="C312" s="88"/>
      <c r="D312" s="88"/>
      <c r="E312" s="88"/>
      <c r="F312" s="90">
        <v>30000000</v>
      </c>
    </row>
    <row r="313" spans="1:6">
      <c r="A313" s="88" t="s">
        <v>209</v>
      </c>
      <c r="B313" s="88" t="s">
        <v>210</v>
      </c>
      <c r="C313" s="4" t="s">
        <v>211</v>
      </c>
      <c r="D313" s="4" t="s">
        <v>43</v>
      </c>
      <c r="E313" s="4" t="s">
        <v>18</v>
      </c>
      <c r="F313" s="89">
        <v>1500000</v>
      </c>
    </row>
    <row r="314" spans="1:6">
      <c r="A314" s="88"/>
      <c r="B314" s="88"/>
      <c r="C314" s="4"/>
      <c r="D314" s="4"/>
      <c r="E314" s="4" t="s">
        <v>21</v>
      </c>
      <c r="F314" s="89">
        <v>33250000</v>
      </c>
    </row>
    <row r="315" spans="1:6">
      <c r="A315" s="88"/>
      <c r="B315" s="88"/>
      <c r="C315" s="4"/>
      <c r="D315" s="4"/>
      <c r="E315" s="4" t="s">
        <v>44</v>
      </c>
      <c r="F315" s="89">
        <v>7250000</v>
      </c>
    </row>
    <row r="316" spans="1:6">
      <c r="A316" s="88"/>
      <c r="B316" s="88"/>
      <c r="C316" s="4"/>
      <c r="D316" s="4"/>
      <c r="E316" s="4" t="s">
        <v>24</v>
      </c>
      <c r="F316" s="89">
        <v>4500000</v>
      </c>
    </row>
    <row r="317" spans="1:6">
      <c r="A317" s="88"/>
      <c r="B317" s="88"/>
      <c r="C317" s="4"/>
      <c r="D317" s="4"/>
      <c r="E317" s="4" t="s">
        <v>142</v>
      </c>
      <c r="F317" s="89">
        <v>5250000</v>
      </c>
    </row>
    <row r="318" spans="1:6">
      <c r="A318" s="88"/>
      <c r="B318" s="88"/>
      <c r="C318" s="4"/>
      <c r="D318" s="4"/>
      <c r="E318" s="4" t="s">
        <v>30</v>
      </c>
      <c r="F318" s="89">
        <v>10000000</v>
      </c>
    </row>
    <row r="319" spans="1:6">
      <c r="A319" s="88"/>
      <c r="B319" s="88"/>
      <c r="C319" s="4"/>
      <c r="D319" s="4"/>
      <c r="E319" s="4" t="s">
        <v>26</v>
      </c>
      <c r="F319" s="89">
        <v>6900000</v>
      </c>
    </row>
    <row r="320" spans="1:6">
      <c r="A320" s="88" t="s">
        <v>653</v>
      </c>
      <c r="B320" s="88"/>
      <c r="C320" s="88"/>
      <c r="D320" s="88"/>
      <c r="E320" s="88"/>
      <c r="F320" s="90">
        <v>68650000</v>
      </c>
    </row>
    <row r="321" spans="1:6">
      <c r="A321" s="88" t="s">
        <v>212</v>
      </c>
      <c r="B321" s="88" t="s">
        <v>213</v>
      </c>
      <c r="C321" s="88" t="s">
        <v>214</v>
      </c>
      <c r="D321" s="88" t="s">
        <v>215</v>
      </c>
      <c r="E321" s="4" t="s">
        <v>18</v>
      </c>
      <c r="F321" s="89">
        <v>600000</v>
      </c>
    </row>
    <row r="322" spans="1:6">
      <c r="A322" s="88"/>
      <c r="B322" s="88"/>
      <c r="C322" s="88"/>
      <c r="D322" s="88"/>
      <c r="E322" s="4" t="s">
        <v>13</v>
      </c>
      <c r="F322" s="89">
        <v>550000</v>
      </c>
    </row>
    <row r="323" spans="1:6">
      <c r="A323" s="88"/>
      <c r="B323" s="88"/>
      <c r="C323" s="88"/>
      <c r="D323" s="88"/>
      <c r="E323" s="4" t="s">
        <v>25</v>
      </c>
      <c r="F323" s="89">
        <v>572000</v>
      </c>
    </row>
    <row r="324" spans="1:6">
      <c r="A324" s="88"/>
      <c r="B324" s="88"/>
      <c r="C324" s="88"/>
      <c r="D324" s="88"/>
      <c r="E324" s="4" t="s">
        <v>155</v>
      </c>
      <c r="F324" s="89">
        <v>68809000</v>
      </c>
    </row>
    <row r="325" spans="1:6">
      <c r="A325" s="88"/>
      <c r="B325" s="88"/>
      <c r="C325" s="88"/>
      <c r="D325" s="88"/>
      <c r="E325" s="4" t="s">
        <v>216</v>
      </c>
      <c r="F325" s="89">
        <v>705000</v>
      </c>
    </row>
    <row r="326" spans="1:6">
      <c r="A326" s="88"/>
      <c r="B326" s="88"/>
      <c r="C326" s="88"/>
      <c r="D326" s="88"/>
      <c r="E326" s="4" t="s">
        <v>58</v>
      </c>
      <c r="F326" s="89">
        <v>4636618</v>
      </c>
    </row>
    <row r="327" spans="1:6">
      <c r="A327" s="88" t="s">
        <v>654</v>
      </c>
      <c r="B327" s="88"/>
      <c r="C327" s="88"/>
      <c r="D327" s="88"/>
      <c r="E327" s="88"/>
      <c r="F327" s="90">
        <v>75872618</v>
      </c>
    </row>
    <row r="328" spans="1:6">
      <c r="A328" s="88" t="s">
        <v>217</v>
      </c>
      <c r="B328" s="88" t="s">
        <v>218</v>
      </c>
      <c r="C328" s="88" t="s">
        <v>164</v>
      </c>
      <c r="D328" s="88" t="s">
        <v>50</v>
      </c>
      <c r="E328" s="4" t="s">
        <v>49</v>
      </c>
      <c r="F328" s="89">
        <v>33303029</v>
      </c>
    </row>
    <row r="329" spans="1:6">
      <c r="A329" s="88"/>
      <c r="B329" s="88"/>
      <c r="C329" s="88"/>
      <c r="D329" s="88"/>
      <c r="E329" s="4" t="s">
        <v>33</v>
      </c>
      <c r="F329" s="89">
        <v>25176672</v>
      </c>
    </row>
    <row r="330" spans="1:6">
      <c r="A330" s="88" t="s">
        <v>655</v>
      </c>
      <c r="B330" s="88"/>
      <c r="C330" s="88"/>
      <c r="D330" s="88"/>
      <c r="E330" s="88"/>
      <c r="F330" s="90">
        <v>58479701</v>
      </c>
    </row>
    <row r="331" spans="1:6">
      <c r="A331" s="88" t="s">
        <v>219</v>
      </c>
      <c r="B331" s="88" t="s">
        <v>220</v>
      </c>
      <c r="C331" s="88" t="s">
        <v>208</v>
      </c>
      <c r="D331" s="88" t="s">
        <v>19</v>
      </c>
      <c r="E331" s="4" t="s">
        <v>18</v>
      </c>
      <c r="F331" s="89">
        <v>11250000</v>
      </c>
    </row>
    <row r="332" spans="1:6">
      <c r="A332" s="88"/>
      <c r="B332" s="88"/>
      <c r="C332" s="88"/>
      <c r="D332" s="88"/>
      <c r="E332" s="4" t="s">
        <v>13</v>
      </c>
      <c r="F332" s="89">
        <v>2586000</v>
      </c>
    </row>
    <row r="333" spans="1:6">
      <c r="A333" s="88"/>
      <c r="B333" s="88"/>
      <c r="C333" s="88"/>
      <c r="D333" s="88"/>
      <c r="E333" s="88" t="s">
        <v>21</v>
      </c>
      <c r="F333" s="89">
        <v>22000000</v>
      </c>
    </row>
    <row r="334" spans="1:6">
      <c r="A334" s="88"/>
      <c r="B334" s="88"/>
      <c r="C334" s="88"/>
      <c r="D334" s="88"/>
      <c r="E334" s="4" t="s">
        <v>98</v>
      </c>
      <c r="F334" s="89">
        <v>7000000</v>
      </c>
    </row>
    <row r="335" spans="1:6">
      <c r="A335" s="88" t="s">
        <v>656</v>
      </c>
      <c r="B335" s="88"/>
      <c r="C335" s="88"/>
      <c r="D335" s="88"/>
      <c r="E335" s="88"/>
      <c r="F335" s="90">
        <v>42836000</v>
      </c>
    </row>
    <row r="336" spans="1:6">
      <c r="A336" s="88" t="s">
        <v>221</v>
      </c>
      <c r="B336" s="88" t="s">
        <v>222</v>
      </c>
      <c r="C336" s="88" t="s">
        <v>223</v>
      </c>
      <c r="D336" s="88" t="s">
        <v>43</v>
      </c>
      <c r="E336" s="4" t="s">
        <v>18</v>
      </c>
      <c r="F336" s="89">
        <v>5000000</v>
      </c>
    </row>
    <row r="337" spans="1:6">
      <c r="A337" s="88"/>
      <c r="B337" s="88"/>
      <c r="C337" s="88"/>
      <c r="D337" s="88"/>
      <c r="E337" s="4" t="s">
        <v>21</v>
      </c>
      <c r="F337" s="89">
        <v>30500000</v>
      </c>
    </row>
    <row r="338" spans="1:6">
      <c r="A338" s="88"/>
      <c r="B338" s="88"/>
      <c r="C338" s="88"/>
      <c r="D338" s="88"/>
      <c r="E338" s="4" t="s">
        <v>224</v>
      </c>
      <c r="F338" s="89">
        <v>6000000</v>
      </c>
    </row>
    <row r="339" spans="1:6">
      <c r="A339" s="88"/>
      <c r="B339" s="88"/>
      <c r="C339" s="88"/>
      <c r="D339" s="88"/>
      <c r="E339" s="4" t="s">
        <v>142</v>
      </c>
      <c r="F339" s="89">
        <v>6280500</v>
      </c>
    </row>
    <row r="340" spans="1:6">
      <c r="A340" s="88"/>
      <c r="B340" s="88"/>
      <c r="C340" s="88"/>
      <c r="D340" s="88"/>
      <c r="E340" s="4" t="s">
        <v>110</v>
      </c>
      <c r="F340" s="89">
        <v>20575000</v>
      </c>
    </row>
    <row r="341" spans="1:6">
      <c r="A341" s="88"/>
      <c r="B341" s="88"/>
      <c r="C341" s="88"/>
      <c r="D341" s="88"/>
      <c r="E341" s="4" t="s">
        <v>30</v>
      </c>
      <c r="F341" s="89">
        <v>12000000</v>
      </c>
    </row>
    <row r="342" spans="1:6">
      <c r="A342" s="88"/>
      <c r="B342" s="88"/>
      <c r="C342" s="88"/>
      <c r="D342" s="88"/>
      <c r="E342" s="4" t="s">
        <v>26</v>
      </c>
      <c r="F342" s="89">
        <v>3500000</v>
      </c>
    </row>
    <row r="343" spans="1:6">
      <c r="A343" s="88" t="s">
        <v>657</v>
      </c>
      <c r="B343" s="88"/>
      <c r="C343" s="88"/>
      <c r="D343" s="88"/>
      <c r="E343" s="88"/>
      <c r="F343" s="90">
        <v>83855500</v>
      </c>
    </row>
    <row r="344" spans="1:6">
      <c r="A344" s="88" t="s">
        <v>225</v>
      </c>
      <c r="B344" s="88" t="s">
        <v>226</v>
      </c>
      <c r="C344" s="88" t="s">
        <v>161</v>
      </c>
      <c r="D344" s="88" t="s">
        <v>53</v>
      </c>
      <c r="E344" s="4" t="s">
        <v>9</v>
      </c>
      <c r="F344" s="89">
        <v>6642000</v>
      </c>
    </row>
    <row r="345" spans="1:6">
      <c r="A345" s="88"/>
      <c r="B345" s="88"/>
      <c r="C345" s="88"/>
      <c r="D345" s="88"/>
      <c r="E345" s="4" t="s">
        <v>18</v>
      </c>
      <c r="F345" s="89">
        <v>82000</v>
      </c>
    </row>
    <row r="346" spans="1:6">
      <c r="A346" s="88"/>
      <c r="B346" s="88"/>
      <c r="C346" s="88"/>
      <c r="D346" s="88"/>
      <c r="E346" s="4" t="s">
        <v>13</v>
      </c>
      <c r="F346" s="89">
        <v>1362000</v>
      </c>
    </row>
    <row r="347" spans="1:6">
      <c r="A347" s="88"/>
      <c r="B347" s="88"/>
      <c r="C347" s="88"/>
      <c r="D347" s="88"/>
      <c r="E347" s="4" t="s">
        <v>21</v>
      </c>
      <c r="F347" s="89">
        <v>33500000</v>
      </c>
    </row>
    <row r="348" spans="1:6">
      <c r="A348" s="88"/>
      <c r="B348" s="88"/>
      <c r="C348" s="88"/>
      <c r="D348" s="88"/>
      <c r="E348" s="4" t="s">
        <v>44</v>
      </c>
      <c r="F348" s="89">
        <v>7250000</v>
      </c>
    </row>
    <row r="349" spans="1:6">
      <c r="A349" s="88"/>
      <c r="B349" s="88"/>
      <c r="C349" s="88"/>
      <c r="D349" s="88"/>
      <c r="E349" s="4" t="s">
        <v>22</v>
      </c>
      <c r="F349" s="89">
        <v>10500000</v>
      </c>
    </row>
    <row r="350" spans="1:6">
      <c r="A350" s="88"/>
      <c r="B350" s="88"/>
      <c r="C350" s="88"/>
      <c r="D350" s="88"/>
      <c r="E350" s="4" t="s">
        <v>24</v>
      </c>
      <c r="F350" s="89">
        <v>9000000</v>
      </c>
    </row>
    <row r="351" spans="1:6">
      <c r="A351" s="88"/>
      <c r="B351" s="88"/>
      <c r="C351" s="88"/>
      <c r="D351" s="88"/>
      <c r="E351" s="4" t="s">
        <v>26</v>
      </c>
      <c r="F351" s="89">
        <v>1000000</v>
      </c>
    </row>
    <row r="352" spans="1:6">
      <c r="A352" s="88"/>
      <c r="B352" s="88"/>
      <c r="C352" s="88"/>
      <c r="D352" s="88"/>
      <c r="E352" s="4" t="s">
        <v>227</v>
      </c>
      <c r="F352" s="89">
        <v>1532000</v>
      </c>
    </row>
    <row r="353" spans="1:6">
      <c r="A353" s="88"/>
      <c r="B353" s="88"/>
      <c r="C353" s="88"/>
      <c r="D353" s="88"/>
      <c r="E353" s="4" t="s">
        <v>45</v>
      </c>
      <c r="F353" s="89">
        <v>6146100</v>
      </c>
    </row>
    <row r="354" spans="1:6">
      <c r="A354" s="88" t="s">
        <v>658</v>
      </c>
      <c r="B354" s="88"/>
      <c r="C354" s="88"/>
      <c r="D354" s="88"/>
      <c r="E354" s="88"/>
      <c r="F354" s="90">
        <v>77014100</v>
      </c>
    </row>
    <row r="355" spans="1:6">
      <c r="A355" s="88" t="s">
        <v>228</v>
      </c>
      <c r="B355" s="88" t="s">
        <v>229</v>
      </c>
      <c r="C355" s="88" t="s">
        <v>230</v>
      </c>
      <c r="D355" s="88" t="s">
        <v>19</v>
      </c>
      <c r="E355" s="88" t="s">
        <v>18</v>
      </c>
      <c r="F355" s="89">
        <v>1000000</v>
      </c>
    </row>
    <row r="356" spans="1:6">
      <c r="A356" s="88"/>
      <c r="B356" s="88"/>
      <c r="C356" s="88"/>
      <c r="D356" s="88"/>
      <c r="E356" s="4" t="s">
        <v>13</v>
      </c>
      <c r="F356" s="89">
        <v>935000</v>
      </c>
    </row>
    <row r="357" spans="1:6">
      <c r="A357" s="88"/>
      <c r="B357" s="88"/>
      <c r="C357" s="88"/>
      <c r="D357" s="88"/>
      <c r="E357" s="4" t="s">
        <v>21</v>
      </c>
      <c r="F357" s="89">
        <v>49768519</v>
      </c>
    </row>
    <row r="358" spans="1:6">
      <c r="A358" s="88"/>
      <c r="B358" s="88"/>
      <c r="C358" s="88"/>
      <c r="D358" s="88"/>
      <c r="E358" s="4" t="s">
        <v>142</v>
      </c>
      <c r="F358" s="89">
        <v>11444400</v>
      </c>
    </row>
    <row r="359" spans="1:6">
      <c r="A359" s="88"/>
      <c r="B359" s="88"/>
      <c r="C359" s="88"/>
      <c r="D359" s="88"/>
      <c r="E359" s="4" t="s">
        <v>30</v>
      </c>
      <c r="F359" s="89">
        <v>25500000</v>
      </c>
    </row>
    <row r="360" spans="1:6">
      <c r="A360" s="88"/>
      <c r="B360" s="88"/>
      <c r="C360" s="88"/>
      <c r="D360" s="88"/>
      <c r="E360" s="4" t="s">
        <v>143</v>
      </c>
      <c r="F360" s="89">
        <v>1100000</v>
      </c>
    </row>
    <row r="361" spans="1:6">
      <c r="A361" s="88"/>
      <c r="B361" s="88"/>
      <c r="C361" s="88"/>
      <c r="D361" s="88"/>
      <c r="E361" s="4" t="s">
        <v>26</v>
      </c>
      <c r="F361" s="89">
        <v>2000000</v>
      </c>
    </row>
    <row r="362" spans="1:6">
      <c r="A362" s="88"/>
      <c r="B362" s="88"/>
      <c r="C362" s="88"/>
      <c r="D362" s="88"/>
      <c r="E362" s="4" t="s">
        <v>231</v>
      </c>
      <c r="F362" s="89">
        <v>1000000</v>
      </c>
    </row>
    <row r="363" spans="1:6">
      <c r="A363" s="88"/>
      <c r="B363" s="88"/>
      <c r="C363" s="88"/>
      <c r="D363" s="88"/>
      <c r="E363" s="4" t="s">
        <v>92</v>
      </c>
      <c r="F363" s="89">
        <v>20860000</v>
      </c>
    </row>
    <row r="364" spans="1:6">
      <c r="A364" s="88" t="s">
        <v>659</v>
      </c>
      <c r="B364" s="88"/>
      <c r="C364" s="88"/>
      <c r="D364" s="88"/>
      <c r="E364" s="88"/>
      <c r="F364" s="90">
        <v>113607919</v>
      </c>
    </row>
    <row r="365" spans="1:6">
      <c r="A365" s="88" t="s">
        <v>232</v>
      </c>
      <c r="B365" s="88" t="s">
        <v>233</v>
      </c>
      <c r="C365" s="88" t="s">
        <v>234</v>
      </c>
      <c r="D365" s="88" t="s">
        <v>31</v>
      </c>
      <c r="E365" s="4" t="s">
        <v>18</v>
      </c>
      <c r="F365" s="89">
        <v>12500000</v>
      </c>
    </row>
    <row r="366" spans="1:6">
      <c r="A366" s="88"/>
      <c r="B366" s="88"/>
      <c r="C366" s="88"/>
      <c r="D366" s="88"/>
      <c r="E366" s="4" t="s">
        <v>39</v>
      </c>
      <c r="F366" s="89">
        <v>62882000</v>
      </c>
    </row>
    <row r="367" spans="1:6">
      <c r="A367" s="88"/>
      <c r="B367" s="88"/>
      <c r="C367" s="88"/>
      <c r="D367" s="88"/>
      <c r="E367" s="4" t="s">
        <v>63</v>
      </c>
      <c r="F367" s="89">
        <v>10000000</v>
      </c>
    </row>
    <row r="368" spans="1:6">
      <c r="A368" s="88" t="s">
        <v>660</v>
      </c>
      <c r="B368" s="88"/>
      <c r="C368" s="88"/>
      <c r="D368" s="88"/>
      <c r="E368" s="88"/>
      <c r="F368" s="90">
        <v>85382000</v>
      </c>
    </row>
    <row r="369" spans="1:6">
      <c r="A369" s="88" t="s">
        <v>235</v>
      </c>
      <c r="B369" s="88" t="s">
        <v>236</v>
      </c>
      <c r="C369" s="88" t="s">
        <v>149</v>
      </c>
      <c r="D369" s="4" t="s">
        <v>53</v>
      </c>
      <c r="E369" s="4" t="s">
        <v>21</v>
      </c>
      <c r="F369" s="89">
        <v>21185185</v>
      </c>
    </row>
    <row r="370" spans="1:6">
      <c r="A370" s="88"/>
      <c r="B370" s="88"/>
      <c r="C370" s="88"/>
      <c r="D370" s="4"/>
      <c r="E370" s="4" t="s">
        <v>150</v>
      </c>
      <c r="F370" s="89">
        <v>4436500</v>
      </c>
    </row>
    <row r="371" spans="1:6">
      <c r="A371" s="88"/>
      <c r="B371" s="88"/>
      <c r="C371" s="88"/>
      <c r="D371" s="4"/>
      <c r="E371" s="4" t="s">
        <v>92</v>
      </c>
      <c r="F371" s="89">
        <v>11500000</v>
      </c>
    </row>
    <row r="372" spans="1:6">
      <c r="A372" s="88"/>
      <c r="B372" s="88"/>
      <c r="C372" s="4" t="s">
        <v>151</v>
      </c>
      <c r="D372" s="4" t="s">
        <v>53</v>
      </c>
      <c r="E372" s="4" t="s">
        <v>18</v>
      </c>
      <c r="F372" s="89">
        <v>2220000</v>
      </c>
    </row>
    <row r="373" spans="1:6">
      <c r="A373" s="88"/>
      <c r="B373" s="88"/>
      <c r="C373" s="4"/>
      <c r="D373" s="4"/>
      <c r="E373" s="4" t="s">
        <v>13</v>
      </c>
      <c r="F373" s="89">
        <v>935000</v>
      </c>
    </row>
    <row r="374" spans="1:6">
      <c r="A374" s="88"/>
      <c r="B374" s="88"/>
      <c r="C374" s="4"/>
      <c r="D374" s="4"/>
      <c r="E374" s="4" t="s">
        <v>21</v>
      </c>
      <c r="F374" s="89">
        <v>11000000</v>
      </c>
    </row>
    <row r="375" spans="1:6">
      <c r="A375" s="88"/>
      <c r="B375" s="88"/>
      <c r="C375" s="4"/>
      <c r="D375" s="4"/>
      <c r="E375" s="4" t="s">
        <v>94</v>
      </c>
      <c r="F375" s="89">
        <v>1200000</v>
      </c>
    </row>
    <row r="376" spans="1:6">
      <c r="A376" s="88"/>
      <c r="B376" s="88"/>
      <c r="C376" s="4"/>
      <c r="D376" s="4"/>
      <c r="E376" s="4" t="s">
        <v>23</v>
      </c>
      <c r="F376" s="89">
        <v>3493779.375</v>
      </c>
    </row>
    <row r="377" spans="1:6">
      <c r="A377" s="88"/>
      <c r="B377" s="88"/>
      <c r="C377" s="4"/>
      <c r="D377" s="4"/>
      <c r="E377" s="4" t="s">
        <v>26</v>
      </c>
      <c r="F377" s="89">
        <v>6000000</v>
      </c>
    </row>
    <row r="378" spans="1:6">
      <c r="A378" s="88" t="s">
        <v>661</v>
      </c>
      <c r="B378" s="88"/>
      <c r="C378" s="88"/>
      <c r="D378" s="88"/>
      <c r="E378" s="88"/>
      <c r="F378" s="90">
        <v>61970464.375</v>
      </c>
    </row>
    <row r="379" spans="1:6">
      <c r="A379" s="88" t="s">
        <v>237</v>
      </c>
      <c r="B379" s="88" t="s">
        <v>238</v>
      </c>
      <c r="C379" s="88" t="s">
        <v>200</v>
      </c>
      <c r="D379" s="88" t="s">
        <v>31</v>
      </c>
      <c r="E379" s="4" t="s">
        <v>18</v>
      </c>
      <c r="F379" s="89">
        <v>10000000</v>
      </c>
    </row>
    <row r="380" spans="1:6">
      <c r="A380" s="88"/>
      <c r="B380" s="88"/>
      <c r="C380" s="88"/>
      <c r="D380" s="88"/>
      <c r="E380" s="4" t="s">
        <v>24</v>
      </c>
      <c r="F380" s="89">
        <v>6000000</v>
      </c>
    </row>
    <row r="381" spans="1:6">
      <c r="A381" s="88"/>
      <c r="B381" s="88"/>
      <c r="C381" s="88"/>
      <c r="D381" s="88"/>
      <c r="E381" s="4" t="s">
        <v>32</v>
      </c>
      <c r="F381" s="89">
        <v>38650000</v>
      </c>
    </row>
    <row r="382" spans="1:6">
      <c r="A382" s="88"/>
      <c r="B382" s="88"/>
      <c r="C382" s="88"/>
      <c r="D382" s="88"/>
      <c r="E382" s="4" t="s">
        <v>34</v>
      </c>
      <c r="F382" s="89">
        <v>12500000</v>
      </c>
    </row>
    <row r="383" spans="1:6">
      <c r="A383" s="88" t="s">
        <v>662</v>
      </c>
      <c r="B383" s="88"/>
      <c r="C383" s="88"/>
      <c r="D383" s="88"/>
      <c r="E383" s="88"/>
      <c r="F383" s="90">
        <v>67150000</v>
      </c>
    </row>
    <row r="384" spans="1:6">
      <c r="A384" s="88" t="s">
        <v>239</v>
      </c>
      <c r="B384" s="88" t="s">
        <v>240</v>
      </c>
      <c r="C384" s="88" t="s">
        <v>234</v>
      </c>
      <c r="D384" s="88" t="s">
        <v>31</v>
      </c>
      <c r="E384" s="4" t="s">
        <v>18</v>
      </c>
      <c r="F384" s="89">
        <v>12500000</v>
      </c>
    </row>
    <row r="385" spans="1:6">
      <c r="A385" s="88"/>
      <c r="B385" s="88"/>
      <c r="C385" s="88"/>
      <c r="D385" s="88"/>
      <c r="E385" s="4" t="s">
        <v>39</v>
      </c>
      <c r="F385" s="89">
        <v>62882000</v>
      </c>
    </row>
    <row r="386" spans="1:6">
      <c r="A386" s="88"/>
      <c r="B386" s="88"/>
      <c r="C386" s="88"/>
      <c r="D386" s="88"/>
      <c r="E386" s="4" t="s">
        <v>63</v>
      </c>
      <c r="F386" s="89">
        <v>10000000</v>
      </c>
    </row>
    <row r="387" spans="1:6">
      <c r="A387" s="88" t="s">
        <v>663</v>
      </c>
      <c r="B387" s="88"/>
      <c r="C387" s="88"/>
      <c r="D387" s="88"/>
      <c r="E387" s="88"/>
      <c r="F387" s="90">
        <v>85382000</v>
      </c>
    </row>
    <row r="388" spans="1:6">
      <c r="A388" s="88" t="s">
        <v>241</v>
      </c>
      <c r="B388" s="88" t="s">
        <v>242</v>
      </c>
      <c r="C388" s="88" t="s">
        <v>37</v>
      </c>
      <c r="D388" s="88" t="s">
        <v>31</v>
      </c>
      <c r="E388" s="4" t="s">
        <v>18</v>
      </c>
      <c r="F388" s="89">
        <v>7500000</v>
      </c>
    </row>
    <row r="389" spans="1:6">
      <c r="A389" s="88"/>
      <c r="B389" s="88"/>
      <c r="C389" s="88"/>
      <c r="D389" s="88"/>
      <c r="E389" s="4" t="s">
        <v>150</v>
      </c>
      <c r="F389" s="89">
        <v>1000000</v>
      </c>
    </row>
    <row r="390" spans="1:6">
      <c r="A390" s="88"/>
      <c r="B390" s="88"/>
      <c r="C390" s="88"/>
      <c r="D390" s="88"/>
      <c r="E390" s="4" t="s">
        <v>32</v>
      </c>
      <c r="F390" s="89">
        <v>39050000</v>
      </c>
    </row>
    <row r="391" spans="1:6">
      <c r="A391" s="88" t="s">
        <v>664</v>
      </c>
      <c r="B391" s="88"/>
      <c r="C391" s="88"/>
      <c r="D391" s="88"/>
      <c r="E391" s="88"/>
      <c r="F391" s="90">
        <v>47550000</v>
      </c>
    </row>
    <row r="392" spans="1:6">
      <c r="A392" s="88" t="s">
        <v>243</v>
      </c>
      <c r="B392" s="88" t="s">
        <v>244</v>
      </c>
      <c r="C392" s="88" t="s">
        <v>37</v>
      </c>
      <c r="D392" s="88" t="s">
        <v>31</v>
      </c>
      <c r="E392" s="4" t="s">
        <v>18</v>
      </c>
      <c r="F392" s="89">
        <v>7500000</v>
      </c>
    </row>
    <row r="393" spans="1:6">
      <c r="A393" s="88"/>
      <c r="B393" s="88"/>
      <c r="C393" s="88"/>
      <c r="D393" s="88"/>
      <c r="E393" s="4" t="s">
        <v>150</v>
      </c>
      <c r="F393" s="89">
        <v>1000000</v>
      </c>
    </row>
    <row r="394" spans="1:6">
      <c r="A394" s="88"/>
      <c r="B394" s="88"/>
      <c r="C394" s="88"/>
      <c r="D394" s="88"/>
      <c r="E394" s="4" t="s">
        <v>32</v>
      </c>
      <c r="F394" s="89">
        <v>39050000</v>
      </c>
    </row>
    <row r="395" spans="1:6">
      <c r="A395" s="88" t="s">
        <v>665</v>
      </c>
      <c r="B395" s="88"/>
      <c r="C395" s="88"/>
      <c r="D395" s="88"/>
      <c r="E395" s="88"/>
      <c r="F395" s="90">
        <v>47550000</v>
      </c>
    </row>
    <row r="396" spans="1:6">
      <c r="A396" s="88" t="s">
        <v>245</v>
      </c>
      <c r="B396" s="88" t="s">
        <v>246</v>
      </c>
      <c r="C396" s="4" t="s">
        <v>91</v>
      </c>
      <c r="D396" s="4" t="s">
        <v>19</v>
      </c>
      <c r="E396" s="4" t="s">
        <v>18</v>
      </c>
      <c r="F396" s="89">
        <v>13250000</v>
      </c>
    </row>
    <row r="397" spans="1:6">
      <c r="A397" s="88"/>
      <c r="B397" s="88"/>
      <c r="C397" s="4"/>
      <c r="D397" s="4"/>
      <c r="E397" s="4" t="s">
        <v>247</v>
      </c>
      <c r="F397" s="89">
        <v>1200000</v>
      </c>
    </row>
    <row r="398" spans="1:6">
      <c r="A398" s="88"/>
      <c r="B398" s="88"/>
      <c r="C398" s="4"/>
      <c r="D398" s="4"/>
      <c r="E398" s="4" t="s">
        <v>248</v>
      </c>
      <c r="F398" s="89">
        <v>13750000</v>
      </c>
    </row>
    <row r="399" spans="1:6">
      <c r="A399" s="88"/>
      <c r="B399" s="88"/>
      <c r="C399" s="88" t="s">
        <v>249</v>
      </c>
      <c r="D399" s="88" t="s">
        <v>19</v>
      </c>
      <c r="E399" s="88" t="s">
        <v>21</v>
      </c>
      <c r="F399" s="89">
        <v>35250000</v>
      </c>
    </row>
    <row r="400" spans="1:6">
      <c r="A400" s="88"/>
      <c r="B400" s="88"/>
      <c r="C400" s="88"/>
      <c r="D400" s="88"/>
      <c r="E400" s="4" t="s">
        <v>22</v>
      </c>
      <c r="F400" s="89">
        <v>15500000</v>
      </c>
    </row>
    <row r="401" spans="1:6">
      <c r="A401" s="88" t="s">
        <v>666</v>
      </c>
      <c r="B401" s="88"/>
      <c r="C401" s="88"/>
      <c r="D401" s="88"/>
      <c r="E401" s="88"/>
      <c r="F401" s="90">
        <v>78950000</v>
      </c>
    </row>
    <row r="402" spans="1:6">
      <c r="A402" s="88" t="s">
        <v>250</v>
      </c>
      <c r="B402" s="88" t="s">
        <v>251</v>
      </c>
      <c r="C402" s="88" t="s">
        <v>249</v>
      </c>
      <c r="D402" s="88" t="s">
        <v>19</v>
      </c>
      <c r="E402" s="88" t="s">
        <v>21</v>
      </c>
      <c r="F402" s="89">
        <v>35250000</v>
      </c>
    </row>
    <row r="403" spans="1:6">
      <c r="A403" s="88"/>
      <c r="B403" s="88"/>
      <c r="C403" s="88"/>
      <c r="D403" s="88"/>
      <c r="E403" s="4" t="s">
        <v>22</v>
      </c>
      <c r="F403" s="89">
        <v>15500000</v>
      </c>
    </row>
    <row r="404" spans="1:6">
      <c r="A404" s="88" t="s">
        <v>667</v>
      </c>
      <c r="B404" s="88"/>
      <c r="C404" s="88"/>
      <c r="D404" s="88"/>
      <c r="E404" s="88"/>
      <c r="F404" s="90">
        <v>50750000</v>
      </c>
    </row>
    <row r="405" spans="1:6">
      <c r="A405" s="4" t="s">
        <v>252</v>
      </c>
      <c r="B405" s="4" t="s">
        <v>252</v>
      </c>
      <c r="C405" s="4" t="s">
        <v>252</v>
      </c>
      <c r="D405" s="4" t="s">
        <v>252</v>
      </c>
      <c r="E405" s="4" t="s">
        <v>252</v>
      </c>
      <c r="F405" s="89"/>
    </row>
    <row r="406" spans="1:6">
      <c r="A406" s="4" t="s">
        <v>546</v>
      </c>
      <c r="B406" s="4"/>
      <c r="C406" s="4"/>
      <c r="D406" s="4"/>
      <c r="E406" s="4"/>
      <c r="F406" s="89"/>
    </row>
    <row r="407" spans="1:6">
      <c r="A407" s="4" t="s">
        <v>253</v>
      </c>
      <c r="B407" s="4" t="s">
        <v>254</v>
      </c>
      <c r="C407" s="4" t="s">
        <v>255</v>
      </c>
      <c r="D407" s="4" t="s">
        <v>257</v>
      </c>
      <c r="E407" s="4" t="s">
        <v>256</v>
      </c>
      <c r="F407" s="89">
        <v>146625000</v>
      </c>
    </row>
    <row r="408" spans="1:6">
      <c r="A408" s="4" t="s">
        <v>668</v>
      </c>
      <c r="B408" s="4"/>
      <c r="C408" s="4"/>
      <c r="D408" s="4"/>
      <c r="E408" s="4"/>
      <c r="F408" s="89">
        <v>146625000</v>
      </c>
    </row>
    <row r="409" spans="1:6">
      <c r="A409" s="4" t="s">
        <v>258</v>
      </c>
      <c r="B409" s="4" t="s">
        <v>259</v>
      </c>
      <c r="C409" s="4" t="s">
        <v>260</v>
      </c>
      <c r="D409" s="4" t="s">
        <v>261</v>
      </c>
      <c r="E409" s="4" t="s">
        <v>256</v>
      </c>
      <c r="F409" s="89">
        <v>13156000</v>
      </c>
    </row>
    <row r="410" spans="1:6">
      <c r="A410" s="4"/>
      <c r="B410" s="4"/>
      <c r="C410" s="4" t="s">
        <v>262</v>
      </c>
      <c r="D410" s="4" t="s">
        <v>261</v>
      </c>
      <c r="E410" s="4" t="s">
        <v>256</v>
      </c>
      <c r="F410" s="89">
        <v>84483000</v>
      </c>
    </row>
    <row r="411" spans="1:6">
      <c r="A411" s="4"/>
      <c r="B411" s="4"/>
      <c r="C411" s="4" t="s">
        <v>263</v>
      </c>
      <c r="D411" s="4" t="s">
        <v>261</v>
      </c>
      <c r="E411" s="4" t="s">
        <v>256</v>
      </c>
      <c r="F411" s="89">
        <v>4550000</v>
      </c>
    </row>
    <row r="412" spans="1:6">
      <c r="A412" s="4" t="s">
        <v>669</v>
      </c>
      <c r="B412" s="4"/>
      <c r="C412" s="4"/>
      <c r="D412" s="4"/>
      <c r="E412" s="4"/>
      <c r="F412" s="89">
        <v>102189000</v>
      </c>
    </row>
    <row r="413" spans="1:6">
      <c r="A413" s="4" t="s">
        <v>264</v>
      </c>
      <c r="B413" s="4" t="s">
        <v>265</v>
      </c>
      <c r="C413" s="4" t="s">
        <v>266</v>
      </c>
      <c r="D413" s="4" t="s">
        <v>43</v>
      </c>
      <c r="E413" s="4" t="s">
        <v>18</v>
      </c>
      <c r="F413" s="89">
        <v>5750000</v>
      </c>
    </row>
    <row r="414" spans="1:6">
      <c r="A414" s="4"/>
      <c r="B414" s="4"/>
      <c r="C414" s="4"/>
      <c r="D414" s="4"/>
      <c r="E414" s="4" t="s">
        <v>13</v>
      </c>
      <c r="F414" s="89">
        <v>880000</v>
      </c>
    </row>
    <row r="415" spans="1:6">
      <c r="A415" s="4"/>
      <c r="B415" s="4"/>
      <c r="C415" s="4"/>
      <c r="D415" s="4"/>
      <c r="E415" s="4" t="s">
        <v>21</v>
      </c>
      <c r="F415" s="89">
        <v>30500000</v>
      </c>
    </row>
    <row r="416" spans="1:6">
      <c r="A416" s="4"/>
      <c r="B416" s="4"/>
      <c r="C416" s="4"/>
      <c r="D416" s="4"/>
      <c r="E416" s="4" t="s">
        <v>44</v>
      </c>
      <c r="F416" s="89">
        <v>7250000</v>
      </c>
    </row>
    <row r="417" spans="1:6">
      <c r="A417" s="4"/>
      <c r="B417" s="4"/>
      <c r="C417" s="4"/>
      <c r="D417" s="4"/>
      <c r="E417" s="4" t="s">
        <v>94</v>
      </c>
      <c r="F417" s="89">
        <v>1750000</v>
      </c>
    </row>
    <row r="418" spans="1:6">
      <c r="A418" s="4"/>
      <c r="B418" s="4"/>
      <c r="C418" s="4"/>
      <c r="D418" s="4"/>
      <c r="E418" s="4" t="s">
        <v>22</v>
      </c>
      <c r="F418" s="89">
        <v>5000000</v>
      </c>
    </row>
    <row r="419" spans="1:6">
      <c r="A419" s="4"/>
      <c r="B419" s="4"/>
      <c r="C419" s="4"/>
      <c r="D419" s="4"/>
      <c r="E419" s="4" t="s">
        <v>24</v>
      </c>
      <c r="F419" s="89">
        <v>20500000</v>
      </c>
    </row>
    <row r="420" spans="1:6">
      <c r="A420" s="4"/>
      <c r="B420" s="4"/>
      <c r="C420" s="4"/>
      <c r="D420" s="4"/>
      <c r="E420" s="4" t="s">
        <v>26</v>
      </c>
      <c r="F420" s="89">
        <v>3575000</v>
      </c>
    </row>
    <row r="421" spans="1:6">
      <c r="A421" s="4"/>
      <c r="B421" s="4"/>
      <c r="C421" s="4"/>
      <c r="D421" s="4"/>
      <c r="E421" s="4" t="s">
        <v>267</v>
      </c>
      <c r="F421" s="89">
        <v>2000000</v>
      </c>
    </row>
    <row r="422" spans="1:6">
      <c r="A422" s="4"/>
      <c r="B422" s="4"/>
      <c r="C422" s="4"/>
      <c r="D422" s="4"/>
      <c r="E422" s="4" t="s">
        <v>150</v>
      </c>
      <c r="F422" s="89">
        <v>1807500</v>
      </c>
    </row>
    <row r="423" spans="1:6">
      <c r="A423" s="4" t="s">
        <v>670</v>
      </c>
      <c r="B423" s="4"/>
      <c r="C423" s="4"/>
      <c r="D423" s="4"/>
      <c r="E423" s="4"/>
      <c r="F423" s="89">
        <v>79012500</v>
      </c>
    </row>
    <row r="424" spans="1:6">
      <c r="A424" s="4" t="s">
        <v>268</v>
      </c>
      <c r="B424" s="4" t="s">
        <v>269</v>
      </c>
      <c r="C424" s="4" t="s">
        <v>270</v>
      </c>
      <c r="D424" s="4" t="s">
        <v>19</v>
      </c>
      <c r="E424" s="4" t="s">
        <v>18</v>
      </c>
      <c r="F424" s="89">
        <v>18500000</v>
      </c>
    </row>
    <row r="425" spans="1:6">
      <c r="A425" s="4"/>
      <c r="B425" s="4"/>
      <c r="C425" s="4"/>
      <c r="D425" s="4"/>
      <c r="E425" s="4" t="s">
        <v>21</v>
      </c>
      <c r="F425" s="89">
        <v>20750000</v>
      </c>
    </row>
    <row r="426" spans="1:6">
      <c r="A426" s="4"/>
      <c r="B426" s="4"/>
      <c r="C426" s="4"/>
      <c r="D426" s="4"/>
      <c r="E426" s="4" t="s">
        <v>22</v>
      </c>
      <c r="F426" s="89">
        <v>12500000</v>
      </c>
    </row>
    <row r="427" spans="1:6">
      <c r="A427" s="4"/>
      <c r="B427" s="4"/>
      <c r="C427" s="4"/>
      <c r="D427" s="4"/>
      <c r="E427" s="4" t="s">
        <v>23</v>
      </c>
      <c r="F427" s="89">
        <v>1736695</v>
      </c>
    </row>
    <row r="428" spans="1:6">
      <c r="A428" s="4"/>
      <c r="B428" s="4"/>
      <c r="C428" s="4"/>
      <c r="D428" s="4"/>
      <c r="E428" s="4" t="s">
        <v>24</v>
      </c>
      <c r="F428" s="89">
        <v>13320000</v>
      </c>
    </row>
    <row r="429" spans="1:6">
      <c r="A429" s="4"/>
      <c r="B429" s="4"/>
      <c r="C429" s="4"/>
      <c r="D429" s="4"/>
      <c r="E429" s="4" t="s">
        <v>26</v>
      </c>
      <c r="F429" s="89">
        <v>13910700</v>
      </c>
    </row>
    <row r="430" spans="1:6">
      <c r="A430" s="4"/>
      <c r="B430" s="4"/>
      <c r="C430" s="4"/>
      <c r="D430" s="4"/>
      <c r="E430" s="4" t="s">
        <v>92</v>
      </c>
      <c r="F430" s="89">
        <v>12000000</v>
      </c>
    </row>
    <row r="431" spans="1:6">
      <c r="A431" s="4" t="s">
        <v>671</v>
      </c>
      <c r="B431" s="4"/>
      <c r="C431" s="4"/>
      <c r="D431" s="4"/>
      <c r="E431" s="4"/>
      <c r="F431" s="89">
        <v>92717395</v>
      </c>
    </row>
    <row r="432" spans="1:6">
      <c r="A432" s="4" t="s">
        <v>271</v>
      </c>
      <c r="B432" s="4" t="s">
        <v>272</v>
      </c>
      <c r="C432" s="4" t="s">
        <v>270</v>
      </c>
      <c r="D432" s="4" t="s">
        <v>19</v>
      </c>
      <c r="E432" s="4" t="s">
        <v>18</v>
      </c>
      <c r="F432" s="89">
        <v>18500000</v>
      </c>
    </row>
    <row r="433" spans="1:6">
      <c r="A433" s="4"/>
      <c r="B433" s="4"/>
      <c r="C433" s="4"/>
      <c r="D433" s="4"/>
      <c r="E433" s="4" t="s">
        <v>21</v>
      </c>
      <c r="F433" s="89">
        <v>20750000</v>
      </c>
    </row>
    <row r="434" spans="1:6">
      <c r="A434" s="4"/>
      <c r="B434" s="4"/>
      <c r="C434" s="4"/>
      <c r="D434" s="4"/>
      <c r="E434" s="4" t="s">
        <v>22</v>
      </c>
      <c r="F434" s="89">
        <v>12500000</v>
      </c>
    </row>
    <row r="435" spans="1:6">
      <c r="A435" s="4"/>
      <c r="B435" s="4"/>
      <c r="C435" s="4"/>
      <c r="D435" s="4"/>
      <c r="E435" s="4" t="s">
        <v>23</v>
      </c>
      <c r="F435" s="89">
        <v>1736695</v>
      </c>
    </row>
    <row r="436" spans="1:6">
      <c r="A436" s="4"/>
      <c r="B436" s="4"/>
      <c r="C436" s="4"/>
      <c r="D436" s="4"/>
      <c r="E436" s="4" t="s">
        <v>24</v>
      </c>
      <c r="F436" s="89">
        <v>13320000</v>
      </c>
    </row>
    <row r="437" spans="1:6">
      <c r="A437" s="4"/>
      <c r="B437" s="4"/>
      <c r="C437" s="4"/>
      <c r="D437" s="4"/>
      <c r="E437" s="4" t="s">
        <v>26</v>
      </c>
      <c r="F437" s="89">
        <v>13910700</v>
      </c>
    </row>
    <row r="438" spans="1:6">
      <c r="A438" s="4"/>
      <c r="B438" s="4"/>
      <c r="C438" s="4"/>
      <c r="D438" s="4"/>
      <c r="E438" s="4" t="s">
        <v>92</v>
      </c>
      <c r="F438" s="89">
        <v>12000000</v>
      </c>
    </row>
    <row r="439" spans="1:6">
      <c r="A439" s="4" t="s">
        <v>672</v>
      </c>
      <c r="B439" s="4"/>
      <c r="C439" s="4"/>
      <c r="D439" s="4"/>
      <c r="E439" s="4"/>
      <c r="F439" s="89">
        <v>92717395</v>
      </c>
    </row>
    <row r="440" spans="1:6">
      <c r="A440" s="4" t="s">
        <v>273</v>
      </c>
      <c r="B440" s="4" t="s">
        <v>274</v>
      </c>
      <c r="C440" s="4" t="s">
        <v>275</v>
      </c>
      <c r="D440" s="4" t="s">
        <v>53</v>
      </c>
      <c r="E440" s="4" t="s">
        <v>18</v>
      </c>
      <c r="F440" s="89">
        <v>1500000</v>
      </c>
    </row>
    <row r="441" spans="1:6">
      <c r="A441" s="4"/>
      <c r="B441" s="4"/>
      <c r="C441" s="4"/>
      <c r="D441" s="4"/>
      <c r="E441" s="4" t="s">
        <v>21</v>
      </c>
      <c r="F441" s="89">
        <v>20750000</v>
      </c>
    </row>
    <row r="442" spans="1:6">
      <c r="A442" s="4"/>
      <c r="B442" s="4"/>
      <c r="C442" s="4"/>
      <c r="D442" s="4"/>
      <c r="E442" s="4" t="s">
        <v>142</v>
      </c>
      <c r="F442" s="89">
        <v>17380000</v>
      </c>
    </row>
    <row r="443" spans="1:6">
      <c r="A443" s="4"/>
      <c r="B443" s="4"/>
      <c r="C443" s="4"/>
      <c r="D443" s="4"/>
      <c r="E443" s="4" t="s">
        <v>26</v>
      </c>
      <c r="F443" s="89">
        <v>4850000</v>
      </c>
    </row>
    <row r="444" spans="1:6">
      <c r="A444" s="4"/>
      <c r="B444" s="4"/>
      <c r="C444" s="4"/>
      <c r="D444" s="4"/>
      <c r="E444" s="4" t="s">
        <v>88</v>
      </c>
      <c r="F444" s="89">
        <v>4000000</v>
      </c>
    </row>
    <row r="445" spans="1:6">
      <c r="A445" s="4"/>
      <c r="B445" s="4"/>
      <c r="C445" s="4"/>
      <c r="D445" s="4"/>
      <c r="E445" s="4" t="s">
        <v>92</v>
      </c>
      <c r="F445" s="89">
        <v>1400000</v>
      </c>
    </row>
    <row r="446" spans="1:6">
      <c r="A446" s="4"/>
      <c r="B446" s="4"/>
      <c r="C446" s="4" t="s">
        <v>276</v>
      </c>
      <c r="D446" s="4" t="s">
        <v>53</v>
      </c>
      <c r="E446" s="4" t="s">
        <v>18</v>
      </c>
      <c r="F446" s="89">
        <v>1500000</v>
      </c>
    </row>
    <row r="447" spans="1:6">
      <c r="A447" s="4"/>
      <c r="B447" s="4"/>
      <c r="C447" s="4"/>
      <c r="D447" s="4"/>
      <c r="E447" s="4" t="s">
        <v>21</v>
      </c>
      <c r="F447" s="89">
        <v>19981481.5</v>
      </c>
    </row>
    <row r="448" spans="1:6">
      <c r="A448" s="4"/>
      <c r="B448" s="4"/>
      <c r="C448" s="4"/>
      <c r="D448" s="4"/>
      <c r="E448" s="4" t="s">
        <v>24</v>
      </c>
      <c r="F448" s="89">
        <v>11950000</v>
      </c>
    </row>
    <row r="449" spans="1:6">
      <c r="A449" s="4" t="s">
        <v>673</v>
      </c>
      <c r="B449" s="4"/>
      <c r="C449" s="4"/>
      <c r="D449" s="4"/>
      <c r="E449" s="4"/>
      <c r="F449" s="89">
        <v>83311481.5</v>
      </c>
    </row>
    <row r="450" spans="1:6">
      <c r="A450" s="4" t="s">
        <v>277</v>
      </c>
      <c r="B450" s="4" t="s">
        <v>278</v>
      </c>
      <c r="C450" s="4" t="s">
        <v>158</v>
      </c>
      <c r="D450" s="4" t="s">
        <v>53</v>
      </c>
      <c r="E450" s="4" t="s">
        <v>18</v>
      </c>
      <c r="F450" s="89">
        <v>20500000</v>
      </c>
    </row>
    <row r="451" spans="1:6">
      <c r="A451" s="4"/>
      <c r="B451" s="4"/>
      <c r="C451" s="4"/>
      <c r="D451" s="4"/>
      <c r="E451" s="4" t="s">
        <v>13</v>
      </c>
      <c r="F451" s="89">
        <v>1842500</v>
      </c>
    </row>
    <row r="452" spans="1:6">
      <c r="A452" s="4"/>
      <c r="B452" s="4"/>
      <c r="C452" s="4"/>
      <c r="D452" s="4"/>
      <c r="E452" s="4" t="s">
        <v>21</v>
      </c>
      <c r="F452" s="89">
        <v>23250000</v>
      </c>
    </row>
    <row r="453" spans="1:6">
      <c r="A453" s="4"/>
      <c r="B453" s="4"/>
      <c r="C453" s="4"/>
      <c r="D453" s="4"/>
      <c r="E453" s="4" t="s">
        <v>44</v>
      </c>
      <c r="F453" s="89">
        <v>7750000</v>
      </c>
    </row>
    <row r="454" spans="1:6">
      <c r="A454" s="4"/>
      <c r="B454" s="4"/>
      <c r="C454" s="4"/>
      <c r="D454" s="4"/>
      <c r="E454" s="4" t="s">
        <v>94</v>
      </c>
      <c r="F454" s="89">
        <v>5750000</v>
      </c>
    </row>
    <row r="455" spans="1:6">
      <c r="A455" s="4"/>
      <c r="B455" s="4"/>
      <c r="C455" s="4"/>
      <c r="D455" s="4"/>
      <c r="E455" s="4" t="s">
        <v>30</v>
      </c>
      <c r="F455" s="89">
        <v>5000000</v>
      </c>
    </row>
    <row r="456" spans="1:6">
      <c r="A456" s="4"/>
      <c r="B456" s="4"/>
      <c r="C456" s="4"/>
      <c r="D456" s="4"/>
      <c r="E456" s="4" t="s">
        <v>26</v>
      </c>
      <c r="F456" s="89">
        <v>12050000</v>
      </c>
    </row>
    <row r="457" spans="1:6">
      <c r="A457" s="4" t="s">
        <v>674</v>
      </c>
      <c r="B457" s="4"/>
      <c r="C457" s="4"/>
      <c r="D457" s="4"/>
      <c r="E457" s="4"/>
      <c r="F457" s="89">
        <v>76142500</v>
      </c>
    </row>
    <row r="458" spans="1:6">
      <c r="A458" s="4" t="s">
        <v>279</v>
      </c>
      <c r="B458" s="4" t="s">
        <v>280</v>
      </c>
      <c r="C458" s="4" t="s">
        <v>275</v>
      </c>
      <c r="D458" s="4" t="s">
        <v>53</v>
      </c>
      <c r="E458" s="4" t="s">
        <v>30</v>
      </c>
      <c r="F458" s="89">
        <v>11000000</v>
      </c>
    </row>
    <row r="459" spans="1:6">
      <c r="A459" s="4" t="s">
        <v>675</v>
      </c>
      <c r="B459" s="4"/>
      <c r="C459" s="4"/>
      <c r="D459" s="4"/>
      <c r="E459" s="4"/>
      <c r="F459" s="89">
        <v>11000000</v>
      </c>
    </row>
    <row r="460" spans="1:6">
      <c r="A460" s="4" t="s">
        <v>281</v>
      </c>
      <c r="B460" s="4" t="s">
        <v>282</v>
      </c>
      <c r="C460" s="4" t="s">
        <v>119</v>
      </c>
      <c r="D460" s="4" t="s">
        <v>53</v>
      </c>
      <c r="E460" s="4" t="s">
        <v>18</v>
      </c>
      <c r="F460" s="89">
        <v>2000000</v>
      </c>
    </row>
    <row r="461" spans="1:6">
      <c r="A461" s="4"/>
      <c r="B461" s="4"/>
      <c r="C461" s="4"/>
      <c r="D461" s="4"/>
      <c r="E461" s="4" t="s">
        <v>21</v>
      </c>
      <c r="F461" s="89">
        <v>1000000</v>
      </c>
    </row>
    <row r="462" spans="1:6">
      <c r="A462" s="4"/>
      <c r="B462" s="4"/>
      <c r="C462" s="4"/>
      <c r="D462" s="4"/>
      <c r="E462" s="4" t="s">
        <v>247</v>
      </c>
      <c r="F462" s="89">
        <v>1750000</v>
      </c>
    </row>
    <row r="463" spans="1:6">
      <c r="A463" s="4"/>
      <c r="B463" s="4"/>
      <c r="C463" s="4"/>
      <c r="D463" s="4"/>
      <c r="E463" s="4" t="s">
        <v>92</v>
      </c>
      <c r="F463" s="89">
        <v>4500000</v>
      </c>
    </row>
    <row r="464" spans="1:6">
      <c r="A464" s="4"/>
      <c r="B464" s="4"/>
      <c r="C464" s="4" t="s">
        <v>230</v>
      </c>
      <c r="D464" s="4" t="s">
        <v>19</v>
      </c>
      <c r="E464" s="4" t="s">
        <v>21</v>
      </c>
      <c r="F464" s="89">
        <v>10185185</v>
      </c>
    </row>
    <row r="465" spans="1:6">
      <c r="A465" s="4"/>
      <c r="B465" s="4"/>
      <c r="C465" s="4" t="s">
        <v>283</v>
      </c>
      <c r="D465" s="4" t="s">
        <v>19</v>
      </c>
      <c r="E465" s="4" t="s">
        <v>20</v>
      </c>
      <c r="F465" s="89">
        <v>1250000</v>
      </c>
    </row>
    <row r="466" spans="1:6">
      <c r="A466" s="4"/>
      <c r="B466" s="4"/>
      <c r="C466" s="4"/>
      <c r="D466" s="4"/>
      <c r="E466" s="4" t="s">
        <v>143</v>
      </c>
      <c r="F466" s="89">
        <v>1000000</v>
      </c>
    </row>
    <row r="467" spans="1:6">
      <c r="A467" s="4"/>
      <c r="B467" s="4"/>
      <c r="C467" s="4"/>
      <c r="D467" s="4"/>
      <c r="E467" s="4" t="s">
        <v>92</v>
      </c>
      <c r="F467" s="89">
        <v>11250000</v>
      </c>
    </row>
    <row r="468" spans="1:6">
      <c r="A468" s="4"/>
      <c r="B468" s="4"/>
      <c r="C468" s="4" t="s">
        <v>276</v>
      </c>
      <c r="D468" s="4" t="s">
        <v>53</v>
      </c>
      <c r="E468" s="4" t="s">
        <v>24</v>
      </c>
      <c r="F468" s="89">
        <v>9000000</v>
      </c>
    </row>
    <row r="469" spans="1:6">
      <c r="A469" s="4" t="s">
        <v>676</v>
      </c>
      <c r="B469" s="4"/>
      <c r="C469" s="4"/>
      <c r="D469" s="4"/>
      <c r="E469" s="4"/>
      <c r="F469" s="89">
        <v>41935185</v>
      </c>
    </row>
    <row r="470" spans="1:6">
      <c r="A470" s="4" t="s">
        <v>284</v>
      </c>
      <c r="B470" s="4" t="s">
        <v>285</v>
      </c>
      <c r="C470" s="4" t="s">
        <v>286</v>
      </c>
      <c r="D470" s="4" t="s">
        <v>53</v>
      </c>
      <c r="E470" s="4" t="s">
        <v>18</v>
      </c>
      <c r="F470" s="89">
        <v>7225000</v>
      </c>
    </row>
    <row r="471" spans="1:6">
      <c r="A471" s="4"/>
      <c r="B471" s="4"/>
      <c r="C471" s="4"/>
      <c r="D471" s="4"/>
      <c r="E471" s="4" t="s">
        <v>20</v>
      </c>
      <c r="F471" s="89">
        <v>3950000</v>
      </c>
    </row>
    <row r="472" spans="1:6">
      <c r="A472" s="4"/>
      <c r="B472" s="4"/>
      <c r="C472" s="4"/>
      <c r="D472" s="4"/>
      <c r="E472" s="4" t="s">
        <v>21</v>
      </c>
      <c r="F472" s="89">
        <v>33000000</v>
      </c>
    </row>
    <row r="473" spans="1:6">
      <c r="A473" s="4"/>
      <c r="B473" s="4"/>
      <c r="C473" s="4"/>
      <c r="D473" s="4"/>
      <c r="E473" s="4" t="s">
        <v>23</v>
      </c>
      <c r="F473" s="89">
        <v>5000000</v>
      </c>
    </row>
    <row r="474" spans="1:6">
      <c r="A474" s="4"/>
      <c r="B474" s="4"/>
      <c r="C474" s="4"/>
      <c r="D474" s="4"/>
      <c r="E474" s="4" t="s">
        <v>24</v>
      </c>
      <c r="F474" s="89">
        <v>3000000</v>
      </c>
    </row>
    <row r="475" spans="1:6">
      <c r="A475" s="4"/>
      <c r="B475" s="4"/>
      <c r="C475" s="4"/>
      <c r="D475" s="4"/>
      <c r="E475" s="4" t="s">
        <v>142</v>
      </c>
      <c r="F475" s="89">
        <v>750000</v>
      </c>
    </row>
    <row r="476" spans="1:6">
      <c r="A476" s="4"/>
      <c r="B476" s="4"/>
      <c r="C476" s="4"/>
      <c r="D476" s="4"/>
      <c r="E476" s="4" t="s">
        <v>287</v>
      </c>
      <c r="F476" s="89">
        <v>7500000</v>
      </c>
    </row>
    <row r="477" spans="1:6">
      <c r="A477" s="4"/>
      <c r="B477" s="4"/>
      <c r="C477" s="4"/>
      <c r="D477" s="4"/>
      <c r="E477" s="4" t="s">
        <v>26</v>
      </c>
      <c r="F477" s="89">
        <v>22200000</v>
      </c>
    </row>
    <row r="478" spans="1:6">
      <c r="A478" s="4"/>
      <c r="B478" s="4"/>
      <c r="C478" s="4"/>
      <c r="D478" s="4"/>
      <c r="E478" s="4" t="s">
        <v>247</v>
      </c>
      <c r="F478" s="89">
        <v>1000000</v>
      </c>
    </row>
    <row r="479" spans="1:6">
      <c r="A479" s="4"/>
      <c r="B479" s="4"/>
      <c r="C479" s="4"/>
      <c r="D479" s="4"/>
      <c r="E479" s="4" t="s">
        <v>92</v>
      </c>
      <c r="F479" s="89">
        <v>1750000</v>
      </c>
    </row>
    <row r="480" spans="1:6">
      <c r="A480" s="4" t="s">
        <v>677</v>
      </c>
      <c r="B480" s="4"/>
      <c r="C480" s="4"/>
      <c r="D480" s="4"/>
      <c r="E480" s="4"/>
      <c r="F480" s="89">
        <v>85375000</v>
      </c>
    </row>
    <row r="481" spans="1:6">
      <c r="A481" s="4" t="s">
        <v>288</v>
      </c>
      <c r="B481" s="4" t="s">
        <v>289</v>
      </c>
      <c r="C481" s="4" t="s">
        <v>290</v>
      </c>
      <c r="D481" s="4" t="s">
        <v>53</v>
      </c>
      <c r="E481" s="4" t="s">
        <v>13</v>
      </c>
      <c r="F481" s="89">
        <v>5575000</v>
      </c>
    </row>
    <row r="482" spans="1:6">
      <c r="A482" s="4"/>
      <c r="B482" s="4"/>
      <c r="C482" s="4"/>
      <c r="D482" s="4"/>
      <c r="E482" s="4" t="s">
        <v>21</v>
      </c>
      <c r="F482" s="89">
        <v>23750000</v>
      </c>
    </row>
    <row r="483" spans="1:6">
      <c r="A483" s="4"/>
      <c r="B483" s="4"/>
      <c r="C483" s="4"/>
      <c r="D483" s="4"/>
      <c r="E483" s="4" t="s">
        <v>44</v>
      </c>
      <c r="F483" s="89">
        <v>7250000</v>
      </c>
    </row>
    <row r="484" spans="1:6">
      <c r="A484" s="4"/>
      <c r="B484" s="4"/>
      <c r="C484" s="4"/>
      <c r="D484" s="4"/>
      <c r="E484" s="4" t="s">
        <v>94</v>
      </c>
      <c r="F484" s="89">
        <v>1600000</v>
      </c>
    </row>
    <row r="485" spans="1:6">
      <c r="A485" s="4"/>
      <c r="B485" s="4"/>
      <c r="C485" s="4"/>
      <c r="D485" s="4"/>
      <c r="E485" s="4" t="s">
        <v>22</v>
      </c>
      <c r="F485" s="89">
        <v>12500000</v>
      </c>
    </row>
    <row r="486" spans="1:6">
      <c r="A486" s="4"/>
      <c r="B486" s="4"/>
      <c r="C486" s="4"/>
      <c r="D486" s="4"/>
      <c r="E486" s="4" t="s">
        <v>24</v>
      </c>
      <c r="F486" s="89">
        <v>4500000</v>
      </c>
    </row>
    <row r="487" spans="1:6">
      <c r="A487" s="4"/>
      <c r="B487" s="4"/>
      <c r="C487" s="4"/>
      <c r="D487" s="4"/>
      <c r="E487" s="4" t="s">
        <v>26</v>
      </c>
      <c r="F487" s="89">
        <v>12400000</v>
      </c>
    </row>
    <row r="488" spans="1:6">
      <c r="A488" s="4"/>
      <c r="B488" s="4"/>
      <c r="C488" s="4"/>
      <c r="D488" s="4"/>
      <c r="E488" s="4" t="s">
        <v>45</v>
      </c>
      <c r="F488" s="89">
        <v>2352200.5</v>
      </c>
    </row>
    <row r="489" spans="1:6">
      <c r="A489" s="4" t="s">
        <v>678</v>
      </c>
      <c r="B489" s="4"/>
      <c r="C489" s="4"/>
      <c r="D489" s="4"/>
      <c r="E489" s="4"/>
      <c r="F489" s="89">
        <v>69927200.5</v>
      </c>
    </row>
    <row r="490" spans="1:6">
      <c r="A490" s="4" t="s">
        <v>331</v>
      </c>
      <c r="B490" s="4" t="s">
        <v>332</v>
      </c>
      <c r="C490" s="4" t="s">
        <v>275</v>
      </c>
      <c r="D490" s="4" t="s">
        <v>53</v>
      </c>
      <c r="E490" s="4" t="s">
        <v>30</v>
      </c>
      <c r="F490" s="89">
        <v>11000000</v>
      </c>
    </row>
    <row r="491" spans="1:6">
      <c r="A491" s="4" t="s">
        <v>679</v>
      </c>
      <c r="B491" s="4"/>
      <c r="C491" s="4"/>
      <c r="D491" s="4"/>
      <c r="E491" s="4"/>
      <c r="F491" s="89">
        <v>11000000</v>
      </c>
    </row>
    <row r="492" spans="1:6">
      <c r="A492" s="4" t="s">
        <v>291</v>
      </c>
      <c r="B492" s="4" t="s">
        <v>292</v>
      </c>
      <c r="C492" s="4" t="s">
        <v>293</v>
      </c>
      <c r="D492" s="4" t="s">
        <v>53</v>
      </c>
      <c r="E492" s="4" t="s">
        <v>18</v>
      </c>
      <c r="F492" s="89">
        <v>8700000</v>
      </c>
    </row>
    <row r="493" spans="1:6">
      <c r="A493" s="4"/>
      <c r="B493" s="4"/>
      <c r="C493" s="4"/>
      <c r="D493" s="4"/>
      <c r="E493" s="4" t="s">
        <v>13</v>
      </c>
      <c r="F493" s="89">
        <v>7012500</v>
      </c>
    </row>
    <row r="494" spans="1:6">
      <c r="A494" s="4"/>
      <c r="B494" s="4"/>
      <c r="C494" s="4"/>
      <c r="D494" s="4"/>
      <c r="E494" s="4" t="s">
        <v>21</v>
      </c>
      <c r="F494" s="89">
        <v>35000000</v>
      </c>
    </row>
    <row r="495" spans="1:6">
      <c r="A495" s="4"/>
      <c r="B495" s="4"/>
      <c r="C495" s="4"/>
      <c r="D495" s="4"/>
      <c r="E495" s="4" t="s">
        <v>22</v>
      </c>
      <c r="F495" s="89">
        <v>10500000</v>
      </c>
    </row>
    <row r="496" spans="1:6">
      <c r="A496" s="4"/>
      <c r="B496" s="4"/>
      <c r="C496" s="4"/>
      <c r="D496" s="4"/>
      <c r="E496" s="4" t="s">
        <v>23</v>
      </c>
      <c r="F496" s="89">
        <v>7123648.375</v>
      </c>
    </row>
    <row r="497" spans="1:6">
      <c r="A497" s="4"/>
      <c r="B497" s="4"/>
      <c r="C497" s="4"/>
      <c r="D497" s="4"/>
      <c r="E497" s="4" t="s">
        <v>24</v>
      </c>
      <c r="F497" s="89">
        <v>9000000</v>
      </c>
    </row>
    <row r="498" spans="1:6">
      <c r="A498" s="4"/>
      <c r="B498" s="4"/>
      <c r="C498" s="4"/>
      <c r="D498" s="4"/>
      <c r="E498" s="4" t="s">
        <v>143</v>
      </c>
      <c r="F498" s="89">
        <v>2000000</v>
      </c>
    </row>
    <row r="499" spans="1:6">
      <c r="A499" s="4"/>
      <c r="B499" s="4"/>
      <c r="C499" s="4"/>
      <c r="D499" s="4"/>
      <c r="E499" s="4" t="s">
        <v>287</v>
      </c>
      <c r="F499" s="89">
        <v>7000000</v>
      </c>
    </row>
    <row r="500" spans="1:6">
      <c r="A500" s="4"/>
      <c r="B500" s="4"/>
      <c r="C500" s="4"/>
      <c r="D500" s="4"/>
      <c r="E500" s="4" t="s">
        <v>26</v>
      </c>
      <c r="F500" s="89">
        <v>3600000</v>
      </c>
    </row>
    <row r="501" spans="1:6">
      <c r="A501" s="4"/>
      <c r="B501" s="4"/>
      <c r="C501" s="4"/>
      <c r="D501" s="4"/>
      <c r="E501" s="4" t="s">
        <v>171</v>
      </c>
      <c r="F501" s="89">
        <v>1200000</v>
      </c>
    </row>
    <row r="502" spans="1:6">
      <c r="A502" s="4"/>
      <c r="B502" s="4"/>
      <c r="C502" s="4"/>
      <c r="D502" s="4"/>
      <c r="E502" s="4" t="s">
        <v>150</v>
      </c>
      <c r="F502" s="89">
        <v>7000000</v>
      </c>
    </row>
    <row r="503" spans="1:6">
      <c r="A503" s="4"/>
      <c r="B503" s="4"/>
      <c r="C503" s="4"/>
      <c r="D503" s="4"/>
      <c r="E503" s="4" t="s">
        <v>112</v>
      </c>
      <c r="F503" s="89">
        <v>2250000</v>
      </c>
    </row>
    <row r="504" spans="1:6">
      <c r="A504" s="4"/>
      <c r="B504" s="4"/>
      <c r="C504" s="4"/>
      <c r="D504" s="4"/>
      <c r="E504" s="4" t="s">
        <v>92</v>
      </c>
      <c r="F504" s="89">
        <v>4500000</v>
      </c>
    </row>
    <row r="505" spans="1:6">
      <c r="A505" s="4" t="s">
        <v>680</v>
      </c>
      <c r="B505" s="4"/>
      <c r="C505" s="4"/>
      <c r="D505" s="4"/>
      <c r="E505" s="4"/>
      <c r="F505" s="89">
        <v>104886148.375</v>
      </c>
    </row>
    <row r="506" spans="1:6">
      <c r="A506" s="4" t="s">
        <v>294</v>
      </c>
      <c r="B506" s="4" t="s">
        <v>295</v>
      </c>
      <c r="C506" s="4" t="s">
        <v>293</v>
      </c>
      <c r="D506" s="4" t="s">
        <v>53</v>
      </c>
      <c r="E506" s="4" t="s">
        <v>18</v>
      </c>
      <c r="F506" s="89">
        <v>8700000</v>
      </c>
    </row>
    <row r="507" spans="1:6">
      <c r="A507" s="4"/>
      <c r="B507" s="4"/>
      <c r="C507" s="4"/>
      <c r="D507" s="4"/>
      <c r="E507" s="4" t="s">
        <v>13</v>
      </c>
      <c r="F507" s="89">
        <v>7012500</v>
      </c>
    </row>
    <row r="508" spans="1:6">
      <c r="A508" s="4"/>
      <c r="B508" s="4"/>
      <c r="C508" s="4"/>
      <c r="D508" s="4"/>
      <c r="E508" s="4" t="s">
        <v>21</v>
      </c>
      <c r="F508" s="89">
        <v>35000000</v>
      </c>
    </row>
    <row r="509" spans="1:6">
      <c r="A509" s="4"/>
      <c r="B509" s="4"/>
      <c r="C509" s="4"/>
      <c r="D509" s="4"/>
      <c r="E509" s="4" t="s">
        <v>22</v>
      </c>
      <c r="F509" s="89">
        <v>10500000</v>
      </c>
    </row>
    <row r="510" spans="1:6">
      <c r="A510" s="4"/>
      <c r="B510" s="4"/>
      <c r="C510" s="4"/>
      <c r="D510" s="4"/>
      <c r="E510" s="4" t="s">
        <v>23</v>
      </c>
      <c r="F510" s="89">
        <v>7123648.375</v>
      </c>
    </row>
    <row r="511" spans="1:6">
      <c r="A511" s="4"/>
      <c r="B511" s="4"/>
      <c r="C511" s="4"/>
      <c r="D511" s="4"/>
      <c r="E511" s="4" t="s">
        <v>24</v>
      </c>
      <c r="F511" s="89">
        <v>9000000</v>
      </c>
    </row>
    <row r="512" spans="1:6">
      <c r="A512" s="4"/>
      <c r="B512" s="4"/>
      <c r="C512" s="4"/>
      <c r="D512" s="4"/>
      <c r="E512" s="4" t="s">
        <v>143</v>
      </c>
      <c r="F512" s="89">
        <v>2000000</v>
      </c>
    </row>
    <row r="513" spans="1:6">
      <c r="A513" s="4"/>
      <c r="B513" s="4"/>
      <c r="C513" s="4"/>
      <c r="D513" s="4"/>
      <c r="E513" s="4" t="s">
        <v>287</v>
      </c>
      <c r="F513" s="89">
        <v>7000000</v>
      </c>
    </row>
    <row r="514" spans="1:6">
      <c r="A514" s="4"/>
      <c r="B514" s="4"/>
      <c r="C514" s="4"/>
      <c r="D514" s="4"/>
      <c r="E514" s="4" t="s">
        <v>26</v>
      </c>
      <c r="F514" s="89">
        <v>3600000</v>
      </c>
    </row>
    <row r="515" spans="1:6">
      <c r="A515" s="4"/>
      <c r="B515" s="4"/>
      <c r="C515" s="4"/>
      <c r="D515" s="4"/>
      <c r="E515" s="4" t="s">
        <v>171</v>
      </c>
      <c r="F515" s="89">
        <v>1200000</v>
      </c>
    </row>
    <row r="516" spans="1:6">
      <c r="A516" s="4"/>
      <c r="B516" s="4"/>
      <c r="C516" s="4"/>
      <c r="D516" s="4"/>
      <c r="E516" s="4" t="s">
        <v>150</v>
      </c>
      <c r="F516" s="89">
        <v>7000000</v>
      </c>
    </row>
    <row r="517" spans="1:6">
      <c r="A517" s="4"/>
      <c r="B517" s="4"/>
      <c r="C517" s="4"/>
      <c r="D517" s="4"/>
      <c r="E517" s="4" t="s">
        <v>112</v>
      </c>
      <c r="F517" s="89">
        <v>2250000</v>
      </c>
    </row>
    <row r="518" spans="1:6">
      <c r="A518" s="4"/>
      <c r="B518" s="4"/>
      <c r="C518" s="4"/>
      <c r="D518" s="4"/>
      <c r="E518" s="4" t="s">
        <v>92</v>
      </c>
      <c r="F518" s="89">
        <v>4500000</v>
      </c>
    </row>
    <row r="519" spans="1:6">
      <c r="A519" s="4" t="s">
        <v>681</v>
      </c>
      <c r="B519" s="4"/>
      <c r="C519" s="4"/>
      <c r="D519" s="4"/>
      <c r="E519" s="4"/>
      <c r="F519" s="89">
        <v>104886148.375</v>
      </c>
    </row>
    <row r="520" spans="1:6">
      <c r="A520" s="4" t="s">
        <v>296</v>
      </c>
      <c r="B520" s="4" t="s">
        <v>297</v>
      </c>
      <c r="C520" s="4" t="s">
        <v>223</v>
      </c>
      <c r="D520" s="4" t="s">
        <v>43</v>
      </c>
      <c r="E520" s="4" t="s">
        <v>18</v>
      </c>
      <c r="F520" s="89">
        <v>5000000</v>
      </c>
    </row>
    <row r="521" spans="1:6">
      <c r="A521" s="4"/>
      <c r="B521" s="4"/>
      <c r="C521" s="4"/>
      <c r="D521" s="4"/>
      <c r="E521" s="4" t="s">
        <v>21</v>
      </c>
      <c r="F521" s="89">
        <v>30500000</v>
      </c>
    </row>
    <row r="522" spans="1:6">
      <c r="A522" s="4"/>
      <c r="B522" s="4"/>
      <c r="C522" s="4"/>
      <c r="D522" s="4"/>
      <c r="E522" s="4" t="s">
        <v>224</v>
      </c>
      <c r="F522" s="89">
        <v>6000000</v>
      </c>
    </row>
    <row r="523" spans="1:6">
      <c r="A523" s="4"/>
      <c r="B523" s="4"/>
      <c r="C523" s="4"/>
      <c r="D523" s="4"/>
      <c r="E523" s="4" t="s">
        <v>142</v>
      </c>
      <c r="F523" s="89">
        <v>6280500</v>
      </c>
    </row>
    <row r="524" spans="1:6">
      <c r="A524" s="4"/>
      <c r="B524" s="4"/>
      <c r="C524" s="4"/>
      <c r="D524" s="4"/>
      <c r="E524" s="4" t="s">
        <v>110</v>
      </c>
      <c r="F524" s="89">
        <v>20575000</v>
      </c>
    </row>
    <row r="525" spans="1:6">
      <c r="A525" s="4"/>
      <c r="B525" s="4"/>
      <c r="C525" s="4"/>
      <c r="D525" s="4"/>
      <c r="E525" s="4" t="s">
        <v>30</v>
      </c>
      <c r="F525" s="89">
        <v>12000000</v>
      </c>
    </row>
    <row r="526" spans="1:6">
      <c r="A526" s="4"/>
      <c r="B526" s="4"/>
      <c r="C526" s="4"/>
      <c r="D526" s="4"/>
      <c r="E526" s="4" t="s">
        <v>26</v>
      </c>
      <c r="F526" s="89">
        <v>3500000</v>
      </c>
    </row>
    <row r="527" spans="1:6">
      <c r="A527" s="4" t="s">
        <v>682</v>
      </c>
      <c r="B527" s="4"/>
      <c r="C527" s="4"/>
      <c r="D527" s="4"/>
      <c r="E527" s="4"/>
      <c r="F527" s="89">
        <v>83855500</v>
      </c>
    </row>
    <row r="528" spans="1:6">
      <c r="A528" s="4" t="s">
        <v>298</v>
      </c>
      <c r="B528" s="4" t="s">
        <v>299</v>
      </c>
      <c r="C528" s="4" t="s">
        <v>300</v>
      </c>
      <c r="D528" s="4" t="s">
        <v>53</v>
      </c>
      <c r="E528" s="4" t="s">
        <v>18</v>
      </c>
      <c r="F528" s="89">
        <v>9350000</v>
      </c>
    </row>
    <row r="529" spans="1:6">
      <c r="A529" s="4"/>
      <c r="B529" s="4"/>
      <c r="C529" s="4"/>
      <c r="D529" s="4"/>
      <c r="E529" s="4" t="s">
        <v>13</v>
      </c>
      <c r="F529" s="89">
        <v>3740000</v>
      </c>
    </row>
    <row r="530" spans="1:6">
      <c r="A530" s="4"/>
      <c r="B530" s="4"/>
      <c r="C530" s="4"/>
      <c r="D530" s="4"/>
      <c r="E530" s="4" t="s">
        <v>21</v>
      </c>
      <c r="F530" s="89">
        <v>57100000</v>
      </c>
    </row>
    <row r="531" spans="1:6">
      <c r="A531" s="4"/>
      <c r="B531" s="4"/>
      <c r="C531" s="4"/>
      <c r="D531" s="4"/>
      <c r="E531" s="4" t="s">
        <v>142</v>
      </c>
      <c r="F531" s="89">
        <v>15800000</v>
      </c>
    </row>
    <row r="532" spans="1:6">
      <c r="A532" s="4"/>
      <c r="B532" s="4"/>
      <c r="C532" s="4"/>
      <c r="D532" s="4"/>
      <c r="E532" s="4" t="s">
        <v>92</v>
      </c>
      <c r="F532" s="89">
        <v>1000000</v>
      </c>
    </row>
    <row r="533" spans="1:6">
      <c r="A533" s="4" t="s">
        <v>683</v>
      </c>
      <c r="B533" s="4"/>
      <c r="C533" s="4"/>
      <c r="D533" s="4"/>
      <c r="E533" s="4"/>
      <c r="F533" s="89">
        <v>86990000</v>
      </c>
    </row>
    <row r="534" spans="1:6">
      <c r="A534" s="4" t="s">
        <v>301</v>
      </c>
      <c r="B534" s="4" t="s">
        <v>302</v>
      </c>
      <c r="C534" s="4" t="s">
        <v>300</v>
      </c>
      <c r="D534" s="4" t="s">
        <v>53</v>
      </c>
      <c r="E534" s="4" t="s">
        <v>18</v>
      </c>
      <c r="F534" s="89">
        <v>9350000</v>
      </c>
    </row>
    <row r="535" spans="1:6">
      <c r="A535" s="4"/>
      <c r="B535" s="4"/>
      <c r="C535" s="4"/>
      <c r="D535" s="4"/>
      <c r="E535" s="4" t="s">
        <v>13</v>
      </c>
      <c r="F535" s="89">
        <v>3740000</v>
      </c>
    </row>
    <row r="536" spans="1:6">
      <c r="A536" s="4"/>
      <c r="B536" s="4"/>
      <c r="C536" s="4"/>
      <c r="D536" s="4"/>
      <c r="E536" s="4" t="s">
        <v>21</v>
      </c>
      <c r="F536" s="89">
        <v>57100000</v>
      </c>
    </row>
    <row r="537" spans="1:6">
      <c r="A537" s="4"/>
      <c r="B537" s="4"/>
      <c r="C537" s="4"/>
      <c r="D537" s="4"/>
      <c r="E537" s="4" t="s">
        <v>142</v>
      </c>
      <c r="F537" s="89">
        <v>15800000</v>
      </c>
    </row>
    <row r="538" spans="1:6">
      <c r="A538" s="4"/>
      <c r="B538" s="4"/>
      <c r="C538" s="4"/>
      <c r="D538" s="4"/>
      <c r="E538" s="4" t="s">
        <v>92</v>
      </c>
      <c r="F538" s="89">
        <v>1000000</v>
      </c>
    </row>
    <row r="539" spans="1:6">
      <c r="A539" s="4" t="s">
        <v>684</v>
      </c>
      <c r="B539" s="4"/>
      <c r="C539" s="4"/>
      <c r="D539" s="4"/>
      <c r="E539" s="4"/>
      <c r="F539" s="89">
        <v>86990000</v>
      </c>
    </row>
    <row r="540" spans="1:6">
      <c r="A540" s="4" t="s">
        <v>303</v>
      </c>
      <c r="B540" s="4" t="s">
        <v>304</v>
      </c>
      <c r="C540" s="4" t="s">
        <v>275</v>
      </c>
      <c r="D540" s="4" t="s">
        <v>53</v>
      </c>
      <c r="E540" s="4" t="s">
        <v>18</v>
      </c>
      <c r="F540" s="89">
        <v>1500000</v>
      </c>
    </row>
    <row r="541" spans="1:6">
      <c r="A541" s="4"/>
      <c r="B541" s="4"/>
      <c r="C541" s="4"/>
      <c r="D541" s="4"/>
      <c r="E541" s="4" t="s">
        <v>21</v>
      </c>
      <c r="F541" s="89">
        <v>20750000</v>
      </c>
    </row>
    <row r="542" spans="1:6">
      <c r="A542" s="4"/>
      <c r="B542" s="4"/>
      <c r="C542" s="4"/>
      <c r="D542" s="4"/>
      <c r="E542" s="4" t="s">
        <v>142</v>
      </c>
      <c r="F542" s="89">
        <v>17380000</v>
      </c>
    </row>
    <row r="543" spans="1:6">
      <c r="A543" s="4"/>
      <c r="B543" s="4"/>
      <c r="C543" s="4"/>
      <c r="D543" s="4"/>
      <c r="E543" s="4" t="s">
        <v>26</v>
      </c>
      <c r="F543" s="89">
        <v>4850000</v>
      </c>
    </row>
    <row r="544" spans="1:6">
      <c r="A544" s="4"/>
      <c r="B544" s="4"/>
      <c r="C544" s="4"/>
      <c r="D544" s="4"/>
      <c r="E544" s="4" t="s">
        <v>88</v>
      </c>
      <c r="F544" s="89">
        <v>4000000</v>
      </c>
    </row>
    <row r="545" spans="1:6">
      <c r="A545" s="4"/>
      <c r="B545" s="4"/>
      <c r="C545" s="4"/>
      <c r="D545" s="4"/>
      <c r="E545" s="4" t="s">
        <v>92</v>
      </c>
      <c r="F545" s="89">
        <v>1400000</v>
      </c>
    </row>
    <row r="546" spans="1:6">
      <c r="A546" s="4"/>
      <c r="B546" s="4"/>
      <c r="C546" s="4" t="s">
        <v>276</v>
      </c>
      <c r="D546" s="4" t="s">
        <v>53</v>
      </c>
      <c r="E546" s="4" t="s">
        <v>18</v>
      </c>
      <c r="F546" s="89">
        <v>1500000</v>
      </c>
    </row>
    <row r="547" spans="1:6">
      <c r="A547" s="4"/>
      <c r="B547" s="4"/>
      <c r="C547" s="4"/>
      <c r="D547" s="4"/>
      <c r="E547" s="4" t="s">
        <v>21</v>
      </c>
      <c r="F547" s="89">
        <v>19981481.5</v>
      </c>
    </row>
    <row r="548" spans="1:6">
      <c r="A548" s="4"/>
      <c r="B548" s="4"/>
      <c r="C548" s="4"/>
      <c r="D548" s="4"/>
      <c r="E548" s="4" t="s">
        <v>24</v>
      </c>
      <c r="F548" s="89">
        <v>11950000</v>
      </c>
    </row>
    <row r="549" spans="1:6">
      <c r="A549" s="4" t="s">
        <v>685</v>
      </c>
      <c r="B549" s="4"/>
      <c r="C549" s="4"/>
      <c r="D549" s="4"/>
      <c r="E549" s="4"/>
      <c r="F549" s="89">
        <v>83311481.5</v>
      </c>
    </row>
    <row r="550" spans="1:6">
      <c r="A550" s="4" t="s">
        <v>305</v>
      </c>
      <c r="B550" s="4" t="s">
        <v>306</v>
      </c>
      <c r="C550" s="4" t="s">
        <v>87</v>
      </c>
      <c r="D550" s="4" t="s">
        <v>53</v>
      </c>
      <c r="E550" s="4" t="s">
        <v>18</v>
      </c>
      <c r="F550" s="89">
        <v>2750000</v>
      </c>
    </row>
    <row r="551" spans="1:6">
      <c r="A551" s="4"/>
      <c r="B551" s="4"/>
      <c r="C551" s="4"/>
      <c r="D551" s="4"/>
      <c r="E551" s="4" t="s">
        <v>21</v>
      </c>
      <c r="F551" s="89">
        <v>50750000</v>
      </c>
    </row>
    <row r="552" spans="1:6">
      <c r="A552" s="4"/>
      <c r="B552" s="4"/>
      <c r="C552" s="4"/>
      <c r="D552" s="4"/>
      <c r="E552" s="4" t="s">
        <v>44</v>
      </c>
      <c r="F552" s="89">
        <v>7250000</v>
      </c>
    </row>
    <row r="553" spans="1:6">
      <c r="A553" s="4"/>
      <c r="B553" s="4"/>
      <c r="C553" s="4"/>
      <c r="D553" s="4"/>
      <c r="E553" s="4" t="s">
        <v>24</v>
      </c>
      <c r="F553" s="89">
        <v>9000000</v>
      </c>
    </row>
    <row r="554" spans="1:6">
      <c r="A554" s="4"/>
      <c r="B554" s="4"/>
      <c r="C554" s="4"/>
      <c r="D554" s="4"/>
      <c r="E554" s="4" t="s">
        <v>26</v>
      </c>
      <c r="F554" s="89">
        <v>11000000</v>
      </c>
    </row>
    <row r="555" spans="1:6">
      <c r="A555" s="4"/>
      <c r="B555" s="4"/>
      <c r="C555" s="4"/>
      <c r="D555" s="4"/>
      <c r="E555" s="4" t="s">
        <v>45</v>
      </c>
      <c r="F555" s="89">
        <v>2861400</v>
      </c>
    </row>
    <row r="556" spans="1:6">
      <c r="A556" s="4"/>
      <c r="B556" s="4"/>
      <c r="C556" s="4"/>
      <c r="D556" s="4"/>
      <c r="E556" s="4" t="s">
        <v>88</v>
      </c>
      <c r="F556" s="89">
        <v>11000000</v>
      </c>
    </row>
    <row r="557" spans="1:6">
      <c r="A557" s="4" t="s">
        <v>686</v>
      </c>
      <c r="B557" s="4"/>
      <c r="C557" s="4"/>
      <c r="D557" s="4"/>
      <c r="E557" s="4"/>
      <c r="F557" s="89">
        <v>94611400</v>
      </c>
    </row>
    <row r="558" spans="1:6">
      <c r="A558" s="4" t="s">
        <v>307</v>
      </c>
      <c r="B558" s="4" t="s">
        <v>308</v>
      </c>
      <c r="C558" s="4" t="s">
        <v>119</v>
      </c>
      <c r="D558" s="4" t="s">
        <v>53</v>
      </c>
      <c r="E558" s="4" t="s">
        <v>18</v>
      </c>
      <c r="F558" s="89">
        <v>7500000</v>
      </c>
    </row>
    <row r="559" spans="1:6">
      <c r="A559" s="4"/>
      <c r="B559" s="4"/>
      <c r="C559" s="4"/>
      <c r="D559" s="4"/>
      <c r="E559" s="4" t="s">
        <v>13</v>
      </c>
      <c r="F559" s="89">
        <v>2502500</v>
      </c>
    </row>
    <row r="560" spans="1:6">
      <c r="A560" s="4"/>
      <c r="B560" s="4"/>
      <c r="C560" s="4"/>
      <c r="D560" s="4"/>
      <c r="E560" s="4" t="s">
        <v>21</v>
      </c>
      <c r="F560" s="89">
        <v>9650000</v>
      </c>
    </row>
    <row r="561" spans="1:6">
      <c r="A561" s="4"/>
      <c r="B561" s="4"/>
      <c r="C561" s="4"/>
      <c r="D561" s="4"/>
      <c r="E561" s="4" t="s">
        <v>94</v>
      </c>
      <c r="F561" s="89">
        <v>1250000</v>
      </c>
    </row>
    <row r="562" spans="1:6">
      <c r="A562" s="4"/>
      <c r="B562" s="4"/>
      <c r="C562" s="4"/>
      <c r="D562" s="4"/>
      <c r="E562" s="4" t="s">
        <v>142</v>
      </c>
      <c r="F562" s="89">
        <v>6893500</v>
      </c>
    </row>
    <row r="563" spans="1:6">
      <c r="A563" s="4"/>
      <c r="B563" s="4"/>
      <c r="C563" s="4"/>
      <c r="D563" s="4"/>
      <c r="E563" s="4" t="s">
        <v>309</v>
      </c>
      <c r="F563" s="89">
        <v>12000000</v>
      </c>
    </row>
    <row r="564" spans="1:6">
      <c r="A564" s="4"/>
      <c r="B564" s="4"/>
      <c r="C564" s="4"/>
      <c r="D564" s="4"/>
      <c r="E564" s="4" t="s">
        <v>112</v>
      </c>
      <c r="F564" s="89">
        <v>750000</v>
      </c>
    </row>
    <row r="565" spans="1:6">
      <c r="A565" s="4"/>
      <c r="B565" s="4"/>
      <c r="C565" s="4" t="s">
        <v>93</v>
      </c>
      <c r="D565" s="4" t="s">
        <v>43</v>
      </c>
      <c r="E565" s="4" t="s">
        <v>13</v>
      </c>
      <c r="F565" s="89">
        <v>2634500</v>
      </c>
    </row>
    <row r="566" spans="1:6">
      <c r="A566" s="4"/>
      <c r="B566" s="4"/>
      <c r="C566" s="4"/>
      <c r="D566" s="4"/>
      <c r="E566" s="4" t="s">
        <v>20</v>
      </c>
      <c r="F566" s="89">
        <v>500000</v>
      </c>
    </row>
    <row r="567" spans="1:6">
      <c r="A567" s="4"/>
      <c r="B567" s="4"/>
      <c r="C567" s="4"/>
      <c r="D567" s="4"/>
      <c r="E567" s="4" t="s">
        <v>21</v>
      </c>
      <c r="F567" s="89">
        <v>9750000</v>
      </c>
    </row>
    <row r="568" spans="1:6">
      <c r="A568" s="4"/>
      <c r="B568" s="4"/>
      <c r="C568" s="4"/>
      <c r="D568" s="4"/>
      <c r="E568" s="4" t="s">
        <v>24</v>
      </c>
      <c r="F568" s="89">
        <v>3325000</v>
      </c>
    </row>
    <row r="569" spans="1:6">
      <c r="A569" s="4"/>
      <c r="B569" s="4"/>
      <c r="C569" s="4"/>
      <c r="D569" s="4"/>
      <c r="E569" s="4" t="s">
        <v>30</v>
      </c>
      <c r="F569" s="89">
        <v>8500000</v>
      </c>
    </row>
    <row r="570" spans="1:6">
      <c r="A570" s="4"/>
      <c r="B570" s="4"/>
      <c r="C570" s="4"/>
      <c r="D570" s="4"/>
      <c r="E570" s="4" t="s">
        <v>26</v>
      </c>
      <c r="F570" s="89">
        <v>4750000</v>
      </c>
    </row>
    <row r="571" spans="1:6">
      <c r="A571" s="4"/>
      <c r="B571" s="4"/>
      <c r="C571" s="4"/>
      <c r="D571" s="4"/>
      <c r="E571" s="4" t="s">
        <v>63</v>
      </c>
      <c r="F571" s="89">
        <v>9500000</v>
      </c>
    </row>
    <row r="572" spans="1:6">
      <c r="A572" s="4" t="s">
        <v>687</v>
      </c>
      <c r="B572" s="4"/>
      <c r="C572" s="4"/>
      <c r="D572" s="4"/>
      <c r="E572" s="4"/>
      <c r="F572" s="89">
        <v>79505500</v>
      </c>
    </row>
    <row r="573" spans="1:6">
      <c r="A573" s="4" t="s">
        <v>310</v>
      </c>
      <c r="B573" s="4" t="s">
        <v>311</v>
      </c>
      <c r="C573" s="4" t="s">
        <v>119</v>
      </c>
      <c r="D573" s="4" t="s">
        <v>53</v>
      </c>
      <c r="E573" s="4" t="s">
        <v>18</v>
      </c>
      <c r="F573" s="89">
        <v>7500000</v>
      </c>
    </row>
    <row r="574" spans="1:6">
      <c r="A574" s="4"/>
      <c r="B574" s="4"/>
      <c r="C574" s="4"/>
      <c r="D574" s="4"/>
      <c r="E574" s="4" t="s">
        <v>13</v>
      </c>
      <c r="F574" s="89">
        <v>2502500</v>
      </c>
    </row>
    <row r="575" spans="1:6">
      <c r="A575" s="4"/>
      <c r="B575" s="4"/>
      <c r="C575" s="4"/>
      <c r="D575" s="4"/>
      <c r="E575" s="4" t="s">
        <v>21</v>
      </c>
      <c r="F575" s="89">
        <v>9650000</v>
      </c>
    </row>
    <row r="576" spans="1:6">
      <c r="A576" s="4"/>
      <c r="B576" s="4"/>
      <c r="C576" s="4"/>
      <c r="D576" s="4"/>
      <c r="E576" s="4" t="s">
        <v>94</v>
      </c>
      <c r="F576" s="89">
        <v>1250000</v>
      </c>
    </row>
    <row r="577" spans="1:6">
      <c r="A577" s="4"/>
      <c r="B577" s="4"/>
      <c r="C577" s="4"/>
      <c r="D577" s="4"/>
      <c r="E577" s="4" t="s">
        <v>142</v>
      </c>
      <c r="F577" s="89">
        <v>6893500</v>
      </c>
    </row>
    <row r="578" spans="1:6">
      <c r="A578" s="4"/>
      <c r="B578" s="4"/>
      <c r="C578" s="4"/>
      <c r="D578" s="4"/>
      <c r="E578" s="4" t="s">
        <v>309</v>
      </c>
      <c r="F578" s="89">
        <v>12000000</v>
      </c>
    </row>
    <row r="579" spans="1:6">
      <c r="A579" s="4"/>
      <c r="B579" s="4"/>
      <c r="C579" s="4"/>
      <c r="D579" s="4"/>
      <c r="E579" s="4" t="s">
        <v>112</v>
      </c>
      <c r="F579" s="89">
        <v>750000</v>
      </c>
    </row>
    <row r="580" spans="1:6">
      <c r="A580" s="4"/>
      <c r="B580" s="4"/>
      <c r="C580" s="4" t="s">
        <v>93</v>
      </c>
      <c r="D580" s="4" t="s">
        <v>43</v>
      </c>
      <c r="E580" s="4" t="s">
        <v>13</v>
      </c>
      <c r="F580" s="89">
        <v>2634500</v>
      </c>
    </row>
    <row r="581" spans="1:6">
      <c r="A581" s="4"/>
      <c r="B581" s="4"/>
      <c r="C581" s="4"/>
      <c r="D581" s="4"/>
      <c r="E581" s="4" t="s">
        <v>20</v>
      </c>
      <c r="F581" s="89">
        <v>500000</v>
      </c>
    </row>
    <row r="582" spans="1:6">
      <c r="A582" s="4"/>
      <c r="B582" s="4"/>
      <c r="C582" s="4"/>
      <c r="D582" s="4"/>
      <c r="E582" s="4" t="s">
        <v>21</v>
      </c>
      <c r="F582" s="89">
        <v>9750000</v>
      </c>
    </row>
    <row r="583" spans="1:6">
      <c r="A583" s="4"/>
      <c r="B583" s="4"/>
      <c r="C583" s="4"/>
      <c r="D583" s="4"/>
      <c r="E583" s="4" t="s">
        <v>24</v>
      </c>
      <c r="F583" s="89">
        <v>3325000</v>
      </c>
    </row>
    <row r="584" spans="1:6">
      <c r="A584" s="4"/>
      <c r="B584" s="4"/>
      <c r="C584" s="4"/>
      <c r="D584" s="4"/>
      <c r="E584" s="4" t="s">
        <v>30</v>
      </c>
      <c r="F584" s="89">
        <v>8500000</v>
      </c>
    </row>
    <row r="585" spans="1:6">
      <c r="A585" s="4"/>
      <c r="B585" s="4"/>
      <c r="C585" s="4"/>
      <c r="D585" s="4"/>
      <c r="E585" s="4" t="s">
        <v>26</v>
      </c>
      <c r="F585" s="89">
        <v>4750000</v>
      </c>
    </row>
    <row r="586" spans="1:6">
      <c r="A586" s="4"/>
      <c r="B586" s="4"/>
      <c r="C586" s="4"/>
      <c r="D586" s="4"/>
      <c r="E586" s="4" t="s">
        <v>63</v>
      </c>
      <c r="F586" s="89">
        <v>9500000</v>
      </c>
    </row>
    <row r="587" spans="1:6">
      <c r="A587" s="4" t="s">
        <v>688</v>
      </c>
      <c r="B587" s="4"/>
      <c r="C587" s="4"/>
      <c r="D587" s="4"/>
      <c r="E587" s="4"/>
      <c r="F587" s="89">
        <v>79505500</v>
      </c>
    </row>
    <row r="588" spans="1:6">
      <c r="A588" s="4" t="s">
        <v>312</v>
      </c>
      <c r="B588" s="4" t="s">
        <v>313</v>
      </c>
      <c r="C588" s="4" t="s">
        <v>205</v>
      </c>
      <c r="D588" s="4" t="s">
        <v>53</v>
      </c>
      <c r="E588" s="4" t="s">
        <v>18</v>
      </c>
      <c r="F588" s="89">
        <v>16400000</v>
      </c>
    </row>
    <row r="589" spans="1:6">
      <c r="A589" s="4"/>
      <c r="B589" s="4"/>
      <c r="C589" s="4"/>
      <c r="D589" s="4"/>
      <c r="E589" s="4" t="s">
        <v>13</v>
      </c>
      <c r="F589" s="89">
        <v>1897500</v>
      </c>
    </row>
    <row r="590" spans="1:6">
      <c r="A590" s="4"/>
      <c r="B590" s="4"/>
      <c r="C590" s="4"/>
      <c r="D590" s="4"/>
      <c r="E590" s="4" t="s">
        <v>21</v>
      </c>
      <c r="F590" s="89">
        <v>22000000</v>
      </c>
    </row>
    <row r="591" spans="1:6">
      <c r="A591" s="4"/>
      <c r="B591" s="4"/>
      <c r="C591" s="4"/>
      <c r="D591" s="4"/>
      <c r="E591" s="4" t="s">
        <v>22</v>
      </c>
      <c r="F591" s="89">
        <v>9500000</v>
      </c>
    </row>
    <row r="592" spans="1:6">
      <c r="A592" s="4"/>
      <c r="B592" s="4"/>
      <c r="C592" s="4"/>
      <c r="D592" s="4"/>
      <c r="E592" s="4" t="s">
        <v>23</v>
      </c>
      <c r="F592" s="89">
        <v>5000000</v>
      </c>
    </row>
    <row r="593" spans="1:6">
      <c r="A593" s="4"/>
      <c r="B593" s="4"/>
      <c r="C593" s="4"/>
      <c r="D593" s="4"/>
      <c r="E593" s="4" t="s">
        <v>24</v>
      </c>
      <c r="F593" s="89">
        <v>7125000</v>
      </c>
    </row>
    <row r="594" spans="1:6">
      <c r="A594" s="4"/>
      <c r="B594" s="4"/>
      <c r="C594" s="4"/>
      <c r="D594" s="4"/>
      <c r="E594" s="4" t="s">
        <v>142</v>
      </c>
      <c r="F594" s="89">
        <v>10260000</v>
      </c>
    </row>
    <row r="595" spans="1:6">
      <c r="A595" s="4"/>
      <c r="B595" s="4"/>
      <c r="C595" s="4"/>
      <c r="D595" s="4"/>
      <c r="E595" s="4" t="s">
        <v>143</v>
      </c>
      <c r="F595" s="89">
        <v>4500000</v>
      </c>
    </row>
    <row r="596" spans="1:6">
      <c r="A596" s="4"/>
      <c r="B596" s="4"/>
      <c r="C596" s="4" t="s">
        <v>170</v>
      </c>
      <c r="D596" s="4" t="s">
        <v>53</v>
      </c>
      <c r="E596" s="4" t="s">
        <v>21</v>
      </c>
      <c r="F596" s="89">
        <v>14647500</v>
      </c>
    </row>
    <row r="597" spans="1:6">
      <c r="A597" s="4"/>
      <c r="B597" s="4"/>
      <c r="C597" s="4"/>
      <c r="D597" s="4"/>
      <c r="E597" s="4" t="s">
        <v>26</v>
      </c>
      <c r="F597" s="89">
        <v>1750000</v>
      </c>
    </row>
    <row r="598" spans="1:6">
      <c r="A598" s="4"/>
      <c r="B598" s="4"/>
      <c r="C598" s="4"/>
      <c r="D598" s="4"/>
      <c r="E598" s="4" t="s">
        <v>98</v>
      </c>
      <c r="F598" s="89">
        <v>4250000</v>
      </c>
    </row>
    <row r="599" spans="1:6">
      <c r="A599" s="4" t="s">
        <v>689</v>
      </c>
      <c r="B599" s="4"/>
      <c r="C599" s="4"/>
      <c r="D599" s="4"/>
      <c r="E599" s="4"/>
      <c r="F599" s="89">
        <v>97330000</v>
      </c>
    </row>
    <row r="600" spans="1:6">
      <c r="A600" s="4" t="s">
        <v>314</v>
      </c>
      <c r="B600" s="4" t="s">
        <v>315</v>
      </c>
      <c r="C600" s="4" t="s">
        <v>205</v>
      </c>
      <c r="D600" s="4" t="s">
        <v>53</v>
      </c>
      <c r="E600" s="4" t="s">
        <v>18</v>
      </c>
      <c r="F600" s="89">
        <v>16400000</v>
      </c>
    </row>
    <row r="601" spans="1:6">
      <c r="A601" s="4"/>
      <c r="B601" s="4"/>
      <c r="C601" s="4"/>
      <c r="D601" s="4"/>
      <c r="E601" s="4" t="s">
        <v>13</v>
      </c>
      <c r="F601" s="89">
        <v>1897500</v>
      </c>
    </row>
    <row r="602" spans="1:6">
      <c r="A602" s="4"/>
      <c r="B602" s="4"/>
      <c r="C602" s="4"/>
      <c r="D602" s="4"/>
      <c r="E602" s="4" t="s">
        <v>21</v>
      </c>
      <c r="F602" s="89">
        <v>31750000</v>
      </c>
    </row>
    <row r="603" spans="1:6">
      <c r="A603" s="4"/>
      <c r="B603" s="4"/>
      <c r="C603" s="4"/>
      <c r="D603" s="4"/>
      <c r="E603" s="4" t="s">
        <v>22</v>
      </c>
      <c r="F603" s="89">
        <v>9500000</v>
      </c>
    </row>
    <row r="604" spans="1:6">
      <c r="A604" s="4"/>
      <c r="B604" s="4"/>
      <c r="C604" s="4"/>
      <c r="D604" s="4"/>
      <c r="E604" s="4" t="s">
        <v>23</v>
      </c>
      <c r="F604" s="89">
        <v>5000000</v>
      </c>
    </row>
    <row r="605" spans="1:6">
      <c r="A605" s="4"/>
      <c r="B605" s="4"/>
      <c r="C605" s="4"/>
      <c r="D605" s="4"/>
      <c r="E605" s="4" t="s">
        <v>24</v>
      </c>
      <c r="F605" s="89">
        <v>7125000</v>
      </c>
    </row>
    <row r="606" spans="1:6">
      <c r="A606" s="4"/>
      <c r="B606" s="4"/>
      <c r="C606" s="4"/>
      <c r="D606" s="4"/>
      <c r="E606" s="4" t="s">
        <v>142</v>
      </c>
      <c r="F606" s="89">
        <v>10260000</v>
      </c>
    </row>
    <row r="607" spans="1:6">
      <c r="A607" s="4"/>
      <c r="B607" s="4"/>
      <c r="C607" s="4"/>
      <c r="D607" s="4"/>
      <c r="E607" s="4" t="s">
        <v>143</v>
      </c>
      <c r="F607" s="89">
        <v>4500000</v>
      </c>
    </row>
    <row r="608" spans="1:6">
      <c r="A608" s="4"/>
      <c r="B608" s="4"/>
      <c r="C608" s="4"/>
      <c r="D608" s="4"/>
      <c r="E608" s="4" t="s">
        <v>26</v>
      </c>
      <c r="F608" s="89">
        <v>6000000</v>
      </c>
    </row>
    <row r="609" spans="1:6">
      <c r="A609" s="4" t="s">
        <v>690</v>
      </c>
      <c r="B609" s="4"/>
      <c r="C609" s="4"/>
      <c r="D609" s="4"/>
      <c r="E609" s="4"/>
      <c r="F609" s="89">
        <v>92432500</v>
      </c>
    </row>
    <row r="610" spans="1:6">
      <c r="A610" s="4" t="s">
        <v>316</v>
      </c>
      <c r="B610" s="4" t="s">
        <v>317</v>
      </c>
      <c r="C610" s="4" t="s">
        <v>211</v>
      </c>
      <c r="D610" s="4" t="s">
        <v>43</v>
      </c>
      <c r="E610" s="4" t="s">
        <v>18</v>
      </c>
      <c r="F610" s="89">
        <v>1500000</v>
      </c>
    </row>
    <row r="611" spans="1:6">
      <c r="A611" s="4"/>
      <c r="B611" s="4"/>
      <c r="C611" s="4"/>
      <c r="D611" s="4"/>
      <c r="E611" s="4" t="s">
        <v>21</v>
      </c>
      <c r="F611" s="89">
        <v>33250000</v>
      </c>
    </row>
    <row r="612" spans="1:6">
      <c r="A612" s="4"/>
      <c r="B612" s="4"/>
      <c r="C612" s="4"/>
      <c r="D612" s="4"/>
      <c r="E612" s="4" t="s">
        <v>44</v>
      </c>
      <c r="F612" s="89">
        <v>7250000</v>
      </c>
    </row>
    <row r="613" spans="1:6">
      <c r="A613" s="4"/>
      <c r="B613" s="4"/>
      <c r="C613" s="4"/>
      <c r="D613" s="4"/>
      <c r="E613" s="4" t="s">
        <v>24</v>
      </c>
      <c r="F613" s="89">
        <v>4500000</v>
      </c>
    </row>
    <row r="614" spans="1:6">
      <c r="A614" s="4"/>
      <c r="B614" s="4"/>
      <c r="C614" s="4"/>
      <c r="D614" s="4"/>
      <c r="E614" s="4" t="s">
        <v>142</v>
      </c>
      <c r="F614" s="89">
        <v>5250000</v>
      </c>
    </row>
    <row r="615" spans="1:6">
      <c r="A615" s="4"/>
      <c r="B615" s="4"/>
      <c r="C615" s="4"/>
      <c r="D615" s="4"/>
      <c r="E615" s="4" t="s">
        <v>30</v>
      </c>
      <c r="F615" s="89">
        <v>10000000</v>
      </c>
    </row>
    <row r="616" spans="1:6">
      <c r="A616" s="4"/>
      <c r="B616" s="4"/>
      <c r="C616" s="4"/>
      <c r="D616" s="4"/>
      <c r="E616" s="4" t="s">
        <v>26</v>
      </c>
      <c r="F616" s="89">
        <v>6900000</v>
      </c>
    </row>
    <row r="617" spans="1:6">
      <c r="A617" s="4" t="s">
        <v>691</v>
      </c>
      <c r="B617" s="4"/>
      <c r="C617" s="4"/>
      <c r="D617" s="4"/>
      <c r="E617" s="4"/>
      <c r="F617" s="89">
        <v>68650000</v>
      </c>
    </row>
    <row r="618" spans="1:6">
      <c r="A618" s="4" t="s">
        <v>318</v>
      </c>
      <c r="B618" s="4" t="s">
        <v>319</v>
      </c>
      <c r="C618" s="4" t="s">
        <v>320</v>
      </c>
      <c r="D618" s="4" t="s">
        <v>215</v>
      </c>
      <c r="E618" s="4" t="s">
        <v>98</v>
      </c>
      <c r="F618" s="89">
        <v>2000000</v>
      </c>
    </row>
    <row r="619" spans="1:6">
      <c r="A619" s="4"/>
      <c r="B619" s="4"/>
      <c r="C619" s="4"/>
      <c r="D619" s="4"/>
      <c r="E619" s="4" t="s">
        <v>100</v>
      </c>
      <c r="F619" s="89">
        <v>61052000</v>
      </c>
    </row>
    <row r="620" spans="1:6">
      <c r="A620" s="4"/>
      <c r="B620" s="4"/>
      <c r="C620" s="4"/>
      <c r="D620" s="4"/>
      <c r="E620" s="4" t="s">
        <v>216</v>
      </c>
      <c r="F620" s="89">
        <v>6580000</v>
      </c>
    </row>
    <row r="621" spans="1:6">
      <c r="A621" s="4" t="s">
        <v>692</v>
      </c>
      <c r="B621" s="4"/>
      <c r="C621" s="4"/>
      <c r="D621" s="4"/>
      <c r="E621" s="4"/>
      <c r="F621" s="89">
        <v>69632000</v>
      </c>
    </row>
    <row r="622" spans="1:6">
      <c r="A622" s="4" t="s">
        <v>321</v>
      </c>
      <c r="B622" s="4" t="s">
        <v>322</v>
      </c>
      <c r="C622" s="4" t="s">
        <v>323</v>
      </c>
      <c r="D622" s="4" t="s">
        <v>59</v>
      </c>
      <c r="E622" s="4" t="s">
        <v>18</v>
      </c>
      <c r="F622" s="89">
        <v>360000</v>
      </c>
    </row>
    <row r="623" spans="1:6">
      <c r="A623" s="4"/>
      <c r="B623" s="4"/>
      <c r="C623" s="4"/>
      <c r="D623" s="4"/>
      <c r="E623" s="4" t="s">
        <v>13</v>
      </c>
      <c r="F623" s="89">
        <v>5952650</v>
      </c>
    </row>
    <row r="624" spans="1:6">
      <c r="A624" s="4"/>
      <c r="B624" s="4"/>
      <c r="C624" s="4"/>
      <c r="D624" s="4"/>
      <c r="E624" s="4" t="s">
        <v>194</v>
      </c>
      <c r="F624" s="89">
        <v>1673650</v>
      </c>
    </row>
    <row r="625" spans="1:6">
      <c r="A625" s="4"/>
      <c r="B625" s="4"/>
      <c r="C625" s="4"/>
      <c r="D625" s="4"/>
      <c r="E625" s="4" t="s">
        <v>94</v>
      </c>
      <c r="F625" s="89">
        <v>800000</v>
      </c>
    </row>
    <row r="626" spans="1:6">
      <c r="A626" s="4"/>
      <c r="B626" s="4"/>
      <c r="C626" s="4"/>
      <c r="D626" s="4"/>
      <c r="E626" s="4" t="s">
        <v>23</v>
      </c>
      <c r="F626" s="89">
        <v>1071322</v>
      </c>
    </row>
    <row r="627" spans="1:6">
      <c r="A627" s="4"/>
      <c r="B627" s="4"/>
      <c r="C627" s="4"/>
      <c r="D627" s="4"/>
      <c r="E627" s="4" t="s">
        <v>112</v>
      </c>
      <c r="F627" s="89">
        <v>300000</v>
      </c>
    </row>
    <row r="628" spans="1:6">
      <c r="A628" s="4"/>
      <c r="B628" s="4"/>
      <c r="C628" s="4"/>
      <c r="D628" s="4"/>
      <c r="E628" s="4" t="s">
        <v>58</v>
      </c>
      <c r="F628" s="89">
        <v>24777452.5</v>
      </c>
    </row>
    <row r="629" spans="1:6">
      <c r="A629" s="4" t="s">
        <v>693</v>
      </c>
      <c r="B629" s="4"/>
      <c r="C629" s="4"/>
      <c r="D629" s="4"/>
      <c r="E629" s="4"/>
      <c r="F629" s="89">
        <v>34935074.5</v>
      </c>
    </row>
    <row r="630" spans="1:6">
      <c r="A630" s="4" t="s">
        <v>324</v>
      </c>
      <c r="B630" s="4" t="s">
        <v>325</v>
      </c>
      <c r="C630" s="4" t="s">
        <v>48</v>
      </c>
      <c r="D630" s="4" t="s">
        <v>50</v>
      </c>
      <c r="E630" s="4" t="s">
        <v>49</v>
      </c>
      <c r="F630" s="89">
        <v>25373468</v>
      </c>
    </row>
    <row r="631" spans="1:6">
      <c r="A631" s="4"/>
      <c r="B631" s="4"/>
      <c r="C631" s="4"/>
      <c r="D631" s="4"/>
      <c r="E631" s="4" t="s">
        <v>33</v>
      </c>
      <c r="F631" s="89">
        <v>11973879</v>
      </c>
    </row>
    <row r="632" spans="1:6">
      <c r="A632" s="4"/>
      <c r="B632" s="4"/>
      <c r="C632" s="4" t="s">
        <v>326</v>
      </c>
      <c r="D632" s="4" t="s">
        <v>14</v>
      </c>
      <c r="E632" s="4" t="s">
        <v>33</v>
      </c>
      <c r="F632" s="89">
        <v>3790640</v>
      </c>
    </row>
    <row r="633" spans="1:6">
      <c r="A633" s="4" t="s">
        <v>694</v>
      </c>
      <c r="B633" s="4"/>
      <c r="C633" s="4"/>
      <c r="D633" s="4"/>
      <c r="E633" s="4"/>
      <c r="F633" s="89">
        <v>41137987</v>
      </c>
    </row>
    <row r="634" spans="1:6">
      <c r="A634" s="4" t="s">
        <v>327</v>
      </c>
      <c r="B634" s="4" t="s">
        <v>328</v>
      </c>
      <c r="C634" s="4" t="s">
        <v>66</v>
      </c>
      <c r="D634" s="4" t="s">
        <v>31</v>
      </c>
      <c r="E634" s="4" t="s">
        <v>30</v>
      </c>
      <c r="F634" s="89">
        <v>12500000</v>
      </c>
    </row>
    <row r="635" spans="1:6">
      <c r="A635" s="4"/>
      <c r="B635" s="4"/>
      <c r="C635" s="4"/>
      <c r="D635" s="4"/>
      <c r="E635" s="4" t="s">
        <v>32</v>
      </c>
      <c r="F635" s="89">
        <v>39050000</v>
      </c>
    </row>
    <row r="636" spans="1:6">
      <c r="A636" s="4"/>
      <c r="B636" s="4"/>
      <c r="C636" s="4" t="s">
        <v>37</v>
      </c>
      <c r="D636" s="4" t="s">
        <v>31</v>
      </c>
      <c r="E636" s="4" t="s">
        <v>30</v>
      </c>
      <c r="F636" s="89">
        <v>11750000</v>
      </c>
    </row>
    <row r="637" spans="1:6">
      <c r="A637" s="4"/>
      <c r="B637" s="4"/>
      <c r="C637" s="4"/>
      <c r="D637" s="4"/>
      <c r="E637" s="4" t="s">
        <v>33</v>
      </c>
      <c r="F637" s="89">
        <v>12254000</v>
      </c>
    </row>
    <row r="638" spans="1:6">
      <c r="A638" s="4" t="s">
        <v>695</v>
      </c>
      <c r="B638" s="4"/>
      <c r="C638" s="4"/>
      <c r="D638" s="4"/>
      <c r="E638" s="4"/>
      <c r="F638" s="89">
        <v>75554000</v>
      </c>
    </row>
    <row r="639" spans="1:6">
      <c r="A639" s="4" t="s">
        <v>329</v>
      </c>
      <c r="B639" s="4" t="s">
        <v>330</v>
      </c>
      <c r="C639" s="4" t="s">
        <v>290</v>
      </c>
      <c r="D639" s="4" t="s">
        <v>53</v>
      </c>
      <c r="E639" s="4" t="s">
        <v>13</v>
      </c>
      <c r="F639" s="89">
        <v>5575000</v>
      </c>
    </row>
    <row r="640" spans="1:6">
      <c r="A640" s="4"/>
      <c r="B640" s="4"/>
      <c r="C640" s="4"/>
      <c r="D640" s="4"/>
      <c r="E640" s="4" t="s">
        <v>21</v>
      </c>
      <c r="F640" s="89">
        <v>23750000</v>
      </c>
    </row>
    <row r="641" spans="1:6">
      <c r="A641" s="4"/>
      <c r="B641" s="4"/>
      <c r="C641" s="4"/>
      <c r="D641" s="4"/>
      <c r="E641" s="4" t="s">
        <v>44</v>
      </c>
      <c r="F641" s="89">
        <v>7250000</v>
      </c>
    </row>
    <row r="642" spans="1:6">
      <c r="A642" s="4"/>
      <c r="B642" s="4"/>
      <c r="C642" s="4"/>
      <c r="D642" s="4"/>
      <c r="E642" s="4" t="s">
        <v>94</v>
      </c>
      <c r="F642" s="89">
        <v>1600000</v>
      </c>
    </row>
    <row r="643" spans="1:6">
      <c r="A643" s="4"/>
      <c r="B643" s="4"/>
      <c r="C643" s="4"/>
      <c r="D643" s="4"/>
      <c r="E643" s="4" t="s">
        <v>22</v>
      </c>
      <c r="F643" s="89">
        <v>12500000</v>
      </c>
    </row>
    <row r="644" spans="1:6">
      <c r="A644" s="4"/>
      <c r="B644" s="4"/>
      <c r="C644" s="4"/>
      <c r="D644" s="4"/>
      <c r="E644" s="4" t="s">
        <v>24</v>
      </c>
      <c r="F644" s="89">
        <v>4500000</v>
      </c>
    </row>
    <row r="645" spans="1:6">
      <c r="A645" s="4"/>
      <c r="B645" s="4"/>
      <c r="C645" s="4"/>
      <c r="D645" s="4"/>
      <c r="E645" s="4" t="s">
        <v>26</v>
      </c>
      <c r="F645" s="89">
        <v>12400000</v>
      </c>
    </row>
    <row r="646" spans="1:6">
      <c r="A646" s="4"/>
      <c r="B646" s="4"/>
      <c r="C646" s="4"/>
      <c r="D646" s="4"/>
      <c r="E646" s="4" t="s">
        <v>45</v>
      </c>
      <c r="F646" s="89">
        <v>2352200.5</v>
      </c>
    </row>
    <row r="647" spans="1:6">
      <c r="A647" s="4" t="s">
        <v>696</v>
      </c>
      <c r="B647" s="4"/>
      <c r="C647" s="4"/>
      <c r="D647" s="4"/>
      <c r="E647" s="4"/>
      <c r="F647" s="89">
        <v>69927200.5</v>
      </c>
    </row>
    <row r="648" spans="1:6">
      <c r="A648" s="4" t="s">
        <v>333</v>
      </c>
      <c r="B648" s="4" t="s">
        <v>334</v>
      </c>
      <c r="C648" s="4" t="s">
        <v>42</v>
      </c>
      <c r="D648" s="4" t="s">
        <v>43</v>
      </c>
      <c r="E648" s="4" t="s">
        <v>18</v>
      </c>
      <c r="F648" s="89">
        <v>39000000</v>
      </c>
    </row>
    <row r="649" spans="1:6">
      <c r="A649" s="4"/>
      <c r="B649" s="4"/>
      <c r="C649" s="4"/>
      <c r="D649" s="4"/>
      <c r="E649" s="4" t="s">
        <v>20</v>
      </c>
      <c r="F649" s="89">
        <v>600000</v>
      </c>
    </row>
    <row r="650" spans="1:6">
      <c r="A650" s="4"/>
      <c r="B650" s="4"/>
      <c r="C650" s="4"/>
      <c r="D650" s="4"/>
      <c r="E650" s="4" t="s">
        <v>21</v>
      </c>
      <c r="F650" s="89">
        <v>31250000</v>
      </c>
    </row>
    <row r="651" spans="1:6">
      <c r="A651" s="4"/>
      <c r="B651" s="4"/>
      <c r="C651" s="4"/>
      <c r="D651" s="4"/>
      <c r="E651" s="4" t="s">
        <v>44</v>
      </c>
      <c r="F651" s="89">
        <v>7250000</v>
      </c>
    </row>
    <row r="652" spans="1:6">
      <c r="A652" s="4"/>
      <c r="B652" s="4"/>
      <c r="C652" s="4"/>
      <c r="D652" s="4"/>
      <c r="E652" s="4" t="s">
        <v>22</v>
      </c>
      <c r="F652" s="89">
        <v>9750000</v>
      </c>
    </row>
    <row r="653" spans="1:6">
      <c r="A653" s="4"/>
      <c r="B653" s="4"/>
      <c r="C653" s="4"/>
      <c r="D653" s="4"/>
      <c r="E653" s="4" t="s">
        <v>26</v>
      </c>
      <c r="F653" s="89">
        <v>28000000</v>
      </c>
    </row>
    <row r="654" spans="1:6">
      <c r="A654" s="4"/>
      <c r="B654" s="4"/>
      <c r="C654" s="4"/>
      <c r="D654" s="4"/>
      <c r="E654" s="4" t="s">
        <v>45</v>
      </c>
      <c r="F654" s="89">
        <v>1497600</v>
      </c>
    </row>
    <row r="655" spans="1:6">
      <c r="A655" s="4" t="s">
        <v>697</v>
      </c>
      <c r="B655" s="4"/>
      <c r="C655" s="4"/>
      <c r="D655" s="4"/>
      <c r="E655" s="4"/>
      <c r="F655" s="89">
        <v>117347600</v>
      </c>
    </row>
    <row r="656" spans="1:6">
      <c r="A656" s="4" t="s">
        <v>335</v>
      </c>
      <c r="B656" s="4" t="s">
        <v>336</v>
      </c>
      <c r="C656" s="4" t="s">
        <v>286</v>
      </c>
      <c r="D656" s="4" t="s">
        <v>53</v>
      </c>
      <c r="E656" s="4" t="s">
        <v>18</v>
      </c>
      <c r="F656" s="89">
        <v>7225000</v>
      </c>
    </row>
    <row r="657" spans="1:6">
      <c r="A657" s="4"/>
      <c r="B657" s="4"/>
      <c r="C657" s="4"/>
      <c r="D657" s="4"/>
      <c r="E657" s="4" t="s">
        <v>20</v>
      </c>
      <c r="F657" s="89">
        <v>3950000</v>
      </c>
    </row>
    <row r="658" spans="1:6">
      <c r="A658" s="4"/>
      <c r="B658" s="4"/>
      <c r="C658" s="4"/>
      <c r="D658" s="4"/>
      <c r="E658" s="4" t="s">
        <v>21</v>
      </c>
      <c r="F658" s="89">
        <v>33000000</v>
      </c>
    </row>
    <row r="659" spans="1:6">
      <c r="A659" s="4"/>
      <c r="B659" s="4"/>
      <c r="C659" s="4"/>
      <c r="D659" s="4"/>
      <c r="E659" s="4" t="s">
        <v>23</v>
      </c>
      <c r="F659" s="89">
        <v>5000000</v>
      </c>
    </row>
    <row r="660" spans="1:6">
      <c r="A660" s="4"/>
      <c r="B660" s="4"/>
      <c r="C660" s="4"/>
      <c r="D660" s="4"/>
      <c r="E660" s="4" t="s">
        <v>24</v>
      </c>
      <c r="F660" s="89">
        <v>3000000</v>
      </c>
    </row>
    <row r="661" spans="1:6">
      <c r="A661" s="4"/>
      <c r="B661" s="4"/>
      <c r="C661" s="4"/>
      <c r="D661" s="4"/>
      <c r="E661" s="4" t="s">
        <v>142</v>
      </c>
      <c r="F661" s="89">
        <v>750000</v>
      </c>
    </row>
    <row r="662" spans="1:6">
      <c r="A662" s="4"/>
      <c r="B662" s="4"/>
      <c r="C662" s="4"/>
      <c r="D662" s="4"/>
      <c r="E662" s="4" t="s">
        <v>287</v>
      </c>
      <c r="F662" s="89">
        <v>7500000</v>
      </c>
    </row>
    <row r="663" spans="1:6">
      <c r="A663" s="4"/>
      <c r="B663" s="4"/>
      <c r="C663" s="4"/>
      <c r="D663" s="4"/>
      <c r="E663" s="4" t="s">
        <v>26</v>
      </c>
      <c r="F663" s="89">
        <v>22200000</v>
      </c>
    </row>
    <row r="664" spans="1:6">
      <c r="A664" s="4"/>
      <c r="B664" s="4"/>
      <c r="C664" s="4"/>
      <c r="D664" s="4"/>
      <c r="E664" s="4" t="s">
        <v>247</v>
      </c>
      <c r="F664" s="89">
        <v>1000000</v>
      </c>
    </row>
    <row r="665" spans="1:6">
      <c r="A665" s="4"/>
      <c r="B665" s="4"/>
      <c r="C665" s="4"/>
      <c r="D665" s="4"/>
      <c r="E665" s="4" t="s">
        <v>92</v>
      </c>
      <c r="F665" s="89">
        <v>1750000</v>
      </c>
    </row>
    <row r="666" spans="1:6">
      <c r="A666" s="4" t="s">
        <v>698</v>
      </c>
      <c r="B666" s="4"/>
      <c r="C666" s="4"/>
      <c r="D666" s="4"/>
      <c r="E666" s="4"/>
      <c r="F666" s="89">
        <v>85375000</v>
      </c>
    </row>
    <row r="667" spans="1:6">
      <c r="A667" s="4" t="s">
        <v>337</v>
      </c>
      <c r="B667" s="4" t="s">
        <v>338</v>
      </c>
      <c r="C667" s="4" t="s">
        <v>283</v>
      </c>
      <c r="D667" s="4" t="s">
        <v>19</v>
      </c>
      <c r="E667" s="4" t="s">
        <v>18</v>
      </c>
      <c r="F667" s="89">
        <v>10500000</v>
      </c>
    </row>
    <row r="668" spans="1:6">
      <c r="A668" s="4"/>
      <c r="B668" s="4"/>
      <c r="C668" s="4"/>
      <c r="D668" s="4"/>
      <c r="E668" s="4" t="s">
        <v>21</v>
      </c>
      <c r="F668" s="89">
        <v>32000000</v>
      </c>
    </row>
    <row r="669" spans="1:6">
      <c r="A669" s="4"/>
      <c r="B669" s="4"/>
      <c r="C669" s="4"/>
      <c r="D669" s="4"/>
      <c r="E669" s="4" t="s">
        <v>22</v>
      </c>
      <c r="F669" s="89">
        <v>10000000</v>
      </c>
    </row>
    <row r="670" spans="1:6">
      <c r="A670" s="4"/>
      <c r="B670" s="4"/>
      <c r="C670" s="4"/>
      <c r="D670" s="4"/>
      <c r="E670" s="4" t="s">
        <v>30</v>
      </c>
      <c r="F670" s="89">
        <v>11500000</v>
      </c>
    </row>
    <row r="671" spans="1:6">
      <c r="A671" s="4" t="s">
        <v>699</v>
      </c>
      <c r="B671" s="4"/>
      <c r="C671" s="4"/>
      <c r="D671" s="4"/>
      <c r="E671" s="4"/>
      <c r="F671" s="89">
        <v>64000000</v>
      </c>
    </row>
    <row r="672" spans="1:6">
      <c r="A672" s="4" t="s">
        <v>339</v>
      </c>
      <c r="B672" s="4" t="s">
        <v>340</v>
      </c>
      <c r="C672" s="4" t="s">
        <v>283</v>
      </c>
      <c r="D672" s="4" t="s">
        <v>19</v>
      </c>
      <c r="E672" s="4" t="s">
        <v>18</v>
      </c>
      <c r="F672" s="89">
        <v>10500000</v>
      </c>
    </row>
    <row r="673" spans="1:6">
      <c r="A673" s="4"/>
      <c r="B673" s="4"/>
      <c r="C673" s="4"/>
      <c r="D673" s="4"/>
      <c r="E673" s="4" t="s">
        <v>21</v>
      </c>
      <c r="F673" s="89">
        <v>32000000</v>
      </c>
    </row>
    <row r="674" spans="1:6">
      <c r="A674" s="4"/>
      <c r="B674" s="4"/>
      <c r="C674" s="4"/>
      <c r="D674" s="4"/>
      <c r="E674" s="4" t="s">
        <v>22</v>
      </c>
      <c r="F674" s="89">
        <v>10000000</v>
      </c>
    </row>
    <row r="675" spans="1:6">
      <c r="A675" s="4"/>
      <c r="B675" s="4"/>
      <c r="C675" s="4"/>
      <c r="D675" s="4"/>
      <c r="E675" s="4" t="s">
        <v>30</v>
      </c>
      <c r="F675" s="89">
        <v>11500000</v>
      </c>
    </row>
    <row r="676" spans="1:6">
      <c r="A676" s="4" t="s">
        <v>700</v>
      </c>
      <c r="B676" s="4"/>
      <c r="C676" s="4"/>
      <c r="D676" s="4"/>
      <c r="E676" s="4"/>
      <c r="F676" s="89">
        <v>64000000</v>
      </c>
    </row>
    <row r="677" spans="1:6">
      <c r="A677" s="4" t="s">
        <v>341</v>
      </c>
      <c r="B677" s="4" t="s">
        <v>342</v>
      </c>
      <c r="C677" s="4" t="s">
        <v>17</v>
      </c>
      <c r="D677" s="4" t="s">
        <v>19</v>
      </c>
      <c r="E677" s="4" t="s">
        <v>18</v>
      </c>
      <c r="F677" s="89">
        <v>15147500</v>
      </c>
    </row>
    <row r="678" spans="1:6">
      <c r="A678" s="4"/>
      <c r="B678" s="4"/>
      <c r="C678" s="4"/>
      <c r="D678" s="4"/>
      <c r="E678" s="4" t="s">
        <v>13</v>
      </c>
      <c r="F678" s="89">
        <v>6957500</v>
      </c>
    </row>
    <row r="679" spans="1:6">
      <c r="A679" s="4"/>
      <c r="B679" s="4"/>
      <c r="C679" s="4"/>
      <c r="D679" s="4"/>
      <c r="E679" s="4" t="s">
        <v>20</v>
      </c>
      <c r="F679" s="89">
        <v>4156000</v>
      </c>
    </row>
    <row r="680" spans="1:6">
      <c r="A680" s="4"/>
      <c r="B680" s="4"/>
      <c r="C680" s="4"/>
      <c r="D680" s="4"/>
      <c r="E680" s="4" t="s">
        <v>21</v>
      </c>
      <c r="F680" s="89">
        <v>28047500</v>
      </c>
    </row>
    <row r="681" spans="1:6">
      <c r="A681" s="4"/>
      <c r="B681" s="4"/>
      <c r="C681" s="4"/>
      <c r="D681" s="4"/>
      <c r="E681" s="4" t="s">
        <v>22</v>
      </c>
      <c r="F681" s="89">
        <v>21000000</v>
      </c>
    </row>
    <row r="682" spans="1:6">
      <c r="A682" s="4"/>
      <c r="B682" s="4"/>
      <c r="C682" s="4"/>
      <c r="D682" s="4"/>
      <c r="E682" s="4" t="s">
        <v>23</v>
      </c>
      <c r="F682" s="89">
        <v>1050000</v>
      </c>
    </row>
    <row r="683" spans="1:6">
      <c r="A683" s="4"/>
      <c r="B683" s="4"/>
      <c r="C683" s="4"/>
      <c r="D683" s="4"/>
      <c r="E683" s="4" t="s">
        <v>24</v>
      </c>
      <c r="F683" s="89">
        <v>896000</v>
      </c>
    </row>
    <row r="684" spans="1:6">
      <c r="A684" s="4"/>
      <c r="B684" s="4"/>
      <c r="C684" s="4"/>
      <c r="D684" s="4"/>
      <c r="E684" s="4" t="s">
        <v>25</v>
      </c>
      <c r="F684" s="89">
        <v>1144000</v>
      </c>
    </row>
    <row r="685" spans="1:6">
      <c r="A685" s="4"/>
      <c r="B685" s="4"/>
      <c r="C685" s="4"/>
      <c r="D685" s="4"/>
      <c r="E685" s="4" t="s">
        <v>26</v>
      </c>
      <c r="F685" s="89">
        <v>28870000</v>
      </c>
    </row>
    <row r="686" spans="1:6">
      <c r="A686" s="4" t="s">
        <v>701</v>
      </c>
      <c r="B686" s="4"/>
      <c r="C686" s="4"/>
      <c r="D686" s="4"/>
      <c r="E686" s="4"/>
      <c r="F686" s="89">
        <v>107268500</v>
      </c>
    </row>
    <row r="687" spans="1:6">
      <c r="A687" s="4" t="s">
        <v>343</v>
      </c>
      <c r="B687" s="4" t="s">
        <v>344</v>
      </c>
      <c r="C687" s="4" t="s">
        <v>165</v>
      </c>
      <c r="D687" s="4" t="s">
        <v>19</v>
      </c>
      <c r="E687" s="4" t="s">
        <v>33</v>
      </c>
      <c r="F687" s="89">
        <v>1364760</v>
      </c>
    </row>
    <row r="688" spans="1:6">
      <c r="A688" s="4"/>
      <c r="B688" s="4"/>
      <c r="C688" s="4" t="s">
        <v>52</v>
      </c>
      <c r="D688" s="4" t="s">
        <v>53</v>
      </c>
      <c r="E688" s="4" t="s">
        <v>33</v>
      </c>
      <c r="F688" s="89">
        <v>58900</v>
      </c>
    </row>
    <row r="689" spans="1:6">
      <c r="A689" s="4"/>
      <c r="B689" s="4"/>
      <c r="C689" s="4" t="s">
        <v>81</v>
      </c>
      <c r="D689" s="4" t="s">
        <v>50</v>
      </c>
      <c r="E689" s="4" t="s">
        <v>49</v>
      </c>
      <c r="F689" s="89">
        <v>4181032</v>
      </c>
    </row>
    <row r="690" spans="1:6">
      <c r="A690" s="4"/>
      <c r="B690" s="4"/>
      <c r="C690" s="4" t="s">
        <v>133</v>
      </c>
      <c r="D690" s="4" t="s">
        <v>59</v>
      </c>
      <c r="E690" s="4" t="s">
        <v>33</v>
      </c>
      <c r="F690" s="89">
        <v>1136828</v>
      </c>
    </row>
    <row r="691" spans="1:6">
      <c r="A691" s="4"/>
      <c r="B691" s="4"/>
      <c r="C691" s="4" t="s">
        <v>345</v>
      </c>
      <c r="D691" s="4" t="s">
        <v>14</v>
      </c>
      <c r="E691" s="4" t="s">
        <v>18</v>
      </c>
      <c r="F691" s="89">
        <v>100000</v>
      </c>
    </row>
    <row r="692" spans="1:6">
      <c r="A692" s="4"/>
      <c r="B692" s="4"/>
      <c r="C692" s="4"/>
      <c r="D692" s="4"/>
      <c r="E692" s="4" t="s">
        <v>13</v>
      </c>
      <c r="F692" s="89">
        <v>1001000</v>
      </c>
    </row>
    <row r="693" spans="1:6">
      <c r="A693" s="4"/>
      <c r="B693" s="4"/>
      <c r="C693" s="4"/>
      <c r="D693" s="4"/>
      <c r="E693" s="4" t="s">
        <v>24</v>
      </c>
      <c r="F693" s="89">
        <v>1858000</v>
      </c>
    </row>
    <row r="694" spans="1:6">
      <c r="A694" s="4"/>
      <c r="B694" s="4"/>
      <c r="C694" s="4"/>
      <c r="D694" s="4"/>
      <c r="E694" s="4" t="s">
        <v>346</v>
      </c>
      <c r="F694" s="89">
        <v>1199968</v>
      </c>
    </row>
    <row r="695" spans="1:6">
      <c r="A695" s="4"/>
      <c r="B695" s="4"/>
      <c r="C695" s="4"/>
      <c r="D695" s="4"/>
      <c r="E695" s="4" t="s">
        <v>112</v>
      </c>
      <c r="F695" s="89">
        <v>600000</v>
      </c>
    </row>
    <row r="696" spans="1:6">
      <c r="A696" s="4"/>
      <c r="B696" s="4"/>
      <c r="C696" s="4"/>
      <c r="D696" s="4"/>
      <c r="E696" s="4" t="s">
        <v>155</v>
      </c>
      <c r="F696" s="89">
        <v>3202000</v>
      </c>
    </row>
    <row r="697" spans="1:6">
      <c r="A697" s="4"/>
      <c r="B697" s="4"/>
      <c r="C697" s="4" t="s">
        <v>326</v>
      </c>
      <c r="D697" s="4" t="s">
        <v>14</v>
      </c>
      <c r="E697" s="4" t="s">
        <v>33</v>
      </c>
      <c r="F697" s="89">
        <v>2255377</v>
      </c>
    </row>
    <row r="698" spans="1:6">
      <c r="A698" s="4" t="s">
        <v>702</v>
      </c>
      <c r="B698" s="4"/>
      <c r="C698" s="4"/>
      <c r="D698" s="4"/>
      <c r="E698" s="4"/>
      <c r="F698" s="89">
        <v>16957865</v>
      </c>
    </row>
    <row r="699" spans="1:6">
      <c r="A699" s="4" t="s">
        <v>347</v>
      </c>
      <c r="B699" s="4" t="s">
        <v>348</v>
      </c>
      <c r="C699" s="4" t="s">
        <v>48</v>
      </c>
      <c r="D699" s="4" t="s">
        <v>50</v>
      </c>
      <c r="E699" s="4" t="s">
        <v>33</v>
      </c>
      <c r="F699" s="89">
        <v>2240944</v>
      </c>
    </row>
    <row r="700" spans="1:6">
      <c r="A700" s="4"/>
      <c r="B700" s="4"/>
      <c r="C700" s="4" t="s">
        <v>133</v>
      </c>
      <c r="D700" s="4" t="s">
        <v>59</v>
      </c>
      <c r="E700" s="4" t="s">
        <v>49</v>
      </c>
      <c r="F700" s="89">
        <v>10480000</v>
      </c>
    </row>
    <row r="701" spans="1:6">
      <c r="A701" s="4"/>
      <c r="B701" s="4"/>
      <c r="C701" s="4"/>
      <c r="D701" s="4"/>
      <c r="E701" s="4" t="s">
        <v>33</v>
      </c>
      <c r="F701" s="89">
        <v>6331565</v>
      </c>
    </row>
    <row r="702" spans="1:6">
      <c r="A702" s="4"/>
      <c r="B702" s="4"/>
      <c r="C702" s="4"/>
      <c r="D702" s="4"/>
      <c r="E702" s="4" t="s">
        <v>58</v>
      </c>
      <c r="F702" s="89">
        <v>17592123</v>
      </c>
    </row>
    <row r="703" spans="1:6">
      <c r="A703" s="4"/>
      <c r="B703" s="4"/>
      <c r="C703" s="4" t="s">
        <v>326</v>
      </c>
      <c r="D703" s="4" t="s">
        <v>14</v>
      </c>
      <c r="E703" s="4" t="s">
        <v>33</v>
      </c>
      <c r="F703" s="89">
        <v>3239320</v>
      </c>
    </row>
    <row r="704" spans="1:6">
      <c r="A704" s="4" t="s">
        <v>703</v>
      </c>
      <c r="B704" s="4"/>
      <c r="C704" s="4"/>
      <c r="D704" s="4"/>
      <c r="E704" s="4"/>
      <c r="F704" s="89">
        <v>39883952</v>
      </c>
    </row>
    <row r="705" spans="1:6">
      <c r="A705" s="4" t="s">
        <v>349</v>
      </c>
      <c r="B705" s="4" t="s">
        <v>350</v>
      </c>
      <c r="C705" s="4" t="s">
        <v>91</v>
      </c>
      <c r="D705" s="4" t="s">
        <v>19</v>
      </c>
      <c r="E705" s="4" t="s">
        <v>21</v>
      </c>
      <c r="F705" s="89">
        <v>9750000</v>
      </c>
    </row>
    <row r="706" spans="1:6">
      <c r="A706" s="4"/>
      <c r="B706" s="4"/>
      <c r="C706" s="4"/>
      <c r="D706" s="4"/>
      <c r="E706" s="4" t="s">
        <v>26</v>
      </c>
      <c r="F706" s="89">
        <v>6675000</v>
      </c>
    </row>
    <row r="707" spans="1:6">
      <c r="A707" s="4"/>
      <c r="B707" s="4"/>
      <c r="C707" s="4"/>
      <c r="D707" s="4"/>
      <c r="E707" s="4" t="s">
        <v>92</v>
      </c>
      <c r="F707" s="89">
        <v>9000000</v>
      </c>
    </row>
    <row r="708" spans="1:6">
      <c r="A708" s="4"/>
      <c r="B708" s="4"/>
      <c r="C708" s="4" t="s">
        <v>93</v>
      </c>
      <c r="D708" s="4" t="s">
        <v>43</v>
      </c>
      <c r="E708" s="4" t="s">
        <v>13</v>
      </c>
      <c r="F708" s="89">
        <v>5852000</v>
      </c>
    </row>
    <row r="709" spans="1:6">
      <c r="A709" s="4"/>
      <c r="B709" s="4"/>
      <c r="C709" s="4"/>
      <c r="D709" s="4"/>
      <c r="E709" s="4" t="s">
        <v>21</v>
      </c>
      <c r="F709" s="89">
        <v>11000000</v>
      </c>
    </row>
    <row r="710" spans="1:6">
      <c r="A710" s="4"/>
      <c r="B710" s="4"/>
      <c r="C710" s="4"/>
      <c r="D710" s="4"/>
      <c r="E710" s="4" t="s">
        <v>94</v>
      </c>
      <c r="F710" s="89">
        <v>1000000</v>
      </c>
    </row>
    <row r="711" spans="1:6">
      <c r="A711" s="4"/>
      <c r="B711" s="4"/>
      <c r="C711" s="4"/>
      <c r="D711" s="4"/>
      <c r="E711" s="4" t="s">
        <v>26</v>
      </c>
      <c r="F711" s="89">
        <v>4750000</v>
      </c>
    </row>
    <row r="712" spans="1:6">
      <c r="A712" s="4" t="s">
        <v>704</v>
      </c>
      <c r="B712" s="4"/>
      <c r="C712" s="4"/>
      <c r="D712" s="4"/>
      <c r="E712" s="4"/>
      <c r="F712" s="89">
        <v>48027000</v>
      </c>
    </row>
    <row r="713" spans="1:6">
      <c r="A713" s="4" t="s">
        <v>351</v>
      </c>
      <c r="B713" s="4" t="s">
        <v>352</v>
      </c>
      <c r="C713" s="4" t="s">
        <v>353</v>
      </c>
      <c r="D713" s="4" t="s">
        <v>215</v>
      </c>
      <c r="E713" s="4" t="s">
        <v>98</v>
      </c>
      <c r="F713" s="89">
        <v>8000000</v>
      </c>
    </row>
    <row r="714" spans="1:6">
      <c r="A714" s="4"/>
      <c r="B714" s="4"/>
      <c r="C714" s="4"/>
      <c r="D714" s="4"/>
      <c r="E714" s="4" t="s">
        <v>100</v>
      </c>
      <c r="F714" s="89">
        <v>74484000</v>
      </c>
    </row>
    <row r="715" spans="1:6">
      <c r="A715" s="4"/>
      <c r="B715" s="4"/>
      <c r="C715" s="4"/>
      <c r="D715" s="4"/>
      <c r="E715" s="4" t="s">
        <v>216</v>
      </c>
      <c r="F715" s="89">
        <v>3290000</v>
      </c>
    </row>
    <row r="716" spans="1:6">
      <c r="A716" s="4" t="s">
        <v>705</v>
      </c>
      <c r="B716" s="4"/>
      <c r="C716" s="4"/>
      <c r="D716" s="4"/>
      <c r="E716" s="4"/>
      <c r="F716" s="89">
        <v>85774000</v>
      </c>
    </row>
    <row r="717" spans="1:6">
      <c r="A717" s="4" t="s">
        <v>354</v>
      </c>
      <c r="B717" s="4" t="s">
        <v>355</v>
      </c>
      <c r="C717" s="4" t="s">
        <v>176</v>
      </c>
      <c r="D717" s="4" t="s">
        <v>53</v>
      </c>
      <c r="E717" s="4" t="s">
        <v>18</v>
      </c>
      <c r="F717" s="89">
        <v>2500000</v>
      </c>
    </row>
    <row r="718" spans="1:6">
      <c r="A718" s="4"/>
      <c r="B718" s="4"/>
      <c r="C718" s="4"/>
      <c r="D718" s="4"/>
      <c r="E718" s="4" t="s">
        <v>13</v>
      </c>
      <c r="F718" s="89">
        <v>8140000</v>
      </c>
    </row>
    <row r="719" spans="1:6">
      <c r="A719" s="4"/>
      <c r="B719" s="4"/>
      <c r="C719" s="4"/>
      <c r="D719" s="4"/>
      <c r="E719" s="4" t="s">
        <v>21</v>
      </c>
      <c r="F719" s="89">
        <v>38000000</v>
      </c>
    </row>
    <row r="720" spans="1:6">
      <c r="A720" s="4"/>
      <c r="B720" s="4"/>
      <c r="C720" s="4"/>
      <c r="D720" s="4"/>
      <c r="E720" s="4" t="s">
        <v>194</v>
      </c>
      <c r="F720" s="89">
        <v>3347300</v>
      </c>
    </row>
    <row r="721" spans="1:6">
      <c r="A721" s="4"/>
      <c r="B721" s="4"/>
      <c r="C721" s="4"/>
      <c r="D721" s="4"/>
      <c r="E721" s="4" t="s">
        <v>94</v>
      </c>
      <c r="F721" s="89">
        <v>1850000</v>
      </c>
    </row>
    <row r="722" spans="1:6">
      <c r="A722" s="4"/>
      <c r="B722" s="4"/>
      <c r="C722" s="4"/>
      <c r="D722" s="4"/>
      <c r="E722" s="4" t="s">
        <v>23</v>
      </c>
      <c r="F722" s="89">
        <v>5701828.75</v>
      </c>
    </row>
    <row r="723" spans="1:6">
      <c r="A723" s="4"/>
      <c r="B723" s="4"/>
      <c r="C723" s="4"/>
      <c r="D723" s="4"/>
      <c r="E723" s="4" t="s">
        <v>24</v>
      </c>
      <c r="F723" s="89">
        <v>2030000</v>
      </c>
    </row>
    <row r="724" spans="1:6">
      <c r="A724" s="4"/>
      <c r="B724" s="4"/>
      <c r="C724" s="4"/>
      <c r="D724" s="4"/>
      <c r="E724" s="4" t="s">
        <v>143</v>
      </c>
      <c r="F724" s="89">
        <v>1000000</v>
      </c>
    </row>
    <row r="725" spans="1:6">
      <c r="A725" s="4"/>
      <c r="B725" s="4"/>
      <c r="C725" s="4"/>
      <c r="D725" s="4"/>
      <c r="E725" s="4" t="s">
        <v>26</v>
      </c>
      <c r="F725" s="89">
        <v>24250000</v>
      </c>
    </row>
    <row r="726" spans="1:6">
      <c r="A726" s="4"/>
      <c r="B726" s="4"/>
      <c r="C726" s="4"/>
      <c r="D726" s="4"/>
      <c r="E726" s="4" t="s">
        <v>98</v>
      </c>
      <c r="F726" s="89">
        <v>3000000</v>
      </c>
    </row>
    <row r="727" spans="1:6">
      <c r="A727" s="4" t="s">
        <v>706</v>
      </c>
      <c r="B727" s="4"/>
      <c r="C727" s="4"/>
      <c r="D727" s="4"/>
      <c r="E727" s="4"/>
      <c r="F727" s="89">
        <v>89819128.75</v>
      </c>
    </row>
    <row r="728" spans="1:6">
      <c r="A728" s="4" t="s">
        <v>356</v>
      </c>
      <c r="B728" s="4" t="s">
        <v>357</v>
      </c>
      <c r="C728" s="4" t="s">
        <v>358</v>
      </c>
      <c r="D728" s="4" t="s">
        <v>135</v>
      </c>
      <c r="E728" s="4" t="s">
        <v>18</v>
      </c>
      <c r="F728" s="89">
        <v>500000</v>
      </c>
    </row>
    <row r="729" spans="1:6">
      <c r="A729" s="4"/>
      <c r="B729" s="4"/>
      <c r="C729" s="4"/>
      <c r="D729" s="4"/>
      <c r="E729" s="4" t="s">
        <v>94</v>
      </c>
      <c r="F729" s="89">
        <v>900000</v>
      </c>
    </row>
    <row r="730" spans="1:6">
      <c r="A730" s="4"/>
      <c r="B730" s="4"/>
      <c r="C730" s="4"/>
      <c r="D730" s="4"/>
      <c r="E730" s="4" t="s">
        <v>26</v>
      </c>
      <c r="F730" s="89">
        <v>2150000</v>
      </c>
    </row>
    <row r="731" spans="1:6">
      <c r="A731" s="4"/>
      <c r="B731" s="4"/>
      <c r="C731" s="4"/>
      <c r="D731" s="4"/>
      <c r="E731" s="4" t="s">
        <v>155</v>
      </c>
      <c r="F731" s="89">
        <v>53254000</v>
      </c>
    </row>
    <row r="732" spans="1:6">
      <c r="A732" s="4"/>
      <c r="B732" s="4"/>
      <c r="C732" s="4"/>
      <c r="D732" s="4"/>
      <c r="E732" s="4" t="s">
        <v>216</v>
      </c>
      <c r="F732" s="89">
        <v>1410000</v>
      </c>
    </row>
    <row r="733" spans="1:6">
      <c r="A733" s="4"/>
      <c r="B733" s="4"/>
      <c r="C733" s="4"/>
      <c r="D733" s="4"/>
      <c r="E733" s="4" t="s">
        <v>58</v>
      </c>
      <c r="F733" s="89">
        <v>9643329</v>
      </c>
    </row>
    <row r="734" spans="1:6">
      <c r="A734" s="4" t="s">
        <v>707</v>
      </c>
      <c r="B734" s="4"/>
      <c r="C734" s="4"/>
      <c r="D734" s="4"/>
      <c r="E734" s="4"/>
      <c r="F734" s="89">
        <v>67857329</v>
      </c>
    </row>
    <row r="735" spans="1:6">
      <c r="A735" s="4" t="s">
        <v>359</v>
      </c>
      <c r="B735" s="4" t="s">
        <v>360</v>
      </c>
      <c r="C735" s="4" t="s">
        <v>134</v>
      </c>
      <c r="D735" s="4" t="s">
        <v>135</v>
      </c>
      <c r="E735" s="4" t="s">
        <v>49</v>
      </c>
      <c r="F735" s="89">
        <v>3760000</v>
      </c>
    </row>
    <row r="736" spans="1:6">
      <c r="A736" s="4"/>
      <c r="B736" s="4"/>
      <c r="C736" s="4"/>
      <c r="D736" s="4"/>
      <c r="E736" s="4" t="s">
        <v>30</v>
      </c>
      <c r="F736" s="89">
        <v>1500000</v>
      </c>
    </row>
    <row r="737" spans="1:6">
      <c r="A737" s="4"/>
      <c r="B737" s="4"/>
      <c r="C737" s="4"/>
      <c r="D737" s="4"/>
      <c r="E737" s="4" t="s">
        <v>33</v>
      </c>
      <c r="F737" s="89">
        <v>3359358</v>
      </c>
    </row>
    <row r="738" spans="1:6">
      <c r="A738" s="4"/>
      <c r="B738" s="4"/>
      <c r="C738" s="4"/>
      <c r="D738" s="4"/>
      <c r="E738" s="4" t="s">
        <v>58</v>
      </c>
      <c r="F738" s="89">
        <v>23390573</v>
      </c>
    </row>
    <row r="739" spans="1:6">
      <c r="A739" s="4" t="s">
        <v>708</v>
      </c>
      <c r="B739" s="4"/>
      <c r="C739" s="4"/>
      <c r="D739" s="4"/>
      <c r="E739" s="4"/>
      <c r="F739" s="89">
        <v>32009931</v>
      </c>
    </row>
    <row r="740" spans="1:6">
      <c r="A740" s="4" t="s">
        <v>361</v>
      </c>
      <c r="B740" s="4" t="s">
        <v>362</v>
      </c>
      <c r="C740" s="4" t="s">
        <v>136</v>
      </c>
      <c r="D740" s="4" t="s">
        <v>50</v>
      </c>
      <c r="E740" s="4" t="s">
        <v>49</v>
      </c>
      <c r="F740" s="89">
        <v>28271863</v>
      </c>
    </row>
    <row r="741" spans="1:6">
      <c r="A741" s="4"/>
      <c r="B741" s="4"/>
      <c r="C741" s="4"/>
      <c r="D741" s="4"/>
      <c r="E741" s="4" t="s">
        <v>33</v>
      </c>
      <c r="F741" s="89">
        <v>22810786</v>
      </c>
    </row>
    <row r="742" spans="1:6">
      <c r="A742" s="4"/>
      <c r="B742" s="4"/>
      <c r="C742" s="4" t="s">
        <v>81</v>
      </c>
      <c r="D742" s="4" t="s">
        <v>50</v>
      </c>
      <c r="E742" s="4" t="s">
        <v>49</v>
      </c>
      <c r="F742" s="89">
        <v>3249389</v>
      </c>
    </row>
    <row r="743" spans="1:6">
      <c r="A743" s="4" t="s">
        <v>709</v>
      </c>
      <c r="B743" s="4"/>
      <c r="C743" s="4"/>
      <c r="D743" s="4"/>
      <c r="E743" s="4"/>
      <c r="F743" s="89">
        <v>54332038</v>
      </c>
    </row>
    <row r="744" spans="1:6">
      <c r="A744" s="4" t="s">
        <v>363</v>
      </c>
      <c r="B744" s="4"/>
      <c r="C744" s="4" t="s">
        <v>119</v>
      </c>
      <c r="D744" s="4" t="s">
        <v>53</v>
      </c>
      <c r="E744" s="4" t="s">
        <v>18</v>
      </c>
      <c r="F744" s="89">
        <v>2000000</v>
      </c>
    </row>
    <row r="745" spans="1:6">
      <c r="A745" s="4"/>
      <c r="B745" s="4"/>
      <c r="C745" s="4"/>
      <c r="D745" s="4"/>
      <c r="E745" s="4" t="s">
        <v>21</v>
      </c>
      <c r="F745" s="89">
        <v>1000000</v>
      </c>
    </row>
    <row r="746" spans="1:6">
      <c r="A746" s="4"/>
      <c r="B746" s="4"/>
      <c r="C746" s="4"/>
      <c r="D746" s="4"/>
      <c r="E746" s="4" t="s">
        <v>247</v>
      </c>
      <c r="F746" s="89">
        <v>1750000</v>
      </c>
    </row>
    <row r="747" spans="1:6">
      <c r="A747" s="4"/>
      <c r="B747" s="4"/>
      <c r="C747" s="4"/>
      <c r="D747" s="4"/>
      <c r="E747" s="4" t="s">
        <v>92</v>
      </c>
      <c r="F747" s="89">
        <v>4500000</v>
      </c>
    </row>
    <row r="748" spans="1:6">
      <c r="A748" s="4"/>
      <c r="B748" s="4"/>
      <c r="C748" s="4" t="s">
        <v>276</v>
      </c>
      <c r="D748" s="4" t="s">
        <v>53</v>
      </c>
      <c r="E748" s="4" t="s">
        <v>24</v>
      </c>
      <c r="F748" s="89">
        <v>9000000</v>
      </c>
    </row>
    <row r="749" spans="1:6">
      <c r="A749" s="4" t="s">
        <v>710</v>
      </c>
      <c r="B749" s="4"/>
      <c r="C749" s="4"/>
      <c r="D749" s="4"/>
      <c r="E749" s="4"/>
      <c r="F749" s="89">
        <v>18250000</v>
      </c>
    </row>
    <row r="750" spans="1:6">
      <c r="A750" s="4" t="s">
        <v>364</v>
      </c>
      <c r="B750" s="4" t="s">
        <v>365</v>
      </c>
      <c r="C750" s="4" t="s">
        <v>91</v>
      </c>
      <c r="D750" s="4" t="s">
        <v>19</v>
      </c>
      <c r="E750" s="4" t="s">
        <v>18</v>
      </c>
      <c r="F750" s="89">
        <v>13250000</v>
      </c>
    </row>
    <row r="751" spans="1:6">
      <c r="A751" s="4"/>
      <c r="B751" s="4"/>
      <c r="C751" s="4"/>
      <c r="D751" s="4"/>
      <c r="E751" s="4" t="s">
        <v>247</v>
      </c>
      <c r="F751" s="89">
        <v>1200000</v>
      </c>
    </row>
    <row r="752" spans="1:6">
      <c r="A752" s="4"/>
      <c r="B752" s="4"/>
      <c r="C752" s="4"/>
      <c r="D752" s="4"/>
      <c r="E752" s="4" t="s">
        <v>248</v>
      </c>
      <c r="F752" s="89">
        <v>13750000</v>
      </c>
    </row>
    <row r="753" spans="1:6">
      <c r="A753" s="4"/>
      <c r="B753" s="4"/>
      <c r="C753" s="4" t="s">
        <v>230</v>
      </c>
      <c r="D753" s="4" t="s">
        <v>19</v>
      </c>
      <c r="E753" s="4" t="s">
        <v>13</v>
      </c>
      <c r="F753" s="89">
        <v>935000</v>
      </c>
    </row>
    <row r="754" spans="1:6">
      <c r="A754" s="4"/>
      <c r="B754" s="4"/>
      <c r="C754" s="4"/>
      <c r="D754" s="4"/>
      <c r="E754" s="4" t="s">
        <v>21</v>
      </c>
      <c r="F754" s="89">
        <v>30555556</v>
      </c>
    </row>
    <row r="755" spans="1:6">
      <c r="A755" s="4"/>
      <c r="B755" s="4"/>
      <c r="C755" s="4"/>
      <c r="D755" s="4"/>
      <c r="E755" s="4" t="s">
        <v>143</v>
      </c>
      <c r="F755" s="89">
        <v>1100000</v>
      </c>
    </row>
    <row r="756" spans="1:6">
      <c r="A756" s="4"/>
      <c r="B756" s="4"/>
      <c r="C756" s="4"/>
      <c r="D756" s="4"/>
      <c r="E756" s="4" t="s">
        <v>26</v>
      </c>
      <c r="F756" s="89">
        <v>2000000</v>
      </c>
    </row>
    <row r="757" spans="1:6">
      <c r="A757" s="4"/>
      <c r="B757" s="4"/>
      <c r="C757" s="4"/>
      <c r="D757" s="4"/>
      <c r="E757" s="4" t="s">
        <v>231</v>
      </c>
      <c r="F757" s="89">
        <v>1000000</v>
      </c>
    </row>
    <row r="758" spans="1:6">
      <c r="A758" s="4"/>
      <c r="B758" s="4"/>
      <c r="C758" s="4"/>
      <c r="D758" s="4"/>
      <c r="E758" s="4" t="s">
        <v>92</v>
      </c>
      <c r="F758" s="89">
        <v>20860000</v>
      </c>
    </row>
    <row r="759" spans="1:6">
      <c r="A759" s="4" t="s">
        <v>711</v>
      </c>
      <c r="B759" s="4"/>
      <c r="C759" s="4"/>
      <c r="D759" s="4"/>
      <c r="E759" s="4"/>
      <c r="F759" s="89">
        <v>84650556</v>
      </c>
    </row>
    <row r="760" spans="1:6">
      <c r="A760" s="4" t="s">
        <v>366</v>
      </c>
      <c r="B760" s="4" t="s">
        <v>367</v>
      </c>
      <c r="C760" s="4" t="s">
        <v>62</v>
      </c>
      <c r="D760" s="4" t="s">
        <v>31</v>
      </c>
      <c r="E760" s="4" t="s">
        <v>24</v>
      </c>
      <c r="F760" s="89">
        <v>6000000</v>
      </c>
    </row>
    <row r="761" spans="1:6">
      <c r="A761" s="4"/>
      <c r="B761" s="4"/>
      <c r="C761" s="4"/>
      <c r="D761" s="4"/>
      <c r="E761" s="4" t="s">
        <v>30</v>
      </c>
      <c r="F761" s="89">
        <v>11750000</v>
      </c>
    </row>
    <row r="762" spans="1:6">
      <c r="A762" s="4"/>
      <c r="B762" s="4"/>
      <c r="C762" s="4"/>
      <c r="D762" s="4"/>
      <c r="E762" s="4" t="s">
        <v>39</v>
      </c>
      <c r="F762" s="89">
        <v>61419000</v>
      </c>
    </row>
    <row r="763" spans="1:6">
      <c r="A763" s="4"/>
      <c r="B763" s="4"/>
      <c r="C763" s="4"/>
      <c r="D763" s="4"/>
      <c r="E763" s="4" t="s">
        <v>63</v>
      </c>
      <c r="F763" s="89">
        <v>9950000</v>
      </c>
    </row>
    <row r="764" spans="1:6">
      <c r="A764" s="4" t="s">
        <v>712</v>
      </c>
      <c r="B764" s="4"/>
      <c r="C764" s="4"/>
      <c r="D764" s="4"/>
      <c r="E764" s="4"/>
      <c r="F764" s="89">
        <v>89119000</v>
      </c>
    </row>
    <row r="765" spans="1:6">
      <c r="A765" s="4" t="s">
        <v>368</v>
      </c>
      <c r="B765" s="4" t="s">
        <v>75</v>
      </c>
      <c r="C765" s="4" t="s">
        <v>76</v>
      </c>
      <c r="D765" s="4" t="s">
        <v>31</v>
      </c>
      <c r="E765" s="4" t="s">
        <v>30</v>
      </c>
      <c r="F765" s="89">
        <v>12500000</v>
      </c>
    </row>
    <row r="766" spans="1:6">
      <c r="A766" s="4"/>
      <c r="B766" s="4"/>
      <c r="C766" s="4"/>
      <c r="D766" s="4"/>
      <c r="E766" s="4" t="s">
        <v>39</v>
      </c>
      <c r="F766" s="89">
        <v>29978000</v>
      </c>
    </row>
    <row r="767" spans="1:6">
      <c r="A767" s="4"/>
      <c r="B767" s="4"/>
      <c r="C767" s="4"/>
      <c r="D767" s="4"/>
      <c r="E767" s="4" t="s">
        <v>33</v>
      </c>
      <c r="F767" s="89">
        <v>6127000</v>
      </c>
    </row>
    <row r="768" spans="1:6">
      <c r="A768" s="4" t="s">
        <v>713</v>
      </c>
      <c r="B768" s="4"/>
      <c r="C768" s="4"/>
      <c r="D768" s="4"/>
      <c r="E768" s="4"/>
      <c r="F768" s="89">
        <v>48605000</v>
      </c>
    </row>
    <row r="769" spans="1:6">
      <c r="A769" s="4" t="s">
        <v>369</v>
      </c>
      <c r="B769" s="4" t="s">
        <v>78</v>
      </c>
      <c r="C769" s="4" t="s">
        <v>76</v>
      </c>
      <c r="D769" s="4" t="s">
        <v>31</v>
      </c>
      <c r="E769" s="4" t="s">
        <v>30</v>
      </c>
      <c r="F769" s="89">
        <v>12500000</v>
      </c>
    </row>
    <row r="770" spans="1:6">
      <c r="A770" s="4"/>
      <c r="B770" s="4"/>
      <c r="C770" s="4"/>
      <c r="D770" s="4"/>
      <c r="E770" s="4" t="s">
        <v>39</v>
      </c>
      <c r="F770" s="89">
        <v>29978000</v>
      </c>
    </row>
    <row r="771" spans="1:6">
      <c r="A771" s="4"/>
      <c r="B771" s="4"/>
      <c r="C771" s="4"/>
      <c r="D771" s="4"/>
      <c r="E771" s="4" t="s">
        <v>33</v>
      </c>
      <c r="F771" s="89">
        <v>6127000</v>
      </c>
    </row>
    <row r="772" spans="1:6">
      <c r="A772" s="4" t="s">
        <v>714</v>
      </c>
      <c r="B772" s="4"/>
      <c r="C772" s="4"/>
      <c r="D772" s="4"/>
      <c r="E772" s="4"/>
      <c r="F772" s="89">
        <v>48605000</v>
      </c>
    </row>
    <row r="773" spans="1:6">
      <c r="A773" s="4" t="s">
        <v>370</v>
      </c>
      <c r="B773" s="4"/>
      <c r="C773" s="4" t="s">
        <v>230</v>
      </c>
      <c r="D773" s="4" t="s">
        <v>19</v>
      </c>
      <c r="E773" s="4" t="s">
        <v>18</v>
      </c>
      <c r="F773" s="89">
        <v>1000000</v>
      </c>
    </row>
    <row r="774" spans="1:6">
      <c r="A774" s="4"/>
      <c r="B774" s="4"/>
      <c r="C774" s="4"/>
      <c r="D774" s="4"/>
      <c r="E774" s="4" t="s">
        <v>21</v>
      </c>
      <c r="F774" s="89">
        <v>9027778</v>
      </c>
    </row>
    <row r="775" spans="1:6">
      <c r="A775" s="4"/>
      <c r="B775" s="4"/>
      <c r="C775" s="4"/>
      <c r="D775" s="4"/>
      <c r="E775" s="4" t="s">
        <v>142</v>
      </c>
      <c r="F775" s="89">
        <v>11444400</v>
      </c>
    </row>
    <row r="776" spans="1:6">
      <c r="A776" s="4" t="s">
        <v>715</v>
      </c>
      <c r="B776" s="4"/>
      <c r="C776" s="4"/>
      <c r="D776" s="4"/>
      <c r="E776" s="4"/>
      <c r="F776" s="89">
        <v>21472178</v>
      </c>
    </row>
    <row r="777" spans="1:6">
      <c r="A777" s="4" t="s">
        <v>371</v>
      </c>
      <c r="B777" s="4" t="s">
        <v>372</v>
      </c>
      <c r="C777" s="4" t="s">
        <v>161</v>
      </c>
      <c r="D777" s="4" t="s">
        <v>53</v>
      </c>
      <c r="E777" s="4" t="s">
        <v>18</v>
      </c>
      <c r="F777" s="89">
        <v>82000</v>
      </c>
    </row>
    <row r="778" spans="1:6">
      <c r="A778" s="4"/>
      <c r="B778" s="4"/>
      <c r="C778" s="4"/>
      <c r="D778" s="4"/>
      <c r="E778" s="4" t="s">
        <v>13</v>
      </c>
      <c r="F778" s="89">
        <v>1362000</v>
      </c>
    </row>
    <row r="779" spans="1:6">
      <c r="A779" s="4"/>
      <c r="B779" s="4"/>
      <c r="C779" s="4"/>
      <c r="D779" s="4"/>
      <c r="E779" s="4" t="s">
        <v>21</v>
      </c>
      <c r="F779" s="89">
        <v>22500000</v>
      </c>
    </row>
    <row r="780" spans="1:6">
      <c r="A780" s="4"/>
      <c r="B780" s="4"/>
      <c r="C780" s="4"/>
      <c r="D780" s="4"/>
      <c r="E780" s="4" t="s">
        <v>24</v>
      </c>
      <c r="F780" s="89">
        <v>9000000</v>
      </c>
    </row>
    <row r="781" spans="1:6">
      <c r="A781" s="4"/>
      <c r="B781" s="4"/>
      <c r="C781" s="4"/>
      <c r="D781" s="4"/>
      <c r="E781" s="4" t="s">
        <v>26</v>
      </c>
      <c r="F781" s="89">
        <v>1000000</v>
      </c>
    </row>
    <row r="782" spans="1:6">
      <c r="A782" s="4"/>
      <c r="B782" s="4"/>
      <c r="C782" s="4"/>
      <c r="D782" s="4"/>
      <c r="E782" s="4" t="s">
        <v>227</v>
      </c>
      <c r="F782" s="89">
        <v>1532000</v>
      </c>
    </row>
    <row r="783" spans="1:6">
      <c r="A783" s="4" t="s">
        <v>716</v>
      </c>
      <c r="B783" s="4"/>
      <c r="C783" s="4"/>
      <c r="D783" s="4"/>
      <c r="E783" s="4"/>
      <c r="F783" s="89">
        <v>35476000</v>
      </c>
    </row>
    <row r="784" spans="1:6">
      <c r="A784" s="4" t="s">
        <v>373</v>
      </c>
      <c r="B784" s="4" t="s">
        <v>374</v>
      </c>
      <c r="C784" s="4" t="s">
        <v>208</v>
      </c>
      <c r="D784" s="4" t="s">
        <v>19</v>
      </c>
      <c r="E784" s="4" t="s">
        <v>18</v>
      </c>
      <c r="F784" s="89">
        <v>10250000</v>
      </c>
    </row>
    <row r="785" spans="1:6">
      <c r="A785" s="4"/>
      <c r="B785" s="4"/>
      <c r="C785" s="4"/>
      <c r="D785" s="4"/>
      <c r="E785" s="4" t="s">
        <v>13</v>
      </c>
      <c r="F785" s="89">
        <v>2586000</v>
      </c>
    </row>
    <row r="786" spans="1:6">
      <c r="A786" s="4"/>
      <c r="B786" s="4"/>
      <c r="C786" s="4"/>
      <c r="D786" s="4"/>
      <c r="E786" s="4" t="s">
        <v>21</v>
      </c>
      <c r="F786" s="89">
        <v>12500000</v>
      </c>
    </row>
    <row r="787" spans="1:6">
      <c r="A787" s="4"/>
      <c r="B787" s="4"/>
      <c r="C787" s="4"/>
      <c r="D787" s="4"/>
      <c r="E787" s="4" t="s">
        <v>44</v>
      </c>
      <c r="F787" s="89">
        <v>1750000</v>
      </c>
    </row>
    <row r="788" spans="1:6">
      <c r="A788" s="4"/>
      <c r="B788" s="4"/>
      <c r="C788" s="4"/>
      <c r="D788" s="4"/>
      <c r="E788" s="4" t="s">
        <v>30</v>
      </c>
      <c r="F788" s="89">
        <v>12500000</v>
      </c>
    </row>
    <row r="789" spans="1:6">
      <c r="A789" s="4" t="s">
        <v>717</v>
      </c>
      <c r="B789" s="4"/>
      <c r="C789" s="4"/>
      <c r="D789" s="4"/>
      <c r="E789" s="4"/>
      <c r="F789" s="89">
        <v>39586000</v>
      </c>
    </row>
    <row r="790" spans="1:6">
      <c r="A790" s="4" t="s">
        <v>375</v>
      </c>
      <c r="B790" s="4" t="s">
        <v>376</v>
      </c>
      <c r="C790" s="4" t="s">
        <v>208</v>
      </c>
      <c r="D790" s="4" t="s">
        <v>19</v>
      </c>
      <c r="E790" s="4" t="s">
        <v>21</v>
      </c>
      <c r="F790" s="89">
        <v>12500000</v>
      </c>
    </row>
    <row r="791" spans="1:6">
      <c r="A791" s="4"/>
      <c r="B791" s="4"/>
      <c r="C791" s="4"/>
      <c r="D791" s="4"/>
      <c r="E791" s="4" t="s">
        <v>44</v>
      </c>
      <c r="F791" s="89">
        <v>1750000</v>
      </c>
    </row>
    <row r="792" spans="1:6">
      <c r="A792" s="4"/>
      <c r="B792" s="4"/>
      <c r="C792" s="4"/>
      <c r="D792" s="4"/>
      <c r="E792" s="4" t="s">
        <v>30</v>
      </c>
      <c r="F792" s="89">
        <v>12500000</v>
      </c>
    </row>
    <row r="793" spans="1:6">
      <c r="A793" s="4" t="s">
        <v>718</v>
      </c>
      <c r="B793" s="4"/>
      <c r="C793" s="4"/>
      <c r="D793" s="4"/>
      <c r="E793" s="4"/>
      <c r="F793" s="89">
        <v>26750000</v>
      </c>
    </row>
    <row r="794" spans="1:6">
      <c r="A794" s="4" t="s">
        <v>377</v>
      </c>
      <c r="B794" s="4" t="s">
        <v>378</v>
      </c>
      <c r="C794" s="4" t="s">
        <v>379</v>
      </c>
      <c r="D794" s="4" t="s">
        <v>14</v>
      </c>
      <c r="E794" s="4" t="s">
        <v>13</v>
      </c>
      <c r="F794" s="89">
        <v>3000000</v>
      </c>
    </row>
    <row r="795" spans="1:6">
      <c r="A795" s="4"/>
      <c r="B795" s="4"/>
      <c r="C795" s="4"/>
      <c r="D795" s="4"/>
      <c r="E795" s="4" t="s">
        <v>44</v>
      </c>
      <c r="F795" s="89">
        <v>3800000</v>
      </c>
    </row>
    <row r="796" spans="1:6">
      <c r="A796" s="4"/>
      <c r="B796" s="4"/>
      <c r="C796" s="4"/>
      <c r="D796" s="4"/>
      <c r="E796" s="4" t="s">
        <v>26</v>
      </c>
      <c r="F796" s="89">
        <v>3150000</v>
      </c>
    </row>
    <row r="797" spans="1:6">
      <c r="A797" s="4"/>
      <c r="B797" s="4"/>
      <c r="C797" s="4"/>
      <c r="D797" s="4"/>
      <c r="E797" s="4" t="s">
        <v>380</v>
      </c>
      <c r="F797" s="89">
        <v>900000</v>
      </c>
    </row>
    <row r="798" spans="1:6">
      <c r="A798" s="4"/>
      <c r="B798" s="4"/>
      <c r="C798" s="4" t="s">
        <v>381</v>
      </c>
      <c r="D798" s="4" t="s">
        <v>14</v>
      </c>
      <c r="E798" s="4" t="s">
        <v>18</v>
      </c>
      <c r="F798" s="89">
        <v>900000</v>
      </c>
    </row>
    <row r="799" spans="1:6">
      <c r="A799" s="4"/>
      <c r="B799" s="4"/>
      <c r="C799" s="4"/>
      <c r="D799" s="4"/>
      <c r="E799" s="4" t="s">
        <v>26</v>
      </c>
      <c r="F799" s="89">
        <v>2000000</v>
      </c>
    </row>
    <row r="800" spans="1:6">
      <c r="A800" s="4" t="s">
        <v>719</v>
      </c>
      <c r="B800" s="4"/>
      <c r="C800" s="4"/>
      <c r="D800" s="4"/>
      <c r="E800" s="4"/>
      <c r="F800" s="89">
        <v>13750000</v>
      </c>
    </row>
    <row r="801" spans="1:6">
      <c r="A801" s="4" t="s">
        <v>382</v>
      </c>
      <c r="B801" s="4" t="s">
        <v>383</v>
      </c>
      <c r="C801" s="4" t="s">
        <v>384</v>
      </c>
      <c r="D801" s="4" t="s">
        <v>261</v>
      </c>
      <c r="E801" s="4" t="s">
        <v>44</v>
      </c>
      <c r="F801" s="89">
        <v>2200000</v>
      </c>
    </row>
    <row r="802" spans="1:6">
      <c r="A802" s="4"/>
      <c r="B802" s="4"/>
      <c r="C802" s="4" t="s">
        <v>8</v>
      </c>
      <c r="D802" s="4" t="s">
        <v>10</v>
      </c>
      <c r="E802" s="4" t="s">
        <v>143</v>
      </c>
      <c r="F802" s="89">
        <v>1000000</v>
      </c>
    </row>
    <row r="803" spans="1:6">
      <c r="A803" s="4"/>
      <c r="B803" s="4"/>
      <c r="C803" s="4"/>
      <c r="D803" s="4"/>
      <c r="E803" s="4" t="s">
        <v>26</v>
      </c>
      <c r="F803" s="89">
        <v>10100000</v>
      </c>
    </row>
    <row r="804" spans="1:6">
      <c r="A804" s="4" t="s">
        <v>720</v>
      </c>
      <c r="B804" s="4"/>
      <c r="C804" s="4"/>
      <c r="D804" s="4"/>
      <c r="E804" s="4"/>
      <c r="F804" s="89">
        <v>13300000</v>
      </c>
    </row>
    <row r="805" spans="1:6">
      <c r="A805" s="4" t="s">
        <v>385</v>
      </c>
      <c r="B805" s="4" t="s">
        <v>386</v>
      </c>
      <c r="C805" s="4" t="s">
        <v>103</v>
      </c>
      <c r="D805" s="4" t="s">
        <v>43</v>
      </c>
      <c r="E805" s="4" t="s">
        <v>26</v>
      </c>
      <c r="F805" s="89">
        <v>1500000</v>
      </c>
    </row>
    <row r="806" spans="1:6">
      <c r="A806" s="4" t="s">
        <v>721</v>
      </c>
      <c r="B806" s="4"/>
      <c r="C806" s="4"/>
      <c r="D806" s="4"/>
      <c r="E806" s="4"/>
      <c r="F806" s="89">
        <v>1500000</v>
      </c>
    </row>
    <row r="807" spans="1:6">
      <c r="A807" s="4" t="s">
        <v>387</v>
      </c>
      <c r="B807" s="4"/>
      <c r="C807" s="4" t="s">
        <v>205</v>
      </c>
      <c r="D807" s="4" t="s">
        <v>53</v>
      </c>
      <c r="E807" s="4" t="s">
        <v>26</v>
      </c>
      <c r="F807" s="89">
        <v>6000000</v>
      </c>
    </row>
    <row r="808" spans="1:6">
      <c r="A808" s="4" t="s">
        <v>722</v>
      </c>
      <c r="B808" s="4"/>
      <c r="C808" s="4"/>
      <c r="D808" s="4"/>
      <c r="E808" s="4"/>
      <c r="F808" s="89">
        <v>6000000</v>
      </c>
    </row>
    <row r="809" spans="1:6">
      <c r="A809" s="4" t="s">
        <v>388</v>
      </c>
      <c r="B809" s="4" t="s">
        <v>389</v>
      </c>
      <c r="C809" s="4" t="s">
        <v>283</v>
      </c>
      <c r="D809" s="4" t="s">
        <v>19</v>
      </c>
      <c r="E809" s="4" t="s">
        <v>20</v>
      </c>
      <c r="F809" s="89">
        <v>1250000</v>
      </c>
    </row>
    <row r="810" spans="1:6">
      <c r="A810" s="4"/>
      <c r="B810" s="4"/>
      <c r="C810" s="4"/>
      <c r="D810" s="4"/>
      <c r="E810" s="4" t="s">
        <v>143</v>
      </c>
      <c r="F810" s="89">
        <v>1000000</v>
      </c>
    </row>
    <row r="811" spans="1:6">
      <c r="A811" s="4"/>
      <c r="B811" s="4"/>
      <c r="C811" s="4"/>
      <c r="D811" s="4"/>
      <c r="E811" s="4" t="s">
        <v>92</v>
      </c>
      <c r="F811" s="89">
        <v>11250000</v>
      </c>
    </row>
    <row r="812" spans="1:6">
      <c r="A812" s="4" t="s">
        <v>723</v>
      </c>
      <c r="B812" s="4"/>
      <c r="C812" s="4"/>
      <c r="D812" s="4"/>
      <c r="E812" s="4"/>
      <c r="F812" s="89">
        <v>13500000</v>
      </c>
    </row>
    <row r="813" spans="1:6">
      <c r="A813" s="4" t="s">
        <v>390</v>
      </c>
      <c r="B813" s="4" t="s">
        <v>391</v>
      </c>
      <c r="C813" s="4" t="s">
        <v>392</v>
      </c>
      <c r="D813" s="4" t="s">
        <v>215</v>
      </c>
      <c r="E813" s="4" t="s">
        <v>98</v>
      </c>
      <c r="F813" s="89">
        <v>2000000</v>
      </c>
    </row>
    <row r="814" spans="1:6">
      <c r="A814" s="4"/>
      <c r="B814" s="4"/>
      <c r="C814" s="4"/>
      <c r="D814" s="4"/>
      <c r="E814" s="4" t="s">
        <v>100</v>
      </c>
      <c r="F814" s="89">
        <v>70966000</v>
      </c>
    </row>
    <row r="815" spans="1:6">
      <c r="A815" s="4" t="s">
        <v>724</v>
      </c>
      <c r="B815" s="4"/>
      <c r="C815" s="4"/>
      <c r="D815" s="4"/>
      <c r="E815" s="4"/>
      <c r="F815" s="89">
        <v>72966000</v>
      </c>
    </row>
    <row r="816" spans="1:6">
      <c r="A816" s="4" t="s">
        <v>393</v>
      </c>
      <c r="B816" s="4"/>
      <c r="C816" s="4" t="s">
        <v>394</v>
      </c>
      <c r="D816" s="4"/>
      <c r="E816" s="4" t="s">
        <v>380</v>
      </c>
      <c r="F816" s="89">
        <v>21000000</v>
      </c>
    </row>
    <row r="817" spans="1:6">
      <c r="A817" s="4"/>
      <c r="B817" s="4"/>
      <c r="C817" s="4" t="s">
        <v>395</v>
      </c>
      <c r="D817" s="4"/>
      <c r="E817" s="4" t="s">
        <v>380</v>
      </c>
      <c r="F817" s="89">
        <v>21000000</v>
      </c>
    </row>
    <row r="818" spans="1:6">
      <c r="A818" s="4"/>
      <c r="B818" s="4"/>
      <c r="C818" s="4" t="s">
        <v>396</v>
      </c>
      <c r="D818" s="4"/>
      <c r="E818" s="4" t="s">
        <v>44</v>
      </c>
      <c r="F818" s="89">
        <v>14500000</v>
      </c>
    </row>
    <row r="819" spans="1:6">
      <c r="A819" s="4"/>
      <c r="B819" s="4"/>
      <c r="C819" s="4" t="s">
        <v>397</v>
      </c>
      <c r="D819" s="4"/>
      <c r="E819" s="4" t="s">
        <v>150</v>
      </c>
      <c r="F819" s="89">
        <v>18000000</v>
      </c>
    </row>
    <row r="820" spans="1:6">
      <c r="A820" s="4"/>
      <c r="B820" s="4"/>
      <c r="C820" s="4" t="s">
        <v>398</v>
      </c>
      <c r="D820" s="4"/>
      <c r="E820" s="4" t="s">
        <v>150</v>
      </c>
      <c r="F820" s="89">
        <v>18000000</v>
      </c>
    </row>
    <row r="821" spans="1:6">
      <c r="A821" s="4" t="s">
        <v>725</v>
      </c>
      <c r="B821" s="4"/>
      <c r="C821" s="4"/>
      <c r="D821" s="4"/>
      <c r="E821" s="4"/>
      <c r="F821" s="89">
        <v>92500000</v>
      </c>
    </row>
    <row r="822" spans="1:6">
      <c r="A822" s="4" t="s">
        <v>399</v>
      </c>
      <c r="B822" s="4" t="s">
        <v>400</v>
      </c>
      <c r="C822" s="4" t="s">
        <v>266</v>
      </c>
      <c r="D822" s="4" t="s">
        <v>43</v>
      </c>
      <c r="E822" s="4" t="s">
        <v>18</v>
      </c>
      <c r="F822" s="89">
        <v>5750000</v>
      </c>
    </row>
    <row r="823" spans="1:6">
      <c r="A823" s="4"/>
      <c r="B823" s="4"/>
      <c r="C823" s="4"/>
      <c r="D823" s="4"/>
      <c r="E823" s="4" t="s">
        <v>13</v>
      </c>
      <c r="F823" s="89">
        <v>880000</v>
      </c>
    </row>
    <row r="824" spans="1:6">
      <c r="A824" s="4"/>
      <c r="B824" s="4"/>
      <c r="C824" s="4"/>
      <c r="D824" s="4"/>
      <c r="E824" s="4" t="s">
        <v>21</v>
      </c>
      <c r="F824" s="89">
        <v>30500000</v>
      </c>
    </row>
    <row r="825" spans="1:6">
      <c r="A825" s="4"/>
      <c r="B825" s="4"/>
      <c r="C825" s="4"/>
      <c r="D825" s="4"/>
      <c r="E825" s="4" t="s">
        <v>44</v>
      </c>
      <c r="F825" s="89">
        <v>7250000</v>
      </c>
    </row>
    <row r="826" spans="1:6">
      <c r="A826" s="4"/>
      <c r="B826" s="4"/>
      <c r="C826" s="4"/>
      <c r="D826" s="4"/>
      <c r="E826" s="4" t="s">
        <v>94</v>
      </c>
      <c r="F826" s="89">
        <v>1750000</v>
      </c>
    </row>
    <row r="827" spans="1:6">
      <c r="A827" s="4"/>
      <c r="B827" s="4"/>
      <c r="C827" s="4"/>
      <c r="D827" s="4"/>
      <c r="E827" s="4" t="s">
        <v>22</v>
      </c>
      <c r="F827" s="89">
        <v>5000000</v>
      </c>
    </row>
    <row r="828" spans="1:6">
      <c r="A828" s="4"/>
      <c r="B828" s="4"/>
      <c r="C828" s="4"/>
      <c r="D828" s="4"/>
      <c r="E828" s="4" t="s">
        <v>24</v>
      </c>
      <c r="F828" s="89">
        <v>20500000</v>
      </c>
    </row>
    <row r="829" spans="1:6">
      <c r="A829" s="4"/>
      <c r="B829" s="4"/>
      <c r="C829" s="4"/>
      <c r="D829" s="4"/>
      <c r="E829" s="4" t="s">
        <v>26</v>
      </c>
      <c r="F829" s="89">
        <v>3575000</v>
      </c>
    </row>
    <row r="830" spans="1:6">
      <c r="A830" s="4"/>
      <c r="B830" s="4"/>
      <c r="C830" s="4"/>
      <c r="D830" s="4"/>
      <c r="E830" s="4" t="s">
        <v>267</v>
      </c>
      <c r="F830" s="89">
        <v>2000000</v>
      </c>
    </row>
    <row r="831" spans="1:6">
      <c r="A831" s="4"/>
      <c r="B831" s="4"/>
      <c r="C831" s="4"/>
      <c r="D831" s="4"/>
      <c r="E831" s="4" t="s">
        <v>150</v>
      </c>
      <c r="F831" s="89">
        <v>1807500</v>
      </c>
    </row>
    <row r="832" spans="1:6">
      <c r="A832" s="4" t="s">
        <v>726</v>
      </c>
      <c r="B832" s="4"/>
      <c r="C832" s="4"/>
      <c r="D832" s="4"/>
      <c r="E832" s="4"/>
      <c r="F832" s="89">
        <v>79012500</v>
      </c>
    </row>
    <row r="833" spans="1:6">
      <c r="A833" s="4" t="s">
        <v>401</v>
      </c>
      <c r="B833" s="4" t="s">
        <v>402</v>
      </c>
      <c r="C833" s="4" t="s">
        <v>48</v>
      </c>
      <c r="D833" s="4" t="s">
        <v>50</v>
      </c>
      <c r="E833" s="4" t="s">
        <v>33</v>
      </c>
      <c r="F833" s="89">
        <v>4515750</v>
      </c>
    </row>
    <row r="834" spans="1:6">
      <c r="A834" s="4"/>
      <c r="B834" s="4"/>
      <c r="C834" s="4" t="s">
        <v>403</v>
      </c>
      <c r="D834" s="4" t="s">
        <v>257</v>
      </c>
      <c r="E834" s="4" t="s">
        <v>33</v>
      </c>
      <c r="F834" s="89">
        <v>1860582</v>
      </c>
    </row>
    <row r="835" spans="1:6">
      <c r="A835" s="4"/>
      <c r="B835" s="4"/>
      <c r="C835" s="4"/>
      <c r="D835" s="4"/>
      <c r="E835" s="4" t="s">
        <v>58</v>
      </c>
      <c r="F835" s="89">
        <v>54044077.5</v>
      </c>
    </row>
    <row r="836" spans="1:6">
      <c r="A836" s="4" t="s">
        <v>727</v>
      </c>
      <c r="B836" s="4"/>
      <c r="C836" s="4"/>
      <c r="D836" s="4"/>
      <c r="E836" s="4"/>
      <c r="F836" s="89">
        <v>60420409.5</v>
      </c>
    </row>
    <row r="837" spans="1:6">
      <c r="A837" s="4" t="s">
        <v>404</v>
      </c>
      <c r="B837" s="4"/>
      <c r="C837" s="4"/>
      <c r="D837" s="4"/>
      <c r="E837" s="4"/>
      <c r="F837" s="89">
        <v>8561365747.25</v>
      </c>
    </row>
  </sheetData>
  <autoFilter xmlns:etc="http://www.wps.cn/officeDocument/2017/etCustomData" ref="A3:F839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11"/>
  <sheetViews>
    <sheetView tabSelected="1" zoomScale="71" zoomScaleNormal="71" workbookViewId="0">
      <pane xSplit="6" ySplit="3" topLeftCell="G4" activePane="bottomRight" state="frozen"/>
      <selection/>
      <selection pane="topRight"/>
      <selection pane="bottomLeft"/>
      <selection pane="bottomRight" activeCell="I10" sqref="I10"/>
    </sheetView>
  </sheetViews>
  <sheetFormatPr defaultColWidth="10" defaultRowHeight="31.5" customHeight="1"/>
  <cols>
    <col min="1" max="1" width="10" style="39"/>
    <col min="2" max="2" width="14.1428571428571" style="40" customWidth="1"/>
    <col min="3" max="3" width="13.5714285714286" style="39" customWidth="1"/>
    <col min="4" max="4" width="23.5714285714286" style="41" customWidth="1"/>
    <col min="5" max="5" width="23.7142857142857" style="41" customWidth="1"/>
    <col min="6" max="6" width="15.2857142857143" style="41" customWidth="1"/>
    <col min="7" max="7" width="27.8571428571429" style="42" customWidth="1"/>
    <col min="8" max="8" width="25.1428571428571" style="42" customWidth="1"/>
    <col min="9" max="9" width="17.4285714285714" style="39" customWidth="1"/>
    <col min="10" max="10" width="32.5714285714286" style="43" customWidth="1"/>
    <col min="11" max="11" width="14.5714285714286" style="41" customWidth="1"/>
    <col min="12" max="12" width="31.4285714285714" style="44" customWidth="1"/>
    <col min="13" max="13" width="20.1428571428571" style="44" customWidth="1"/>
    <col min="14" max="14" width="20.4285714285714" style="44" customWidth="1"/>
    <col min="15" max="15" width="18" style="39" customWidth="1"/>
    <col min="16" max="16" width="19" style="41" customWidth="1"/>
    <col min="17" max="17" width="10" style="39"/>
    <col min="18" max="18" width="18.1428571428571" style="39" customWidth="1"/>
    <col min="19" max="19" width="18.1428571428571" style="44" customWidth="1"/>
    <col min="20" max="16384" width="10" style="45"/>
  </cols>
  <sheetData>
    <row r="1" ht="30" customHeight="1" spans="1:19">
      <c r="A1" s="46" t="s">
        <v>728</v>
      </c>
      <c r="B1" s="46"/>
      <c r="C1" s="46"/>
      <c r="D1" s="46"/>
      <c r="E1" s="46"/>
      <c r="F1" s="46"/>
      <c r="G1" s="47"/>
      <c r="H1" s="48"/>
      <c r="I1" s="49"/>
      <c r="J1" s="50"/>
      <c r="K1" s="48"/>
      <c r="L1" s="51"/>
      <c r="M1" s="51"/>
      <c r="N1" s="51"/>
      <c r="O1" s="52" t="s">
        <v>729</v>
      </c>
      <c r="P1" s="53">
        <v>1</v>
      </c>
      <c r="Q1" s="49"/>
      <c r="R1" s="49"/>
      <c r="S1" s="51"/>
    </row>
    <row r="2" s="36" customFormat="1" ht="33.75" customHeight="1" spans="1:19">
      <c r="B2" s="54"/>
      <c r="D2" s="55"/>
      <c r="E2" s="55"/>
      <c r="F2" s="55"/>
      <c r="G2" s="46"/>
      <c r="H2" s="46"/>
      <c r="J2" s="56"/>
      <c r="K2" s="55"/>
      <c r="L2" s="57">
        <f>SUBTOTAL(9,L4:L29910)</f>
        <v>8774271747.25</v>
      </c>
      <c r="M2" s="57">
        <f>SUBTOTAL(9,M4:M29910)</f>
        <v>212906000</v>
      </c>
      <c r="N2" s="57">
        <f>SUBTOTAL(9,N4:N29910)</f>
        <v>8561365747.25</v>
      </c>
      <c r="O2" s="57">
        <f>SUBTOTAL(9,O4:O29910)</f>
        <v>8561365747.25</v>
      </c>
      <c r="P2" s="55"/>
      <c r="S2" s="57">
        <f>SUBTOTAL(9,S4:S29910)</f>
        <v>158952222.5</v>
      </c>
    </row>
    <row r="3" s="36" customFormat="1" ht="57.75" customHeight="1" spans="1:19">
      <c r="A3" s="58" t="s">
        <v>730</v>
      </c>
      <c r="B3" s="59" t="s">
        <v>731</v>
      </c>
      <c r="C3" s="59" t="s">
        <v>732</v>
      </c>
      <c r="D3" s="60" t="s">
        <v>3</v>
      </c>
      <c r="E3" s="60" t="s">
        <v>733</v>
      </c>
      <c r="F3" s="60" t="s">
        <v>734</v>
      </c>
      <c r="G3" s="60" t="s">
        <v>735</v>
      </c>
      <c r="H3" s="60" t="s">
        <v>736</v>
      </c>
      <c r="I3" s="58" t="s">
        <v>2</v>
      </c>
      <c r="J3" s="61" t="s">
        <v>405</v>
      </c>
      <c r="K3" s="60" t="s">
        <v>737</v>
      </c>
      <c r="L3" s="62" t="s">
        <v>738</v>
      </c>
      <c r="M3" s="62" t="s">
        <v>739</v>
      </c>
      <c r="N3" s="62" t="s">
        <v>740</v>
      </c>
      <c r="O3" s="58" t="s">
        <v>741</v>
      </c>
      <c r="P3" s="60" t="s">
        <v>1</v>
      </c>
      <c r="Q3" s="58" t="s">
        <v>4</v>
      </c>
      <c r="R3" s="58" t="s">
        <v>742</v>
      </c>
      <c r="S3" s="62" t="s">
        <v>743</v>
      </c>
    </row>
    <row r="4" ht="33.6" customHeight="1" spans="1:19">
      <c r="A4" s="63">
        <v>1</v>
      </c>
      <c r="B4" s="64">
        <v>46154</v>
      </c>
      <c r="C4" s="65"/>
      <c r="D4" s="66" t="s">
        <v>194</v>
      </c>
      <c r="E4" s="66" t="s">
        <v>194</v>
      </c>
      <c r="F4" s="66" t="s">
        <v>744</v>
      </c>
      <c r="G4" s="66" t="s">
        <v>745</v>
      </c>
      <c r="H4" s="66" t="s">
        <v>746</v>
      </c>
      <c r="I4" s="66" t="s">
        <v>176</v>
      </c>
      <c r="J4" s="66" t="s">
        <v>192</v>
      </c>
      <c r="K4" s="66" t="s">
        <v>747</v>
      </c>
      <c r="L4" s="67">
        <v>3467300</v>
      </c>
      <c r="M4" s="67">
        <v>120000</v>
      </c>
      <c r="N4" s="68">
        <f>L4-M4</f>
        <v>3347300</v>
      </c>
      <c r="O4" s="69">
        <f>N4/$P$1</f>
        <v>3347300</v>
      </c>
      <c r="P4" s="42" t="str">
        <f>IFERROR(VLOOKUP(J4,'Mã NV'!$B:$C,2,0),"")</f>
        <v>XE01335</v>
      </c>
      <c r="Q4" s="70" t="str">
        <f>IFERROR(VLOOKUP(I4,'Mã NV'!$J:$K,2,0),"")</f>
        <v>8T</v>
      </c>
    </row>
    <row r="5" ht="33.6" customHeight="1" spans="1:19">
      <c r="A5" s="63">
        <f>A4+1</f>
        <v>2</v>
      </c>
      <c r="B5" s="64">
        <v>46154</v>
      </c>
      <c r="C5" s="65"/>
      <c r="D5" s="66" t="s">
        <v>194</v>
      </c>
      <c r="E5" s="66" t="s">
        <v>194</v>
      </c>
      <c r="F5" s="66" t="s">
        <v>744</v>
      </c>
      <c r="G5" s="66" t="s">
        <v>745</v>
      </c>
      <c r="H5" s="66" t="s">
        <v>746</v>
      </c>
      <c r="I5" s="66" t="s">
        <v>176</v>
      </c>
      <c r="J5" s="66" t="s">
        <v>354</v>
      </c>
      <c r="K5" s="66" t="s">
        <v>747</v>
      </c>
      <c r="L5" s="67">
        <v>3467300</v>
      </c>
      <c r="M5" s="67">
        <v>120000</v>
      </c>
      <c r="N5" s="68">
        <f t="shared" ref="N5:N71" si="0">L5-M5</f>
        <v>3347300</v>
      </c>
      <c r="O5" s="69">
        <f t="shared" ref="O5:O70" si="1">N5/$P$1</f>
        <v>3347300</v>
      </c>
      <c r="P5" s="42" t="str">
        <f>IFERROR(VLOOKUP(J5,'Mã NV'!$B:$C,2,0),"")</f>
        <v>XE01644</v>
      </c>
      <c r="Q5" s="70" t="str">
        <f>IFERROR(VLOOKUP(I5,'Mã NV'!$J:$K,2,0),"")</f>
        <v>8T</v>
      </c>
      <c r="R5" s="70"/>
      <c r="S5" s="68"/>
    </row>
    <row r="6" ht="33.6" customHeight="1" spans="1:19">
      <c r="A6" s="63">
        <f t="shared" ref="A6:A69" si="2">A5+1</f>
        <v>3</v>
      </c>
      <c r="B6" s="64">
        <v>46156</v>
      </c>
      <c r="C6" s="65"/>
      <c r="D6" s="66" t="s">
        <v>194</v>
      </c>
      <c r="E6" s="66" t="s">
        <v>194</v>
      </c>
      <c r="F6" s="66" t="s">
        <v>748</v>
      </c>
      <c r="G6" s="66" t="s">
        <v>745</v>
      </c>
      <c r="H6" s="66" t="s">
        <v>746</v>
      </c>
      <c r="I6" s="66" t="s">
        <v>323</v>
      </c>
      <c r="J6" s="66" t="s">
        <v>321</v>
      </c>
      <c r="K6" s="66" t="s">
        <v>747</v>
      </c>
      <c r="L6" s="67">
        <v>1733650</v>
      </c>
      <c r="M6" s="67">
        <v>60000</v>
      </c>
      <c r="N6" s="68">
        <v>1673650</v>
      </c>
      <c r="O6" s="69">
        <f t="shared" si="1"/>
        <v>1673650</v>
      </c>
      <c r="P6" s="42" t="str">
        <f>IFERROR(VLOOKUP(J6,'Mã NV'!$B:$C,2,0),"")</f>
        <v>XE01537</v>
      </c>
      <c r="Q6" s="70" t="str">
        <f>IFERROR(VLOOKUP(I6,'Mã NV'!$J:$K,2,0),"")</f>
        <v>2.5T</v>
      </c>
      <c r="R6" s="70"/>
      <c r="S6" s="68"/>
    </row>
    <row r="7" ht="33.6" customHeight="1" spans="1:19">
      <c r="A7" s="63">
        <f t="shared" si="2"/>
        <v>4</v>
      </c>
      <c r="B7" s="64">
        <v>46160</v>
      </c>
      <c r="C7" s="65"/>
      <c r="D7" s="66" t="s">
        <v>247</v>
      </c>
      <c r="E7" s="66" t="s">
        <v>749</v>
      </c>
      <c r="F7" s="66" t="s">
        <v>744</v>
      </c>
      <c r="G7" s="66" t="s">
        <v>750</v>
      </c>
      <c r="H7" s="66" t="s">
        <v>751</v>
      </c>
      <c r="I7" s="66" t="s">
        <v>286</v>
      </c>
      <c r="J7" s="66" t="s">
        <v>284</v>
      </c>
      <c r="K7" s="66" t="s">
        <v>747</v>
      </c>
      <c r="L7" s="67">
        <v>1000000</v>
      </c>
      <c r="M7" s="67">
        <v>0</v>
      </c>
      <c r="N7" s="68">
        <f t="shared" si="0"/>
        <v>1000000</v>
      </c>
      <c r="O7" s="69">
        <f t="shared" si="1"/>
        <v>1000000</v>
      </c>
      <c r="P7" s="42" t="str">
        <f>IFERROR(VLOOKUP(J7,'Mã NV'!$B:$C,2,0),"")</f>
        <v>XE01543</v>
      </c>
      <c r="Q7" s="70" t="str">
        <f>IFERROR(VLOOKUP(I7,'Mã NV'!$J:$K,2,0),"")</f>
        <v>8T</v>
      </c>
    </row>
    <row r="8" ht="33.6" customHeight="1" spans="1:19">
      <c r="A8" s="63">
        <f t="shared" si="2"/>
        <v>5</v>
      </c>
      <c r="B8" s="64">
        <v>46160</v>
      </c>
      <c r="C8" s="65"/>
      <c r="D8" s="66" t="s">
        <v>247</v>
      </c>
      <c r="E8" s="66" t="s">
        <v>749</v>
      </c>
      <c r="F8" s="66" t="s">
        <v>744</v>
      </c>
      <c r="G8" s="66" t="s">
        <v>750</v>
      </c>
      <c r="H8" s="66" t="s">
        <v>751</v>
      </c>
      <c r="I8" s="66" t="s">
        <v>286</v>
      </c>
      <c r="J8" s="66" t="s">
        <v>335</v>
      </c>
      <c r="K8" s="66" t="s">
        <v>747</v>
      </c>
      <c r="L8" s="67">
        <v>1000000</v>
      </c>
      <c r="M8" s="67">
        <v>0</v>
      </c>
      <c r="N8" s="68">
        <f t="shared" si="0"/>
        <v>1000000</v>
      </c>
      <c r="O8" s="69">
        <f t="shared" si="1"/>
        <v>1000000</v>
      </c>
      <c r="P8" s="42" t="str">
        <f>IFERROR(VLOOKUP(J8,'Mã NV'!$B:$C,2,0),"")</f>
        <v>XE01622</v>
      </c>
      <c r="Q8" s="70" t="str">
        <f>IFERROR(VLOOKUP(I8,'Mã NV'!$J:$K,2,0),"")</f>
        <v>8T</v>
      </c>
      <c r="R8" s="70"/>
      <c r="S8" s="68"/>
    </row>
    <row r="9" ht="33.6" customHeight="1" spans="1:19">
      <c r="A9" s="63">
        <f t="shared" si="2"/>
        <v>6</v>
      </c>
      <c r="B9" s="64">
        <v>46163</v>
      </c>
      <c r="C9" s="65"/>
      <c r="D9" s="66" t="s">
        <v>247</v>
      </c>
      <c r="E9" s="66" t="s">
        <v>247</v>
      </c>
      <c r="F9" s="66" t="s">
        <v>744</v>
      </c>
      <c r="G9" s="66" t="s">
        <v>750</v>
      </c>
      <c r="H9" s="66" t="s">
        <v>752</v>
      </c>
      <c r="I9" s="66" t="s">
        <v>119</v>
      </c>
      <c r="J9" s="66" t="s">
        <v>281</v>
      </c>
      <c r="K9" s="66" t="s">
        <v>747</v>
      </c>
      <c r="L9" s="67">
        <v>1750000</v>
      </c>
      <c r="M9" s="67">
        <v>0</v>
      </c>
      <c r="N9" s="68">
        <f t="shared" si="0"/>
        <v>1750000</v>
      </c>
      <c r="O9" s="69">
        <f t="shared" si="1"/>
        <v>1750000</v>
      </c>
      <c r="P9" s="42" t="str">
        <f>IFERROR(VLOOKUP(J9,'Mã NV'!$B:$C,2,0),"")</f>
        <v>XE01532</v>
      </c>
      <c r="Q9" s="70" t="str">
        <f>IFERROR(VLOOKUP(I9,'Mã NV'!$J:$K,2,0),"")</f>
        <v>8T</v>
      </c>
    </row>
    <row r="10" ht="33.6" customHeight="1" spans="1:19">
      <c r="A10" s="63">
        <f t="shared" si="2"/>
        <v>7</v>
      </c>
      <c r="B10" s="64">
        <v>46163</v>
      </c>
      <c r="C10" s="65"/>
      <c r="D10" s="66" t="s">
        <v>247</v>
      </c>
      <c r="E10" s="66" t="s">
        <v>247</v>
      </c>
      <c r="F10" s="66" t="s">
        <v>744</v>
      </c>
      <c r="G10" s="66" t="s">
        <v>750</v>
      </c>
      <c r="H10" s="66" t="s">
        <v>752</v>
      </c>
      <c r="I10" s="66" t="s">
        <v>119</v>
      </c>
      <c r="J10" s="66" t="s">
        <v>363</v>
      </c>
      <c r="K10" s="66" t="s">
        <v>747</v>
      </c>
      <c r="L10" s="67">
        <v>1750000</v>
      </c>
      <c r="M10" s="67">
        <v>0</v>
      </c>
      <c r="N10" s="68">
        <f t="shared" si="0"/>
        <v>1750000</v>
      </c>
      <c r="O10" s="69">
        <f t="shared" si="1"/>
        <v>1750000</v>
      </c>
      <c r="P10" s="42" t="str">
        <f>IFERROR(VLOOKUP(J10,'Mã NV'!$B:$C,2,0),"")</f>
        <v/>
      </c>
      <c r="Q10" s="70" t="str">
        <f>IFERROR(VLOOKUP(I10,'Mã NV'!$J:$K,2,0),"")</f>
        <v>8T</v>
      </c>
      <c r="R10" s="70"/>
      <c r="S10" s="68"/>
    </row>
    <row r="11" ht="33.6" customHeight="1" spans="1:19">
      <c r="A11" s="63">
        <f t="shared" si="2"/>
        <v>8</v>
      </c>
      <c r="B11" s="64">
        <v>46167</v>
      </c>
      <c r="C11" s="65"/>
      <c r="D11" s="66" t="s">
        <v>247</v>
      </c>
      <c r="E11" s="66" t="s">
        <v>247</v>
      </c>
      <c r="F11" s="66" t="s">
        <v>744</v>
      </c>
      <c r="G11" s="66" t="s">
        <v>750</v>
      </c>
      <c r="H11" s="66" t="s">
        <v>753</v>
      </c>
      <c r="I11" s="66" t="s">
        <v>91</v>
      </c>
      <c r="J11" s="66" t="s">
        <v>245</v>
      </c>
      <c r="K11" s="66" t="s">
        <v>747</v>
      </c>
      <c r="L11" s="67">
        <v>1200000</v>
      </c>
      <c r="M11" s="67">
        <v>0</v>
      </c>
      <c r="N11" s="68">
        <f t="shared" si="0"/>
        <v>1200000</v>
      </c>
      <c r="O11" s="69">
        <f t="shared" si="1"/>
        <v>1200000</v>
      </c>
      <c r="P11" s="42" t="str">
        <f>IFERROR(VLOOKUP(J11,'Mã NV'!$B:$C,2,0),"")</f>
        <v>XE01470</v>
      </c>
      <c r="Q11" s="70" t="str">
        <f>IFERROR(VLOOKUP(I11,'Mã NV'!$J:$K,2,0),"")</f>
        <v>15T</v>
      </c>
    </row>
    <row r="12" ht="33.6" customHeight="1" spans="1:19">
      <c r="A12" s="63">
        <f t="shared" si="2"/>
        <v>9</v>
      </c>
      <c r="B12" s="64">
        <v>46167</v>
      </c>
      <c r="C12" s="65"/>
      <c r="D12" s="66" t="s">
        <v>247</v>
      </c>
      <c r="E12" s="66" t="s">
        <v>247</v>
      </c>
      <c r="F12" s="66" t="s">
        <v>744</v>
      </c>
      <c r="G12" s="66" t="s">
        <v>750</v>
      </c>
      <c r="H12" s="66" t="s">
        <v>753</v>
      </c>
      <c r="I12" s="66" t="s">
        <v>91</v>
      </c>
      <c r="J12" s="66" t="s">
        <v>364</v>
      </c>
      <c r="K12" s="66" t="s">
        <v>747</v>
      </c>
      <c r="L12" s="67">
        <v>1200000</v>
      </c>
      <c r="M12" s="67">
        <v>0</v>
      </c>
      <c r="N12" s="68">
        <f t="shared" si="0"/>
        <v>1200000</v>
      </c>
      <c r="O12" s="69">
        <f t="shared" si="1"/>
        <v>1200000</v>
      </c>
      <c r="P12" s="42" t="str">
        <f>IFERROR(VLOOKUP(J12,'Mã NV'!$B:$C,2,0),"")</f>
        <v>XE01690</v>
      </c>
      <c r="Q12" s="70" t="str">
        <f>IFERROR(VLOOKUP(I12,'Mã NV'!$J:$K,2,0),"")</f>
        <v>15T</v>
      </c>
      <c r="R12" s="70"/>
      <c r="S12" s="68"/>
    </row>
    <row r="13" ht="33.6" customHeight="1" spans="1:19">
      <c r="A13" s="63">
        <f t="shared" si="2"/>
        <v>10</v>
      </c>
      <c r="B13" s="64">
        <v>46155</v>
      </c>
      <c r="C13" s="65"/>
      <c r="D13" s="66" t="s">
        <v>346</v>
      </c>
      <c r="E13" s="66" t="s">
        <v>346</v>
      </c>
      <c r="F13" s="66" t="s">
        <v>744</v>
      </c>
      <c r="G13" s="66" t="s">
        <v>750</v>
      </c>
      <c r="H13" s="66" t="s">
        <v>754</v>
      </c>
      <c r="I13" s="66" t="s">
        <v>345</v>
      </c>
      <c r="J13" s="66" t="s">
        <v>343</v>
      </c>
      <c r="K13" s="66" t="s">
        <v>747</v>
      </c>
      <c r="L13" s="67">
        <v>1199968</v>
      </c>
      <c r="M13" s="67">
        <v>0</v>
      </c>
      <c r="N13" s="68">
        <f t="shared" si="0"/>
        <v>1199968</v>
      </c>
      <c r="O13" s="69">
        <f t="shared" si="1"/>
        <v>1199968</v>
      </c>
      <c r="P13" s="42" t="str">
        <f>IFERROR(VLOOKUP(J13,'Mã NV'!$B:$C,2,0),"")</f>
        <v>XE01615</v>
      </c>
      <c r="Q13" s="70" t="str">
        <f>IFERROR(VLOOKUP(I13,'Mã NV'!$J:$K,2,0),"")</f>
        <v>2T5</v>
      </c>
    </row>
    <row r="14" ht="33.6" customHeight="1" spans="1:19">
      <c r="A14" s="63">
        <f t="shared" si="2"/>
        <v>11</v>
      </c>
      <c r="B14" s="64">
        <v>46147</v>
      </c>
      <c r="C14" s="65"/>
      <c r="D14" s="66" t="s">
        <v>39</v>
      </c>
      <c r="E14" s="66" t="s">
        <v>39</v>
      </c>
      <c r="F14" s="66" t="s">
        <v>744</v>
      </c>
      <c r="G14" s="66" t="s">
        <v>755</v>
      </c>
      <c r="H14" s="66" t="s">
        <v>756</v>
      </c>
      <c r="I14" s="66" t="s">
        <v>62</v>
      </c>
      <c r="J14" s="66" t="s">
        <v>366</v>
      </c>
      <c r="K14" s="66" t="s">
        <v>747</v>
      </c>
      <c r="L14" s="67">
        <v>33341000</v>
      </c>
      <c r="M14" s="67">
        <v>1900000</v>
      </c>
      <c r="N14" s="68">
        <f t="shared" si="0"/>
        <v>31441000</v>
      </c>
      <c r="O14" s="69">
        <f t="shared" si="1"/>
        <v>31441000</v>
      </c>
      <c r="P14" s="42" t="str">
        <f>IFERROR(VLOOKUP(J14,'Mã NV'!$B:$C,2,0),"")</f>
        <v>XE00909</v>
      </c>
      <c r="Q14" s="70" t="str">
        <f>IFERROR(VLOOKUP(I14,'Mã NV'!$J:$K,2,0),"")</f>
        <v>Cont 50F</v>
      </c>
      <c r="R14" s="70"/>
      <c r="S14" s="68">
        <f>L14*5%</f>
        <v>1667050</v>
      </c>
    </row>
    <row r="15" ht="33.6" customHeight="1" spans="1:19">
      <c r="A15" s="63">
        <f t="shared" si="2"/>
        <v>12</v>
      </c>
      <c r="B15" s="64">
        <v>46147</v>
      </c>
      <c r="C15" s="65"/>
      <c r="D15" s="66" t="s">
        <v>39</v>
      </c>
      <c r="E15" s="66" t="s">
        <v>39</v>
      </c>
      <c r="F15" s="66" t="s">
        <v>744</v>
      </c>
      <c r="G15" s="66" t="s">
        <v>755</v>
      </c>
      <c r="H15" s="66" t="s">
        <v>756</v>
      </c>
      <c r="I15" s="66" t="s">
        <v>62</v>
      </c>
      <c r="J15" s="66" t="s">
        <v>60</v>
      </c>
      <c r="K15" s="66" t="s">
        <v>747</v>
      </c>
      <c r="L15" s="67">
        <v>33341000</v>
      </c>
      <c r="M15" s="67">
        <v>1900000</v>
      </c>
      <c r="N15" s="68">
        <f t="shared" si="0"/>
        <v>31441000</v>
      </c>
      <c r="O15" s="69">
        <f t="shared" si="1"/>
        <v>31441000</v>
      </c>
      <c r="P15" s="42" t="str">
        <f>IFERROR(VLOOKUP(J15,'Mã NV'!$B:$C,2,0),"")</f>
        <v>XE00910</v>
      </c>
      <c r="Q15" s="70" t="str">
        <f>IFERROR(VLOOKUP(I15,'Mã NV'!$J:$K,2,0),"")</f>
        <v>Cont 50F</v>
      </c>
      <c r="R15" s="70"/>
      <c r="S15" s="68">
        <f t="shared" ref="S15:S29" si="3">L15*5%</f>
        <v>1667050</v>
      </c>
    </row>
    <row r="16" ht="33.6" customHeight="1" spans="1:19">
      <c r="A16" s="63">
        <f t="shared" si="2"/>
        <v>13</v>
      </c>
      <c r="B16" s="64">
        <v>46153</v>
      </c>
      <c r="C16" s="65"/>
      <c r="D16" s="66" t="s">
        <v>39</v>
      </c>
      <c r="E16" s="66" t="s">
        <v>39</v>
      </c>
      <c r="F16" s="66" t="s">
        <v>744</v>
      </c>
      <c r="G16" s="66" t="s">
        <v>755</v>
      </c>
      <c r="H16" s="66" t="s">
        <v>756</v>
      </c>
      <c r="I16" s="66" t="s">
        <v>180</v>
      </c>
      <c r="J16" s="66" t="s">
        <v>201</v>
      </c>
      <c r="K16" s="66" t="s">
        <v>747</v>
      </c>
      <c r="L16" s="67">
        <v>33341000</v>
      </c>
      <c r="M16" s="67">
        <v>1900000</v>
      </c>
      <c r="N16" s="68">
        <f t="shared" si="0"/>
        <v>31441000</v>
      </c>
      <c r="O16" s="69">
        <f t="shared" si="1"/>
        <v>31441000</v>
      </c>
      <c r="P16" s="42" t="str">
        <f>IFERROR(VLOOKUP(J16,'Mã NV'!$B:$C,2,0),"")</f>
        <v>XE01308</v>
      </c>
      <c r="Q16" s="70" t="str">
        <f>IFERROR(VLOOKUP(I16,'Mã NV'!$J:$K,2,0),"")</f>
        <v>Cont 50F</v>
      </c>
      <c r="R16" s="70"/>
      <c r="S16" s="68">
        <f t="shared" si="3"/>
        <v>1667050</v>
      </c>
    </row>
    <row r="17" ht="33.6" customHeight="1" spans="1:19">
      <c r="A17" s="63">
        <f t="shared" si="2"/>
        <v>14</v>
      </c>
      <c r="B17" s="64">
        <v>46153</v>
      </c>
      <c r="C17" s="65"/>
      <c r="D17" s="66" t="s">
        <v>39</v>
      </c>
      <c r="E17" s="66" t="s">
        <v>39</v>
      </c>
      <c r="F17" s="66" t="s">
        <v>744</v>
      </c>
      <c r="G17" s="66" t="s">
        <v>755</v>
      </c>
      <c r="H17" s="66" t="s">
        <v>756</v>
      </c>
      <c r="I17" s="66" t="s">
        <v>180</v>
      </c>
      <c r="J17" s="66" t="s">
        <v>178</v>
      </c>
      <c r="K17" s="66" t="s">
        <v>747</v>
      </c>
      <c r="L17" s="67">
        <v>33341000</v>
      </c>
      <c r="M17" s="67">
        <v>1900000</v>
      </c>
      <c r="N17" s="68">
        <f t="shared" si="0"/>
        <v>31441000</v>
      </c>
      <c r="O17" s="69">
        <f t="shared" si="1"/>
        <v>31441000</v>
      </c>
      <c r="P17" s="42" t="str">
        <f>IFERROR(VLOOKUP(J17,'Mã NV'!$B:$C,2,0),"")</f>
        <v>XE00952</v>
      </c>
      <c r="Q17" s="70" t="str">
        <f>IFERROR(VLOOKUP(I17,'Mã NV'!$J:$K,2,0),"")</f>
        <v>Cont 50F</v>
      </c>
      <c r="R17" s="70"/>
      <c r="S17" s="68">
        <f t="shared" si="3"/>
        <v>1667050</v>
      </c>
    </row>
    <row r="18" ht="33.6" customHeight="1" spans="1:19">
      <c r="A18" s="63">
        <f t="shared" si="2"/>
        <v>15</v>
      </c>
      <c r="B18" s="64">
        <v>46155</v>
      </c>
      <c r="C18" s="65"/>
      <c r="D18" s="66" t="s">
        <v>39</v>
      </c>
      <c r="E18" s="66" t="s">
        <v>39</v>
      </c>
      <c r="F18" s="66" t="s">
        <v>744</v>
      </c>
      <c r="G18" s="66" t="s">
        <v>755</v>
      </c>
      <c r="H18" s="66" t="s">
        <v>756</v>
      </c>
      <c r="I18" s="66" t="s">
        <v>234</v>
      </c>
      <c r="J18" s="66" t="s">
        <v>239</v>
      </c>
      <c r="K18" s="66" t="s">
        <v>747</v>
      </c>
      <c r="L18" s="67">
        <v>33341000</v>
      </c>
      <c r="M18" s="67">
        <v>1900000</v>
      </c>
      <c r="N18" s="68">
        <f t="shared" si="0"/>
        <v>31441000</v>
      </c>
      <c r="O18" s="69">
        <f t="shared" si="1"/>
        <v>31441000</v>
      </c>
      <c r="P18" s="42" t="str">
        <f>IFERROR(VLOOKUP(J18,'Mã NV'!$B:$C,2,0),"")</f>
        <v>XE01021</v>
      </c>
      <c r="Q18" s="70" t="str">
        <f>IFERROR(VLOOKUP(I18,'Mã NV'!$J:$K,2,0),"")</f>
        <v>Cont 50F</v>
      </c>
      <c r="R18" s="70"/>
      <c r="S18" s="68">
        <f t="shared" si="3"/>
        <v>1667050</v>
      </c>
    </row>
    <row r="19" ht="33.6" customHeight="1" spans="1:19">
      <c r="A19" s="63">
        <f t="shared" si="2"/>
        <v>16</v>
      </c>
      <c r="B19" s="64">
        <v>46155</v>
      </c>
      <c r="C19" s="65"/>
      <c r="D19" s="66" t="s">
        <v>39</v>
      </c>
      <c r="E19" s="66" t="s">
        <v>39</v>
      </c>
      <c r="F19" s="66" t="s">
        <v>744</v>
      </c>
      <c r="G19" s="66" t="s">
        <v>755</v>
      </c>
      <c r="H19" s="66" t="s">
        <v>756</v>
      </c>
      <c r="I19" s="66" t="s">
        <v>234</v>
      </c>
      <c r="J19" s="66" t="s">
        <v>232</v>
      </c>
      <c r="K19" s="66" t="s">
        <v>747</v>
      </c>
      <c r="L19" s="67">
        <v>33341000</v>
      </c>
      <c r="M19" s="67">
        <v>1900000</v>
      </c>
      <c r="N19" s="68">
        <f t="shared" si="0"/>
        <v>31441000</v>
      </c>
      <c r="O19" s="69">
        <f t="shared" si="1"/>
        <v>31441000</v>
      </c>
      <c r="P19" s="42" t="str">
        <f>IFERROR(VLOOKUP(J19,'Mã NV'!$B:$C,2,0),"")</f>
        <v>XE00893</v>
      </c>
      <c r="Q19" s="70" t="str">
        <f>IFERROR(VLOOKUP(I19,'Mã NV'!$J:$K,2,0),"")</f>
        <v>Cont 50F</v>
      </c>
      <c r="S19" s="68">
        <f t="shared" si="3"/>
        <v>1667050</v>
      </c>
    </row>
    <row r="20" ht="33.6" customHeight="1" spans="1:19">
      <c r="A20" s="63">
        <f t="shared" si="2"/>
        <v>17</v>
      </c>
      <c r="B20" s="64">
        <v>46161</v>
      </c>
      <c r="C20" s="65"/>
      <c r="D20" s="66" t="s">
        <v>39</v>
      </c>
      <c r="E20" s="66" t="s">
        <v>39</v>
      </c>
      <c r="F20" s="66" t="s">
        <v>744</v>
      </c>
      <c r="G20" s="66" t="s">
        <v>755</v>
      </c>
      <c r="H20" s="66" t="s">
        <v>757</v>
      </c>
      <c r="I20" s="66" t="s">
        <v>76</v>
      </c>
      <c r="J20" s="66" t="s">
        <v>368</v>
      </c>
      <c r="K20" s="66" t="s">
        <v>747</v>
      </c>
      <c r="L20" s="67">
        <v>31878000</v>
      </c>
      <c r="M20" s="67">
        <v>1900000</v>
      </c>
      <c r="N20" s="68">
        <f t="shared" si="0"/>
        <v>29978000</v>
      </c>
      <c r="O20" s="69">
        <f t="shared" si="1"/>
        <v>29978000</v>
      </c>
      <c r="P20" s="42" t="str">
        <f>IFERROR(VLOOKUP(J20,'Mã NV'!$B:$C,2,0),"")</f>
        <v>XE00907</v>
      </c>
      <c r="Q20" s="70" t="str">
        <f>IFERROR(VLOOKUP(I20,'Mã NV'!$J:$K,2,0),"")</f>
        <v>Cont 50F</v>
      </c>
      <c r="R20" s="70"/>
      <c r="S20" s="68">
        <f t="shared" si="3"/>
        <v>1593900</v>
      </c>
    </row>
    <row r="21" ht="33.6" customHeight="1" spans="1:19">
      <c r="A21" s="63">
        <f t="shared" si="2"/>
        <v>18</v>
      </c>
      <c r="B21" s="64">
        <v>46161</v>
      </c>
      <c r="C21" s="65"/>
      <c r="D21" s="66" t="s">
        <v>39</v>
      </c>
      <c r="E21" s="66" t="s">
        <v>39</v>
      </c>
      <c r="F21" s="66" t="s">
        <v>744</v>
      </c>
      <c r="G21" s="66" t="s">
        <v>755</v>
      </c>
      <c r="H21" s="66" t="s">
        <v>757</v>
      </c>
      <c r="I21" s="66" t="s">
        <v>76</v>
      </c>
      <c r="J21" s="66" t="s">
        <v>369</v>
      </c>
      <c r="K21" s="66" t="s">
        <v>747</v>
      </c>
      <c r="L21" s="67">
        <v>31878000</v>
      </c>
      <c r="M21" s="67">
        <v>1900000</v>
      </c>
      <c r="N21" s="68">
        <f t="shared" si="0"/>
        <v>29978000</v>
      </c>
      <c r="O21" s="69">
        <f t="shared" si="1"/>
        <v>29978000</v>
      </c>
      <c r="P21" s="42" t="str">
        <f>IFERROR(VLOOKUP(J21,'Mã NV'!$B:$C,2,0),"")</f>
        <v>XE00908</v>
      </c>
      <c r="Q21" s="70" t="str">
        <f>IFERROR(VLOOKUP(I21,'Mã NV'!$J:$K,2,0),"")</f>
        <v>Cont 50F</v>
      </c>
      <c r="S21" s="68">
        <f t="shared" si="3"/>
        <v>1593900</v>
      </c>
    </row>
    <row r="22" ht="33.6" customHeight="1" spans="1:19">
      <c r="A22" s="63">
        <f t="shared" si="2"/>
        <v>19</v>
      </c>
      <c r="B22" s="64">
        <v>46164</v>
      </c>
      <c r="C22" s="65"/>
      <c r="D22" s="66" t="s">
        <v>39</v>
      </c>
      <c r="E22" s="66" t="s">
        <v>39</v>
      </c>
      <c r="F22" s="66" t="s">
        <v>744</v>
      </c>
      <c r="G22" s="66" t="s">
        <v>755</v>
      </c>
      <c r="H22" s="66" t="s">
        <v>756</v>
      </c>
      <c r="I22" s="66" t="s">
        <v>69</v>
      </c>
      <c r="J22" s="66" t="s">
        <v>67</v>
      </c>
      <c r="K22" s="66" t="s">
        <v>747</v>
      </c>
      <c r="L22" s="67">
        <v>33341000</v>
      </c>
      <c r="M22" s="67">
        <v>1900000</v>
      </c>
      <c r="N22" s="68">
        <f t="shared" si="0"/>
        <v>31441000</v>
      </c>
      <c r="O22" s="69">
        <f t="shared" si="1"/>
        <v>31441000</v>
      </c>
      <c r="P22" s="42" t="str">
        <f>IFERROR(VLOOKUP(J22,'Mã NV'!$B:$C,2,0),"")</f>
        <v>XE00855</v>
      </c>
      <c r="Q22" s="70" t="str">
        <f>IFERROR(VLOOKUP(I22,'Mã NV'!$J:$K,2,0),"")</f>
        <v>Cont 50F</v>
      </c>
      <c r="R22" s="70"/>
      <c r="S22" s="68">
        <f t="shared" si="3"/>
        <v>1667050</v>
      </c>
    </row>
    <row r="23" ht="33.6" customHeight="1" spans="1:19">
      <c r="A23" s="63">
        <f t="shared" si="2"/>
        <v>20</v>
      </c>
      <c r="B23" s="64">
        <v>46164</v>
      </c>
      <c r="C23" s="65"/>
      <c r="D23" s="66" t="s">
        <v>39</v>
      </c>
      <c r="E23" s="66" t="s">
        <v>39</v>
      </c>
      <c r="F23" s="66" t="s">
        <v>744</v>
      </c>
      <c r="G23" s="66" t="s">
        <v>755</v>
      </c>
      <c r="H23" s="66" t="s">
        <v>756</v>
      </c>
      <c r="I23" s="66" t="s">
        <v>69</v>
      </c>
      <c r="J23" s="66" t="s">
        <v>183</v>
      </c>
      <c r="K23" s="66" t="s">
        <v>747</v>
      </c>
      <c r="L23" s="67">
        <v>33341000</v>
      </c>
      <c r="M23" s="67">
        <v>1900000</v>
      </c>
      <c r="N23" s="68">
        <f t="shared" si="0"/>
        <v>31441000</v>
      </c>
      <c r="O23" s="69">
        <f t="shared" si="1"/>
        <v>31441000</v>
      </c>
      <c r="P23" s="42" t="str">
        <f>IFERROR(VLOOKUP(J23,'Mã NV'!$B:$C,2,0),"")</f>
        <v>XE00894</v>
      </c>
      <c r="Q23" s="70" t="str">
        <f>IFERROR(VLOOKUP(I23,'Mã NV'!$J:$K,2,0),"")</f>
        <v>Cont 50F</v>
      </c>
      <c r="S23" s="68">
        <f t="shared" si="3"/>
        <v>1667050</v>
      </c>
    </row>
    <row r="24" ht="33.6" customHeight="1" spans="1:19">
      <c r="A24" s="63">
        <f t="shared" si="2"/>
        <v>21</v>
      </c>
      <c r="B24" s="64">
        <v>46167</v>
      </c>
      <c r="C24" s="65"/>
      <c r="D24" s="66" t="s">
        <v>39</v>
      </c>
      <c r="E24" s="66" t="s">
        <v>39</v>
      </c>
      <c r="F24" s="66" t="s">
        <v>744</v>
      </c>
      <c r="G24" s="66" t="s">
        <v>755</v>
      </c>
      <c r="H24" s="66" t="s">
        <v>758</v>
      </c>
      <c r="I24" s="71" t="s">
        <v>62</v>
      </c>
      <c r="J24" s="72" t="s">
        <v>366</v>
      </c>
      <c r="K24" s="66" t="s">
        <v>747</v>
      </c>
      <c r="L24" s="67">
        <v>31878000</v>
      </c>
      <c r="M24" s="67">
        <v>1900000</v>
      </c>
      <c r="N24" s="68">
        <f t="shared" si="0"/>
        <v>29978000</v>
      </c>
      <c r="O24" s="69">
        <f t="shared" si="1"/>
        <v>29978000</v>
      </c>
      <c r="P24" s="42" t="str">
        <f>IFERROR(VLOOKUP(J24,'Mã NV'!$B:$C,2,0),"")</f>
        <v>XE00909</v>
      </c>
      <c r="Q24" s="70" t="str">
        <f>IFERROR(VLOOKUP(I24,'Mã NV'!$J:$K,2,0),"")</f>
        <v>Cont 50F</v>
      </c>
      <c r="R24" s="70"/>
      <c r="S24" s="68">
        <f t="shared" si="3"/>
        <v>1593900</v>
      </c>
    </row>
    <row r="25" ht="33.6" customHeight="1" spans="1:19">
      <c r="A25" s="63">
        <f t="shared" si="2"/>
        <v>22</v>
      </c>
      <c r="B25" s="64">
        <v>46167</v>
      </c>
      <c r="C25" s="65"/>
      <c r="D25" s="66" t="s">
        <v>39</v>
      </c>
      <c r="E25" s="66" t="s">
        <v>39</v>
      </c>
      <c r="F25" s="66" t="s">
        <v>744</v>
      </c>
      <c r="G25" s="66" t="s">
        <v>755</v>
      </c>
      <c r="H25" s="66" t="s">
        <v>758</v>
      </c>
      <c r="I25" s="71" t="s">
        <v>62</v>
      </c>
      <c r="J25" s="72" t="s">
        <v>60</v>
      </c>
      <c r="K25" s="66" t="s">
        <v>747</v>
      </c>
      <c r="L25" s="67">
        <v>31878000</v>
      </c>
      <c r="M25" s="67">
        <v>1900000</v>
      </c>
      <c r="N25" s="68">
        <f t="shared" si="0"/>
        <v>29978000</v>
      </c>
      <c r="O25" s="69">
        <f t="shared" si="1"/>
        <v>29978000</v>
      </c>
      <c r="P25" s="42" t="str">
        <f>IFERROR(VLOOKUP(J25,'Mã NV'!$B:$C,2,0),"")</f>
        <v>XE00910</v>
      </c>
      <c r="Q25" s="70" t="str">
        <f>IFERROR(VLOOKUP(I25,'Mã NV'!$J:$K,2,0),"")</f>
        <v>Cont 50F</v>
      </c>
      <c r="S25" s="68">
        <f t="shared" si="3"/>
        <v>1593900</v>
      </c>
    </row>
    <row r="26" ht="33.6" customHeight="1" spans="1:19">
      <c r="A26" s="63">
        <f t="shared" si="2"/>
        <v>23</v>
      </c>
      <c r="B26" s="64">
        <v>46169</v>
      </c>
      <c r="C26" s="65"/>
      <c r="D26" s="66" t="s">
        <v>39</v>
      </c>
      <c r="E26" s="66" t="s">
        <v>39</v>
      </c>
      <c r="F26" s="66" t="s">
        <v>744</v>
      </c>
      <c r="G26" s="66" t="s">
        <v>755</v>
      </c>
      <c r="H26" s="66" t="s">
        <v>756</v>
      </c>
      <c r="I26" s="66" t="s">
        <v>234</v>
      </c>
      <c r="J26" s="66" t="s">
        <v>239</v>
      </c>
      <c r="K26" s="66" t="s">
        <v>747</v>
      </c>
      <c r="L26" s="67">
        <v>33341000</v>
      </c>
      <c r="M26" s="67">
        <v>1900000</v>
      </c>
      <c r="N26" s="68">
        <f t="shared" si="0"/>
        <v>31441000</v>
      </c>
      <c r="O26" s="69">
        <f t="shared" si="1"/>
        <v>31441000</v>
      </c>
      <c r="P26" s="42" t="str">
        <f>IFERROR(VLOOKUP(J26,'Mã NV'!$B:$C,2,0),"")</f>
        <v>XE01021</v>
      </c>
      <c r="Q26" s="70" t="str">
        <f>IFERROR(VLOOKUP(I26,'Mã NV'!$J:$K,2,0),"")</f>
        <v>Cont 50F</v>
      </c>
      <c r="R26" s="70"/>
      <c r="S26" s="68">
        <f t="shared" si="3"/>
        <v>1667050</v>
      </c>
    </row>
    <row r="27" ht="33.6" customHeight="1" spans="1:19">
      <c r="A27" s="63">
        <f t="shared" si="2"/>
        <v>24</v>
      </c>
      <c r="B27" s="64">
        <v>46169</v>
      </c>
      <c r="C27" s="65"/>
      <c r="D27" s="66" t="s">
        <v>39</v>
      </c>
      <c r="E27" s="66" t="s">
        <v>39</v>
      </c>
      <c r="F27" s="66" t="s">
        <v>744</v>
      </c>
      <c r="G27" s="66" t="s">
        <v>755</v>
      </c>
      <c r="H27" s="66" t="s">
        <v>756</v>
      </c>
      <c r="I27" s="66" t="s">
        <v>234</v>
      </c>
      <c r="J27" s="66" t="s">
        <v>232</v>
      </c>
      <c r="K27" s="66" t="s">
        <v>747</v>
      </c>
      <c r="L27" s="67">
        <v>33341000</v>
      </c>
      <c r="M27" s="67">
        <v>1900000</v>
      </c>
      <c r="N27" s="68">
        <f t="shared" si="0"/>
        <v>31441000</v>
      </c>
      <c r="O27" s="69">
        <f t="shared" si="1"/>
        <v>31441000</v>
      </c>
      <c r="P27" s="42" t="str">
        <f>IFERROR(VLOOKUP(J27,'Mã NV'!$B:$C,2,0),"")</f>
        <v>XE00893</v>
      </c>
      <c r="Q27" s="70" t="str">
        <f>IFERROR(VLOOKUP(I27,'Mã NV'!$J:$K,2,0),"")</f>
        <v>Cont 50F</v>
      </c>
      <c r="S27" s="68">
        <f t="shared" si="3"/>
        <v>1667050</v>
      </c>
    </row>
    <row r="28" ht="33.6" customHeight="1" spans="1:19">
      <c r="A28" s="63">
        <f t="shared" si="2"/>
        <v>25</v>
      </c>
      <c r="B28" s="64">
        <v>46170</v>
      </c>
      <c r="C28" s="65"/>
      <c r="D28" s="66" t="s">
        <v>39</v>
      </c>
      <c r="E28" s="66" t="s">
        <v>39</v>
      </c>
      <c r="F28" s="66" t="s">
        <v>744</v>
      </c>
      <c r="G28" s="66" t="s">
        <v>755</v>
      </c>
      <c r="H28" s="66" t="s">
        <v>754</v>
      </c>
      <c r="I28" s="66" t="s">
        <v>38</v>
      </c>
      <c r="J28" s="66" t="s">
        <v>105</v>
      </c>
      <c r="K28" s="66" t="s">
        <v>747</v>
      </c>
      <c r="L28" s="67">
        <v>31878000</v>
      </c>
      <c r="M28" s="67">
        <v>1900000</v>
      </c>
      <c r="N28" s="68">
        <f t="shared" si="0"/>
        <v>29978000</v>
      </c>
      <c r="O28" s="69">
        <f t="shared" si="1"/>
        <v>29978000</v>
      </c>
      <c r="P28" s="42" t="str">
        <f>IFERROR(VLOOKUP(J28,'Mã NV'!$B:$C,2,0),"")</f>
        <v>XE00853</v>
      </c>
      <c r="Q28" s="70" t="str">
        <f>IFERROR(VLOOKUP(I28,'Mã NV'!$J:$K,2,0),"")</f>
        <v>Cont 50F</v>
      </c>
      <c r="S28" s="68">
        <f t="shared" si="3"/>
        <v>1593900</v>
      </c>
    </row>
    <row r="29" ht="33.6" customHeight="1" spans="1:19">
      <c r="A29" s="63">
        <f t="shared" si="2"/>
        <v>26</v>
      </c>
      <c r="B29" s="64">
        <v>46170</v>
      </c>
      <c r="C29" s="65"/>
      <c r="D29" s="66" t="s">
        <v>39</v>
      </c>
      <c r="E29" s="66" t="s">
        <v>39</v>
      </c>
      <c r="F29" s="66" t="s">
        <v>744</v>
      </c>
      <c r="G29" s="66" t="s">
        <v>755</v>
      </c>
      <c r="H29" s="66" t="s">
        <v>754</v>
      </c>
      <c r="I29" s="66" t="s">
        <v>38</v>
      </c>
      <c r="J29" s="66" t="s">
        <v>35</v>
      </c>
      <c r="K29" s="66" t="s">
        <v>747</v>
      </c>
      <c r="L29" s="67">
        <v>31878000</v>
      </c>
      <c r="M29" s="67">
        <v>1900000</v>
      </c>
      <c r="N29" s="68">
        <f t="shared" si="0"/>
        <v>29978000</v>
      </c>
      <c r="O29" s="69">
        <f t="shared" si="1"/>
        <v>29978000</v>
      </c>
      <c r="P29" s="42" t="str">
        <f>IFERROR(VLOOKUP(J29,'Mã NV'!$B:$C,2,0),"")</f>
        <v>XE01303</v>
      </c>
      <c r="Q29" s="70" t="str">
        <f>IFERROR(VLOOKUP(I29,'Mã NV'!$J:$K,2,0),"")</f>
        <v>Cont 50F</v>
      </c>
      <c r="S29" s="68">
        <f t="shared" si="3"/>
        <v>1593900</v>
      </c>
    </row>
    <row r="30" ht="33.6" customHeight="1" spans="1:19">
      <c r="A30" s="63">
        <f t="shared" si="2"/>
        <v>27</v>
      </c>
      <c r="B30" s="64">
        <v>46155</v>
      </c>
      <c r="C30" s="65"/>
      <c r="D30" s="66" t="s">
        <v>63</v>
      </c>
      <c r="E30" s="66" t="s">
        <v>63</v>
      </c>
      <c r="F30" s="66" t="s">
        <v>744</v>
      </c>
      <c r="G30" s="66" t="s">
        <v>759</v>
      </c>
      <c r="H30" s="66" t="s">
        <v>760</v>
      </c>
      <c r="I30" s="66" t="s">
        <v>93</v>
      </c>
      <c r="J30" s="66" t="s">
        <v>307</v>
      </c>
      <c r="K30" s="66" t="s">
        <v>747</v>
      </c>
      <c r="L30" s="67">
        <v>9600000</v>
      </c>
      <c r="M30" s="67">
        <v>100000</v>
      </c>
      <c r="N30" s="68">
        <f t="shared" si="0"/>
        <v>9500000</v>
      </c>
      <c r="O30" s="69">
        <f t="shared" si="1"/>
        <v>9500000</v>
      </c>
      <c r="P30" s="42" t="str">
        <f>IFERROR(VLOOKUP(J30,'Mã NV'!$B:$C,2,0),"")</f>
        <v>XE01548</v>
      </c>
      <c r="Q30" s="70" t="str">
        <f>IFERROR(VLOOKUP(I30,'Mã NV'!$J:$K,2,0),"")</f>
        <v>7.1t</v>
      </c>
      <c r="S30" s="44">
        <f>L30*2%</f>
        <v>192000</v>
      </c>
    </row>
    <row r="31" ht="33.6" customHeight="1" spans="1:19">
      <c r="A31" s="63">
        <f t="shared" si="2"/>
        <v>28</v>
      </c>
      <c r="B31" s="64">
        <v>46155</v>
      </c>
      <c r="C31" s="65"/>
      <c r="D31" s="66" t="s">
        <v>63</v>
      </c>
      <c r="E31" s="66" t="s">
        <v>63</v>
      </c>
      <c r="F31" s="66" t="s">
        <v>744</v>
      </c>
      <c r="G31" s="66" t="s">
        <v>759</v>
      </c>
      <c r="H31" s="66" t="s">
        <v>760</v>
      </c>
      <c r="I31" s="66" t="s">
        <v>93</v>
      </c>
      <c r="J31" s="66" t="s">
        <v>310</v>
      </c>
      <c r="K31" s="66" t="s">
        <v>747</v>
      </c>
      <c r="L31" s="67">
        <v>9600000</v>
      </c>
      <c r="M31" s="67">
        <v>100000</v>
      </c>
      <c r="N31" s="68">
        <f t="shared" si="0"/>
        <v>9500000</v>
      </c>
      <c r="O31" s="69">
        <f t="shared" si="1"/>
        <v>9500000</v>
      </c>
      <c r="P31" s="42" t="str">
        <f>IFERROR(VLOOKUP(J31,'Mã NV'!$B:$C,2,0),"")</f>
        <v>XE01549</v>
      </c>
      <c r="Q31" s="70" t="str">
        <f>IFERROR(VLOOKUP(I31,'Mã NV'!$J:$K,2,0),"")</f>
        <v>7.1t</v>
      </c>
      <c r="S31" s="44">
        <f t="shared" ref="S31:S37" si="4">L31*2%</f>
        <v>192000</v>
      </c>
    </row>
    <row r="32" ht="33.6" customHeight="1" spans="1:19">
      <c r="A32" s="63">
        <f t="shared" si="2"/>
        <v>29</v>
      </c>
      <c r="B32" s="64">
        <v>46161</v>
      </c>
      <c r="C32" s="65"/>
      <c r="D32" s="66" t="s">
        <v>63</v>
      </c>
      <c r="E32" s="66" t="s">
        <v>63</v>
      </c>
      <c r="F32" s="66" t="s">
        <v>744</v>
      </c>
      <c r="G32" s="66" t="s">
        <v>761</v>
      </c>
      <c r="H32" s="66" t="s">
        <v>745</v>
      </c>
      <c r="I32" s="66" t="s">
        <v>69</v>
      </c>
      <c r="J32" s="66" t="s">
        <v>67</v>
      </c>
      <c r="K32" s="66" t="s">
        <v>747</v>
      </c>
      <c r="L32" s="67">
        <v>12050000</v>
      </c>
      <c r="M32" s="67">
        <v>50000</v>
      </c>
      <c r="N32" s="68">
        <f t="shared" si="0"/>
        <v>12000000</v>
      </c>
      <c r="O32" s="69">
        <f t="shared" si="1"/>
        <v>12000000</v>
      </c>
      <c r="P32" s="42" t="str">
        <f>IFERROR(VLOOKUP(J32,'Mã NV'!$B:$C,2,0),"")</f>
        <v>XE00855</v>
      </c>
      <c r="Q32" s="70" t="str">
        <f>IFERROR(VLOOKUP(I32,'Mã NV'!$J:$K,2,0),"")</f>
        <v>Cont 50F</v>
      </c>
      <c r="S32" s="44">
        <f t="shared" si="4"/>
        <v>241000</v>
      </c>
    </row>
    <row r="33" ht="33.6" customHeight="1" spans="1:19">
      <c r="A33" s="63">
        <f t="shared" si="2"/>
        <v>30</v>
      </c>
      <c r="B33" s="64">
        <v>46161</v>
      </c>
      <c r="C33" s="65"/>
      <c r="D33" s="66" t="s">
        <v>63</v>
      </c>
      <c r="E33" s="66" t="s">
        <v>63</v>
      </c>
      <c r="F33" s="66" t="s">
        <v>744</v>
      </c>
      <c r="G33" s="66" t="s">
        <v>761</v>
      </c>
      <c r="H33" s="66" t="s">
        <v>745</v>
      </c>
      <c r="I33" s="66" t="s">
        <v>69</v>
      </c>
      <c r="J33" s="66" t="s">
        <v>183</v>
      </c>
      <c r="K33" s="66" t="s">
        <v>747</v>
      </c>
      <c r="L33" s="67">
        <v>12050000</v>
      </c>
      <c r="M33" s="67">
        <v>50000</v>
      </c>
      <c r="N33" s="68">
        <f t="shared" si="0"/>
        <v>12000000</v>
      </c>
      <c r="O33" s="69">
        <f t="shared" si="1"/>
        <v>12000000</v>
      </c>
      <c r="P33" s="42" t="str">
        <f>IFERROR(VLOOKUP(J33,'Mã NV'!$B:$C,2,0),"")</f>
        <v>XE00894</v>
      </c>
      <c r="Q33" s="70" t="str">
        <f>IFERROR(VLOOKUP(I33,'Mã NV'!$J:$K,2,0),"")</f>
        <v>Cont 50F</v>
      </c>
      <c r="S33" s="44">
        <f t="shared" si="4"/>
        <v>241000</v>
      </c>
    </row>
    <row r="34" ht="33.6" customHeight="1" spans="1:19">
      <c r="A34" s="63">
        <f t="shared" si="2"/>
        <v>31</v>
      </c>
      <c r="B34" s="64">
        <v>46164</v>
      </c>
      <c r="C34" s="65"/>
      <c r="D34" s="66" t="s">
        <v>63</v>
      </c>
      <c r="E34" s="66" t="s">
        <v>63</v>
      </c>
      <c r="F34" s="66" t="s">
        <v>744</v>
      </c>
      <c r="G34" s="66" t="s">
        <v>761</v>
      </c>
      <c r="H34" s="66" t="s">
        <v>745</v>
      </c>
      <c r="I34" s="66" t="s">
        <v>234</v>
      </c>
      <c r="J34" s="66" t="s">
        <v>239</v>
      </c>
      <c r="K34" s="66" t="s">
        <v>747</v>
      </c>
      <c r="L34" s="67">
        <v>10050000</v>
      </c>
      <c r="M34" s="67">
        <v>50000</v>
      </c>
      <c r="N34" s="68">
        <f t="shared" si="0"/>
        <v>10000000</v>
      </c>
      <c r="O34" s="69">
        <f t="shared" si="1"/>
        <v>10000000</v>
      </c>
      <c r="P34" s="42" t="str">
        <f>IFERROR(VLOOKUP(J34,'Mã NV'!$B:$C,2,0),"")</f>
        <v>XE01021</v>
      </c>
      <c r="Q34" s="70" t="str">
        <f>IFERROR(VLOOKUP(I34,'Mã NV'!$J:$K,2,0),"")</f>
        <v>Cont 50F</v>
      </c>
      <c r="S34" s="44">
        <f t="shared" si="4"/>
        <v>201000</v>
      </c>
    </row>
    <row r="35" ht="33.6" customHeight="1" spans="1:19">
      <c r="A35" s="63">
        <f t="shared" si="2"/>
        <v>32</v>
      </c>
      <c r="B35" s="64">
        <v>46164</v>
      </c>
      <c r="C35" s="65"/>
      <c r="D35" s="66" t="s">
        <v>63</v>
      </c>
      <c r="E35" s="66" t="s">
        <v>63</v>
      </c>
      <c r="F35" s="66" t="s">
        <v>744</v>
      </c>
      <c r="G35" s="66" t="s">
        <v>761</v>
      </c>
      <c r="H35" s="66" t="s">
        <v>745</v>
      </c>
      <c r="I35" s="66" t="s">
        <v>234</v>
      </c>
      <c r="J35" s="66" t="s">
        <v>232</v>
      </c>
      <c r="K35" s="66" t="s">
        <v>747</v>
      </c>
      <c r="L35" s="67">
        <v>10050000</v>
      </c>
      <c r="M35" s="67">
        <v>50000</v>
      </c>
      <c r="N35" s="68">
        <f t="shared" si="0"/>
        <v>10000000</v>
      </c>
      <c r="O35" s="69">
        <f t="shared" si="1"/>
        <v>10000000</v>
      </c>
      <c r="P35" s="42" t="str">
        <f>IFERROR(VLOOKUP(J35,'Mã NV'!$B:$C,2,0),"")</f>
        <v>XE00893</v>
      </c>
      <c r="Q35" s="70" t="str">
        <f>IFERROR(VLOOKUP(I35,'Mã NV'!$J:$K,2,0),"")</f>
        <v>Cont 50F</v>
      </c>
      <c r="S35" s="44">
        <f t="shared" si="4"/>
        <v>201000</v>
      </c>
    </row>
    <row r="36" ht="33.6" customHeight="1" spans="1:19">
      <c r="A36" s="63">
        <f t="shared" si="2"/>
        <v>33</v>
      </c>
      <c r="B36" s="64">
        <v>46169</v>
      </c>
      <c r="C36" s="65"/>
      <c r="D36" s="66" t="s">
        <v>63</v>
      </c>
      <c r="E36" s="66" t="s">
        <v>63</v>
      </c>
      <c r="F36" s="66" t="s">
        <v>744</v>
      </c>
      <c r="G36" s="66" t="s">
        <v>761</v>
      </c>
      <c r="H36" s="66" t="s">
        <v>762</v>
      </c>
      <c r="I36" s="66" t="s">
        <v>62</v>
      </c>
      <c r="J36" s="66" t="s">
        <v>366</v>
      </c>
      <c r="K36" s="66" t="s">
        <v>747</v>
      </c>
      <c r="L36" s="67">
        <v>10000000</v>
      </c>
      <c r="M36" s="67">
        <v>50000</v>
      </c>
      <c r="N36" s="68">
        <f t="shared" ref="N36:N37" si="5">L36-M36</f>
        <v>9950000</v>
      </c>
      <c r="O36" s="69">
        <f t="shared" ref="O36:O37" si="6">N36/$P$1</f>
        <v>9950000</v>
      </c>
      <c r="P36" s="42" t="str">
        <f>IFERROR(VLOOKUP(J36,'Mã NV'!$B:$C,2,0),"")</f>
        <v>XE00909</v>
      </c>
      <c r="Q36" s="70" t="str">
        <f>IFERROR(VLOOKUP(I36,'Mã NV'!$J:$K,2,0),"")</f>
        <v>Cont 50F</v>
      </c>
      <c r="S36" s="44">
        <f t="shared" si="4"/>
        <v>200000</v>
      </c>
    </row>
    <row r="37" ht="33.6" customHeight="1" spans="1:19">
      <c r="A37" s="63">
        <f t="shared" si="2"/>
        <v>34</v>
      </c>
      <c r="B37" s="64">
        <v>46169</v>
      </c>
      <c r="C37" s="65"/>
      <c r="D37" s="66" t="s">
        <v>63</v>
      </c>
      <c r="E37" s="66" t="s">
        <v>63</v>
      </c>
      <c r="F37" s="66" t="s">
        <v>744</v>
      </c>
      <c r="G37" s="66" t="s">
        <v>761</v>
      </c>
      <c r="H37" s="66" t="s">
        <v>762</v>
      </c>
      <c r="I37" s="66" t="s">
        <v>62</v>
      </c>
      <c r="J37" s="66" t="s">
        <v>60</v>
      </c>
      <c r="K37" s="66" t="s">
        <v>747</v>
      </c>
      <c r="L37" s="67">
        <v>10000000</v>
      </c>
      <c r="M37" s="67">
        <v>50000</v>
      </c>
      <c r="N37" s="68">
        <f t="shared" si="5"/>
        <v>9950000</v>
      </c>
      <c r="O37" s="69">
        <f t="shared" si="6"/>
        <v>9950000</v>
      </c>
      <c r="P37" s="42" t="str">
        <f>IFERROR(VLOOKUP(J37,'Mã NV'!$B:$C,2,0),"")</f>
        <v>XE00910</v>
      </c>
      <c r="Q37" s="70" t="str">
        <f>IFERROR(VLOOKUP(I37,'Mã NV'!$J:$K,2,0),"")</f>
        <v>Cont 50F</v>
      </c>
      <c r="S37" s="44">
        <f t="shared" si="4"/>
        <v>200000</v>
      </c>
    </row>
    <row r="38" ht="33.6" customHeight="1" spans="1:19">
      <c r="A38" s="63">
        <f t="shared" si="2"/>
        <v>35</v>
      </c>
      <c r="B38" s="64">
        <v>46158</v>
      </c>
      <c r="C38" s="65"/>
      <c r="D38" s="66" t="s">
        <v>144</v>
      </c>
      <c r="E38" s="66" t="s">
        <v>144</v>
      </c>
      <c r="F38" s="66" t="s">
        <v>744</v>
      </c>
      <c r="G38" s="66" t="s">
        <v>745</v>
      </c>
      <c r="H38" s="66" t="s">
        <v>763</v>
      </c>
      <c r="I38" s="66" t="s">
        <v>141</v>
      </c>
      <c r="J38" s="66" t="s">
        <v>145</v>
      </c>
      <c r="K38" s="66" t="s">
        <v>747</v>
      </c>
      <c r="L38" s="67">
        <v>5000000</v>
      </c>
      <c r="M38" s="67">
        <v>0</v>
      </c>
      <c r="N38" s="68">
        <f t="shared" si="0"/>
        <v>5000000</v>
      </c>
      <c r="O38" s="69">
        <f t="shared" si="1"/>
        <v>5000000</v>
      </c>
      <c r="P38" s="42" t="str">
        <f>IFERROR(VLOOKUP(J38,'Mã NV'!$B:$C,2,0),"")</f>
        <v>XE01326</v>
      </c>
      <c r="Q38" s="70" t="str">
        <f>IFERROR(VLOOKUP(I38,'Mã NV'!$J:$K,2,0),"")</f>
        <v>7.1t</v>
      </c>
    </row>
    <row r="39" ht="33.6" customHeight="1" spans="1:19">
      <c r="A39" s="63">
        <f t="shared" si="2"/>
        <v>36</v>
      </c>
      <c r="B39" s="64">
        <v>46158</v>
      </c>
      <c r="C39" s="65"/>
      <c r="D39" s="66" t="s">
        <v>144</v>
      </c>
      <c r="E39" s="66" t="s">
        <v>144</v>
      </c>
      <c r="F39" s="66" t="s">
        <v>744</v>
      </c>
      <c r="G39" s="66" t="s">
        <v>745</v>
      </c>
      <c r="H39" s="66" t="s">
        <v>763</v>
      </c>
      <c r="I39" s="66" t="s">
        <v>141</v>
      </c>
      <c r="J39" s="66" t="s">
        <v>139</v>
      </c>
      <c r="K39" s="66" t="s">
        <v>747</v>
      </c>
      <c r="L39" s="67">
        <v>5000000</v>
      </c>
      <c r="M39" s="67">
        <v>0</v>
      </c>
      <c r="N39" s="68">
        <f t="shared" si="0"/>
        <v>5000000</v>
      </c>
      <c r="O39" s="69">
        <f t="shared" si="1"/>
        <v>5000000</v>
      </c>
      <c r="P39" s="42" t="str">
        <f>IFERROR(VLOOKUP(J39,'Mã NV'!$B:$C,2,0),"")</f>
        <v>XE01325</v>
      </c>
      <c r="Q39" s="70" t="str">
        <f>IFERROR(VLOOKUP(I39,'Mã NV'!$J:$K,2,0),"")</f>
        <v>7.1t</v>
      </c>
    </row>
    <row r="40" ht="33.6" customHeight="1" spans="1:19">
      <c r="A40" s="63">
        <f t="shared" si="2"/>
        <v>37</v>
      </c>
      <c r="B40" s="64">
        <v>46156</v>
      </c>
      <c r="C40" s="65"/>
      <c r="D40" s="66" t="s">
        <v>224</v>
      </c>
      <c r="E40" s="66" t="s">
        <v>224</v>
      </c>
      <c r="F40" s="66" t="s">
        <v>744</v>
      </c>
      <c r="G40" s="66" t="s">
        <v>764</v>
      </c>
      <c r="H40" s="66" t="s">
        <v>765</v>
      </c>
      <c r="I40" s="66" t="s">
        <v>223</v>
      </c>
      <c r="J40" s="66" t="s">
        <v>221</v>
      </c>
      <c r="K40" s="66" t="s">
        <v>747</v>
      </c>
      <c r="L40" s="67">
        <v>6000000</v>
      </c>
      <c r="M40" s="67">
        <v>0</v>
      </c>
      <c r="N40" s="68">
        <f t="shared" si="0"/>
        <v>6000000</v>
      </c>
      <c r="O40" s="69">
        <f t="shared" si="1"/>
        <v>6000000</v>
      </c>
      <c r="P40" s="42" t="str">
        <f>IFERROR(VLOOKUP(J40,'Mã NV'!$B:$C,2,0),"")</f>
        <v>XE01283</v>
      </c>
      <c r="Q40" s="70" t="str">
        <f>IFERROR(VLOOKUP(I40,'Mã NV'!$J:$K,2,0),"")</f>
        <v>7.1t</v>
      </c>
    </row>
    <row r="41" ht="33.6" customHeight="1" spans="1:19">
      <c r="A41" s="63">
        <f t="shared" si="2"/>
        <v>38</v>
      </c>
      <c r="B41" s="64">
        <v>46156</v>
      </c>
      <c r="C41" s="65"/>
      <c r="D41" s="66" t="s">
        <v>224</v>
      </c>
      <c r="E41" s="66" t="s">
        <v>224</v>
      </c>
      <c r="F41" s="66" t="s">
        <v>744</v>
      </c>
      <c r="G41" s="66" t="s">
        <v>764</v>
      </c>
      <c r="H41" s="66" t="s">
        <v>765</v>
      </c>
      <c r="I41" s="66" t="s">
        <v>223</v>
      </c>
      <c r="J41" s="66" t="s">
        <v>296</v>
      </c>
      <c r="K41" s="66" t="s">
        <v>747</v>
      </c>
      <c r="L41" s="67">
        <v>6000000</v>
      </c>
      <c r="M41" s="67">
        <v>0</v>
      </c>
      <c r="N41" s="68">
        <f t="shared" si="0"/>
        <v>6000000</v>
      </c>
      <c r="O41" s="69">
        <f t="shared" si="1"/>
        <v>6000000</v>
      </c>
      <c r="P41" s="42" t="str">
        <f>IFERROR(VLOOKUP(J41,'Mã NV'!$B:$C,2,0),"")</f>
        <v>XE01541</v>
      </c>
      <c r="Q41" s="70" t="str">
        <f>IFERROR(VLOOKUP(I41,'Mã NV'!$J:$K,2,0),"")</f>
        <v>7.1t</v>
      </c>
    </row>
    <row r="42" ht="33.6" customHeight="1" spans="1:19">
      <c r="A42" s="63">
        <f t="shared" si="2"/>
        <v>39</v>
      </c>
      <c r="B42" s="64">
        <v>46144</v>
      </c>
      <c r="C42" s="65"/>
      <c r="D42" s="66" t="s">
        <v>142</v>
      </c>
      <c r="E42" s="66" t="s">
        <v>142</v>
      </c>
      <c r="F42" s="66" t="s">
        <v>744</v>
      </c>
      <c r="G42" s="66" t="s">
        <v>766</v>
      </c>
      <c r="H42" s="66" t="s">
        <v>767</v>
      </c>
      <c r="I42" s="66" t="s">
        <v>170</v>
      </c>
      <c r="J42" s="66" t="s">
        <v>168</v>
      </c>
      <c r="K42" s="66" t="s">
        <v>747</v>
      </c>
      <c r="L42" s="67">
        <v>6378000</v>
      </c>
      <c r="M42" s="67">
        <v>0</v>
      </c>
      <c r="N42" s="68">
        <f t="shared" si="0"/>
        <v>6378000</v>
      </c>
      <c r="O42" s="69">
        <f t="shared" si="1"/>
        <v>6378000</v>
      </c>
      <c r="P42" s="42" t="str">
        <f>IFERROR(VLOOKUP(J42,'Mã NV'!$B:$C,2,0),"")</f>
        <v>XE01263</v>
      </c>
      <c r="Q42" s="70" t="str">
        <f>IFERROR(VLOOKUP(I42,'Mã NV'!$J:$K,2,0),"")</f>
        <v>8T</v>
      </c>
    </row>
    <row r="43" ht="33.6" customHeight="1" spans="1:19">
      <c r="A43" s="63">
        <f t="shared" si="2"/>
        <v>40</v>
      </c>
      <c r="B43" s="64">
        <v>46144</v>
      </c>
      <c r="C43" s="65"/>
      <c r="D43" s="66" t="s">
        <v>142</v>
      </c>
      <c r="E43" s="66" t="s">
        <v>142</v>
      </c>
      <c r="F43" s="66" t="s">
        <v>744</v>
      </c>
      <c r="G43" s="66" t="s">
        <v>766</v>
      </c>
      <c r="H43" s="66" t="s">
        <v>767</v>
      </c>
      <c r="I43" s="66" t="s">
        <v>170</v>
      </c>
      <c r="J43" s="66" t="s">
        <v>203</v>
      </c>
      <c r="K43" s="66" t="s">
        <v>747</v>
      </c>
      <c r="L43" s="67">
        <v>6378000</v>
      </c>
      <c r="M43" s="67">
        <v>0</v>
      </c>
      <c r="N43" s="68">
        <f t="shared" si="0"/>
        <v>6378000</v>
      </c>
      <c r="O43" s="69">
        <f t="shared" si="1"/>
        <v>6378000</v>
      </c>
      <c r="P43" s="42" t="str">
        <f>IFERROR(VLOOKUP(J43,'Mã NV'!$B:$C,2,0),"")</f>
        <v>XE01149</v>
      </c>
      <c r="Q43" s="70" t="str">
        <f>IFERROR(VLOOKUP(I43,'Mã NV'!$J:$K,2,0),"")</f>
        <v>8T</v>
      </c>
    </row>
    <row r="44" ht="33.6" customHeight="1" spans="1:19">
      <c r="A44" s="63">
        <f t="shared" si="2"/>
        <v>41</v>
      </c>
      <c r="B44" s="64">
        <v>46144</v>
      </c>
      <c r="C44" s="65"/>
      <c r="D44" s="66" t="s">
        <v>142</v>
      </c>
      <c r="E44" s="66" t="s">
        <v>142</v>
      </c>
      <c r="F44" s="66" t="s">
        <v>744</v>
      </c>
      <c r="G44" s="66" t="s">
        <v>760</v>
      </c>
      <c r="H44" s="66" t="s">
        <v>767</v>
      </c>
      <c r="I44" s="66" t="s">
        <v>119</v>
      </c>
      <c r="J44" s="66" t="s">
        <v>307</v>
      </c>
      <c r="K44" s="66" t="s">
        <v>747</v>
      </c>
      <c r="L44" s="67">
        <v>6893500</v>
      </c>
      <c r="M44" s="67">
        <v>0</v>
      </c>
      <c r="N44" s="68">
        <f t="shared" si="0"/>
        <v>6893500</v>
      </c>
      <c r="O44" s="69">
        <f t="shared" si="1"/>
        <v>6893500</v>
      </c>
      <c r="P44" s="42" t="str">
        <f>IFERROR(VLOOKUP(J44,'Mã NV'!$B:$C,2,0),"")</f>
        <v>XE01548</v>
      </c>
      <c r="Q44" s="70" t="str">
        <f>IFERROR(VLOOKUP(I44,'Mã NV'!$J:$K,2,0),"")</f>
        <v>8T</v>
      </c>
    </row>
    <row r="45" ht="33.6" customHeight="1" spans="1:19">
      <c r="A45" s="63">
        <f t="shared" si="2"/>
        <v>42</v>
      </c>
      <c r="B45" s="64">
        <v>46144</v>
      </c>
      <c r="C45" s="65"/>
      <c r="D45" s="66" t="s">
        <v>142</v>
      </c>
      <c r="E45" s="66" t="s">
        <v>142</v>
      </c>
      <c r="F45" s="66" t="s">
        <v>744</v>
      </c>
      <c r="G45" s="66" t="s">
        <v>760</v>
      </c>
      <c r="H45" s="66" t="s">
        <v>767</v>
      </c>
      <c r="I45" s="66" t="s">
        <v>119</v>
      </c>
      <c r="J45" s="66" t="s">
        <v>310</v>
      </c>
      <c r="K45" s="66" t="s">
        <v>747</v>
      </c>
      <c r="L45" s="67">
        <v>6893500</v>
      </c>
      <c r="M45" s="67">
        <v>0</v>
      </c>
      <c r="N45" s="68">
        <f t="shared" si="0"/>
        <v>6893500</v>
      </c>
      <c r="O45" s="69">
        <f t="shared" si="1"/>
        <v>6893500</v>
      </c>
      <c r="P45" s="42" t="str">
        <f>IFERROR(VLOOKUP(J45,'Mã NV'!$B:$C,2,0),"")</f>
        <v>XE01549</v>
      </c>
      <c r="Q45" s="70" t="str">
        <f>IFERROR(VLOOKUP(I45,'Mã NV'!$J:$K,2,0),"")</f>
        <v>8T</v>
      </c>
    </row>
    <row r="46" ht="33.6" customHeight="1" spans="1:19">
      <c r="A46" s="63">
        <f t="shared" si="2"/>
        <v>43</v>
      </c>
      <c r="B46" s="64">
        <v>46144</v>
      </c>
      <c r="C46" s="65"/>
      <c r="D46" s="66" t="s">
        <v>142</v>
      </c>
      <c r="E46" s="66" t="s">
        <v>142</v>
      </c>
      <c r="F46" s="66" t="s">
        <v>744</v>
      </c>
      <c r="G46" s="66" t="s">
        <v>760</v>
      </c>
      <c r="H46" s="66" t="s">
        <v>767</v>
      </c>
      <c r="I46" s="66" t="s">
        <v>223</v>
      </c>
      <c r="J46" s="66" t="s">
        <v>221</v>
      </c>
      <c r="K46" s="66" t="s">
        <v>747</v>
      </c>
      <c r="L46" s="67">
        <v>6280500</v>
      </c>
      <c r="M46" s="67">
        <v>0</v>
      </c>
      <c r="N46" s="68">
        <f t="shared" si="0"/>
        <v>6280500</v>
      </c>
      <c r="O46" s="69">
        <f t="shared" si="1"/>
        <v>6280500</v>
      </c>
      <c r="P46" s="42" t="str">
        <f>IFERROR(VLOOKUP(J46,'Mã NV'!$B:$C,2,0),"")</f>
        <v>XE01283</v>
      </c>
      <c r="Q46" s="70" t="str">
        <f>IFERROR(VLOOKUP(I46,'Mã NV'!$J:$K,2,0),"")</f>
        <v>7.1t</v>
      </c>
    </row>
    <row r="47" ht="33.6" customHeight="1" spans="1:19">
      <c r="A47" s="63">
        <f t="shared" si="2"/>
        <v>44</v>
      </c>
      <c r="B47" s="64">
        <v>46144</v>
      </c>
      <c r="C47" s="65"/>
      <c r="D47" s="66" t="s">
        <v>142</v>
      </c>
      <c r="E47" s="66" t="s">
        <v>142</v>
      </c>
      <c r="F47" s="66" t="s">
        <v>744</v>
      </c>
      <c r="G47" s="66" t="s">
        <v>760</v>
      </c>
      <c r="H47" s="66" t="s">
        <v>767</v>
      </c>
      <c r="I47" s="66" t="s">
        <v>223</v>
      </c>
      <c r="J47" s="66" t="s">
        <v>296</v>
      </c>
      <c r="K47" s="66" t="s">
        <v>747</v>
      </c>
      <c r="L47" s="67">
        <v>6280500</v>
      </c>
      <c r="M47" s="67">
        <v>0</v>
      </c>
      <c r="N47" s="68">
        <f t="shared" si="0"/>
        <v>6280500</v>
      </c>
      <c r="O47" s="69">
        <f t="shared" si="1"/>
        <v>6280500</v>
      </c>
      <c r="P47" s="42" t="str">
        <f>IFERROR(VLOOKUP(J47,'Mã NV'!$B:$C,2,0),"")</f>
        <v>XE01541</v>
      </c>
      <c r="Q47" s="70" t="str">
        <f>IFERROR(VLOOKUP(I47,'Mã NV'!$J:$K,2,0),"")</f>
        <v>7.1t</v>
      </c>
    </row>
    <row r="48" ht="33.6" customHeight="1" spans="1:19">
      <c r="A48" s="63">
        <f t="shared" si="2"/>
        <v>45</v>
      </c>
      <c r="B48" s="64">
        <v>46144</v>
      </c>
      <c r="C48" s="65"/>
      <c r="D48" s="66" t="s">
        <v>142</v>
      </c>
      <c r="E48" s="66" t="s">
        <v>142</v>
      </c>
      <c r="F48" s="66" t="s">
        <v>744</v>
      </c>
      <c r="G48" s="66" t="s">
        <v>768</v>
      </c>
      <c r="H48" s="66" t="s">
        <v>769</v>
      </c>
      <c r="I48" s="66" t="s">
        <v>205</v>
      </c>
      <c r="J48" s="66" t="s">
        <v>312</v>
      </c>
      <c r="K48" s="66" t="s">
        <v>747</v>
      </c>
      <c r="L48" s="67">
        <v>1680000</v>
      </c>
      <c r="M48" s="67">
        <v>0</v>
      </c>
      <c r="N48" s="68">
        <f t="shared" si="0"/>
        <v>1680000</v>
      </c>
      <c r="O48" s="69">
        <f t="shared" si="1"/>
        <v>1680000</v>
      </c>
      <c r="P48" s="42" t="str">
        <f>IFERROR(VLOOKUP(J48,'Mã NV'!$B:$C,2,0),"")</f>
        <v>XE01582</v>
      </c>
      <c r="Q48" s="70" t="str">
        <f>IFERROR(VLOOKUP(I48,'Mã NV'!$J:$K,2,0),"")</f>
        <v>8T</v>
      </c>
    </row>
    <row r="49" ht="33.6" customHeight="1" spans="1:17">
      <c r="A49" s="63">
        <f t="shared" si="2"/>
        <v>46</v>
      </c>
      <c r="B49" s="64">
        <v>46144</v>
      </c>
      <c r="C49" s="65"/>
      <c r="D49" s="66" t="s">
        <v>142</v>
      </c>
      <c r="E49" s="66" t="s">
        <v>142</v>
      </c>
      <c r="F49" s="66" t="s">
        <v>744</v>
      </c>
      <c r="G49" s="66" t="s">
        <v>768</v>
      </c>
      <c r="H49" s="66" t="s">
        <v>769</v>
      </c>
      <c r="I49" s="66" t="s">
        <v>205</v>
      </c>
      <c r="J49" s="66" t="s">
        <v>314</v>
      </c>
      <c r="K49" s="66" t="s">
        <v>747</v>
      </c>
      <c r="L49" s="67">
        <v>1680000</v>
      </c>
      <c r="M49" s="67">
        <v>0</v>
      </c>
      <c r="N49" s="68">
        <f t="shared" si="0"/>
        <v>1680000</v>
      </c>
      <c r="O49" s="69">
        <f t="shared" si="1"/>
        <v>1680000</v>
      </c>
      <c r="P49" s="42" t="str">
        <f>IFERROR(VLOOKUP(J49,'Mã NV'!$B:$C,2,0),"")</f>
        <v>XE01583</v>
      </c>
      <c r="Q49" s="70" t="str">
        <f>IFERROR(VLOOKUP(I49,'Mã NV'!$J:$K,2,0),"")</f>
        <v>8T</v>
      </c>
    </row>
    <row r="50" ht="33.6" customHeight="1" spans="1:17">
      <c r="A50" s="63">
        <f t="shared" si="2"/>
        <v>47</v>
      </c>
      <c r="B50" s="64">
        <v>46146</v>
      </c>
      <c r="C50" s="65"/>
      <c r="D50" s="66" t="s">
        <v>142</v>
      </c>
      <c r="E50" s="66" t="s">
        <v>142</v>
      </c>
      <c r="F50" s="66" t="s">
        <v>744</v>
      </c>
      <c r="G50" s="66" t="s">
        <v>770</v>
      </c>
      <c r="H50" s="66" t="s">
        <v>767</v>
      </c>
      <c r="I50" s="66" t="s">
        <v>230</v>
      </c>
      <c r="J50" s="66" t="s">
        <v>228</v>
      </c>
      <c r="K50" s="66" t="s">
        <v>747</v>
      </c>
      <c r="L50" s="67">
        <v>11444400</v>
      </c>
      <c r="M50" s="67">
        <v>0</v>
      </c>
      <c r="N50" s="68">
        <f t="shared" si="0"/>
        <v>11444400</v>
      </c>
      <c r="O50" s="69">
        <f t="shared" si="1"/>
        <v>11444400</v>
      </c>
      <c r="P50" s="42" t="str">
        <f>IFERROR(VLOOKUP(J50,'Mã NV'!$B:$C,2,0),"")</f>
        <v>XE01390</v>
      </c>
      <c r="Q50" s="70" t="str">
        <f>IFERROR(VLOOKUP(I50,'Mã NV'!$J:$K,2,0),"")</f>
        <v>15T</v>
      </c>
    </row>
    <row r="51" ht="33.6" customHeight="1" spans="1:17">
      <c r="A51" s="63">
        <f t="shared" si="2"/>
        <v>48</v>
      </c>
      <c r="B51" s="64">
        <v>46146</v>
      </c>
      <c r="C51" s="65"/>
      <c r="D51" s="66" t="s">
        <v>142</v>
      </c>
      <c r="E51" s="66" t="s">
        <v>142</v>
      </c>
      <c r="F51" s="66" t="s">
        <v>744</v>
      </c>
      <c r="G51" s="66" t="s">
        <v>770</v>
      </c>
      <c r="H51" s="66" t="s">
        <v>767</v>
      </c>
      <c r="I51" s="66" t="s">
        <v>230</v>
      </c>
      <c r="J51" s="66" t="s">
        <v>370</v>
      </c>
      <c r="K51" s="66" t="s">
        <v>747</v>
      </c>
      <c r="L51" s="67">
        <v>11444400</v>
      </c>
      <c r="M51" s="67">
        <v>0</v>
      </c>
      <c r="N51" s="68">
        <f t="shared" si="0"/>
        <v>11444400</v>
      </c>
      <c r="O51" s="69">
        <f t="shared" si="1"/>
        <v>11444400</v>
      </c>
      <c r="P51" s="42" t="str">
        <f>IFERROR(VLOOKUP(J51,'Mã NV'!$B:$C,2,0),"")</f>
        <v/>
      </c>
      <c r="Q51" s="70" t="str">
        <f>IFERROR(VLOOKUP(I51,'Mã NV'!$J:$K,2,0),"")</f>
        <v>15T</v>
      </c>
    </row>
    <row r="52" ht="33.6" customHeight="1" spans="1:17">
      <c r="A52" s="63">
        <f t="shared" si="2"/>
        <v>49</v>
      </c>
      <c r="B52" s="64">
        <v>46148</v>
      </c>
      <c r="C52" s="65"/>
      <c r="D52" s="66" t="s">
        <v>142</v>
      </c>
      <c r="E52" s="66" t="s">
        <v>142</v>
      </c>
      <c r="F52" s="66" t="s">
        <v>744</v>
      </c>
      <c r="G52" s="66" t="s">
        <v>770</v>
      </c>
      <c r="H52" s="66" t="s">
        <v>771</v>
      </c>
      <c r="I52" s="66" t="s">
        <v>141</v>
      </c>
      <c r="J52" s="66" t="s">
        <v>145</v>
      </c>
      <c r="K52" s="66" t="s">
        <v>747</v>
      </c>
      <c r="L52" s="67">
        <v>8991000</v>
      </c>
      <c r="M52" s="67">
        <v>0</v>
      </c>
      <c r="N52" s="68">
        <f t="shared" si="0"/>
        <v>8991000</v>
      </c>
      <c r="O52" s="69">
        <f t="shared" si="1"/>
        <v>8991000</v>
      </c>
      <c r="P52" s="42" t="str">
        <f>IFERROR(VLOOKUP(J52,'Mã NV'!$B:$C,2,0),"")</f>
        <v>XE01326</v>
      </c>
      <c r="Q52" s="70" t="str">
        <f>IFERROR(VLOOKUP(I52,'Mã NV'!$J:$K,2,0),"")</f>
        <v>7.1t</v>
      </c>
    </row>
    <row r="53" ht="33.6" customHeight="1" spans="1:17">
      <c r="A53" s="63">
        <f t="shared" si="2"/>
        <v>50</v>
      </c>
      <c r="B53" s="64">
        <v>46148</v>
      </c>
      <c r="C53" s="65"/>
      <c r="D53" s="66" t="s">
        <v>142</v>
      </c>
      <c r="E53" s="66" t="s">
        <v>142</v>
      </c>
      <c r="F53" s="66" t="s">
        <v>744</v>
      </c>
      <c r="G53" s="66" t="s">
        <v>770</v>
      </c>
      <c r="H53" s="66" t="s">
        <v>771</v>
      </c>
      <c r="I53" s="66" t="s">
        <v>141</v>
      </c>
      <c r="J53" s="66" t="s">
        <v>139</v>
      </c>
      <c r="K53" s="66" t="s">
        <v>747</v>
      </c>
      <c r="L53" s="67">
        <v>8991000</v>
      </c>
      <c r="M53" s="67">
        <v>0</v>
      </c>
      <c r="N53" s="68">
        <f t="shared" si="0"/>
        <v>8991000</v>
      </c>
      <c r="O53" s="69">
        <f t="shared" si="1"/>
        <v>8991000</v>
      </c>
      <c r="P53" s="42" t="str">
        <f>IFERROR(VLOOKUP(J53,'Mã NV'!$B:$C,2,0),"")</f>
        <v>XE01325</v>
      </c>
      <c r="Q53" s="70" t="str">
        <f>IFERROR(VLOOKUP(I53,'Mã NV'!$J:$K,2,0),"")</f>
        <v>7.1t</v>
      </c>
    </row>
    <row r="54" ht="33.6" customHeight="1" spans="1:17">
      <c r="A54" s="63">
        <f t="shared" si="2"/>
        <v>51</v>
      </c>
      <c r="B54" s="64">
        <v>46150</v>
      </c>
      <c r="C54" s="65"/>
      <c r="D54" s="66" t="s">
        <v>142</v>
      </c>
      <c r="E54" s="66" t="s">
        <v>142</v>
      </c>
      <c r="F54" s="66" t="s">
        <v>744</v>
      </c>
      <c r="G54" s="66" t="s">
        <v>772</v>
      </c>
      <c r="H54" s="66" t="s">
        <v>767</v>
      </c>
      <c r="I54" s="66" t="s">
        <v>205</v>
      </c>
      <c r="J54" s="66" t="s">
        <v>312</v>
      </c>
      <c r="K54" s="66" t="s">
        <v>747</v>
      </c>
      <c r="L54" s="67">
        <v>8580000</v>
      </c>
      <c r="M54" s="67">
        <v>0</v>
      </c>
      <c r="N54" s="68">
        <f t="shared" si="0"/>
        <v>8580000</v>
      </c>
      <c r="O54" s="69">
        <f t="shared" si="1"/>
        <v>8580000</v>
      </c>
      <c r="P54" s="42" t="str">
        <f>IFERROR(VLOOKUP(J54,'Mã NV'!$B:$C,2,0),"")</f>
        <v>XE01582</v>
      </c>
      <c r="Q54" s="70" t="str">
        <f>IFERROR(VLOOKUP(I54,'Mã NV'!$J:$K,2,0),"")</f>
        <v>8T</v>
      </c>
    </row>
    <row r="55" ht="33.6" customHeight="1" spans="1:17">
      <c r="A55" s="63">
        <f t="shared" si="2"/>
        <v>52</v>
      </c>
      <c r="B55" s="64">
        <v>46150</v>
      </c>
      <c r="C55" s="65"/>
      <c r="D55" s="66" t="s">
        <v>142</v>
      </c>
      <c r="E55" s="66" t="s">
        <v>142</v>
      </c>
      <c r="F55" s="66" t="s">
        <v>744</v>
      </c>
      <c r="G55" s="66" t="s">
        <v>772</v>
      </c>
      <c r="H55" s="66" t="s">
        <v>767</v>
      </c>
      <c r="I55" s="66" t="s">
        <v>205</v>
      </c>
      <c r="J55" s="66" t="s">
        <v>314</v>
      </c>
      <c r="K55" s="66" t="s">
        <v>747</v>
      </c>
      <c r="L55" s="67">
        <v>8580000</v>
      </c>
      <c r="M55" s="67">
        <v>0</v>
      </c>
      <c r="N55" s="68">
        <f t="shared" si="0"/>
        <v>8580000</v>
      </c>
      <c r="O55" s="69">
        <f t="shared" si="1"/>
        <v>8580000</v>
      </c>
      <c r="P55" s="42" t="str">
        <f>IFERROR(VLOOKUP(J55,'Mã NV'!$B:$C,2,0),"")</f>
        <v>XE01583</v>
      </c>
      <c r="Q55" s="70" t="str">
        <f>IFERROR(VLOOKUP(I55,'Mã NV'!$J:$K,2,0),"")</f>
        <v>8T</v>
      </c>
    </row>
    <row r="56" ht="33.6" customHeight="1" spans="1:17">
      <c r="A56" s="63">
        <f t="shared" si="2"/>
        <v>53</v>
      </c>
      <c r="B56" s="64">
        <v>46153</v>
      </c>
      <c r="C56" s="65"/>
      <c r="D56" s="66" t="s">
        <v>142</v>
      </c>
      <c r="E56" s="66" t="s">
        <v>142</v>
      </c>
      <c r="F56" s="66" t="s">
        <v>744</v>
      </c>
      <c r="G56" s="66" t="s">
        <v>770</v>
      </c>
      <c r="H56" s="66" t="s">
        <v>767</v>
      </c>
      <c r="I56" s="66" t="s">
        <v>141</v>
      </c>
      <c r="J56" s="66" t="s">
        <v>145</v>
      </c>
      <c r="K56" s="66" t="s">
        <v>747</v>
      </c>
      <c r="L56" s="67">
        <v>9126500</v>
      </c>
      <c r="M56" s="67">
        <v>0</v>
      </c>
      <c r="N56" s="68">
        <f t="shared" si="0"/>
        <v>9126500</v>
      </c>
      <c r="O56" s="69">
        <f t="shared" si="1"/>
        <v>9126500</v>
      </c>
      <c r="P56" s="42" t="str">
        <f>IFERROR(VLOOKUP(J56,'Mã NV'!$B:$C,2,0),"")</f>
        <v>XE01326</v>
      </c>
      <c r="Q56" s="70" t="str">
        <f>IFERROR(VLOOKUP(I56,'Mã NV'!$J:$K,2,0),"")</f>
        <v>7.1t</v>
      </c>
    </row>
    <row r="57" ht="33.6" customHeight="1" spans="1:17">
      <c r="A57" s="63">
        <f t="shared" si="2"/>
        <v>54</v>
      </c>
      <c r="B57" s="64">
        <v>46153</v>
      </c>
      <c r="C57" s="65"/>
      <c r="D57" s="66" t="s">
        <v>142</v>
      </c>
      <c r="E57" s="66" t="s">
        <v>142</v>
      </c>
      <c r="F57" s="66" t="s">
        <v>744</v>
      </c>
      <c r="G57" s="66" t="s">
        <v>770</v>
      </c>
      <c r="H57" s="66" t="s">
        <v>767</v>
      </c>
      <c r="I57" s="66" t="s">
        <v>141</v>
      </c>
      <c r="J57" s="66" t="s">
        <v>139</v>
      </c>
      <c r="K57" s="66" t="s">
        <v>747</v>
      </c>
      <c r="L57" s="67">
        <v>9126500</v>
      </c>
      <c r="M57" s="67">
        <v>0</v>
      </c>
      <c r="N57" s="68">
        <f t="shared" si="0"/>
        <v>9126500</v>
      </c>
      <c r="O57" s="69">
        <f t="shared" si="1"/>
        <v>9126500</v>
      </c>
      <c r="P57" s="42" t="str">
        <f>IFERROR(VLOOKUP(J57,'Mã NV'!$B:$C,2,0),"")</f>
        <v>XE01325</v>
      </c>
      <c r="Q57" s="70" t="str">
        <f>IFERROR(VLOOKUP(I57,'Mã NV'!$J:$K,2,0),"")</f>
        <v>7.1t</v>
      </c>
    </row>
    <row r="58" ht="33.6" customHeight="1" spans="1:17">
      <c r="A58" s="63">
        <f t="shared" si="2"/>
        <v>55</v>
      </c>
      <c r="B58" s="64">
        <v>46153</v>
      </c>
      <c r="C58" s="65"/>
      <c r="D58" s="66" t="s">
        <v>142</v>
      </c>
      <c r="E58" s="66" t="s">
        <v>142</v>
      </c>
      <c r="F58" s="66" t="s">
        <v>744</v>
      </c>
      <c r="G58" s="66" t="s">
        <v>760</v>
      </c>
      <c r="H58" s="66" t="s">
        <v>767</v>
      </c>
      <c r="I58" s="66" t="s">
        <v>211</v>
      </c>
      <c r="J58" s="66" t="s">
        <v>209</v>
      </c>
      <c r="K58" s="66" t="s">
        <v>747</v>
      </c>
      <c r="L58" s="67">
        <v>5250000</v>
      </c>
      <c r="M58" s="67">
        <v>0</v>
      </c>
      <c r="N58" s="68">
        <f t="shared" si="0"/>
        <v>5250000</v>
      </c>
      <c r="O58" s="69">
        <f t="shared" si="1"/>
        <v>5250000</v>
      </c>
      <c r="P58" s="42" t="str">
        <f>IFERROR(VLOOKUP(J58,'Mã NV'!$B:$C,2,0),"")</f>
        <v>XE01098</v>
      </c>
      <c r="Q58" s="70" t="str">
        <f>IFERROR(VLOOKUP(I58,'Mã NV'!$J:$K,2,0),"")</f>
        <v>7.1t</v>
      </c>
    </row>
    <row r="59" ht="33.6" customHeight="1" spans="1:17">
      <c r="A59" s="63">
        <f t="shared" si="2"/>
        <v>56</v>
      </c>
      <c r="B59" s="64">
        <v>46153</v>
      </c>
      <c r="C59" s="65"/>
      <c r="D59" s="66" t="s">
        <v>142</v>
      </c>
      <c r="E59" s="66" t="s">
        <v>142</v>
      </c>
      <c r="F59" s="66" t="s">
        <v>744</v>
      </c>
      <c r="G59" s="66" t="s">
        <v>760</v>
      </c>
      <c r="H59" s="66" t="s">
        <v>767</v>
      </c>
      <c r="I59" s="66" t="s">
        <v>211</v>
      </c>
      <c r="J59" s="66" t="s">
        <v>316</v>
      </c>
      <c r="K59" s="66" t="s">
        <v>747</v>
      </c>
      <c r="L59" s="67">
        <v>5250000</v>
      </c>
      <c r="M59" s="67">
        <v>0</v>
      </c>
      <c r="N59" s="68">
        <f t="shared" si="0"/>
        <v>5250000</v>
      </c>
      <c r="O59" s="69">
        <f t="shared" si="1"/>
        <v>5250000</v>
      </c>
      <c r="P59" s="42" t="str">
        <f>IFERROR(VLOOKUP(J59,'Mã NV'!$B:$C,2,0),"")</f>
        <v>XE01600</v>
      </c>
      <c r="Q59" s="70" t="str">
        <f>IFERROR(VLOOKUP(I59,'Mã NV'!$J:$K,2,0),"")</f>
        <v>7.1t</v>
      </c>
    </row>
    <row r="60" ht="33.6" customHeight="1" spans="1:17">
      <c r="A60" s="63">
        <f t="shared" si="2"/>
        <v>57</v>
      </c>
      <c r="B60" s="64">
        <v>46157</v>
      </c>
      <c r="C60" s="65"/>
      <c r="D60" s="66" t="s">
        <v>142</v>
      </c>
      <c r="E60" s="66" t="s">
        <v>142</v>
      </c>
      <c r="F60" s="66" t="s">
        <v>744</v>
      </c>
      <c r="G60" s="66" t="s">
        <v>767</v>
      </c>
      <c r="H60" s="66" t="s">
        <v>760</v>
      </c>
      <c r="I60" s="66" t="s">
        <v>300</v>
      </c>
      <c r="J60" s="66" t="s">
        <v>298</v>
      </c>
      <c r="K60" s="66" t="s">
        <v>747</v>
      </c>
      <c r="L60" s="67">
        <v>9000000</v>
      </c>
      <c r="M60" s="67">
        <v>0</v>
      </c>
      <c r="N60" s="68">
        <f t="shared" si="0"/>
        <v>9000000</v>
      </c>
      <c r="O60" s="69">
        <f t="shared" si="1"/>
        <v>9000000</v>
      </c>
      <c r="P60" s="42" t="str">
        <f>IFERROR(VLOOKUP(J60,'Mã NV'!$B:$C,2,0),"")</f>
        <v>XE01590</v>
      </c>
      <c r="Q60" s="70" t="str">
        <f>IFERROR(VLOOKUP(I60,'Mã NV'!$J:$K,2,0),"")</f>
        <v>8T</v>
      </c>
    </row>
    <row r="61" ht="33.6" customHeight="1" spans="1:17">
      <c r="A61" s="63">
        <f t="shared" si="2"/>
        <v>58</v>
      </c>
      <c r="B61" s="64">
        <v>46157</v>
      </c>
      <c r="C61" s="65"/>
      <c r="D61" s="66" t="s">
        <v>142</v>
      </c>
      <c r="E61" s="66" t="s">
        <v>142</v>
      </c>
      <c r="F61" s="66" t="s">
        <v>744</v>
      </c>
      <c r="G61" s="66" t="s">
        <v>767</v>
      </c>
      <c r="H61" s="66" t="s">
        <v>760</v>
      </c>
      <c r="I61" s="66" t="s">
        <v>300</v>
      </c>
      <c r="J61" s="66" t="s">
        <v>301</v>
      </c>
      <c r="K61" s="66" t="s">
        <v>747</v>
      </c>
      <c r="L61" s="67">
        <v>9000000</v>
      </c>
      <c r="M61" s="67">
        <v>0</v>
      </c>
      <c r="N61" s="68">
        <f t="shared" si="0"/>
        <v>9000000</v>
      </c>
      <c r="O61" s="69">
        <f t="shared" si="1"/>
        <v>9000000</v>
      </c>
      <c r="P61" s="42" t="str">
        <f>IFERROR(VLOOKUP(J61,'Mã NV'!$B:$C,2,0),"")</f>
        <v>XE01591</v>
      </c>
      <c r="Q61" s="70" t="str">
        <f>IFERROR(VLOOKUP(I61,'Mã NV'!$J:$K,2,0),"")</f>
        <v>8T</v>
      </c>
    </row>
    <row r="62" ht="33.6" customHeight="1" spans="1:17">
      <c r="A62" s="63">
        <f t="shared" si="2"/>
        <v>59</v>
      </c>
      <c r="B62" s="64">
        <v>46157</v>
      </c>
      <c r="C62" s="65"/>
      <c r="D62" s="66" t="s">
        <v>142</v>
      </c>
      <c r="E62" s="66" t="s">
        <v>142</v>
      </c>
      <c r="F62" s="66" t="s">
        <v>744</v>
      </c>
      <c r="G62" s="66" t="s">
        <v>772</v>
      </c>
      <c r="H62" s="66" t="s">
        <v>767</v>
      </c>
      <c r="I62" s="66" t="s">
        <v>275</v>
      </c>
      <c r="J62" s="66" t="s">
        <v>273</v>
      </c>
      <c r="K62" s="66" t="s">
        <v>747</v>
      </c>
      <c r="L62" s="67">
        <v>8800000</v>
      </c>
      <c r="M62" s="67">
        <v>0</v>
      </c>
      <c r="N62" s="68">
        <f t="shared" si="0"/>
        <v>8800000</v>
      </c>
      <c r="O62" s="69">
        <f t="shared" si="1"/>
        <v>8800000</v>
      </c>
      <c r="P62" s="42" t="str">
        <f>IFERROR(VLOOKUP(J62,'Mã NV'!$B:$C,2,0),"")</f>
        <v>XE01527</v>
      </c>
      <c r="Q62" s="70" t="str">
        <f>IFERROR(VLOOKUP(I62,'Mã NV'!$J:$K,2,0),"")</f>
        <v>8T</v>
      </c>
    </row>
    <row r="63" ht="33.6" customHeight="1" spans="1:17">
      <c r="A63" s="63">
        <f t="shared" si="2"/>
        <v>60</v>
      </c>
      <c r="B63" s="64">
        <v>46157</v>
      </c>
      <c r="C63" s="65"/>
      <c r="D63" s="66" t="s">
        <v>142</v>
      </c>
      <c r="E63" s="66" t="s">
        <v>142</v>
      </c>
      <c r="F63" s="66" t="s">
        <v>744</v>
      </c>
      <c r="G63" s="66" t="s">
        <v>772</v>
      </c>
      <c r="H63" s="66" t="s">
        <v>767</v>
      </c>
      <c r="I63" s="66" t="s">
        <v>275</v>
      </c>
      <c r="J63" s="66" t="s">
        <v>303</v>
      </c>
      <c r="K63" s="66" t="s">
        <v>747</v>
      </c>
      <c r="L63" s="67">
        <v>8800000</v>
      </c>
      <c r="M63" s="67">
        <v>0</v>
      </c>
      <c r="N63" s="68">
        <f t="shared" si="0"/>
        <v>8800000</v>
      </c>
      <c r="O63" s="69">
        <f t="shared" si="1"/>
        <v>8800000</v>
      </c>
      <c r="P63" s="42" t="str">
        <f>IFERROR(VLOOKUP(J63,'Mã NV'!$B:$C,2,0),"")</f>
        <v>XE01574</v>
      </c>
      <c r="Q63" s="70" t="str">
        <f>IFERROR(VLOOKUP(I63,'Mã NV'!$J:$K,2,0),"")</f>
        <v>8T</v>
      </c>
    </row>
    <row r="64" ht="33.6" customHeight="1" spans="1:17">
      <c r="A64" s="63">
        <f t="shared" si="2"/>
        <v>61</v>
      </c>
      <c r="B64" s="64">
        <v>46159</v>
      </c>
      <c r="C64" s="65"/>
      <c r="D64" s="66" t="s">
        <v>142</v>
      </c>
      <c r="E64" s="66" t="s">
        <v>142</v>
      </c>
      <c r="F64" s="66" t="s">
        <v>744</v>
      </c>
      <c r="G64" s="66" t="s">
        <v>760</v>
      </c>
      <c r="H64" s="66" t="s">
        <v>771</v>
      </c>
      <c r="I64" s="66" t="s">
        <v>300</v>
      </c>
      <c r="J64" s="66" t="s">
        <v>298</v>
      </c>
      <c r="K64" s="66" t="s">
        <v>747</v>
      </c>
      <c r="L64" s="67">
        <v>6800000</v>
      </c>
      <c r="M64" s="67">
        <v>0</v>
      </c>
      <c r="N64" s="68">
        <f t="shared" si="0"/>
        <v>6800000</v>
      </c>
      <c r="O64" s="69">
        <f t="shared" si="1"/>
        <v>6800000</v>
      </c>
      <c r="P64" s="42" t="str">
        <f>IFERROR(VLOOKUP(J64,'Mã NV'!$B:$C,2,0),"")</f>
        <v>XE01590</v>
      </c>
      <c r="Q64" s="70" t="str">
        <f>IFERROR(VLOOKUP(I64,'Mã NV'!$J:$K,2,0),"")</f>
        <v>8T</v>
      </c>
    </row>
    <row r="65" ht="33.6" customHeight="1" spans="1:17">
      <c r="A65" s="63">
        <f t="shared" si="2"/>
        <v>62</v>
      </c>
      <c r="B65" s="64">
        <v>46159</v>
      </c>
      <c r="C65" s="65"/>
      <c r="D65" s="66" t="s">
        <v>142</v>
      </c>
      <c r="E65" s="66" t="s">
        <v>142</v>
      </c>
      <c r="F65" s="66" t="s">
        <v>744</v>
      </c>
      <c r="G65" s="66" t="s">
        <v>760</v>
      </c>
      <c r="H65" s="66" t="s">
        <v>771</v>
      </c>
      <c r="I65" s="66" t="s">
        <v>300</v>
      </c>
      <c r="J65" s="66" t="s">
        <v>301</v>
      </c>
      <c r="K65" s="66" t="s">
        <v>747</v>
      </c>
      <c r="L65" s="67">
        <v>6800000</v>
      </c>
      <c r="M65" s="67">
        <v>0</v>
      </c>
      <c r="N65" s="68">
        <f t="shared" si="0"/>
        <v>6800000</v>
      </c>
      <c r="O65" s="69">
        <f t="shared" si="1"/>
        <v>6800000</v>
      </c>
      <c r="P65" s="42" t="str">
        <f>IFERROR(VLOOKUP(J65,'Mã NV'!$B:$C,2,0),"")</f>
        <v>XE01591</v>
      </c>
      <c r="Q65" s="70" t="str">
        <f>IFERROR(VLOOKUP(I65,'Mã NV'!$J:$K,2,0),"")</f>
        <v>8T</v>
      </c>
    </row>
    <row r="66" ht="33.6" customHeight="1" spans="1:17">
      <c r="A66" s="63">
        <f t="shared" si="2"/>
        <v>63</v>
      </c>
      <c r="B66" s="64">
        <v>46160</v>
      </c>
      <c r="C66" s="65"/>
      <c r="D66" s="66" t="s">
        <v>142</v>
      </c>
      <c r="E66" s="66" t="s">
        <v>142</v>
      </c>
      <c r="F66" s="66" t="s">
        <v>744</v>
      </c>
      <c r="G66" s="66" t="s">
        <v>767</v>
      </c>
      <c r="H66" s="66" t="s">
        <v>769</v>
      </c>
      <c r="I66" s="66" t="s">
        <v>286</v>
      </c>
      <c r="J66" s="66" t="s">
        <v>284</v>
      </c>
      <c r="K66" s="66" t="s">
        <v>747</v>
      </c>
      <c r="L66" s="67">
        <v>750000</v>
      </c>
      <c r="M66" s="67">
        <v>0</v>
      </c>
      <c r="N66" s="68">
        <f t="shared" si="0"/>
        <v>750000</v>
      </c>
      <c r="O66" s="69">
        <f t="shared" si="1"/>
        <v>750000</v>
      </c>
      <c r="P66" s="42" t="str">
        <f>IFERROR(VLOOKUP(J66,'Mã NV'!$B:$C,2,0),"")</f>
        <v>XE01543</v>
      </c>
      <c r="Q66" s="70" t="str">
        <f>IFERROR(VLOOKUP(I66,'Mã NV'!$J:$K,2,0),"")</f>
        <v>8T</v>
      </c>
    </row>
    <row r="67" ht="33.6" customHeight="1" spans="1:17">
      <c r="A67" s="63">
        <f t="shared" si="2"/>
        <v>64</v>
      </c>
      <c r="B67" s="64">
        <v>46160</v>
      </c>
      <c r="C67" s="65"/>
      <c r="D67" s="66" t="s">
        <v>142</v>
      </c>
      <c r="E67" s="66" t="s">
        <v>142</v>
      </c>
      <c r="F67" s="66" t="s">
        <v>744</v>
      </c>
      <c r="G67" s="66" t="s">
        <v>767</v>
      </c>
      <c r="H67" s="66" t="s">
        <v>769</v>
      </c>
      <c r="I67" s="66" t="s">
        <v>286</v>
      </c>
      <c r="J67" s="66" t="s">
        <v>335</v>
      </c>
      <c r="K67" s="66" t="s">
        <v>747</v>
      </c>
      <c r="L67" s="67">
        <v>750000</v>
      </c>
      <c r="M67" s="67">
        <v>0</v>
      </c>
      <c r="N67" s="68">
        <f t="shared" si="0"/>
        <v>750000</v>
      </c>
      <c r="O67" s="69">
        <f t="shared" si="1"/>
        <v>750000</v>
      </c>
      <c r="P67" s="42" t="str">
        <f>IFERROR(VLOOKUP(J67,'Mã NV'!$B:$C,2,0),"")</f>
        <v>XE01622</v>
      </c>
      <c r="Q67" s="70" t="str">
        <f>IFERROR(VLOOKUP(I67,'Mã NV'!$J:$K,2,0),"")</f>
        <v>8T</v>
      </c>
    </row>
    <row r="68" ht="33.6" customHeight="1" spans="1:17">
      <c r="A68" s="63">
        <f t="shared" si="2"/>
        <v>65</v>
      </c>
      <c r="B68" s="64">
        <v>46163</v>
      </c>
      <c r="C68" s="65"/>
      <c r="D68" s="66" t="s">
        <v>142</v>
      </c>
      <c r="E68" s="66" t="s">
        <v>142</v>
      </c>
      <c r="F68" s="66" t="s">
        <v>744</v>
      </c>
      <c r="G68" s="66" t="s">
        <v>773</v>
      </c>
      <c r="H68" s="66" t="s">
        <v>771</v>
      </c>
      <c r="I68" s="66" t="s">
        <v>275</v>
      </c>
      <c r="J68" s="66" t="s">
        <v>273</v>
      </c>
      <c r="K68" s="66" t="s">
        <v>747</v>
      </c>
      <c r="L68" s="67">
        <v>8580000</v>
      </c>
      <c r="M68" s="67">
        <v>0</v>
      </c>
      <c r="N68" s="68">
        <f t="shared" si="0"/>
        <v>8580000</v>
      </c>
      <c r="O68" s="69">
        <f t="shared" si="1"/>
        <v>8580000</v>
      </c>
      <c r="P68" s="42" t="str">
        <f>IFERROR(VLOOKUP(J68,'Mã NV'!$B:$C,2,0),"")</f>
        <v>XE01527</v>
      </c>
      <c r="Q68" s="70" t="str">
        <f>IFERROR(VLOOKUP(I68,'Mã NV'!$J:$K,2,0),"")</f>
        <v>8T</v>
      </c>
    </row>
    <row r="69" ht="33.6" customHeight="1" spans="1:17">
      <c r="A69" s="63">
        <f t="shared" si="2"/>
        <v>66</v>
      </c>
      <c r="B69" s="64">
        <v>46163</v>
      </c>
      <c r="C69" s="65"/>
      <c r="D69" s="66" t="s">
        <v>142</v>
      </c>
      <c r="E69" s="66" t="s">
        <v>142</v>
      </c>
      <c r="F69" s="66" t="s">
        <v>744</v>
      </c>
      <c r="G69" s="66" t="s">
        <v>773</v>
      </c>
      <c r="H69" s="66" t="s">
        <v>771</v>
      </c>
      <c r="I69" s="66" t="s">
        <v>275</v>
      </c>
      <c r="J69" s="66" t="s">
        <v>303</v>
      </c>
      <c r="K69" s="66" t="s">
        <v>747</v>
      </c>
      <c r="L69" s="67">
        <v>8580000</v>
      </c>
      <c r="M69" s="67">
        <v>0</v>
      </c>
      <c r="N69" s="68">
        <f t="shared" si="0"/>
        <v>8580000</v>
      </c>
      <c r="O69" s="69">
        <f t="shared" si="1"/>
        <v>8580000</v>
      </c>
      <c r="P69" s="42" t="str">
        <f>IFERROR(VLOOKUP(J69,'Mã NV'!$B:$C,2,0),"")</f>
        <v>XE01574</v>
      </c>
      <c r="Q69" s="70" t="str">
        <f>IFERROR(VLOOKUP(I69,'Mã NV'!$J:$K,2,0),"")</f>
        <v>8T</v>
      </c>
    </row>
    <row r="70" ht="33.6" customHeight="1" spans="1:17">
      <c r="A70" s="63">
        <f t="shared" ref="A70:A133" si="7">A69+1</f>
        <v>67</v>
      </c>
      <c r="B70" s="64">
        <v>46136</v>
      </c>
      <c r="C70" s="65"/>
      <c r="D70" s="66" t="s">
        <v>21</v>
      </c>
      <c r="E70" s="66" t="s">
        <v>21</v>
      </c>
      <c r="F70" s="66" t="s">
        <v>744</v>
      </c>
      <c r="G70" s="66" t="s">
        <v>770</v>
      </c>
      <c r="H70" s="66" t="s">
        <v>753</v>
      </c>
      <c r="I70" s="66" t="s">
        <v>17</v>
      </c>
      <c r="J70" s="66" t="s">
        <v>15</v>
      </c>
      <c r="K70" s="66" t="s">
        <v>747</v>
      </c>
      <c r="L70" s="67">
        <v>13150000</v>
      </c>
      <c r="M70" s="67">
        <v>0</v>
      </c>
      <c r="N70" s="68">
        <f t="shared" si="0"/>
        <v>13150000</v>
      </c>
      <c r="O70" s="69">
        <f t="shared" si="1"/>
        <v>13150000</v>
      </c>
      <c r="P70" s="42" t="str">
        <f>IFERROR(VLOOKUP(J70,'Mã NV'!$B:$C,2,0),"")</f>
        <v>XE01331</v>
      </c>
      <c r="Q70" s="70" t="str">
        <f>IFERROR(VLOOKUP(I70,'Mã NV'!$J:$K,2,0),"")</f>
        <v>15T</v>
      </c>
    </row>
    <row r="71" ht="33.6" customHeight="1" spans="1:17">
      <c r="A71" s="63">
        <f t="shared" si="7"/>
        <v>68</v>
      </c>
      <c r="B71" s="64">
        <v>46136</v>
      </c>
      <c r="C71" s="65"/>
      <c r="D71" s="66" t="s">
        <v>21</v>
      </c>
      <c r="E71" s="66" t="s">
        <v>21</v>
      </c>
      <c r="F71" s="66" t="s">
        <v>744</v>
      </c>
      <c r="G71" s="66" t="s">
        <v>770</v>
      </c>
      <c r="H71" s="66" t="s">
        <v>753</v>
      </c>
      <c r="I71" s="66" t="s">
        <v>17</v>
      </c>
      <c r="J71" s="66" t="s">
        <v>341</v>
      </c>
      <c r="K71" s="66" t="s">
        <v>747</v>
      </c>
      <c r="L71" s="67">
        <v>13150000</v>
      </c>
      <c r="M71" s="67">
        <v>0</v>
      </c>
      <c r="N71" s="68">
        <f t="shared" si="0"/>
        <v>13150000</v>
      </c>
      <c r="O71" s="69">
        <f t="shared" ref="O71:O134" si="8">N71/$P$1</f>
        <v>13150000</v>
      </c>
      <c r="P71" s="42" t="str">
        <f>IFERROR(VLOOKUP(J71,'Mã NV'!$B:$C,2,0),"")</f>
        <v>XE01645</v>
      </c>
      <c r="Q71" s="70" t="str">
        <f>IFERROR(VLOOKUP(I71,'Mã NV'!$J:$K,2,0),"")</f>
        <v>15T</v>
      </c>
    </row>
    <row r="72" ht="33.6" customHeight="1" spans="1:17">
      <c r="A72" s="63">
        <f t="shared" si="7"/>
        <v>69</v>
      </c>
      <c r="B72" s="64">
        <v>46141</v>
      </c>
      <c r="C72" s="65"/>
      <c r="D72" s="66" t="s">
        <v>21</v>
      </c>
      <c r="E72" s="66" t="s">
        <v>21</v>
      </c>
      <c r="F72" s="66" t="s">
        <v>744</v>
      </c>
      <c r="G72" s="66" t="s">
        <v>750</v>
      </c>
      <c r="H72" s="66" t="s">
        <v>745</v>
      </c>
      <c r="I72" s="66" t="s">
        <v>170</v>
      </c>
      <c r="J72" s="66" t="s">
        <v>168</v>
      </c>
      <c r="K72" s="66" t="s">
        <v>747</v>
      </c>
      <c r="L72" s="67">
        <v>9750000</v>
      </c>
      <c r="M72" s="67">
        <v>0</v>
      </c>
      <c r="N72" s="68">
        <f t="shared" ref="N72:N135" si="9">L72-M72</f>
        <v>9750000</v>
      </c>
      <c r="O72" s="69">
        <f t="shared" si="8"/>
        <v>9750000</v>
      </c>
      <c r="P72" s="42" t="str">
        <f>IFERROR(VLOOKUP(J72,'Mã NV'!$B:$C,2,0),"")</f>
        <v>XE01263</v>
      </c>
      <c r="Q72" s="70" t="str">
        <f>IFERROR(VLOOKUP(I72,'Mã NV'!$J:$K,2,0),"")</f>
        <v>8T</v>
      </c>
    </row>
    <row r="73" ht="33.6" customHeight="1" spans="1:17">
      <c r="A73" s="63">
        <f t="shared" si="7"/>
        <v>70</v>
      </c>
      <c r="B73" s="64">
        <v>46141</v>
      </c>
      <c r="C73" s="65"/>
      <c r="D73" s="66" t="s">
        <v>21</v>
      </c>
      <c r="E73" s="66" t="s">
        <v>21</v>
      </c>
      <c r="F73" s="66" t="s">
        <v>744</v>
      </c>
      <c r="G73" s="66" t="s">
        <v>750</v>
      </c>
      <c r="H73" s="66" t="s">
        <v>745</v>
      </c>
      <c r="I73" s="66" t="s">
        <v>170</v>
      </c>
      <c r="J73" s="66" t="s">
        <v>203</v>
      </c>
      <c r="K73" s="66" t="s">
        <v>747</v>
      </c>
      <c r="L73" s="67">
        <v>9750000</v>
      </c>
      <c r="M73" s="67">
        <v>0</v>
      </c>
      <c r="N73" s="68">
        <f t="shared" si="9"/>
        <v>9750000</v>
      </c>
      <c r="O73" s="69">
        <f t="shared" si="8"/>
        <v>9750000</v>
      </c>
      <c r="P73" s="42" t="str">
        <f>IFERROR(VLOOKUP(J73,'Mã NV'!$B:$C,2,0),"")</f>
        <v>XE01149</v>
      </c>
      <c r="Q73" s="70" t="str">
        <f>IFERROR(VLOOKUP(I73,'Mã NV'!$J:$K,2,0),"")</f>
        <v>8T</v>
      </c>
    </row>
    <row r="74" ht="33.6" customHeight="1" spans="1:17">
      <c r="A74" s="63">
        <f t="shared" si="7"/>
        <v>71</v>
      </c>
      <c r="B74" s="64">
        <v>46142</v>
      </c>
      <c r="C74" s="65"/>
      <c r="D74" s="66" t="s">
        <v>21</v>
      </c>
      <c r="E74" s="66" t="s">
        <v>21</v>
      </c>
      <c r="F74" s="66" t="s">
        <v>744</v>
      </c>
      <c r="G74" s="66" t="s">
        <v>774</v>
      </c>
      <c r="H74" s="66" t="s">
        <v>775</v>
      </c>
      <c r="I74" s="66" t="s">
        <v>119</v>
      </c>
      <c r="J74" s="66" t="s">
        <v>307</v>
      </c>
      <c r="K74" s="66" t="s">
        <v>747</v>
      </c>
      <c r="L74" s="67">
        <v>9650000</v>
      </c>
      <c r="M74" s="67">
        <v>0</v>
      </c>
      <c r="N74" s="68">
        <f t="shared" si="9"/>
        <v>9650000</v>
      </c>
      <c r="O74" s="69">
        <f t="shared" si="8"/>
        <v>9650000</v>
      </c>
      <c r="P74" s="42" t="str">
        <f>IFERROR(VLOOKUP(J74,'Mã NV'!$B:$C,2,0),"")</f>
        <v>XE01548</v>
      </c>
      <c r="Q74" s="70" t="str">
        <f>IFERROR(VLOOKUP(I74,'Mã NV'!$J:$K,2,0),"")</f>
        <v>8T</v>
      </c>
    </row>
    <row r="75" ht="33.6" customHeight="1" spans="1:17">
      <c r="A75" s="63">
        <f t="shared" si="7"/>
        <v>72</v>
      </c>
      <c r="B75" s="64">
        <v>46142</v>
      </c>
      <c r="C75" s="65"/>
      <c r="D75" s="66" t="s">
        <v>21</v>
      </c>
      <c r="E75" s="66" t="s">
        <v>21</v>
      </c>
      <c r="F75" s="66" t="s">
        <v>744</v>
      </c>
      <c r="G75" s="66" t="s">
        <v>774</v>
      </c>
      <c r="H75" s="66" t="s">
        <v>775</v>
      </c>
      <c r="I75" s="66" t="s">
        <v>119</v>
      </c>
      <c r="J75" s="66" t="s">
        <v>310</v>
      </c>
      <c r="K75" s="66" t="s">
        <v>747</v>
      </c>
      <c r="L75" s="67">
        <v>9650000</v>
      </c>
      <c r="M75" s="67">
        <v>0</v>
      </c>
      <c r="N75" s="68">
        <f t="shared" si="9"/>
        <v>9650000</v>
      </c>
      <c r="O75" s="69">
        <f t="shared" si="8"/>
        <v>9650000</v>
      </c>
      <c r="P75" s="42" t="str">
        <f>IFERROR(VLOOKUP(J75,'Mã NV'!$B:$C,2,0),"")</f>
        <v>XE01549</v>
      </c>
      <c r="Q75" s="70" t="str">
        <f>IFERROR(VLOOKUP(I75,'Mã NV'!$J:$K,2,0),"")</f>
        <v>8T</v>
      </c>
    </row>
    <row r="76" ht="33.6" customHeight="1" spans="1:17">
      <c r="A76" s="63">
        <f t="shared" si="7"/>
        <v>73</v>
      </c>
      <c r="B76" s="64">
        <v>46142</v>
      </c>
      <c r="C76" s="65"/>
      <c r="D76" s="66" t="s">
        <v>21</v>
      </c>
      <c r="E76" s="66" t="s">
        <v>21</v>
      </c>
      <c r="F76" s="66" t="s">
        <v>744</v>
      </c>
      <c r="G76" s="66" t="s">
        <v>776</v>
      </c>
      <c r="H76" s="66" t="s">
        <v>768</v>
      </c>
      <c r="I76" s="66" t="s">
        <v>109</v>
      </c>
      <c r="J76" s="66" t="s">
        <v>107</v>
      </c>
      <c r="K76" s="66" t="s">
        <v>747</v>
      </c>
      <c r="L76" s="67">
        <v>9027778</v>
      </c>
      <c r="M76" s="67">
        <v>0</v>
      </c>
      <c r="N76" s="68">
        <f t="shared" si="9"/>
        <v>9027778</v>
      </c>
      <c r="O76" s="69">
        <f t="shared" si="8"/>
        <v>9027778</v>
      </c>
      <c r="P76" s="42" t="str">
        <f>IFERROR(VLOOKUP(J76,'Mã NV'!$B:$C,2,0),"")</f>
        <v>XE01102</v>
      </c>
      <c r="Q76" s="70" t="str">
        <f>IFERROR(VLOOKUP(I76,'Mã NV'!$J:$K,2,0),"")</f>
        <v>15T</v>
      </c>
    </row>
    <row r="77" ht="33.6" customHeight="1" spans="1:17">
      <c r="A77" s="63">
        <f t="shared" si="7"/>
        <v>74</v>
      </c>
      <c r="B77" s="64">
        <v>46142</v>
      </c>
      <c r="C77" s="65"/>
      <c r="D77" s="66" t="s">
        <v>21</v>
      </c>
      <c r="E77" s="66" t="s">
        <v>21</v>
      </c>
      <c r="F77" s="66" t="s">
        <v>744</v>
      </c>
      <c r="G77" s="66" t="s">
        <v>776</v>
      </c>
      <c r="H77" s="66" t="s">
        <v>768</v>
      </c>
      <c r="I77" s="66" t="s">
        <v>109</v>
      </c>
      <c r="J77" s="66" t="s">
        <v>120</v>
      </c>
      <c r="K77" s="66" t="s">
        <v>747</v>
      </c>
      <c r="L77" s="67">
        <v>9027778</v>
      </c>
      <c r="M77" s="67">
        <v>0</v>
      </c>
      <c r="N77" s="68">
        <f t="shared" si="9"/>
        <v>9027778</v>
      </c>
      <c r="O77" s="69">
        <f t="shared" si="8"/>
        <v>9027778</v>
      </c>
      <c r="P77" s="42" t="str">
        <f>IFERROR(VLOOKUP(J77,'Mã NV'!$B:$C,2,0),"")</f>
        <v>XE01315</v>
      </c>
      <c r="Q77" s="70" t="str">
        <f>IFERROR(VLOOKUP(I77,'Mã NV'!$J:$K,2,0),"")</f>
        <v>15T</v>
      </c>
    </row>
    <row r="78" ht="33.6" customHeight="1" spans="1:17">
      <c r="A78" s="63">
        <f t="shared" si="7"/>
        <v>75</v>
      </c>
      <c r="B78" s="64">
        <v>46142</v>
      </c>
      <c r="C78" s="65"/>
      <c r="D78" s="66" t="s">
        <v>21</v>
      </c>
      <c r="E78" s="66" t="s">
        <v>21</v>
      </c>
      <c r="F78" s="66" t="s">
        <v>744</v>
      </c>
      <c r="G78" s="66" t="s">
        <v>750</v>
      </c>
      <c r="H78" s="66" t="s">
        <v>745</v>
      </c>
      <c r="I78" s="66" t="s">
        <v>290</v>
      </c>
      <c r="J78" s="66" t="s">
        <v>288</v>
      </c>
      <c r="K78" s="66" t="s">
        <v>747</v>
      </c>
      <c r="L78" s="67">
        <v>9750000</v>
      </c>
      <c r="M78" s="67">
        <v>0</v>
      </c>
      <c r="N78" s="68">
        <f t="shared" si="9"/>
        <v>9750000</v>
      </c>
      <c r="O78" s="69">
        <f t="shared" si="8"/>
        <v>9750000</v>
      </c>
      <c r="P78" s="42" t="str">
        <f>IFERROR(VLOOKUP(J78,'Mã NV'!$B:$C,2,0),"")</f>
        <v>XE01563</v>
      </c>
      <c r="Q78" s="70" t="str">
        <f>IFERROR(VLOOKUP(I78,'Mã NV'!$J:$K,2,0),"")</f>
        <v>8T</v>
      </c>
    </row>
    <row r="79" ht="33.6" customHeight="1" spans="1:17">
      <c r="A79" s="63">
        <f t="shared" si="7"/>
        <v>76</v>
      </c>
      <c r="B79" s="64">
        <v>46142</v>
      </c>
      <c r="C79" s="65"/>
      <c r="D79" s="66" t="s">
        <v>21</v>
      </c>
      <c r="E79" s="66" t="s">
        <v>21</v>
      </c>
      <c r="F79" s="66" t="s">
        <v>744</v>
      </c>
      <c r="G79" s="66" t="s">
        <v>750</v>
      </c>
      <c r="H79" s="66" t="s">
        <v>745</v>
      </c>
      <c r="I79" s="66" t="s">
        <v>290</v>
      </c>
      <c r="J79" s="66" t="s">
        <v>329</v>
      </c>
      <c r="K79" s="66" t="s">
        <v>747</v>
      </c>
      <c r="L79" s="67">
        <v>9750000</v>
      </c>
      <c r="M79" s="67">
        <v>0</v>
      </c>
      <c r="N79" s="68">
        <f t="shared" si="9"/>
        <v>9750000</v>
      </c>
      <c r="O79" s="69">
        <f t="shared" si="8"/>
        <v>9750000</v>
      </c>
      <c r="P79" s="42" t="str">
        <f>IFERROR(VLOOKUP(J79,'Mã NV'!$B:$C,2,0),"")</f>
        <v>XE01609</v>
      </c>
      <c r="Q79" s="70" t="str">
        <f>IFERROR(VLOOKUP(I79,'Mã NV'!$J:$K,2,0),"")</f>
        <v>8T</v>
      </c>
    </row>
    <row r="80" ht="33.6" customHeight="1" spans="1:17">
      <c r="A80" s="63">
        <f t="shared" si="7"/>
        <v>77</v>
      </c>
      <c r="B80" s="64">
        <v>46143</v>
      </c>
      <c r="C80" s="65"/>
      <c r="D80" s="66" t="s">
        <v>21</v>
      </c>
      <c r="E80" s="66" t="s">
        <v>21</v>
      </c>
      <c r="F80" s="66" t="s">
        <v>744</v>
      </c>
      <c r="G80" s="66" t="s">
        <v>750</v>
      </c>
      <c r="H80" s="66" t="s">
        <v>755</v>
      </c>
      <c r="I80" s="66" t="s">
        <v>87</v>
      </c>
      <c r="J80" s="66" t="s">
        <v>85</v>
      </c>
      <c r="K80" s="66" t="s">
        <v>747</v>
      </c>
      <c r="L80" s="67">
        <v>11000000</v>
      </c>
      <c r="M80" s="67">
        <v>0</v>
      </c>
      <c r="N80" s="68">
        <f t="shared" si="9"/>
        <v>11000000</v>
      </c>
      <c r="O80" s="69">
        <f t="shared" si="8"/>
        <v>11000000</v>
      </c>
      <c r="P80" s="42" t="str">
        <f>IFERROR(VLOOKUP(J80,'Mã NV'!$B:$C,2,0),"")</f>
        <v>XE01456</v>
      </c>
      <c r="Q80" s="70" t="str">
        <f>IFERROR(VLOOKUP(I80,'Mã NV'!$J:$K,2,0),"")</f>
        <v>8T</v>
      </c>
    </row>
    <row r="81" ht="33.6" customHeight="1" spans="1:17">
      <c r="A81" s="63">
        <f t="shared" si="7"/>
        <v>78</v>
      </c>
      <c r="B81" s="64">
        <v>46143</v>
      </c>
      <c r="C81" s="65"/>
      <c r="D81" s="66" t="s">
        <v>21</v>
      </c>
      <c r="E81" s="66" t="s">
        <v>21</v>
      </c>
      <c r="F81" s="66" t="s">
        <v>744</v>
      </c>
      <c r="G81" s="66" t="s">
        <v>750</v>
      </c>
      <c r="H81" s="66" t="s">
        <v>755</v>
      </c>
      <c r="I81" s="66" t="s">
        <v>87</v>
      </c>
      <c r="J81" s="66" t="s">
        <v>305</v>
      </c>
      <c r="K81" s="66" t="s">
        <v>747</v>
      </c>
      <c r="L81" s="67">
        <v>11000000</v>
      </c>
      <c r="M81" s="67">
        <v>0</v>
      </c>
      <c r="N81" s="68">
        <f t="shared" si="9"/>
        <v>11000000</v>
      </c>
      <c r="O81" s="69">
        <f t="shared" si="8"/>
        <v>11000000</v>
      </c>
      <c r="P81" s="42" t="str">
        <f>IFERROR(VLOOKUP(J81,'Mã NV'!$B:$C,2,0),"")</f>
        <v>XE01599</v>
      </c>
      <c r="Q81" s="70" t="str">
        <f>IFERROR(VLOOKUP(I81,'Mã NV'!$J:$K,2,0),"")</f>
        <v>8T</v>
      </c>
    </row>
    <row r="82" ht="33.6" customHeight="1" spans="1:17">
      <c r="A82" s="63">
        <f t="shared" si="7"/>
        <v>79</v>
      </c>
      <c r="B82" s="64">
        <v>46143</v>
      </c>
      <c r="C82" s="65"/>
      <c r="D82" s="66" t="s">
        <v>21</v>
      </c>
      <c r="E82" s="66" t="s">
        <v>21</v>
      </c>
      <c r="F82" s="66" t="s">
        <v>744</v>
      </c>
      <c r="G82" s="66" t="s">
        <v>774</v>
      </c>
      <c r="H82" s="66" t="s">
        <v>768</v>
      </c>
      <c r="I82" s="66" t="s">
        <v>208</v>
      </c>
      <c r="J82" s="66" t="s">
        <v>219</v>
      </c>
      <c r="K82" s="66" t="s">
        <v>747</v>
      </c>
      <c r="L82" s="67">
        <v>9750000</v>
      </c>
      <c r="M82" s="67">
        <v>0</v>
      </c>
      <c r="N82" s="68">
        <f t="shared" si="9"/>
        <v>9750000</v>
      </c>
      <c r="O82" s="69">
        <f t="shared" si="8"/>
        <v>9750000</v>
      </c>
      <c r="P82" s="42" t="str">
        <f>IFERROR(VLOOKUP(J82,'Mã NV'!$B:$C,2,0),"")</f>
        <v>XE00499</v>
      </c>
      <c r="Q82" s="70" t="str">
        <f>IFERROR(VLOOKUP(I82,'Mã NV'!$J:$K,2,0),"")</f>
        <v>15T</v>
      </c>
    </row>
    <row r="83" ht="33.6" customHeight="1" spans="1:17">
      <c r="A83" s="63">
        <f t="shared" si="7"/>
        <v>80</v>
      </c>
      <c r="B83" s="64">
        <v>46143</v>
      </c>
      <c r="C83" s="65"/>
      <c r="D83" s="66" t="s">
        <v>21</v>
      </c>
      <c r="E83" s="66" t="s">
        <v>21</v>
      </c>
      <c r="F83" s="66" t="s">
        <v>744</v>
      </c>
      <c r="G83" s="66" t="s">
        <v>774</v>
      </c>
      <c r="H83" s="66" t="s">
        <v>768</v>
      </c>
      <c r="I83" s="66" t="s">
        <v>208</v>
      </c>
      <c r="J83" s="66" t="s">
        <v>206</v>
      </c>
      <c r="K83" s="66" t="s">
        <v>747</v>
      </c>
      <c r="L83" s="67">
        <v>9750000</v>
      </c>
      <c r="M83" s="67">
        <v>0</v>
      </c>
      <c r="N83" s="68">
        <f t="shared" si="9"/>
        <v>9750000</v>
      </c>
      <c r="O83" s="69">
        <f t="shared" si="8"/>
        <v>9750000</v>
      </c>
      <c r="P83" s="42" t="str">
        <f>IFERROR(VLOOKUP(J83,'Mã NV'!$B:$C,2,0),"")</f>
        <v>XE00934</v>
      </c>
      <c r="Q83" s="70" t="str">
        <f>IFERROR(VLOOKUP(I83,'Mã NV'!$J:$K,2,0),"")</f>
        <v>15T</v>
      </c>
    </row>
    <row r="84" ht="33.6" customHeight="1" spans="1:17">
      <c r="A84" s="63">
        <f t="shared" si="7"/>
        <v>81</v>
      </c>
      <c r="B84" s="64">
        <v>46143</v>
      </c>
      <c r="C84" s="65"/>
      <c r="D84" s="66" t="s">
        <v>21</v>
      </c>
      <c r="E84" s="66" t="s">
        <v>21</v>
      </c>
      <c r="F84" s="66" t="s">
        <v>744</v>
      </c>
      <c r="G84" s="66" t="s">
        <v>774</v>
      </c>
      <c r="H84" s="66" t="s">
        <v>775</v>
      </c>
      <c r="I84" s="66" t="s">
        <v>249</v>
      </c>
      <c r="J84" s="66" t="s">
        <v>245</v>
      </c>
      <c r="K84" s="66" t="s">
        <v>747</v>
      </c>
      <c r="L84" s="67">
        <v>9750000</v>
      </c>
      <c r="M84" s="67">
        <v>0</v>
      </c>
      <c r="N84" s="68">
        <f t="shared" si="9"/>
        <v>9750000</v>
      </c>
      <c r="O84" s="69">
        <f t="shared" si="8"/>
        <v>9750000</v>
      </c>
      <c r="P84" s="42" t="str">
        <f>IFERROR(VLOOKUP(J84,'Mã NV'!$B:$C,2,0),"")</f>
        <v>XE01470</v>
      </c>
      <c r="Q84" s="70" t="str">
        <f>IFERROR(VLOOKUP(I84,'Mã NV'!$J:$K,2,0),"")</f>
        <v>15T</v>
      </c>
    </row>
    <row r="85" ht="33.6" customHeight="1" spans="1:17">
      <c r="A85" s="63">
        <f t="shared" si="7"/>
        <v>82</v>
      </c>
      <c r="B85" s="64">
        <v>46143</v>
      </c>
      <c r="C85" s="65"/>
      <c r="D85" s="66" t="s">
        <v>21</v>
      </c>
      <c r="E85" s="66" t="s">
        <v>21</v>
      </c>
      <c r="F85" s="66" t="s">
        <v>744</v>
      </c>
      <c r="G85" s="66" t="s">
        <v>774</v>
      </c>
      <c r="H85" s="66" t="s">
        <v>775</v>
      </c>
      <c r="I85" s="66" t="s">
        <v>249</v>
      </c>
      <c r="J85" s="66" t="s">
        <v>250</v>
      </c>
      <c r="K85" s="66" t="s">
        <v>747</v>
      </c>
      <c r="L85" s="67">
        <v>9750000</v>
      </c>
      <c r="M85" s="67">
        <v>0</v>
      </c>
      <c r="N85" s="68">
        <f t="shared" si="9"/>
        <v>9750000</v>
      </c>
      <c r="O85" s="69">
        <f t="shared" si="8"/>
        <v>9750000</v>
      </c>
      <c r="P85" s="42" t="str">
        <f>IFERROR(VLOOKUP(J85,'Mã NV'!$B:$C,2,0),"")</f>
        <v>XE01469</v>
      </c>
      <c r="Q85" s="70" t="str">
        <f>IFERROR(VLOOKUP(I85,'Mã NV'!$J:$K,2,0),"")</f>
        <v>15T</v>
      </c>
    </row>
    <row r="86" ht="33.6" customHeight="1" spans="1:17">
      <c r="A86" s="63">
        <f t="shared" si="7"/>
        <v>83</v>
      </c>
      <c r="B86" s="64">
        <v>46144</v>
      </c>
      <c r="C86" s="65"/>
      <c r="D86" s="66" t="s">
        <v>21</v>
      </c>
      <c r="E86" s="66" t="s">
        <v>21</v>
      </c>
      <c r="F86" s="66" t="s">
        <v>744</v>
      </c>
      <c r="G86" s="66" t="s">
        <v>750</v>
      </c>
      <c r="H86" s="66" t="s">
        <v>755</v>
      </c>
      <c r="I86" s="66" t="s">
        <v>161</v>
      </c>
      <c r="J86" s="66" t="s">
        <v>159</v>
      </c>
      <c r="K86" s="66" t="s">
        <v>747</v>
      </c>
      <c r="L86" s="67">
        <v>11000000</v>
      </c>
      <c r="M86" s="67">
        <v>0</v>
      </c>
      <c r="N86" s="68">
        <f t="shared" si="9"/>
        <v>11000000</v>
      </c>
      <c r="O86" s="69">
        <f t="shared" si="8"/>
        <v>11000000</v>
      </c>
      <c r="P86" s="42" t="str">
        <f>IFERROR(VLOOKUP(J86,'Mã NV'!$B:$C,2,0),"")</f>
        <v>XE01005</v>
      </c>
      <c r="Q86" s="70" t="str">
        <f>IFERROR(VLOOKUP(I86,'Mã NV'!$J:$K,2,0),"")</f>
        <v>8T</v>
      </c>
    </row>
    <row r="87" ht="33.6" customHeight="1" spans="1:17">
      <c r="A87" s="63">
        <f t="shared" si="7"/>
        <v>84</v>
      </c>
      <c r="B87" s="64">
        <v>46144</v>
      </c>
      <c r="C87" s="65"/>
      <c r="D87" s="66" t="s">
        <v>21</v>
      </c>
      <c r="E87" s="66" t="s">
        <v>21</v>
      </c>
      <c r="F87" s="66" t="s">
        <v>744</v>
      </c>
      <c r="G87" s="66" t="s">
        <v>750</v>
      </c>
      <c r="H87" s="66" t="s">
        <v>755</v>
      </c>
      <c r="I87" s="66" t="s">
        <v>161</v>
      </c>
      <c r="J87" s="66" t="s">
        <v>225</v>
      </c>
      <c r="K87" s="66" t="s">
        <v>747</v>
      </c>
      <c r="L87" s="67">
        <v>11000000</v>
      </c>
      <c r="M87" s="67">
        <v>0</v>
      </c>
      <c r="N87" s="68">
        <f t="shared" si="9"/>
        <v>11000000</v>
      </c>
      <c r="O87" s="69">
        <f t="shared" si="8"/>
        <v>11000000</v>
      </c>
      <c r="P87" s="42" t="str">
        <f>IFERROR(VLOOKUP(J87,'Mã NV'!$B:$C,2,0),"")</f>
        <v>XE01164</v>
      </c>
      <c r="Q87" s="70" t="str">
        <f>IFERROR(VLOOKUP(I87,'Mã NV'!$J:$K,2,0),"")</f>
        <v>8T</v>
      </c>
    </row>
    <row r="88" ht="33.6" customHeight="1" spans="1:17">
      <c r="A88" s="63">
        <f t="shared" si="7"/>
        <v>85</v>
      </c>
      <c r="B88" s="64">
        <v>46144</v>
      </c>
      <c r="C88" s="65"/>
      <c r="D88" s="66" t="s">
        <v>21</v>
      </c>
      <c r="E88" s="66" t="s">
        <v>21</v>
      </c>
      <c r="F88" s="66" t="s">
        <v>744</v>
      </c>
      <c r="G88" s="66" t="s">
        <v>777</v>
      </c>
      <c r="H88" s="66" t="s">
        <v>745</v>
      </c>
      <c r="I88" s="66" t="s">
        <v>211</v>
      </c>
      <c r="J88" s="66" t="s">
        <v>209</v>
      </c>
      <c r="K88" s="66" t="s">
        <v>747</v>
      </c>
      <c r="L88" s="67">
        <v>9750000</v>
      </c>
      <c r="M88" s="67">
        <v>0</v>
      </c>
      <c r="N88" s="68">
        <f t="shared" si="9"/>
        <v>9750000</v>
      </c>
      <c r="O88" s="69">
        <f t="shared" si="8"/>
        <v>9750000</v>
      </c>
      <c r="P88" s="42" t="str">
        <f>IFERROR(VLOOKUP(J88,'Mã NV'!$B:$C,2,0),"")</f>
        <v>XE01098</v>
      </c>
      <c r="Q88" s="70" t="str">
        <f>IFERROR(VLOOKUP(I88,'Mã NV'!$J:$K,2,0),"")</f>
        <v>7.1t</v>
      </c>
    </row>
    <row r="89" ht="33.6" customHeight="1" spans="1:17">
      <c r="A89" s="63">
        <f t="shared" si="7"/>
        <v>86</v>
      </c>
      <c r="B89" s="64">
        <v>46144</v>
      </c>
      <c r="C89" s="65"/>
      <c r="D89" s="66" t="s">
        <v>21</v>
      </c>
      <c r="E89" s="66" t="s">
        <v>21</v>
      </c>
      <c r="F89" s="66" t="s">
        <v>744</v>
      </c>
      <c r="G89" s="66" t="s">
        <v>777</v>
      </c>
      <c r="H89" s="66" t="s">
        <v>745</v>
      </c>
      <c r="I89" s="66" t="s">
        <v>211</v>
      </c>
      <c r="J89" s="66" t="s">
        <v>316</v>
      </c>
      <c r="K89" s="66" t="s">
        <v>747</v>
      </c>
      <c r="L89" s="67">
        <v>9750000</v>
      </c>
      <c r="M89" s="67">
        <v>0</v>
      </c>
      <c r="N89" s="68">
        <f t="shared" si="9"/>
        <v>9750000</v>
      </c>
      <c r="O89" s="69">
        <f t="shared" si="8"/>
        <v>9750000</v>
      </c>
      <c r="P89" s="42" t="str">
        <f>IFERROR(VLOOKUP(J89,'Mã NV'!$B:$C,2,0),"")</f>
        <v>XE01600</v>
      </c>
      <c r="Q89" s="70" t="str">
        <f>IFERROR(VLOOKUP(I89,'Mã NV'!$J:$K,2,0),"")</f>
        <v>7.1t</v>
      </c>
    </row>
    <row r="90" ht="33.6" customHeight="1" spans="1:17">
      <c r="A90" s="63">
        <f t="shared" si="7"/>
        <v>87</v>
      </c>
      <c r="B90" s="64">
        <v>46144</v>
      </c>
      <c r="C90" s="65"/>
      <c r="D90" s="66" t="s">
        <v>21</v>
      </c>
      <c r="E90" s="66" t="s">
        <v>21</v>
      </c>
      <c r="F90" s="66" t="s">
        <v>744</v>
      </c>
      <c r="G90" s="66" t="s">
        <v>754</v>
      </c>
      <c r="H90" s="66" t="s">
        <v>778</v>
      </c>
      <c r="I90" s="66" t="s">
        <v>230</v>
      </c>
      <c r="J90" s="66" t="s">
        <v>228</v>
      </c>
      <c r="K90" s="66" t="s">
        <v>747</v>
      </c>
      <c r="L90" s="67">
        <v>9027778</v>
      </c>
      <c r="M90" s="67">
        <v>0</v>
      </c>
      <c r="N90" s="68">
        <f t="shared" si="9"/>
        <v>9027778</v>
      </c>
      <c r="O90" s="69">
        <f t="shared" si="8"/>
        <v>9027778</v>
      </c>
      <c r="P90" s="42" t="str">
        <f>IFERROR(VLOOKUP(J90,'Mã NV'!$B:$C,2,0),"")</f>
        <v>XE01390</v>
      </c>
      <c r="Q90" s="70" t="str">
        <f>IFERROR(VLOOKUP(I90,'Mã NV'!$J:$K,2,0),"")</f>
        <v>15T</v>
      </c>
    </row>
    <row r="91" ht="33.6" customHeight="1" spans="1:17">
      <c r="A91" s="63">
        <f t="shared" si="7"/>
        <v>88</v>
      </c>
      <c r="B91" s="64">
        <v>46144</v>
      </c>
      <c r="C91" s="65"/>
      <c r="D91" s="66" t="s">
        <v>21</v>
      </c>
      <c r="E91" s="66" t="s">
        <v>21</v>
      </c>
      <c r="F91" s="66" t="s">
        <v>744</v>
      </c>
      <c r="G91" s="66" t="s">
        <v>754</v>
      </c>
      <c r="H91" s="66" t="s">
        <v>778</v>
      </c>
      <c r="I91" s="66" t="s">
        <v>230</v>
      </c>
      <c r="J91" s="66" t="s">
        <v>370</v>
      </c>
      <c r="K91" s="66" t="s">
        <v>747</v>
      </c>
      <c r="L91" s="67">
        <v>9027778</v>
      </c>
      <c r="M91" s="67">
        <v>0</v>
      </c>
      <c r="N91" s="68">
        <f t="shared" si="9"/>
        <v>9027778</v>
      </c>
      <c r="O91" s="69">
        <f t="shared" si="8"/>
        <v>9027778</v>
      </c>
      <c r="P91" s="42" t="str">
        <f>IFERROR(VLOOKUP(J91,'Mã NV'!$B:$C,2,0),"")</f>
        <v/>
      </c>
      <c r="Q91" s="70" t="str">
        <f>IFERROR(VLOOKUP(I91,'Mã NV'!$J:$K,2,0),"")</f>
        <v>15T</v>
      </c>
    </row>
    <row r="92" ht="33.6" customHeight="1" spans="1:17">
      <c r="A92" s="63">
        <f t="shared" si="7"/>
        <v>89</v>
      </c>
      <c r="B92" s="64">
        <v>46145</v>
      </c>
      <c r="C92" s="65"/>
      <c r="D92" s="66" t="s">
        <v>21</v>
      </c>
      <c r="E92" s="66" t="s">
        <v>21</v>
      </c>
      <c r="F92" s="66" t="s">
        <v>744</v>
      </c>
      <c r="G92" s="66" t="s">
        <v>779</v>
      </c>
      <c r="H92" s="66" t="s">
        <v>745</v>
      </c>
      <c r="I92" s="66" t="s">
        <v>176</v>
      </c>
      <c r="J92" s="66" t="s">
        <v>192</v>
      </c>
      <c r="K92" s="66" t="s">
        <v>747</v>
      </c>
      <c r="L92" s="67">
        <v>9750000</v>
      </c>
      <c r="M92" s="67">
        <v>0</v>
      </c>
      <c r="N92" s="68">
        <f t="shared" si="9"/>
        <v>9750000</v>
      </c>
      <c r="O92" s="69">
        <f t="shared" si="8"/>
        <v>9750000</v>
      </c>
      <c r="P92" s="42" t="str">
        <f>IFERROR(VLOOKUP(J92,'Mã NV'!$B:$C,2,0),"")</f>
        <v>XE01335</v>
      </c>
      <c r="Q92" s="70" t="str">
        <f>IFERROR(VLOOKUP(I92,'Mã NV'!$J:$K,2,0),"")</f>
        <v>8T</v>
      </c>
    </row>
    <row r="93" ht="33.6" customHeight="1" spans="1:17">
      <c r="A93" s="63">
        <f t="shared" si="7"/>
        <v>90</v>
      </c>
      <c r="B93" s="64">
        <v>46145</v>
      </c>
      <c r="C93" s="65"/>
      <c r="D93" s="66" t="s">
        <v>21</v>
      </c>
      <c r="E93" s="66" t="s">
        <v>21</v>
      </c>
      <c r="F93" s="66" t="s">
        <v>744</v>
      </c>
      <c r="G93" s="66" t="s">
        <v>779</v>
      </c>
      <c r="H93" s="66" t="s">
        <v>745</v>
      </c>
      <c r="I93" s="66" t="s">
        <v>176</v>
      </c>
      <c r="J93" s="66" t="s">
        <v>354</v>
      </c>
      <c r="K93" s="66" t="s">
        <v>747</v>
      </c>
      <c r="L93" s="67">
        <v>9750000</v>
      </c>
      <c r="M93" s="67">
        <v>0</v>
      </c>
      <c r="N93" s="68">
        <f t="shared" si="9"/>
        <v>9750000</v>
      </c>
      <c r="O93" s="69">
        <f t="shared" si="8"/>
        <v>9750000</v>
      </c>
      <c r="P93" s="42" t="str">
        <f>IFERROR(VLOOKUP(J93,'Mã NV'!$B:$C,2,0),"")</f>
        <v>XE01644</v>
      </c>
      <c r="Q93" s="70" t="str">
        <f>IFERROR(VLOOKUP(I93,'Mã NV'!$J:$K,2,0),"")</f>
        <v>8T</v>
      </c>
    </row>
    <row r="94" ht="33.6" customHeight="1" spans="1:17">
      <c r="A94" s="63">
        <f t="shared" si="7"/>
        <v>91</v>
      </c>
      <c r="B94" s="64">
        <v>46145</v>
      </c>
      <c r="C94" s="65"/>
      <c r="D94" s="66" t="s">
        <v>21</v>
      </c>
      <c r="E94" s="66" t="s">
        <v>21</v>
      </c>
      <c r="F94" s="66" t="s">
        <v>744</v>
      </c>
      <c r="G94" s="66" t="s">
        <v>750</v>
      </c>
      <c r="H94" s="66" t="s">
        <v>755</v>
      </c>
      <c r="I94" s="66" t="s">
        <v>151</v>
      </c>
      <c r="J94" s="66" t="s">
        <v>147</v>
      </c>
      <c r="K94" s="66" t="s">
        <v>747</v>
      </c>
      <c r="L94" s="67">
        <v>11000000</v>
      </c>
      <c r="M94" s="67">
        <v>0</v>
      </c>
      <c r="N94" s="68">
        <f t="shared" si="9"/>
        <v>11000000</v>
      </c>
      <c r="O94" s="69">
        <f t="shared" si="8"/>
        <v>11000000</v>
      </c>
      <c r="P94" s="42" t="str">
        <f>IFERROR(VLOOKUP(J94,'Mã NV'!$B:$C,2,0),"")</f>
        <v>XE01304</v>
      </c>
      <c r="Q94" s="70" t="str">
        <f>IFERROR(VLOOKUP(I94,'Mã NV'!$J:$K,2,0),"")</f>
        <v>8T</v>
      </c>
    </row>
    <row r="95" ht="33.6" customHeight="1" spans="1:17">
      <c r="A95" s="63">
        <f t="shared" si="7"/>
        <v>92</v>
      </c>
      <c r="B95" s="64">
        <v>46145</v>
      </c>
      <c r="C95" s="65"/>
      <c r="D95" s="66" t="s">
        <v>21</v>
      </c>
      <c r="E95" s="66" t="s">
        <v>21</v>
      </c>
      <c r="F95" s="66" t="s">
        <v>744</v>
      </c>
      <c r="G95" s="66" t="s">
        <v>750</v>
      </c>
      <c r="H95" s="66" t="s">
        <v>755</v>
      </c>
      <c r="I95" s="66" t="s">
        <v>151</v>
      </c>
      <c r="J95" s="66" t="s">
        <v>235</v>
      </c>
      <c r="K95" s="66" t="s">
        <v>747</v>
      </c>
      <c r="L95" s="67">
        <v>11000000</v>
      </c>
      <c r="M95" s="67">
        <v>0</v>
      </c>
      <c r="N95" s="68">
        <f t="shared" si="9"/>
        <v>11000000</v>
      </c>
      <c r="O95" s="69">
        <f t="shared" si="8"/>
        <v>11000000</v>
      </c>
      <c r="P95" s="42" t="str">
        <f>IFERROR(VLOOKUP(J95,'Mã NV'!$B:$C,2,0),"")</f>
        <v>XE01305</v>
      </c>
      <c r="Q95" s="70" t="str">
        <f>IFERROR(VLOOKUP(I95,'Mã NV'!$J:$K,2,0),"")</f>
        <v>8T</v>
      </c>
    </row>
    <row r="96" ht="33.6" customHeight="1" spans="1:17">
      <c r="A96" s="63">
        <f t="shared" si="7"/>
        <v>93</v>
      </c>
      <c r="B96" s="64">
        <v>46145</v>
      </c>
      <c r="C96" s="65"/>
      <c r="D96" s="66" t="s">
        <v>21</v>
      </c>
      <c r="E96" s="66" t="s">
        <v>21</v>
      </c>
      <c r="F96" s="66" t="s">
        <v>744</v>
      </c>
      <c r="G96" s="66" t="s">
        <v>770</v>
      </c>
      <c r="H96" s="66" t="s">
        <v>780</v>
      </c>
      <c r="I96" s="66" t="s">
        <v>109</v>
      </c>
      <c r="J96" s="66" t="s">
        <v>107</v>
      </c>
      <c r="K96" s="66" t="s">
        <v>747</v>
      </c>
      <c r="L96" s="67">
        <v>12500000</v>
      </c>
      <c r="M96" s="67">
        <v>150000</v>
      </c>
      <c r="N96" s="68">
        <f t="shared" si="9"/>
        <v>12350000</v>
      </c>
      <c r="O96" s="69">
        <f t="shared" si="8"/>
        <v>12350000</v>
      </c>
      <c r="P96" s="42" t="str">
        <f>IFERROR(VLOOKUP(J96,'Mã NV'!$B:$C,2,0),"")</f>
        <v>XE01102</v>
      </c>
      <c r="Q96" s="70" t="str">
        <f>IFERROR(VLOOKUP(I96,'Mã NV'!$J:$K,2,0),"")</f>
        <v>15T</v>
      </c>
    </row>
    <row r="97" ht="33.6" customHeight="1" spans="1:18">
      <c r="A97" s="63">
        <f t="shared" si="7"/>
        <v>94</v>
      </c>
      <c r="B97" s="64">
        <v>46145</v>
      </c>
      <c r="C97" s="65"/>
      <c r="D97" s="66" t="s">
        <v>21</v>
      </c>
      <c r="E97" s="66" t="s">
        <v>21</v>
      </c>
      <c r="F97" s="66" t="s">
        <v>744</v>
      </c>
      <c r="G97" s="66" t="s">
        <v>770</v>
      </c>
      <c r="H97" s="66" t="s">
        <v>780</v>
      </c>
      <c r="I97" s="66" t="s">
        <v>109</v>
      </c>
      <c r="J97" s="66" t="s">
        <v>120</v>
      </c>
      <c r="K97" s="66" t="s">
        <v>747</v>
      </c>
      <c r="L97" s="67">
        <v>12500000</v>
      </c>
      <c r="M97" s="67">
        <v>150000</v>
      </c>
      <c r="N97" s="68">
        <f t="shared" si="9"/>
        <v>12350000</v>
      </c>
      <c r="O97" s="69">
        <f t="shared" si="8"/>
        <v>12350000</v>
      </c>
      <c r="P97" s="42" t="str">
        <f>IFERROR(VLOOKUP(J97,'Mã NV'!$B:$C,2,0),"")</f>
        <v>XE01315</v>
      </c>
      <c r="Q97" s="70" t="str">
        <f>IFERROR(VLOOKUP(I97,'Mã NV'!$J:$K,2,0),"")</f>
        <v>15T</v>
      </c>
    </row>
    <row r="98" ht="33.6" customHeight="1" spans="1:18">
      <c r="A98" s="63">
        <f t="shared" si="7"/>
        <v>95</v>
      </c>
      <c r="B98" s="64">
        <v>46146</v>
      </c>
      <c r="C98" s="65"/>
      <c r="D98" s="66" t="s">
        <v>21</v>
      </c>
      <c r="E98" s="66" t="s">
        <v>21</v>
      </c>
      <c r="F98" s="66" t="s">
        <v>744</v>
      </c>
      <c r="G98" s="66" t="s">
        <v>750</v>
      </c>
      <c r="H98" s="66" t="s">
        <v>755</v>
      </c>
      <c r="I98" s="66" t="s">
        <v>103</v>
      </c>
      <c r="J98" s="66" t="s">
        <v>172</v>
      </c>
      <c r="K98" s="66" t="s">
        <v>747</v>
      </c>
      <c r="L98" s="67">
        <v>11000000</v>
      </c>
      <c r="M98" s="67">
        <v>0</v>
      </c>
      <c r="N98" s="68">
        <f t="shared" si="9"/>
        <v>11000000</v>
      </c>
      <c r="O98" s="69">
        <f t="shared" si="8"/>
        <v>11000000</v>
      </c>
      <c r="P98" s="42" t="str">
        <f>IFERROR(VLOOKUP(J98,'Mã NV'!$B:$C,2,0),"")</f>
        <v>XE01433</v>
      </c>
      <c r="Q98" s="70" t="str">
        <f>IFERROR(VLOOKUP(I98,'Mã NV'!$J:$K,2,0),"")</f>
        <v>7.1t</v>
      </c>
    </row>
    <row r="99" ht="33.6" customHeight="1" spans="1:18">
      <c r="A99" s="63">
        <f t="shared" si="7"/>
        <v>96</v>
      </c>
      <c r="B99" s="64">
        <v>46146</v>
      </c>
      <c r="C99" s="65"/>
      <c r="D99" s="66" t="s">
        <v>21</v>
      </c>
      <c r="E99" s="66" t="s">
        <v>21</v>
      </c>
      <c r="F99" s="66" t="s">
        <v>744</v>
      </c>
      <c r="G99" s="66" t="s">
        <v>750</v>
      </c>
      <c r="H99" s="66" t="s">
        <v>755</v>
      </c>
      <c r="I99" s="66" t="s">
        <v>103</v>
      </c>
      <c r="J99" s="66" t="s">
        <v>101</v>
      </c>
      <c r="K99" s="66" t="s">
        <v>747</v>
      </c>
      <c r="L99" s="67">
        <v>11000000</v>
      </c>
      <c r="M99" s="67">
        <v>0</v>
      </c>
      <c r="N99" s="68">
        <f t="shared" si="9"/>
        <v>11000000</v>
      </c>
      <c r="O99" s="69">
        <f t="shared" si="8"/>
        <v>11000000</v>
      </c>
      <c r="P99" s="42" t="str">
        <f>IFERROR(VLOOKUP(J99,'Mã NV'!$B:$C,2,0),"")</f>
        <v>XE01434</v>
      </c>
      <c r="Q99" s="70" t="str">
        <f>IFERROR(VLOOKUP(I99,'Mã NV'!$J:$K,2,0),"")</f>
        <v>7.1t</v>
      </c>
      <c r="R99" s="73" t="s">
        <v>781</v>
      </c>
    </row>
    <row r="100" ht="33.6" customHeight="1" spans="1:18">
      <c r="A100" s="63">
        <f t="shared" si="7"/>
        <v>97</v>
      </c>
      <c r="B100" s="64">
        <v>46146</v>
      </c>
      <c r="C100" s="65"/>
      <c r="D100" s="66" t="s">
        <v>21</v>
      </c>
      <c r="E100" s="66" t="s">
        <v>21</v>
      </c>
      <c r="F100" s="66" t="s">
        <v>744</v>
      </c>
      <c r="G100" s="66" t="s">
        <v>750</v>
      </c>
      <c r="H100" s="66" t="s">
        <v>755</v>
      </c>
      <c r="I100" s="66" t="s">
        <v>286</v>
      </c>
      <c r="J100" s="66" t="s">
        <v>284</v>
      </c>
      <c r="K100" s="66" t="s">
        <v>747</v>
      </c>
      <c r="L100" s="67">
        <v>11000000</v>
      </c>
      <c r="M100" s="67">
        <v>0</v>
      </c>
      <c r="N100" s="68">
        <f t="shared" si="9"/>
        <v>11000000</v>
      </c>
      <c r="O100" s="69">
        <f t="shared" si="8"/>
        <v>11000000</v>
      </c>
      <c r="P100" s="42" t="str">
        <f>IFERROR(VLOOKUP(J100,'Mã NV'!$B:$C,2,0),"")</f>
        <v>XE01543</v>
      </c>
      <c r="Q100" s="70" t="str">
        <f>IFERROR(VLOOKUP(I100,'Mã NV'!$J:$K,2,0),"")</f>
        <v>8T</v>
      </c>
    </row>
    <row r="101" ht="33.6" customHeight="1" spans="1:18">
      <c r="A101" s="63">
        <f t="shared" si="7"/>
        <v>98</v>
      </c>
      <c r="B101" s="64">
        <v>46146</v>
      </c>
      <c r="C101" s="65"/>
      <c r="D101" s="66" t="s">
        <v>21</v>
      </c>
      <c r="E101" s="66" t="s">
        <v>21</v>
      </c>
      <c r="F101" s="66" t="s">
        <v>744</v>
      </c>
      <c r="G101" s="66" t="s">
        <v>750</v>
      </c>
      <c r="H101" s="66" t="s">
        <v>755</v>
      </c>
      <c r="I101" s="66" t="s">
        <v>286</v>
      </c>
      <c r="J101" s="66" t="s">
        <v>335</v>
      </c>
      <c r="K101" s="66" t="s">
        <v>747</v>
      </c>
      <c r="L101" s="67">
        <v>11000000</v>
      </c>
      <c r="M101" s="67">
        <v>0</v>
      </c>
      <c r="N101" s="68">
        <f t="shared" si="9"/>
        <v>11000000</v>
      </c>
      <c r="O101" s="69">
        <f t="shared" si="8"/>
        <v>11000000</v>
      </c>
      <c r="P101" s="42" t="str">
        <f>IFERROR(VLOOKUP(J101,'Mã NV'!$B:$C,2,0),"")</f>
        <v>XE01622</v>
      </c>
      <c r="Q101" s="70" t="str">
        <f>IFERROR(VLOOKUP(I101,'Mã NV'!$J:$K,2,0),"")</f>
        <v>8T</v>
      </c>
    </row>
    <row r="102" ht="33.6" customHeight="1" spans="1:18">
      <c r="A102" s="63">
        <f t="shared" si="7"/>
        <v>99</v>
      </c>
      <c r="B102" s="64">
        <v>46147</v>
      </c>
      <c r="C102" s="65"/>
      <c r="D102" s="66" t="s">
        <v>21</v>
      </c>
      <c r="E102" s="66" t="s">
        <v>21</v>
      </c>
      <c r="F102" s="66" t="s">
        <v>744</v>
      </c>
      <c r="G102" s="66" t="s">
        <v>750</v>
      </c>
      <c r="H102" s="66" t="s">
        <v>755</v>
      </c>
      <c r="I102" s="66" t="s">
        <v>270</v>
      </c>
      <c r="J102" s="66" t="s">
        <v>268</v>
      </c>
      <c r="K102" s="66" t="s">
        <v>747</v>
      </c>
      <c r="L102" s="67">
        <v>11000000</v>
      </c>
      <c r="M102" s="67">
        <v>0</v>
      </c>
      <c r="N102" s="68">
        <f t="shared" si="9"/>
        <v>11000000</v>
      </c>
      <c r="O102" s="69">
        <f t="shared" si="8"/>
        <v>11000000</v>
      </c>
      <c r="P102" s="42" t="str">
        <f>IFERROR(VLOOKUP(J102,'Mã NV'!$B:$C,2,0),"")</f>
        <v>XE01506</v>
      </c>
      <c r="Q102" s="70" t="str">
        <f>IFERROR(VLOOKUP(I102,'Mã NV'!$J:$K,2,0),"")</f>
        <v>15T</v>
      </c>
    </row>
    <row r="103" ht="33.6" customHeight="1" spans="1:18">
      <c r="A103" s="63">
        <f t="shared" si="7"/>
        <v>100</v>
      </c>
      <c r="B103" s="64">
        <v>46147</v>
      </c>
      <c r="C103" s="65"/>
      <c r="D103" s="66" t="s">
        <v>21</v>
      </c>
      <c r="E103" s="66" t="s">
        <v>21</v>
      </c>
      <c r="F103" s="66" t="s">
        <v>744</v>
      </c>
      <c r="G103" s="66" t="s">
        <v>750</v>
      </c>
      <c r="H103" s="66" t="s">
        <v>755</v>
      </c>
      <c r="I103" s="66" t="s">
        <v>270</v>
      </c>
      <c r="J103" s="66" t="s">
        <v>271</v>
      </c>
      <c r="K103" s="66" t="s">
        <v>747</v>
      </c>
      <c r="L103" s="67">
        <v>11000000</v>
      </c>
      <c r="M103" s="67">
        <v>0</v>
      </c>
      <c r="N103" s="68">
        <f t="shared" si="9"/>
        <v>11000000</v>
      </c>
      <c r="O103" s="69">
        <f t="shared" si="8"/>
        <v>11000000</v>
      </c>
      <c r="P103" s="42" t="str">
        <f>IFERROR(VLOOKUP(J103,'Mã NV'!$B:$C,2,0),"")</f>
        <v>XE01507</v>
      </c>
      <c r="Q103" s="70" t="str">
        <f>IFERROR(VLOOKUP(I103,'Mã NV'!$J:$K,2,0),"")</f>
        <v>15T</v>
      </c>
    </row>
    <row r="104" ht="33.6" customHeight="1" spans="1:18">
      <c r="A104" s="63">
        <f t="shared" si="7"/>
        <v>101</v>
      </c>
      <c r="B104" s="64">
        <v>46147</v>
      </c>
      <c r="C104" s="65"/>
      <c r="D104" s="66" t="s">
        <v>21</v>
      </c>
      <c r="E104" s="66" t="s">
        <v>21</v>
      </c>
      <c r="F104" s="66" t="s">
        <v>744</v>
      </c>
      <c r="G104" s="66" t="s">
        <v>779</v>
      </c>
      <c r="H104" s="66" t="s">
        <v>745</v>
      </c>
      <c r="I104" s="66" t="s">
        <v>223</v>
      </c>
      <c r="J104" s="66" t="s">
        <v>221</v>
      </c>
      <c r="K104" s="66" t="s">
        <v>747</v>
      </c>
      <c r="L104" s="67">
        <v>9750000</v>
      </c>
      <c r="M104" s="67">
        <v>0</v>
      </c>
      <c r="N104" s="68">
        <f t="shared" si="9"/>
        <v>9750000</v>
      </c>
      <c r="O104" s="69">
        <f t="shared" si="8"/>
        <v>9750000</v>
      </c>
      <c r="P104" s="42" t="str">
        <f>IFERROR(VLOOKUP(J104,'Mã NV'!$B:$C,2,0),"")</f>
        <v>XE01283</v>
      </c>
      <c r="Q104" s="70" t="str">
        <f>IFERROR(VLOOKUP(I104,'Mã NV'!$J:$K,2,0),"")</f>
        <v>7.1t</v>
      </c>
    </row>
    <row r="105" ht="33.6" customHeight="1" spans="1:18">
      <c r="A105" s="63">
        <f t="shared" si="7"/>
        <v>102</v>
      </c>
      <c r="B105" s="64">
        <v>46147</v>
      </c>
      <c r="C105" s="65"/>
      <c r="D105" s="66" t="s">
        <v>21</v>
      </c>
      <c r="E105" s="66" t="s">
        <v>21</v>
      </c>
      <c r="F105" s="66" t="s">
        <v>744</v>
      </c>
      <c r="G105" s="66" t="s">
        <v>779</v>
      </c>
      <c r="H105" s="66" t="s">
        <v>745</v>
      </c>
      <c r="I105" s="66" t="s">
        <v>223</v>
      </c>
      <c r="J105" s="66" t="s">
        <v>296</v>
      </c>
      <c r="K105" s="66" t="s">
        <v>747</v>
      </c>
      <c r="L105" s="67">
        <v>9750000</v>
      </c>
      <c r="M105" s="67">
        <v>0</v>
      </c>
      <c r="N105" s="68">
        <f t="shared" si="9"/>
        <v>9750000</v>
      </c>
      <c r="O105" s="69">
        <f t="shared" si="8"/>
        <v>9750000</v>
      </c>
      <c r="P105" s="42" t="str">
        <f>IFERROR(VLOOKUP(J105,'Mã NV'!$B:$C,2,0),"")</f>
        <v>XE01541</v>
      </c>
      <c r="Q105" s="70" t="str">
        <f>IFERROR(VLOOKUP(I105,'Mã NV'!$J:$K,2,0),"")</f>
        <v>7.1t</v>
      </c>
    </row>
    <row r="106" ht="33.6" customHeight="1" spans="1:18">
      <c r="A106" s="63">
        <f t="shared" si="7"/>
        <v>103</v>
      </c>
      <c r="B106" s="64">
        <v>46147</v>
      </c>
      <c r="C106" s="65"/>
      <c r="D106" s="66" t="s">
        <v>21</v>
      </c>
      <c r="E106" s="66" t="s">
        <v>782</v>
      </c>
      <c r="F106" s="66" t="s">
        <v>744</v>
      </c>
      <c r="G106" s="66" t="s">
        <v>745</v>
      </c>
      <c r="H106" s="66" t="s">
        <v>783</v>
      </c>
      <c r="I106" s="66" t="s">
        <v>87</v>
      </c>
      <c r="J106" s="66" t="s">
        <v>85</v>
      </c>
      <c r="K106" s="66" t="s">
        <v>747</v>
      </c>
      <c r="L106" s="67">
        <v>7750000</v>
      </c>
      <c r="M106" s="67">
        <v>0</v>
      </c>
      <c r="N106" s="68">
        <f t="shared" si="9"/>
        <v>7750000</v>
      </c>
      <c r="O106" s="69">
        <f t="shared" si="8"/>
        <v>7750000</v>
      </c>
      <c r="P106" s="42" t="str">
        <f>IFERROR(VLOOKUP(J106,'Mã NV'!$B:$C,2,0),"")</f>
        <v>XE01456</v>
      </c>
      <c r="Q106" s="70" t="str">
        <f>IFERROR(VLOOKUP(I106,'Mã NV'!$J:$K,2,0),"")</f>
        <v>8T</v>
      </c>
    </row>
    <row r="107" ht="33.6" customHeight="1" spans="1:18">
      <c r="A107" s="63">
        <f t="shared" si="7"/>
        <v>104</v>
      </c>
      <c r="B107" s="64">
        <v>46147</v>
      </c>
      <c r="C107" s="65"/>
      <c r="D107" s="66" t="s">
        <v>21</v>
      </c>
      <c r="E107" s="66" t="s">
        <v>782</v>
      </c>
      <c r="F107" s="66" t="s">
        <v>744</v>
      </c>
      <c r="G107" s="66" t="s">
        <v>745</v>
      </c>
      <c r="H107" s="66" t="s">
        <v>783</v>
      </c>
      <c r="I107" s="66" t="s">
        <v>87</v>
      </c>
      <c r="J107" s="66" t="s">
        <v>305</v>
      </c>
      <c r="K107" s="66" t="s">
        <v>747</v>
      </c>
      <c r="L107" s="67">
        <v>7750000</v>
      </c>
      <c r="M107" s="67">
        <v>0</v>
      </c>
      <c r="N107" s="68">
        <f t="shared" si="9"/>
        <v>7750000</v>
      </c>
      <c r="O107" s="69">
        <f t="shared" si="8"/>
        <v>7750000</v>
      </c>
      <c r="P107" s="42" t="str">
        <f>IFERROR(VLOOKUP(J107,'Mã NV'!$B:$C,2,0),"")</f>
        <v>XE01599</v>
      </c>
      <c r="Q107" s="70" t="str">
        <f>IFERROR(VLOOKUP(I107,'Mã NV'!$J:$K,2,0),"")</f>
        <v>8T</v>
      </c>
    </row>
    <row r="108" ht="33.6" customHeight="1" spans="1:18">
      <c r="A108" s="63">
        <f t="shared" si="7"/>
        <v>105</v>
      </c>
      <c r="B108" s="64">
        <v>46148</v>
      </c>
      <c r="C108" s="65"/>
      <c r="D108" s="66" t="s">
        <v>21</v>
      </c>
      <c r="E108" s="66" t="s">
        <v>21</v>
      </c>
      <c r="F108" s="66" t="s">
        <v>744</v>
      </c>
      <c r="G108" s="66" t="s">
        <v>746</v>
      </c>
      <c r="H108" s="66" t="s">
        <v>755</v>
      </c>
      <c r="I108" s="66" t="s">
        <v>93</v>
      </c>
      <c r="J108" s="66" t="s">
        <v>89</v>
      </c>
      <c r="K108" s="66" t="s">
        <v>747</v>
      </c>
      <c r="L108" s="67">
        <v>11000000</v>
      </c>
      <c r="M108" s="67">
        <v>0</v>
      </c>
      <c r="N108" s="68">
        <f t="shared" si="9"/>
        <v>11000000</v>
      </c>
      <c r="O108" s="69">
        <f t="shared" si="8"/>
        <v>11000000</v>
      </c>
      <c r="P108" s="42" t="str">
        <f>IFERROR(VLOOKUP(J108,'Mã NV'!$B:$C,2,0),"")</f>
        <v>XE00873</v>
      </c>
      <c r="Q108" s="70" t="str">
        <f>IFERROR(VLOOKUP(I108,'Mã NV'!$J:$K,2,0),"")</f>
        <v>7.1t</v>
      </c>
    </row>
    <row r="109" ht="33.6" customHeight="1" spans="1:18">
      <c r="A109" s="63">
        <f t="shared" si="7"/>
        <v>106</v>
      </c>
      <c r="B109" s="64">
        <v>46148</v>
      </c>
      <c r="C109" s="65"/>
      <c r="D109" s="66" t="s">
        <v>21</v>
      </c>
      <c r="E109" s="66" t="s">
        <v>21</v>
      </c>
      <c r="F109" s="66" t="s">
        <v>744</v>
      </c>
      <c r="G109" s="66" t="s">
        <v>746</v>
      </c>
      <c r="H109" s="66" t="s">
        <v>755</v>
      </c>
      <c r="I109" s="66" t="s">
        <v>93</v>
      </c>
      <c r="J109" s="66" t="s">
        <v>349</v>
      </c>
      <c r="K109" s="66" t="s">
        <v>747</v>
      </c>
      <c r="L109" s="67">
        <v>11000000</v>
      </c>
      <c r="M109" s="67">
        <v>0</v>
      </c>
      <c r="N109" s="68">
        <f t="shared" si="9"/>
        <v>11000000</v>
      </c>
      <c r="O109" s="69">
        <f t="shared" si="8"/>
        <v>11000000</v>
      </c>
      <c r="P109" s="42" t="str">
        <f>IFERROR(VLOOKUP(J109,'Mã NV'!$B:$C,2,0),"")</f>
        <v>XE01672</v>
      </c>
      <c r="Q109" s="70" t="str">
        <f>IFERROR(VLOOKUP(I109,'Mã NV'!$J:$K,2,0),"")</f>
        <v>7.1t</v>
      </c>
    </row>
    <row r="110" ht="33.6" customHeight="1" spans="1:18">
      <c r="A110" s="63">
        <f t="shared" si="7"/>
        <v>107</v>
      </c>
      <c r="B110" s="64">
        <v>46148</v>
      </c>
      <c r="C110" s="65"/>
      <c r="D110" s="66" t="s">
        <v>21</v>
      </c>
      <c r="E110" s="66" t="s">
        <v>21</v>
      </c>
      <c r="F110" s="66" t="s">
        <v>744</v>
      </c>
      <c r="G110" s="66" t="s">
        <v>774</v>
      </c>
      <c r="H110" s="66" t="s">
        <v>768</v>
      </c>
      <c r="I110" s="66" t="s">
        <v>276</v>
      </c>
      <c r="J110" s="66" t="s">
        <v>273</v>
      </c>
      <c r="K110" s="66" t="s">
        <v>747</v>
      </c>
      <c r="L110" s="67">
        <v>9388889</v>
      </c>
      <c r="M110" s="67">
        <v>0</v>
      </c>
      <c r="N110" s="68">
        <f t="shared" si="9"/>
        <v>9388889</v>
      </c>
      <c r="O110" s="69">
        <f t="shared" si="8"/>
        <v>9388889</v>
      </c>
      <c r="P110" s="42" t="str">
        <f>IFERROR(VLOOKUP(J110,'Mã NV'!$B:$C,2,0),"")</f>
        <v>XE01527</v>
      </c>
      <c r="Q110" s="70" t="str">
        <f>IFERROR(VLOOKUP(I110,'Mã NV'!$J:$K,2,0),"")</f>
        <v>8T</v>
      </c>
    </row>
    <row r="111" ht="33.6" customHeight="1" spans="1:18">
      <c r="A111" s="63">
        <f t="shared" si="7"/>
        <v>108</v>
      </c>
      <c r="B111" s="64">
        <v>46148</v>
      </c>
      <c r="C111" s="65"/>
      <c r="D111" s="66" t="s">
        <v>21</v>
      </c>
      <c r="E111" s="66" t="s">
        <v>21</v>
      </c>
      <c r="F111" s="66" t="s">
        <v>744</v>
      </c>
      <c r="G111" s="66" t="s">
        <v>774</v>
      </c>
      <c r="H111" s="66" t="s">
        <v>768</v>
      </c>
      <c r="I111" s="66" t="s">
        <v>276</v>
      </c>
      <c r="J111" s="66" t="s">
        <v>303</v>
      </c>
      <c r="K111" s="66" t="s">
        <v>747</v>
      </c>
      <c r="L111" s="67">
        <v>9388889</v>
      </c>
      <c r="M111" s="67">
        <v>0</v>
      </c>
      <c r="N111" s="68">
        <f t="shared" si="9"/>
        <v>9388889</v>
      </c>
      <c r="O111" s="69">
        <f t="shared" si="8"/>
        <v>9388889</v>
      </c>
      <c r="P111" s="42" t="str">
        <f>IFERROR(VLOOKUP(J111,'Mã NV'!$B:$C,2,0),"")</f>
        <v>XE01574</v>
      </c>
      <c r="Q111" s="70" t="str">
        <f>IFERROR(VLOOKUP(I111,'Mã NV'!$J:$K,2,0),"")</f>
        <v>8T</v>
      </c>
    </row>
    <row r="112" ht="33.6" customHeight="1" spans="1:18">
      <c r="A112" s="63">
        <f t="shared" si="7"/>
        <v>109</v>
      </c>
      <c r="B112" s="64">
        <v>46148</v>
      </c>
      <c r="C112" s="65"/>
      <c r="D112" s="66" t="s">
        <v>21</v>
      </c>
      <c r="E112" s="66" t="s">
        <v>21</v>
      </c>
      <c r="F112" s="66" t="s">
        <v>744</v>
      </c>
      <c r="G112" s="66" t="s">
        <v>745</v>
      </c>
      <c r="H112" s="66" t="s">
        <v>784</v>
      </c>
      <c r="I112" s="66" t="s">
        <v>249</v>
      </c>
      <c r="J112" s="66" t="s">
        <v>245</v>
      </c>
      <c r="K112" s="66" t="s">
        <v>747</v>
      </c>
      <c r="L112" s="67">
        <v>12500000</v>
      </c>
      <c r="M112" s="67">
        <v>0</v>
      </c>
      <c r="N112" s="68">
        <f t="shared" si="9"/>
        <v>12500000</v>
      </c>
      <c r="O112" s="69">
        <f t="shared" si="8"/>
        <v>12500000</v>
      </c>
      <c r="P112" s="42" t="str">
        <f>IFERROR(VLOOKUP(J112,'Mã NV'!$B:$C,2,0),"")</f>
        <v>XE01470</v>
      </c>
      <c r="Q112" s="70" t="str">
        <f>IFERROR(VLOOKUP(I112,'Mã NV'!$J:$K,2,0),"")</f>
        <v>15T</v>
      </c>
    </row>
    <row r="113" ht="33.6" customHeight="1" spans="1:17">
      <c r="A113" s="63">
        <f t="shared" si="7"/>
        <v>110</v>
      </c>
      <c r="B113" s="64">
        <v>46148</v>
      </c>
      <c r="C113" s="65"/>
      <c r="D113" s="66" t="s">
        <v>21</v>
      </c>
      <c r="E113" s="66" t="s">
        <v>21</v>
      </c>
      <c r="F113" s="66" t="s">
        <v>744</v>
      </c>
      <c r="G113" s="66" t="s">
        <v>745</v>
      </c>
      <c r="H113" s="66" t="s">
        <v>784</v>
      </c>
      <c r="I113" s="66" t="s">
        <v>249</v>
      </c>
      <c r="J113" s="66" t="s">
        <v>250</v>
      </c>
      <c r="K113" s="66" t="s">
        <v>747</v>
      </c>
      <c r="L113" s="67">
        <v>12500000</v>
      </c>
      <c r="M113" s="67">
        <v>0</v>
      </c>
      <c r="N113" s="68">
        <f t="shared" si="9"/>
        <v>12500000</v>
      </c>
      <c r="O113" s="69">
        <f t="shared" si="8"/>
        <v>12500000</v>
      </c>
      <c r="P113" s="42" t="str">
        <f>IFERROR(VLOOKUP(J113,'Mã NV'!$B:$C,2,0),"")</f>
        <v>XE01469</v>
      </c>
      <c r="Q113" s="70" t="str">
        <f>IFERROR(VLOOKUP(I113,'Mã NV'!$J:$K,2,0),"")</f>
        <v>15T</v>
      </c>
    </row>
    <row r="114" ht="33.6" customHeight="1" spans="1:17">
      <c r="A114" s="63">
        <f t="shared" si="7"/>
        <v>111</v>
      </c>
      <c r="B114" s="64">
        <v>46148</v>
      </c>
      <c r="C114" s="65"/>
      <c r="D114" s="66" t="s">
        <v>21</v>
      </c>
      <c r="E114" s="66" t="s">
        <v>21</v>
      </c>
      <c r="F114" s="66" t="s">
        <v>744</v>
      </c>
      <c r="G114" s="66" t="s">
        <v>745</v>
      </c>
      <c r="H114" s="66" t="s">
        <v>769</v>
      </c>
      <c r="I114" s="66" t="s">
        <v>176</v>
      </c>
      <c r="J114" s="66" t="s">
        <v>192</v>
      </c>
      <c r="K114" s="66" t="s">
        <v>747</v>
      </c>
      <c r="L114" s="67">
        <v>7500000</v>
      </c>
      <c r="M114" s="67">
        <v>0</v>
      </c>
      <c r="N114" s="68">
        <f t="shared" si="9"/>
        <v>7500000</v>
      </c>
      <c r="O114" s="69">
        <f t="shared" si="8"/>
        <v>7500000</v>
      </c>
      <c r="P114" s="42" t="str">
        <f>IFERROR(VLOOKUP(J114,'Mã NV'!$B:$C,2,0),"")</f>
        <v>XE01335</v>
      </c>
      <c r="Q114" s="70" t="str">
        <f>IFERROR(VLOOKUP(I114,'Mã NV'!$J:$K,2,0),"")</f>
        <v>8T</v>
      </c>
    </row>
    <row r="115" ht="33.6" customHeight="1" spans="1:17">
      <c r="A115" s="63">
        <f t="shared" si="7"/>
        <v>112</v>
      </c>
      <c r="B115" s="64">
        <v>46148</v>
      </c>
      <c r="C115" s="65"/>
      <c r="D115" s="66" t="s">
        <v>21</v>
      </c>
      <c r="E115" s="66" t="s">
        <v>21</v>
      </c>
      <c r="F115" s="66" t="s">
        <v>744</v>
      </c>
      <c r="G115" s="66" t="s">
        <v>745</v>
      </c>
      <c r="H115" s="66" t="s">
        <v>769</v>
      </c>
      <c r="I115" s="66" t="s">
        <v>176</v>
      </c>
      <c r="J115" s="66" t="s">
        <v>354</v>
      </c>
      <c r="K115" s="66" t="s">
        <v>747</v>
      </c>
      <c r="L115" s="67">
        <v>7500000</v>
      </c>
      <c r="M115" s="67">
        <v>0</v>
      </c>
      <c r="N115" s="68">
        <f t="shared" si="9"/>
        <v>7500000</v>
      </c>
      <c r="O115" s="69">
        <f t="shared" si="8"/>
        <v>7500000</v>
      </c>
      <c r="P115" s="42" t="str">
        <f>IFERROR(VLOOKUP(J115,'Mã NV'!$B:$C,2,0),"")</f>
        <v>XE01644</v>
      </c>
      <c r="Q115" s="70" t="str">
        <f>IFERROR(VLOOKUP(I115,'Mã NV'!$J:$K,2,0),"")</f>
        <v>8T</v>
      </c>
    </row>
    <row r="116" ht="33.6" customHeight="1" spans="1:17">
      <c r="A116" s="63">
        <f t="shared" si="7"/>
        <v>113</v>
      </c>
      <c r="B116" s="64">
        <v>46149</v>
      </c>
      <c r="C116" s="65"/>
      <c r="D116" s="66" t="s">
        <v>21</v>
      </c>
      <c r="E116" s="66" t="s">
        <v>21</v>
      </c>
      <c r="F116" s="66" t="s">
        <v>744</v>
      </c>
      <c r="G116" s="66" t="s">
        <v>750</v>
      </c>
      <c r="H116" s="66" t="s">
        <v>762</v>
      </c>
      <c r="I116" s="66" t="s">
        <v>109</v>
      </c>
      <c r="J116" s="66" t="s">
        <v>107</v>
      </c>
      <c r="K116" s="66" t="s">
        <v>747</v>
      </c>
      <c r="L116" s="67">
        <v>12250000</v>
      </c>
      <c r="M116" s="67">
        <v>0</v>
      </c>
      <c r="N116" s="68">
        <f t="shared" si="9"/>
        <v>12250000</v>
      </c>
      <c r="O116" s="69">
        <f t="shared" si="8"/>
        <v>12250000</v>
      </c>
      <c r="P116" s="42" t="str">
        <f>IFERROR(VLOOKUP(J116,'Mã NV'!$B:$C,2,0),"")</f>
        <v>XE01102</v>
      </c>
      <c r="Q116" s="70" t="str">
        <f>IFERROR(VLOOKUP(I116,'Mã NV'!$J:$K,2,0),"")</f>
        <v>15T</v>
      </c>
    </row>
    <row r="117" ht="33.6" customHeight="1" spans="1:17">
      <c r="A117" s="63">
        <f t="shared" si="7"/>
        <v>114</v>
      </c>
      <c r="B117" s="64">
        <v>46149</v>
      </c>
      <c r="C117" s="65"/>
      <c r="D117" s="66" t="s">
        <v>21</v>
      </c>
      <c r="E117" s="66" t="s">
        <v>21</v>
      </c>
      <c r="F117" s="66" t="s">
        <v>744</v>
      </c>
      <c r="G117" s="66" t="s">
        <v>750</v>
      </c>
      <c r="H117" s="66" t="s">
        <v>762</v>
      </c>
      <c r="I117" s="66" t="s">
        <v>109</v>
      </c>
      <c r="J117" s="66" t="s">
        <v>120</v>
      </c>
      <c r="K117" s="66" t="s">
        <v>747</v>
      </c>
      <c r="L117" s="67">
        <v>12250000</v>
      </c>
      <c r="M117" s="67">
        <v>0</v>
      </c>
      <c r="N117" s="68">
        <f t="shared" si="9"/>
        <v>12250000</v>
      </c>
      <c r="O117" s="69">
        <f t="shared" si="8"/>
        <v>12250000</v>
      </c>
      <c r="P117" s="42" t="str">
        <f>IFERROR(VLOOKUP(J117,'Mã NV'!$B:$C,2,0),"")</f>
        <v>XE01315</v>
      </c>
      <c r="Q117" s="70" t="str">
        <f>IFERROR(VLOOKUP(I117,'Mã NV'!$J:$K,2,0),"")</f>
        <v>15T</v>
      </c>
    </row>
    <row r="118" ht="33.6" customHeight="1" spans="1:17">
      <c r="A118" s="63">
        <f t="shared" si="7"/>
        <v>115</v>
      </c>
      <c r="B118" s="64">
        <v>46149</v>
      </c>
      <c r="C118" s="65"/>
      <c r="D118" s="66" t="s">
        <v>21</v>
      </c>
      <c r="E118" s="66" t="s">
        <v>21</v>
      </c>
      <c r="F118" s="66" t="s">
        <v>744</v>
      </c>
      <c r="G118" s="66" t="s">
        <v>750</v>
      </c>
      <c r="H118" s="66" t="s">
        <v>755</v>
      </c>
      <c r="I118" s="66" t="s">
        <v>293</v>
      </c>
      <c r="J118" s="66" t="s">
        <v>294</v>
      </c>
      <c r="K118" s="66" t="s">
        <v>747</v>
      </c>
      <c r="L118" s="67">
        <v>11000000</v>
      </c>
      <c r="M118" s="67">
        <v>0</v>
      </c>
      <c r="N118" s="68">
        <f t="shared" si="9"/>
        <v>11000000</v>
      </c>
      <c r="O118" s="69">
        <f t="shared" si="8"/>
        <v>11000000</v>
      </c>
      <c r="P118" s="42" t="str">
        <f>IFERROR(VLOOKUP(J118,'Mã NV'!$B:$C,2,0),"")</f>
        <v>XE01551</v>
      </c>
      <c r="Q118" s="70" t="str">
        <f>IFERROR(VLOOKUP(I118,'Mã NV'!$J:$K,2,0),"")</f>
        <v>8T</v>
      </c>
    </row>
    <row r="119" ht="33.6" customHeight="1" spans="1:17">
      <c r="A119" s="63">
        <f t="shared" si="7"/>
        <v>116</v>
      </c>
      <c r="B119" s="64">
        <v>46149</v>
      </c>
      <c r="C119" s="65"/>
      <c r="D119" s="66" t="s">
        <v>21</v>
      </c>
      <c r="E119" s="66" t="s">
        <v>21</v>
      </c>
      <c r="F119" s="66" t="s">
        <v>744</v>
      </c>
      <c r="G119" s="66" t="s">
        <v>750</v>
      </c>
      <c r="H119" s="66" t="s">
        <v>755</v>
      </c>
      <c r="I119" s="66" t="s">
        <v>293</v>
      </c>
      <c r="J119" s="66" t="s">
        <v>291</v>
      </c>
      <c r="K119" s="66" t="s">
        <v>747</v>
      </c>
      <c r="L119" s="67">
        <v>11000000</v>
      </c>
      <c r="M119" s="67">
        <v>0</v>
      </c>
      <c r="N119" s="68">
        <f t="shared" si="9"/>
        <v>11000000</v>
      </c>
      <c r="O119" s="69">
        <f t="shared" si="8"/>
        <v>11000000</v>
      </c>
      <c r="P119" s="42" t="str">
        <f>IFERROR(VLOOKUP(J119,'Mã NV'!$B:$C,2,0),"")</f>
        <v>XE01552</v>
      </c>
      <c r="Q119" s="70" t="str">
        <f>IFERROR(VLOOKUP(I119,'Mã NV'!$J:$K,2,0),"")</f>
        <v>8T</v>
      </c>
    </row>
    <row r="120" ht="33.6" customHeight="1" spans="1:17">
      <c r="A120" s="63">
        <f t="shared" si="7"/>
        <v>117</v>
      </c>
      <c r="B120" s="64">
        <v>46149</v>
      </c>
      <c r="C120" s="65"/>
      <c r="D120" s="66" t="s">
        <v>21</v>
      </c>
      <c r="E120" s="66" t="s">
        <v>21</v>
      </c>
      <c r="F120" s="66" t="s">
        <v>744</v>
      </c>
      <c r="G120" s="66" t="s">
        <v>750</v>
      </c>
      <c r="H120" s="66" t="s">
        <v>785</v>
      </c>
      <c r="I120" s="66" t="s">
        <v>42</v>
      </c>
      <c r="J120" s="66" t="s">
        <v>40</v>
      </c>
      <c r="K120" s="66" t="s">
        <v>747</v>
      </c>
      <c r="L120" s="67">
        <v>10500000</v>
      </c>
      <c r="M120" s="67">
        <v>0</v>
      </c>
      <c r="N120" s="68">
        <f t="shared" si="9"/>
        <v>10500000</v>
      </c>
      <c r="O120" s="69">
        <f t="shared" si="8"/>
        <v>10500000</v>
      </c>
      <c r="P120" s="42" t="str">
        <f>IFERROR(VLOOKUP(J120,'Mã NV'!$B:$C,2,0),"")</f>
        <v>XE01417</v>
      </c>
      <c r="Q120" s="70" t="str">
        <f>IFERROR(VLOOKUP(I120,'Mã NV'!$J:$K,2,0),"")</f>
        <v>7.1t</v>
      </c>
    </row>
    <row r="121" ht="33.6" customHeight="1" spans="1:17">
      <c r="A121" s="63">
        <f t="shared" si="7"/>
        <v>118</v>
      </c>
      <c r="B121" s="64">
        <v>46149</v>
      </c>
      <c r="C121" s="65"/>
      <c r="D121" s="66" t="s">
        <v>21</v>
      </c>
      <c r="E121" s="66" t="s">
        <v>21</v>
      </c>
      <c r="F121" s="66" t="s">
        <v>744</v>
      </c>
      <c r="G121" s="66" t="s">
        <v>750</v>
      </c>
      <c r="H121" s="66" t="s">
        <v>785</v>
      </c>
      <c r="I121" s="66" t="s">
        <v>42</v>
      </c>
      <c r="J121" s="66" t="s">
        <v>333</v>
      </c>
      <c r="K121" s="66" t="s">
        <v>747</v>
      </c>
      <c r="L121" s="67">
        <v>10500000</v>
      </c>
      <c r="M121" s="67">
        <v>0</v>
      </c>
      <c r="N121" s="68">
        <f t="shared" si="9"/>
        <v>10500000</v>
      </c>
      <c r="O121" s="69">
        <f t="shared" si="8"/>
        <v>10500000</v>
      </c>
      <c r="P121" s="42" t="str">
        <f>IFERROR(VLOOKUP(J121,'Mã NV'!$B:$C,2,0),"")</f>
        <v>XE01671</v>
      </c>
      <c r="Q121" s="70" t="str">
        <f>IFERROR(VLOOKUP(I121,'Mã NV'!$J:$K,2,0),"")</f>
        <v>7.1t</v>
      </c>
    </row>
    <row r="122" ht="33.6" customHeight="1" spans="1:17">
      <c r="A122" s="63">
        <f t="shared" si="7"/>
        <v>119</v>
      </c>
      <c r="B122" s="64">
        <v>46149</v>
      </c>
      <c r="C122" s="65"/>
      <c r="D122" s="66" t="s">
        <v>21</v>
      </c>
      <c r="E122" s="66" t="s">
        <v>21</v>
      </c>
      <c r="F122" s="66" t="s">
        <v>744</v>
      </c>
      <c r="G122" s="66" t="s">
        <v>770</v>
      </c>
      <c r="H122" s="66" t="s">
        <v>753</v>
      </c>
      <c r="I122" s="66" t="s">
        <v>208</v>
      </c>
      <c r="J122" s="66" t="s">
        <v>219</v>
      </c>
      <c r="K122" s="66" t="s">
        <v>747</v>
      </c>
      <c r="L122" s="67">
        <v>12250000</v>
      </c>
      <c r="M122" s="67">
        <v>0</v>
      </c>
      <c r="N122" s="68">
        <f t="shared" si="9"/>
        <v>12250000</v>
      </c>
      <c r="O122" s="69">
        <f t="shared" si="8"/>
        <v>12250000</v>
      </c>
      <c r="P122" s="42" t="str">
        <f>IFERROR(VLOOKUP(J122,'Mã NV'!$B:$C,2,0),"")</f>
        <v>XE00499</v>
      </c>
      <c r="Q122" s="70" t="str">
        <f>IFERROR(VLOOKUP(I122,'Mã NV'!$J:$K,2,0),"")</f>
        <v>15T</v>
      </c>
    </row>
    <row r="123" ht="33.6" customHeight="1" spans="1:17">
      <c r="A123" s="63">
        <f t="shared" si="7"/>
        <v>120</v>
      </c>
      <c r="B123" s="64">
        <v>46149</v>
      </c>
      <c r="C123" s="65"/>
      <c r="D123" s="66" t="s">
        <v>21</v>
      </c>
      <c r="E123" s="66" t="s">
        <v>21</v>
      </c>
      <c r="F123" s="66" t="s">
        <v>744</v>
      </c>
      <c r="G123" s="66" t="s">
        <v>770</v>
      </c>
      <c r="H123" s="66" t="s">
        <v>753</v>
      </c>
      <c r="I123" s="66" t="s">
        <v>208</v>
      </c>
      <c r="J123" s="66" t="s">
        <v>206</v>
      </c>
      <c r="K123" s="66" t="s">
        <v>747</v>
      </c>
      <c r="L123" s="67">
        <v>12250000</v>
      </c>
      <c r="M123" s="67">
        <v>0</v>
      </c>
      <c r="N123" s="68">
        <f t="shared" si="9"/>
        <v>12250000</v>
      </c>
      <c r="O123" s="69">
        <f t="shared" si="8"/>
        <v>12250000</v>
      </c>
      <c r="P123" s="42" t="str">
        <f>IFERROR(VLOOKUP(J123,'Mã NV'!$B:$C,2,0),"")</f>
        <v>XE00934</v>
      </c>
      <c r="Q123" s="70" t="str">
        <f>IFERROR(VLOOKUP(I123,'Mã NV'!$J:$K,2,0),"")</f>
        <v>15T</v>
      </c>
    </row>
    <row r="124" ht="33.6" customHeight="1" spans="1:17">
      <c r="A124" s="63">
        <f t="shared" si="7"/>
        <v>121</v>
      </c>
      <c r="B124" s="64">
        <v>46149</v>
      </c>
      <c r="C124" s="65"/>
      <c r="D124" s="66" t="s">
        <v>21</v>
      </c>
      <c r="E124" s="66" t="s">
        <v>21</v>
      </c>
      <c r="F124" s="66" t="s">
        <v>744</v>
      </c>
      <c r="G124" s="66" t="s">
        <v>770</v>
      </c>
      <c r="H124" s="66" t="s">
        <v>786</v>
      </c>
      <c r="I124" s="66" t="s">
        <v>300</v>
      </c>
      <c r="J124" s="66" t="s">
        <v>298</v>
      </c>
      <c r="K124" s="66" t="s">
        <v>747</v>
      </c>
      <c r="L124" s="67">
        <v>12000000</v>
      </c>
      <c r="M124" s="67">
        <v>150000</v>
      </c>
      <c r="N124" s="68">
        <f t="shared" si="9"/>
        <v>11850000</v>
      </c>
      <c r="O124" s="69">
        <f t="shared" si="8"/>
        <v>11850000</v>
      </c>
      <c r="P124" s="42" t="str">
        <f>IFERROR(VLOOKUP(J124,'Mã NV'!$B:$C,2,0),"")</f>
        <v>XE01590</v>
      </c>
      <c r="Q124" s="70" t="str">
        <f>IFERROR(VLOOKUP(I124,'Mã NV'!$J:$K,2,0),"")</f>
        <v>8T</v>
      </c>
    </row>
    <row r="125" ht="33.6" customHeight="1" spans="1:17">
      <c r="A125" s="63">
        <f t="shared" si="7"/>
        <v>122</v>
      </c>
      <c r="B125" s="64">
        <v>46149</v>
      </c>
      <c r="C125" s="65"/>
      <c r="D125" s="66" t="s">
        <v>21</v>
      </c>
      <c r="E125" s="66" t="s">
        <v>21</v>
      </c>
      <c r="F125" s="66" t="s">
        <v>744</v>
      </c>
      <c r="G125" s="66" t="s">
        <v>770</v>
      </c>
      <c r="H125" s="66" t="s">
        <v>786</v>
      </c>
      <c r="I125" s="66" t="s">
        <v>300</v>
      </c>
      <c r="J125" s="66" t="s">
        <v>301</v>
      </c>
      <c r="K125" s="66" t="s">
        <v>747</v>
      </c>
      <c r="L125" s="67">
        <v>12000000</v>
      </c>
      <c r="M125" s="67">
        <v>150000</v>
      </c>
      <c r="N125" s="68">
        <f t="shared" si="9"/>
        <v>11850000</v>
      </c>
      <c r="O125" s="69">
        <f t="shared" si="8"/>
        <v>11850000</v>
      </c>
      <c r="P125" s="42" t="str">
        <f>IFERROR(VLOOKUP(J125,'Mã NV'!$B:$C,2,0),"")</f>
        <v>XE01591</v>
      </c>
      <c r="Q125" s="70" t="str">
        <f>IFERROR(VLOOKUP(I125,'Mã NV'!$J:$K,2,0),"")</f>
        <v>8T</v>
      </c>
    </row>
    <row r="126" ht="33.6" customHeight="1" spans="1:17">
      <c r="A126" s="63">
        <f t="shared" si="7"/>
        <v>123</v>
      </c>
      <c r="B126" s="64">
        <v>46149</v>
      </c>
      <c r="C126" s="65"/>
      <c r="D126" s="66" t="s">
        <v>21</v>
      </c>
      <c r="E126" s="66" t="s">
        <v>21</v>
      </c>
      <c r="F126" s="66" t="s">
        <v>744</v>
      </c>
      <c r="G126" s="66" t="s">
        <v>753</v>
      </c>
      <c r="H126" s="66" t="s">
        <v>787</v>
      </c>
      <c r="I126" s="66" t="s">
        <v>87</v>
      </c>
      <c r="J126" s="66" t="s">
        <v>85</v>
      </c>
      <c r="K126" s="66" t="s">
        <v>747</v>
      </c>
      <c r="L126" s="67">
        <v>2000000</v>
      </c>
      <c r="M126" s="67">
        <v>3000000</v>
      </c>
      <c r="N126" s="68">
        <f t="shared" si="9"/>
        <v>-1000000</v>
      </c>
      <c r="O126" s="69">
        <f t="shared" si="8"/>
        <v>-1000000</v>
      </c>
      <c r="P126" s="42" t="str">
        <f>IFERROR(VLOOKUP(J126,'Mã NV'!$B:$C,2,0),"")</f>
        <v>XE01456</v>
      </c>
      <c r="Q126" s="70" t="str">
        <f>IFERROR(VLOOKUP(I126,'Mã NV'!$J:$K,2,0),"")</f>
        <v>8T</v>
      </c>
    </row>
    <row r="127" ht="33.6" customHeight="1" spans="1:17">
      <c r="A127" s="63">
        <f t="shared" si="7"/>
        <v>124</v>
      </c>
      <c r="B127" s="64">
        <v>46149</v>
      </c>
      <c r="C127" s="65"/>
      <c r="D127" s="66" t="s">
        <v>21</v>
      </c>
      <c r="E127" s="66" t="s">
        <v>21</v>
      </c>
      <c r="F127" s="66" t="s">
        <v>744</v>
      </c>
      <c r="G127" s="66" t="s">
        <v>753</v>
      </c>
      <c r="H127" s="66" t="s">
        <v>787</v>
      </c>
      <c r="I127" s="66" t="s">
        <v>87</v>
      </c>
      <c r="J127" s="66" t="s">
        <v>305</v>
      </c>
      <c r="K127" s="66" t="s">
        <v>747</v>
      </c>
      <c r="L127" s="67">
        <v>2000000</v>
      </c>
      <c r="M127" s="67">
        <v>3000000</v>
      </c>
      <c r="N127" s="68">
        <f t="shared" si="9"/>
        <v>-1000000</v>
      </c>
      <c r="O127" s="69">
        <f t="shared" si="8"/>
        <v>-1000000</v>
      </c>
      <c r="P127" s="42" t="str">
        <f>IFERROR(VLOOKUP(J127,'Mã NV'!$B:$C,2,0),"")</f>
        <v>XE01599</v>
      </c>
      <c r="Q127" s="70" t="str">
        <f>IFERROR(VLOOKUP(I127,'Mã NV'!$J:$K,2,0),"")</f>
        <v>8T</v>
      </c>
    </row>
    <row r="128" ht="33.6" customHeight="1" spans="1:17">
      <c r="A128" s="63">
        <f t="shared" si="7"/>
        <v>125</v>
      </c>
      <c r="B128" s="64">
        <v>46150</v>
      </c>
      <c r="C128" s="65"/>
      <c r="D128" s="66" t="s">
        <v>21</v>
      </c>
      <c r="E128" s="66" t="s">
        <v>21</v>
      </c>
      <c r="F128" s="66" t="s">
        <v>744</v>
      </c>
      <c r="G128" s="66" t="s">
        <v>750</v>
      </c>
      <c r="H128" s="66" t="s">
        <v>788</v>
      </c>
      <c r="I128" s="66" t="s">
        <v>87</v>
      </c>
      <c r="J128" s="66" t="s">
        <v>85</v>
      </c>
      <c r="K128" s="66" t="s">
        <v>747</v>
      </c>
      <c r="L128" s="67">
        <v>11000000</v>
      </c>
      <c r="M128" s="67">
        <v>0</v>
      </c>
      <c r="N128" s="68">
        <f t="shared" si="9"/>
        <v>11000000</v>
      </c>
      <c r="O128" s="69">
        <f t="shared" si="8"/>
        <v>11000000</v>
      </c>
      <c r="P128" s="42" t="str">
        <f>IFERROR(VLOOKUP(J128,'Mã NV'!$B:$C,2,0),"")</f>
        <v>XE01456</v>
      </c>
      <c r="Q128" s="70" t="str">
        <f>IFERROR(VLOOKUP(I128,'Mã NV'!$J:$K,2,0),"")</f>
        <v>8T</v>
      </c>
    </row>
    <row r="129" ht="33.6" customHeight="1" spans="1:18">
      <c r="A129" s="63">
        <f t="shared" si="7"/>
        <v>126</v>
      </c>
      <c r="B129" s="64">
        <v>46150</v>
      </c>
      <c r="C129" s="65"/>
      <c r="D129" s="66" t="s">
        <v>21</v>
      </c>
      <c r="E129" s="66" t="s">
        <v>21</v>
      </c>
      <c r="F129" s="66" t="s">
        <v>744</v>
      </c>
      <c r="G129" s="66" t="s">
        <v>750</v>
      </c>
      <c r="H129" s="66" t="s">
        <v>788</v>
      </c>
      <c r="I129" s="66" t="s">
        <v>87</v>
      </c>
      <c r="J129" s="66" t="s">
        <v>305</v>
      </c>
      <c r="K129" s="66" t="s">
        <v>747</v>
      </c>
      <c r="L129" s="67">
        <v>11000000</v>
      </c>
      <c r="M129" s="67">
        <v>0</v>
      </c>
      <c r="N129" s="68">
        <f t="shared" si="9"/>
        <v>11000000</v>
      </c>
      <c r="O129" s="69">
        <f t="shared" si="8"/>
        <v>11000000</v>
      </c>
      <c r="P129" s="42" t="str">
        <f>IFERROR(VLOOKUP(J129,'Mã NV'!$B:$C,2,0),"")</f>
        <v>XE01599</v>
      </c>
      <c r="Q129" s="70" t="str">
        <f>IFERROR(VLOOKUP(I129,'Mã NV'!$J:$K,2,0),"")</f>
        <v>8T</v>
      </c>
    </row>
    <row r="130" ht="33.6" customHeight="1" spans="1:18">
      <c r="A130" s="63">
        <f t="shared" si="7"/>
        <v>127</v>
      </c>
      <c r="B130" s="64">
        <v>46150</v>
      </c>
      <c r="C130" s="65"/>
      <c r="D130" s="66" t="s">
        <v>21</v>
      </c>
      <c r="E130" s="66" t="s">
        <v>21</v>
      </c>
      <c r="F130" s="66" t="s">
        <v>744</v>
      </c>
      <c r="G130" s="66" t="s">
        <v>750</v>
      </c>
      <c r="H130" s="66" t="s">
        <v>755</v>
      </c>
      <c r="I130" s="66" t="s">
        <v>230</v>
      </c>
      <c r="J130" s="66" t="s">
        <v>228</v>
      </c>
      <c r="K130" s="66" t="s">
        <v>747</v>
      </c>
      <c r="L130" s="67">
        <v>10185185</v>
      </c>
      <c r="M130" s="67">
        <v>0</v>
      </c>
      <c r="N130" s="68">
        <f t="shared" si="9"/>
        <v>10185185</v>
      </c>
      <c r="O130" s="69">
        <f t="shared" si="8"/>
        <v>10185185</v>
      </c>
      <c r="P130" s="42" t="str">
        <f>IFERROR(VLOOKUP(J130,'Mã NV'!$B:$C,2,0),"")</f>
        <v>XE01390</v>
      </c>
      <c r="Q130" s="70" t="str">
        <f>IFERROR(VLOOKUP(I130,'Mã NV'!$J:$K,2,0),"")</f>
        <v>15T</v>
      </c>
    </row>
    <row r="131" ht="33.6" customHeight="1" spans="1:18">
      <c r="A131" s="63">
        <f t="shared" si="7"/>
        <v>128</v>
      </c>
      <c r="B131" s="64">
        <v>46150</v>
      </c>
      <c r="C131" s="65"/>
      <c r="D131" s="66" t="s">
        <v>21</v>
      </c>
      <c r="E131" s="66" t="s">
        <v>21</v>
      </c>
      <c r="F131" s="66" t="s">
        <v>744</v>
      </c>
      <c r="G131" s="66" t="s">
        <v>750</v>
      </c>
      <c r="H131" s="66" t="s">
        <v>755</v>
      </c>
      <c r="I131" s="66" t="s">
        <v>230</v>
      </c>
      <c r="J131" s="66" t="s">
        <v>281</v>
      </c>
      <c r="K131" s="66" t="s">
        <v>747</v>
      </c>
      <c r="L131" s="67">
        <v>10185185</v>
      </c>
      <c r="M131" s="67">
        <v>0</v>
      </c>
      <c r="N131" s="68">
        <f t="shared" si="9"/>
        <v>10185185</v>
      </c>
      <c r="O131" s="69">
        <f t="shared" si="8"/>
        <v>10185185</v>
      </c>
      <c r="P131" s="42" t="str">
        <f>IFERROR(VLOOKUP(J131,'Mã NV'!$B:$C,2,0),"")</f>
        <v>XE01532</v>
      </c>
      <c r="Q131" s="70" t="str">
        <f>IFERROR(VLOOKUP(I131,'Mã NV'!$J:$K,2,0),"")</f>
        <v>15T</v>
      </c>
      <c r="R131" s="74" t="s">
        <v>789</v>
      </c>
    </row>
    <row r="132" ht="33.6" customHeight="1" spans="1:18">
      <c r="A132" s="63">
        <f t="shared" si="7"/>
        <v>129</v>
      </c>
      <c r="B132" s="64">
        <v>46150</v>
      </c>
      <c r="C132" s="65"/>
      <c r="D132" s="66" t="s">
        <v>21</v>
      </c>
      <c r="E132" s="66" t="s">
        <v>21</v>
      </c>
      <c r="F132" s="66" t="s">
        <v>744</v>
      </c>
      <c r="G132" s="66" t="s">
        <v>750</v>
      </c>
      <c r="H132" s="66" t="s">
        <v>790</v>
      </c>
      <c r="I132" s="66" t="s">
        <v>211</v>
      </c>
      <c r="J132" s="66" t="s">
        <v>209</v>
      </c>
      <c r="K132" s="66" t="s">
        <v>747</v>
      </c>
      <c r="L132" s="67">
        <v>10000000</v>
      </c>
      <c r="M132" s="67">
        <v>0</v>
      </c>
      <c r="N132" s="68">
        <f t="shared" si="9"/>
        <v>10000000</v>
      </c>
      <c r="O132" s="69">
        <f t="shared" si="8"/>
        <v>10000000</v>
      </c>
      <c r="P132" s="42" t="str">
        <f>IFERROR(VLOOKUP(J132,'Mã NV'!$B:$C,2,0),"")</f>
        <v>XE01098</v>
      </c>
      <c r="Q132" s="70" t="str">
        <f>IFERROR(VLOOKUP(I132,'Mã NV'!$J:$K,2,0),"")</f>
        <v>7.1t</v>
      </c>
    </row>
    <row r="133" ht="33.6" customHeight="1" spans="1:18">
      <c r="A133" s="63">
        <f t="shared" si="7"/>
        <v>130</v>
      </c>
      <c r="B133" s="64">
        <v>46150</v>
      </c>
      <c r="C133" s="65"/>
      <c r="D133" s="66" t="s">
        <v>21</v>
      </c>
      <c r="E133" s="66" t="s">
        <v>21</v>
      </c>
      <c r="F133" s="66" t="s">
        <v>744</v>
      </c>
      <c r="G133" s="66" t="s">
        <v>750</v>
      </c>
      <c r="H133" s="66" t="s">
        <v>790</v>
      </c>
      <c r="I133" s="66" t="s">
        <v>211</v>
      </c>
      <c r="J133" s="66" t="s">
        <v>316</v>
      </c>
      <c r="K133" s="66" t="s">
        <v>747</v>
      </c>
      <c r="L133" s="67">
        <v>10000000</v>
      </c>
      <c r="M133" s="67">
        <v>0</v>
      </c>
      <c r="N133" s="68">
        <f t="shared" si="9"/>
        <v>10000000</v>
      </c>
      <c r="O133" s="69">
        <f t="shared" si="8"/>
        <v>10000000</v>
      </c>
      <c r="P133" s="42" t="str">
        <f>IFERROR(VLOOKUP(J133,'Mã NV'!$B:$C,2,0),"")</f>
        <v>XE01600</v>
      </c>
      <c r="Q133" s="70" t="str">
        <f>IFERROR(VLOOKUP(I133,'Mã NV'!$J:$K,2,0),"")</f>
        <v>7.1t</v>
      </c>
    </row>
    <row r="134" ht="33.6" customHeight="1" spans="1:18">
      <c r="A134" s="63">
        <f t="shared" ref="A134:A197" si="10">A133+1</f>
        <v>131</v>
      </c>
      <c r="B134" s="64">
        <v>46151</v>
      </c>
      <c r="C134" s="65"/>
      <c r="D134" s="66" t="s">
        <v>21</v>
      </c>
      <c r="E134" s="66" t="s">
        <v>21</v>
      </c>
      <c r="F134" s="66" t="s">
        <v>744</v>
      </c>
      <c r="G134" s="66" t="s">
        <v>750</v>
      </c>
      <c r="H134" s="66" t="s">
        <v>791</v>
      </c>
      <c r="I134" s="66" t="s">
        <v>103</v>
      </c>
      <c r="J134" s="66" t="s">
        <v>172</v>
      </c>
      <c r="K134" s="66" t="s">
        <v>747</v>
      </c>
      <c r="L134" s="67">
        <v>13500000</v>
      </c>
      <c r="M134" s="67">
        <v>0</v>
      </c>
      <c r="N134" s="68">
        <f t="shared" si="9"/>
        <v>13500000</v>
      </c>
      <c r="O134" s="69">
        <f t="shared" si="8"/>
        <v>13500000</v>
      </c>
      <c r="P134" s="42" t="str">
        <f>IFERROR(VLOOKUP(J134,'Mã NV'!$B:$C,2,0),"")</f>
        <v>XE01433</v>
      </c>
      <c r="Q134" s="70" t="str">
        <f>IFERROR(VLOOKUP(I134,'Mã NV'!$J:$K,2,0),"")</f>
        <v>7.1t</v>
      </c>
    </row>
    <row r="135" ht="33.6" customHeight="1" spans="1:18">
      <c r="A135" s="63">
        <f t="shared" si="10"/>
        <v>132</v>
      </c>
      <c r="B135" s="64">
        <v>46151</v>
      </c>
      <c r="C135" s="65"/>
      <c r="D135" s="66" t="s">
        <v>21</v>
      </c>
      <c r="E135" s="66" t="s">
        <v>21</v>
      </c>
      <c r="F135" s="66" t="s">
        <v>744</v>
      </c>
      <c r="G135" s="66" t="s">
        <v>750</v>
      </c>
      <c r="H135" s="66" t="s">
        <v>791</v>
      </c>
      <c r="I135" s="66" t="s">
        <v>103</v>
      </c>
      <c r="J135" s="66" t="s">
        <v>181</v>
      </c>
      <c r="K135" s="66" t="s">
        <v>747</v>
      </c>
      <c r="L135" s="67">
        <v>13500000</v>
      </c>
      <c r="M135" s="67">
        <v>0</v>
      </c>
      <c r="N135" s="68">
        <f t="shared" si="9"/>
        <v>13500000</v>
      </c>
      <c r="O135" s="69">
        <f t="shared" ref="O135:O198" si="11">N135/$P$1</f>
        <v>13500000</v>
      </c>
      <c r="P135" s="42" t="str">
        <f>IFERROR(VLOOKUP(J135,'Mã NV'!$B:$C,2,0),"")</f>
        <v>XE01281</v>
      </c>
      <c r="Q135" s="70" t="str">
        <f>IFERROR(VLOOKUP(I135,'Mã NV'!$J:$K,2,0),"")</f>
        <v>7.1t</v>
      </c>
    </row>
    <row r="136" ht="33.6" customHeight="1" spans="1:18">
      <c r="A136" s="63">
        <f t="shared" si="10"/>
        <v>133</v>
      </c>
      <c r="B136" s="64">
        <v>46151</v>
      </c>
      <c r="C136" s="65"/>
      <c r="D136" s="66" t="s">
        <v>21</v>
      </c>
      <c r="E136" s="66" t="s">
        <v>21</v>
      </c>
      <c r="F136" s="66" t="s">
        <v>744</v>
      </c>
      <c r="G136" s="66" t="s">
        <v>750</v>
      </c>
      <c r="H136" s="66" t="s">
        <v>755</v>
      </c>
      <c r="I136" s="66" t="s">
        <v>176</v>
      </c>
      <c r="J136" s="66" t="s">
        <v>192</v>
      </c>
      <c r="K136" s="66" t="s">
        <v>747</v>
      </c>
      <c r="L136" s="67">
        <v>11000000</v>
      </c>
      <c r="M136" s="67">
        <v>0</v>
      </c>
      <c r="N136" s="68">
        <f t="shared" ref="N136:N199" si="12">L136-M136</f>
        <v>11000000</v>
      </c>
      <c r="O136" s="69">
        <f t="shared" si="11"/>
        <v>11000000</v>
      </c>
      <c r="P136" s="42" t="str">
        <f>IFERROR(VLOOKUP(J136,'Mã NV'!$B:$C,2,0),"")</f>
        <v>XE01335</v>
      </c>
      <c r="Q136" s="70" t="str">
        <f>IFERROR(VLOOKUP(I136,'Mã NV'!$J:$K,2,0),"")</f>
        <v>8T</v>
      </c>
    </row>
    <row r="137" ht="33.6" customHeight="1" spans="1:18">
      <c r="A137" s="63">
        <f t="shared" si="10"/>
        <v>134</v>
      </c>
      <c r="B137" s="64">
        <v>46151</v>
      </c>
      <c r="C137" s="65"/>
      <c r="D137" s="66" t="s">
        <v>21</v>
      </c>
      <c r="E137" s="66" t="s">
        <v>21</v>
      </c>
      <c r="F137" s="66" t="s">
        <v>744</v>
      </c>
      <c r="G137" s="66" t="s">
        <v>750</v>
      </c>
      <c r="H137" s="66" t="s">
        <v>755</v>
      </c>
      <c r="I137" s="66" t="s">
        <v>176</v>
      </c>
      <c r="J137" s="66" t="s">
        <v>354</v>
      </c>
      <c r="K137" s="66" t="s">
        <v>747</v>
      </c>
      <c r="L137" s="67">
        <v>11000000</v>
      </c>
      <c r="M137" s="67">
        <v>0</v>
      </c>
      <c r="N137" s="68">
        <f t="shared" si="12"/>
        <v>11000000</v>
      </c>
      <c r="O137" s="69">
        <f t="shared" si="11"/>
        <v>11000000</v>
      </c>
      <c r="P137" s="42" t="str">
        <f>IFERROR(VLOOKUP(J137,'Mã NV'!$B:$C,2,0),"")</f>
        <v>XE01644</v>
      </c>
      <c r="Q137" s="70" t="str">
        <f>IFERROR(VLOOKUP(I137,'Mã NV'!$J:$K,2,0),"")</f>
        <v>8T</v>
      </c>
    </row>
    <row r="138" ht="33.6" customHeight="1" spans="1:18">
      <c r="A138" s="63">
        <f t="shared" si="10"/>
        <v>135</v>
      </c>
      <c r="B138" s="64">
        <v>46151</v>
      </c>
      <c r="C138" s="65"/>
      <c r="D138" s="66" t="s">
        <v>21</v>
      </c>
      <c r="E138" s="66" t="s">
        <v>21</v>
      </c>
      <c r="F138" s="66" t="s">
        <v>744</v>
      </c>
      <c r="G138" s="66" t="s">
        <v>792</v>
      </c>
      <c r="H138" s="66" t="s">
        <v>745</v>
      </c>
      <c r="I138" s="66" t="s">
        <v>300</v>
      </c>
      <c r="J138" s="66" t="s">
        <v>298</v>
      </c>
      <c r="K138" s="66" t="s">
        <v>747</v>
      </c>
      <c r="L138" s="67">
        <v>9500000</v>
      </c>
      <c r="M138" s="67">
        <v>0</v>
      </c>
      <c r="N138" s="68">
        <f t="shared" si="12"/>
        <v>9500000</v>
      </c>
      <c r="O138" s="69">
        <f t="shared" si="11"/>
        <v>9500000</v>
      </c>
      <c r="P138" s="42" t="str">
        <f>IFERROR(VLOOKUP(J138,'Mã NV'!$B:$C,2,0),"")</f>
        <v>XE01590</v>
      </c>
      <c r="Q138" s="70" t="str">
        <f>IFERROR(VLOOKUP(I138,'Mã NV'!$J:$K,2,0),"")</f>
        <v>8T</v>
      </c>
    </row>
    <row r="139" ht="33.6" customHeight="1" spans="1:18">
      <c r="A139" s="63">
        <f t="shared" si="10"/>
        <v>136</v>
      </c>
      <c r="B139" s="64">
        <v>46151</v>
      </c>
      <c r="C139" s="65"/>
      <c r="D139" s="66" t="s">
        <v>21</v>
      </c>
      <c r="E139" s="66" t="s">
        <v>21</v>
      </c>
      <c r="F139" s="66" t="s">
        <v>744</v>
      </c>
      <c r="G139" s="66" t="s">
        <v>792</v>
      </c>
      <c r="H139" s="66" t="s">
        <v>745</v>
      </c>
      <c r="I139" s="66" t="s">
        <v>300</v>
      </c>
      <c r="J139" s="66" t="s">
        <v>301</v>
      </c>
      <c r="K139" s="66" t="s">
        <v>747</v>
      </c>
      <c r="L139" s="67">
        <v>9500000</v>
      </c>
      <c r="M139" s="67">
        <v>0</v>
      </c>
      <c r="N139" s="68">
        <f t="shared" si="12"/>
        <v>9500000</v>
      </c>
      <c r="O139" s="69">
        <f t="shared" si="11"/>
        <v>9500000</v>
      </c>
      <c r="P139" s="42" t="str">
        <f>IFERROR(VLOOKUP(J139,'Mã NV'!$B:$C,2,0),"")</f>
        <v>XE01591</v>
      </c>
      <c r="Q139" s="70" t="str">
        <f>IFERROR(VLOOKUP(I139,'Mã NV'!$J:$K,2,0),"")</f>
        <v>8T</v>
      </c>
    </row>
    <row r="140" ht="33.6" customHeight="1" spans="1:18">
      <c r="A140" s="63">
        <f t="shared" si="10"/>
        <v>137</v>
      </c>
      <c r="B140" s="64">
        <v>46152</v>
      </c>
      <c r="C140" s="65"/>
      <c r="D140" s="66" t="s">
        <v>21</v>
      </c>
      <c r="E140" s="66" t="s">
        <v>21</v>
      </c>
      <c r="F140" s="66" t="s">
        <v>744</v>
      </c>
      <c r="G140" s="66" t="s">
        <v>750</v>
      </c>
      <c r="H140" s="66" t="s">
        <v>755</v>
      </c>
      <c r="I140" s="66" t="s">
        <v>286</v>
      </c>
      <c r="J140" s="66" t="s">
        <v>284</v>
      </c>
      <c r="K140" s="66" t="s">
        <v>747</v>
      </c>
      <c r="L140" s="67">
        <v>11000000</v>
      </c>
      <c r="M140" s="67">
        <v>0</v>
      </c>
      <c r="N140" s="68">
        <f t="shared" si="12"/>
        <v>11000000</v>
      </c>
      <c r="O140" s="69">
        <f t="shared" si="11"/>
        <v>11000000</v>
      </c>
      <c r="P140" s="42" t="str">
        <f>IFERROR(VLOOKUP(J140,'Mã NV'!$B:$C,2,0),"")</f>
        <v>XE01543</v>
      </c>
      <c r="Q140" s="70" t="str">
        <f>IFERROR(VLOOKUP(I140,'Mã NV'!$J:$K,2,0),"")</f>
        <v>8T</v>
      </c>
    </row>
    <row r="141" ht="33.6" customHeight="1" spans="1:18">
      <c r="A141" s="63">
        <f t="shared" si="10"/>
        <v>138</v>
      </c>
      <c r="B141" s="64">
        <v>46152</v>
      </c>
      <c r="C141" s="65"/>
      <c r="D141" s="66" t="s">
        <v>21</v>
      </c>
      <c r="E141" s="66" t="s">
        <v>21</v>
      </c>
      <c r="F141" s="66" t="s">
        <v>744</v>
      </c>
      <c r="G141" s="66" t="s">
        <v>750</v>
      </c>
      <c r="H141" s="66" t="s">
        <v>755</v>
      </c>
      <c r="I141" s="66" t="s">
        <v>286</v>
      </c>
      <c r="J141" s="66" t="s">
        <v>335</v>
      </c>
      <c r="K141" s="66" t="s">
        <v>747</v>
      </c>
      <c r="L141" s="67">
        <v>11000000</v>
      </c>
      <c r="M141" s="67">
        <v>0</v>
      </c>
      <c r="N141" s="68">
        <f t="shared" si="12"/>
        <v>11000000</v>
      </c>
      <c r="O141" s="69">
        <f t="shared" si="11"/>
        <v>11000000</v>
      </c>
      <c r="P141" s="42" t="str">
        <f>IFERROR(VLOOKUP(J141,'Mã NV'!$B:$C,2,0),"")</f>
        <v>XE01622</v>
      </c>
      <c r="Q141" s="70" t="str">
        <f>IFERROR(VLOOKUP(I141,'Mã NV'!$J:$K,2,0),"")</f>
        <v>8T</v>
      </c>
    </row>
    <row r="142" ht="33.6" customHeight="1" spans="1:18">
      <c r="A142" s="63">
        <f t="shared" si="10"/>
        <v>139</v>
      </c>
      <c r="B142" s="64">
        <v>46153</v>
      </c>
      <c r="C142" s="65"/>
      <c r="D142" s="66" t="s">
        <v>21</v>
      </c>
      <c r="E142" s="66" t="s">
        <v>21</v>
      </c>
      <c r="F142" s="66" t="s">
        <v>744</v>
      </c>
      <c r="G142" s="66" t="s">
        <v>750</v>
      </c>
      <c r="H142" s="66" t="s">
        <v>793</v>
      </c>
      <c r="I142" s="66" t="s">
        <v>293</v>
      </c>
      <c r="J142" s="66" t="s">
        <v>294</v>
      </c>
      <c r="K142" s="66" t="s">
        <v>747</v>
      </c>
      <c r="L142" s="67">
        <v>11750000</v>
      </c>
      <c r="M142" s="67">
        <v>0</v>
      </c>
      <c r="N142" s="68">
        <f t="shared" si="12"/>
        <v>11750000</v>
      </c>
      <c r="O142" s="69">
        <f t="shared" si="11"/>
        <v>11750000</v>
      </c>
      <c r="P142" s="42" t="str">
        <f>IFERROR(VLOOKUP(J142,'Mã NV'!$B:$C,2,0),"")</f>
        <v>XE01551</v>
      </c>
      <c r="Q142" s="70" t="str">
        <f>IFERROR(VLOOKUP(I142,'Mã NV'!$J:$K,2,0),"")</f>
        <v>8T</v>
      </c>
    </row>
    <row r="143" ht="33.6" customHeight="1" spans="1:18">
      <c r="A143" s="63">
        <f t="shared" si="10"/>
        <v>140</v>
      </c>
      <c r="B143" s="64">
        <v>46153</v>
      </c>
      <c r="C143" s="65"/>
      <c r="D143" s="66" t="s">
        <v>21</v>
      </c>
      <c r="E143" s="66" t="s">
        <v>21</v>
      </c>
      <c r="F143" s="66" t="s">
        <v>744</v>
      </c>
      <c r="G143" s="66" t="s">
        <v>750</v>
      </c>
      <c r="H143" s="66" t="s">
        <v>793</v>
      </c>
      <c r="I143" s="66" t="s">
        <v>293</v>
      </c>
      <c r="J143" s="66" t="s">
        <v>291</v>
      </c>
      <c r="K143" s="66" t="s">
        <v>747</v>
      </c>
      <c r="L143" s="67">
        <v>11750000</v>
      </c>
      <c r="M143" s="67">
        <v>0</v>
      </c>
      <c r="N143" s="68">
        <f t="shared" si="12"/>
        <v>11750000</v>
      </c>
      <c r="O143" s="69">
        <f t="shared" si="11"/>
        <v>11750000</v>
      </c>
      <c r="P143" s="42" t="str">
        <f>IFERROR(VLOOKUP(J143,'Mã NV'!$B:$C,2,0),"")</f>
        <v>XE01552</v>
      </c>
      <c r="Q143" s="70" t="str">
        <f>IFERROR(VLOOKUP(I143,'Mã NV'!$J:$K,2,0),"")</f>
        <v>8T</v>
      </c>
    </row>
    <row r="144" ht="33.6" customHeight="1" spans="1:18">
      <c r="A144" s="63">
        <f t="shared" si="10"/>
        <v>141</v>
      </c>
      <c r="B144" s="64">
        <v>46153</v>
      </c>
      <c r="C144" s="65"/>
      <c r="D144" s="66" t="s">
        <v>21</v>
      </c>
      <c r="E144" s="66" t="s">
        <v>21</v>
      </c>
      <c r="F144" s="66" t="s">
        <v>744</v>
      </c>
      <c r="G144" s="66" t="s">
        <v>777</v>
      </c>
      <c r="H144" s="66" t="s">
        <v>745</v>
      </c>
      <c r="I144" s="66" t="s">
        <v>283</v>
      </c>
      <c r="J144" s="66" t="s">
        <v>337</v>
      </c>
      <c r="K144" s="66" t="s">
        <v>747</v>
      </c>
      <c r="L144" s="67">
        <v>9750000</v>
      </c>
      <c r="M144" s="67">
        <v>0</v>
      </c>
      <c r="N144" s="68">
        <f t="shared" si="12"/>
        <v>9750000</v>
      </c>
      <c r="O144" s="69">
        <f t="shared" si="11"/>
        <v>9750000</v>
      </c>
      <c r="P144" s="42" t="str">
        <f>IFERROR(VLOOKUP(J144,'Mã NV'!$B:$C,2,0),"")</f>
        <v>XE01477</v>
      </c>
      <c r="Q144" s="70" t="str">
        <f>IFERROR(VLOOKUP(I144,'Mã NV'!$J:$K,2,0),"")</f>
        <v>15T</v>
      </c>
    </row>
    <row r="145" ht="33.6" customHeight="1" spans="1:17">
      <c r="A145" s="63">
        <f t="shared" si="10"/>
        <v>142</v>
      </c>
      <c r="B145" s="64">
        <v>46153</v>
      </c>
      <c r="C145" s="65"/>
      <c r="D145" s="66" t="s">
        <v>21</v>
      </c>
      <c r="E145" s="66" t="s">
        <v>21</v>
      </c>
      <c r="F145" s="66" t="s">
        <v>744</v>
      </c>
      <c r="G145" s="66" t="s">
        <v>777</v>
      </c>
      <c r="H145" s="66" t="s">
        <v>745</v>
      </c>
      <c r="I145" s="66" t="s">
        <v>283</v>
      </c>
      <c r="J145" s="66" t="s">
        <v>339</v>
      </c>
      <c r="K145" s="66" t="s">
        <v>747</v>
      </c>
      <c r="L145" s="67">
        <v>9750000</v>
      </c>
      <c r="M145" s="67">
        <v>0</v>
      </c>
      <c r="N145" s="68">
        <f t="shared" si="12"/>
        <v>9750000</v>
      </c>
      <c r="O145" s="69">
        <f t="shared" si="11"/>
        <v>9750000</v>
      </c>
      <c r="P145" s="42" t="str">
        <f>IFERROR(VLOOKUP(J145,'Mã NV'!$B:$C,2,0),"")</f>
        <v>XE01670</v>
      </c>
      <c r="Q145" s="70" t="str">
        <f>IFERROR(VLOOKUP(I145,'Mã NV'!$J:$K,2,0),"")</f>
        <v>15T</v>
      </c>
    </row>
    <row r="146" ht="33.6" customHeight="1" spans="1:17">
      <c r="A146" s="63">
        <f t="shared" si="10"/>
        <v>143</v>
      </c>
      <c r="B146" s="64">
        <v>46153</v>
      </c>
      <c r="C146" s="65"/>
      <c r="D146" s="66" t="s">
        <v>21</v>
      </c>
      <c r="E146" s="66" t="s">
        <v>21</v>
      </c>
      <c r="F146" s="66" t="s">
        <v>744</v>
      </c>
      <c r="G146" s="66" t="s">
        <v>750</v>
      </c>
      <c r="H146" s="66" t="s">
        <v>755</v>
      </c>
      <c r="I146" s="66" t="s">
        <v>205</v>
      </c>
      <c r="J146" s="66" t="s">
        <v>312</v>
      </c>
      <c r="K146" s="66" t="s">
        <v>747</v>
      </c>
      <c r="L146" s="67">
        <v>11000000</v>
      </c>
      <c r="M146" s="67">
        <v>0</v>
      </c>
      <c r="N146" s="68">
        <f t="shared" si="12"/>
        <v>11000000</v>
      </c>
      <c r="O146" s="69">
        <f t="shared" si="11"/>
        <v>11000000</v>
      </c>
      <c r="P146" s="42" t="str">
        <f>IFERROR(VLOOKUP(J146,'Mã NV'!$B:$C,2,0),"")</f>
        <v>XE01582</v>
      </c>
      <c r="Q146" s="70" t="str">
        <f>IFERROR(VLOOKUP(I146,'Mã NV'!$J:$K,2,0),"")</f>
        <v>8T</v>
      </c>
    </row>
    <row r="147" ht="33.6" customHeight="1" spans="1:17">
      <c r="A147" s="63">
        <f t="shared" si="10"/>
        <v>144</v>
      </c>
      <c r="B147" s="64">
        <v>46153</v>
      </c>
      <c r="C147" s="65"/>
      <c r="D147" s="66" t="s">
        <v>21</v>
      </c>
      <c r="E147" s="66" t="s">
        <v>21</v>
      </c>
      <c r="F147" s="66" t="s">
        <v>744</v>
      </c>
      <c r="G147" s="66" t="s">
        <v>750</v>
      </c>
      <c r="H147" s="66" t="s">
        <v>755</v>
      </c>
      <c r="I147" s="66" t="s">
        <v>205</v>
      </c>
      <c r="J147" s="66" t="s">
        <v>314</v>
      </c>
      <c r="K147" s="66" t="s">
        <v>747</v>
      </c>
      <c r="L147" s="67">
        <v>11000000</v>
      </c>
      <c r="M147" s="67">
        <v>0</v>
      </c>
      <c r="N147" s="68">
        <f t="shared" si="12"/>
        <v>11000000</v>
      </c>
      <c r="O147" s="69">
        <f t="shared" si="11"/>
        <v>11000000</v>
      </c>
      <c r="P147" s="42" t="str">
        <f>IFERROR(VLOOKUP(J147,'Mã NV'!$B:$C,2,0),"")</f>
        <v>XE01583</v>
      </c>
      <c r="Q147" s="70" t="str">
        <f>IFERROR(VLOOKUP(I147,'Mã NV'!$J:$K,2,0),"")</f>
        <v>8T</v>
      </c>
    </row>
    <row r="148" ht="33.6" customHeight="1" spans="1:17">
      <c r="A148" s="63">
        <f t="shared" si="10"/>
        <v>145</v>
      </c>
      <c r="B148" s="64">
        <v>46153</v>
      </c>
      <c r="C148" s="65"/>
      <c r="D148" s="66" t="s">
        <v>21</v>
      </c>
      <c r="E148" s="66" t="s">
        <v>21</v>
      </c>
      <c r="F148" s="66" t="s">
        <v>744</v>
      </c>
      <c r="G148" s="66" t="s">
        <v>770</v>
      </c>
      <c r="H148" s="66" t="s">
        <v>784</v>
      </c>
      <c r="I148" s="66" t="s">
        <v>230</v>
      </c>
      <c r="J148" s="66" t="s">
        <v>228</v>
      </c>
      <c r="K148" s="66" t="s">
        <v>747</v>
      </c>
      <c r="L148" s="67">
        <v>12500000</v>
      </c>
      <c r="M148" s="67">
        <v>0</v>
      </c>
      <c r="N148" s="68">
        <f t="shared" si="12"/>
        <v>12500000</v>
      </c>
      <c r="O148" s="69">
        <f t="shared" si="11"/>
        <v>12500000</v>
      </c>
      <c r="P148" s="42" t="str">
        <f>IFERROR(VLOOKUP(J148,'Mã NV'!$B:$C,2,0),"")</f>
        <v>XE01390</v>
      </c>
      <c r="Q148" s="70" t="str">
        <f>IFERROR(VLOOKUP(I148,'Mã NV'!$J:$K,2,0),"")</f>
        <v>15T</v>
      </c>
    </row>
    <row r="149" ht="33.6" customHeight="1" spans="1:17">
      <c r="A149" s="63">
        <f t="shared" si="10"/>
        <v>146</v>
      </c>
      <c r="B149" s="64">
        <v>46153</v>
      </c>
      <c r="C149" s="65"/>
      <c r="D149" s="66" t="s">
        <v>21</v>
      </c>
      <c r="E149" s="66" t="s">
        <v>21</v>
      </c>
      <c r="F149" s="66" t="s">
        <v>744</v>
      </c>
      <c r="G149" s="66" t="s">
        <v>770</v>
      </c>
      <c r="H149" s="66" t="s">
        <v>784</v>
      </c>
      <c r="I149" s="66" t="s">
        <v>230</v>
      </c>
      <c r="J149" s="66" t="s">
        <v>364</v>
      </c>
      <c r="K149" s="66" t="s">
        <v>747</v>
      </c>
      <c r="L149" s="67">
        <v>12500000</v>
      </c>
      <c r="M149" s="67">
        <v>0</v>
      </c>
      <c r="N149" s="68">
        <f t="shared" si="12"/>
        <v>12500000</v>
      </c>
      <c r="O149" s="69">
        <f t="shared" si="11"/>
        <v>12500000</v>
      </c>
      <c r="P149" s="42" t="str">
        <f>IFERROR(VLOOKUP(J149,'Mã NV'!$B:$C,2,0),"")</f>
        <v>XE01690</v>
      </c>
      <c r="Q149" s="70" t="str">
        <f>IFERROR(VLOOKUP(I149,'Mã NV'!$J:$K,2,0),"")</f>
        <v>15T</v>
      </c>
    </row>
    <row r="150" ht="33.6" customHeight="1" spans="1:17">
      <c r="A150" s="63">
        <f t="shared" si="10"/>
        <v>147</v>
      </c>
      <c r="B150" s="64">
        <v>46154</v>
      </c>
      <c r="C150" s="65"/>
      <c r="D150" s="66" t="s">
        <v>21</v>
      </c>
      <c r="E150" s="66" t="s">
        <v>21</v>
      </c>
      <c r="F150" s="66" t="s">
        <v>744</v>
      </c>
      <c r="G150" s="66" t="s">
        <v>777</v>
      </c>
      <c r="H150" s="66" t="s">
        <v>745</v>
      </c>
      <c r="I150" s="66" t="s">
        <v>109</v>
      </c>
      <c r="J150" s="66" t="s">
        <v>107</v>
      </c>
      <c r="K150" s="66" t="s">
        <v>747</v>
      </c>
      <c r="L150" s="67">
        <v>9027778</v>
      </c>
      <c r="M150" s="67">
        <v>0</v>
      </c>
      <c r="N150" s="68">
        <f t="shared" si="12"/>
        <v>9027778</v>
      </c>
      <c r="O150" s="69">
        <f t="shared" si="11"/>
        <v>9027778</v>
      </c>
      <c r="P150" s="42" t="str">
        <f>IFERROR(VLOOKUP(J150,'Mã NV'!$B:$C,2,0),"")</f>
        <v>XE01102</v>
      </c>
      <c r="Q150" s="70" t="str">
        <f>IFERROR(VLOOKUP(I150,'Mã NV'!$J:$K,2,0),"")</f>
        <v>15T</v>
      </c>
    </row>
    <row r="151" ht="33.6" customHeight="1" spans="1:17">
      <c r="A151" s="63">
        <f t="shared" si="10"/>
        <v>148</v>
      </c>
      <c r="B151" s="64">
        <v>46154</v>
      </c>
      <c r="C151" s="65"/>
      <c r="D151" s="66" t="s">
        <v>21</v>
      </c>
      <c r="E151" s="66" t="s">
        <v>21</v>
      </c>
      <c r="F151" s="66" t="s">
        <v>744</v>
      </c>
      <c r="G151" s="66" t="s">
        <v>777</v>
      </c>
      <c r="H151" s="66" t="s">
        <v>745</v>
      </c>
      <c r="I151" s="66" t="s">
        <v>109</v>
      </c>
      <c r="J151" s="66" t="s">
        <v>120</v>
      </c>
      <c r="K151" s="66" t="s">
        <v>747</v>
      </c>
      <c r="L151" s="67">
        <v>9027778</v>
      </c>
      <c r="M151" s="67">
        <v>0</v>
      </c>
      <c r="N151" s="68">
        <f t="shared" si="12"/>
        <v>9027778</v>
      </c>
      <c r="O151" s="69">
        <f t="shared" si="11"/>
        <v>9027778</v>
      </c>
      <c r="P151" s="42" t="str">
        <f>IFERROR(VLOOKUP(J151,'Mã NV'!$B:$C,2,0),"")</f>
        <v>XE01315</v>
      </c>
      <c r="Q151" s="70" t="str">
        <f>IFERROR(VLOOKUP(I151,'Mã NV'!$J:$K,2,0),"")</f>
        <v>15T</v>
      </c>
    </row>
    <row r="152" ht="33.6" customHeight="1" spans="1:17">
      <c r="A152" s="63">
        <f t="shared" si="10"/>
        <v>149</v>
      </c>
      <c r="B152" s="64">
        <v>46154</v>
      </c>
      <c r="C152" s="65"/>
      <c r="D152" s="66" t="s">
        <v>21</v>
      </c>
      <c r="E152" s="66" t="s">
        <v>21</v>
      </c>
      <c r="F152" s="66" t="s">
        <v>744</v>
      </c>
      <c r="G152" s="66" t="s">
        <v>750</v>
      </c>
      <c r="H152" s="66" t="s">
        <v>755</v>
      </c>
      <c r="I152" s="66" t="s">
        <v>170</v>
      </c>
      <c r="J152" s="66" t="s">
        <v>168</v>
      </c>
      <c r="K152" s="66" t="s">
        <v>747</v>
      </c>
      <c r="L152" s="67">
        <v>11000000</v>
      </c>
      <c r="M152" s="67">
        <v>0</v>
      </c>
      <c r="N152" s="68">
        <f t="shared" si="12"/>
        <v>11000000</v>
      </c>
      <c r="O152" s="69">
        <f t="shared" si="11"/>
        <v>11000000</v>
      </c>
      <c r="P152" s="42" t="str">
        <f>IFERROR(VLOOKUP(J152,'Mã NV'!$B:$C,2,0),"")</f>
        <v>XE01263</v>
      </c>
      <c r="Q152" s="70" t="str">
        <f>IFERROR(VLOOKUP(I152,'Mã NV'!$J:$K,2,0),"")</f>
        <v>8T</v>
      </c>
    </row>
    <row r="153" ht="33.6" customHeight="1" spans="1:17">
      <c r="A153" s="63">
        <f t="shared" si="10"/>
        <v>150</v>
      </c>
      <c r="B153" s="64">
        <v>46154</v>
      </c>
      <c r="C153" s="65"/>
      <c r="D153" s="66" t="s">
        <v>21</v>
      </c>
      <c r="E153" s="66" t="s">
        <v>21</v>
      </c>
      <c r="F153" s="66" t="s">
        <v>744</v>
      </c>
      <c r="G153" s="66" t="s">
        <v>750</v>
      </c>
      <c r="H153" s="66" t="s">
        <v>755</v>
      </c>
      <c r="I153" s="66" t="s">
        <v>170</v>
      </c>
      <c r="J153" s="66" t="s">
        <v>203</v>
      </c>
      <c r="K153" s="66" t="s">
        <v>747</v>
      </c>
      <c r="L153" s="67">
        <v>11000000</v>
      </c>
      <c r="M153" s="67">
        <v>0</v>
      </c>
      <c r="N153" s="68">
        <f t="shared" si="12"/>
        <v>11000000</v>
      </c>
      <c r="O153" s="69">
        <f t="shared" si="11"/>
        <v>11000000</v>
      </c>
      <c r="P153" s="42" t="str">
        <f>IFERROR(VLOOKUP(J153,'Mã NV'!$B:$C,2,0),"")</f>
        <v>XE01149</v>
      </c>
      <c r="Q153" s="70" t="str">
        <f>IFERROR(VLOOKUP(I153,'Mã NV'!$J:$K,2,0),"")</f>
        <v>8T</v>
      </c>
    </row>
    <row r="154" ht="33.6" customHeight="1" spans="1:17">
      <c r="A154" s="63">
        <f t="shared" si="10"/>
        <v>151</v>
      </c>
      <c r="B154" s="64">
        <v>46154</v>
      </c>
      <c r="C154" s="65"/>
      <c r="D154" s="66" t="s">
        <v>21</v>
      </c>
      <c r="E154" s="66" t="s">
        <v>21</v>
      </c>
      <c r="F154" s="66" t="s">
        <v>744</v>
      </c>
      <c r="G154" s="66" t="s">
        <v>750</v>
      </c>
      <c r="H154" s="66" t="s">
        <v>791</v>
      </c>
      <c r="I154" s="66" t="s">
        <v>158</v>
      </c>
      <c r="J154" s="66" t="s">
        <v>156</v>
      </c>
      <c r="K154" s="66" t="s">
        <v>747</v>
      </c>
      <c r="L154" s="67">
        <v>13500000</v>
      </c>
      <c r="M154" s="67">
        <v>0</v>
      </c>
      <c r="N154" s="68">
        <f t="shared" si="12"/>
        <v>13500000</v>
      </c>
      <c r="O154" s="69">
        <f t="shared" si="11"/>
        <v>13500000</v>
      </c>
      <c r="P154" s="42" t="str">
        <f>IFERROR(VLOOKUP(J154,'Mã NV'!$B:$C,2,0),"")</f>
        <v>XE01316</v>
      </c>
      <c r="Q154" s="70" t="str">
        <f>IFERROR(VLOOKUP(I154,'Mã NV'!$J:$K,2,0),"")</f>
        <v>8T</v>
      </c>
    </row>
    <row r="155" ht="33.6" customHeight="1" spans="1:17">
      <c r="A155" s="63">
        <f t="shared" si="10"/>
        <v>152</v>
      </c>
      <c r="B155" s="64">
        <v>46154</v>
      </c>
      <c r="C155" s="65"/>
      <c r="D155" s="66" t="s">
        <v>21</v>
      </c>
      <c r="E155" s="66" t="s">
        <v>21</v>
      </c>
      <c r="F155" s="66" t="s">
        <v>744</v>
      </c>
      <c r="G155" s="66" t="s">
        <v>750</v>
      </c>
      <c r="H155" s="66" t="s">
        <v>791</v>
      </c>
      <c r="I155" s="66" t="s">
        <v>158</v>
      </c>
      <c r="J155" s="66" t="s">
        <v>277</v>
      </c>
      <c r="K155" s="66" t="s">
        <v>747</v>
      </c>
      <c r="L155" s="67">
        <v>13500000</v>
      </c>
      <c r="M155" s="67">
        <v>0</v>
      </c>
      <c r="N155" s="68">
        <f t="shared" si="12"/>
        <v>13500000</v>
      </c>
      <c r="O155" s="69">
        <f t="shared" si="11"/>
        <v>13500000</v>
      </c>
      <c r="P155" s="42" t="str">
        <f>IFERROR(VLOOKUP(J155,'Mã NV'!$B:$C,2,0),"")</f>
        <v>XE01534</v>
      </c>
      <c r="Q155" s="70" t="str">
        <f>IFERROR(VLOOKUP(I155,'Mã NV'!$J:$K,2,0),"")</f>
        <v>8T</v>
      </c>
    </row>
    <row r="156" ht="33.6" customHeight="1" spans="1:17">
      <c r="A156" s="63">
        <f t="shared" si="10"/>
        <v>153</v>
      </c>
      <c r="B156" s="64">
        <v>46154</v>
      </c>
      <c r="C156" s="65"/>
      <c r="D156" s="66" t="s">
        <v>21</v>
      </c>
      <c r="E156" s="66" t="s">
        <v>21</v>
      </c>
      <c r="F156" s="66" t="s">
        <v>744</v>
      </c>
      <c r="G156" s="66" t="s">
        <v>750</v>
      </c>
      <c r="H156" s="66" t="s">
        <v>745</v>
      </c>
      <c r="I156" s="66" t="s">
        <v>223</v>
      </c>
      <c r="J156" s="66" t="s">
        <v>221</v>
      </c>
      <c r="K156" s="66" t="s">
        <v>747</v>
      </c>
      <c r="L156" s="67">
        <v>9750000</v>
      </c>
      <c r="M156" s="67">
        <v>0</v>
      </c>
      <c r="N156" s="68">
        <f t="shared" si="12"/>
        <v>9750000</v>
      </c>
      <c r="O156" s="69">
        <f t="shared" si="11"/>
        <v>9750000</v>
      </c>
      <c r="P156" s="42" t="str">
        <f>IFERROR(VLOOKUP(J156,'Mã NV'!$B:$C,2,0),"")</f>
        <v>XE01283</v>
      </c>
      <c r="Q156" s="70" t="str">
        <f>IFERROR(VLOOKUP(I156,'Mã NV'!$J:$K,2,0),"")</f>
        <v>7.1t</v>
      </c>
    </row>
    <row r="157" ht="33.6" customHeight="1" spans="1:17">
      <c r="A157" s="63">
        <f t="shared" si="10"/>
        <v>154</v>
      </c>
      <c r="B157" s="64">
        <v>46154</v>
      </c>
      <c r="C157" s="65"/>
      <c r="D157" s="66" t="s">
        <v>21</v>
      </c>
      <c r="E157" s="66" t="s">
        <v>21</v>
      </c>
      <c r="F157" s="66" t="s">
        <v>744</v>
      </c>
      <c r="G157" s="66" t="s">
        <v>750</v>
      </c>
      <c r="H157" s="66" t="s">
        <v>745</v>
      </c>
      <c r="I157" s="66" t="s">
        <v>223</v>
      </c>
      <c r="J157" s="66" t="s">
        <v>296</v>
      </c>
      <c r="K157" s="66" t="s">
        <v>747</v>
      </c>
      <c r="L157" s="67">
        <v>9750000</v>
      </c>
      <c r="M157" s="67">
        <v>0</v>
      </c>
      <c r="N157" s="68">
        <f t="shared" si="12"/>
        <v>9750000</v>
      </c>
      <c r="O157" s="69">
        <f t="shared" si="11"/>
        <v>9750000</v>
      </c>
      <c r="P157" s="42" t="str">
        <f>IFERROR(VLOOKUP(J157,'Mã NV'!$B:$C,2,0),"")</f>
        <v>XE01541</v>
      </c>
      <c r="Q157" s="70" t="str">
        <f>IFERROR(VLOOKUP(I157,'Mã NV'!$J:$K,2,0),"")</f>
        <v>7.1t</v>
      </c>
    </row>
    <row r="158" ht="33.6" customHeight="1" spans="1:17">
      <c r="A158" s="63">
        <f t="shared" si="10"/>
        <v>155</v>
      </c>
      <c r="B158" s="64">
        <v>46154</v>
      </c>
      <c r="C158" s="65"/>
      <c r="D158" s="66" t="s">
        <v>21</v>
      </c>
      <c r="E158" s="66" t="s">
        <v>21</v>
      </c>
      <c r="F158" s="66" t="s">
        <v>744</v>
      </c>
      <c r="G158" s="66" t="s">
        <v>745</v>
      </c>
      <c r="H158" s="66" t="s">
        <v>746</v>
      </c>
      <c r="I158" s="66" t="s">
        <v>249</v>
      </c>
      <c r="J158" s="66" t="s">
        <v>245</v>
      </c>
      <c r="K158" s="66" t="s">
        <v>747</v>
      </c>
      <c r="L158" s="67">
        <v>13000000</v>
      </c>
      <c r="M158" s="67">
        <v>0</v>
      </c>
      <c r="N158" s="68">
        <f t="shared" si="12"/>
        <v>13000000</v>
      </c>
      <c r="O158" s="69">
        <f t="shared" si="11"/>
        <v>13000000</v>
      </c>
      <c r="P158" s="42" t="str">
        <f>IFERROR(VLOOKUP(J158,'Mã NV'!$B:$C,2,0),"")</f>
        <v>XE01470</v>
      </c>
      <c r="Q158" s="70" t="str">
        <f>IFERROR(VLOOKUP(I158,'Mã NV'!$J:$K,2,0),"")</f>
        <v>15T</v>
      </c>
    </row>
    <row r="159" ht="33.6" customHeight="1" spans="1:17">
      <c r="A159" s="63">
        <f t="shared" si="10"/>
        <v>156</v>
      </c>
      <c r="B159" s="64">
        <v>46154</v>
      </c>
      <c r="C159" s="65"/>
      <c r="D159" s="66" t="s">
        <v>21</v>
      </c>
      <c r="E159" s="66" t="s">
        <v>21</v>
      </c>
      <c r="F159" s="66" t="s">
        <v>744</v>
      </c>
      <c r="G159" s="66" t="s">
        <v>745</v>
      </c>
      <c r="H159" s="66" t="s">
        <v>746</v>
      </c>
      <c r="I159" s="66" t="s">
        <v>249</v>
      </c>
      <c r="J159" s="66" t="s">
        <v>250</v>
      </c>
      <c r="K159" s="66" t="s">
        <v>747</v>
      </c>
      <c r="L159" s="67">
        <v>13000000</v>
      </c>
      <c r="M159" s="67">
        <v>0</v>
      </c>
      <c r="N159" s="68">
        <f t="shared" si="12"/>
        <v>13000000</v>
      </c>
      <c r="O159" s="69">
        <f t="shared" si="11"/>
        <v>13000000</v>
      </c>
      <c r="P159" s="42" t="str">
        <f>IFERROR(VLOOKUP(J159,'Mã NV'!$B:$C,2,0),"")</f>
        <v>XE01469</v>
      </c>
      <c r="Q159" s="70" t="str">
        <f>IFERROR(VLOOKUP(I159,'Mã NV'!$J:$K,2,0),"")</f>
        <v>15T</v>
      </c>
    </row>
    <row r="160" ht="33.6" customHeight="1" spans="1:17">
      <c r="A160" s="63">
        <f t="shared" si="10"/>
        <v>157</v>
      </c>
      <c r="B160" s="64">
        <v>46154</v>
      </c>
      <c r="C160" s="65"/>
      <c r="D160" s="66" t="s">
        <v>21</v>
      </c>
      <c r="E160" s="66" t="s">
        <v>21</v>
      </c>
      <c r="F160" s="66" t="s">
        <v>744</v>
      </c>
      <c r="G160" s="66" t="s">
        <v>770</v>
      </c>
      <c r="H160" s="66" t="s">
        <v>753</v>
      </c>
      <c r="I160" s="66" t="s">
        <v>300</v>
      </c>
      <c r="J160" s="66" t="s">
        <v>298</v>
      </c>
      <c r="K160" s="66" t="s">
        <v>747</v>
      </c>
      <c r="L160" s="67">
        <v>12250000</v>
      </c>
      <c r="M160" s="67">
        <v>0</v>
      </c>
      <c r="N160" s="68">
        <f t="shared" si="12"/>
        <v>12250000</v>
      </c>
      <c r="O160" s="69">
        <f t="shared" si="11"/>
        <v>12250000</v>
      </c>
      <c r="P160" s="42" t="str">
        <f>IFERROR(VLOOKUP(J160,'Mã NV'!$B:$C,2,0),"")</f>
        <v>XE01590</v>
      </c>
      <c r="Q160" s="70" t="str">
        <f>IFERROR(VLOOKUP(I160,'Mã NV'!$J:$K,2,0),"")</f>
        <v>8T</v>
      </c>
    </row>
    <row r="161" s="37" customFormat="1" ht="33.6" customHeight="1" spans="1:20">
      <c r="A161" s="63">
        <f t="shared" si="10"/>
        <v>158</v>
      </c>
      <c r="B161" s="64">
        <v>46154</v>
      </c>
      <c r="C161" s="65"/>
      <c r="D161" s="66" t="s">
        <v>21</v>
      </c>
      <c r="E161" s="66" t="s">
        <v>21</v>
      </c>
      <c r="F161" s="66" t="s">
        <v>744</v>
      </c>
      <c r="G161" s="66" t="s">
        <v>770</v>
      </c>
      <c r="H161" s="66" t="s">
        <v>753</v>
      </c>
      <c r="I161" s="66" t="s">
        <v>300</v>
      </c>
      <c r="J161" s="66" t="s">
        <v>301</v>
      </c>
      <c r="K161" s="66" t="s">
        <v>747</v>
      </c>
      <c r="L161" s="67">
        <v>12250000</v>
      </c>
      <c r="M161" s="67">
        <v>0</v>
      </c>
      <c r="N161" s="68">
        <f t="shared" si="12"/>
        <v>12250000</v>
      </c>
      <c r="O161" s="69">
        <f t="shared" si="11"/>
        <v>12250000</v>
      </c>
      <c r="P161" s="42" t="str">
        <f>IFERROR(VLOOKUP(J161,'Mã NV'!$B:$C,2,0),"")</f>
        <v>XE01591</v>
      </c>
      <c r="Q161" s="70" t="str">
        <f>IFERROR(VLOOKUP(I161,'Mã NV'!$J:$K,2,0),"")</f>
        <v>8T</v>
      </c>
      <c r="R161" s="39"/>
      <c r="S161" s="44"/>
      <c r="T161" s="45"/>
    </row>
    <row r="162" s="37" customFormat="1" ht="33.6" customHeight="1" spans="1:20">
      <c r="A162" s="63">
        <f t="shared" si="10"/>
        <v>159</v>
      </c>
      <c r="B162" s="64">
        <v>46155</v>
      </c>
      <c r="C162" s="65"/>
      <c r="D162" s="66" t="s">
        <v>21</v>
      </c>
      <c r="E162" s="66" t="s">
        <v>21</v>
      </c>
      <c r="F162" s="66" t="s">
        <v>744</v>
      </c>
      <c r="G162" s="66" t="s">
        <v>777</v>
      </c>
      <c r="H162" s="66" t="s">
        <v>745</v>
      </c>
      <c r="I162" s="66" t="s">
        <v>230</v>
      </c>
      <c r="J162" s="66" t="s">
        <v>228</v>
      </c>
      <c r="K162" s="66" t="s">
        <v>747</v>
      </c>
      <c r="L162" s="67">
        <v>9027778</v>
      </c>
      <c r="M162" s="67">
        <v>0</v>
      </c>
      <c r="N162" s="68">
        <f t="shared" si="12"/>
        <v>9027778</v>
      </c>
      <c r="O162" s="69">
        <f t="shared" si="11"/>
        <v>9027778</v>
      </c>
      <c r="P162" s="42" t="str">
        <f>IFERROR(VLOOKUP(J162,'Mã NV'!$B:$C,2,0),"")</f>
        <v>XE01390</v>
      </c>
      <c r="Q162" s="70" t="str">
        <f>IFERROR(VLOOKUP(I162,'Mã NV'!$J:$K,2,0),"")</f>
        <v>15T</v>
      </c>
      <c r="R162" s="39"/>
      <c r="S162" s="44"/>
      <c r="T162" s="45"/>
    </row>
    <row r="163" s="37" customFormat="1" ht="33.6" customHeight="1" spans="1:20">
      <c r="A163" s="63">
        <f t="shared" si="10"/>
        <v>160</v>
      </c>
      <c r="B163" s="64">
        <v>46155</v>
      </c>
      <c r="C163" s="65"/>
      <c r="D163" s="66" t="s">
        <v>21</v>
      </c>
      <c r="E163" s="66" t="s">
        <v>21</v>
      </c>
      <c r="F163" s="66" t="s">
        <v>744</v>
      </c>
      <c r="G163" s="66" t="s">
        <v>777</v>
      </c>
      <c r="H163" s="66" t="s">
        <v>745</v>
      </c>
      <c r="I163" s="66" t="s">
        <v>230</v>
      </c>
      <c r="J163" s="66" t="s">
        <v>364</v>
      </c>
      <c r="K163" s="66" t="s">
        <v>747</v>
      </c>
      <c r="L163" s="67">
        <v>9027778</v>
      </c>
      <c r="M163" s="67">
        <v>0</v>
      </c>
      <c r="N163" s="68">
        <f t="shared" si="12"/>
        <v>9027778</v>
      </c>
      <c r="O163" s="69">
        <f t="shared" si="11"/>
        <v>9027778</v>
      </c>
      <c r="P163" s="42" t="str">
        <f>IFERROR(VLOOKUP(J163,'Mã NV'!$B:$C,2,0),"")</f>
        <v>XE01690</v>
      </c>
      <c r="Q163" s="70" t="str">
        <f>IFERROR(VLOOKUP(I163,'Mã NV'!$J:$K,2,0),"")</f>
        <v>15T</v>
      </c>
      <c r="R163" s="39"/>
      <c r="S163" s="44"/>
      <c r="T163" s="45"/>
    </row>
    <row r="164" ht="33.6" customHeight="1" spans="1:20">
      <c r="A164" s="63">
        <f t="shared" si="10"/>
        <v>161</v>
      </c>
      <c r="B164" s="64">
        <v>46155</v>
      </c>
      <c r="C164" s="65"/>
      <c r="D164" s="66" t="s">
        <v>21</v>
      </c>
      <c r="E164" s="66" t="s">
        <v>21</v>
      </c>
      <c r="F164" s="66" t="s">
        <v>744</v>
      </c>
      <c r="G164" s="66" t="s">
        <v>750</v>
      </c>
      <c r="H164" s="66" t="s">
        <v>791</v>
      </c>
      <c r="I164" s="66" t="s">
        <v>211</v>
      </c>
      <c r="J164" s="66" t="s">
        <v>209</v>
      </c>
      <c r="K164" s="66" t="s">
        <v>747</v>
      </c>
      <c r="L164" s="67">
        <v>13500000</v>
      </c>
      <c r="M164" s="67">
        <v>0</v>
      </c>
      <c r="N164" s="68">
        <f t="shared" si="12"/>
        <v>13500000</v>
      </c>
      <c r="O164" s="69">
        <f t="shared" si="11"/>
        <v>13500000</v>
      </c>
      <c r="P164" s="42" t="str">
        <f>IFERROR(VLOOKUP(J164,'Mã NV'!$B:$C,2,0),"")</f>
        <v>XE01098</v>
      </c>
      <c r="Q164" s="70" t="str">
        <f>IFERROR(VLOOKUP(I164,'Mã NV'!$J:$K,2,0),"")</f>
        <v>7.1t</v>
      </c>
      <c r="R164" s="75"/>
      <c r="S164" s="76"/>
    </row>
    <row r="165" ht="33.6" customHeight="1" spans="1:20">
      <c r="A165" s="63">
        <f t="shared" si="10"/>
        <v>162</v>
      </c>
      <c r="B165" s="64">
        <v>46155</v>
      </c>
      <c r="C165" s="65"/>
      <c r="D165" s="66" t="s">
        <v>21</v>
      </c>
      <c r="E165" s="66" t="s">
        <v>21</v>
      </c>
      <c r="F165" s="66" t="s">
        <v>744</v>
      </c>
      <c r="G165" s="66" t="s">
        <v>750</v>
      </c>
      <c r="H165" s="66" t="s">
        <v>791</v>
      </c>
      <c r="I165" s="66" t="s">
        <v>211</v>
      </c>
      <c r="J165" s="66" t="s">
        <v>316</v>
      </c>
      <c r="K165" s="66" t="s">
        <v>747</v>
      </c>
      <c r="L165" s="67">
        <v>13500000</v>
      </c>
      <c r="M165" s="67">
        <v>0</v>
      </c>
      <c r="N165" s="68">
        <f t="shared" si="12"/>
        <v>13500000</v>
      </c>
      <c r="O165" s="69">
        <f t="shared" si="11"/>
        <v>13500000</v>
      </c>
      <c r="P165" s="42" t="str">
        <f>IFERROR(VLOOKUP(J165,'Mã NV'!$B:$C,2,0),"")</f>
        <v>XE01600</v>
      </c>
      <c r="Q165" s="70" t="str">
        <f>IFERROR(VLOOKUP(I165,'Mã NV'!$J:$K,2,0),"")</f>
        <v>7.1t</v>
      </c>
    </row>
    <row r="166" ht="33.6" customHeight="1" spans="1:20">
      <c r="A166" s="63">
        <f t="shared" si="10"/>
        <v>163</v>
      </c>
      <c r="B166" s="64">
        <v>46155</v>
      </c>
      <c r="C166" s="65"/>
      <c r="D166" s="66" t="s">
        <v>21</v>
      </c>
      <c r="E166" s="66" t="s">
        <v>21</v>
      </c>
      <c r="F166" s="66" t="s">
        <v>744</v>
      </c>
      <c r="G166" s="66" t="s">
        <v>750</v>
      </c>
      <c r="H166" s="66" t="s">
        <v>755</v>
      </c>
      <c r="I166" s="66" t="s">
        <v>276</v>
      </c>
      <c r="J166" s="66" t="s">
        <v>273</v>
      </c>
      <c r="K166" s="66" t="s">
        <v>747</v>
      </c>
      <c r="L166" s="67">
        <v>10592592.5</v>
      </c>
      <c r="M166" s="67">
        <v>0</v>
      </c>
      <c r="N166" s="68">
        <f t="shared" si="12"/>
        <v>10592592.5</v>
      </c>
      <c r="O166" s="69">
        <f t="shared" si="11"/>
        <v>10592592.5</v>
      </c>
      <c r="P166" s="42" t="str">
        <f>IFERROR(VLOOKUP(J166,'Mã NV'!$B:$C,2,0),"")</f>
        <v>XE01527</v>
      </c>
      <c r="Q166" s="70" t="str">
        <f>IFERROR(VLOOKUP(I166,'Mã NV'!$J:$K,2,0),"")</f>
        <v>8T</v>
      </c>
    </row>
    <row r="167" ht="33.6" customHeight="1" spans="1:20">
      <c r="A167" s="63">
        <f t="shared" si="10"/>
        <v>164</v>
      </c>
      <c r="B167" s="64">
        <v>46155</v>
      </c>
      <c r="C167" s="65"/>
      <c r="D167" s="66" t="s">
        <v>21</v>
      </c>
      <c r="E167" s="66" t="s">
        <v>21</v>
      </c>
      <c r="F167" s="66" t="s">
        <v>744</v>
      </c>
      <c r="G167" s="66" t="s">
        <v>750</v>
      </c>
      <c r="H167" s="66" t="s">
        <v>755</v>
      </c>
      <c r="I167" s="66" t="s">
        <v>276</v>
      </c>
      <c r="J167" s="66" t="s">
        <v>303</v>
      </c>
      <c r="K167" s="66" t="s">
        <v>747</v>
      </c>
      <c r="L167" s="67">
        <v>10592592.5</v>
      </c>
      <c r="M167" s="67">
        <v>0</v>
      </c>
      <c r="N167" s="68">
        <f t="shared" si="12"/>
        <v>10592592.5</v>
      </c>
      <c r="O167" s="69">
        <f t="shared" si="11"/>
        <v>10592592.5</v>
      </c>
      <c r="P167" s="42" t="str">
        <f>IFERROR(VLOOKUP(J167,'Mã NV'!$B:$C,2,0),"")</f>
        <v>XE01574</v>
      </c>
      <c r="Q167" s="70" t="str">
        <f>IFERROR(VLOOKUP(I167,'Mã NV'!$J:$K,2,0),"")</f>
        <v>8T</v>
      </c>
    </row>
    <row r="168" ht="33.6" customHeight="1" spans="1:20">
      <c r="A168" s="63">
        <f t="shared" si="10"/>
        <v>165</v>
      </c>
      <c r="B168" s="64">
        <v>46156</v>
      </c>
      <c r="C168" s="65"/>
      <c r="D168" s="66" t="s">
        <v>21</v>
      </c>
      <c r="E168" s="66" t="s">
        <v>21</v>
      </c>
      <c r="F168" s="66" t="s">
        <v>744</v>
      </c>
      <c r="G168" s="66" t="s">
        <v>777</v>
      </c>
      <c r="H168" s="66" t="s">
        <v>745</v>
      </c>
      <c r="I168" s="66" t="s">
        <v>141</v>
      </c>
      <c r="J168" s="66" t="s">
        <v>145</v>
      </c>
      <c r="K168" s="66" t="s">
        <v>747</v>
      </c>
      <c r="L168" s="67">
        <v>9750000</v>
      </c>
      <c r="M168" s="67">
        <v>0</v>
      </c>
      <c r="N168" s="68">
        <f t="shared" si="12"/>
        <v>9750000</v>
      </c>
      <c r="O168" s="69">
        <f t="shared" si="11"/>
        <v>9750000</v>
      </c>
      <c r="P168" s="42" t="str">
        <f>IFERROR(VLOOKUP(J168,'Mã NV'!$B:$C,2,0),"")</f>
        <v>XE01326</v>
      </c>
      <c r="Q168" s="70" t="str">
        <f>IFERROR(VLOOKUP(I168,'Mã NV'!$J:$K,2,0),"")</f>
        <v>7.1t</v>
      </c>
    </row>
    <row r="169" ht="33.6" customHeight="1" spans="1:20">
      <c r="A169" s="63">
        <f t="shared" si="10"/>
        <v>166</v>
      </c>
      <c r="B169" s="64">
        <v>46156</v>
      </c>
      <c r="C169" s="65"/>
      <c r="D169" s="66" t="s">
        <v>21</v>
      </c>
      <c r="E169" s="66" t="s">
        <v>21</v>
      </c>
      <c r="F169" s="66" t="s">
        <v>744</v>
      </c>
      <c r="G169" s="66" t="s">
        <v>777</v>
      </c>
      <c r="H169" s="66" t="s">
        <v>745</v>
      </c>
      <c r="I169" s="66" t="s">
        <v>141</v>
      </c>
      <c r="J169" s="66" t="s">
        <v>139</v>
      </c>
      <c r="K169" s="66" t="s">
        <v>747</v>
      </c>
      <c r="L169" s="67">
        <v>9750000</v>
      </c>
      <c r="M169" s="67">
        <v>0</v>
      </c>
      <c r="N169" s="68">
        <f t="shared" si="12"/>
        <v>9750000</v>
      </c>
      <c r="O169" s="69">
        <f t="shared" si="11"/>
        <v>9750000</v>
      </c>
      <c r="P169" s="42" t="str">
        <f>IFERROR(VLOOKUP(J169,'Mã NV'!$B:$C,2,0),"")</f>
        <v>XE01325</v>
      </c>
      <c r="Q169" s="70" t="str">
        <f>IFERROR(VLOOKUP(I169,'Mã NV'!$J:$K,2,0),"")</f>
        <v>7.1t</v>
      </c>
    </row>
    <row r="170" ht="33.6" customHeight="1" spans="1:20">
      <c r="A170" s="63">
        <f t="shared" si="10"/>
        <v>167</v>
      </c>
      <c r="B170" s="64">
        <v>46156</v>
      </c>
      <c r="C170" s="65"/>
      <c r="D170" s="66" t="s">
        <v>21</v>
      </c>
      <c r="E170" s="66" t="s">
        <v>21</v>
      </c>
      <c r="F170" s="66" t="s">
        <v>744</v>
      </c>
      <c r="G170" s="66" t="s">
        <v>750</v>
      </c>
      <c r="H170" s="66" t="s">
        <v>755</v>
      </c>
      <c r="I170" s="66" t="s">
        <v>149</v>
      </c>
      <c r="J170" s="66" t="s">
        <v>147</v>
      </c>
      <c r="K170" s="66" t="s">
        <v>747</v>
      </c>
      <c r="L170" s="67">
        <v>10592592.5</v>
      </c>
      <c r="M170" s="67">
        <v>0</v>
      </c>
      <c r="N170" s="68">
        <f t="shared" si="12"/>
        <v>10592592.5</v>
      </c>
      <c r="O170" s="69">
        <f t="shared" si="11"/>
        <v>10592592.5</v>
      </c>
      <c r="P170" s="42" t="str">
        <f>IFERROR(VLOOKUP(J170,'Mã NV'!$B:$C,2,0),"")</f>
        <v>XE01304</v>
      </c>
      <c r="Q170" s="70" t="str">
        <f>IFERROR(VLOOKUP(I170,'Mã NV'!$J:$K,2,0),"")</f>
        <v>8T</v>
      </c>
    </row>
    <row r="171" ht="33.6" customHeight="1" spans="1:20">
      <c r="A171" s="63">
        <f t="shared" si="10"/>
        <v>168</v>
      </c>
      <c r="B171" s="64">
        <v>46156</v>
      </c>
      <c r="C171" s="65"/>
      <c r="D171" s="66" t="s">
        <v>21</v>
      </c>
      <c r="E171" s="66" t="s">
        <v>21</v>
      </c>
      <c r="F171" s="66" t="s">
        <v>744</v>
      </c>
      <c r="G171" s="66" t="s">
        <v>750</v>
      </c>
      <c r="H171" s="66" t="s">
        <v>755</v>
      </c>
      <c r="I171" s="66" t="s">
        <v>149</v>
      </c>
      <c r="J171" s="66" t="s">
        <v>235</v>
      </c>
      <c r="K171" s="66" t="s">
        <v>747</v>
      </c>
      <c r="L171" s="67">
        <v>10592592.5</v>
      </c>
      <c r="M171" s="67">
        <v>0</v>
      </c>
      <c r="N171" s="68">
        <f t="shared" si="12"/>
        <v>10592592.5</v>
      </c>
      <c r="O171" s="69">
        <f t="shared" si="11"/>
        <v>10592592.5</v>
      </c>
      <c r="P171" s="42" t="str">
        <f>IFERROR(VLOOKUP(J171,'Mã NV'!$B:$C,2,0),"")</f>
        <v>XE01305</v>
      </c>
      <c r="Q171" s="70" t="str">
        <f>IFERROR(VLOOKUP(I171,'Mã NV'!$J:$K,2,0),"")</f>
        <v>8T</v>
      </c>
    </row>
    <row r="172" ht="33.6" customHeight="1" spans="1:20">
      <c r="A172" s="63">
        <f t="shared" si="10"/>
        <v>169</v>
      </c>
      <c r="B172" s="64">
        <v>46156</v>
      </c>
      <c r="C172" s="65"/>
      <c r="D172" s="66" t="s">
        <v>21</v>
      </c>
      <c r="E172" s="66" t="s">
        <v>21</v>
      </c>
      <c r="F172" s="66" t="s">
        <v>744</v>
      </c>
      <c r="G172" s="66" t="s">
        <v>783</v>
      </c>
      <c r="H172" s="66" t="s">
        <v>759</v>
      </c>
      <c r="I172" s="66" t="s">
        <v>300</v>
      </c>
      <c r="J172" s="66" t="s">
        <v>298</v>
      </c>
      <c r="K172" s="66" t="s">
        <v>747</v>
      </c>
      <c r="L172" s="67">
        <v>2750000</v>
      </c>
      <c r="M172" s="67">
        <v>0</v>
      </c>
      <c r="N172" s="68">
        <f t="shared" si="12"/>
        <v>2750000</v>
      </c>
      <c r="O172" s="69">
        <f t="shared" si="11"/>
        <v>2750000</v>
      </c>
      <c r="P172" s="42" t="str">
        <f>IFERROR(VLOOKUP(J172,'Mã NV'!$B:$C,2,0),"")</f>
        <v>XE01590</v>
      </c>
      <c r="Q172" s="70" t="str">
        <f>IFERROR(VLOOKUP(I172,'Mã NV'!$J:$K,2,0),"")</f>
        <v>8T</v>
      </c>
    </row>
    <row r="173" ht="33.6" customHeight="1" spans="1:20">
      <c r="A173" s="63">
        <f t="shared" si="10"/>
        <v>170</v>
      </c>
      <c r="B173" s="64">
        <v>46156</v>
      </c>
      <c r="C173" s="65"/>
      <c r="D173" s="66" t="s">
        <v>21</v>
      </c>
      <c r="E173" s="66" t="s">
        <v>21</v>
      </c>
      <c r="F173" s="66" t="s">
        <v>744</v>
      </c>
      <c r="G173" s="66" t="s">
        <v>783</v>
      </c>
      <c r="H173" s="66" t="s">
        <v>759</v>
      </c>
      <c r="I173" s="66" t="s">
        <v>300</v>
      </c>
      <c r="J173" s="66" t="s">
        <v>301</v>
      </c>
      <c r="K173" s="66" t="s">
        <v>747</v>
      </c>
      <c r="L173" s="67">
        <v>2750000</v>
      </c>
      <c r="M173" s="67">
        <v>0</v>
      </c>
      <c r="N173" s="68">
        <f t="shared" si="12"/>
        <v>2750000</v>
      </c>
      <c r="O173" s="69">
        <f t="shared" si="11"/>
        <v>2750000</v>
      </c>
      <c r="P173" s="42" t="str">
        <f>IFERROR(VLOOKUP(J173,'Mã NV'!$B:$C,2,0),"")</f>
        <v>XE01591</v>
      </c>
      <c r="Q173" s="70" t="str">
        <f>IFERROR(VLOOKUP(I173,'Mã NV'!$J:$K,2,0),"")</f>
        <v>8T</v>
      </c>
    </row>
    <row r="174" ht="33.6" customHeight="1" spans="1:20">
      <c r="A174" s="63">
        <f t="shared" si="10"/>
        <v>171</v>
      </c>
      <c r="B174" s="64">
        <v>46157</v>
      </c>
      <c r="C174" s="65"/>
      <c r="D174" s="66" t="s">
        <v>21</v>
      </c>
      <c r="E174" s="66" t="s">
        <v>21</v>
      </c>
      <c r="F174" s="66" t="s">
        <v>744</v>
      </c>
      <c r="G174" s="66" t="s">
        <v>777</v>
      </c>
      <c r="H174" s="66" t="s">
        <v>745</v>
      </c>
      <c r="I174" s="66" t="s">
        <v>91</v>
      </c>
      <c r="J174" s="66" t="s">
        <v>89</v>
      </c>
      <c r="K174" s="66" t="s">
        <v>747</v>
      </c>
      <c r="L174" s="67">
        <v>9750000</v>
      </c>
      <c r="M174" s="67">
        <v>0</v>
      </c>
      <c r="N174" s="68">
        <f t="shared" si="12"/>
        <v>9750000</v>
      </c>
      <c r="O174" s="69">
        <f t="shared" si="11"/>
        <v>9750000</v>
      </c>
      <c r="P174" s="42" t="str">
        <f>IFERROR(VLOOKUP(J174,'Mã NV'!$B:$C,2,0),"")</f>
        <v>XE00873</v>
      </c>
      <c r="Q174" s="70" t="str">
        <f>IFERROR(VLOOKUP(I174,'Mã NV'!$J:$K,2,0),"")</f>
        <v>15T</v>
      </c>
    </row>
    <row r="175" ht="33.6" customHeight="1" spans="1:20">
      <c r="A175" s="63">
        <f t="shared" si="10"/>
        <v>172</v>
      </c>
      <c r="B175" s="64">
        <v>46157</v>
      </c>
      <c r="C175" s="65"/>
      <c r="D175" s="66" t="s">
        <v>21</v>
      </c>
      <c r="E175" s="66" t="s">
        <v>21</v>
      </c>
      <c r="F175" s="66" t="s">
        <v>744</v>
      </c>
      <c r="G175" s="66" t="s">
        <v>777</v>
      </c>
      <c r="H175" s="66" t="s">
        <v>745</v>
      </c>
      <c r="I175" s="66" t="s">
        <v>91</v>
      </c>
      <c r="J175" s="66" t="s">
        <v>349</v>
      </c>
      <c r="K175" s="66" t="s">
        <v>747</v>
      </c>
      <c r="L175" s="67">
        <v>9750000</v>
      </c>
      <c r="M175" s="67">
        <v>0</v>
      </c>
      <c r="N175" s="68">
        <f t="shared" si="12"/>
        <v>9750000</v>
      </c>
      <c r="O175" s="69">
        <f t="shared" si="11"/>
        <v>9750000</v>
      </c>
      <c r="P175" s="42" t="str">
        <f>IFERROR(VLOOKUP(J175,'Mã NV'!$B:$C,2,0),"")</f>
        <v>XE01672</v>
      </c>
      <c r="Q175" s="70" t="str">
        <f>IFERROR(VLOOKUP(I175,'Mã NV'!$J:$K,2,0),"")</f>
        <v>15T</v>
      </c>
    </row>
    <row r="176" ht="33.6" customHeight="1" spans="1:20">
      <c r="A176" s="63">
        <f t="shared" si="10"/>
        <v>173</v>
      </c>
      <c r="B176" s="64">
        <v>46157</v>
      </c>
      <c r="C176" s="65"/>
      <c r="D176" s="66" t="s">
        <v>21</v>
      </c>
      <c r="E176" s="66" t="s">
        <v>21</v>
      </c>
      <c r="F176" s="66" t="s">
        <v>744</v>
      </c>
      <c r="G176" s="66" t="s">
        <v>750</v>
      </c>
      <c r="H176" s="66" t="s">
        <v>755</v>
      </c>
      <c r="I176" s="66" t="s">
        <v>290</v>
      </c>
      <c r="J176" s="66" t="s">
        <v>288</v>
      </c>
      <c r="K176" s="66" t="s">
        <v>747</v>
      </c>
      <c r="L176" s="67">
        <v>11000000</v>
      </c>
      <c r="M176" s="67">
        <v>0</v>
      </c>
      <c r="N176" s="68">
        <f t="shared" si="12"/>
        <v>11000000</v>
      </c>
      <c r="O176" s="69">
        <f t="shared" si="11"/>
        <v>11000000</v>
      </c>
      <c r="P176" s="42" t="str">
        <f>IFERROR(VLOOKUP(J176,'Mã NV'!$B:$C,2,0),"")</f>
        <v>XE01563</v>
      </c>
      <c r="Q176" s="70" t="str">
        <f>IFERROR(VLOOKUP(I176,'Mã NV'!$J:$K,2,0),"")</f>
        <v>8T</v>
      </c>
    </row>
    <row r="177" ht="33.6" customHeight="1" spans="1:17">
      <c r="A177" s="63">
        <f t="shared" si="10"/>
        <v>174</v>
      </c>
      <c r="B177" s="64">
        <v>46157</v>
      </c>
      <c r="C177" s="65"/>
      <c r="D177" s="66" t="s">
        <v>21</v>
      </c>
      <c r="E177" s="66" t="s">
        <v>21</v>
      </c>
      <c r="F177" s="66" t="s">
        <v>744</v>
      </c>
      <c r="G177" s="66" t="s">
        <v>750</v>
      </c>
      <c r="H177" s="66" t="s">
        <v>755</v>
      </c>
      <c r="I177" s="66" t="s">
        <v>290</v>
      </c>
      <c r="J177" s="66" t="s">
        <v>329</v>
      </c>
      <c r="K177" s="66" t="s">
        <v>747</v>
      </c>
      <c r="L177" s="67">
        <v>11000000</v>
      </c>
      <c r="M177" s="67">
        <v>0</v>
      </c>
      <c r="N177" s="68">
        <f t="shared" si="12"/>
        <v>11000000</v>
      </c>
      <c r="O177" s="69">
        <f t="shared" si="11"/>
        <v>11000000</v>
      </c>
      <c r="P177" s="42" t="str">
        <f>IFERROR(VLOOKUP(J177,'Mã NV'!$B:$C,2,0),"")</f>
        <v>XE01609</v>
      </c>
      <c r="Q177" s="70" t="str">
        <f>IFERROR(VLOOKUP(I177,'Mã NV'!$J:$K,2,0),"")</f>
        <v>8T</v>
      </c>
    </row>
    <row r="178" ht="33.6" customHeight="1" spans="1:17">
      <c r="A178" s="63">
        <f t="shared" si="10"/>
        <v>175</v>
      </c>
      <c r="B178" s="64">
        <v>46158</v>
      </c>
      <c r="C178" s="65"/>
      <c r="D178" s="66" t="s">
        <v>21</v>
      </c>
      <c r="E178" s="66" t="s">
        <v>21</v>
      </c>
      <c r="F178" s="66" t="s">
        <v>744</v>
      </c>
      <c r="G178" s="66" t="s">
        <v>750</v>
      </c>
      <c r="H178" s="66" t="s">
        <v>755</v>
      </c>
      <c r="I178" s="66" t="s">
        <v>87</v>
      </c>
      <c r="J178" s="66" t="s">
        <v>85</v>
      </c>
      <c r="K178" s="66" t="s">
        <v>747</v>
      </c>
      <c r="L178" s="67">
        <v>11000000</v>
      </c>
      <c r="M178" s="67">
        <v>0</v>
      </c>
      <c r="N178" s="68">
        <f t="shared" si="12"/>
        <v>11000000</v>
      </c>
      <c r="O178" s="69">
        <f t="shared" si="11"/>
        <v>11000000</v>
      </c>
      <c r="P178" s="42" t="str">
        <f>IFERROR(VLOOKUP(J178,'Mã NV'!$B:$C,2,0),"")</f>
        <v>XE01456</v>
      </c>
      <c r="Q178" s="70" t="str">
        <f>IFERROR(VLOOKUP(I178,'Mã NV'!$J:$K,2,0),"")</f>
        <v>8T</v>
      </c>
    </row>
    <row r="179" ht="33.6" customHeight="1" spans="1:17">
      <c r="A179" s="63">
        <f t="shared" si="10"/>
        <v>176</v>
      </c>
      <c r="B179" s="64">
        <v>46158</v>
      </c>
      <c r="C179" s="65"/>
      <c r="D179" s="66" t="s">
        <v>21</v>
      </c>
      <c r="E179" s="66" t="s">
        <v>21</v>
      </c>
      <c r="F179" s="66" t="s">
        <v>744</v>
      </c>
      <c r="G179" s="66" t="s">
        <v>750</v>
      </c>
      <c r="H179" s="66" t="s">
        <v>755</v>
      </c>
      <c r="I179" s="66" t="s">
        <v>87</v>
      </c>
      <c r="J179" s="66" t="s">
        <v>305</v>
      </c>
      <c r="K179" s="66" t="s">
        <v>747</v>
      </c>
      <c r="L179" s="67">
        <v>11000000</v>
      </c>
      <c r="M179" s="67">
        <v>0</v>
      </c>
      <c r="N179" s="68">
        <f t="shared" si="12"/>
        <v>11000000</v>
      </c>
      <c r="O179" s="69">
        <f t="shared" si="11"/>
        <v>11000000</v>
      </c>
      <c r="P179" s="42" t="str">
        <f>IFERROR(VLOOKUP(J179,'Mã NV'!$B:$C,2,0),"")</f>
        <v>XE01599</v>
      </c>
      <c r="Q179" s="70" t="str">
        <f>IFERROR(VLOOKUP(I179,'Mã NV'!$J:$K,2,0),"")</f>
        <v>8T</v>
      </c>
    </row>
    <row r="180" ht="33.6" customHeight="1" spans="1:17">
      <c r="A180" s="63">
        <f t="shared" si="10"/>
        <v>177</v>
      </c>
      <c r="B180" s="64">
        <v>46159</v>
      </c>
      <c r="C180" s="65"/>
      <c r="D180" s="66" t="s">
        <v>21</v>
      </c>
      <c r="E180" s="66" t="s">
        <v>21</v>
      </c>
      <c r="F180" s="66" t="s">
        <v>744</v>
      </c>
      <c r="G180" s="66" t="s">
        <v>750</v>
      </c>
      <c r="H180" s="66" t="s">
        <v>755</v>
      </c>
      <c r="I180" s="66" t="s">
        <v>42</v>
      </c>
      <c r="J180" s="66" t="s">
        <v>40</v>
      </c>
      <c r="K180" s="66" t="s">
        <v>747</v>
      </c>
      <c r="L180" s="67">
        <v>11000000</v>
      </c>
      <c r="M180" s="67">
        <v>0</v>
      </c>
      <c r="N180" s="68">
        <f t="shared" si="12"/>
        <v>11000000</v>
      </c>
      <c r="O180" s="69">
        <f t="shared" si="11"/>
        <v>11000000</v>
      </c>
      <c r="P180" s="42" t="str">
        <f>IFERROR(VLOOKUP(J180,'Mã NV'!$B:$C,2,0),"")</f>
        <v>XE01417</v>
      </c>
      <c r="Q180" s="70" t="str">
        <f>IFERROR(VLOOKUP(I180,'Mã NV'!$J:$K,2,0),"")</f>
        <v>7.1t</v>
      </c>
    </row>
    <row r="181" ht="33.6" customHeight="1" spans="1:17">
      <c r="A181" s="63">
        <f t="shared" si="10"/>
        <v>178</v>
      </c>
      <c r="B181" s="64">
        <v>46159</v>
      </c>
      <c r="C181" s="65"/>
      <c r="D181" s="66" t="s">
        <v>21</v>
      </c>
      <c r="E181" s="66" t="s">
        <v>21</v>
      </c>
      <c r="F181" s="66" t="s">
        <v>744</v>
      </c>
      <c r="G181" s="66" t="s">
        <v>750</v>
      </c>
      <c r="H181" s="66" t="s">
        <v>755</v>
      </c>
      <c r="I181" s="66" t="s">
        <v>42</v>
      </c>
      <c r="J181" s="66" t="s">
        <v>333</v>
      </c>
      <c r="K181" s="66" t="s">
        <v>747</v>
      </c>
      <c r="L181" s="67">
        <v>11000000</v>
      </c>
      <c r="M181" s="67">
        <v>0</v>
      </c>
      <c r="N181" s="68">
        <f t="shared" si="12"/>
        <v>11000000</v>
      </c>
      <c r="O181" s="69">
        <f t="shared" si="11"/>
        <v>11000000</v>
      </c>
      <c r="P181" s="42" t="str">
        <f>IFERROR(VLOOKUP(J181,'Mã NV'!$B:$C,2,0),"")</f>
        <v>XE01671</v>
      </c>
      <c r="Q181" s="70" t="str">
        <f>IFERROR(VLOOKUP(I181,'Mã NV'!$J:$K,2,0),"")</f>
        <v>7.1t</v>
      </c>
    </row>
    <row r="182" ht="33.6" customHeight="1" spans="1:17">
      <c r="A182" s="63">
        <f t="shared" si="10"/>
        <v>179</v>
      </c>
      <c r="B182" s="64">
        <v>46159</v>
      </c>
      <c r="C182" s="65"/>
      <c r="D182" s="66" t="s">
        <v>21</v>
      </c>
      <c r="E182" s="66" t="s">
        <v>21</v>
      </c>
      <c r="F182" s="66" t="s">
        <v>744</v>
      </c>
      <c r="G182" s="66" t="s">
        <v>777</v>
      </c>
      <c r="H182" s="66" t="s">
        <v>745</v>
      </c>
      <c r="I182" s="66" t="s">
        <v>103</v>
      </c>
      <c r="J182" s="66" t="s">
        <v>172</v>
      </c>
      <c r="K182" s="66" t="s">
        <v>747</v>
      </c>
      <c r="L182" s="67">
        <v>9750000</v>
      </c>
      <c r="M182" s="67">
        <v>0</v>
      </c>
      <c r="N182" s="68">
        <f t="shared" si="12"/>
        <v>9750000</v>
      </c>
      <c r="O182" s="69">
        <f t="shared" si="11"/>
        <v>9750000</v>
      </c>
      <c r="P182" s="42" t="str">
        <f>IFERROR(VLOOKUP(J182,'Mã NV'!$B:$C,2,0),"")</f>
        <v>XE01433</v>
      </c>
      <c r="Q182" s="70" t="str">
        <f>IFERROR(VLOOKUP(I182,'Mã NV'!$J:$K,2,0),"")</f>
        <v>7.1t</v>
      </c>
    </row>
    <row r="183" ht="33.6" customHeight="1" spans="1:17">
      <c r="A183" s="63">
        <f t="shared" si="10"/>
        <v>180</v>
      </c>
      <c r="B183" s="64">
        <v>46159</v>
      </c>
      <c r="C183" s="65"/>
      <c r="D183" s="66" t="s">
        <v>21</v>
      </c>
      <c r="E183" s="66" t="s">
        <v>21</v>
      </c>
      <c r="F183" s="66" t="s">
        <v>744</v>
      </c>
      <c r="G183" s="66" t="s">
        <v>777</v>
      </c>
      <c r="H183" s="66" t="s">
        <v>745</v>
      </c>
      <c r="I183" s="66" t="s">
        <v>103</v>
      </c>
      <c r="J183" s="66" t="s">
        <v>181</v>
      </c>
      <c r="K183" s="66" t="s">
        <v>747</v>
      </c>
      <c r="L183" s="67">
        <v>9750000</v>
      </c>
      <c r="M183" s="67">
        <v>0</v>
      </c>
      <c r="N183" s="68">
        <f t="shared" si="12"/>
        <v>9750000</v>
      </c>
      <c r="O183" s="69">
        <f t="shared" si="11"/>
        <v>9750000</v>
      </c>
      <c r="P183" s="42" t="str">
        <f>IFERROR(VLOOKUP(J183,'Mã NV'!$B:$C,2,0),"")</f>
        <v>XE01281</v>
      </c>
      <c r="Q183" s="70" t="str">
        <f>IFERROR(VLOOKUP(I183,'Mã NV'!$J:$K,2,0),"")</f>
        <v>7.1t</v>
      </c>
    </row>
    <row r="184" ht="33.6" customHeight="1" spans="1:17">
      <c r="A184" s="63">
        <f t="shared" si="10"/>
        <v>181</v>
      </c>
      <c r="B184" s="64">
        <v>46160</v>
      </c>
      <c r="C184" s="65"/>
      <c r="D184" s="66" t="s">
        <v>21</v>
      </c>
      <c r="E184" s="66" t="s">
        <v>21</v>
      </c>
      <c r="F184" s="66" t="s">
        <v>744</v>
      </c>
      <c r="G184" s="66" t="s">
        <v>767</v>
      </c>
      <c r="H184" s="66" t="s">
        <v>770</v>
      </c>
      <c r="I184" s="66" t="s">
        <v>17</v>
      </c>
      <c r="J184" s="66" t="s">
        <v>15</v>
      </c>
      <c r="K184" s="66" t="s">
        <v>747</v>
      </c>
      <c r="L184" s="67">
        <v>12000000</v>
      </c>
      <c r="M184" s="67">
        <v>0</v>
      </c>
      <c r="N184" s="68">
        <f t="shared" si="12"/>
        <v>12000000</v>
      </c>
      <c r="O184" s="69">
        <f t="shared" si="11"/>
        <v>12000000</v>
      </c>
      <c r="P184" s="42" t="str">
        <f>IFERROR(VLOOKUP(J184,'Mã NV'!$B:$C,2,0),"")</f>
        <v>XE01331</v>
      </c>
      <c r="Q184" s="70" t="str">
        <f>IFERROR(VLOOKUP(I184,'Mã NV'!$J:$K,2,0),"")</f>
        <v>15T</v>
      </c>
    </row>
    <row r="185" ht="33.6" customHeight="1" spans="1:17">
      <c r="A185" s="63">
        <f t="shared" si="10"/>
        <v>182</v>
      </c>
      <c r="B185" s="64">
        <v>46160</v>
      </c>
      <c r="C185" s="65"/>
      <c r="D185" s="66" t="s">
        <v>21</v>
      </c>
      <c r="E185" s="66" t="s">
        <v>21</v>
      </c>
      <c r="F185" s="66" t="s">
        <v>744</v>
      </c>
      <c r="G185" s="66" t="s">
        <v>767</v>
      </c>
      <c r="H185" s="66" t="s">
        <v>770</v>
      </c>
      <c r="I185" s="66" t="s">
        <v>17</v>
      </c>
      <c r="J185" s="66" t="s">
        <v>341</v>
      </c>
      <c r="K185" s="66" t="s">
        <v>747</v>
      </c>
      <c r="L185" s="67">
        <v>12000000</v>
      </c>
      <c r="M185" s="67">
        <v>0</v>
      </c>
      <c r="N185" s="68">
        <f t="shared" si="12"/>
        <v>12000000</v>
      </c>
      <c r="O185" s="69">
        <f t="shared" si="11"/>
        <v>12000000</v>
      </c>
      <c r="P185" s="42" t="str">
        <f>IFERROR(VLOOKUP(J185,'Mã NV'!$B:$C,2,0),"")</f>
        <v>XE01645</v>
      </c>
      <c r="Q185" s="70" t="str">
        <f>IFERROR(VLOOKUP(I185,'Mã NV'!$J:$K,2,0),"")</f>
        <v>15T</v>
      </c>
    </row>
    <row r="186" ht="33.6" customHeight="1" spans="1:17">
      <c r="A186" s="63">
        <f t="shared" si="10"/>
        <v>183</v>
      </c>
      <c r="B186" s="64">
        <v>46160</v>
      </c>
      <c r="C186" s="65"/>
      <c r="D186" s="66" t="s">
        <v>21</v>
      </c>
      <c r="E186" s="66" t="s">
        <v>21</v>
      </c>
      <c r="F186" s="66" t="s">
        <v>744</v>
      </c>
      <c r="G186" s="66" t="s">
        <v>777</v>
      </c>
      <c r="H186" s="66" t="s">
        <v>745</v>
      </c>
      <c r="I186" s="66" t="s">
        <v>266</v>
      </c>
      <c r="J186" s="66" t="s">
        <v>264</v>
      </c>
      <c r="K186" s="66" t="s">
        <v>747</v>
      </c>
      <c r="L186" s="67">
        <v>9750000</v>
      </c>
      <c r="M186" s="67">
        <v>0</v>
      </c>
      <c r="N186" s="68">
        <f t="shared" si="12"/>
        <v>9750000</v>
      </c>
      <c r="O186" s="69">
        <f t="shared" si="11"/>
        <v>9750000</v>
      </c>
      <c r="P186" s="42" t="str">
        <f>IFERROR(VLOOKUP(J186,'Mã NV'!$B:$C,2,0),"")</f>
        <v>XE01678</v>
      </c>
      <c r="Q186" s="70" t="str">
        <f>IFERROR(VLOOKUP(I186,'Mã NV'!$J:$K,2,0),"")</f>
        <v>7.1t</v>
      </c>
    </row>
    <row r="187" ht="33.6" customHeight="1" spans="1:17">
      <c r="A187" s="63">
        <f t="shared" si="10"/>
        <v>184</v>
      </c>
      <c r="B187" s="64">
        <v>46160</v>
      </c>
      <c r="C187" s="65"/>
      <c r="D187" s="66" t="s">
        <v>21</v>
      </c>
      <c r="E187" s="66" t="s">
        <v>21</v>
      </c>
      <c r="F187" s="66" t="s">
        <v>744</v>
      </c>
      <c r="G187" s="66" t="s">
        <v>777</v>
      </c>
      <c r="H187" s="66" t="s">
        <v>745</v>
      </c>
      <c r="I187" s="66" t="s">
        <v>266</v>
      </c>
      <c r="J187" s="66" t="s">
        <v>399</v>
      </c>
      <c r="K187" s="66" t="s">
        <v>747</v>
      </c>
      <c r="L187" s="67">
        <v>9750000</v>
      </c>
      <c r="M187" s="67">
        <v>0</v>
      </c>
      <c r="N187" s="68">
        <f t="shared" si="12"/>
        <v>9750000</v>
      </c>
      <c r="O187" s="69">
        <f t="shared" si="11"/>
        <v>9750000</v>
      </c>
      <c r="P187" s="42" t="str">
        <f>IFERROR(VLOOKUP(J187,'Mã NV'!$B:$C,2,0),"")</f>
        <v>XE01679</v>
      </c>
      <c r="Q187" s="70" t="str">
        <f>IFERROR(VLOOKUP(I187,'Mã NV'!$J:$K,2,0),"")</f>
        <v>7.1t</v>
      </c>
    </row>
    <row r="188" ht="33.6" customHeight="1" spans="1:17">
      <c r="A188" s="63">
        <f t="shared" si="10"/>
        <v>185</v>
      </c>
      <c r="B188" s="64">
        <v>46160</v>
      </c>
      <c r="C188" s="65"/>
      <c r="D188" s="66" t="s">
        <v>21</v>
      </c>
      <c r="E188" s="66" t="s">
        <v>21</v>
      </c>
      <c r="F188" s="66" t="s">
        <v>744</v>
      </c>
      <c r="G188" s="66" t="s">
        <v>750</v>
      </c>
      <c r="H188" s="66" t="s">
        <v>755</v>
      </c>
      <c r="I188" s="66" t="s">
        <v>223</v>
      </c>
      <c r="J188" s="66" t="s">
        <v>221</v>
      </c>
      <c r="K188" s="66" t="s">
        <v>747</v>
      </c>
      <c r="L188" s="67">
        <v>11000000</v>
      </c>
      <c r="M188" s="67">
        <v>0</v>
      </c>
      <c r="N188" s="68">
        <f t="shared" si="12"/>
        <v>11000000</v>
      </c>
      <c r="O188" s="69">
        <f t="shared" si="11"/>
        <v>11000000</v>
      </c>
      <c r="P188" s="42" t="str">
        <f>IFERROR(VLOOKUP(J188,'Mã NV'!$B:$C,2,0),"")</f>
        <v>XE01283</v>
      </c>
      <c r="Q188" s="70" t="str">
        <f>IFERROR(VLOOKUP(I188,'Mã NV'!$J:$K,2,0),"")</f>
        <v>7.1t</v>
      </c>
    </row>
    <row r="189" ht="33.6" customHeight="1" spans="1:17">
      <c r="A189" s="63">
        <f t="shared" si="10"/>
        <v>186</v>
      </c>
      <c r="B189" s="64">
        <v>46160</v>
      </c>
      <c r="C189" s="65"/>
      <c r="D189" s="66" t="s">
        <v>21</v>
      </c>
      <c r="E189" s="66" t="s">
        <v>21</v>
      </c>
      <c r="F189" s="66" t="s">
        <v>744</v>
      </c>
      <c r="G189" s="66" t="s">
        <v>750</v>
      </c>
      <c r="H189" s="66" t="s">
        <v>755</v>
      </c>
      <c r="I189" s="66" t="s">
        <v>223</v>
      </c>
      <c r="J189" s="66" t="s">
        <v>296</v>
      </c>
      <c r="K189" s="66" t="s">
        <v>747</v>
      </c>
      <c r="L189" s="67">
        <v>11000000</v>
      </c>
      <c r="M189" s="67">
        <v>0</v>
      </c>
      <c r="N189" s="68">
        <f t="shared" si="12"/>
        <v>11000000</v>
      </c>
      <c r="O189" s="69">
        <f t="shared" si="11"/>
        <v>11000000</v>
      </c>
      <c r="P189" s="42" t="str">
        <f>IFERROR(VLOOKUP(J189,'Mã NV'!$B:$C,2,0),"")</f>
        <v>XE01541</v>
      </c>
      <c r="Q189" s="70" t="str">
        <f>IFERROR(VLOOKUP(I189,'Mã NV'!$J:$K,2,0),"")</f>
        <v>7.1t</v>
      </c>
    </row>
    <row r="190" ht="33.6" customHeight="1" spans="1:17">
      <c r="A190" s="63">
        <f t="shared" si="10"/>
        <v>187</v>
      </c>
      <c r="B190" s="64">
        <v>46160</v>
      </c>
      <c r="C190" s="65"/>
      <c r="D190" s="66" t="s">
        <v>21</v>
      </c>
      <c r="E190" s="66" t="s">
        <v>21</v>
      </c>
      <c r="F190" s="66" t="s">
        <v>744</v>
      </c>
      <c r="G190" s="66" t="s">
        <v>750</v>
      </c>
      <c r="H190" s="66" t="s">
        <v>794</v>
      </c>
      <c r="I190" s="66" t="s">
        <v>93</v>
      </c>
      <c r="J190" s="66" t="s">
        <v>307</v>
      </c>
      <c r="K190" s="66" t="s">
        <v>747</v>
      </c>
      <c r="L190" s="67">
        <v>9750000</v>
      </c>
      <c r="M190" s="67">
        <v>0</v>
      </c>
      <c r="N190" s="68">
        <f t="shared" si="12"/>
        <v>9750000</v>
      </c>
      <c r="O190" s="69">
        <f t="shared" si="11"/>
        <v>9750000</v>
      </c>
      <c r="P190" s="42" t="str">
        <f>IFERROR(VLOOKUP(J190,'Mã NV'!$B:$C,2,0),"")</f>
        <v>XE01548</v>
      </c>
      <c r="Q190" s="70" t="str">
        <f>IFERROR(VLOOKUP(I190,'Mã NV'!$J:$K,2,0),"")</f>
        <v>7.1t</v>
      </c>
    </row>
    <row r="191" ht="33.6" customHeight="1" spans="1:17">
      <c r="A191" s="63">
        <f t="shared" si="10"/>
        <v>188</v>
      </c>
      <c r="B191" s="64">
        <v>46160</v>
      </c>
      <c r="C191" s="65"/>
      <c r="D191" s="66" t="s">
        <v>21</v>
      </c>
      <c r="E191" s="66" t="s">
        <v>21</v>
      </c>
      <c r="F191" s="66" t="s">
        <v>744</v>
      </c>
      <c r="G191" s="66" t="s">
        <v>750</v>
      </c>
      <c r="H191" s="66" t="s">
        <v>794</v>
      </c>
      <c r="I191" s="66" t="s">
        <v>93</v>
      </c>
      <c r="J191" s="66" t="s">
        <v>310</v>
      </c>
      <c r="K191" s="66" t="s">
        <v>747</v>
      </c>
      <c r="L191" s="67">
        <v>9750000</v>
      </c>
      <c r="M191" s="67">
        <v>0</v>
      </c>
      <c r="N191" s="68">
        <f t="shared" si="12"/>
        <v>9750000</v>
      </c>
      <c r="O191" s="69">
        <f t="shared" si="11"/>
        <v>9750000</v>
      </c>
      <c r="P191" s="42" t="str">
        <f>IFERROR(VLOOKUP(J191,'Mã NV'!$B:$C,2,0),"")</f>
        <v>XE01549</v>
      </c>
      <c r="Q191" s="70" t="str">
        <f>IFERROR(VLOOKUP(I191,'Mã NV'!$J:$K,2,0),"")</f>
        <v>7.1t</v>
      </c>
    </row>
    <row r="192" ht="33.6" customHeight="1" spans="1:17">
      <c r="A192" s="63">
        <f t="shared" si="10"/>
        <v>189</v>
      </c>
      <c r="B192" s="64">
        <v>46160</v>
      </c>
      <c r="C192" s="65"/>
      <c r="D192" s="66" t="s">
        <v>21</v>
      </c>
      <c r="E192" s="66" t="s">
        <v>21</v>
      </c>
      <c r="F192" s="66" t="s">
        <v>744</v>
      </c>
      <c r="G192" s="66" t="s">
        <v>795</v>
      </c>
      <c r="H192" s="66" t="s">
        <v>746</v>
      </c>
      <c r="I192" s="66" t="s">
        <v>290</v>
      </c>
      <c r="J192" s="66" t="s">
        <v>288</v>
      </c>
      <c r="K192" s="66" t="s">
        <v>747</v>
      </c>
      <c r="L192" s="67">
        <v>3000000</v>
      </c>
      <c r="M192" s="67">
        <v>0</v>
      </c>
      <c r="N192" s="68">
        <f t="shared" si="12"/>
        <v>3000000</v>
      </c>
      <c r="O192" s="69">
        <f t="shared" si="11"/>
        <v>3000000</v>
      </c>
      <c r="P192" s="42" t="str">
        <f>IFERROR(VLOOKUP(J192,'Mã NV'!$B:$C,2,0),"")</f>
        <v>XE01563</v>
      </c>
      <c r="Q192" s="70" t="str">
        <f>IFERROR(VLOOKUP(I192,'Mã NV'!$J:$K,2,0),"")</f>
        <v>8T</v>
      </c>
    </row>
    <row r="193" ht="33.6" customHeight="1" spans="1:17">
      <c r="A193" s="63">
        <f t="shared" si="10"/>
        <v>190</v>
      </c>
      <c r="B193" s="64">
        <v>46160</v>
      </c>
      <c r="C193" s="65"/>
      <c r="D193" s="66" t="s">
        <v>21</v>
      </c>
      <c r="E193" s="66" t="s">
        <v>21</v>
      </c>
      <c r="F193" s="66" t="s">
        <v>744</v>
      </c>
      <c r="G193" s="66" t="s">
        <v>795</v>
      </c>
      <c r="H193" s="66" t="s">
        <v>746</v>
      </c>
      <c r="I193" s="66" t="s">
        <v>290</v>
      </c>
      <c r="J193" s="66" t="s">
        <v>329</v>
      </c>
      <c r="K193" s="66" t="s">
        <v>747</v>
      </c>
      <c r="L193" s="67">
        <v>3000000</v>
      </c>
      <c r="M193" s="67">
        <v>0</v>
      </c>
      <c r="N193" s="68">
        <f t="shared" si="12"/>
        <v>3000000</v>
      </c>
      <c r="O193" s="69">
        <f t="shared" si="11"/>
        <v>3000000</v>
      </c>
      <c r="P193" s="42" t="str">
        <f>IFERROR(VLOOKUP(J193,'Mã NV'!$B:$C,2,0),"")</f>
        <v>XE01609</v>
      </c>
      <c r="Q193" s="70" t="str">
        <f>IFERROR(VLOOKUP(I193,'Mã NV'!$J:$K,2,0),"")</f>
        <v>8T</v>
      </c>
    </row>
    <row r="194" ht="33.6" customHeight="1" spans="1:17">
      <c r="A194" s="63">
        <f t="shared" si="10"/>
        <v>191</v>
      </c>
      <c r="B194" s="64">
        <v>46161</v>
      </c>
      <c r="C194" s="65"/>
      <c r="D194" s="66" t="s">
        <v>21</v>
      </c>
      <c r="E194" s="66" t="s">
        <v>21</v>
      </c>
      <c r="F194" s="66" t="s">
        <v>744</v>
      </c>
      <c r="G194" s="66" t="s">
        <v>750</v>
      </c>
      <c r="H194" s="66" t="s">
        <v>755</v>
      </c>
      <c r="I194" s="66" t="s">
        <v>161</v>
      </c>
      <c r="J194" s="66" t="s">
        <v>225</v>
      </c>
      <c r="K194" s="66" t="s">
        <v>747</v>
      </c>
      <c r="L194" s="67">
        <v>11500000</v>
      </c>
      <c r="M194" s="67">
        <v>0</v>
      </c>
      <c r="N194" s="68">
        <f t="shared" si="12"/>
        <v>11500000</v>
      </c>
      <c r="O194" s="69">
        <f t="shared" si="11"/>
        <v>11500000</v>
      </c>
      <c r="P194" s="42" t="str">
        <f>IFERROR(VLOOKUP(J194,'Mã NV'!$B:$C,2,0),"")</f>
        <v>XE01164</v>
      </c>
      <c r="Q194" s="70" t="str">
        <f>IFERROR(VLOOKUP(I194,'Mã NV'!$J:$K,2,0),"")</f>
        <v>8T</v>
      </c>
    </row>
    <row r="195" ht="33.6" customHeight="1" spans="1:17">
      <c r="A195" s="63">
        <f t="shared" si="10"/>
        <v>192</v>
      </c>
      <c r="B195" s="64">
        <v>46161</v>
      </c>
      <c r="C195" s="65"/>
      <c r="D195" s="66" t="s">
        <v>21</v>
      </c>
      <c r="E195" s="66" t="s">
        <v>21</v>
      </c>
      <c r="F195" s="66" t="s">
        <v>744</v>
      </c>
      <c r="G195" s="66" t="s">
        <v>750</v>
      </c>
      <c r="H195" s="66" t="s">
        <v>755</v>
      </c>
      <c r="I195" s="66" t="s">
        <v>161</v>
      </c>
      <c r="J195" s="66" t="s">
        <v>371</v>
      </c>
      <c r="K195" s="66" t="s">
        <v>747</v>
      </c>
      <c r="L195" s="67">
        <v>11500000</v>
      </c>
      <c r="M195" s="67">
        <v>0</v>
      </c>
      <c r="N195" s="68">
        <f t="shared" si="12"/>
        <v>11500000</v>
      </c>
      <c r="O195" s="69">
        <f t="shared" si="11"/>
        <v>11500000</v>
      </c>
      <c r="P195" s="42" t="str">
        <f>IFERROR(VLOOKUP(J195,'Mã NV'!$B:$C,2,0),"")</f>
        <v>XE01698</v>
      </c>
      <c r="Q195" s="70" t="str">
        <f>IFERROR(VLOOKUP(I195,'Mã NV'!$J:$K,2,0),"")</f>
        <v>8T</v>
      </c>
    </row>
    <row r="196" ht="33.6" customHeight="1" spans="1:17">
      <c r="A196" s="63">
        <f t="shared" si="10"/>
        <v>193</v>
      </c>
      <c r="B196" s="64">
        <v>46161</v>
      </c>
      <c r="C196" s="65"/>
      <c r="D196" s="66" t="s">
        <v>21</v>
      </c>
      <c r="E196" s="66" t="s">
        <v>21</v>
      </c>
      <c r="F196" s="66" t="s">
        <v>744</v>
      </c>
      <c r="G196" s="66" t="s">
        <v>750</v>
      </c>
      <c r="H196" s="66" t="s">
        <v>755</v>
      </c>
      <c r="I196" s="66" t="s">
        <v>275</v>
      </c>
      <c r="J196" s="66" t="s">
        <v>273</v>
      </c>
      <c r="K196" s="66" t="s">
        <v>747</v>
      </c>
      <c r="L196" s="67">
        <v>9750000</v>
      </c>
      <c r="M196" s="67">
        <v>0</v>
      </c>
      <c r="N196" s="68">
        <f t="shared" si="12"/>
        <v>9750000</v>
      </c>
      <c r="O196" s="69">
        <f t="shared" si="11"/>
        <v>9750000</v>
      </c>
      <c r="P196" s="42" t="str">
        <f>IFERROR(VLOOKUP(J196,'Mã NV'!$B:$C,2,0),"")</f>
        <v>XE01527</v>
      </c>
      <c r="Q196" s="70" t="str">
        <f>IFERROR(VLOOKUP(I196,'Mã NV'!$J:$K,2,0),"")</f>
        <v>8T</v>
      </c>
    </row>
    <row r="197" ht="33.6" customHeight="1" spans="1:17">
      <c r="A197" s="63">
        <f t="shared" si="10"/>
        <v>194</v>
      </c>
      <c r="B197" s="64">
        <v>46161</v>
      </c>
      <c r="C197" s="65"/>
      <c r="D197" s="66" t="s">
        <v>21</v>
      </c>
      <c r="E197" s="66" t="s">
        <v>21</v>
      </c>
      <c r="F197" s="66" t="s">
        <v>744</v>
      </c>
      <c r="G197" s="66" t="s">
        <v>750</v>
      </c>
      <c r="H197" s="66" t="s">
        <v>755</v>
      </c>
      <c r="I197" s="66" t="s">
        <v>275</v>
      </c>
      <c r="J197" s="66" t="s">
        <v>303</v>
      </c>
      <c r="K197" s="66" t="s">
        <v>747</v>
      </c>
      <c r="L197" s="67">
        <v>9750000</v>
      </c>
      <c r="M197" s="67">
        <v>0</v>
      </c>
      <c r="N197" s="68">
        <f t="shared" si="12"/>
        <v>9750000</v>
      </c>
      <c r="O197" s="69">
        <f t="shared" si="11"/>
        <v>9750000</v>
      </c>
      <c r="P197" s="42" t="str">
        <f>IFERROR(VLOOKUP(J197,'Mã NV'!$B:$C,2,0),"")</f>
        <v>XE01574</v>
      </c>
      <c r="Q197" s="70" t="str">
        <f>IFERROR(VLOOKUP(I197,'Mã NV'!$J:$K,2,0),"")</f>
        <v>8T</v>
      </c>
    </row>
    <row r="198" ht="33.6" customHeight="1" spans="1:17">
      <c r="A198" s="63">
        <f t="shared" ref="A198:A261" si="13">A197+1</f>
        <v>195</v>
      </c>
      <c r="B198" s="64">
        <v>46161</v>
      </c>
      <c r="C198" s="65"/>
      <c r="D198" s="66" t="s">
        <v>21</v>
      </c>
      <c r="E198" s="66" t="s">
        <v>21</v>
      </c>
      <c r="F198" s="66" t="s">
        <v>744</v>
      </c>
      <c r="G198" s="66" t="s">
        <v>796</v>
      </c>
      <c r="H198" s="66" t="s">
        <v>783</v>
      </c>
      <c r="I198" s="66" t="s">
        <v>283</v>
      </c>
      <c r="J198" s="66" t="s">
        <v>337</v>
      </c>
      <c r="K198" s="66" t="s">
        <v>747</v>
      </c>
      <c r="L198" s="67">
        <v>12500000</v>
      </c>
      <c r="M198" s="67">
        <v>0</v>
      </c>
      <c r="N198" s="68">
        <f t="shared" si="12"/>
        <v>12500000</v>
      </c>
      <c r="O198" s="69">
        <f t="shared" si="11"/>
        <v>12500000</v>
      </c>
      <c r="P198" s="42" t="str">
        <f>IFERROR(VLOOKUP(J198,'Mã NV'!$B:$C,2,0),"")</f>
        <v>XE01477</v>
      </c>
      <c r="Q198" s="70" t="str">
        <f>IFERROR(VLOOKUP(I198,'Mã NV'!$J:$K,2,0),"")</f>
        <v>15T</v>
      </c>
    </row>
    <row r="199" ht="33.6" customHeight="1" spans="1:17">
      <c r="A199" s="63">
        <f t="shared" si="13"/>
        <v>196</v>
      </c>
      <c r="B199" s="64">
        <v>46161</v>
      </c>
      <c r="C199" s="65"/>
      <c r="D199" s="66" t="s">
        <v>21</v>
      </c>
      <c r="E199" s="66" t="s">
        <v>21</v>
      </c>
      <c r="F199" s="66" t="s">
        <v>744</v>
      </c>
      <c r="G199" s="66" t="s">
        <v>796</v>
      </c>
      <c r="H199" s="66" t="s">
        <v>783</v>
      </c>
      <c r="I199" s="66" t="s">
        <v>283</v>
      </c>
      <c r="J199" s="66" t="s">
        <v>339</v>
      </c>
      <c r="K199" s="66" t="s">
        <v>747</v>
      </c>
      <c r="L199" s="67">
        <v>12500000</v>
      </c>
      <c r="M199" s="67">
        <v>0</v>
      </c>
      <c r="N199" s="68">
        <f t="shared" si="12"/>
        <v>12500000</v>
      </c>
      <c r="O199" s="69">
        <f t="shared" ref="O199:O262" si="14">N199/$P$1</f>
        <v>12500000</v>
      </c>
      <c r="P199" s="42" t="str">
        <f>IFERROR(VLOOKUP(J199,'Mã NV'!$B:$C,2,0),"")</f>
        <v>XE01670</v>
      </c>
      <c r="Q199" s="70" t="str">
        <f>IFERROR(VLOOKUP(I199,'Mã NV'!$J:$K,2,0),"")</f>
        <v>15T</v>
      </c>
    </row>
    <row r="200" ht="33.6" customHeight="1" spans="1:17">
      <c r="A200" s="63">
        <f t="shared" si="13"/>
        <v>197</v>
      </c>
      <c r="B200" s="64">
        <v>46162</v>
      </c>
      <c r="C200" s="65"/>
      <c r="D200" s="66" t="s">
        <v>21</v>
      </c>
      <c r="E200" s="66" t="s">
        <v>21</v>
      </c>
      <c r="F200" s="66" t="s">
        <v>744</v>
      </c>
      <c r="G200" s="66" t="s">
        <v>750</v>
      </c>
      <c r="H200" s="66" t="s">
        <v>755</v>
      </c>
      <c r="I200" s="66" t="s">
        <v>205</v>
      </c>
      <c r="J200" s="66" t="s">
        <v>312</v>
      </c>
      <c r="K200" s="66" t="s">
        <v>747</v>
      </c>
      <c r="L200" s="67">
        <v>11000000</v>
      </c>
      <c r="M200" s="67">
        <v>0</v>
      </c>
      <c r="N200" s="68">
        <f t="shared" ref="N200:N263" si="15">L200-M200</f>
        <v>11000000</v>
      </c>
      <c r="O200" s="69">
        <f t="shared" si="14"/>
        <v>11000000</v>
      </c>
      <c r="P200" s="42" t="str">
        <f>IFERROR(VLOOKUP(J200,'Mã NV'!$B:$C,2,0),"")</f>
        <v>XE01582</v>
      </c>
      <c r="Q200" s="70" t="str">
        <f>IFERROR(VLOOKUP(I200,'Mã NV'!$J:$K,2,0),"")</f>
        <v>8T</v>
      </c>
    </row>
    <row r="201" ht="33.6" customHeight="1" spans="1:17">
      <c r="A201" s="63">
        <f t="shared" si="13"/>
        <v>198</v>
      </c>
      <c r="B201" s="64">
        <v>46162</v>
      </c>
      <c r="C201" s="65"/>
      <c r="D201" s="66" t="s">
        <v>21</v>
      </c>
      <c r="E201" s="66" t="s">
        <v>21</v>
      </c>
      <c r="F201" s="66" t="s">
        <v>744</v>
      </c>
      <c r="G201" s="66" t="s">
        <v>750</v>
      </c>
      <c r="H201" s="66" t="s">
        <v>755</v>
      </c>
      <c r="I201" s="66" t="s">
        <v>205</v>
      </c>
      <c r="J201" s="66" t="s">
        <v>314</v>
      </c>
      <c r="K201" s="66" t="s">
        <v>747</v>
      </c>
      <c r="L201" s="67">
        <v>11000000</v>
      </c>
      <c r="M201" s="67">
        <v>0</v>
      </c>
      <c r="N201" s="68">
        <f t="shared" si="15"/>
        <v>11000000</v>
      </c>
      <c r="O201" s="69">
        <f t="shared" si="14"/>
        <v>11000000</v>
      </c>
      <c r="P201" s="42" t="str">
        <f>IFERROR(VLOOKUP(J201,'Mã NV'!$B:$C,2,0),"")</f>
        <v>XE01583</v>
      </c>
      <c r="Q201" s="70" t="str">
        <f>IFERROR(VLOOKUP(I201,'Mã NV'!$J:$K,2,0),"")</f>
        <v>8T</v>
      </c>
    </row>
    <row r="202" ht="33.6" customHeight="1" spans="1:17">
      <c r="A202" s="63">
        <f t="shared" si="13"/>
        <v>199</v>
      </c>
      <c r="B202" s="64">
        <v>46162</v>
      </c>
      <c r="C202" s="65"/>
      <c r="D202" s="66" t="s">
        <v>21</v>
      </c>
      <c r="E202" s="66" t="s">
        <v>21</v>
      </c>
      <c r="F202" s="66" t="s">
        <v>744</v>
      </c>
      <c r="G202" s="66" t="s">
        <v>777</v>
      </c>
      <c r="H202" s="66" t="s">
        <v>745</v>
      </c>
      <c r="I202" s="66" t="s">
        <v>109</v>
      </c>
      <c r="J202" s="66" t="s">
        <v>107</v>
      </c>
      <c r="K202" s="66" t="s">
        <v>747</v>
      </c>
      <c r="L202" s="67">
        <v>9027778</v>
      </c>
      <c r="M202" s="67">
        <v>0</v>
      </c>
      <c r="N202" s="68">
        <f t="shared" si="15"/>
        <v>9027778</v>
      </c>
      <c r="O202" s="69">
        <f t="shared" si="14"/>
        <v>9027778</v>
      </c>
      <c r="P202" s="42" t="str">
        <f>IFERROR(VLOOKUP(J202,'Mã NV'!$B:$C,2,0),"")</f>
        <v>XE01102</v>
      </c>
      <c r="Q202" s="70" t="str">
        <f>IFERROR(VLOOKUP(I202,'Mã NV'!$J:$K,2,0),"")</f>
        <v>15T</v>
      </c>
    </row>
    <row r="203" ht="33.6" customHeight="1" spans="1:17">
      <c r="A203" s="63">
        <f t="shared" si="13"/>
        <v>200</v>
      </c>
      <c r="B203" s="64">
        <v>46162</v>
      </c>
      <c r="C203" s="65"/>
      <c r="D203" s="66" t="s">
        <v>21</v>
      </c>
      <c r="E203" s="66" t="s">
        <v>21</v>
      </c>
      <c r="F203" s="66" t="s">
        <v>744</v>
      </c>
      <c r="G203" s="66" t="s">
        <v>777</v>
      </c>
      <c r="H203" s="66" t="s">
        <v>745</v>
      </c>
      <c r="I203" s="66" t="s">
        <v>109</v>
      </c>
      <c r="J203" s="66" t="s">
        <v>120</v>
      </c>
      <c r="K203" s="66" t="s">
        <v>747</v>
      </c>
      <c r="L203" s="67">
        <v>9027778</v>
      </c>
      <c r="M203" s="67">
        <v>0</v>
      </c>
      <c r="N203" s="68">
        <f t="shared" si="15"/>
        <v>9027778</v>
      </c>
      <c r="O203" s="69">
        <f t="shared" si="14"/>
        <v>9027778</v>
      </c>
      <c r="P203" s="42" t="str">
        <f>IFERROR(VLOOKUP(J203,'Mã NV'!$B:$C,2,0),"")</f>
        <v>XE01315</v>
      </c>
      <c r="Q203" s="70" t="str">
        <f>IFERROR(VLOOKUP(I203,'Mã NV'!$J:$K,2,0),"")</f>
        <v>15T</v>
      </c>
    </row>
    <row r="204" ht="33.6" customHeight="1" spans="1:17">
      <c r="A204" s="63">
        <f t="shared" si="13"/>
        <v>201</v>
      </c>
      <c r="B204" s="64">
        <v>46163</v>
      </c>
      <c r="C204" s="65"/>
      <c r="D204" s="66" t="s">
        <v>21</v>
      </c>
      <c r="E204" s="66" t="s">
        <v>21</v>
      </c>
      <c r="F204" s="66" t="s">
        <v>744</v>
      </c>
      <c r="G204" s="66" t="s">
        <v>750</v>
      </c>
      <c r="H204" s="66" t="s">
        <v>770</v>
      </c>
      <c r="I204" s="66" t="s">
        <v>119</v>
      </c>
      <c r="J204" s="66" t="s">
        <v>281</v>
      </c>
      <c r="K204" s="66" t="s">
        <v>747</v>
      </c>
      <c r="L204" s="67">
        <v>1000000</v>
      </c>
      <c r="M204" s="67">
        <v>0</v>
      </c>
      <c r="N204" s="68">
        <f t="shared" si="15"/>
        <v>1000000</v>
      </c>
      <c r="O204" s="69">
        <f t="shared" si="14"/>
        <v>1000000</v>
      </c>
      <c r="P204" s="42" t="str">
        <f>IFERROR(VLOOKUP(J204,'Mã NV'!$B:$C,2,0),"")</f>
        <v>XE01532</v>
      </c>
      <c r="Q204" s="70" t="str">
        <f>IFERROR(VLOOKUP(I204,'Mã NV'!$J:$K,2,0),"")</f>
        <v>8T</v>
      </c>
    </row>
    <row r="205" ht="33.6" customHeight="1" spans="1:17">
      <c r="A205" s="63">
        <f t="shared" si="13"/>
        <v>202</v>
      </c>
      <c r="B205" s="64">
        <v>46163</v>
      </c>
      <c r="C205" s="65"/>
      <c r="D205" s="66" t="s">
        <v>21</v>
      </c>
      <c r="E205" s="66" t="s">
        <v>21</v>
      </c>
      <c r="F205" s="66" t="s">
        <v>744</v>
      </c>
      <c r="G205" s="66" t="s">
        <v>750</v>
      </c>
      <c r="H205" s="66" t="s">
        <v>770</v>
      </c>
      <c r="I205" s="66" t="s">
        <v>119</v>
      </c>
      <c r="J205" s="66" t="s">
        <v>363</v>
      </c>
      <c r="K205" s="66" t="s">
        <v>747</v>
      </c>
      <c r="L205" s="67">
        <v>1000000</v>
      </c>
      <c r="M205" s="67">
        <v>0</v>
      </c>
      <c r="N205" s="68">
        <f t="shared" si="15"/>
        <v>1000000</v>
      </c>
      <c r="O205" s="69">
        <f t="shared" si="14"/>
        <v>1000000</v>
      </c>
      <c r="P205" s="42" t="str">
        <f>IFERROR(VLOOKUP(J205,'Mã NV'!$B:$C,2,0),"")</f>
        <v/>
      </c>
      <c r="Q205" s="70" t="str">
        <f>IFERROR(VLOOKUP(I205,'Mã NV'!$J:$K,2,0),"")</f>
        <v>8T</v>
      </c>
    </row>
    <row r="206" ht="33.6" customHeight="1" spans="1:17">
      <c r="A206" s="63">
        <f t="shared" si="13"/>
        <v>203</v>
      </c>
      <c r="B206" s="64">
        <v>46163</v>
      </c>
      <c r="C206" s="65"/>
      <c r="D206" s="66" t="s">
        <v>21</v>
      </c>
      <c r="E206" s="66" t="s">
        <v>21</v>
      </c>
      <c r="F206" s="66" t="s">
        <v>744</v>
      </c>
      <c r="G206" s="66" t="s">
        <v>750</v>
      </c>
      <c r="H206" s="66" t="s">
        <v>755</v>
      </c>
      <c r="I206" s="66" t="s">
        <v>300</v>
      </c>
      <c r="J206" s="66" t="s">
        <v>298</v>
      </c>
      <c r="K206" s="66" t="s">
        <v>747</v>
      </c>
      <c r="L206" s="67">
        <v>11000000</v>
      </c>
      <c r="M206" s="67">
        <v>0</v>
      </c>
      <c r="N206" s="68">
        <f t="shared" si="15"/>
        <v>11000000</v>
      </c>
      <c r="O206" s="69">
        <f t="shared" si="14"/>
        <v>11000000</v>
      </c>
      <c r="P206" s="42" t="str">
        <f>IFERROR(VLOOKUP(J206,'Mã NV'!$B:$C,2,0),"")</f>
        <v>XE01590</v>
      </c>
      <c r="Q206" s="70" t="str">
        <f>IFERROR(VLOOKUP(I206,'Mã NV'!$J:$K,2,0),"")</f>
        <v>8T</v>
      </c>
    </row>
    <row r="207" ht="33.6" customHeight="1" spans="1:17">
      <c r="A207" s="63">
        <f t="shared" si="13"/>
        <v>204</v>
      </c>
      <c r="B207" s="64">
        <v>46163</v>
      </c>
      <c r="C207" s="65"/>
      <c r="D207" s="66" t="s">
        <v>21</v>
      </c>
      <c r="E207" s="66" t="s">
        <v>21</v>
      </c>
      <c r="F207" s="66" t="s">
        <v>744</v>
      </c>
      <c r="G207" s="66" t="s">
        <v>750</v>
      </c>
      <c r="H207" s="66" t="s">
        <v>755</v>
      </c>
      <c r="I207" s="66" t="s">
        <v>300</v>
      </c>
      <c r="J207" s="66" t="s">
        <v>301</v>
      </c>
      <c r="K207" s="66" t="s">
        <v>747</v>
      </c>
      <c r="L207" s="67">
        <v>11000000</v>
      </c>
      <c r="M207" s="67">
        <v>0</v>
      </c>
      <c r="N207" s="68">
        <f t="shared" si="15"/>
        <v>11000000</v>
      </c>
      <c r="O207" s="69">
        <f t="shared" si="14"/>
        <v>11000000</v>
      </c>
      <c r="P207" s="42" t="str">
        <f>IFERROR(VLOOKUP(J207,'Mã NV'!$B:$C,2,0),"")</f>
        <v>XE01591</v>
      </c>
      <c r="Q207" s="70" t="str">
        <f>IFERROR(VLOOKUP(I207,'Mã NV'!$J:$K,2,0),"")</f>
        <v>8T</v>
      </c>
    </row>
    <row r="208" ht="33.6" customHeight="1" spans="1:17">
      <c r="A208" s="63">
        <f t="shared" si="13"/>
        <v>205</v>
      </c>
      <c r="B208" s="64">
        <v>46163</v>
      </c>
      <c r="C208" s="65"/>
      <c r="D208" s="66" t="s">
        <v>21</v>
      </c>
      <c r="E208" s="66" t="s">
        <v>21</v>
      </c>
      <c r="F208" s="66" t="s">
        <v>744</v>
      </c>
      <c r="G208" s="66" t="s">
        <v>750</v>
      </c>
      <c r="H208" s="66" t="s">
        <v>755</v>
      </c>
      <c r="I208" s="66" t="s">
        <v>170</v>
      </c>
      <c r="J208" s="66" t="s">
        <v>168</v>
      </c>
      <c r="K208" s="66" t="s">
        <v>747</v>
      </c>
      <c r="L208" s="67">
        <v>11000000</v>
      </c>
      <c r="M208" s="67">
        <v>0</v>
      </c>
      <c r="N208" s="68">
        <f t="shared" si="15"/>
        <v>11000000</v>
      </c>
      <c r="O208" s="69">
        <f t="shared" si="14"/>
        <v>11000000</v>
      </c>
      <c r="P208" s="42" t="str">
        <f>IFERROR(VLOOKUP(J208,'Mã NV'!$B:$C,2,0),"")</f>
        <v>XE01263</v>
      </c>
      <c r="Q208" s="70" t="str">
        <f>IFERROR(VLOOKUP(I208,'Mã NV'!$J:$K,2,0),"")</f>
        <v>8T</v>
      </c>
    </row>
    <row r="209" ht="33.6" customHeight="1" spans="1:17">
      <c r="A209" s="63">
        <f t="shared" si="13"/>
        <v>206</v>
      </c>
      <c r="B209" s="64">
        <v>46163</v>
      </c>
      <c r="C209" s="65"/>
      <c r="D209" s="66" t="s">
        <v>21</v>
      </c>
      <c r="E209" s="66" t="s">
        <v>21</v>
      </c>
      <c r="F209" s="66" t="s">
        <v>744</v>
      </c>
      <c r="G209" s="66" t="s">
        <v>750</v>
      </c>
      <c r="H209" s="66" t="s">
        <v>755</v>
      </c>
      <c r="I209" s="66" t="s">
        <v>170</v>
      </c>
      <c r="J209" s="66" t="s">
        <v>203</v>
      </c>
      <c r="K209" s="66" t="s">
        <v>747</v>
      </c>
      <c r="L209" s="67">
        <v>11000000</v>
      </c>
      <c r="M209" s="67">
        <v>0</v>
      </c>
      <c r="N209" s="68">
        <f t="shared" si="15"/>
        <v>11000000</v>
      </c>
      <c r="O209" s="69">
        <f t="shared" si="14"/>
        <v>11000000</v>
      </c>
      <c r="P209" s="42" t="str">
        <f>IFERROR(VLOOKUP(J209,'Mã NV'!$B:$C,2,0),"")</f>
        <v>XE01149</v>
      </c>
      <c r="Q209" s="70" t="str">
        <f>IFERROR(VLOOKUP(I209,'Mã NV'!$J:$K,2,0),"")</f>
        <v>8T</v>
      </c>
    </row>
    <row r="210" ht="33.6" customHeight="1" spans="1:17">
      <c r="A210" s="63">
        <f t="shared" si="13"/>
        <v>207</v>
      </c>
      <c r="B210" s="64">
        <v>46163</v>
      </c>
      <c r="C210" s="65"/>
      <c r="D210" s="66" t="s">
        <v>21</v>
      </c>
      <c r="E210" s="66" t="s">
        <v>21</v>
      </c>
      <c r="F210" s="66" t="s">
        <v>744</v>
      </c>
      <c r="G210" s="66" t="s">
        <v>777</v>
      </c>
      <c r="H210" s="66" t="s">
        <v>745</v>
      </c>
      <c r="I210" s="66" t="s">
        <v>230</v>
      </c>
      <c r="J210" s="66" t="s">
        <v>228</v>
      </c>
      <c r="K210" s="66" t="s">
        <v>747</v>
      </c>
      <c r="L210" s="67">
        <v>9027778</v>
      </c>
      <c r="M210" s="67">
        <v>0</v>
      </c>
      <c r="N210" s="68">
        <f t="shared" si="15"/>
        <v>9027778</v>
      </c>
      <c r="O210" s="69">
        <f t="shared" si="14"/>
        <v>9027778</v>
      </c>
      <c r="P210" s="42" t="str">
        <f>IFERROR(VLOOKUP(J210,'Mã NV'!$B:$C,2,0),"")</f>
        <v>XE01390</v>
      </c>
      <c r="Q210" s="70" t="str">
        <f>IFERROR(VLOOKUP(I210,'Mã NV'!$J:$K,2,0),"")</f>
        <v>15T</v>
      </c>
    </row>
    <row r="211" ht="33.6" customHeight="1" spans="1:17">
      <c r="A211" s="63">
        <f t="shared" si="13"/>
        <v>208</v>
      </c>
      <c r="B211" s="64">
        <v>46163</v>
      </c>
      <c r="C211" s="65"/>
      <c r="D211" s="66" t="s">
        <v>21</v>
      </c>
      <c r="E211" s="66" t="s">
        <v>21</v>
      </c>
      <c r="F211" s="66" t="s">
        <v>744</v>
      </c>
      <c r="G211" s="66" t="s">
        <v>777</v>
      </c>
      <c r="H211" s="66" t="s">
        <v>745</v>
      </c>
      <c r="I211" s="66" t="s">
        <v>230</v>
      </c>
      <c r="J211" s="66" t="s">
        <v>364</v>
      </c>
      <c r="K211" s="66" t="s">
        <v>747</v>
      </c>
      <c r="L211" s="67">
        <v>9027778</v>
      </c>
      <c r="M211" s="67">
        <v>0</v>
      </c>
      <c r="N211" s="68">
        <f t="shared" si="15"/>
        <v>9027778</v>
      </c>
      <c r="O211" s="69">
        <f t="shared" si="14"/>
        <v>9027778</v>
      </c>
      <c r="P211" s="42" t="str">
        <f>IFERROR(VLOOKUP(J211,'Mã NV'!$B:$C,2,0),"")</f>
        <v>XE01690</v>
      </c>
      <c r="Q211" s="70" t="str">
        <f>IFERROR(VLOOKUP(I211,'Mã NV'!$J:$K,2,0),"")</f>
        <v>15T</v>
      </c>
    </row>
    <row r="212" ht="33.6" customHeight="1" spans="1:17">
      <c r="A212" s="63">
        <f t="shared" si="13"/>
        <v>209</v>
      </c>
      <c r="B212" s="64">
        <v>46163</v>
      </c>
      <c r="C212" s="65"/>
      <c r="D212" s="66" t="s">
        <v>21</v>
      </c>
      <c r="E212" s="66" t="s">
        <v>21</v>
      </c>
      <c r="F212" s="66" t="s">
        <v>744</v>
      </c>
      <c r="G212" s="66" t="s">
        <v>762</v>
      </c>
      <c r="H212" s="66" t="s">
        <v>797</v>
      </c>
      <c r="I212" s="66" t="s">
        <v>208</v>
      </c>
      <c r="J212" s="66" t="s">
        <v>373</v>
      </c>
      <c r="K212" s="66" t="s">
        <v>747</v>
      </c>
      <c r="L212" s="67">
        <v>12500000</v>
      </c>
      <c r="M212" s="67">
        <v>0</v>
      </c>
      <c r="N212" s="68">
        <f t="shared" si="15"/>
        <v>12500000</v>
      </c>
      <c r="O212" s="69">
        <f t="shared" si="14"/>
        <v>12500000</v>
      </c>
      <c r="P212" s="42" t="str">
        <f>IFERROR(VLOOKUP(J212,'Mã NV'!$B:$C,2,0),"")</f>
        <v>XE01694</v>
      </c>
      <c r="Q212" s="70" t="str">
        <f>IFERROR(VLOOKUP(I212,'Mã NV'!$J:$K,2,0),"")</f>
        <v>15T</v>
      </c>
    </row>
    <row r="213" ht="33.6" customHeight="1" spans="1:17">
      <c r="A213" s="63">
        <f t="shared" si="13"/>
        <v>210</v>
      </c>
      <c r="B213" s="64">
        <v>46163</v>
      </c>
      <c r="C213" s="65"/>
      <c r="D213" s="66" t="s">
        <v>21</v>
      </c>
      <c r="E213" s="66" t="s">
        <v>21</v>
      </c>
      <c r="F213" s="66" t="s">
        <v>744</v>
      </c>
      <c r="G213" s="66" t="s">
        <v>762</v>
      </c>
      <c r="H213" s="66" t="s">
        <v>797</v>
      </c>
      <c r="I213" s="66" t="s">
        <v>208</v>
      </c>
      <c r="J213" s="66" t="s">
        <v>375</v>
      </c>
      <c r="K213" s="66" t="s">
        <v>747</v>
      </c>
      <c r="L213" s="67">
        <v>12500000</v>
      </c>
      <c r="M213" s="67">
        <v>0</v>
      </c>
      <c r="N213" s="68">
        <f t="shared" si="15"/>
        <v>12500000</v>
      </c>
      <c r="O213" s="69">
        <f t="shared" si="14"/>
        <v>12500000</v>
      </c>
      <c r="P213" s="42" t="str">
        <f>IFERROR(VLOOKUP(J213,'Mã NV'!$B:$C,2,0),"")</f>
        <v>XE01695</v>
      </c>
      <c r="Q213" s="70" t="str">
        <f>IFERROR(VLOOKUP(I213,'Mã NV'!$J:$K,2,0),"")</f>
        <v>15T</v>
      </c>
    </row>
    <row r="214" ht="33.6" customHeight="1" spans="1:17">
      <c r="A214" s="63">
        <f t="shared" si="13"/>
        <v>211</v>
      </c>
      <c r="B214" s="64">
        <v>46164</v>
      </c>
      <c r="C214" s="65"/>
      <c r="D214" s="66" t="s">
        <v>21</v>
      </c>
      <c r="E214" s="66" t="s">
        <v>21</v>
      </c>
      <c r="F214" s="66" t="s">
        <v>744</v>
      </c>
      <c r="G214" s="66" t="s">
        <v>750</v>
      </c>
      <c r="H214" s="66" t="s">
        <v>755</v>
      </c>
      <c r="I214" s="66" t="s">
        <v>87</v>
      </c>
      <c r="J214" s="66" t="s">
        <v>85</v>
      </c>
      <c r="K214" s="66" t="s">
        <v>747</v>
      </c>
      <c r="L214" s="67">
        <v>11000000</v>
      </c>
      <c r="M214" s="67">
        <v>0</v>
      </c>
      <c r="N214" s="68">
        <f t="shared" si="15"/>
        <v>11000000</v>
      </c>
      <c r="O214" s="69">
        <f t="shared" si="14"/>
        <v>11000000</v>
      </c>
      <c r="P214" s="42" t="str">
        <f>IFERROR(VLOOKUP(J214,'Mã NV'!$B:$C,2,0),"")</f>
        <v>XE01456</v>
      </c>
      <c r="Q214" s="70" t="str">
        <f>IFERROR(VLOOKUP(I214,'Mã NV'!$J:$K,2,0),"")</f>
        <v>8T</v>
      </c>
    </row>
    <row r="215" ht="33.6" customHeight="1" spans="1:17">
      <c r="A215" s="63">
        <f t="shared" si="13"/>
        <v>212</v>
      </c>
      <c r="B215" s="64">
        <v>46164</v>
      </c>
      <c r="C215" s="65"/>
      <c r="D215" s="66" t="s">
        <v>21</v>
      </c>
      <c r="E215" s="66" t="s">
        <v>21</v>
      </c>
      <c r="F215" s="66" t="s">
        <v>744</v>
      </c>
      <c r="G215" s="66" t="s">
        <v>750</v>
      </c>
      <c r="H215" s="66" t="s">
        <v>755</v>
      </c>
      <c r="I215" s="66" t="s">
        <v>87</v>
      </c>
      <c r="J215" s="66" t="s">
        <v>305</v>
      </c>
      <c r="K215" s="66" t="s">
        <v>747</v>
      </c>
      <c r="L215" s="67">
        <v>11000000</v>
      </c>
      <c r="M215" s="67">
        <v>0</v>
      </c>
      <c r="N215" s="68">
        <f t="shared" si="15"/>
        <v>11000000</v>
      </c>
      <c r="O215" s="69">
        <f t="shared" si="14"/>
        <v>11000000</v>
      </c>
      <c r="P215" s="42" t="str">
        <f>IFERROR(VLOOKUP(J215,'Mã NV'!$B:$C,2,0),"")</f>
        <v>XE01599</v>
      </c>
      <c r="Q215" s="70" t="str">
        <f>IFERROR(VLOOKUP(I215,'Mã NV'!$J:$K,2,0),"")</f>
        <v>8T</v>
      </c>
    </row>
    <row r="216" ht="33.6" customHeight="1" spans="1:17">
      <c r="A216" s="63">
        <f t="shared" si="13"/>
        <v>213</v>
      </c>
      <c r="B216" s="64">
        <v>46164</v>
      </c>
      <c r="C216" s="65"/>
      <c r="D216" s="66" t="s">
        <v>21</v>
      </c>
      <c r="E216" s="66" t="s">
        <v>21</v>
      </c>
      <c r="F216" s="66" t="s">
        <v>744</v>
      </c>
      <c r="G216" s="66" t="s">
        <v>777</v>
      </c>
      <c r="H216" s="66" t="s">
        <v>745</v>
      </c>
      <c r="I216" s="66" t="s">
        <v>42</v>
      </c>
      <c r="J216" s="66" t="s">
        <v>40</v>
      </c>
      <c r="K216" s="66" t="s">
        <v>747</v>
      </c>
      <c r="L216" s="67">
        <v>9750000</v>
      </c>
      <c r="M216" s="67">
        <v>0</v>
      </c>
      <c r="N216" s="68">
        <f t="shared" si="15"/>
        <v>9750000</v>
      </c>
      <c r="O216" s="69">
        <f t="shared" si="14"/>
        <v>9750000</v>
      </c>
      <c r="P216" s="42" t="str">
        <f>IFERROR(VLOOKUP(J216,'Mã NV'!$B:$C,2,0),"")</f>
        <v>XE01417</v>
      </c>
      <c r="Q216" s="70" t="str">
        <f>IFERROR(VLOOKUP(I216,'Mã NV'!$J:$K,2,0),"")</f>
        <v>7.1t</v>
      </c>
    </row>
    <row r="217" ht="33.6" customHeight="1" spans="1:17">
      <c r="A217" s="63">
        <f t="shared" si="13"/>
        <v>214</v>
      </c>
      <c r="B217" s="64">
        <v>46164</v>
      </c>
      <c r="C217" s="65"/>
      <c r="D217" s="66" t="s">
        <v>21</v>
      </c>
      <c r="E217" s="66" t="s">
        <v>21</v>
      </c>
      <c r="F217" s="66" t="s">
        <v>744</v>
      </c>
      <c r="G217" s="66" t="s">
        <v>777</v>
      </c>
      <c r="H217" s="66" t="s">
        <v>745</v>
      </c>
      <c r="I217" s="66" t="s">
        <v>42</v>
      </c>
      <c r="J217" s="66" t="s">
        <v>333</v>
      </c>
      <c r="K217" s="66" t="s">
        <v>747</v>
      </c>
      <c r="L217" s="67">
        <v>9750000</v>
      </c>
      <c r="M217" s="67">
        <v>0</v>
      </c>
      <c r="N217" s="68">
        <f t="shared" si="15"/>
        <v>9750000</v>
      </c>
      <c r="O217" s="69">
        <f t="shared" si="14"/>
        <v>9750000</v>
      </c>
      <c r="P217" s="42" t="str">
        <f>IFERROR(VLOOKUP(J217,'Mã NV'!$B:$C,2,0),"")</f>
        <v>XE01671</v>
      </c>
      <c r="Q217" s="70" t="str">
        <f>IFERROR(VLOOKUP(I217,'Mã NV'!$J:$K,2,0),"")</f>
        <v>7.1t</v>
      </c>
    </row>
    <row r="218" ht="33.6" customHeight="1" spans="1:17">
      <c r="A218" s="63">
        <f t="shared" si="13"/>
        <v>215</v>
      </c>
      <c r="B218" s="64">
        <v>46165</v>
      </c>
      <c r="C218" s="65"/>
      <c r="D218" s="66" t="s">
        <v>21</v>
      </c>
      <c r="E218" s="66" t="s">
        <v>21</v>
      </c>
      <c r="F218" s="66" t="s">
        <v>744</v>
      </c>
      <c r="G218" s="66" t="s">
        <v>750</v>
      </c>
      <c r="H218" s="66" t="s">
        <v>745</v>
      </c>
      <c r="I218" s="66" t="s">
        <v>283</v>
      </c>
      <c r="J218" s="66" t="s">
        <v>337</v>
      </c>
      <c r="K218" s="66" t="s">
        <v>747</v>
      </c>
      <c r="L218" s="67">
        <v>9750000</v>
      </c>
      <c r="M218" s="67">
        <v>0</v>
      </c>
      <c r="N218" s="68">
        <f t="shared" si="15"/>
        <v>9750000</v>
      </c>
      <c r="O218" s="69">
        <f t="shared" si="14"/>
        <v>9750000</v>
      </c>
      <c r="P218" s="42" t="str">
        <f>IFERROR(VLOOKUP(J218,'Mã NV'!$B:$C,2,0),"")</f>
        <v>XE01477</v>
      </c>
      <c r="Q218" s="70" t="str">
        <f>IFERROR(VLOOKUP(I218,'Mã NV'!$J:$K,2,0),"")</f>
        <v>15T</v>
      </c>
    </row>
    <row r="219" ht="33.6" customHeight="1" spans="1:17">
      <c r="A219" s="63">
        <f t="shared" si="13"/>
        <v>216</v>
      </c>
      <c r="B219" s="64">
        <v>46165</v>
      </c>
      <c r="C219" s="65"/>
      <c r="D219" s="66" t="s">
        <v>21</v>
      </c>
      <c r="E219" s="66" t="s">
        <v>21</v>
      </c>
      <c r="F219" s="66" t="s">
        <v>744</v>
      </c>
      <c r="G219" s="66" t="s">
        <v>750</v>
      </c>
      <c r="H219" s="66" t="s">
        <v>745</v>
      </c>
      <c r="I219" s="66" t="s">
        <v>283</v>
      </c>
      <c r="J219" s="66" t="s">
        <v>339</v>
      </c>
      <c r="K219" s="66" t="s">
        <v>747</v>
      </c>
      <c r="L219" s="67">
        <v>9750000</v>
      </c>
      <c r="M219" s="67">
        <v>0</v>
      </c>
      <c r="N219" s="68">
        <f t="shared" si="15"/>
        <v>9750000</v>
      </c>
      <c r="O219" s="69">
        <f t="shared" si="14"/>
        <v>9750000</v>
      </c>
      <c r="P219" s="42" t="str">
        <f>IFERROR(VLOOKUP(J219,'Mã NV'!$B:$C,2,0),"")</f>
        <v>XE01670</v>
      </c>
      <c r="Q219" s="70" t="str">
        <f>IFERROR(VLOOKUP(I219,'Mã NV'!$J:$K,2,0),"")</f>
        <v>15T</v>
      </c>
    </row>
    <row r="220" ht="33.6" customHeight="1" spans="1:17">
      <c r="A220" s="63">
        <f t="shared" si="13"/>
        <v>217</v>
      </c>
      <c r="B220" s="64">
        <v>46165</v>
      </c>
      <c r="C220" s="65"/>
      <c r="D220" s="66" t="s">
        <v>21</v>
      </c>
      <c r="E220" s="66" t="s">
        <v>21</v>
      </c>
      <c r="F220" s="66" t="s">
        <v>744</v>
      </c>
      <c r="G220" s="66" t="s">
        <v>750</v>
      </c>
      <c r="H220" s="66" t="s">
        <v>755</v>
      </c>
      <c r="I220" s="66" t="s">
        <v>149</v>
      </c>
      <c r="J220" s="66" t="s">
        <v>147</v>
      </c>
      <c r="K220" s="66" t="s">
        <v>747</v>
      </c>
      <c r="L220" s="67">
        <v>10592592.5</v>
      </c>
      <c r="M220" s="67">
        <v>0</v>
      </c>
      <c r="N220" s="68">
        <f t="shared" si="15"/>
        <v>10592592.5</v>
      </c>
      <c r="O220" s="69">
        <f t="shared" si="14"/>
        <v>10592592.5</v>
      </c>
      <c r="P220" s="42" t="str">
        <f>IFERROR(VLOOKUP(J220,'Mã NV'!$B:$C,2,0),"")</f>
        <v>XE01304</v>
      </c>
      <c r="Q220" s="70" t="str">
        <f>IFERROR(VLOOKUP(I220,'Mã NV'!$J:$K,2,0),"")</f>
        <v>8T</v>
      </c>
    </row>
    <row r="221" ht="33.6" customHeight="1" spans="1:17">
      <c r="A221" s="63">
        <f t="shared" si="13"/>
        <v>218</v>
      </c>
      <c r="B221" s="64">
        <v>46165</v>
      </c>
      <c r="C221" s="65"/>
      <c r="D221" s="66" t="s">
        <v>21</v>
      </c>
      <c r="E221" s="66" t="s">
        <v>21</v>
      </c>
      <c r="F221" s="66" t="s">
        <v>744</v>
      </c>
      <c r="G221" s="66" t="s">
        <v>750</v>
      </c>
      <c r="H221" s="66" t="s">
        <v>755</v>
      </c>
      <c r="I221" s="66" t="s">
        <v>149</v>
      </c>
      <c r="J221" s="66" t="s">
        <v>235</v>
      </c>
      <c r="K221" s="66" t="s">
        <v>747</v>
      </c>
      <c r="L221" s="67">
        <v>10592592.5</v>
      </c>
      <c r="M221" s="67">
        <v>0</v>
      </c>
      <c r="N221" s="68">
        <f t="shared" si="15"/>
        <v>10592592.5</v>
      </c>
      <c r="O221" s="69">
        <f t="shared" si="14"/>
        <v>10592592.5</v>
      </c>
      <c r="P221" s="42" t="str">
        <f>IFERROR(VLOOKUP(J221,'Mã NV'!$B:$C,2,0),"")</f>
        <v>XE01305</v>
      </c>
      <c r="Q221" s="70" t="str">
        <f>IFERROR(VLOOKUP(I221,'Mã NV'!$J:$K,2,0),"")</f>
        <v>8T</v>
      </c>
    </row>
    <row r="222" ht="33.6" customHeight="1" spans="1:17">
      <c r="A222" s="63">
        <f t="shared" si="13"/>
        <v>219</v>
      </c>
      <c r="B222" s="64">
        <v>46165</v>
      </c>
      <c r="C222" s="65"/>
      <c r="D222" s="66" t="s">
        <v>21</v>
      </c>
      <c r="E222" s="66" t="s">
        <v>21</v>
      </c>
      <c r="F222" s="66" t="s">
        <v>744</v>
      </c>
      <c r="G222" s="66" t="s">
        <v>750</v>
      </c>
      <c r="H222" s="66" t="s">
        <v>755</v>
      </c>
      <c r="I222" s="66" t="s">
        <v>266</v>
      </c>
      <c r="J222" s="66" t="s">
        <v>264</v>
      </c>
      <c r="K222" s="66" t="s">
        <v>747</v>
      </c>
      <c r="L222" s="67">
        <v>11000000</v>
      </c>
      <c r="M222" s="67">
        <v>0</v>
      </c>
      <c r="N222" s="68">
        <f t="shared" si="15"/>
        <v>11000000</v>
      </c>
      <c r="O222" s="69">
        <f t="shared" si="14"/>
        <v>11000000</v>
      </c>
      <c r="P222" s="42" t="str">
        <f>IFERROR(VLOOKUP(J222,'Mã NV'!$B:$C,2,0),"")</f>
        <v>XE01678</v>
      </c>
      <c r="Q222" s="70" t="str">
        <f>IFERROR(VLOOKUP(I222,'Mã NV'!$J:$K,2,0),"")</f>
        <v>7.1t</v>
      </c>
    </row>
    <row r="223" ht="33.6" customHeight="1" spans="1:17">
      <c r="A223" s="63">
        <f t="shared" si="13"/>
        <v>220</v>
      </c>
      <c r="B223" s="64">
        <v>46165</v>
      </c>
      <c r="C223" s="65"/>
      <c r="D223" s="66" t="s">
        <v>21</v>
      </c>
      <c r="E223" s="66" t="s">
        <v>21</v>
      </c>
      <c r="F223" s="66" t="s">
        <v>744</v>
      </c>
      <c r="G223" s="66" t="s">
        <v>750</v>
      </c>
      <c r="H223" s="66" t="s">
        <v>755</v>
      </c>
      <c r="I223" s="66" t="s">
        <v>266</v>
      </c>
      <c r="J223" s="66" t="s">
        <v>399</v>
      </c>
      <c r="K223" s="66" t="s">
        <v>747</v>
      </c>
      <c r="L223" s="67">
        <v>11000000</v>
      </c>
      <c r="M223" s="67">
        <v>0</v>
      </c>
      <c r="N223" s="68">
        <f t="shared" si="15"/>
        <v>11000000</v>
      </c>
      <c r="O223" s="69">
        <f t="shared" si="14"/>
        <v>11000000</v>
      </c>
      <c r="P223" s="42" t="str">
        <f>IFERROR(VLOOKUP(J223,'Mã NV'!$B:$C,2,0),"")</f>
        <v>XE01679</v>
      </c>
      <c r="Q223" s="70" t="str">
        <f>IFERROR(VLOOKUP(I223,'Mã NV'!$J:$K,2,0),"")</f>
        <v>7.1t</v>
      </c>
    </row>
    <row r="224" ht="33.6" customHeight="1" spans="1:17">
      <c r="A224" s="63">
        <f t="shared" si="13"/>
        <v>221</v>
      </c>
      <c r="B224" s="64">
        <v>46166</v>
      </c>
      <c r="C224" s="65"/>
      <c r="D224" s="66" t="s">
        <v>21</v>
      </c>
      <c r="E224" s="66" t="s">
        <v>21</v>
      </c>
      <c r="F224" s="66" t="s">
        <v>744</v>
      </c>
      <c r="G224" s="66" t="s">
        <v>768</v>
      </c>
      <c r="H224" s="66" t="s">
        <v>798</v>
      </c>
      <c r="I224" s="66" t="s">
        <v>170</v>
      </c>
      <c r="J224" s="66" t="s">
        <v>168</v>
      </c>
      <c r="K224" s="66" t="s">
        <v>747</v>
      </c>
      <c r="L224" s="67">
        <v>2500000</v>
      </c>
      <c r="M224" s="67">
        <v>0</v>
      </c>
      <c r="N224" s="68">
        <f t="shared" si="15"/>
        <v>2500000</v>
      </c>
      <c r="O224" s="69">
        <f t="shared" si="14"/>
        <v>2500000</v>
      </c>
      <c r="P224" s="42" t="str">
        <f>IFERROR(VLOOKUP(J224,'Mã NV'!$B:$C,2,0),"")</f>
        <v>XE01263</v>
      </c>
      <c r="Q224" s="70" t="str">
        <f>IFERROR(VLOOKUP(I224,'Mã NV'!$J:$K,2,0),"")</f>
        <v>8T</v>
      </c>
    </row>
    <row r="225" ht="33.6" customHeight="1" spans="1:17">
      <c r="A225" s="63">
        <f t="shared" si="13"/>
        <v>222</v>
      </c>
      <c r="B225" s="64">
        <v>46166</v>
      </c>
      <c r="C225" s="65"/>
      <c r="D225" s="66" t="s">
        <v>21</v>
      </c>
      <c r="E225" s="66" t="s">
        <v>21</v>
      </c>
      <c r="F225" s="66" t="s">
        <v>744</v>
      </c>
      <c r="G225" s="66" t="s">
        <v>768</v>
      </c>
      <c r="H225" s="66" t="s">
        <v>798</v>
      </c>
      <c r="I225" s="66" t="s">
        <v>170</v>
      </c>
      <c r="J225" s="66" t="s">
        <v>203</v>
      </c>
      <c r="K225" s="66" t="s">
        <v>747</v>
      </c>
      <c r="L225" s="67">
        <v>2500000</v>
      </c>
      <c r="M225" s="67">
        <v>0</v>
      </c>
      <c r="N225" s="68">
        <f t="shared" si="15"/>
        <v>2500000</v>
      </c>
      <c r="O225" s="69">
        <f t="shared" si="14"/>
        <v>2500000</v>
      </c>
      <c r="P225" s="42" t="str">
        <f>IFERROR(VLOOKUP(J225,'Mã NV'!$B:$C,2,0),"")</f>
        <v>XE01149</v>
      </c>
      <c r="Q225" s="70" t="str">
        <f>IFERROR(VLOOKUP(I225,'Mã NV'!$J:$K,2,0),"")</f>
        <v>8T</v>
      </c>
    </row>
    <row r="226" ht="33.6" customHeight="1" spans="1:17">
      <c r="A226" s="63">
        <f t="shared" si="13"/>
        <v>223</v>
      </c>
      <c r="B226" s="64">
        <v>46166</v>
      </c>
      <c r="C226" s="65"/>
      <c r="D226" s="66" t="s">
        <v>21</v>
      </c>
      <c r="E226" s="66" t="s">
        <v>21</v>
      </c>
      <c r="F226" s="66" t="s">
        <v>744</v>
      </c>
      <c r="G226" s="66" t="s">
        <v>750</v>
      </c>
      <c r="H226" s="66" t="s">
        <v>755</v>
      </c>
      <c r="I226" s="66" t="s">
        <v>275</v>
      </c>
      <c r="J226" s="66" t="s">
        <v>273</v>
      </c>
      <c r="K226" s="66" t="s">
        <v>747</v>
      </c>
      <c r="L226" s="67">
        <v>11000000</v>
      </c>
      <c r="M226" s="67">
        <v>0</v>
      </c>
      <c r="N226" s="68">
        <f t="shared" si="15"/>
        <v>11000000</v>
      </c>
      <c r="O226" s="69">
        <f t="shared" si="14"/>
        <v>11000000</v>
      </c>
      <c r="P226" s="42" t="str">
        <f>IFERROR(VLOOKUP(J226,'Mã NV'!$B:$C,2,0),"")</f>
        <v>XE01527</v>
      </c>
      <c r="Q226" s="70" t="str">
        <f>IFERROR(VLOOKUP(I226,'Mã NV'!$J:$K,2,0),"")</f>
        <v>8T</v>
      </c>
    </row>
    <row r="227" ht="33.6" customHeight="1" spans="1:17">
      <c r="A227" s="63">
        <f t="shared" si="13"/>
        <v>224</v>
      </c>
      <c r="B227" s="64">
        <v>46166</v>
      </c>
      <c r="C227" s="65"/>
      <c r="D227" s="66" t="s">
        <v>21</v>
      </c>
      <c r="E227" s="66" t="s">
        <v>21</v>
      </c>
      <c r="F227" s="66" t="s">
        <v>744</v>
      </c>
      <c r="G227" s="66" t="s">
        <v>750</v>
      </c>
      <c r="H227" s="66" t="s">
        <v>755</v>
      </c>
      <c r="I227" s="66" t="s">
        <v>275</v>
      </c>
      <c r="J227" s="66" t="s">
        <v>303</v>
      </c>
      <c r="K227" s="66" t="s">
        <v>747</v>
      </c>
      <c r="L227" s="67">
        <v>11000000</v>
      </c>
      <c r="M227" s="67">
        <v>0</v>
      </c>
      <c r="N227" s="68">
        <f t="shared" si="15"/>
        <v>11000000</v>
      </c>
      <c r="O227" s="69">
        <f t="shared" si="14"/>
        <v>11000000</v>
      </c>
      <c r="P227" s="42" t="str">
        <f>IFERROR(VLOOKUP(J227,'Mã NV'!$B:$C,2,0),"")</f>
        <v>XE01574</v>
      </c>
      <c r="Q227" s="70" t="str">
        <f>IFERROR(VLOOKUP(I227,'Mã NV'!$J:$K,2,0),"")</f>
        <v>8T</v>
      </c>
    </row>
    <row r="228" ht="33.6" customHeight="1" spans="1:17">
      <c r="A228" s="63">
        <f t="shared" si="13"/>
        <v>225</v>
      </c>
      <c r="B228" s="64">
        <v>46166</v>
      </c>
      <c r="C228" s="65"/>
      <c r="D228" s="66" t="s">
        <v>21</v>
      </c>
      <c r="E228" s="66" t="s">
        <v>21</v>
      </c>
      <c r="F228" s="66" t="s">
        <v>744</v>
      </c>
      <c r="G228" s="66" t="s">
        <v>777</v>
      </c>
      <c r="H228" s="66" t="s">
        <v>745</v>
      </c>
      <c r="I228" s="66" t="s">
        <v>270</v>
      </c>
      <c r="J228" s="66" t="s">
        <v>268</v>
      </c>
      <c r="K228" s="66" t="s">
        <v>747</v>
      </c>
      <c r="L228" s="67">
        <v>9750000</v>
      </c>
      <c r="M228" s="67">
        <v>0</v>
      </c>
      <c r="N228" s="68">
        <f t="shared" si="15"/>
        <v>9750000</v>
      </c>
      <c r="O228" s="69">
        <f t="shared" si="14"/>
        <v>9750000</v>
      </c>
      <c r="P228" s="42" t="str">
        <f>IFERROR(VLOOKUP(J228,'Mã NV'!$B:$C,2,0),"")</f>
        <v>XE01506</v>
      </c>
      <c r="Q228" s="70" t="str">
        <f>IFERROR(VLOOKUP(I228,'Mã NV'!$J:$K,2,0),"")</f>
        <v>15T</v>
      </c>
    </row>
    <row r="229" ht="33.6" customHeight="1" spans="1:17">
      <c r="A229" s="63">
        <f t="shared" si="13"/>
        <v>226</v>
      </c>
      <c r="B229" s="64">
        <v>46166</v>
      </c>
      <c r="C229" s="65"/>
      <c r="D229" s="66" t="s">
        <v>21</v>
      </c>
      <c r="E229" s="66" t="s">
        <v>21</v>
      </c>
      <c r="F229" s="66" t="s">
        <v>744</v>
      </c>
      <c r="G229" s="66" t="s">
        <v>777</v>
      </c>
      <c r="H229" s="66" t="s">
        <v>745</v>
      </c>
      <c r="I229" s="66" t="s">
        <v>270</v>
      </c>
      <c r="J229" s="66" t="s">
        <v>271</v>
      </c>
      <c r="K229" s="66" t="s">
        <v>747</v>
      </c>
      <c r="L229" s="67">
        <v>9750000</v>
      </c>
      <c r="M229" s="67">
        <v>0</v>
      </c>
      <c r="N229" s="68">
        <f t="shared" si="15"/>
        <v>9750000</v>
      </c>
      <c r="O229" s="69">
        <f t="shared" si="14"/>
        <v>9750000</v>
      </c>
      <c r="P229" s="42" t="str">
        <f>IFERROR(VLOOKUP(J229,'Mã NV'!$B:$C,2,0),"")</f>
        <v>XE01507</v>
      </c>
      <c r="Q229" s="70" t="str">
        <f>IFERROR(VLOOKUP(I229,'Mã NV'!$J:$K,2,0),"")</f>
        <v>15T</v>
      </c>
    </row>
    <row r="230" ht="33.6" customHeight="1" spans="1:17">
      <c r="A230" s="63">
        <f t="shared" si="13"/>
        <v>227</v>
      </c>
      <c r="B230" s="64">
        <v>46167</v>
      </c>
      <c r="C230" s="65"/>
      <c r="D230" s="66" t="s">
        <v>21</v>
      </c>
      <c r="E230" s="66" t="s">
        <v>21</v>
      </c>
      <c r="F230" s="66" t="s">
        <v>744</v>
      </c>
      <c r="G230" s="66" t="s">
        <v>750</v>
      </c>
      <c r="H230" s="66" t="s">
        <v>755</v>
      </c>
      <c r="I230" s="66" t="s">
        <v>161</v>
      </c>
      <c r="J230" s="66" t="s">
        <v>225</v>
      </c>
      <c r="K230" s="66" t="s">
        <v>747</v>
      </c>
      <c r="L230" s="67">
        <v>11000000</v>
      </c>
      <c r="M230" s="67">
        <v>0</v>
      </c>
      <c r="N230" s="68">
        <f t="shared" si="15"/>
        <v>11000000</v>
      </c>
      <c r="O230" s="69">
        <f t="shared" si="14"/>
        <v>11000000</v>
      </c>
      <c r="P230" s="42" t="str">
        <f>IFERROR(VLOOKUP(J230,'Mã NV'!$B:$C,2,0),"")</f>
        <v>XE01164</v>
      </c>
      <c r="Q230" s="70" t="str">
        <f>IFERROR(VLOOKUP(I230,'Mã NV'!$J:$K,2,0),"")</f>
        <v>8T</v>
      </c>
    </row>
    <row r="231" ht="33.6" customHeight="1" spans="1:17">
      <c r="A231" s="63">
        <f t="shared" si="13"/>
        <v>228</v>
      </c>
      <c r="B231" s="64">
        <v>46167</v>
      </c>
      <c r="C231" s="65"/>
      <c r="D231" s="66" t="s">
        <v>21</v>
      </c>
      <c r="E231" s="66" t="s">
        <v>21</v>
      </c>
      <c r="F231" s="66" t="s">
        <v>744</v>
      </c>
      <c r="G231" s="66" t="s">
        <v>750</v>
      </c>
      <c r="H231" s="66" t="s">
        <v>755</v>
      </c>
      <c r="I231" s="66" t="s">
        <v>161</v>
      </c>
      <c r="J231" s="66" t="s">
        <v>371</v>
      </c>
      <c r="K231" s="66" t="s">
        <v>747</v>
      </c>
      <c r="L231" s="67">
        <v>11000000</v>
      </c>
      <c r="M231" s="67">
        <v>0</v>
      </c>
      <c r="N231" s="68">
        <f t="shared" si="15"/>
        <v>11000000</v>
      </c>
      <c r="O231" s="69">
        <f t="shared" si="14"/>
        <v>11000000</v>
      </c>
      <c r="P231" s="42" t="str">
        <f>IFERROR(VLOOKUP(J231,'Mã NV'!$B:$C,2,0),"")</f>
        <v>XE01698</v>
      </c>
      <c r="Q231" s="70" t="str">
        <f>IFERROR(VLOOKUP(I231,'Mã NV'!$J:$K,2,0),"")</f>
        <v>8T</v>
      </c>
    </row>
    <row r="232" ht="33.6" customHeight="1" spans="1:17">
      <c r="A232" s="63">
        <f t="shared" si="13"/>
        <v>229</v>
      </c>
      <c r="B232" s="64">
        <v>46168</v>
      </c>
      <c r="C232" s="65"/>
      <c r="D232" s="66" t="s">
        <v>21</v>
      </c>
      <c r="E232" s="66" t="s">
        <v>21</v>
      </c>
      <c r="F232" s="66" t="s">
        <v>744</v>
      </c>
      <c r="G232" s="66" t="s">
        <v>750</v>
      </c>
      <c r="H232" s="66" t="s">
        <v>755</v>
      </c>
      <c r="I232" s="66" t="s">
        <v>103</v>
      </c>
      <c r="J232" s="66" t="s">
        <v>181</v>
      </c>
      <c r="K232" s="66" t="s">
        <v>747</v>
      </c>
      <c r="L232" s="67">
        <v>11000000</v>
      </c>
      <c r="M232" s="67">
        <v>0</v>
      </c>
      <c r="N232" s="68">
        <f t="shared" si="15"/>
        <v>11000000</v>
      </c>
      <c r="O232" s="69">
        <f t="shared" si="14"/>
        <v>11000000</v>
      </c>
      <c r="P232" s="42" t="str">
        <f>IFERROR(VLOOKUP(J232,'Mã NV'!$B:$C,2,0),"")</f>
        <v>XE01281</v>
      </c>
      <c r="Q232" s="70" t="str">
        <f>IFERROR(VLOOKUP(I232,'Mã NV'!$J:$K,2,0),"")</f>
        <v>7.1t</v>
      </c>
    </row>
    <row r="233" ht="33.6" customHeight="1" spans="1:17">
      <c r="A233" s="63">
        <f t="shared" si="13"/>
        <v>230</v>
      </c>
      <c r="B233" s="64">
        <v>46168</v>
      </c>
      <c r="C233" s="65"/>
      <c r="D233" s="66" t="s">
        <v>21</v>
      </c>
      <c r="E233" s="66" t="s">
        <v>21</v>
      </c>
      <c r="F233" s="66" t="s">
        <v>744</v>
      </c>
      <c r="G233" s="66" t="s">
        <v>750</v>
      </c>
      <c r="H233" s="66" t="s">
        <v>755</v>
      </c>
      <c r="I233" s="66" t="s">
        <v>103</v>
      </c>
      <c r="J233" s="66" t="s">
        <v>172</v>
      </c>
      <c r="K233" s="66" t="s">
        <v>747</v>
      </c>
      <c r="L233" s="67">
        <v>11000000</v>
      </c>
      <c r="M233" s="67">
        <v>0</v>
      </c>
      <c r="N233" s="68">
        <f t="shared" si="15"/>
        <v>11000000</v>
      </c>
      <c r="O233" s="69">
        <f t="shared" si="14"/>
        <v>11000000</v>
      </c>
      <c r="P233" s="42" t="str">
        <f>IFERROR(VLOOKUP(J233,'Mã NV'!$B:$C,2,0),"")</f>
        <v>XE01433</v>
      </c>
      <c r="Q233" s="70" t="str">
        <f>IFERROR(VLOOKUP(I233,'Mã NV'!$J:$K,2,0),"")</f>
        <v>7.1t</v>
      </c>
    </row>
    <row r="234" ht="33.6" customHeight="1" spans="1:17">
      <c r="A234" s="63">
        <f t="shared" si="13"/>
        <v>231</v>
      </c>
      <c r="B234" s="64">
        <v>46169</v>
      </c>
      <c r="C234" s="65"/>
      <c r="D234" s="66" t="s">
        <v>21</v>
      </c>
      <c r="E234" s="66" t="s">
        <v>21</v>
      </c>
      <c r="F234" s="66" t="s">
        <v>744</v>
      </c>
      <c r="G234" s="66" t="s">
        <v>750</v>
      </c>
      <c r="H234" s="66" t="s">
        <v>772</v>
      </c>
      <c r="I234" s="66" t="s">
        <v>176</v>
      </c>
      <c r="J234" s="66" t="s">
        <v>192</v>
      </c>
      <c r="K234" s="66" t="s">
        <v>747</v>
      </c>
      <c r="L234" s="67">
        <v>9750000</v>
      </c>
      <c r="M234" s="67">
        <v>0</v>
      </c>
      <c r="N234" s="68">
        <f t="shared" si="15"/>
        <v>9750000</v>
      </c>
      <c r="O234" s="69">
        <f t="shared" si="14"/>
        <v>9750000</v>
      </c>
      <c r="P234" s="42" t="str">
        <f>IFERROR(VLOOKUP(J234,'Mã NV'!$B:$C,2,0),"")</f>
        <v>XE01335</v>
      </c>
      <c r="Q234" s="70" t="str">
        <f>IFERROR(VLOOKUP(I234,'Mã NV'!$J:$K,2,0),"")</f>
        <v>8T</v>
      </c>
    </row>
    <row r="235" ht="33.6" customHeight="1" spans="1:17">
      <c r="A235" s="63">
        <f t="shared" si="13"/>
        <v>232</v>
      </c>
      <c r="B235" s="64">
        <v>46169</v>
      </c>
      <c r="C235" s="65"/>
      <c r="D235" s="66" t="s">
        <v>21</v>
      </c>
      <c r="E235" s="66" t="s">
        <v>21</v>
      </c>
      <c r="F235" s="66" t="s">
        <v>744</v>
      </c>
      <c r="G235" s="66" t="s">
        <v>750</v>
      </c>
      <c r="H235" s="66" t="s">
        <v>772</v>
      </c>
      <c r="I235" s="66" t="s">
        <v>176</v>
      </c>
      <c r="J235" s="66" t="s">
        <v>354</v>
      </c>
      <c r="K235" s="66" t="s">
        <v>747</v>
      </c>
      <c r="L235" s="67">
        <v>9750000</v>
      </c>
      <c r="M235" s="67">
        <v>0</v>
      </c>
      <c r="N235" s="68">
        <f t="shared" si="15"/>
        <v>9750000</v>
      </c>
      <c r="O235" s="69">
        <f t="shared" si="14"/>
        <v>9750000</v>
      </c>
      <c r="P235" s="42" t="str">
        <f>IFERROR(VLOOKUP(J235,'Mã NV'!$B:$C,2,0),"")</f>
        <v>XE01644</v>
      </c>
      <c r="Q235" s="70" t="str">
        <f>IFERROR(VLOOKUP(I235,'Mã NV'!$J:$K,2,0),"")</f>
        <v>8T</v>
      </c>
    </row>
    <row r="236" ht="33.6" customHeight="1" spans="1:17">
      <c r="A236" s="63">
        <f t="shared" si="13"/>
        <v>233</v>
      </c>
      <c r="B236" s="64">
        <v>46169</v>
      </c>
      <c r="C236" s="65"/>
      <c r="D236" s="66" t="s">
        <v>21</v>
      </c>
      <c r="E236" s="66" t="s">
        <v>21</v>
      </c>
      <c r="F236" s="66" t="s">
        <v>744</v>
      </c>
      <c r="G236" s="66" t="s">
        <v>770</v>
      </c>
      <c r="H236" s="66" t="s">
        <v>799</v>
      </c>
      <c r="I236" s="66" t="s">
        <v>293</v>
      </c>
      <c r="J236" s="66" t="s">
        <v>294</v>
      </c>
      <c r="K236" s="66" t="s">
        <v>747</v>
      </c>
      <c r="L236" s="67">
        <v>12250000</v>
      </c>
      <c r="M236" s="67">
        <v>0</v>
      </c>
      <c r="N236" s="68">
        <f t="shared" si="15"/>
        <v>12250000</v>
      </c>
      <c r="O236" s="69">
        <f t="shared" si="14"/>
        <v>12250000</v>
      </c>
      <c r="P236" s="42" t="str">
        <f>IFERROR(VLOOKUP(J236,'Mã NV'!$B:$C,2,0),"")</f>
        <v>XE01551</v>
      </c>
      <c r="Q236" s="70" t="str">
        <f>IFERROR(VLOOKUP(I236,'Mã NV'!$J:$K,2,0),"")</f>
        <v>8T</v>
      </c>
    </row>
    <row r="237" ht="33.6" customHeight="1" spans="1:17">
      <c r="A237" s="63">
        <f t="shared" si="13"/>
        <v>234</v>
      </c>
      <c r="B237" s="64">
        <v>46169</v>
      </c>
      <c r="C237" s="65"/>
      <c r="D237" s="66" t="s">
        <v>21</v>
      </c>
      <c r="E237" s="66" t="s">
        <v>21</v>
      </c>
      <c r="F237" s="66" t="s">
        <v>744</v>
      </c>
      <c r="G237" s="66" t="s">
        <v>770</v>
      </c>
      <c r="H237" s="66" t="s">
        <v>799</v>
      </c>
      <c r="I237" s="66" t="s">
        <v>293</v>
      </c>
      <c r="J237" s="66" t="s">
        <v>291</v>
      </c>
      <c r="K237" s="66" t="s">
        <v>747</v>
      </c>
      <c r="L237" s="67">
        <v>12250000</v>
      </c>
      <c r="M237" s="67">
        <v>0</v>
      </c>
      <c r="N237" s="68">
        <f t="shared" si="15"/>
        <v>12250000</v>
      </c>
      <c r="O237" s="69">
        <f t="shared" si="14"/>
        <v>12250000</v>
      </c>
      <c r="P237" s="42" t="str">
        <f>IFERROR(VLOOKUP(J237,'Mã NV'!$B:$C,2,0),"")</f>
        <v>XE01552</v>
      </c>
      <c r="Q237" s="70" t="str">
        <f>IFERROR(VLOOKUP(I237,'Mã NV'!$J:$K,2,0),"")</f>
        <v>8T</v>
      </c>
    </row>
    <row r="238" ht="33.6" customHeight="1" spans="1:17">
      <c r="A238" s="63">
        <f t="shared" si="13"/>
        <v>235</v>
      </c>
      <c r="B238" s="64">
        <v>46169</v>
      </c>
      <c r="C238" s="65"/>
      <c r="D238" s="66" t="s">
        <v>21</v>
      </c>
      <c r="E238" s="66" t="s">
        <v>21</v>
      </c>
      <c r="F238" s="66" t="s">
        <v>744</v>
      </c>
      <c r="G238" s="66" t="s">
        <v>777</v>
      </c>
      <c r="H238" s="66" t="s">
        <v>745</v>
      </c>
      <c r="I238" s="66" t="s">
        <v>109</v>
      </c>
      <c r="J238" s="66" t="s">
        <v>107</v>
      </c>
      <c r="K238" s="66" t="s">
        <v>747</v>
      </c>
      <c r="L238" s="67">
        <v>9027778</v>
      </c>
      <c r="M238" s="67">
        <v>0</v>
      </c>
      <c r="N238" s="68">
        <f t="shared" si="15"/>
        <v>9027778</v>
      </c>
      <c r="O238" s="69">
        <f t="shared" si="14"/>
        <v>9027778</v>
      </c>
      <c r="P238" s="42" t="str">
        <f>IFERROR(VLOOKUP(J238,'Mã NV'!$B:$C,2,0),"")</f>
        <v>XE01102</v>
      </c>
      <c r="Q238" s="70" t="str">
        <f>IFERROR(VLOOKUP(I238,'Mã NV'!$J:$K,2,0),"")</f>
        <v>15T</v>
      </c>
    </row>
    <row r="239" ht="33.6" customHeight="1" spans="1:17">
      <c r="A239" s="63">
        <f t="shared" si="13"/>
        <v>236</v>
      </c>
      <c r="B239" s="64">
        <v>46169</v>
      </c>
      <c r="C239" s="65"/>
      <c r="D239" s="66" t="s">
        <v>21</v>
      </c>
      <c r="E239" s="66" t="s">
        <v>21</v>
      </c>
      <c r="F239" s="66" t="s">
        <v>744</v>
      </c>
      <c r="G239" s="66" t="s">
        <v>777</v>
      </c>
      <c r="H239" s="66" t="s">
        <v>745</v>
      </c>
      <c r="I239" s="66" t="s">
        <v>109</v>
      </c>
      <c r="J239" s="66" t="s">
        <v>120</v>
      </c>
      <c r="K239" s="66" t="s">
        <v>747</v>
      </c>
      <c r="L239" s="67">
        <v>9027778</v>
      </c>
      <c r="M239" s="67">
        <v>0</v>
      </c>
      <c r="N239" s="68">
        <f t="shared" si="15"/>
        <v>9027778</v>
      </c>
      <c r="O239" s="69">
        <f t="shared" si="14"/>
        <v>9027778</v>
      </c>
      <c r="P239" s="42" t="str">
        <f>IFERROR(VLOOKUP(J239,'Mã NV'!$B:$C,2,0),"")</f>
        <v>XE01315</v>
      </c>
      <c r="Q239" s="70" t="str">
        <f>IFERROR(VLOOKUP(I239,'Mã NV'!$J:$K,2,0),"")</f>
        <v>15T</v>
      </c>
    </row>
    <row r="240" ht="33.6" customHeight="1" spans="1:17">
      <c r="A240" s="63">
        <f t="shared" si="13"/>
        <v>237</v>
      </c>
      <c r="B240" s="64">
        <v>46169</v>
      </c>
      <c r="C240" s="65"/>
      <c r="D240" s="66" t="s">
        <v>21</v>
      </c>
      <c r="E240" s="66" t="s">
        <v>21</v>
      </c>
      <c r="F240" s="66" t="s">
        <v>744</v>
      </c>
      <c r="G240" s="66" t="s">
        <v>750</v>
      </c>
      <c r="H240" s="66" t="s">
        <v>755</v>
      </c>
      <c r="I240" s="66" t="s">
        <v>170</v>
      </c>
      <c r="J240" s="66" t="s">
        <v>168</v>
      </c>
      <c r="K240" s="66" t="s">
        <v>747</v>
      </c>
      <c r="L240" s="67">
        <v>11000000</v>
      </c>
      <c r="M240" s="67">
        <v>0</v>
      </c>
      <c r="N240" s="68">
        <f t="shared" si="15"/>
        <v>11000000</v>
      </c>
      <c r="O240" s="69">
        <f t="shared" si="14"/>
        <v>11000000</v>
      </c>
      <c r="P240" s="42" t="str">
        <f>IFERROR(VLOOKUP(J240,'Mã NV'!$B:$C,2,0),"")</f>
        <v>XE01263</v>
      </c>
      <c r="Q240" s="70" t="str">
        <f>IFERROR(VLOOKUP(I240,'Mã NV'!$J:$K,2,0),"")</f>
        <v>8T</v>
      </c>
    </row>
    <row r="241" ht="33.6" customHeight="1" spans="1:19">
      <c r="A241" s="63">
        <f t="shared" si="13"/>
        <v>238</v>
      </c>
      <c r="B241" s="64">
        <v>46169</v>
      </c>
      <c r="C241" s="65"/>
      <c r="D241" s="66" t="s">
        <v>21</v>
      </c>
      <c r="E241" s="66" t="s">
        <v>21</v>
      </c>
      <c r="F241" s="66" t="s">
        <v>744</v>
      </c>
      <c r="G241" s="66" t="s">
        <v>750</v>
      </c>
      <c r="H241" s="66" t="s">
        <v>755</v>
      </c>
      <c r="I241" s="66" t="s">
        <v>170</v>
      </c>
      <c r="J241" s="66" t="s">
        <v>312</v>
      </c>
      <c r="K241" s="66" t="s">
        <v>747</v>
      </c>
      <c r="L241" s="67">
        <v>11000000</v>
      </c>
      <c r="M241" s="67">
        <v>0</v>
      </c>
      <c r="N241" s="68">
        <f t="shared" si="15"/>
        <v>11000000</v>
      </c>
      <c r="O241" s="69">
        <f t="shared" si="14"/>
        <v>11000000</v>
      </c>
      <c r="P241" s="42" t="str">
        <f>IFERROR(VLOOKUP(J241,'Mã NV'!$B:$C,2,0),"")</f>
        <v>XE01582</v>
      </c>
      <c r="Q241" s="70" t="str">
        <f>IFERROR(VLOOKUP(I241,'Mã NV'!$J:$K,2,0),"")</f>
        <v>8T</v>
      </c>
    </row>
    <row r="242" ht="33.6" customHeight="1" spans="1:19">
      <c r="A242" s="63">
        <f t="shared" si="13"/>
        <v>239</v>
      </c>
      <c r="B242" s="64">
        <v>46148</v>
      </c>
      <c r="C242" s="65"/>
      <c r="D242" s="66" t="s">
        <v>13</v>
      </c>
      <c r="E242" s="66" t="s">
        <v>13</v>
      </c>
      <c r="F242" s="66" t="s">
        <v>744</v>
      </c>
      <c r="G242" s="66" t="s">
        <v>745</v>
      </c>
      <c r="H242" s="66" t="s">
        <v>800</v>
      </c>
      <c r="I242" s="66" t="s">
        <v>17</v>
      </c>
      <c r="J242" s="66" t="s">
        <v>15</v>
      </c>
      <c r="K242" s="66" t="s">
        <v>747</v>
      </c>
      <c r="L242" s="67">
        <v>1842500</v>
      </c>
      <c r="M242" s="67">
        <v>0</v>
      </c>
      <c r="N242" s="68">
        <f t="shared" si="15"/>
        <v>1842500</v>
      </c>
      <c r="O242" s="69">
        <f t="shared" si="14"/>
        <v>1842500</v>
      </c>
      <c r="P242" s="42" t="str">
        <f>IFERROR(VLOOKUP(J242,'Mã NV'!$B:$C,2,0),"")</f>
        <v>XE01331</v>
      </c>
      <c r="Q242" s="70" t="str">
        <f>IFERROR(VLOOKUP(I242,'Mã NV'!$J:$K,2,0),"")</f>
        <v>15T</v>
      </c>
      <c r="S242" s="44">
        <f>L242*3%</f>
        <v>55275</v>
      </c>
    </row>
    <row r="243" ht="33.6" customHeight="1" spans="1:19">
      <c r="A243" s="63">
        <f t="shared" si="13"/>
        <v>240</v>
      </c>
      <c r="B243" s="64">
        <v>46148</v>
      </c>
      <c r="C243" s="65"/>
      <c r="D243" s="66" t="s">
        <v>13</v>
      </c>
      <c r="E243" s="66" t="s">
        <v>13</v>
      </c>
      <c r="F243" s="66" t="s">
        <v>744</v>
      </c>
      <c r="G243" s="66" t="s">
        <v>745</v>
      </c>
      <c r="H243" s="66" t="s">
        <v>800</v>
      </c>
      <c r="I243" s="66" t="s">
        <v>17</v>
      </c>
      <c r="J243" s="66" t="s">
        <v>341</v>
      </c>
      <c r="K243" s="66" t="s">
        <v>747</v>
      </c>
      <c r="L243" s="67">
        <v>1842500</v>
      </c>
      <c r="M243" s="67">
        <v>0</v>
      </c>
      <c r="N243" s="68">
        <f t="shared" si="15"/>
        <v>1842500</v>
      </c>
      <c r="O243" s="69">
        <f t="shared" si="14"/>
        <v>1842500</v>
      </c>
      <c r="P243" s="42" t="str">
        <f>IFERROR(VLOOKUP(J243,'Mã NV'!$B:$C,2,0),"")</f>
        <v>XE01645</v>
      </c>
      <c r="Q243" s="70" t="str">
        <f>IFERROR(VLOOKUP(I243,'Mã NV'!$J:$K,2,0),"")</f>
        <v>15T</v>
      </c>
      <c r="S243" s="44">
        <f t="shared" ref="S243:S306" si="16">L243*3%</f>
        <v>55275</v>
      </c>
    </row>
    <row r="244" ht="33.6" customHeight="1" spans="1:19">
      <c r="A244" s="63">
        <f t="shared" si="13"/>
        <v>241</v>
      </c>
      <c r="B244" s="64">
        <v>46148</v>
      </c>
      <c r="C244" s="65"/>
      <c r="D244" s="66" t="s">
        <v>13</v>
      </c>
      <c r="E244" s="66" t="s">
        <v>13</v>
      </c>
      <c r="F244" s="66" t="s">
        <v>744</v>
      </c>
      <c r="G244" s="66" t="s">
        <v>745</v>
      </c>
      <c r="H244" s="66" t="s">
        <v>777</v>
      </c>
      <c r="I244" s="66" t="s">
        <v>17</v>
      </c>
      <c r="J244" s="66" t="s">
        <v>15</v>
      </c>
      <c r="K244" s="66" t="s">
        <v>747</v>
      </c>
      <c r="L244" s="67">
        <v>1842500</v>
      </c>
      <c r="M244" s="67">
        <v>0</v>
      </c>
      <c r="N244" s="68">
        <f t="shared" si="15"/>
        <v>1842500</v>
      </c>
      <c r="O244" s="69">
        <f t="shared" si="14"/>
        <v>1842500</v>
      </c>
      <c r="P244" s="42" t="str">
        <f>IFERROR(VLOOKUP(J244,'Mã NV'!$B:$C,2,0),"")</f>
        <v>XE01331</v>
      </c>
      <c r="Q244" s="70" t="str">
        <f>IFERROR(VLOOKUP(I244,'Mã NV'!$J:$K,2,0),"")</f>
        <v>15T</v>
      </c>
      <c r="S244" s="44">
        <f t="shared" si="16"/>
        <v>55275</v>
      </c>
    </row>
    <row r="245" ht="33.6" customHeight="1" spans="1:19">
      <c r="A245" s="63">
        <f t="shared" si="13"/>
        <v>242</v>
      </c>
      <c r="B245" s="64">
        <v>46148</v>
      </c>
      <c r="C245" s="65"/>
      <c r="D245" s="66" t="s">
        <v>13</v>
      </c>
      <c r="E245" s="66" t="s">
        <v>13</v>
      </c>
      <c r="F245" s="66" t="s">
        <v>744</v>
      </c>
      <c r="G245" s="66" t="s">
        <v>745</v>
      </c>
      <c r="H245" s="66" t="s">
        <v>777</v>
      </c>
      <c r="I245" s="66" t="s">
        <v>17</v>
      </c>
      <c r="J245" s="66" t="s">
        <v>341</v>
      </c>
      <c r="K245" s="66" t="s">
        <v>747</v>
      </c>
      <c r="L245" s="67">
        <v>1842500</v>
      </c>
      <c r="M245" s="67">
        <v>0</v>
      </c>
      <c r="N245" s="68">
        <f t="shared" si="15"/>
        <v>1842500</v>
      </c>
      <c r="O245" s="69">
        <f t="shared" si="14"/>
        <v>1842500</v>
      </c>
      <c r="P245" s="42" t="str">
        <f>IFERROR(VLOOKUP(J245,'Mã NV'!$B:$C,2,0),"")</f>
        <v>XE01645</v>
      </c>
      <c r="Q245" s="70" t="str">
        <f>IFERROR(VLOOKUP(I245,'Mã NV'!$J:$K,2,0),"")</f>
        <v>15T</v>
      </c>
      <c r="S245" s="44">
        <f t="shared" si="16"/>
        <v>55275</v>
      </c>
    </row>
    <row r="246" ht="33.6" customHeight="1" spans="1:19">
      <c r="A246" s="63">
        <f t="shared" si="13"/>
        <v>243</v>
      </c>
      <c r="B246" s="64">
        <v>46148</v>
      </c>
      <c r="C246" s="65"/>
      <c r="D246" s="66" t="s">
        <v>13</v>
      </c>
      <c r="E246" s="66" t="s">
        <v>13</v>
      </c>
      <c r="F246" s="66" t="s">
        <v>744</v>
      </c>
      <c r="G246" s="66" t="s">
        <v>745</v>
      </c>
      <c r="H246" s="66" t="s">
        <v>774</v>
      </c>
      <c r="I246" s="66" t="s">
        <v>17</v>
      </c>
      <c r="J246" s="66" t="s">
        <v>15</v>
      </c>
      <c r="K246" s="66" t="s">
        <v>747</v>
      </c>
      <c r="L246" s="67">
        <v>1375000</v>
      </c>
      <c r="M246" s="67">
        <v>0</v>
      </c>
      <c r="N246" s="68">
        <f t="shared" si="15"/>
        <v>1375000</v>
      </c>
      <c r="O246" s="69">
        <f t="shared" si="14"/>
        <v>1375000</v>
      </c>
      <c r="P246" s="42" t="str">
        <f>IFERROR(VLOOKUP(J246,'Mã NV'!$B:$C,2,0),"")</f>
        <v>XE01331</v>
      </c>
      <c r="Q246" s="70" t="str">
        <f>IFERROR(VLOOKUP(I246,'Mã NV'!$J:$K,2,0),"")</f>
        <v>15T</v>
      </c>
      <c r="S246" s="44">
        <f t="shared" si="16"/>
        <v>41250</v>
      </c>
    </row>
    <row r="247" ht="33.6" customHeight="1" spans="1:19">
      <c r="A247" s="63">
        <f t="shared" si="13"/>
        <v>244</v>
      </c>
      <c r="B247" s="64">
        <v>46148</v>
      </c>
      <c r="C247" s="65"/>
      <c r="D247" s="66" t="s">
        <v>13</v>
      </c>
      <c r="E247" s="66" t="s">
        <v>13</v>
      </c>
      <c r="F247" s="66" t="s">
        <v>744</v>
      </c>
      <c r="G247" s="66" t="s">
        <v>745</v>
      </c>
      <c r="H247" s="66" t="s">
        <v>774</v>
      </c>
      <c r="I247" s="66" t="s">
        <v>17</v>
      </c>
      <c r="J247" s="66" t="s">
        <v>341</v>
      </c>
      <c r="K247" s="66" t="s">
        <v>747</v>
      </c>
      <c r="L247" s="67">
        <v>1375000</v>
      </c>
      <c r="M247" s="67">
        <v>0</v>
      </c>
      <c r="N247" s="68">
        <f t="shared" si="15"/>
        <v>1375000</v>
      </c>
      <c r="O247" s="69">
        <f t="shared" si="14"/>
        <v>1375000</v>
      </c>
      <c r="P247" s="42" t="str">
        <f>IFERROR(VLOOKUP(J247,'Mã NV'!$B:$C,2,0),"")</f>
        <v>XE01645</v>
      </c>
      <c r="Q247" s="70" t="str">
        <f>IFERROR(VLOOKUP(I247,'Mã NV'!$J:$K,2,0),"")</f>
        <v>15T</v>
      </c>
      <c r="S247" s="44">
        <f t="shared" si="16"/>
        <v>41250</v>
      </c>
    </row>
    <row r="248" ht="33.6" customHeight="1" spans="1:19">
      <c r="A248" s="63">
        <f t="shared" si="13"/>
        <v>245</v>
      </c>
      <c r="B248" s="64">
        <v>46148</v>
      </c>
      <c r="C248" s="65"/>
      <c r="D248" s="66" t="s">
        <v>13</v>
      </c>
      <c r="E248" s="66" t="s">
        <v>13</v>
      </c>
      <c r="F248" s="66" t="s">
        <v>744</v>
      </c>
      <c r="G248" s="66" t="s">
        <v>745</v>
      </c>
      <c r="H248" s="66" t="s">
        <v>801</v>
      </c>
      <c r="I248" s="66" t="s">
        <v>103</v>
      </c>
      <c r="J248" s="66" t="s">
        <v>101</v>
      </c>
      <c r="K248" s="66" t="s">
        <v>747</v>
      </c>
      <c r="L248" s="67">
        <v>2425000</v>
      </c>
      <c r="M248" s="67">
        <v>500000</v>
      </c>
      <c r="N248" s="68">
        <f t="shared" si="15"/>
        <v>1925000</v>
      </c>
      <c r="O248" s="69">
        <f t="shared" si="14"/>
        <v>1925000</v>
      </c>
      <c r="P248" s="42" t="str">
        <f>IFERROR(VLOOKUP(J248,'Mã NV'!$B:$C,2,0),"")</f>
        <v>XE01434</v>
      </c>
      <c r="Q248" s="70" t="str">
        <f>IFERROR(VLOOKUP(I248,'Mã NV'!$J:$K,2,0),"")</f>
        <v>7.1t</v>
      </c>
      <c r="S248" s="44">
        <f t="shared" si="16"/>
        <v>72750</v>
      </c>
    </row>
    <row r="249" ht="33.6" customHeight="1" spans="1:19">
      <c r="A249" s="63">
        <f t="shared" si="13"/>
        <v>246</v>
      </c>
      <c r="B249" s="64">
        <v>46148</v>
      </c>
      <c r="C249" s="65"/>
      <c r="D249" s="66" t="s">
        <v>13</v>
      </c>
      <c r="E249" s="66" t="s">
        <v>13</v>
      </c>
      <c r="F249" s="66" t="s">
        <v>744</v>
      </c>
      <c r="G249" s="66" t="s">
        <v>745</v>
      </c>
      <c r="H249" s="66" t="s">
        <v>801</v>
      </c>
      <c r="I249" s="66" t="s">
        <v>103</v>
      </c>
      <c r="J249" s="66" t="s">
        <v>172</v>
      </c>
      <c r="K249" s="66" t="s">
        <v>747</v>
      </c>
      <c r="L249" s="67">
        <v>2425000</v>
      </c>
      <c r="M249" s="67">
        <v>500000</v>
      </c>
      <c r="N249" s="68">
        <f t="shared" si="15"/>
        <v>1925000</v>
      </c>
      <c r="O249" s="69">
        <f t="shared" si="14"/>
        <v>1925000</v>
      </c>
      <c r="P249" s="42" t="str">
        <f>IFERROR(VLOOKUP(J249,'Mã NV'!$B:$C,2,0),"")</f>
        <v>XE01433</v>
      </c>
      <c r="Q249" s="70" t="str">
        <f>IFERROR(VLOOKUP(I249,'Mã NV'!$J:$K,2,0),"")</f>
        <v>7.1t</v>
      </c>
      <c r="S249" s="44">
        <f t="shared" si="16"/>
        <v>72750</v>
      </c>
    </row>
    <row r="250" ht="33.6" customHeight="1" spans="1:19">
      <c r="A250" s="63">
        <f t="shared" si="13"/>
        <v>247</v>
      </c>
      <c r="B250" s="64">
        <v>46148</v>
      </c>
      <c r="C250" s="65"/>
      <c r="D250" s="66" t="s">
        <v>13</v>
      </c>
      <c r="E250" s="66" t="s">
        <v>13</v>
      </c>
      <c r="F250" s="66" t="s">
        <v>744</v>
      </c>
      <c r="G250" s="66" t="s">
        <v>745</v>
      </c>
      <c r="H250" s="66" t="s">
        <v>802</v>
      </c>
      <c r="I250" s="66" t="s">
        <v>103</v>
      </c>
      <c r="J250" s="66" t="s">
        <v>101</v>
      </c>
      <c r="K250" s="66" t="s">
        <v>747</v>
      </c>
      <c r="L250" s="67">
        <v>1575000</v>
      </c>
      <c r="M250" s="67">
        <v>200000</v>
      </c>
      <c r="N250" s="68">
        <f t="shared" si="15"/>
        <v>1375000</v>
      </c>
      <c r="O250" s="69">
        <f t="shared" si="14"/>
        <v>1375000</v>
      </c>
      <c r="P250" s="42" t="str">
        <f>IFERROR(VLOOKUP(J250,'Mã NV'!$B:$C,2,0),"")</f>
        <v>XE01434</v>
      </c>
      <c r="Q250" s="70" t="str">
        <f>IFERROR(VLOOKUP(I250,'Mã NV'!$J:$K,2,0),"")</f>
        <v>7.1t</v>
      </c>
      <c r="S250" s="44">
        <f t="shared" si="16"/>
        <v>47250</v>
      </c>
    </row>
    <row r="251" ht="33.6" customHeight="1" spans="1:19">
      <c r="A251" s="63">
        <f t="shared" si="13"/>
        <v>248</v>
      </c>
      <c r="B251" s="64">
        <v>46148</v>
      </c>
      <c r="C251" s="65"/>
      <c r="D251" s="66" t="s">
        <v>13</v>
      </c>
      <c r="E251" s="66" t="s">
        <v>13</v>
      </c>
      <c r="F251" s="66" t="s">
        <v>744</v>
      </c>
      <c r="G251" s="66" t="s">
        <v>745</v>
      </c>
      <c r="H251" s="66" t="s">
        <v>802</v>
      </c>
      <c r="I251" s="66" t="s">
        <v>103</v>
      </c>
      <c r="J251" s="66" t="s">
        <v>172</v>
      </c>
      <c r="K251" s="66" t="s">
        <v>747</v>
      </c>
      <c r="L251" s="67">
        <v>1575000</v>
      </c>
      <c r="M251" s="67">
        <v>200000</v>
      </c>
      <c r="N251" s="68">
        <f t="shared" si="15"/>
        <v>1375000</v>
      </c>
      <c r="O251" s="69">
        <f t="shared" si="14"/>
        <v>1375000</v>
      </c>
      <c r="P251" s="42" t="str">
        <f>IFERROR(VLOOKUP(J251,'Mã NV'!$B:$C,2,0),"")</f>
        <v>XE01433</v>
      </c>
      <c r="Q251" s="70" t="str">
        <f>IFERROR(VLOOKUP(I251,'Mã NV'!$J:$K,2,0),"")</f>
        <v>7.1t</v>
      </c>
      <c r="S251" s="44">
        <f t="shared" si="16"/>
        <v>47250</v>
      </c>
    </row>
    <row r="252" ht="33.6" customHeight="1" spans="1:19">
      <c r="A252" s="63">
        <f t="shared" si="13"/>
        <v>249</v>
      </c>
      <c r="B252" s="64">
        <v>46150</v>
      </c>
      <c r="C252" s="65"/>
      <c r="D252" s="66" t="s">
        <v>13</v>
      </c>
      <c r="E252" s="66" t="s">
        <v>13</v>
      </c>
      <c r="F252" s="66" t="s">
        <v>744</v>
      </c>
      <c r="G252" s="66" t="s">
        <v>745</v>
      </c>
      <c r="H252" s="66" t="s">
        <v>803</v>
      </c>
      <c r="I252" s="66" t="s">
        <v>379</v>
      </c>
      <c r="J252" s="66" t="s">
        <v>377</v>
      </c>
      <c r="K252" s="66" t="s">
        <v>747</v>
      </c>
      <c r="L252" s="67">
        <v>3400000</v>
      </c>
      <c r="M252" s="67">
        <v>400000</v>
      </c>
      <c r="N252" s="68">
        <f t="shared" si="15"/>
        <v>3000000</v>
      </c>
      <c r="O252" s="69">
        <f t="shared" si="14"/>
        <v>3000000</v>
      </c>
      <c r="P252" s="42" t="str">
        <f>IFERROR(VLOOKUP(J252,'Mã NV'!$B:$C,2,0),"")</f>
        <v>XE01666</v>
      </c>
      <c r="Q252" s="70" t="str">
        <f>IFERROR(VLOOKUP(I252,'Mã NV'!$J:$K,2,0),"")</f>
        <v>2T5</v>
      </c>
      <c r="S252" s="44">
        <f t="shared" si="16"/>
        <v>102000</v>
      </c>
    </row>
    <row r="253" ht="33.6" customHeight="1" spans="1:19">
      <c r="A253" s="63">
        <f t="shared" si="13"/>
        <v>250</v>
      </c>
      <c r="B253" s="64">
        <v>46151</v>
      </c>
      <c r="C253" s="65"/>
      <c r="D253" s="66" t="s">
        <v>13</v>
      </c>
      <c r="E253" s="66" t="s">
        <v>13</v>
      </c>
      <c r="F253" s="66" t="s">
        <v>744</v>
      </c>
      <c r="G253" s="66" t="s">
        <v>745</v>
      </c>
      <c r="H253" s="66" t="s">
        <v>804</v>
      </c>
      <c r="I253" s="66" t="s">
        <v>119</v>
      </c>
      <c r="J253" s="66" t="s">
        <v>307</v>
      </c>
      <c r="K253" s="66" t="s">
        <v>747</v>
      </c>
      <c r="L253" s="67">
        <v>2712500</v>
      </c>
      <c r="M253" s="67">
        <v>210000</v>
      </c>
      <c r="N253" s="68">
        <f t="shared" si="15"/>
        <v>2502500</v>
      </c>
      <c r="O253" s="69">
        <f t="shared" si="14"/>
        <v>2502500</v>
      </c>
      <c r="P253" s="42" t="str">
        <f>IFERROR(VLOOKUP(J253,'Mã NV'!$B:$C,2,0),"")</f>
        <v>XE01548</v>
      </c>
      <c r="Q253" s="70" t="str">
        <f>IFERROR(VLOOKUP(I253,'Mã NV'!$J:$K,2,0),"")</f>
        <v>8T</v>
      </c>
      <c r="S253" s="44">
        <f t="shared" si="16"/>
        <v>81375</v>
      </c>
    </row>
    <row r="254" ht="33.6" customHeight="1" spans="1:19">
      <c r="A254" s="63">
        <f t="shared" si="13"/>
        <v>251</v>
      </c>
      <c r="B254" s="64">
        <v>46151</v>
      </c>
      <c r="C254" s="65"/>
      <c r="D254" s="66" t="s">
        <v>13</v>
      </c>
      <c r="E254" s="66" t="s">
        <v>13</v>
      </c>
      <c r="F254" s="66" t="s">
        <v>744</v>
      </c>
      <c r="G254" s="66" t="s">
        <v>745</v>
      </c>
      <c r="H254" s="66" t="s">
        <v>804</v>
      </c>
      <c r="I254" s="66" t="s">
        <v>119</v>
      </c>
      <c r="J254" s="66" t="s">
        <v>310</v>
      </c>
      <c r="K254" s="66" t="s">
        <v>747</v>
      </c>
      <c r="L254" s="67">
        <v>2712500</v>
      </c>
      <c r="M254" s="67">
        <v>210000</v>
      </c>
      <c r="N254" s="68">
        <f t="shared" si="15"/>
        <v>2502500</v>
      </c>
      <c r="O254" s="69">
        <f t="shared" si="14"/>
        <v>2502500</v>
      </c>
      <c r="P254" s="42" t="str">
        <f>IFERROR(VLOOKUP(J254,'Mã NV'!$B:$C,2,0),"")</f>
        <v>XE01549</v>
      </c>
      <c r="Q254" s="70" t="str">
        <f>IFERROR(VLOOKUP(I254,'Mã NV'!$J:$K,2,0),"")</f>
        <v>8T</v>
      </c>
      <c r="S254" s="44">
        <f t="shared" si="16"/>
        <v>81375</v>
      </c>
    </row>
    <row r="255" ht="33.6" customHeight="1" spans="1:19">
      <c r="A255" s="63">
        <f t="shared" si="13"/>
        <v>252</v>
      </c>
      <c r="B255" s="64">
        <v>46151</v>
      </c>
      <c r="C255" s="65"/>
      <c r="D255" s="66" t="s">
        <v>13</v>
      </c>
      <c r="E255" s="66" t="s">
        <v>13</v>
      </c>
      <c r="F255" s="66" t="s">
        <v>744</v>
      </c>
      <c r="G255" s="66" t="s">
        <v>745</v>
      </c>
      <c r="H255" s="66" t="s">
        <v>754</v>
      </c>
      <c r="I255" s="66" t="s">
        <v>293</v>
      </c>
      <c r="J255" s="66" t="s">
        <v>294</v>
      </c>
      <c r="K255" s="66" t="s">
        <v>747</v>
      </c>
      <c r="L255" s="67">
        <v>3940000</v>
      </c>
      <c r="M255" s="67">
        <v>200000</v>
      </c>
      <c r="N255" s="68">
        <f t="shared" si="15"/>
        <v>3740000</v>
      </c>
      <c r="O255" s="69">
        <f t="shared" si="14"/>
        <v>3740000</v>
      </c>
      <c r="P255" s="42" t="str">
        <f>IFERROR(VLOOKUP(J255,'Mã NV'!$B:$C,2,0),"")</f>
        <v>XE01551</v>
      </c>
      <c r="Q255" s="70" t="str">
        <f>IFERROR(VLOOKUP(I255,'Mã NV'!$J:$K,2,0),"")</f>
        <v>8T</v>
      </c>
      <c r="S255" s="44">
        <f t="shared" si="16"/>
        <v>118200</v>
      </c>
    </row>
    <row r="256" ht="33.6" customHeight="1" spans="1:19">
      <c r="A256" s="63">
        <f t="shared" si="13"/>
        <v>253</v>
      </c>
      <c r="B256" s="64">
        <v>46151</v>
      </c>
      <c r="C256" s="65"/>
      <c r="D256" s="66" t="s">
        <v>13</v>
      </c>
      <c r="E256" s="66" t="s">
        <v>13</v>
      </c>
      <c r="F256" s="66" t="s">
        <v>744</v>
      </c>
      <c r="G256" s="66" t="s">
        <v>745</v>
      </c>
      <c r="H256" s="66" t="s">
        <v>754</v>
      </c>
      <c r="I256" s="66" t="s">
        <v>293</v>
      </c>
      <c r="J256" s="66" t="s">
        <v>291</v>
      </c>
      <c r="K256" s="66" t="s">
        <v>747</v>
      </c>
      <c r="L256" s="67">
        <v>3940000</v>
      </c>
      <c r="M256" s="67">
        <v>200000</v>
      </c>
      <c r="N256" s="68">
        <f t="shared" si="15"/>
        <v>3740000</v>
      </c>
      <c r="O256" s="69">
        <f t="shared" si="14"/>
        <v>3740000</v>
      </c>
      <c r="P256" s="42" t="str">
        <f>IFERROR(VLOOKUP(J256,'Mã NV'!$B:$C,2,0),"")</f>
        <v>XE01552</v>
      </c>
      <c r="Q256" s="70" t="str">
        <f>IFERROR(VLOOKUP(I256,'Mã NV'!$J:$K,2,0),"")</f>
        <v>8T</v>
      </c>
      <c r="S256" s="44">
        <f t="shared" si="16"/>
        <v>118200</v>
      </c>
    </row>
    <row r="257" ht="33.6" customHeight="1" spans="1:19">
      <c r="A257" s="63">
        <f t="shared" si="13"/>
        <v>254</v>
      </c>
      <c r="B257" s="64">
        <v>46151</v>
      </c>
      <c r="C257" s="65"/>
      <c r="D257" s="66" t="s">
        <v>13</v>
      </c>
      <c r="E257" s="66" t="s">
        <v>13</v>
      </c>
      <c r="F257" s="66" t="s">
        <v>744</v>
      </c>
      <c r="G257" s="66" t="s">
        <v>745</v>
      </c>
      <c r="H257" s="66" t="s">
        <v>805</v>
      </c>
      <c r="I257" s="66" t="s">
        <v>293</v>
      </c>
      <c r="J257" s="66" t="s">
        <v>294</v>
      </c>
      <c r="K257" s="66" t="s">
        <v>747</v>
      </c>
      <c r="L257" s="67">
        <v>3572500</v>
      </c>
      <c r="M257" s="67">
        <v>300000</v>
      </c>
      <c r="N257" s="68">
        <f t="shared" si="15"/>
        <v>3272500</v>
      </c>
      <c r="O257" s="69">
        <f t="shared" si="14"/>
        <v>3272500</v>
      </c>
      <c r="P257" s="42" t="str">
        <f>IFERROR(VLOOKUP(J257,'Mã NV'!$B:$C,2,0),"")</f>
        <v>XE01551</v>
      </c>
      <c r="Q257" s="70" t="str">
        <f>IFERROR(VLOOKUP(I257,'Mã NV'!$J:$K,2,0),"")</f>
        <v>8T</v>
      </c>
      <c r="S257" s="44">
        <f t="shared" si="16"/>
        <v>107175</v>
      </c>
    </row>
    <row r="258" ht="33.6" customHeight="1" spans="1:19">
      <c r="A258" s="63">
        <f t="shared" si="13"/>
        <v>255</v>
      </c>
      <c r="B258" s="64">
        <v>46151</v>
      </c>
      <c r="C258" s="65"/>
      <c r="D258" s="66" t="s">
        <v>13</v>
      </c>
      <c r="E258" s="66" t="s">
        <v>13</v>
      </c>
      <c r="F258" s="66" t="s">
        <v>744</v>
      </c>
      <c r="G258" s="66" t="s">
        <v>745</v>
      </c>
      <c r="H258" s="66" t="s">
        <v>805</v>
      </c>
      <c r="I258" s="66" t="s">
        <v>293</v>
      </c>
      <c r="J258" s="66" t="s">
        <v>291</v>
      </c>
      <c r="K258" s="66" t="s">
        <v>747</v>
      </c>
      <c r="L258" s="67">
        <v>3572500</v>
      </c>
      <c r="M258" s="67">
        <v>300000</v>
      </c>
      <c r="N258" s="68">
        <f t="shared" si="15"/>
        <v>3272500</v>
      </c>
      <c r="O258" s="69">
        <f t="shared" si="14"/>
        <v>3272500</v>
      </c>
      <c r="P258" s="42" t="str">
        <f>IFERROR(VLOOKUP(J258,'Mã NV'!$B:$C,2,0),"")</f>
        <v>XE01552</v>
      </c>
      <c r="Q258" s="70" t="str">
        <f>IFERROR(VLOOKUP(I258,'Mã NV'!$J:$K,2,0),"")</f>
        <v>8T</v>
      </c>
      <c r="S258" s="44">
        <f t="shared" si="16"/>
        <v>107175</v>
      </c>
    </row>
    <row r="259" ht="33.6" customHeight="1" spans="1:19">
      <c r="A259" s="63">
        <f t="shared" si="13"/>
        <v>256</v>
      </c>
      <c r="B259" s="64">
        <v>46151</v>
      </c>
      <c r="C259" s="65"/>
      <c r="D259" s="66" t="s">
        <v>13</v>
      </c>
      <c r="E259" s="66" t="s">
        <v>13</v>
      </c>
      <c r="F259" s="66" t="s">
        <v>744</v>
      </c>
      <c r="G259" s="66" t="s">
        <v>745</v>
      </c>
      <c r="H259" s="66" t="s">
        <v>806</v>
      </c>
      <c r="I259" s="66" t="s">
        <v>93</v>
      </c>
      <c r="J259" s="66" t="s">
        <v>89</v>
      </c>
      <c r="K259" s="66" t="s">
        <v>747</v>
      </c>
      <c r="L259" s="67">
        <v>1925000</v>
      </c>
      <c r="M259" s="67">
        <v>0</v>
      </c>
      <c r="N259" s="68">
        <f t="shared" si="15"/>
        <v>1925000</v>
      </c>
      <c r="O259" s="69">
        <f t="shared" si="14"/>
        <v>1925000</v>
      </c>
      <c r="P259" s="42" t="str">
        <f>IFERROR(VLOOKUP(J259,'Mã NV'!$B:$C,2,0),"")</f>
        <v>XE00873</v>
      </c>
      <c r="Q259" s="70" t="str">
        <f>IFERROR(VLOOKUP(I259,'Mã NV'!$J:$K,2,0),"")</f>
        <v>7.1t</v>
      </c>
      <c r="S259" s="44">
        <f t="shared" si="16"/>
        <v>57750</v>
      </c>
    </row>
    <row r="260" ht="33.6" customHeight="1" spans="1:19">
      <c r="A260" s="63">
        <f t="shared" si="13"/>
        <v>257</v>
      </c>
      <c r="B260" s="64">
        <v>46151</v>
      </c>
      <c r="C260" s="65"/>
      <c r="D260" s="66" t="s">
        <v>13</v>
      </c>
      <c r="E260" s="66" t="s">
        <v>13</v>
      </c>
      <c r="F260" s="66" t="s">
        <v>744</v>
      </c>
      <c r="G260" s="66" t="s">
        <v>745</v>
      </c>
      <c r="H260" s="66" t="s">
        <v>806</v>
      </c>
      <c r="I260" s="66" t="s">
        <v>93</v>
      </c>
      <c r="J260" s="66" t="s">
        <v>349</v>
      </c>
      <c r="K260" s="66" t="s">
        <v>747</v>
      </c>
      <c r="L260" s="67">
        <v>1925000</v>
      </c>
      <c r="M260" s="67">
        <v>0</v>
      </c>
      <c r="N260" s="68">
        <f t="shared" si="15"/>
        <v>1925000</v>
      </c>
      <c r="O260" s="69">
        <f t="shared" si="14"/>
        <v>1925000</v>
      </c>
      <c r="P260" s="42" t="str">
        <f>IFERROR(VLOOKUP(J260,'Mã NV'!$B:$C,2,0),"")</f>
        <v>XE01672</v>
      </c>
      <c r="Q260" s="70" t="str">
        <f>IFERROR(VLOOKUP(I260,'Mã NV'!$J:$K,2,0),"")</f>
        <v>7.1t</v>
      </c>
      <c r="S260" s="44">
        <f t="shared" si="16"/>
        <v>57750</v>
      </c>
    </row>
    <row r="261" ht="33.6" customHeight="1" spans="1:19">
      <c r="A261" s="63">
        <f t="shared" si="13"/>
        <v>258</v>
      </c>
      <c r="B261" s="64">
        <v>46151</v>
      </c>
      <c r="C261" s="65"/>
      <c r="D261" s="66" t="s">
        <v>13</v>
      </c>
      <c r="E261" s="66" t="s">
        <v>13</v>
      </c>
      <c r="F261" s="66" t="s">
        <v>744</v>
      </c>
      <c r="G261" s="66" t="s">
        <v>745</v>
      </c>
      <c r="H261" s="66" t="s">
        <v>807</v>
      </c>
      <c r="I261" s="66" t="s">
        <v>93</v>
      </c>
      <c r="J261" s="66" t="s">
        <v>89</v>
      </c>
      <c r="K261" s="66" t="s">
        <v>747</v>
      </c>
      <c r="L261" s="67">
        <v>2138500</v>
      </c>
      <c r="M261" s="67">
        <v>213500</v>
      </c>
      <c r="N261" s="68">
        <f t="shared" si="15"/>
        <v>1925000</v>
      </c>
      <c r="O261" s="69">
        <f t="shared" si="14"/>
        <v>1925000</v>
      </c>
      <c r="P261" s="42" t="str">
        <f>IFERROR(VLOOKUP(J261,'Mã NV'!$B:$C,2,0),"")</f>
        <v>XE00873</v>
      </c>
      <c r="Q261" s="70" t="str">
        <f>IFERROR(VLOOKUP(I261,'Mã NV'!$J:$K,2,0),"")</f>
        <v>7.1t</v>
      </c>
      <c r="S261" s="44">
        <f t="shared" si="16"/>
        <v>64155</v>
      </c>
    </row>
    <row r="262" ht="33.6" customHeight="1" spans="1:19">
      <c r="A262" s="63">
        <f t="shared" ref="A262:A325" si="17">A261+1</f>
        <v>259</v>
      </c>
      <c r="B262" s="64">
        <v>46151</v>
      </c>
      <c r="C262" s="65"/>
      <c r="D262" s="66" t="s">
        <v>13</v>
      </c>
      <c r="E262" s="66" t="s">
        <v>13</v>
      </c>
      <c r="F262" s="66" t="s">
        <v>744</v>
      </c>
      <c r="G262" s="66" t="s">
        <v>745</v>
      </c>
      <c r="H262" s="66" t="s">
        <v>807</v>
      </c>
      <c r="I262" s="66" t="s">
        <v>93</v>
      </c>
      <c r="J262" s="66" t="s">
        <v>349</v>
      </c>
      <c r="K262" s="66" t="s">
        <v>747</v>
      </c>
      <c r="L262" s="67">
        <v>2138500</v>
      </c>
      <c r="M262" s="67">
        <v>213500</v>
      </c>
      <c r="N262" s="68">
        <f t="shared" si="15"/>
        <v>1925000</v>
      </c>
      <c r="O262" s="69">
        <f t="shared" si="14"/>
        <v>1925000</v>
      </c>
      <c r="P262" s="42" t="str">
        <f>IFERROR(VLOOKUP(J262,'Mã NV'!$B:$C,2,0),"")</f>
        <v>XE01672</v>
      </c>
      <c r="Q262" s="70" t="str">
        <f>IFERROR(VLOOKUP(I262,'Mã NV'!$J:$K,2,0),"")</f>
        <v>7.1t</v>
      </c>
      <c r="S262" s="44">
        <f t="shared" si="16"/>
        <v>64155</v>
      </c>
    </row>
    <row r="263" ht="33.6" customHeight="1" spans="1:19">
      <c r="A263" s="63">
        <f t="shared" si="17"/>
        <v>260</v>
      </c>
      <c r="B263" s="64">
        <v>46151</v>
      </c>
      <c r="C263" s="65"/>
      <c r="D263" s="66" t="s">
        <v>13</v>
      </c>
      <c r="E263" s="66" t="s">
        <v>13</v>
      </c>
      <c r="F263" s="66" t="s">
        <v>744</v>
      </c>
      <c r="G263" s="66" t="s">
        <v>745</v>
      </c>
      <c r="H263" s="66" t="s">
        <v>759</v>
      </c>
      <c r="I263" s="66" t="s">
        <v>93</v>
      </c>
      <c r="J263" s="66" t="s">
        <v>89</v>
      </c>
      <c r="K263" s="66" t="s">
        <v>747</v>
      </c>
      <c r="L263" s="67">
        <v>2102000</v>
      </c>
      <c r="M263" s="67">
        <v>100000</v>
      </c>
      <c r="N263" s="68">
        <f t="shared" si="15"/>
        <v>2002000</v>
      </c>
      <c r="O263" s="69">
        <f t="shared" ref="O263:O326" si="18">N263/$P$1</f>
        <v>2002000</v>
      </c>
      <c r="P263" s="42" t="str">
        <f>IFERROR(VLOOKUP(J263,'Mã NV'!$B:$C,2,0),"")</f>
        <v>XE00873</v>
      </c>
      <c r="Q263" s="70" t="str">
        <f>IFERROR(VLOOKUP(I263,'Mã NV'!$J:$K,2,0),"")</f>
        <v>7.1t</v>
      </c>
      <c r="S263" s="44">
        <f t="shared" si="16"/>
        <v>63060</v>
      </c>
    </row>
    <row r="264" ht="33.6" customHeight="1" spans="1:19">
      <c r="A264" s="63">
        <f t="shared" si="17"/>
        <v>261</v>
      </c>
      <c r="B264" s="64">
        <v>46151</v>
      </c>
      <c r="C264" s="65"/>
      <c r="D264" s="66" t="s">
        <v>13</v>
      </c>
      <c r="E264" s="66" t="s">
        <v>13</v>
      </c>
      <c r="F264" s="66" t="s">
        <v>744</v>
      </c>
      <c r="G264" s="66" t="s">
        <v>745</v>
      </c>
      <c r="H264" s="66" t="s">
        <v>759</v>
      </c>
      <c r="I264" s="66" t="s">
        <v>93</v>
      </c>
      <c r="J264" s="66" t="s">
        <v>349</v>
      </c>
      <c r="K264" s="66" t="s">
        <v>747</v>
      </c>
      <c r="L264" s="67">
        <v>2102000</v>
      </c>
      <c r="M264" s="67">
        <v>100000</v>
      </c>
      <c r="N264" s="68">
        <f t="shared" ref="N264:N327" si="19">L264-M264</f>
        <v>2002000</v>
      </c>
      <c r="O264" s="69">
        <f t="shared" si="18"/>
        <v>2002000</v>
      </c>
      <c r="P264" s="42" t="str">
        <f>IFERROR(VLOOKUP(J264,'Mã NV'!$B:$C,2,0),"")</f>
        <v>XE01672</v>
      </c>
      <c r="Q264" s="70" t="str">
        <f>IFERROR(VLOOKUP(I264,'Mã NV'!$J:$K,2,0),"")</f>
        <v>7.1t</v>
      </c>
      <c r="S264" s="44">
        <f t="shared" si="16"/>
        <v>63060</v>
      </c>
    </row>
    <row r="265" ht="33.6" customHeight="1" spans="1:19">
      <c r="A265" s="63">
        <f t="shared" si="17"/>
        <v>262</v>
      </c>
      <c r="B265" s="64">
        <v>46153</v>
      </c>
      <c r="C265" s="65"/>
      <c r="D265" s="66" t="s">
        <v>13</v>
      </c>
      <c r="E265" s="66" t="s">
        <v>13</v>
      </c>
      <c r="F265" s="66" t="s">
        <v>744</v>
      </c>
      <c r="G265" s="66" t="s">
        <v>745</v>
      </c>
      <c r="H265" s="66" t="s">
        <v>759</v>
      </c>
      <c r="I265" s="77" t="s">
        <v>345</v>
      </c>
      <c r="J265" s="66" t="s">
        <v>343</v>
      </c>
      <c r="K265" s="66" t="s">
        <v>747</v>
      </c>
      <c r="L265" s="67">
        <v>1051000</v>
      </c>
      <c r="M265" s="67">
        <v>50000</v>
      </c>
      <c r="N265" s="68">
        <f t="shared" si="19"/>
        <v>1001000</v>
      </c>
      <c r="O265" s="69">
        <f t="shared" si="18"/>
        <v>1001000</v>
      </c>
      <c r="P265" s="42" t="str">
        <f>IFERROR(VLOOKUP(J265,'Mã NV'!$B:$C,2,0),"")</f>
        <v>XE01615</v>
      </c>
      <c r="Q265" s="70" t="str">
        <f>IFERROR(VLOOKUP(I265,'Mã NV'!$J:$K,2,0),"")</f>
        <v>2T5</v>
      </c>
      <c r="S265" s="44">
        <f t="shared" si="16"/>
        <v>31530</v>
      </c>
    </row>
    <row r="266" ht="33.6" customHeight="1" spans="1:19">
      <c r="A266" s="63">
        <f t="shared" si="17"/>
        <v>263</v>
      </c>
      <c r="B266" s="64">
        <v>46151</v>
      </c>
      <c r="C266" s="65"/>
      <c r="D266" s="66" t="s">
        <v>13</v>
      </c>
      <c r="E266" s="66" t="s">
        <v>13</v>
      </c>
      <c r="F266" s="66" t="s">
        <v>744</v>
      </c>
      <c r="G266" s="66" t="s">
        <v>745</v>
      </c>
      <c r="H266" s="66" t="s">
        <v>808</v>
      </c>
      <c r="I266" s="66" t="s">
        <v>12</v>
      </c>
      <c r="J266" s="66" t="s">
        <v>6</v>
      </c>
      <c r="K266" s="66" t="s">
        <v>747</v>
      </c>
      <c r="L266" s="67">
        <v>3700000</v>
      </c>
      <c r="M266" s="67">
        <v>200000</v>
      </c>
      <c r="N266" s="68">
        <f t="shared" si="19"/>
        <v>3500000</v>
      </c>
      <c r="O266" s="69">
        <f t="shared" si="18"/>
        <v>3500000</v>
      </c>
      <c r="P266" s="42" t="str">
        <f>IFERROR(VLOOKUP(J266,'Mã NV'!$B:$C,2,0),"")</f>
        <v>XE01420</v>
      </c>
      <c r="Q266" s="70" t="str">
        <f>IFERROR(VLOOKUP(I266,'Mã NV'!$J:$K,2,0),"")</f>
        <v>2T5</v>
      </c>
      <c r="S266" s="44">
        <f t="shared" si="16"/>
        <v>111000</v>
      </c>
    </row>
    <row r="267" ht="33.6" customHeight="1" spans="1:19">
      <c r="A267" s="63">
        <f t="shared" si="17"/>
        <v>264</v>
      </c>
      <c r="B267" s="64">
        <v>46154</v>
      </c>
      <c r="C267" s="65"/>
      <c r="D267" s="66" t="s">
        <v>13</v>
      </c>
      <c r="E267" s="66" t="s">
        <v>13</v>
      </c>
      <c r="F267" s="66" t="s">
        <v>744</v>
      </c>
      <c r="G267" s="66" t="s">
        <v>745</v>
      </c>
      <c r="H267" s="66" t="s">
        <v>774</v>
      </c>
      <c r="I267" s="66" t="s">
        <v>151</v>
      </c>
      <c r="J267" s="66" t="s">
        <v>147</v>
      </c>
      <c r="K267" s="66" t="s">
        <v>747</v>
      </c>
      <c r="L267" s="67">
        <v>935000</v>
      </c>
      <c r="M267" s="67">
        <v>0</v>
      </c>
      <c r="N267" s="68">
        <f t="shared" si="19"/>
        <v>935000</v>
      </c>
      <c r="O267" s="69">
        <f t="shared" si="18"/>
        <v>935000</v>
      </c>
      <c r="P267" s="42" t="str">
        <f>IFERROR(VLOOKUP(J267,'Mã NV'!$B:$C,2,0),"")</f>
        <v>XE01304</v>
      </c>
      <c r="Q267" s="70" t="str">
        <f>IFERROR(VLOOKUP(I267,'Mã NV'!$J:$K,2,0),"")</f>
        <v>8T</v>
      </c>
      <c r="S267" s="44">
        <f t="shared" si="16"/>
        <v>28050</v>
      </c>
    </row>
    <row r="268" ht="33.6" customHeight="1" spans="1:19">
      <c r="A268" s="63">
        <f t="shared" si="17"/>
        <v>265</v>
      </c>
      <c r="B268" s="64">
        <v>46154</v>
      </c>
      <c r="C268" s="65"/>
      <c r="D268" s="66" t="s">
        <v>13</v>
      </c>
      <c r="E268" s="66" t="s">
        <v>13</v>
      </c>
      <c r="F268" s="66" t="s">
        <v>744</v>
      </c>
      <c r="G268" s="66" t="s">
        <v>745</v>
      </c>
      <c r="H268" s="66" t="s">
        <v>774</v>
      </c>
      <c r="I268" s="66" t="s">
        <v>151</v>
      </c>
      <c r="J268" s="66" t="s">
        <v>235</v>
      </c>
      <c r="K268" s="66" t="s">
        <v>747</v>
      </c>
      <c r="L268" s="67">
        <v>935000</v>
      </c>
      <c r="M268" s="67">
        <v>0</v>
      </c>
      <c r="N268" s="68">
        <f t="shared" si="19"/>
        <v>935000</v>
      </c>
      <c r="O268" s="69">
        <f t="shared" si="18"/>
        <v>935000</v>
      </c>
      <c r="P268" s="42" t="str">
        <f>IFERROR(VLOOKUP(J268,'Mã NV'!$B:$C,2,0),"")</f>
        <v>XE01305</v>
      </c>
      <c r="Q268" s="70" t="str">
        <f>IFERROR(VLOOKUP(I268,'Mã NV'!$J:$K,2,0),"")</f>
        <v>8T</v>
      </c>
      <c r="S268" s="44">
        <f t="shared" si="16"/>
        <v>28050</v>
      </c>
    </row>
    <row r="269" ht="33.6" customHeight="1" spans="1:19">
      <c r="A269" s="63">
        <f t="shared" si="17"/>
        <v>266</v>
      </c>
      <c r="B269" s="64">
        <v>46154</v>
      </c>
      <c r="C269" s="65"/>
      <c r="D269" s="66" t="s">
        <v>13</v>
      </c>
      <c r="E269" s="66" t="s">
        <v>13</v>
      </c>
      <c r="F269" s="66" t="s">
        <v>744</v>
      </c>
      <c r="G269" s="66" t="s">
        <v>745</v>
      </c>
      <c r="H269" s="66" t="s">
        <v>753</v>
      </c>
      <c r="I269" s="66" t="s">
        <v>176</v>
      </c>
      <c r="J269" s="66" t="s">
        <v>192</v>
      </c>
      <c r="K269" s="66" t="s">
        <v>747</v>
      </c>
      <c r="L269" s="67">
        <v>935000</v>
      </c>
      <c r="M269" s="67">
        <v>0</v>
      </c>
      <c r="N269" s="68">
        <f t="shared" si="19"/>
        <v>935000</v>
      </c>
      <c r="O269" s="69">
        <f t="shared" si="18"/>
        <v>935000</v>
      </c>
      <c r="P269" s="42" t="str">
        <f>IFERROR(VLOOKUP(J269,'Mã NV'!$B:$C,2,0),"")</f>
        <v>XE01335</v>
      </c>
      <c r="Q269" s="70" t="str">
        <f>IFERROR(VLOOKUP(I269,'Mã NV'!$J:$K,2,0),"")</f>
        <v>8T</v>
      </c>
      <c r="S269" s="44">
        <f t="shared" si="16"/>
        <v>28050</v>
      </c>
    </row>
    <row r="270" ht="33.6" customHeight="1" spans="1:19">
      <c r="A270" s="63">
        <f t="shared" si="17"/>
        <v>267</v>
      </c>
      <c r="B270" s="64">
        <v>46154</v>
      </c>
      <c r="C270" s="65"/>
      <c r="D270" s="66" t="s">
        <v>13</v>
      </c>
      <c r="E270" s="66" t="s">
        <v>13</v>
      </c>
      <c r="F270" s="66" t="s">
        <v>744</v>
      </c>
      <c r="G270" s="66" t="s">
        <v>745</v>
      </c>
      <c r="H270" s="66" t="s">
        <v>753</v>
      </c>
      <c r="I270" s="66" t="s">
        <v>176</v>
      </c>
      <c r="J270" s="66" t="s">
        <v>354</v>
      </c>
      <c r="K270" s="66" t="s">
        <v>747</v>
      </c>
      <c r="L270" s="67">
        <v>935000</v>
      </c>
      <c r="M270" s="67">
        <v>0</v>
      </c>
      <c r="N270" s="68">
        <f t="shared" si="19"/>
        <v>935000</v>
      </c>
      <c r="O270" s="69">
        <f t="shared" si="18"/>
        <v>935000</v>
      </c>
      <c r="P270" s="42" t="str">
        <f>IFERROR(VLOOKUP(J270,'Mã NV'!$B:$C,2,0),"")</f>
        <v>XE01644</v>
      </c>
      <c r="Q270" s="70" t="str">
        <f>IFERROR(VLOOKUP(I270,'Mã NV'!$J:$K,2,0),"")</f>
        <v>8T</v>
      </c>
      <c r="S270" s="44">
        <f t="shared" si="16"/>
        <v>28050</v>
      </c>
    </row>
    <row r="271" ht="33.6" customHeight="1" spans="1:19">
      <c r="A271" s="63">
        <f t="shared" si="17"/>
        <v>268</v>
      </c>
      <c r="B271" s="64">
        <v>46154</v>
      </c>
      <c r="C271" s="65"/>
      <c r="D271" s="66" t="s">
        <v>13</v>
      </c>
      <c r="E271" s="66" t="s">
        <v>13</v>
      </c>
      <c r="F271" s="66" t="s">
        <v>744</v>
      </c>
      <c r="G271" s="66" t="s">
        <v>745</v>
      </c>
      <c r="H271" s="66" t="s">
        <v>779</v>
      </c>
      <c r="I271" s="66" t="s">
        <v>176</v>
      </c>
      <c r="J271" s="66" t="s">
        <v>192</v>
      </c>
      <c r="K271" s="66" t="s">
        <v>747</v>
      </c>
      <c r="L271" s="67">
        <v>1842500</v>
      </c>
      <c r="M271" s="67">
        <v>0</v>
      </c>
      <c r="N271" s="68">
        <f t="shared" si="19"/>
        <v>1842500</v>
      </c>
      <c r="O271" s="69">
        <f t="shared" si="18"/>
        <v>1842500</v>
      </c>
      <c r="P271" s="42" t="str">
        <f>IFERROR(VLOOKUP(J271,'Mã NV'!$B:$C,2,0),"")</f>
        <v>XE01335</v>
      </c>
      <c r="Q271" s="70" t="str">
        <f>IFERROR(VLOOKUP(I271,'Mã NV'!$J:$K,2,0),"")</f>
        <v>8T</v>
      </c>
      <c r="S271" s="44">
        <f t="shared" si="16"/>
        <v>55275</v>
      </c>
    </row>
    <row r="272" ht="33.6" customHeight="1" spans="1:19">
      <c r="A272" s="63">
        <f t="shared" si="17"/>
        <v>269</v>
      </c>
      <c r="B272" s="64">
        <v>46154</v>
      </c>
      <c r="C272" s="65"/>
      <c r="D272" s="66" t="s">
        <v>13</v>
      </c>
      <c r="E272" s="66" t="s">
        <v>13</v>
      </c>
      <c r="F272" s="66" t="s">
        <v>744</v>
      </c>
      <c r="G272" s="66" t="s">
        <v>745</v>
      </c>
      <c r="H272" s="66" t="s">
        <v>779</v>
      </c>
      <c r="I272" s="66" t="s">
        <v>176</v>
      </c>
      <c r="J272" s="66" t="s">
        <v>354</v>
      </c>
      <c r="K272" s="66" t="s">
        <v>747</v>
      </c>
      <c r="L272" s="67">
        <v>1842500</v>
      </c>
      <c r="M272" s="67">
        <v>0</v>
      </c>
      <c r="N272" s="68">
        <f t="shared" si="19"/>
        <v>1842500</v>
      </c>
      <c r="O272" s="69">
        <f t="shared" si="18"/>
        <v>1842500</v>
      </c>
      <c r="P272" s="42" t="str">
        <f>IFERROR(VLOOKUP(J272,'Mã NV'!$B:$C,2,0),"")</f>
        <v>XE01644</v>
      </c>
      <c r="Q272" s="70" t="str">
        <f>IFERROR(VLOOKUP(I272,'Mã NV'!$J:$K,2,0),"")</f>
        <v>8T</v>
      </c>
      <c r="S272" s="44">
        <f t="shared" si="16"/>
        <v>55275</v>
      </c>
    </row>
    <row r="273" ht="33.6" customHeight="1" spans="1:19">
      <c r="A273" s="63">
        <f t="shared" si="17"/>
        <v>270</v>
      </c>
      <c r="B273" s="64">
        <v>46154</v>
      </c>
      <c r="C273" s="65"/>
      <c r="D273" s="66" t="s">
        <v>13</v>
      </c>
      <c r="E273" s="66" t="s">
        <v>13</v>
      </c>
      <c r="F273" s="66" t="s">
        <v>744</v>
      </c>
      <c r="G273" s="66" t="s">
        <v>745</v>
      </c>
      <c r="H273" s="66" t="s">
        <v>809</v>
      </c>
      <c r="I273" s="66" t="s">
        <v>290</v>
      </c>
      <c r="J273" s="66" t="s">
        <v>288</v>
      </c>
      <c r="K273" s="66" t="s">
        <v>747</v>
      </c>
      <c r="L273" s="67">
        <v>1760000</v>
      </c>
      <c r="M273" s="67">
        <v>0</v>
      </c>
      <c r="N273" s="68">
        <f t="shared" si="19"/>
        <v>1760000</v>
      </c>
      <c r="O273" s="69">
        <f t="shared" si="18"/>
        <v>1760000</v>
      </c>
      <c r="P273" s="42" t="str">
        <f>IFERROR(VLOOKUP(J273,'Mã NV'!$B:$C,2,0),"")</f>
        <v>XE01563</v>
      </c>
      <c r="Q273" s="70" t="str">
        <f>IFERROR(VLOOKUP(I273,'Mã NV'!$J:$K,2,0),"")</f>
        <v>8T</v>
      </c>
      <c r="S273" s="44">
        <f t="shared" si="16"/>
        <v>52800</v>
      </c>
    </row>
    <row r="274" ht="33.6" customHeight="1" spans="1:19">
      <c r="A274" s="63">
        <f t="shared" si="17"/>
        <v>271</v>
      </c>
      <c r="B274" s="64">
        <v>46154</v>
      </c>
      <c r="C274" s="65"/>
      <c r="D274" s="66" t="s">
        <v>13</v>
      </c>
      <c r="E274" s="66" t="s">
        <v>13</v>
      </c>
      <c r="F274" s="66" t="s">
        <v>744</v>
      </c>
      <c r="G274" s="66" t="s">
        <v>745</v>
      </c>
      <c r="H274" s="66" t="s">
        <v>809</v>
      </c>
      <c r="I274" s="66" t="s">
        <v>290</v>
      </c>
      <c r="J274" s="66" t="s">
        <v>329</v>
      </c>
      <c r="K274" s="66" t="s">
        <v>747</v>
      </c>
      <c r="L274" s="67">
        <v>1760000</v>
      </c>
      <c r="M274" s="67">
        <v>0</v>
      </c>
      <c r="N274" s="68">
        <f t="shared" si="19"/>
        <v>1760000</v>
      </c>
      <c r="O274" s="69">
        <f t="shared" si="18"/>
        <v>1760000</v>
      </c>
      <c r="P274" s="42" t="str">
        <f>IFERROR(VLOOKUP(J274,'Mã NV'!$B:$C,2,0),"")</f>
        <v>XE01609</v>
      </c>
      <c r="Q274" s="70" t="str">
        <f>IFERROR(VLOOKUP(I274,'Mã NV'!$J:$K,2,0),"")</f>
        <v>8T</v>
      </c>
      <c r="S274" s="44">
        <f t="shared" si="16"/>
        <v>52800</v>
      </c>
    </row>
    <row r="275" ht="33.6" customHeight="1" spans="1:19">
      <c r="A275" s="63">
        <f t="shared" si="17"/>
        <v>272</v>
      </c>
      <c r="B275" s="64">
        <v>46154</v>
      </c>
      <c r="C275" s="65"/>
      <c r="D275" s="66" t="s">
        <v>13</v>
      </c>
      <c r="E275" s="66" t="s">
        <v>13</v>
      </c>
      <c r="F275" s="66" t="s">
        <v>744</v>
      </c>
      <c r="G275" s="66" t="s">
        <v>745</v>
      </c>
      <c r="H275" s="66" t="s">
        <v>800</v>
      </c>
      <c r="I275" s="66" t="s">
        <v>290</v>
      </c>
      <c r="J275" s="66" t="s">
        <v>288</v>
      </c>
      <c r="K275" s="66" t="s">
        <v>747</v>
      </c>
      <c r="L275" s="67">
        <v>1474000</v>
      </c>
      <c r="M275" s="67">
        <v>0</v>
      </c>
      <c r="N275" s="68">
        <f t="shared" si="19"/>
        <v>1474000</v>
      </c>
      <c r="O275" s="69">
        <f t="shared" si="18"/>
        <v>1474000</v>
      </c>
      <c r="P275" s="42" t="str">
        <f>IFERROR(VLOOKUP(J275,'Mã NV'!$B:$C,2,0),"")</f>
        <v>XE01563</v>
      </c>
      <c r="Q275" s="70" t="str">
        <f>IFERROR(VLOOKUP(I275,'Mã NV'!$J:$K,2,0),"")</f>
        <v>8T</v>
      </c>
      <c r="S275" s="44">
        <f t="shared" si="16"/>
        <v>44220</v>
      </c>
    </row>
    <row r="276" ht="33.6" customHeight="1" spans="1:19">
      <c r="A276" s="63">
        <f t="shared" si="17"/>
        <v>273</v>
      </c>
      <c r="B276" s="64">
        <v>46154</v>
      </c>
      <c r="C276" s="65"/>
      <c r="D276" s="66" t="s">
        <v>13</v>
      </c>
      <c r="E276" s="66" t="s">
        <v>13</v>
      </c>
      <c r="F276" s="66" t="s">
        <v>744</v>
      </c>
      <c r="G276" s="66" t="s">
        <v>745</v>
      </c>
      <c r="H276" s="66" t="s">
        <v>800</v>
      </c>
      <c r="I276" s="66" t="s">
        <v>290</v>
      </c>
      <c r="J276" s="66" t="s">
        <v>329</v>
      </c>
      <c r="K276" s="66" t="s">
        <v>747</v>
      </c>
      <c r="L276" s="67">
        <v>1474000</v>
      </c>
      <c r="M276" s="67">
        <v>0</v>
      </c>
      <c r="N276" s="68">
        <f t="shared" si="19"/>
        <v>1474000</v>
      </c>
      <c r="O276" s="69">
        <f t="shared" si="18"/>
        <v>1474000</v>
      </c>
      <c r="P276" s="42" t="str">
        <f>IFERROR(VLOOKUP(J276,'Mã NV'!$B:$C,2,0),"")</f>
        <v>XE01609</v>
      </c>
      <c r="Q276" s="70" t="str">
        <f>IFERROR(VLOOKUP(I276,'Mã NV'!$J:$K,2,0),"")</f>
        <v>8T</v>
      </c>
      <c r="S276" s="44">
        <f t="shared" si="16"/>
        <v>44220</v>
      </c>
    </row>
    <row r="277" ht="33.6" customHeight="1" spans="1:19">
      <c r="A277" s="63">
        <f t="shared" si="17"/>
        <v>274</v>
      </c>
      <c r="B277" s="64">
        <v>46156</v>
      </c>
      <c r="C277" s="65"/>
      <c r="D277" s="66" t="s">
        <v>13</v>
      </c>
      <c r="E277" s="66" t="s">
        <v>13</v>
      </c>
      <c r="F277" s="66" t="s">
        <v>748</v>
      </c>
      <c r="G277" s="66" t="s">
        <v>745</v>
      </c>
      <c r="H277" s="66" t="s">
        <v>800</v>
      </c>
      <c r="I277" s="66" t="s">
        <v>177</v>
      </c>
      <c r="J277" s="66" t="s">
        <v>174</v>
      </c>
      <c r="K277" s="66" t="s">
        <v>747</v>
      </c>
      <c r="L277" s="67">
        <v>737000</v>
      </c>
      <c r="M277" s="67"/>
      <c r="N277" s="68">
        <f t="shared" si="19"/>
        <v>737000</v>
      </c>
      <c r="O277" s="69">
        <f t="shared" si="18"/>
        <v>737000</v>
      </c>
      <c r="P277" s="42" t="str">
        <f>IFERROR(VLOOKUP(J277,'Mã NV'!$B:$C,2,0),"")</f>
        <v>XE00975</v>
      </c>
      <c r="Q277" s="70" t="str">
        <f>IFERROR(VLOOKUP(I277,'Mã NV'!$J:$K,2,0),"")</f>
        <v>2.5T Lạnh</v>
      </c>
      <c r="S277" s="44">
        <f t="shared" si="16"/>
        <v>22110</v>
      </c>
    </row>
    <row r="278" ht="33.6" customHeight="1" spans="1:19">
      <c r="A278" s="63">
        <f t="shared" si="17"/>
        <v>275</v>
      </c>
      <c r="B278" s="64">
        <v>46156</v>
      </c>
      <c r="C278" s="65"/>
      <c r="D278" s="66" t="s">
        <v>13</v>
      </c>
      <c r="E278" s="66" t="s">
        <v>13</v>
      </c>
      <c r="F278" s="66" t="s">
        <v>744</v>
      </c>
      <c r="G278" s="66" t="s">
        <v>745</v>
      </c>
      <c r="H278" s="66" t="s">
        <v>775</v>
      </c>
      <c r="I278" s="66" t="s">
        <v>103</v>
      </c>
      <c r="J278" s="66" t="s">
        <v>172</v>
      </c>
      <c r="K278" s="66" t="s">
        <v>747</v>
      </c>
      <c r="L278" s="67">
        <v>2806457.5</v>
      </c>
      <c r="M278" s="67">
        <v>0</v>
      </c>
      <c r="N278" s="68">
        <f t="shared" si="19"/>
        <v>2806457.5</v>
      </c>
      <c r="O278" s="69">
        <f t="shared" si="18"/>
        <v>2806457.5</v>
      </c>
      <c r="P278" s="42" t="str">
        <f>IFERROR(VLOOKUP(J278,'Mã NV'!$B:$C,2,0),"")</f>
        <v>XE01433</v>
      </c>
      <c r="Q278" s="70" t="str">
        <f>IFERROR(VLOOKUP(I278,'Mã NV'!$J:$K,2,0),"")</f>
        <v>7.1t</v>
      </c>
      <c r="S278" s="44">
        <f t="shared" si="16"/>
        <v>84193.725</v>
      </c>
    </row>
    <row r="279" ht="33.6" customHeight="1" spans="1:19">
      <c r="A279" s="63">
        <f t="shared" si="17"/>
        <v>276</v>
      </c>
      <c r="B279" s="64">
        <v>46156</v>
      </c>
      <c r="C279" s="65"/>
      <c r="D279" s="66" t="s">
        <v>13</v>
      </c>
      <c r="E279" s="66" t="s">
        <v>13</v>
      </c>
      <c r="F279" s="66" t="s">
        <v>744</v>
      </c>
      <c r="G279" s="66" t="s">
        <v>745</v>
      </c>
      <c r="H279" s="66" t="s">
        <v>775</v>
      </c>
      <c r="I279" s="66" t="s">
        <v>103</v>
      </c>
      <c r="J279" s="66" t="s">
        <v>181</v>
      </c>
      <c r="K279" s="66" t="s">
        <v>747</v>
      </c>
      <c r="L279" s="67">
        <v>2806457.5</v>
      </c>
      <c r="M279" s="67">
        <v>0</v>
      </c>
      <c r="N279" s="68">
        <f t="shared" si="19"/>
        <v>2806457.5</v>
      </c>
      <c r="O279" s="69">
        <f t="shared" si="18"/>
        <v>2806457.5</v>
      </c>
      <c r="P279" s="42" t="str">
        <f>IFERROR(VLOOKUP(J279,'Mã NV'!$B:$C,2,0),"")</f>
        <v>XE01281</v>
      </c>
      <c r="Q279" s="70" t="str">
        <f>IFERROR(VLOOKUP(I279,'Mã NV'!$J:$K,2,0),"")</f>
        <v>7.1t</v>
      </c>
      <c r="S279" s="44">
        <f t="shared" si="16"/>
        <v>84193.725</v>
      </c>
    </row>
    <row r="280" ht="33.6" customHeight="1" spans="1:19">
      <c r="A280" s="63">
        <f t="shared" si="17"/>
        <v>277</v>
      </c>
      <c r="B280" s="64">
        <v>46156</v>
      </c>
      <c r="C280" s="65"/>
      <c r="D280" s="66" t="s">
        <v>13</v>
      </c>
      <c r="E280" s="66" t="s">
        <v>13</v>
      </c>
      <c r="F280" s="66" t="s">
        <v>744</v>
      </c>
      <c r="G280" s="66" t="s">
        <v>745</v>
      </c>
      <c r="H280" s="66" t="s">
        <v>769</v>
      </c>
      <c r="I280" s="66" t="s">
        <v>103</v>
      </c>
      <c r="J280" s="66" t="s">
        <v>172</v>
      </c>
      <c r="K280" s="66" t="s">
        <v>747</v>
      </c>
      <c r="L280" s="67">
        <v>825000</v>
      </c>
      <c r="M280" s="67">
        <v>0</v>
      </c>
      <c r="N280" s="68">
        <f t="shared" si="19"/>
        <v>825000</v>
      </c>
      <c r="O280" s="69">
        <f t="shared" si="18"/>
        <v>825000</v>
      </c>
      <c r="P280" s="42" t="str">
        <f>IFERROR(VLOOKUP(J280,'Mã NV'!$B:$C,2,0),"")</f>
        <v>XE01433</v>
      </c>
      <c r="Q280" s="70" t="str">
        <f>IFERROR(VLOOKUP(I280,'Mã NV'!$J:$K,2,0),"")</f>
        <v>7.1t</v>
      </c>
      <c r="S280" s="44">
        <f t="shared" si="16"/>
        <v>24750</v>
      </c>
    </row>
    <row r="281" ht="33.6" customHeight="1" spans="1:19">
      <c r="A281" s="63">
        <f t="shared" si="17"/>
        <v>278</v>
      </c>
      <c r="B281" s="64">
        <v>46156</v>
      </c>
      <c r="C281" s="65"/>
      <c r="D281" s="66" t="s">
        <v>13</v>
      </c>
      <c r="E281" s="66" t="s">
        <v>13</v>
      </c>
      <c r="F281" s="66" t="s">
        <v>744</v>
      </c>
      <c r="G281" s="66" t="s">
        <v>745</v>
      </c>
      <c r="H281" s="66" t="s">
        <v>769</v>
      </c>
      <c r="I281" s="66" t="s">
        <v>103</v>
      </c>
      <c r="J281" s="66" t="s">
        <v>181</v>
      </c>
      <c r="K281" s="66" t="s">
        <v>747</v>
      </c>
      <c r="L281" s="67">
        <v>825000</v>
      </c>
      <c r="M281" s="67">
        <v>0</v>
      </c>
      <c r="N281" s="68">
        <f t="shared" si="19"/>
        <v>825000</v>
      </c>
      <c r="O281" s="69">
        <f t="shared" si="18"/>
        <v>825000</v>
      </c>
      <c r="P281" s="42" t="str">
        <f>IFERROR(VLOOKUP(J281,'Mã NV'!$B:$C,2,0),"")</f>
        <v>XE01281</v>
      </c>
      <c r="Q281" s="70" t="str">
        <f>IFERROR(VLOOKUP(I281,'Mã NV'!$J:$K,2,0),"")</f>
        <v>7.1t</v>
      </c>
      <c r="S281" s="44">
        <f t="shared" si="16"/>
        <v>24750</v>
      </c>
    </row>
    <row r="282" ht="33.6" customHeight="1" spans="1:19">
      <c r="A282" s="63">
        <f t="shared" si="17"/>
        <v>279</v>
      </c>
      <c r="B282" s="64">
        <v>46156</v>
      </c>
      <c r="C282" s="65"/>
      <c r="D282" s="66" t="s">
        <v>13</v>
      </c>
      <c r="E282" s="66" t="s">
        <v>13</v>
      </c>
      <c r="F282" s="66" t="s">
        <v>744</v>
      </c>
      <c r="G282" s="66" t="s">
        <v>745</v>
      </c>
      <c r="H282" s="66" t="s">
        <v>769</v>
      </c>
      <c r="I282" s="66" t="s">
        <v>103</v>
      </c>
      <c r="J282" s="66" t="s">
        <v>172</v>
      </c>
      <c r="K282" s="66" t="s">
        <v>747</v>
      </c>
      <c r="L282" s="67">
        <v>1265000</v>
      </c>
      <c r="M282" s="67">
        <v>0</v>
      </c>
      <c r="N282" s="68">
        <f t="shared" si="19"/>
        <v>1265000</v>
      </c>
      <c r="O282" s="69">
        <f t="shared" si="18"/>
        <v>1265000</v>
      </c>
      <c r="P282" s="42" t="str">
        <f>IFERROR(VLOOKUP(J282,'Mã NV'!$B:$C,2,0),"")</f>
        <v>XE01433</v>
      </c>
      <c r="Q282" s="70" t="str">
        <f>IFERROR(VLOOKUP(I282,'Mã NV'!$J:$K,2,0),"")</f>
        <v>7.1t</v>
      </c>
      <c r="S282" s="44">
        <f t="shared" si="16"/>
        <v>37950</v>
      </c>
    </row>
    <row r="283" ht="33.6" customHeight="1" spans="1:19">
      <c r="A283" s="63">
        <f t="shared" si="17"/>
        <v>280</v>
      </c>
      <c r="B283" s="64">
        <v>46156</v>
      </c>
      <c r="C283" s="65"/>
      <c r="D283" s="66" t="s">
        <v>13</v>
      </c>
      <c r="E283" s="66" t="s">
        <v>13</v>
      </c>
      <c r="F283" s="66" t="s">
        <v>744</v>
      </c>
      <c r="G283" s="66" t="s">
        <v>745</v>
      </c>
      <c r="H283" s="66" t="s">
        <v>769</v>
      </c>
      <c r="I283" s="66" t="s">
        <v>103</v>
      </c>
      <c r="J283" s="66" t="s">
        <v>181</v>
      </c>
      <c r="K283" s="66" t="s">
        <v>747</v>
      </c>
      <c r="L283" s="67">
        <v>1265000</v>
      </c>
      <c r="M283" s="67">
        <v>0</v>
      </c>
      <c r="N283" s="68">
        <f t="shared" si="19"/>
        <v>1265000</v>
      </c>
      <c r="O283" s="69">
        <f t="shared" si="18"/>
        <v>1265000</v>
      </c>
      <c r="P283" s="42" t="str">
        <f>IFERROR(VLOOKUP(J283,'Mã NV'!$B:$C,2,0),"")</f>
        <v>XE01281</v>
      </c>
      <c r="Q283" s="70" t="str">
        <f>IFERROR(VLOOKUP(I283,'Mã NV'!$J:$K,2,0),"")</f>
        <v>7.1t</v>
      </c>
      <c r="S283" s="44">
        <f t="shared" si="16"/>
        <v>37950</v>
      </c>
    </row>
    <row r="284" ht="33.6" customHeight="1" spans="1:19">
      <c r="A284" s="63">
        <f t="shared" si="17"/>
        <v>281</v>
      </c>
      <c r="B284" s="64">
        <v>46157</v>
      </c>
      <c r="C284" s="65"/>
      <c r="D284" s="66" t="s">
        <v>13</v>
      </c>
      <c r="E284" s="66" t="s">
        <v>13</v>
      </c>
      <c r="F284" s="66" t="s">
        <v>744</v>
      </c>
      <c r="G284" s="66" t="s">
        <v>745</v>
      </c>
      <c r="H284" s="66" t="s">
        <v>807</v>
      </c>
      <c r="I284" s="66" t="s">
        <v>170</v>
      </c>
      <c r="J284" s="66" t="s">
        <v>168</v>
      </c>
      <c r="K284" s="66" t="s">
        <v>747</v>
      </c>
      <c r="L284" s="67">
        <v>1540000</v>
      </c>
      <c r="M284" s="67">
        <v>0</v>
      </c>
      <c r="N284" s="68">
        <f t="shared" si="19"/>
        <v>1540000</v>
      </c>
      <c r="O284" s="69">
        <f t="shared" si="18"/>
        <v>1540000</v>
      </c>
      <c r="P284" s="42" t="str">
        <f>IFERROR(VLOOKUP(J284,'Mã NV'!$B:$C,2,0),"")</f>
        <v>XE01263</v>
      </c>
      <c r="Q284" s="70" t="str">
        <f>IFERROR(VLOOKUP(I284,'Mã NV'!$J:$K,2,0),"")</f>
        <v>8T</v>
      </c>
      <c r="S284" s="44">
        <f t="shared" si="16"/>
        <v>46200</v>
      </c>
    </row>
    <row r="285" ht="33.6" customHeight="1" spans="1:19">
      <c r="A285" s="63">
        <f t="shared" si="17"/>
        <v>282</v>
      </c>
      <c r="B285" s="64">
        <v>46157</v>
      </c>
      <c r="C285" s="65"/>
      <c r="D285" s="66" t="s">
        <v>13</v>
      </c>
      <c r="E285" s="66" t="s">
        <v>13</v>
      </c>
      <c r="F285" s="66" t="s">
        <v>744</v>
      </c>
      <c r="G285" s="66" t="s">
        <v>745</v>
      </c>
      <c r="H285" s="66" t="s">
        <v>807</v>
      </c>
      <c r="I285" s="66" t="s">
        <v>170</v>
      </c>
      <c r="J285" s="66" t="s">
        <v>203</v>
      </c>
      <c r="K285" s="66" t="s">
        <v>747</v>
      </c>
      <c r="L285" s="67">
        <v>1540000</v>
      </c>
      <c r="M285" s="67">
        <v>0</v>
      </c>
      <c r="N285" s="68">
        <f t="shared" si="19"/>
        <v>1540000</v>
      </c>
      <c r="O285" s="69">
        <f t="shared" si="18"/>
        <v>1540000</v>
      </c>
      <c r="P285" s="42" t="str">
        <f>IFERROR(VLOOKUP(J285,'Mã NV'!$B:$C,2,0),"")</f>
        <v>XE01149</v>
      </c>
      <c r="Q285" s="70" t="str">
        <f>IFERROR(VLOOKUP(I285,'Mã NV'!$J:$K,2,0),"")</f>
        <v>8T</v>
      </c>
      <c r="S285" s="44">
        <f t="shared" si="16"/>
        <v>46200</v>
      </c>
    </row>
    <row r="286" ht="33.6" customHeight="1" spans="1:19">
      <c r="A286" s="63">
        <f t="shared" si="17"/>
        <v>283</v>
      </c>
      <c r="B286" s="64">
        <v>46159</v>
      </c>
      <c r="C286" s="65"/>
      <c r="D286" s="66" t="s">
        <v>13</v>
      </c>
      <c r="E286" s="66" t="s">
        <v>13</v>
      </c>
      <c r="F286" s="66" t="s">
        <v>748</v>
      </c>
      <c r="G286" s="66" t="s">
        <v>810</v>
      </c>
      <c r="H286" s="66" t="s">
        <v>767</v>
      </c>
      <c r="I286" s="66" t="s">
        <v>323</v>
      </c>
      <c r="J286" s="66" t="s">
        <v>321</v>
      </c>
      <c r="K286" s="66" t="s">
        <v>747</v>
      </c>
      <c r="L286" s="67">
        <v>770000</v>
      </c>
      <c r="M286" s="67"/>
      <c r="N286" s="68">
        <f t="shared" si="19"/>
        <v>770000</v>
      </c>
      <c r="O286" s="69">
        <f t="shared" si="18"/>
        <v>770000</v>
      </c>
      <c r="P286" s="42" t="str">
        <f>IFERROR(VLOOKUP(J286,'Mã NV'!$B:$C,2,0),"")</f>
        <v>XE01537</v>
      </c>
      <c r="Q286" s="70" t="str">
        <f>IFERROR(VLOOKUP(I286,'Mã NV'!$J:$K,2,0),"")</f>
        <v>2.5T</v>
      </c>
      <c r="S286" s="44">
        <f t="shared" si="16"/>
        <v>23100</v>
      </c>
    </row>
    <row r="287" ht="33.6" customHeight="1" spans="1:19">
      <c r="A287" s="63">
        <f t="shared" si="17"/>
        <v>284</v>
      </c>
      <c r="B287" s="64">
        <v>46157</v>
      </c>
      <c r="C287" s="65"/>
      <c r="D287" s="66" t="s">
        <v>13</v>
      </c>
      <c r="E287" s="66" t="s">
        <v>13</v>
      </c>
      <c r="F287" s="66" t="s">
        <v>744</v>
      </c>
      <c r="G287" s="66" t="s">
        <v>745</v>
      </c>
      <c r="H287" s="66" t="s">
        <v>806</v>
      </c>
      <c r="I287" s="66" t="s">
        <v>170</v>
      </c>
      <c r="J287" s="66" t="s">
        <v>168</v>
      </c>
      <c r="K287" s="66" t="s">
        <v>747</v>
      </c>
      <c r="L287" s="67">
        <v>1540000</v>
      </c>
      <c r="M287" s="67">
        <v>0</v>
      </c>
      <c r="N287" s="68">
        <f t="shared" si="19"/>
        <v>1540000</v>
      </c>
      <c r="O287" s="69">
        <f t="shared" si="18"/>
        <v>1540000</v>
      </c>
      <c r="P287" s="42" t="str">
        <f>IFERROR(VLOOKUP(J287,'Mã NV'!$B:$C,2,0),"")</f>
        <v>XE01263</v>
      </c>
      <c r="Q287" s="70" t="str">
        <f>IFERROR(VLOOKUP(I287,'Mã NV'!$J:$K,2,0),"")</f>
        <v>8T</v>
      </c>
      <c r="S287" s="44">
        <f t="shared" si="16"/>
        <v>46200</v>
      </c>
    </row>
    <row r="288" ht="33.6" customHeight="1" spans="1:19">
      <c r="A288" s="63">
        <f t="shared" si="17"/>
        <v>285</v>
      </c>
      <c r="B288" s="64">
        <v>46157</v>
      </c>
      <c r="C288" s="65"/>
      <c r="D288" s="66" t="s">
        <v>13</v>
      </c>
      <c r="E288" s="66" t="s">
        <v>13</v>
      </c>
      <c r="F288" s="66" t="s">
        <v>744</v>
      </c>
      <c r="G288" s="66" t="s">
        <v>745</v>
      </c>
      <c r="H288" s="66" t="s">
        <v>806</v>
      </c>
      <c r="I288" s="66" t="s">
        <v>170</v>
      </c>
      <c r="J288" s="66" t="s">
        <v>203</v>
      </c>
      <c r="K288" s="66" t="s">
        <v>747</v>
      </c>
      <c r="L288" s="67">
        <v>1540000</v>
      </c>
      <c r="M288" s="67">
        <v>0</v>
      </c>
      <c r="N288" s="68">
        <f t="shared" si="19"/>
        <v>1540000</v>
      </c>
      <c r="O288" s="69">
        <f t="shared" si="18"/>
        <v>1540000</v>
      </c>
      <c r="P288" s="42" t="str">
        <f>IFERROR(VLOOKUP(J288,'Mã NV'!$B:$C,2,0),"")</f>
        <v>XE01149</v>
      </c>
      <c r="Q288" s="70" t="str">
        <f>IFERROR(VLOOKUP(I288,'Mã NV'!$J:$K,2,0),"")</f>
        <v>8T</v>
      </c>
      <c r="S288" s="44">
        <f t="shared" si="16"/>
        <v>46200</v>
      </c>
    </row>
    <row r="289" ht="33.6" customHeight="1" spans="1:19">
      <c r="A289" s="63">
        <f t="shared" si="17"/>
        <v>286</v>
      </c>
      <c r="B289" s="64">
        <v>46159</v>
      </c>
      <c r="C289" s="65"/>
      <c r="D289" s="66" t="s">
        <v>13</v>
      </c>
      <c r="E289" s="66" t="s">
        <v>13</v>
      </c>
      <c r="F289" s="66" t="s">
        <v>748</v>
      </c>
      <c r="G289" s="66" t="s">
        <v>810</v>
      </c>
      <c r="H289" s="66" t="s">
        <v>767</v>
      </c>
      <c r="I289" s="66" t="s">
        <v>323</v>
      </c>
      <c r="J289" s="66" t="s">
        <v>321</v>
      </c>
      <c r="K289" s="66" t="s">
        <v>747</v>
      </c>
      <c r="L289" s="67">
        <v>770000</v>
      </c>
      <c r="M289" s="67"/>
      <c r="N289" s="68">
        <f t="shared" si="19"/>
        <v>770000</v>
      </c>
      <c r="O289" s="69">
        <f t="shared" si="18"/>
        <v>770000</v>
      </c>
      <c r="P289" s="42" t="str">
        <f>IFERROR(VLOOKUP(J289,'Mã NV'!$B:$C,2,0),"")</f>
        <v>XE01537</v>
      </c>
      <c r="Q289" s="70" t="str">
        <f>IFERROR(VLOOKUP(I289,'Mã NV'!$J:$K,2,0),"")</f>
        <v>2.5T</v>
      </c>
      <c r="S289" s="44">
        <f t="shared" si="16"/>
        <v>23100</v>
      </c>
    </row>
    <row r="290" ht="33.6" customHeight="1" spans="1:19">
      <c r="A290" s="63">
        <f t="shared" si="17"/>
        <v>287</v>
      </c>
      <c r="B290" s="64">
        <v>46157</v>
      </c>
      <c r="C290" s="65"/>
      <c r="D290" s="66" t="s">
        <v>13</v>
      </c>
      <c r="E290" s="66" t="s">
        <v>13</v>
      </c>
      <c r="F290" s="66" t="s">
        <v>744</v>
      </c>
      <c r="G290" s="66" t="s">
        <v>745</v>
      </c>
      <c r="H290" s="66" t="s">
        <v>802</v>
      </c>
      <c r="I290" s="66" t="s">
        <v>170</v>
      </c>
      <c r="J290" s="66" t="s">
        <v>168</v>
      </c>
      <c r="K290" s="66" t="s">
        <v>747</v>
      </c>
      <c r="L290" s="67">
        <v>935000</v>
      </c>
      <c r="M290" s="67">
        <v>0</v>
      </c>
      <c r="N290" s="68">
        <f t="shared" si="19"/>
        <v>935000</v>
      </c>
      <c r="O290" s="69">
        <f t="shared" si="18"/>
        <v>935000</v>
      </c>
      <c r="P290" s="42" t="str">
        <f>IFERROR(VLOOKUP(J290,'Mã NV'!$B:$C,2,0),"")</f>
        <v>XE01263</v>
      </c>
      <c r="Q290" s="70" t="str">
        <f>IFERROR(VLOOKUP(I290,'Mã NV'!$J:$K,2,0),"")</f>
        <v>8T</v>
      </c>
      <c r="S290" s="44">
        <f t="shared" si="16"/>
        <v>28050</v>
      </c>
    </row>
    <row r="291" ht="33.6" customHeight="1" spans="1:19">
      <c r="A291" s="63">
        <f t="shared" si="17"/>
        <v>288</v>
      </c>
      <c r="B291" s="64">
        <v>46157</v>
      </c>
      <c r="C291" s="65"/>
      <c r="D291" s="66" t="s">
        <v>13</v>
      </c>
      <c r="E291" s="66" t="s">
        <v>13</v>
      </c>
      <c r="F291" s="66" t="s">
        <v>744</v>
      </c>
      <c r="G291" s="66" t="s">
        <v>745</v>
      </c>
      <c r="H291" s="66" t="s">
        <v>802</v>
      </c>
      <c r="I291" s="66" t="s">
        <v>170</v>
      </c>
      <c r="J291" s="66" t="s">
        <v>203</v>
      </c>
      <c r="K291" s="66" t="s">
        <v>747</v>
      </c>
      <c r="L291" s="67">
        <v>935000</v>
      </c>
      <c r="M291" s="67">
        <v>0</v>
      </c>
      <c r="N291" s="68">
        <f t="shared" si="19"/>
        <v>935000</v>
      </c>
      <c r="O291" s="69">
        <f t="shared" si="18"/>
        <v>935000</v>
      </c>
      <c r="P291" s="42" t="str">
        <f>IFERROR(VLOOKUP(J291,'Mã NV'!$B:$C,2,0),"")</f>
        <v>XE01149</v>
      </c>
      <c r="Q291" s="70" t="str">
        <f>IFERROR(VLOOKUP(I291,'Mã NV'!$J:$K,2,0),"")</f>
        <v>8T</v>
      </c>
      <c r="S291" s="44">
        <f t="shared" si="16"/>
        <v>28050</v>
      </c>
    </row>
    <row r="292" ht="33.6" customHeight="1" spans="1:19">
      <c r="A292" s="63">
        <f t="shared" si="17"/>
        <v>289</v>
      </c>
      <c r="B292" s="64">
        <v>46157</v>
      </c>
      <c r="C292" s="65"/>
      <c r="D292" s="66" t="s">
        <v>13</v>
      </c>
      <c r="E292" s="66" t="s">
        <v>13</v>
      </c>
      <c r="F292" s="66" t="s">
        <v>744</v>
      </c>
      <c r="G292" s="66" t="s">
        <v>745</v>
      </c>
      <c r="H292" s="66" t="s">
        <v>769</v>
      </c>
      <c r="I292" s="66" t="s">
        <v>170</v>
      </c>
      <c r="J292" s="66" t="s">
        <v>168</v>
      </c>
      <c r="K292" s="66" t="s">
        <v>747</v>
      </c>
      <c r="L292" s="67">
        <v>1265000</v>
      </c>
      <c r="M292" s="67">
        <v>0</v>
      </c>
      <c r="N292" s="68">
        <f t="shared" si="19"/>
        <v>1265000</v>
      </c>
      <c r="O292" s="69">
        <f t="shared" si="18"/>
        <v>1265000</v>
      </c>
      <c r="P292" s="42" t="str">
        <f>IFERROR(VLOOKUP(J292,'Mã NV'!$B:$C,2,0),"")</f>
        <v>XE01263</v>
      </c>
      <c r="Q292" s="70" t="str">
        <f>IFERROR(VLOOKUP(I292,'Mã NV'!$J:$K,2,0),"")</f>
        <v>8T</v>
      </c>
      <c r="S292" s="44">
        <f t="shared" si="16"/>
        <v>37950</v>
      </c>
    </row>
    <row r="293" ht="33.6" customHeight="1" spans="1:19">
      <c r="A293" s="63">
        <f t="shared" si="17"/>
        <v>290</v>
      </c>
      <c r="B293" s="64">
        <v>46157</v>
      </c>
      <c r="C293" s="65"/>
      <c r="D293" s="66" t="s">
        <v>13</v>
      </c>
      <c r="E293" s="66" t="s">
        <v>13</v>
      </c>
      <c r="F293" s="66" t="s">
        <v>744</v>
      </c>
      <c r="G293" s="66" t="s">
        <v>745</v>
      </c>
      <c r="H293" s="66" t="s">
        <v>769</v>
      </c>
      <c r="I293" s="66" t="s">
        <v>170</v>
      </c>
      <c r="J293" s="66" t="s">
        <v>203</v>
      </c>
      <c r="K293" s="66" t="s">
        <v>747</v>
      </c>
      <c r="L293" s="67">
        <v>1265000</v>
      </c>
      <c r="M293" s="67">
        <v>0</v>
      </c>
      <c r="N293" s="68">
        <f t="shared" si="19"/>
        <v>1265000</v>
      </c>
      <c r="O293" s="69">
        <f t="shared" si="18"/>
        <v>1265000</v>
      </c>
      <c r="P293" s="42" t="str">
        <f>IFERROR(VLOOKUP(J293,'Mã NV'!$B:$C,2,0),"")</f>
        <v>XE01149</v>
      </c>
      <c r="Q293" s="70" t="str">
        <f>IFERROR(VLOOKUP(I293,'Mã NV'!$J:$K,2,0),"")</f>
        <v>8T</v>
      </c>
      <c r="S293" s="44">
        <f t="shared" si="16"/>
        <v>37950</v>
      </c>
    </row>
    <row r="294" ht="33.6" customHeight="1" spans="1:19">
      <c r="A294" s="63">
        <f t="shared" si="17"/>
        <v>291</v>
      </c>
      <c r="B294" s="64">
        <v>46157</v>
      </c>
      <c r="C294" s="65"/>
      <c r="D294" s="66" t="s">
        <v>13</v>
      </c>
      <c r="E294" s="66" t="s">
        <v>13</v>
      </c>
      <c r="F294" s="66" t="s">
        <v>744</v>
      </c>
      <c r="G294" s="66" t="s">
        <v>745</v>
      </c>
      <c r="H294" s="66" t="s">
        <v>786</v>
      </c>
      <c r="I294" s="66" t="s">
        <v>158</v>
      </c>
      <c r="J294" s="66" t="s">
        <v>156</v>
      </c>
      <c r="K294" s="66" t="s">
        <v>747</v>
      </c>
      <c r="L294" s="67">
        <v>1842500</v>
      </c>
      <c r="M294" s="67">
        <v>0</v>
      </c>
      <c r="N294" s="68">
        <f t="shared" si="19"/>
        <v>1842500</v>
      </c>
      <c r="O294" s="69">
        <f t="shared" si="18"/>
        <v>1842500</v>
      </c>
      <c r="P294" s="42" t="str">
        <f>IFERROR(VLOOKUP(J294,'Mã NV'!$B:$C,2,0),"")</f>
        <v>XE01316</v>
      </c>
      <c r="Q294" s="70" t="str">
        <f>IFERROR(VLOOKUP(I294,'Mã NV'!$J:$K,2,0),"")</f>
        <v>8T</v>
      </c>
      <c r="S294" s="44">
        <f t="shared" si="16"/>
        <v>55275</v>
      </c>
    </row>
    <row r="295" ht="33.6" customHeight="1" spans="1:19">
      <c r="A295" s="63">
        <f t="shared" si="17"/>
        <v>292</v>
      </c>
      <c r="B295" s="64">
        <v>46157</v>
      </c>
      <c r="C295" s="65"/>
      <c r="D295" s="66" t="s">
        <v>13</v>
      </c>
      <c r="E295" s="66" t="s">
        <v>13</v>
      </c>
      <c r="F295" s="66" t="s">
        <v>744</v>
      </c>
      <c r="G295" s="66" t="s">
        <v>745</v>
      </c>
      <c r="H295" s="66" t="s">
        <v>786</v>
      </c>
      <c r="I295" s="66" t="s">
        <v>158</v>
      </c>
      <c r="J295" s="66" t="s">
        <v>277</v>
      </c>
      <c r="K295" s="66" t="s">
        <v>747</v>
      </c>
      <c r="L295" s="67">
        <v>1842500</v>
      </c>
      <c r="M295" s="67">
        <v>0</v>
      </c>
      <c r="N295" s="68">
        <f t="shared" si="19"/>
        <v>1842500</v>
      </c>
      <c r="O295" s="69">
        <f t="shared" si="18"/>
        <v>1842500</v>
      </c>
      <c r="P295" s="42" t="str">
        <f>IFERROR(VLOOKUP(J295,'Mã NV'!$B:$C,2,0),"")</f>
        <v>XE01534</v>
      </c>
      <c r="Q295" s="70" t="str">
        <f>IFERROR(VLOOKUP(I295,'Mã NV'!$J:$K,2,0),"")</f>
        <v>8T</v>
      </c>
      <c r="S295" s="44">
        <f t="shared" si="16"/>
        <v>55275</v>
      </c>
    </row>
    <row r="296" ht="33.6" customHeight="1" spans="1:19">
      <c r="A296" s="63">
        <f t="shared" si="17"/>
        <v>293</v>
      </c>
      <c r="B296" s="64">
        <v>46158</v>
      </c>
      <c r="C296" s="65"/>
      <c r="D296" s="66" t="s">
        <v>13</v>
      </c>
      <c r="E296" s="66" t="s">
        <v>13</v>
      </c>
      <c r="F296" s="66" t="s">
        <v>744</v>
      </c>
      <c r="G296" s="66" t="s">
        <v>745</v>
      </c>
      <c r="H296" s="66" t="s">
        <v>776</v>
      </c>
      <c r="I296" s="66" t="s">
        <v>230</v>
      </c>
      <c r="J296" s="66" t="s">
        <v>228</v>
      </c>
      <c r="K296" s="66" t="s">
        <v>747</v>
      </c>
      <c r="L296" s="67">
        <v>935000</v>
      </c>
      <c r="M296" s="67">
        <v>0</v>
      </c>
      <c r="N296" s="68">
        <f t="shared" si="19"/>
        <v>935000</v>
      </c>
      <c r="O296" s="69">
        <f t="shared" si="18"/>
        <v>935000</v>
      </c>
      <c r="P296" s="42" t="str">
        <f>IFERROR(VLOOKUP(J296,'Mã NV'!$B:$C,2,0),"")</f>
        <v>XE01390</v>
      </c>
      <c r="Q296" s="70" t="str">
        <f>IFERROR(VLOOKUP(I296,'Mã NV'!$J:$K,2,0),"")</f>
        <v>15T</v>
      </c>
      <c r="S296" s="44">
        <f t="shared" si="16"/>
        <v>28050</v>
      </c>
    </row>
    <row r="297" ht="33.6" customHeight="1" spans="1:19">
      <c r="A297" s="63">
        <f t="shared" si="17"/>
        <v>294</v>
      </c>
      <c r="B297" s="64">
        <v>46158</v>
      </c>
      <c r="C297" s="65"/>
      <c r="D297" s="66" t="s">
        <v>13</v>
      </c>
      <c r="E297" s="66" t="s">
        <v>13</v>
      </c>
      <c r="F297" s="66" t="s">
        <v>744</v>
      </c>
      <c r="G297" s="66" t="s">
        <v>745</v>
      </c>
      <c r="H297" s="66" t="s">
        <v>776</v>
      </c>
      <c r="I297" s="66" t="s">
        <v>230</v>
      </c>
      <c r="J297" s="66" t="s">
        <v>364</v>
      </c>
      <c r="K297" s="66" t="s">
        <v>747</v>
      </c>
      <c r="L297" s="67">
        <v>935000</v>
      </c>
      <c r="M297" s="67">
        <v>0</v>
      </c>
      <c r="N297" s="68">
        <f t="shared" si="19"/>
        <v>935000</v>
      </c>
      <c r="O297" s="69">
        <f t="shared" si="18"/>
        <v>935000</v>
      </c>
      <c r="P297" s="42" t="str">
        <f>IFERROR(VLOOKUP(J297,'Mã NV'!$B:$C,2,0),"")</f>
        <v>XE01690</v>
      </c>
      <c r="Q297" s="70" t="str">
        <f>IFERROR(VLOOKUP(I297,'Mã NV'!$J:$K,2,0),"")</f>
        <v>15T</v>
      </c>
      <c r="S297" s="44">
        <f t="shared" si="16"/>
        <v>28050</v>
      </c>
    </row>
    <row r="298" ht="33.6" customHeight="1" spans="1:19">
      <c r="A298" s="63">
        <f t="shared" si="17"/>
        <v>295</v>
      </c>
      <c r="B298" s="64">
        <v>46158</v>
      </c>
      <c r="C298" s="65"/>
      <c r="D298" s="66" t="s">
        <v>13</v>
      </c>
      <c r="E298" s="66" t="s">
        <v>13</v>
      </c>
      <c r="F298" s="66" t="s">
        <v>744</v>
      </c>
      <c r="G298" s="66" t="s">
        <v>745</v>
      </c>
      <c r="H298" s="66" t="s">
        <v>746</v>
      </c>
      <c r="I298" s="66" t="s">
        <v>141</v>
      </c>
      <c r="J298" s="66" t="s">
        <v>145</v>
      </c>
      <c r="K298" s="66" t="s">
        <v>747</v>
      </c>
      <c r="L298" s="67">
        <v>2505800</v>
      </c>
      <c r="M298" s="67">
        <v>0</v>
      </c>
      <c r="N298" s="68">
        <f t="shared" si="19"/>
        <v>2505800</v>
      </c>
      <c r="O298" s="69">
        <f t="shared" si="18"/>
        <v>2505800</v>
      </c>
      <c r="P298" s="42" t="str">
        <f>IFERROR(VLOOKUP(J298,'Mã NV'!$B:$C,2,0),"")</f>
        <v>XE01326</v>
      </c>
      <c r="Q298" s="70" t="str">
        <f>IFERROR(VLOOKUP(I298,'Mã NV'!$J:$K,2,0),"")</f>
        <v>7.1t</v>
      </c>
      <c r="S298" s="44">
        <f t="shared" si="16"/>
        <v>75174</v>
      </c>
    </row>
    <row r="299" ht="33.6" customHeight="1" spans="1:19">
      <c r="A299" s="63">
        <f t="shared" si="17"/>
        <v>296</v>
      </c>
      <c r="B299" s="64">
        <v>46158</v>
      </c>
      <c r="C299" s="65"/>
      <c r="D299" s="66" t="s">
        <v>13</v>
      </c>
      <c r="E299" s="66" t="s">
        <v>13</v>
      </c>
      <c r="F299" s="66" t="s">
        <v>744</v>
      </c>
      <c r="G299" s="66" t="s">
        <v>745</v>
      </c>
      <c r="H299" s="66" t="s">
        <v>746</v>
      </c>
      <c r="I299" s="66" t="s">
        <v>141</v>
      </c>
      <c r="J299" s="66" t="s">
        <v>139</v>
      </c>
      <c r="K299" s="66" t="s">
        <v>747</v>
      </c>
      <c r="L299" s="67">
        <v>2505800</v>
      </c>
      <c r="M299" s="67">
        <v>0</v>
      </c>
      <c r="N299" s="68">
        <f t="shared" si="19"/>
        <v>2505800</v>
      </c>
      <c r="O299" s="69">
        <f t="shared" si="18"/>
        <v>2505800</v>
      </c>
      <c r="P299" s="42" t="str">
        <f>IFERROR(VLOOKUP(J299,'Mã NV'!$B:$C,2,0),"")</f>
        <v>XE01325</v>
      </c>
      <c r="Q299" s="70" t="str">
        <f>IFERROR(VLOOKUP(I299,'Mã NV'!$J:$K,2,0),"")</f>
        <v>7.1t</v>
      </c>
      <c r="S299" s="44">
        <f t="shared" si="16"/>
        <v>75174</v>
      </c>
    </row>
    <row r="300" ht="33.6" customHeight="1" spans="1:19">
      <c r="A300" s="63">
        <f t="shared" si="17"/>
        <v>297</v>
      </c>
      <c r="B300" s="64">
        <v>46161</v>
      </c>
      <c r="C300" s="65"/>
      <c r="D300" s="66" t="s">
        <v>13</v>
      </c>
      <c r="E300" s="66" t="s">
        <v>13</v>
      </c>
      <c r="F300" s="66" t="s">
        <v>748</v>
      </c>
      <c r="G300" s="66" t="s">
        <v>810</v>
      </c>
      <c r="H300" s="66" t="s">
        <v>750</v>
      </c>
      <c r="I300" s="66" t="s">
        <v>323</v>
      </c>
      <c r="J300" s="66" t="s">
        <v>321</v>
      </c>
      <c r="K300" s="66" t="s">
        <v>747</v>
      </c>
      <c r="L300" s="67">
        <v>1252900</v>
      </c>
      <c r="M300" s="67"/>
      <c r="N300" s="68">
        <f t="shared" si="19"/>
        <v>1252900</v>
      </c>
      <c r="O300" s="69">
        <f t="shared" si="18"/>
        <v>1252900</v>
      </c>
      <c r="P300" s="42" t="str">
        <f>IFERROR(VLOOKUP(J300,'Mã NV'!$B:$C,2,0),"")</f>
        <v>XE01537</v>
      </c>
      <c r="Q300" s="70" t="str">
        <f>IFERROR(VLOOKUP(I300,'Mã NV'!$J:$K,2,0),"")</f>
        <v>2.5T</v>
      </c>
      <c r="S300" s="44">
        <f t="shared" si="16"/>
        <v>37587</v>
      </c>
    </row>
    <row r="301" ht="33.6" customHeight="1" spans="1:19">
      <c r="A301" s="63">
        <f t="shared" si="17"/>
        <v>298</v>
      </c>
      <c r="B301" s="64">
        <v>46161</v>
      </c>
      <c r="C301" s="65"/>
      <c r="D301" s="66" t="s">
        <v>13</v>
      </c>
      <c r="E301" s="66" t="s">
        <v>13</v>
      </c>
      <c r="F301" s="66" t="s">
        <v>744</v>
      </c>
      <c r="G301" s="66" t="s">
        <v>745</v>
      </c>
      <c r="H301" s="66" t="s">
        <v>811</v>
      </c>
      <c r="I301" s="66" t="s">
        <v>176</v>
      </c>
      <c r="J301" s="66" t="s">
        <v>192</v>
      </c>
      <c r="K301" s="66" t="s">
        <v>747</v>
      </c>
      <c r="L301" s="67">
        <v>1897500</v>
      </c>
      <c r="M301" s="67">
        <v>0</v>
      </c>
      <c r="N301" s="68">
        <f t="shared" si="19"/>
        <v>1897500</v>
      </c>
      <c r="O301" s="69">
        <f t="shared" si="18"/>
        <v>1897500</v>
      </c>
      <c r="P301" s="42" t="str">
        <f>IFERROR(VLOOKUP(J301,'Mã NV'!$B:$C,2,0),"")</f>
        <v>XE01335</v>
      </c>
      <c r="Q301" s="70" t="str">
        <f>IFERROR(VLOOKUP(I301,'Mã NV'!$J:$K,2,0),"")</f>
        <v>8T</v>
      </c>
      <c r="S301" s="44">
        <f t="shared" si="16"/>
        <v>56925</v>
      </c>
    </row>
    <row r="302" ht="33.6" customHeight="1" spans="1:19">
      <c r="A302" s="63">
        <f t="shared" si="17"/>
        <v>299</v>
      </c>
      <c r="B302" s="64">
        <v>46161</v>
      </c>
      <c r="C302" s="65"/>
      <c r="D302" s="66" t="s">
        <v>13</v>
      </c>
      <c r="E302" s="66" t="s">
        <v>13</v>
      </c>
      <c r="F302" s="66" t="s">
        <v>744</v>
      </c>
      <c r="G302" s="66" t="s">
        <v>745</v>
      </c>
      <c r="H302" s="66" t="s">
        <v>811</v>
      </c>
      <c r="I302" s="66" t="s">
        <v>176</v>
      </c>
      <c r="J302" s="66" t="s">
        <v>354</v>
      </c>
      <c r="K302" s="66" t="s">
        <v>747</v>
      </c>
      <c r="L302" s="67">
        <v>1897500</v>
      </c>
      <c r="M302" s="67">
        <v>0</v>
      </c>
      <c r="N302" s="68">
        <f t="shared" si="19"/>
        <v>1897500</v>
      </c>
      <c r="O302" s="69">
        <f t="shared" si="18"/>
        <v>1897500</v>
      </c>
      <c r="P302" s="42" t="str">
        <f>IFERROR(VLOOKUP(J302,'Mã NV'!$B:$C,2,0),"")</f>
        <v>XE01644</v>
      </c>
      <c r="Q302" s="70" t="str">
        <f>IFERROR(VLOOKUP(I302,'Mã NV'!$J:$K,2,0),"")</f>
        <v>8T</v>
      </c>
      <c r="S302" s="44">
        <f t="shared" si="16"/>
        <v>56925</v>
      </c>
    </row>
    <row r="303" ht="33.6" customHeight="1" spans="1:19">
      <c r="A303" s="63">
        <f t="shared" si="17"/>
        <v>300</v>
      </c>
      <c r="B303" s="64">
        <v>46161</v>
      </c>
      <c r="C303" s="65"/>
      <c r="D303" s="66" t="s">
        <v>13</v>
      </c>
      <c r="E303" s="66" t="s">
        <v>13</v>
      </c>
      <c r="F303" s="66" t="s">
        <v>744</v>
      </c>
      <c r="G303" s="66" t="s">
        <v>745</v>
      </c>
      <c r="H303" s="66" t="s">
        <v>771</v>
      </c>
      <c r="I303" s="66" t="s">
        <v>176</v>
      </c>
      <c r="J303" s="66" t="s">
        <v>192</v>
      </c>
      <c r="K303" s="66" t="s">
        <v>747</v>
      </c>
      <c r="L303" s="67">
        <v>990000</v>
      </c>
      <c r="M303" s="67">
        <v>0</v>
      </c>
      <c r="N303" s="68">
        <f t="shared" si="19"/>
        <v>990000</v>
      </c>
      <c r="O303" s="69">
        <f t="shared" si="18"/>
        <v>990000</v>
      </c>
      <c r="P303" s="42" t="str">
        <f>IFERROR(VLOOKUP(J303,'Mã NV'!$B:$C,2,0),"")</f>
        <v>XE01335</v>
      </c>
      <c r="Q303" s="70" t="str">
        <f>IFERROR(VLOOKUP(I303,'Mã NV'!$J:$K,2,0),"")</f>
        <v>8T</v>
      </c>
      <c r="S303" s="44">
        <f t="shared" si="16"/>
        <v>29700</v>
      </c>
    </row>
    <row r="304" ht="33.6" customHeight="1" spans="1:19">
      <c r="A304" s="63">
        <f t="shared" si="17"/>
        <v>301</v>
      </c>
      <c r="B304" s="64">
        <v>46161</v>
      </c>
      <c r="C304" s="65"/>
      <c r="D304" s="66" t="s">
        <v>13</v>
      </c>
      <c r="E304" s="66" t="s">
        <v>13</v>
      </c>
      <c r="F304" s="66" t="s">
        <v>744</v>
      </c>
      <c r="G304" s="66" t="s">
        <v>745</v>
      </c>
      <c r="H304" s="66" t="s">
        <v>771</v>
      </c>
      <c r="I304" s="66" t="s">
        <v>176</v>
      </c>
      <c r="J304" s="66" t="s">
        <v>354</v>
      </c>
      <c r="K304" s="66" t="s">
        <v>747</v>
      </c>
      <c r="L304" s="67">
        <v>990000</v>
      </c>
      <c r="M304" s="67">
        <v>0</v>
      </c>
      <c r="N304" s="68">
        <f t="shared" si="19"/>
        <v>990000</v>
      </c>
      <c r="O304" s="69">
        <f t="shared" si="18"/>
        <v>990000</v>
      </c>
      <c r="P304" s="42" t="str">
        <f>IFERROR(VLOOKUP(J304,'Mã NV'!$B:$C,2,0),"")</f>
        <v>XE01644</v>
      </c>
      <c r="Q304" s="70" t="str">
        <f>IFERROR(VLOOKUP(I304,'Mã NV'!$J:$K,2,0),"")</f>
        <v>8T</v>
      </c>
      <c r="S304" s="44">
        <f t="shared" si="16"/>
        <v>29700</v>
      </c>
    </row>
    <row r="305" ht="33.6" customHeight="1" spans="1:19">
      <c r="A305" s="63">
        <f t="shared" si="17"/>
        <v>302</v>
      </c>
      <c r="B305" s="64">
        <v>46161</v>
      </c>
      <c r="C305" s="65"/>
      <c r="D305" s="66" t="s">
        <v>13</v>
      </c>
      <c r="E305" s="66" t="s">
        <v>13</v>
      </c>
      <c r="F305" s="66" t="s">
        <v>744</v>
      </c>
      <c r="G305" s="66" t="s">
        <v>745</v>
      </c>
      <c r="H305" s="66" t="s">
        <v>758</v>
      </c>
      <c r="I305" s="66" t="s">
        <v>176</v>
      </c>
      <c r="J305" s="66" t="s">
        <v>192</v>
      </c>
      <c r="K305" s="66" t="s">
        <v>747</v>
      </c>
      <c r="L305" s="67">
        <v>1180000</v>
      </c>
      <c r="M305" s="67">
        <v>80000</v>
      </c>
      <c r="N305" s="68">
        <f t="shared" si="19"/>
        <v>1100000</v>
      </c>
      <c r="O305" s="69">
        <f t="shared" si="18"/>
        <v>1100000</v>
      </c>
      <c r="P305" s="42" t="str">
        <f>IFERROR(VLOOKUP(J305,'Mã NV'!$B:$C,2,0),"")</f>
        <v>XE01335</v>
      </c>
      <c r="Q305" s="70" t="str">
        <f>IFERROR(VLOOKUP(I305,'Mã NV'!$J:$K,2,0),"")</f>
        <v>8T</v>
      </c>
      <c r="S305" s="44">
        <f t="shared" si="16"/>
        <v>35400</v>
      </c>
    </row>
    <row r="306" ht="33.6" customHeight="1" spans="1:19">
      <c r="A306" s="63">
        <f t="shared" si="17"/>
        <v>303</v>
      </c>
      <c r="B306" s="64">
        <v>46161</v>
      </c>
      <c r="C306" s="65"/>
      <c r="D306" s="66" t="s">
        <v>13</v>
      </c>
      <c r="E306" s="66" t="s">
        <v>13</v>
      </c>
      <c r="F306" s="66" t="s">
        <v>744</v>
      </c>
      <c r="G306" s="66" t="s">
        <v>745</v>
      </c>
      <c r="H306" s="66" t="s">
        <v>758</v>
      </c>
      <c r="I306" s="66" t="s">
        <v>176</v>
      </c>
      <c r="J306" s="66" t="s">
        <v>354</v>
      </c>
      <c r="K306" s="66" t="s">
        <v>747</v>
      </c>
      <c r="L306" s="67">
        <v>1180000</v>
      </c>
      <c r="M306" s="67">
        <v>80000</v>
      </c>
      <c r="N306" s="68">
        <f t="shared" si="19"/>
        <v>1100000</v>
      </c>
      <c r="O306" s="69">
        <f t="shared" si="18"/>
        <v>1100000</v>
      </c>
      <c r="P306" s="42" t="str">
        <f>IFERROR(VLOOKUP(J306,'Mã NV'!$B:$C,2,0),"")</f>
        <v>XE01644</v>
      </c>
      <c r="Q306" s="70" t="str">
        <f>IFERROR(VLOOKUP(I306,'Mã NV'!$J:$K,2,0),"")</f>
        <v>8T</v>
      </c>
      <c r="S306" s="44">
        <f t="shared" si="16"/>
        <v>35400</v>
      </c>
    </row>
    <row r="307" ht="33.6" customHeight="1" spans="1:19">
      <c r="A307" s="63">
        <f t="shared" si="17"/>
        <v>304</v>
      </c>
      <c r="B307" s="64">
        <v>46164</v>
      </c>
      <c r="C307" s="65"/>
      <c r="D307" s="66" t="s">
        <v>13</v>
      </c>
      <c r="E307" s="66" t="s">
        <v>13</v>
      </c>
      <c r="F307" s="66" t="s">
        <v>748</v>
      </c>
      <c r="G307" s="66" t="s">
        <v>810</v>
      </c>
      <c r="H307" s="66" t="s">
        <v>754</v>
      </c>
      <c r="I307" s="77" t="s">
        <v>214</v>
      </c>
      <c r="J307" s="66" t="s">
        <v>212</v>
      </c>
      <c r="K307" s="66" t="s">
        <v>747</v>
      </c>
      <c r="L307" s="67">
        <v>590000</v>
      </c>
      <c r="M307" s="67">
        <v>40000</v>
      </c>
      <c r="N307" s="68">
        <f t="shared" si="19"/>
        <v>550000</v>
      </c>
      <c r="O307" s="69">
        <f t="shared" si="18"/>
        <v>550000</v>
      </c>
      <c r="P307" s="42" t="str">
        <f>IFERROR(VLOOKUP(J307,'Mã NV'!$B:$C,2,0),"")</f>
        <v>XE00977</v>
      </c>
      <c r="Q307" s="70" t="str">
        <f>IFERROR(VLOOKUP(I307,'Mã NV'!$J:$K,2,0),"")</f>
        <v>2T5 Lạnh </v>
      </c>
      <c r="S307" s="44">
        <f t="shared" ref="S307:S345" si="20">L307*3%</f>
        <v>17700</v>
      </c>
    </row>
    <row r="308" ht="33.6" customHeight="1" spans="1:19">
      <c r="A308" s="63">
        <f t="shared" si="17"/>
        <v>305</v>
      </c>
      <c r="B308" s="64">
        <v>46161</v>
      </c>
      <c r="C308" s="65"/>
      <c r="D308" s="66" t="s">
        <v>13</v>
      </c>
      <c r="E308" s="66" t="s">
        <v>13</v>
      </c>
      <c r="F308" s="66" t="s">
        <v>744</v>
      </c>
      <c r="G308" s="66" t="s">
        <v>745</v>
      </c>
      <c r="H308" s="66" t="s">
        <v>771</v>
      </c>
      <c r="I308" s="66" t="s">
        <v>176</v>
      </c>
      <c r="J308" s="66" t="s">
        <v>192</v>
      </c>
      <c r="K308" s="66" t="s">
        <v>747</v>
      </c>
      <c r="L308" s="67">
        <v>1745000</v>
      </c>
      <c r="M308" s="67">
        <v>370000</v>
      </c>
      <c r="N308" s="68">
        <f t="shared" si="19"/>
        <v>1375000</v>
      </c>
      <c r="O308" s="69">
        <f t="shared" si="18"/>
        <v>1375000</v>
      </c>
      <c r="P308" s="42" t="str">
        <f>IFERROR(VLOOKUP(J308,'Mã NV'!$B:$C,2,0),"")</f>
        <v>XE01335</v>
      </c>
      <c r="Q308" s="70" t="str">
        <f>IFERROR(VLOOKUP(I308,'Mã NV'!$J:$K,2,0),"")</f>
        <v>8T</v>
      </c>
      <c r="S308" s="44">
        <f t="shared" si="20"/>
        <v>52350</v>
      </c>
    </row>
    <row r="309" ht="33.6" customHeight="1" spans="1:19">
      <c r="A309" s="63">
        <f t="shared" si="17"/>
        <v>306</v>
      </c>
      <c r="B309" s="64">
        <v>46161</v>
      </c>
      <c r="C309" s="65"/>
      <c r="D309" s="66" t="s">
        <v>13</v>
      </c>
      <c r="E309" s="66" t="s">
        <v>13</v>
      </c>
      <c r="F309" s="66" t="s">
        <v>744</v>
      </c>
      <c r="G309" s="66" t="s">
        <v>745</v>
      </c>
      <c r="H309" s="66" t="s">
        <v>771</v>
      </c>
      <c r="I309" s="66" t="s">
        <v>176</v>
      </c>
      <c r="J309" s="66" t="s">
        <v>354</v>
      </c>
      <c r="K309" s="66" t="s">
        <v>747</v>
      </c>
      <c r="L309" s="67">
        <v>1745000</v>
      </c>
      <c r="M309" s="67">
        <v>370000</v>
      </c>
      <c r="N309" s="68">
        <f t="shared" si="19"/>
        <v>1375000</v>
      </c>
      <c r="O309" s="69">
        <f t="shared" si="18"/>
        <v>1375000</v>
      </c>
      <c r="P309" s="42" t="str">
        <f>IFERROR(VLOOKUP(J309,'Mã NV'!$B:$C,2,0),"")</f>
        <v>XE01644</v>
      </c>
      <c r="Q309" s="70" t="str">
        <f>IFERROR(VLOOKUP(I309,'Mã NV'!$J:$K,2,0),"")</f>
        <v>8T</v>
      </c>
      <c r="S309" s="44">
        <f t="shared" si="20"/>
        <v>52350</v>
      </c>
    </row>
    <row r="310" ht="33.6" customHeight="1" spans="1:19">
      <c r="A310" s="63">
        <f t="shared" si="17"/>
        <v>307</v>
      </c>
      <c r="B310" s="64">
        <v>46162</v>
      </c>
      <c r="C310" s="65"/>
      <c r="D310" s="66" t="s">
        <v>13</v>
      </c>
      <c r="E310" s="66" t="s">
        <v>13</v>
      </c>
      <c r="F310" s="66" t="s">
        <v>744</v>
      </c>
      <c r="G310" s="66" t="s">
        <v>745</v>
      </c>
      <c r="H310" s="66" t="s">
        <v>777</v>
      </c>
      <c r="I310" s="66" t="s">
        <v>266</v>
      </c>
      <c r="J310" s="66" t="s">
        <v>264</v>
      </c>
      <c r="K310" s="66" t="s">
        <v>747</v>
      </c>
      <c r="L310" s="67">
        <v>880000</v>
      </c>
      <c r="M310" s="67">
        <v>0</v>
      </c>
      <c r="N310" s="68">
        <f t="shared" si="19"/>
        <v>880000</v>
      </c>
      <c r="O310" s="69">
        <f t="shared" si="18"/>
        <v>880000</v>
      </c>
      <c r="P310" s="42" t="str">
        <f>IFERROR(VLOOKUP(J310,'Mã NV'!$B:$C,2,0),"")</f>
        <v>XE01678</v>
      </c>
      <c r="Q310" s="70" t="str">
        <f>IFERROR(VLOOKUP(I310,'Mã NV'!$J:$K,2,0),"")</f>
        <v>7.1t</v>
      </c>
      <c r="S310" s="44">
        <f t="shared" si="20"/>
        <v>26400</v>
      </c>
    </row>
    <row r="311" ht="33.6" customHeight="1" spans="1:19">
      <c r="A311" s="63">
        <f t="shared" si="17"/>
        <v>308</v>
      </c>
      <c r="B311" s="64">
        <v>46162</v>
      </c>
      <c r="C311" s="65"/>
      <c r="D311" s="66" t="s">
        <v>13</v>
      </c>
      <c r="E311" s="66" t="s">
        <v>13</v>
      </c>
      <c r="F311" s="66" t="s">
        <v>744</v>
      </c>
      <c r="G311" s="66" t="s">
        <v>745</v>
      </c>
      <c r="H311" s="66" t="s">
        <v>777</v>
      </c>
      <c r="I311" s="66" t="s">
        <v>266</v>
      </c>
      <c r="J311" s="66" t="s">
        <v>399</v>
      </c>
      <c r="K311" s="66" t="s">
        <v>747</v>
      </c>
      <c r="L311" s="67">
        <v>880000</v>
      </c>
      <c r="M311" s="67">
        <v>0</v>
      </c>
      <c r="N311" s="68">
        <f t="shared" si="19"/>
        <v>880000</v>
      </c>
      <c r="O311" s="69">
        <f t="shared" si="18"/>
        <v>880000</v>
      </c>
      <c r="P311" s="42" t="str">
        <f>IFERROR(VLOOKUP(J311,'Mã NV'!$B:$C,2,0),"")</f>
        <v>XE01679</v>
      </c>
      <c r="Q311" s="70" t="str">
        <f>IFERROR(VLOOKUP(I311,'Mã NV'!$J:$K,2,0),"")</f>
        <v>7.1t</v>
      </c>
      <c r="S311" s="44">
        <f t="shared" si="20"/>
        <v>26400</v>
      </c>
    </row>
    <row r="312" ht="33.6" customHeight="1" spans="1:19">
      <c r="A312" s="63">
        <f t="shared" si="17"/>
        <v>309</v>
      </c>
      <c r="B312" s="64">
        <v>46162</v>
      </c>
      <c r="C312" s="65"/>
      <c r="D312" s="66" t="s">
        <v>13</v>
      </c>
      <c r="E312" s="66" t="s">
        <v>13</v>
      </c>
      <c r="F312" s="66" t="s">
        <v>744</v>
      </c>
      <c r="G312" s="66" t="s">
        <v>745</v>
      </c>
      <c r="H312" s="66" t="s">
        <v>746</v>
      </c>
      <c r="I312" s="66" t="s">
        <v>17</v>
      </c>
      <c r="J312" s="66" t="s">
        <v>15</v>
      </c>
      <c r="K312" s="66" t="s">
        <v>747</v>
      </c>
      <c r="L312" s="67">
        <v>1897500</v>
      </c>
      <c r="M312" s="67">
        <v>0</v>
      </c>
      <c r="N312" s="68">
        <f t="shared" si="19"/>
        <v>1897500</v>
      </c>
      <c r="O312" s="69">
        <f t="shared" si="18"/>
        <v>1897500</v>
      </c>
      <c r="P312" s="42" t="str">
        <f>IFERROR(VLOOKUP(J312,'Mã NV'!$B:$C,2,0),"")</f>
        <v>XE01331</v>
      </c>
      <c r="Q312" s="70" t="str">
        <f>IFERROR(VLOOKUP(I312,'Mã NV'!$J:$K,2,0),"")</f>
        <v>15T</v>
      </c>
      <c r="S312" s="44">
        <f t="shared" si="20"/>
        <v>56925</v>
      </c>
    </row>
    <row r="313" ht="33.6" customHeight="1" spans="1:19">
      <c r="A313" s="63">
        <f t="shared" si="17"/>
        <v>310</v>
      </c>
      <c r="B313" s="64">
        <v>46162</v>
      </c>
      <c r="C313" s="65"/>
      <c r="D313" s="66" t="s">
        <v>13</v>
      </c>
      <c r="E313" s="66" t="s">
        <v>13</v>
      </c>
      <c r="F313" s="66" t="s">
        <v>744</v>
      </c>
      <c r="G313" s="66" t="s">
        <v>745</v>
      </c>
      <c r="H313" s="66" t="s">
        <v>746</v>
      </c>
      <c r="I313" s="66" t="s">
        <v>17</v>
      </c>
      <c r="J313" s="66" t="s">
        <v>341</v>
      </c>
      <c r="K313" s="66" t="s">
        <v>747</v>
      </c>
      <c r="L313" s="67">
        <v>1897500</v>
      </c>
      <c r="M313" s="67">
        <v>0</v>
      </c>
      <c r="N313" s="68">
        <f t="shared" si="19"/>
        <v>1897500</v>
      </c>
      <c r="O313" s="69">
        <f t="shared" si="18"/>
        <v>1897500</v>
      </c>
      <c r="P313" s="42" t="str">
        <f>IFERROR(VLOOKUP(J313,'Mã NV'!$B:$C,2,0),"")</f>
        <v>XE01645</v>
      </c>
      <c r="Q313" s="70" t="str">
        <f>IFERROR(VLOOKUP(I313,'Mã NV'!$J:$K,2,0),"")</f>
        <v>15T</v>
      </c>
      <c r="S313" s="44">
        <f t="shared" si="20"/>
        <v>56925</v>
      </c>
    </row>
    <row r="314" ht="33.6" customHeight="1" spans="1:19">
      <c r="A314" s="63">
        <f t="shared" si="17"/>
        <v>311</v>
      </c>
      <c r="B314" s="64">
        <v>46162</v>
      </c>
      <c r="C314" s="65"/>
      <c r="D314" s="66" t="s">
        <v>13</v>
      </c>
      <c r="E314" s="66" t="s">
        <v>13</v>
      </c>
      <c r="F314" s="66" t="s">
        <v>744</v>
      </c>
      <c r="G314" s="66" t="s">
        <v>745</v>
      </c>
      <c r="H314" s="66" t="s">
        <v>800</v>
      </c>
      <c r="I314" s="66" t="s">
        <v>93</v>
      </c>
      <c r="J314" s="66" t="s">
        <v>307</v>
      </c>
      <c r="K314" s="66" t="s">
        <v>747</v>
      </c>
      <c r="L314" s="67">
        <v>1842500</v>
      </c>
      <c r="M314" s="67">
        <v>0</v>
      </c>
      <c r="N314" s="68">
        <f t="shared" si="19"/>
        <v>1842500</v>
      </c>
      <c r="O314" s="69">
        <f t="shared" si="18"/>
        <v>1842500</v>
      </c>
      <c r="P314" s="42" t="str">
        <f>IFERROR(VLOOKUP(J314,'Mã NV'!$B:$C,2,0),"")</f>
        <v>XE01548</v>
      </c>
      <c r="Q314" s="70" t="str">
        <f>IFERROR(VLOOKUP(I314,'Mã NV'!$J:$K,2,0),"")</f>
        <v>7.1t</v>
      </c>
      <c r="S314" s="44">
        <f t="shared" si="20"/>
        <v>55275</v>
      </c>
    </row>
    <row r="315" ht="33.6" customHeight="1" spans="1:19">
      <c r="A315" s="63">
        <f t="shared" si="17"/>
        <v>312</v>
      </c>
      <c r="B315" s="64">
        <v>46162</v>
      </c>
      <c r="C315" s="65"/>
      <c r="D315" s="66" t="s">
        <v>13</v>
      </c>
      <c r="E315" s="66" t="s">
        <v>13</v>
      </c>
      <c r="F315" s="66" t="s">
        <v>744</v>
      </c>
      <c r="G315" s="66" t="s">
        <v>745</v>
      </c>
      <c r="H315" s="66" t="s">
        <v>800</v>
      </c>
      <c r="I315" s="66" t="s">
        <v>93</v>
      </c>
      <c r="J315" s="66" t="s">
        <v>310</v>
      </c>
      <c r="K315" s="66" t="s">
        <v>747</v>
      </c>
      <c r="L315" s="67">
        <v>1842500</v>
      </c>
      <c r="M315" s="67">
        <v>0</v>
      </c>
      <c r="N315" s="68">
        <f t="shared" si="19"/>
        <v>1842500</v>
      </c>
      <c r="O315" s="69">
        <f t="shared" si="18"/>
        <v>1842500</v>
      </c>
      <c r="P315" s="42" t="str">
        <f>IFERROR(VLOOKUP(J315,'Mã NV'!$B:$C,2,0),"")</f>
        <v>XE01549</v>
      </c>
      <c r="Q315" s="70" t="str">
        <f>IFERROR(VLOOKUP(I315,'Mã NV'!$J:$K,2,0),"")</f>
        <v>7.1t</v>
      </c>
      <c r="S315" s="44">
        <f t="shared" si="20"/>
        <v>55275</v>
      </c>
    </row>
    <row r="316" ht="33.6" customHeight="1" spans="1:19">
      <c r="A316" s="63">
        <f t="shared" si="17"/>
        <v>313</v>
      </c>
      <c r="B316" s="64">
        <v>46162</v>
      </c>
      <c r="C316" s="65"/>
      <c r="D316" s="66" t="s">
        <v>13</v>
      </c>
      <c r="E316" s="66" t="s">
        <v>13</v>
      </c>
      <c r="F316" s="66" t="s">
        <v>744</v>
      </c>
      <c r="G316" s="66" t="s">
        <v>745</v>
      </c>
      <c r="H316" s="66" t="s">
        <v>812</v>
      </c>
      <c r="I316" s="66" t="s">
        <v>93</v>
      </c>
      <c r="J316" s="66" t="s">
        <v>307</v>
      </c>
      <c r="K316" s="66" t="s">
        <v>747</v>
      </c>
      <c r="L316" s="67">
        <v>852000</v>
      </c>
      <c r="M316" s="67">
        <v>60000</v>
      </c>
      <c r="N316" s="68">
        <f t="shared" si="19"/>
        <v>792000</v>
      </c>
      <c r="O316" s="69">
        <f t="shared" si="18"/>
        <v>792000</v>
      </c>
      <c r="P316" s="42" t="str">
        <f>IFERROR(VLOOKUP(J316,'Mã NV'!$B:$C,2,0),"")</f>
        <v>XE01548</v>
      </c>
      <c r="Q316" s="70" t="str">
        <f>IFERROR(VLOOKUP(I316,'Mã NV'!$J:$K,2,0),"")</f>
        <v>7.1t</v>
      </c>
      <c r="S316" s="44">
        <f t="shared" si="20"/>
        <v>25560</v>
      </c>
    </row>
    <row r="317" ht="33.6" customHeight="1" spans="1:19">
      <c r="A317" s="63">
        <f t="shared" si="17"/>
        <v>314</v>
      </c>
      <c r="B317" s="64">
        <v>46162</v>
      </c>
      <c r="C317" s="65"/>
      <c r="D317" s="66" t="s">
        <v>13</v>
      </c>
      <c r="E317" s="66" t="s">
        <v>13</v>
      </c>
      <c r="F317" s="66" t="s">
        <v>744</v>
      </c>
      <c r="G317" s="66" t="s">
        <v>745</v>
      </c>
      <c r="H317" s="66" t="s">
        <v>812</v>
      </c>
      <c r="I317" s="66" t="s">
        <v>93</v>
      </c>
      <c r="J317" s="66" t="s">
        <v>310</v>
      </c>
      <c r="K317" s="66" t="s">
        <v>747</v>
      </c>
      <c r="L317" s="67">
        <v>852000</v>
      </c>
      <c r="M317" s="67">
        <v>60000</v>
      </c>
      <c r="N317" s="68">
        <f t="shared" si="19"/>
        <v>792000</v>
      </c>
      <c r="O317" s="69">
        <f t="shared" si="18"/>
        <v>792000</v>
      </c>
      <c r="P317" s="42" t="str">
        <f>IFERROR(VLOOKUP(J317,'Mã NV'!$B:$C,2,0),"")</f>
        <v>XE01549</v>
      </c>
      <c r="Q317" s="70" t="str">
        <f>IFERROR(VLOOKUP(I317,'Mã NV'!$J:$K,2,0),"")</f>
        <v>7.1t</v>
      </c>
      <c r="S317" s="44">
        <f t="shared" si="20"/>
        <v>25560</v>
      </c>
    </row>
    <row r="318" ht="33.6" customHeight="1" spans="1:19">
      <c r="A318" s="63">
        <f t="shared" si="17"/>
        <v>315</v>
      </c>
      <c r="B318" s="64">
        <v>46164</v>
      </c>
      <c r="C318" s="65"/>
      <c r="D318" s="66" t="s">
        <v>13</v>
      </c>
      <c r="E318" s="66" t="s">
        <v>13</v>
      </c>
      <c r="F318" s="66" t="s">
        <v>748</v>
      </c>
      <c r="G318" s="66" t="s">
        <v>810</v>
      </c>
      <c r="H318" s="66" t="s">
        <v>759</v>
      </c>
      <c r="I318" s="66" t="s">
        <v>323</v>
      </c>
      <c r="J318" s="66" t="s">
        <v>321</v>
      </c>
      <c r="K318" s="66" t="s">
        <v>747</v>
      </c>
      <c r="L318" s="67">
        <v>426000</v>
      </c>
      <c r="M318" s="67">
        <v>30000</v>
      </c>
      <c r="N318" s="68">
        <f t="shared" si="19"/>
        <v>396000</v>
      </c>
      <c r="O318" s="69">
        <f t="shared" si="18"/>
        <v>396000</v>
      </c>
      <c r="P318" s="42" t="str">
        <f>IFERROR(VLOOKUP(J318,'Mã NV'!$B:$C,2,0),"")</f>
        <v>XE01537</v>
      </c>
      <c r="Q318" s="70" t="str">
        <f>IFERROR(VLOOKUP(I318,'Mã NV'!$J:$K,2,0),"")</f>
        <v>2.5T</v>
      </c>
      <c r="S318" s="44">
        <f t="shared" si="20"/>
        <v>12780</v>
      </c>
    </row>
    <row r="319" ht="33.6" customHeight="1" spans="1:19">
      <c r="A319" s="63">
        <f t="shared" si="17"/>
        <v>316</v>
      </c>
      <c r="B319" s="64">
        <v>46163</v>
      </c>
      <c r="C319" s="65"/>
      <c r="D319" s="66" t="s">
        <v>13</v>
      </c>
      <c r="E319" s="66" t="s">
        <v>13</v>
      </c>
      <c r="F319" s="66" t="s">
        <v>744</v>
      </c>
      <c r="G319" s="66" t="s">
        <v>745</v>
      </c>
      <c r="H319" s="66" t="s">
        <v>746</v>
      </c>
      <c r="I319" s="66" t="s">
        <v>103</v>
      </c>
      <c r="J319" s="66" t="s">
        <v>181</v>
      </c>
      <c r="K319" s="66" t="s">
        <v>747</v>
      </c>
      <c r="L319" s="67">
        <v>5567500</v>
      </c>
      <c r="M319" s="67">
        <v>40000</v>
      </c>
      <c r="N319" s="68">
        <f t="shared" si="19"/>
        <v>5527500</v>
      </c>
      <c r="O319" s="69">
        <f t="shared" si="18"/>
        <v>5527500</v>
      </c>
      <c r="P319" s="42" t="str">
        <f>IFERROR(VLOOKUP(J319,'Mã NV'!$B:$C,2,0),"")</f>
        <v>XE01281</v>
      </c>
      <c r="Q319" s="70" t="str">
        <f>IFERROR(VLOOKUP(I319,'Mã NV'!$J:$K,2,0),"")</f>
        <v>7.1t</v>
      </c>
      <c r="S319" s="44">
        <f t="shared" si="20"/>
        <v>167025</v>
      </c>
    </row>
    <row r="320" ht="33.6" customHeight="1" spans="1:19">
      <c r="A320" s="63">
        <f t="shared" si="17"/>
        <v>317</v>
      </c>
      <c r="B320" s="64">
        <v>46163</v>
      </c>
      <c r="C320" s="65"/>
      <c r="D320" s="66" t="s">
        <v>13</v>
      </c>
      <c r="E320" s="66" t="s">
        <v>13</v>
      </c>
      <c r="F320" s="66" t="s">
        <v>744</v>
      </c>
      <c r="G320" s="66" t="s">
        <v>745</v>
      </c>
      <c r="H320" s="66" t="s">
        <v>746</v>
      </c>
      <c r="I320" s="66" t="s">
        <v>103</v>
      </c>
      <c r="J320" s="66" t="s">
        <v>172</v>
      </c>
      <c r="K320" s="66" t="s">
        <v>747</v>
      </c>
      <c r="L320" s="67">
        <v>5567500</v>
      </c>
      <c r="M320" s="67">
        <v>40000</v>
      </c>
      <c r="N320" s="68">
        <f t="shared" si="19"/>
        <v>5527500</v>
      </c>
      <c r="O320" s="69">
        <f t="shared" si="18"/>
        <v>5527500</v>
      </c>
      <c r="P320" s="42" t="str">
        <f>IFERROR(VLOOKUP(J320,'Mã NV'!$B:$C,2,0),"")</f>
        <v>XE01433</v>
      </c>
      <c r="Q320" s="70" t="str">
        <f>IFERROR(VLOOKUP(I320,'Mã NV'!$J:$K,2,0),"")</f>
        <v>7.1t</v>
      </c>
      <c r="S320" s="44">
        <f t="shared" si="20"/>
        <v>167025</v>
      </c>
    </row>
    <row r="321" ht="33.6" customHeight="1" spans="1:19">
      <c r="A321" s="63">
        <f t="shared" si="17"/>
        <v>318</v>
      </c>
      <c r="B321" s="64">
        <v>46167</v>
      </c>
      <c r="C321" s="65"/>
      <c r="D321" s="66" t="s">
        <v>13</v>
      </c>
      <c r="E321" s="66" t="s">
        <v>13</v>
      </c>
      <c r="F321" s="66" t="s">
        <v>748</v>
      </c>
      <c r="G321" s="66" t="s">
        <v>810</v>
      </c>
      <c r="H321" s="66" t="s">
        <v>813</v>
      </c>
      <c r="I321" s="66" t="s">
        <v>323</v>
      </c>
      <c r="J321" s="66" t="s">
        <v>321</v>
      </c>
      <c r="K321" s="66" t="s">
        <v>747</v>
      </c>
      <c r="L321" s="67">
        <v>2783750</v>
      </c>
      <c r="M321" s="67">
        <v>20000</v>
      </c>
      <c r="N321" s="68">
        <f t="shared" si="19"/>
        <v>2763750</v>
      </c>
      <c r="O321" s="69">
        <f t="shared" si="18"/>
        <v>2763750</v>
      </c>
      <c r="P321" s="42" t="str">
        <f>IFERROR(VLOOKUP(J321,'Mã NV'!$B:$C,2,0),"")</f>
        <v>XE01537</v>
      </c>
      <c r="Q321" s="70" t="str">
        <f>IFERROR(VLOOKUP(I321,'Mã NV'!$J:$K,2,0),"")</f>
        <v>2.5T</v>
      </c>
      <c r="S321" s="44">
        <f t="shared" si="20"/>
        <v>83512.5</v>
      </c>
    </row>
    <row r="322" ht="33.6" customHeight="1" spans="1:19">
      <c r="A322" s="63">
        <f t="shared" si="17"/>
        <v>319</v>
      </c>
      <c r="B322" s="64">
        <v>46163</v>
      </c>
      <c r="C322" s="65"/>
      <c r="D322" s="66" t="s">
        <v>13</v>
      </c>
      <c r="E322" s="66" t="s">
        <v>13</v>
      </c>
      <c r="F322" s="66" t="s">
        <v>744</v>
      </c>
      <c r="G322" s="66" t="s">
        <v>745</v>
      </c>
      <c r="H322" s="66" t="s">
        <v>797</v>
      </c>
      <c r="I322" s="66" t="s">
        <v>103</v>
      </c>
      <c r="J322" s="66" t="s">
        <v>181</v>
      </c>
      <c r="K322" s="66" t="s">
        <v>747</v>
      </c>
      <c r="L322" s="67">
        <v>2270000</v>
      </c>
      <c r="M322" s="67">
        <v>400000</v>
      </c>
      <c r="N322" s="68">
        <f t="shared" si="19"/>
        <v>1870000</v>
      </c>
      <c r="O322" s="69">
        <f t="shared" si="18"/>
        <v>1870000</v>
      </c>
      <c r="P322" s="42" t="str">
        <f>IFERROR(VLOOKUP(J322,'Mã NV'!$B:$C,2,0),"")</f>
        <v>XE01281</v>
      </c>
      <c r="Q322" s="70" t="str">
        <f>IFERROR(VLOOKUP(I322,'Mã NV'!$J:$K,2,0),"")</f>
        <v>7.1t</v>
      </c>
      <c r="S322" s="44">
        <f t="shared" si="20"/>
        <v>68100</v>
      </c>
    </row>
    <row r="323" ht="33.6" customHeight="1" spans="1:19">
      <c r="A323" s="63">
        <f t="shared" si="17"/>
        <v>320</v>
      </c>
      <c r="B323" s="64">
        <v>46163</v>
      </c>
      <c r="C323" s="65"/>
      <c r="D323" s="66" t="s">
        <v>13</v>
      </c>
      <c r="E323" s="66" t="s">
        <v>13</v>
      </c>
      <c r="F323" s="66" t="s">
        <v>744</v>
      </c>
      <c r="G323" s="66" t="s">
        <v>745</v>
      </c>
      <c r="H323" s="66" t="s">
        <v>797</v>
      </c>
      <c r="I323" s="66" t="s">
        <v>103</v>
      </c>
      <c r="J323" s="66" t="s">
        <v>172</v>
      </c>
      <c r="K323" s="66" t="s">
        <v>747</v>
      </c>
      <c r="L323" s="67">
        <v>2270000</v>
      </c>
      <c r="M323" s="67">
        <v>400000</v>
      </c>
      <c r="N323" s="68">
        <f t="shared" si="19"/>
        <v>1870000</v>
      </c>
      <c r="O323" s="69">
        <f t="shared" si="18"/>
        <v>1870000</v>
      </c>
      <c r="P323" s="42" t="str">
        <f>IFERROR(VLOOKUP(J323,'Mã NV'!$B:$C,2,0),"")</f>
        <v>XE01433</v>
      </c>
      <c r="Q323" s="70" t="str">
        <f>IFERROR(VLOOKUP(I323,'Mã NV'!$J:$K,2,0),"")</f>
        <v>7.1t</v>
      </c>
      <c r="S323" s="44">
        <f t="shared" si="20"/>
        <v>68100</v>
      </c>
    </row>
    <row r="324" ht="33.6" customHeight="1" spans="1:19">
      <c r="A324" s="63">
        <f t="shared" si="17"/>
        <v>321</v>
      </c>
      <c r="B324" s="64">
        <v>46163</v>
      </c>
      <c r="C324" s="65"/>
      <c r="D324" s="66" t="s">
        <v>13</v>
      </c>
      <c r="E324" s="66" t="s">
        <v>13</v>
      </c>
      <c r="F324" s="66" t="s">
        <v>744</v>
      </c>
      <c r="G324" s="66" t="s">
        <v>745</v>
      </c>
      <c r="H324" s="66" t="s">
        <v>776</v>
      </c>
      <c r="I324" s="66" t="s">
        <v>103</v>
      </c>
      <c r="J324" s="66" t="s">
        <v>181</v>
      </c>
      <c r="K324" s="66" t="s">
        <v>747</v>
      </c>
      <c r="L324" s="67">
        <v>935000</v>
      </c>
      <c r="M324" s="67">
        <v>0</v>
      </c>
      <c r="N324" s="68">
        <f t="shared" si="19"/>
        <v>935000</v>
      </c>
      <c r="O324" s="69">
        <f t="shared" si="18"/>
        <v>935000</v>
      </c>
      <c r="P324" s="42" t="str">
        <f>IFERROR(VLOOKUP(J324,'Mã NV'!$B:$C,2,0),"")</f>
        <v>XE01281</v>
      </c>
      <c r="Q324" s="70" t="str">
        <f>IFERROR(VLOOKUP(I324,'Mã NV'!$J:$K,2,0),"")</f>
        <v>7.1t</v>
      </c>
      <c r="S324" s="44">
        <f t="shared" si="20"/>
        <v>28050</v>
      </c>
    </row>
    <row r="325" ht="33.6" customHeight="1" spans="1:19">
      <c r="A325" s="63">
        <f t="shared" si="17"/>
        <v>322</v>
      </c>
      <c r="B325" s="64">
        <v>46163</v>
      </c>
      <c r="C325" s="65"/>
      <c r="D325" s="66" t="s">
        <v>13</v>
      </c>
      <c r="E325" s="66" t="s">
        <v>13</v>
      </c>
      <c r="F325" s="66" t="s">
        <v>744</v>
      </c>
      <c r="G325" s="66" t="s">
        <v>745</v>
      </c>
      <c r="H325" s="66" t="s">
        <v>776</v>
      </c>
      <c r="I325" s="66" t="s">
        <v>103</v>
      </c>
      <c r="J325" s="66" t="s">
        <v>172</v>
      </c>
      <c r="K325" s="66" t="s">
        <v>747</v>
      </c>
      <c r="L325" s="67">
        <v>935000</v>
      </c>
      <c r="M325" s="67">
        <v>0</v>
      </c>
      <c r="N325" s="68">
        <f t="shared" si="19"/>
        <v>935000</v>
      </c>
      <c r="O325" s="69">
        <f t="shared" si="18"/>
        <v>935000</v>
      </c>
      <c r="P325" s="42" t="str">
        <f>IFERROR(VLOOKUP(J325,'Mã NV'!$B:$C,2,0),"")</f>
        <v>XE01433</v>
      </c>
      <c r="Q325" s="70" t="str">
        <f>IFERROR(VLOOKUP(I325,'Mã NV'!$J:$K,2,0),"")</f>
        <v>7.1t</v>
      </c>
      <c r="S325" s="44">
        <f t="shared" si="20"/>
        <v>28050</v>
      </c>
    </row>
    <row r="326" ht="33.6" customHeight="1" spans="1:19">
      <c r="A326" s="63">
        <f t="shared" ref="A326:A395" si="21">A325+1</f>
        <v>323</v>
      </c>
      <c r="B326" s="64">
        <v>46163</v>
      </c>
      <c r="C326" s="65"/>
      <c r="D326" s="66" t="s">
        <v>13</v>
      </c>
      <c r="E326" s="66" t="s">
        <v>13</v>
      </c>
      <c r="F326" s="66" t="s">
        <v>744</v>
      </c>
      <c r="G326" s="66" t="s">
        <v>745</v>
      </c>
      <c r="H326" s="66" t="s">
        <v>769</v>
      </c>
      <c r="I326" s="66" t="s">
        <v>103</v>
      </c>
      <c r="J326" s="66" t="s">
        <v>181</v>
      </c>
      <c r="K326" s="66" t="s">
        <v>747</v>
      </c>
      <c r="L326" s="67">
        <v>1390000</v>
      </c>
      <c r="M326" s="67">
        <v>125000</v>
      </c>
      <c r="N326" s="68">
        <f t="shared" si="19"/>
        <v>1265000</v>
      </c>
      <c r="O326" s="69">
        <f t="shared" si="18"/>
        <v>1265000</v>
      </c>
      <c r="P326" s="42" t="str">
        <f>IFERROR(VLOOKUP(J326,'Mã NV'!$B:$C,2,0),"")</f>
        <v>XE01281</v>
      </c>
      <c r="Q326" s="70" t="str">
        <f>IFERROR(VLOOKUP(I326,'Mã NV'!$J:$K,2,0),"")</f>
        <v>7.1t</v>
      </c>
      <c r="S326" s="44">
        <f t="shared" si="20"/>
        <v>41700</v>
      </c>
    </row>
    <row r="327" ht="33.6" customHeight="1" spans="1:19">
      <c r="A327" s="63">
        <f t="shared" si="21"/>
        <v>324</v>
      </c>
      <c r="B327" s="64">
        <v>46163</v>
      </c>
      <c r="C327" s="65"/>
      <c r="D327" s="66" t="s">
        <v>13</v>
      </c>
      <c r="E327" s="66" t="s">
        <v>13</v>
      </c>
      <c r="F327" s="66" t="s">
        <v>744</v>
      </c>
      <c r="G327" s="66" t="s">
        <v>745</v>
      </c>
      <c r="H327" s="66" t="s">
        <v>769</v>
      </c>
      <c r="I327" s="66" t="s">
        <v>103</v>
      </c>
      <c r="J327" s="66" t="s">
        <v>172</v>
      </c>
      <c r="K327" s="66" t="s">
        <v>747</v>
      </c>
      <c r="L327" s="67">
        <v>1390000</v>
      </c>
      <c r="M327" s="67">
        <v>125000</v>
      </c>
      <c r="N327" s="68">
        <f t="shared" si="19"/>
        <v>1265000</v>
      </c>
      <c r="O327" s="69">
        <f t="shared" ref="O327:O396" si="22">N327/$P$1</f>
        <v>1265000</v>
      </c>
      <c r="P327" s="42" t="str">
        <f>IFERROR(VLOOKUP(J327,'Mã NV'!$B:$C,2,0),"")</f>
        <v>XE01433</v>
      </c>
      <c r="Q327" s="70" t="str">
        <f>IFERROR(VLOOKUP(I327,'Mã NV'!$J:$K,2,0),"")</f>
        <v>7.1t</v>
      </c>
      <c r="S327" s="44">
        <f t="shared" si="20"/>
        <v>41700</v>
      </c>
    </row>
    <row r="328" ht="33.6" customHeight="1" spans="1:19">
      <c r="A328" s="63">
        <f t="shared" si="21"/>
        <v>325</v>
      </c>
      <c r="B328" s="64">
        <v>46165</v>
      </c>
      <c r="C328" s="65"/>
      <c r="D328" s="66" t="s">
        <v>13</v>
      </c>
      <c r="E328" s="66" t="s">
        <v>13</v>
      </c>
      <c r="F328" s="66" t="s">
        <v>744</v>
      </c>
      <c r="G328" s="66" t="s">
        <v>814</v>
      </c>
      <c r="H328" s="66" t="s">
        <v>811</v>
      </c>
      <c r="I328" s="66" t="s">
        <v>205</v>
      </c>
      <c r="J328" s="66" t="s">
        <v>312</v>
      </c>
      <c r="K328" s="66" t="s">
        <v>747</v>
      </c>
      <c r="L328" s="67">
        <v>1897500</v>
      </c>
      <c r="M328" s="67">
        <v>0</v>
      </c>
      <c r="N328" s="68">
        <f t="shared" ref="N328:N397" si="23">L328-M328</f>
        <v>1897500</v>
      </c>
      <c r="O328" s="69">
        <f t="shared" si="22"/>
        <v>1897500</v>
      </c>
      <c r="P328" s="42" t="str">
        <f>IFERROR(VLOOKUP(J328,'Mã NV'!$B:$C,2,0),"")</f>
        <v>XE01582</v>
      </c>
      <c r="Q328" s="70" t="str">
        <f>IFERROR(VLOOKUP(I328,'Mã NV'!$J:$K,2,0),"")</f>
        <v>8T</v>
      </c>
      <c r="S328" s="44">
        <f t="shared" si="20"/>
        <v>56925</v>
      </c>
    </row>
    <row r="329" ht="33.6" customHeight="1" spans="1:19">
      <c r="A329" s="63">
        <f t="shared" si="21"/>
        <v>326</v>
      </c>
      <c r="B329" s="64">
        <v>46165</v>
      </c>
      <c r="C329" s="65"/>
      <c r="D329" s="66" t="s">
        <v>13</v>
      </c>
      <c r="E329" s="66" t="s">
        <v>13</v>
      </c>
      <c r="F329" s="66" t="s">
        <v>744</v>
      </c>
      <c r="G329" s="66" t="s">
        <v>814</v>
      </c>
      <c r="H329" s="66" t="s">
        <v>811</v>
      </c>
      <c r="I329" s="66" t="s">
        <v>205</v>
      </c>
      <c r="J329" s="66" t="s">
        <v>314</v>
      </c>
      <c r="K329" s="66" t="s">
        <v>747</v>
      </c>
      <c r="L329" s="67">
        <v>1897500</v>
      </c>
      <c r="M329" s="67">
        <v>0</v>
      </c>
      <c r="N329" s="68">
        <f t="shared" si="23"/>
        <v>1897500</v>
      </c>
      <c r="O329" s="69">
        <f t="shared" si="22"/>
        <v>1897500</v>
      </c>
      <c r="P329" s="42" t="str">
        <f>IFERROR(VLOOKUP(J329,'Mã NV'!$B:$C,2,0),"")</f>
        <v>XE01583</v>
      </c>
      <c r="Q329" s="70" t="str">
        <f>IFERROR(VLOOKUP(I329,'Mã NV'!$J:$K,2,0),"")</f>
        <v>8T</v>
      </c>
      <c r="S329" s="44">
        <f t="shared" si="20"/>
        <v>56925</v>
      </c>
    </row>
    <row r="330" ht="33.6" customHeight="1" spans="1:19">
      <c r="A330" s="63">
        <f t="shared" si="21"/>
        <v>327</v>
      </c>
      <c r="B330" s="64">
        <v>46168</v>
      </c>
      <c r="C330" s="65"/>
      <c r="D330" s="66" t="s">
        <v>13</v>
      </c>
      <c r="E330" s="66" t="s">
        <v>13</v>
      </c>
      <c r="F330" s="66" t="s">
        <v>744</v>
      </c>
      <c r="G330" s="66" t="s">
        <v>745</v>
      </c>
      <c r="H330" s="66" t="s">
        <v>815</v>
      </c>
      <c r="I330" s="66" t="s">
        <v>300</v>
      </c>
      <c r="J330" s="66" t="s">
        <v>298</v>
      </c>
      <c r="K330" s="66" t="s">
        <v>747</v>
      </c>
      <c r="L330" s="67">
        <v>1430000</v>
      </c>
      <c r="M330" s="67">
        <v>0</v>
      </c>
      <c r="N330" s="68">
        <f t="shared" si="23"/>
        <v>1430000</v>
      </c>
      <c r="O330" s="69">
        <f t="shared" si="22"/>
        <v>1430000</v>
      </c>
      <c r="P330" s="42" t="str">
        <f>IFERROR(VLOOKUP(J330,'Mã NV'!$B:$C,2,0),"")</f>
        <v>XE01590</v>
      </c>
      <c r="Q330" s="70" t="str">
        <f>IFERROR(VLOOKUP(I330,'Mã NV'!$J:$K,2,0),"")</f>
        <v>8T</v>
      </c>
      <c r="S330" s="44">
        <f t="shared" si="20"/>
        <v>42900</v>
      </c>
    </row>
    <row r="331" ht="33.6" customHeight="1" spans="1:19">
      <c r="A331" s="63">
        <f t="shared" si="21"/>
        <v>328</v>
      </c>
      <c r="B331" s="64">
        <v>46168</v>
      </c>
      <c r="C331" s="65"/>
      <c r="D331" s="66" t="s">
        <v>13</v>
      </c>
      <c r="E331" s="66" t="s">
        <v>13</v>
      </c>
      <c r="F331" s="66" t="s">
        <v>744</v>
      </c>
      <c r="G331" s="66" t="s">
        <v>745</v>
      </c>
      <c r="H331" s="66" t="s">
        <v>815</v>
      </c>
      <c r="I331" s="66" t="s">
        <v>300</v>
      </c>
      <c r="J331" s="66" t="s">
        <v>301</v>
      </c>
      <c r="K331" s="66" t="s">
        <v>747</v>
      </c>
      <c r="L331" s="67">
        <v>1430000</v>
      </c>
      <c r="M331" s="67">
        <v>0</v>
      </c>
      <c r="N331" s="68">
        <f t="shared" si="23"/>
        <v>1430000</v>
      </c>
      <c r="O331" s="69">
        <f t="shared" si="22"/>
        <v>1430000</v>
      </c>
      <c r="P331" s="42" t="str">
        <f>IFERROR(VLOOKUP(J331,'Mã NV'!$B:$C,2,0),"")</f>
        <v>XE01591</v>
      </c>
      <c r="Q331" s="70" t="str">
        <f>IFERROR(VLOOKUP(I331,'Mã NV'!$J:$K,2,0),"")</f>
        <v>8T</v>
      </c>
      <c r="S331" s="44">
        <f t="shared" si="20"/>
        <v>42900</v>
      </c>
    </row>
    <row r="332" ht="33.6" customHeight="1" spans="1:19">
      <c r="A332" s="63">
        <f t="shared" si="21"/>
        <v>329</v>
      </c>
      <c r="B332" s="64">
        <v>46168</v>
      </c>
      <c r="C332" s="65"/>
      <c r="D332" s="66" t="s">
        <v>13</v>
      </c>
      <c r="E332" s="66" t="s">
        <v>13</v>
      </c>
      <c r="F332" s="66" t="s">
        <v>744</v>
      </c>
      <c r="G332" s="66" t="s">
        <v>745</v>
      </c>
      <c r="H332" s="66" t="s">
        <v>767</v>
      </c>
      <c r="I332" s="66" t="s">
        <v>300</v>
      </c>
      <c r="J332" s="66" t="s">
        <v>298</v>
      </c>
      <c r="K332" s="66" t="s">
        <v>747</v>
      </c>
      <c r="L332" s="67">
        <v>990000</v>
      </c>
      <c r="M332" s="67">
        <v>0</v>
      </c>
      <c r="N332" s="68">
        <f t="shared" si="23"/>
        <v>990000</v>
      </c>
      <c r="O332" s="69">
        <f t="shared" si="22"/>
        <v>990000</v>
      </c>
      <c r="P332" s="42" t="str">
        <f>IFERROR(VLOOKUP(J332,'Mã NV'!$B:$C,2,0),"")</f>
        <v>XE01590</v>
      </c>
      <c r="Q332" s="70" t="str">
        <f>IFERROR(VLOOKUP(I332,'Mã NV'!$J:$K,2,0),"")</f>
        <v>8T</v>
      </c>
      <c r="S332" s="44">
        <f t="shared" si="20"/>
        <v>29700</v>
      </c>
    </row>
    <row r="333" ht="33.6" customHeight="1" spans="1:19">
      <c r="A333" s="63">
        <f t="shared" si="21"/>
        <v>330</v>
      </c>
      <c r="B333" s="64">
        <v>46168</v>
      </c>
      <c r="C333" s="65"/>
      <c r="D333" s="66" t="s">
        <v>13</v>
      </c>
      <c r="E333" s="66" t="s">
        <v>13</v>
      </c>
      <c r="F333" s="66" t="s">
        <v>744</v>
      </c>
      <c r="G333" s="66" t="s">
        <v>745</v>
      </c>
      <c r="H333" s="66" t="s">
        <v>767</v>
      </c>
      <c r="I333" s="66" t="s">
        <v>300</v>
      </c>
      <c r="J333" s="66" t="s">
        <v>301</v>
      </c>
      <c r="K333" s="66" t="s">
        <v>747</v>
      </c>
      <c r="L333" s="67">
        <v>990000</v>
      </c>
      <c r="M333" s="67">
        <v>0</v>
      </c>
      <c r="N333" s="68">
        <f t="shared" si="23"/>
        <v>990000</v>
      </c>
      <c r="O333" s="69">
        <f t="shared" si="22"/>
        <v>990000</v>
      </c>
      <c r="P333" s="42" t="str">
        <f>IFERROR(VLOOKUP(J333,'Mã NV'!$B:$C,2,0),"")</f>
        <v>XE01591</v>
      </c>
      <c r="Q333" s="70" t="str">
        <f>IFERROR(VLOOKUP(I333,'Mã NV'!$J:$K,2,0),"")</f>
        <v>8T</v>
      </c>
      <c r="S333" s="44">
        <f t="shared" si="20"/>
        <v>29700</v>
      </c>
    </row>
    <row r="334" ht="33.6" customHeight="1" spans="1:19">
      <c r="A334" s="63">
        <f t="shared" si="21"/>
        <v>331</v>
      </c>
      <c r="B334" s="64">
        <v>46168</v>
      </c>
      <c r="C334" s="65"/>
      <c r="D334" s="66" t="s">
        <v>13</v>
      </c>
      <c r="E334" s="66" t="s">
        <v>13</v>
      </c>
      <c r="F334" s="66" t="s">
        <v>744</v>
      </c>
      <c r="G334" s="66" t="s">
        <v>745</v>
      </c>
      <c r="H334" s="66" t="s">
        <v>777</v>
      </c>
      <c r="I334" s="66" t="s">
        <v>300</v>
      </c>
      <c r="J334" s="66" t="s">
        <v>298</v>
      </c>
      <c r="K334" s="66" t="s">
        <v>747</v>
      </c>
      <c r="L334" s="67">
        <v>1320000</v>
      </c>
      <c r="M334" s="67">
        <v>0</v>
      </c>
      <c r="N334" s="68">
        <f t="shared" si="23"/>
        <v>1320000</v>
      </c>
      <c r="O334" s="69">
        <f t="shared" si="22"/>
        <v>1320000</v>
      </c>
      <c r="P334" s="42" t="str">
        <f>IFERROR(VLOOKUP(J334,'Mã NV'!$B:$C,2,0),"")</f>
        <v>XE01590</v>
      </c>
      <c r="Q334" s="70" t="str">
        <f>IFERROR(VLOOKUP(I334,'Mã NV'!$J:$K,2,0),"")</f>
        <v>8T</v>
      </c>
      <c r="S334" s="44">
        <f t="shared" si="20"/>
        <v>39600</v>
      </c>
    </row>
    <row r="335" ht="33.6" customHeight="1" spans="1:19">
      <c r="A335" s="63">
        <f t="shared" si="21"/>
        <v>332</v>
      </c>
      <c r="B335" s="64">
        <v>46168</v>
      </c>
      <c r="C335" s="65"/>
      <c r="D335" s="66" t="s">
        <v>13</v>
      </c>
      <c r="E335" s="66" t="s">
        <v>13</v>
      </c>
      <c r="F335" s="66" t="s">
        <v>744</v>
      </c>
      <c r="G335" s="66" t="s">
        <v>745</v>
      </c>
      <c r="H335" s="66" t="s">
        <v>777</v>
      </c>
      <c r="I335" s="66" t="s">
        <v>300</v>
      </c>
      <c r="J335" s="66" t="s">
        <v>301</v>
      </c>
      <c r="K335" s="66" t="s">
        <v>747</v>
      </c>
      <c r="L335" s="67">
        <v>1320000</v>
      </c>
      <c r="M335" s="67">
        <v>0</v>
      </c>
      <c r="N335" s="68">
        <f t="shared" si="23"/>
        <v>1320000</v>
      </c>
      <c r="O335" s="69">
        <f t="shared" si="22"/>
        <v>1320000</v>
      </c>
      <c r="P335" s="42" t="str">
        <f>IFERROR(VLOOKUP(J335,'Mã NV'!$B:$C,2,0),"")</f>
        <v>XE01591</v>
      </c>
      <c r="Q335" s="70" t="str">
        <f>IFERROR(VLOOKUP(I335,'Mã NV'!$J:$K,2,0),"")</f>
        <v>8T</v>
      </c>
      <c r="S335" s="44">
        <f t="shared" si="20"/>
        <v>39600</v>
      </c>
    </row>
    <row r="336" ht="33.6" customHeight="1" spans="1:19">
      <c r="A336" s="63">
        <f t="shared" si="21"/>
        <v>333</v>
      </c>
      <c r="B336" s="64">
        <v>46170</v>
      </c>
      <c r="C336" s="65"/>
      <c r="D336" s="66" t="s">
        <v>13</v>
      </c>
      <c r="E336" s="66" t="s">
        <v>13</v>
      </c>
      <c r="F336" s="66" t="s">
        <v>744</v>
      </c>
      <c r="G336" s="66" t="s">
        <v>745</v>
      </c>
      <c r="H336" s="66" t="s">
        <v>767</v>
      </c>
      <c r="I336" s="66" t="s">
        <v>208</v>
      </c>
      <c r="J336" s="66" t="s">
        <v>219</v>
      </c>
      <c r="K336" s="66" t="s">
        <v>747</v>
      </c>
      <c r="L336" s="67">
        <v>1375000</v>
      </c>
      <c r="M336" s="67">
        <v>82000</v>
      </c>
      <c r="N336" s="68">
        <f t="shared" si="23"/>
        <v>1293000</v>
      </c>
      <c r="O336" s="69">
        <f t="shared" si="22"/>
        <v>1293000</v>
      </c>
      <c r="P336" s="42" t="str">
        <f>IFERROR(VLOOKUP(J336,'Mã NV'!$B:$C,2,0),"")</f>
        <v>XE00499</v>
      </c>
      <c r="Q336" s="70" t="str">
        <f>IFERROR(VLOOKUP(I336,'Mã NV'!$J:$K,2,0),"")</f>
        <v>15T</v>
      </c>
      <c r="S336" s="44">
        <f t="shared" si="20"/>
        <v>41250</v>
      </c>
    </row>
    <row r="337" ht="33.6" customHeight="1" spans="1:20">
      <c r="A337" s="63">
        <f t="shared" si="21"/>
        <v>334</v>
      </c>
      <c r="B337" s="64">
        <v>46170</v>
      </c>
      <c r="C337" s="65"/>
      <c r="D337" s="66" t="s">
        <v>13</v>
      </c>
      <c r="E337" s="66" t="s">
        <v>13</v>
      </c>
      <c r="F337" s="66" t="s">
        <v>744</v>
      </c>
      <c r="G337" s="66" t="s">
        <v>745</v>
      </c>
      <c r="H337" s="66" t="s">
        <v>767</v>
      </c>
      <c r="I337" s="66" t="s">
        <v>208</v>
      </c>
      <c r="J337" s="66" t="s">
        <v>373</v>
      </c>
      <c r="K337" s="66" t="s">
        <v>747</v>
      </c>
      <c r="L337" s="67">
        <v>1375000</v>
      </c>
      <c r="M337" s="67">
        <v>82000</v>
      </c>
      <c r="N337" s="68">
        <f t="shared" si="23"/>
        <v>1293000</v>
      </c>
      <c r="O337" s="69">
        <f t="shared" si="22"/>
        <v>1293000</v>
      </c>
      <c r="P337" s="42" t="str">
        <f>IFERROR(VLOOKUP(J337,'Mã NV'!$B:$C,2,0),"")</f>
        <v>XE01694</v>
      </c>
      <c r="Q337" s="70" t="str">
        <f>IFERROR(VLOOKUP(I337,'Mã NV'!$J:$K,2,0),"")</f>
        <v>15T</v>
      </c>
      <c r="S337" s="44">
        <f t="shared" si="20"/>
        <v>41250</v>
      </c>
    </row>
    <row r="338" ht="33.6" customHeight="1" spans="1:20">
      <c r="A338" s="63">
        <f t="shared" si="21"/>
        <v>335</v>
      </c>
      <c r="B338" s="64">
        <v>46170</v>
      </c>
      <c r="C338" s="65"/>
      <c r="D338" s="66" t="s">
        <v>13</v>
      </c>
      <c r="E338" s="66" t="s">
        <v>13</v>
      </c>
      <c r="F338" s="66" t="s">
        <v>744</v>
      </c>
      <c r="G338" s="66" t="s">
        <v>745</v>
      </c>
      <c r="H338" s="66" t="s">
        <v>767</v>
      </c>
      <c r="I338" s="66" t="s">
        <v>208</v>
      </c>
      <c r="J338" s="66" t="s">
        <v>219</v>
      </c>
      <c r="K338" s="66" t="s">
        <v>747</v>
      </c>
      <c r="L338" s="67">
        <v>1375000</v>
      </c>
      <c r="M338" s="67">
        <v>82000</v>
      </c>
      <c r="N338" s="68">
        <f t="shared" si="23"/>
        <v>1293000</v>
      </c>
      <c r="O338" s="69">
        <f t="shared" si="22"/>
        <v>1293000</v>
      </c>
      <c r="P338" s="42" t="str">
        <f>IFERROR(VLOOKUP(J338,'Mã NV'!$B:$C,2,0),"")</f>
        <v>XE00499</v>
      </c>
      <c r="Q338" s="70" t="str">
        <f>IFERROR(VLOOKUP(I338,'Mã NV'!$J:$K,2,0),"")</f>
        <v>15T</v>
      </c>
      <c r="S338" s="44">
        <f t="shared" si="20"/>
        <v>41250</v>
      </c>
    </row>
    <row r="339" ht="33.6" customHeight="1" spans="1:20">
      <c r="A339" s="63">
        <f t="shared" si="21"/>
        <v>336</v>
      </c>
      <c r="B339" s="64">
        <v>46170</v>
      </c>
      <c r="C339" s="65"/>
      <c r="D339" s="66" t="s">
        <v>13</v>
      </c>
      <c r="E339" s="66" t="s">
        <v>13</v>
      </c>
      <c r="F339" s="66" t="s">
        <v>744</v>
      </c>
      <c r="G339" s="66" t="s">
        <v>745</v>
      </c>
      <c r="H339" s="66" t="s">
        <v>767</v>
      </c>
      <c r="I339" s="66" t="s">
        <v>208</v>
      </c>
      <c r="J339" s="66" t="s">
        <v>373</v>
      </c>
      <c r="K339" s="66" t="s">
        <v>747</v>
      </c>
      <c r="L339" s="67">
        <v>1375000</v>
      </c>
      <c r="M339" s="67">
        <v>82000</v>
      </c>
      <c r="N339" s="68">
        <f t="shared" si="23"/>
        <v>1293000</v>
      </c>
      <c r="O339" s="69">
        <f t="shared" si="22"/>
        <v>1293000</v>
      </c>
      <c r="P339" s="42" t="str">
        <f>IFERROR(VLOOKUP(J339,'Mã NV'!$B:$C,2,0),"")</f>
        <v>XE01694</v>
      </c>
      <c r="Q339" s="70" t="str">
        <f>IFERROR(VLOOKUP(I339,'Mã NV'!$J:$K,2,0),"")</f>
        <v>15T</v>
      </c>
      <c r="S339" s="44">
        <f t="shared" si="20"/>
        <v>41250</v>
      </c>
    </row>
    <row r="340" ht="33.6" customHeight="1" spans="1:20">
      <c r="A340" s="63">
        <f t="shared" si="21"/>
        <v>337</v>
      </c>
      <c r="B340" s="64">
        <v>46170</v>
      </c>
      <c r="C340" s="65"/>
      <c r="D340" s="66" t="s">
        <v>13</v>
      </c>
      <c r="E340" s="66" t="s">
        <v>13</v>
      </c>
      <c r="F340" s="66" t="s">
        <v>744</v>
      </c>
      <c r="G340" s="66" t="s">
        <v>745</v>
      </c>
      <c r="H340" s="66" t="s">
        <v>759</v>
      </c>
      <c r="I340" s="66" t="s">
        <v>161</v>
      </c>
      <c r="J340" s="66" t="s">
        <v>225</v>
      </c>
      <c r="K340" s="66" t="s">
        <v>747</v>
      </c>
      <c r="L340" s="67">
        <v>1430000</v>
      </c>
      <c r="M340" s="67">
        <v>68000</v>
      </c>
      <c r="N340" s="68">
        <f t="shared" si="23"/>
        <v>1362000</v>
      </c>
      <c r="O340" s="69">
        <f t="shared" si="22"/>
        <v>1362000</v>
      </c>
      <c r="P340" s="42" t="str">
        <f>IFERROR(VLOOKUP(J340,'Mã NV'!$B:$C,2,0),"")</f>
        <v>XE01164</v>
      </c>
      <c r="Q340" s="70" t="str">
        <f>IFERROR(VLOOKUP(I340,'Mã NV'!$J:$K,2,0),"")</f>
        <v>8T</v>
      </c>
      <c r="S340" s="44">
        <f t="shared" si="20"/>
        <v>42900</v>
      </c>
    </row>
    <row r="341" ht="33.6" customHeight="1" spans="1:20">
      <c r="A341" s="63">
        <f t="shared" si="21"/>
        <v>338</v>
      </c>
      <c r="B341" s="64">
        <v>46170</v>
      </c>
      <c r="C341" s="65"/>
      <c r="D341" s="66" t="s">
        <v>13</v>
      </c>
      <c r="E341" s="66" t="s">
        <v>13</v>
      </c>
      <c r="F341" s="66" t="s">
        <v>744</v>
      </c>
      <c r="G341" s="66" t="s">
        <v>745</v>
      </c>
      <c r="H341" s="66" t="s">
        <v>759</v>
      </c>
      <c r="I341" s="66" t="s">
        <v>161</v>
      </c>
      <c r="J341" s="66" t="s">
        <v>371</v>
      </c>
      <c r="K341" s="66" t="s">
        <v>747</v>
      </c>
      <c r="L341" s="67">
        <v>1430000</v>
      </c>
      <c r="M341" s="67">
        <v>68000</v>
      </c>
      <c r="N341" s="68">
        <f t="shared" si="23"/>
        <v>1362000</v>
      </c>
      <c r="O341" s="69">
        <f t="shared" si="22"/>
        <v>1362000</v>
      </c>
      <c r="P341" s="42" t="str">
        <f>IFERROR(VLOOKUP(J341,'Mã NV'!$B:$C,2,0),"")</f>
        <v>XE01698</v>
      </c>
      <c r="Q341" s="70" t="str">
        <f>IFERROR(VLOOKUP(I341,'Mã NV'!$J:$K,2,0),"")</f>
        <v>8T</v>
      </c>
      <c r="S341" s="44">
        <f t="shared" si="20"/>
        <v>42900</v>
      </c>
    </row>
    <row r="342" ht="33.6" customHeight="1" spans="1:20">
      <c r="A342" s="63">
        <f t="shared" si="21"/>
        <v>339</v>
      </c>
      <c r="B342" s="64">
        <v>46170</v>
      </c>
      <c r="C342" s="65"/>
      <c r="D342" s="66" t="s">
        <v>13</v>
      </c>
      <c r="E342" s="66" t="s">
        <v>13</v>
      </c>
      <c r="F342" s="66" t="s">
        <v>744</v>
      </c>
      <c r="G342" s="66" t="s">
        <v>745</v>
      </c>
      <c r="H342" s="66" t="s">
        <v>815</v>
      </c>
      <c r="I342" s="66" t="s">
        <v>290</v>
      </c>
      <c r="J342" s="66" t="s">
        <v>288</v>
      </c>
      <c r="K342" s="66" t="s">
        <v>747</v>
      </c>
      <c r="L342" s="67">
        <v>1030000</v>
      </c>
      <c r="M342" s="67">
        <v>82000</v>
      </c>
      <c r="N342" s="68">
        <f t="shared" si="23"/>
        <v>948000</v>
      </c>
      <c r="O342" s="69">
        <f t="shared" si="22"/>
        <v>948000</v>
      </c>
      <c r="P342" s="42" t="str">
        <f>IFERROR(VLOOKUP(J342,'Mã NV'!$B:$C,2,0),"")</f>
        <v>XE01563</v>
      </c>
      <c r="Q342" s="70" t="str">
        <f>IFERROR(VLOOKUP(I342,'Mã NV'!$J:$K,2,0),"")</f>
        <v>8T</v>
      </c>
      <c r="S342" s="44">
        <f t="shared" si="20"/>
        <v>30900</v>
      </c>
    </row>
    <row r="343" ht="33.6" customHeight="1" spans="1:20">
      <c r="A343" s="63">
        <f t="shared" si="21"/>
        <v>340</v>
      </c>
      <c r="B343" s="64">
        <v>46170</v>
      </c>
      <c r="C343" s="65"/>
      <c r="D343" s="66" t="s">
        <v>13</v>
      </c>
      <c r="E343" s="66" t="s">
        <v>13</v>
      </c>
      <c r="F343" s="66" t="s">
        <v>744</v>
      </c>
      <c r="G343" s="66" t="s">
        <v>745</v>
      </c>
      <c r="H343" s="66" t="s">
        <v>815</v>
      </c>
      <c r="I343" s="66" t="s">
        <v>290</v>
      </c>
      <c r="J343" s="66" t="s">
        <v>329</v>
      </c>
      <c r="K343" s="66" t="s">
        <v>747</v>
      </c>
      <c r="L343" s="67">
        <v>1030000</v>
      </c>
      <c r="M343" s="67">
        <v>82000</v>
      </c>
      <c r="N343" s="68">
        <f t="shared" si="23"/>
        <v>948000</v>
      </c>
      <c r="O343" s="69">
        <f t="shared" si="22"/>
        <v>948000</v>
      </c>
      <c r="P343" s="42" t="str">
        <f>IFERROR(VLOOKUP(J343,'Mã NV'!$B:$C,2,0),"")</f>
        <v>XE01609</v>
      </c>
      <c r="Q343" s="70" t="str">
        <f>IFERROR(VLOOKUP(I343,'Mã NV'!$J:$K,2,0),"")</f>
        <v>8T</v>
      </c>
      <c r="S343" s="44">
        <f t="shared" si="20"/>
        <v>30900</v>
      </c>
    </row>
    <row r="344" ht="33.6" customHeight="1" spans="1:20">
      <c r="A344" s="63">
        <f t="shared" si="21"/>
        <v>341</v>
      </c>
      <c r="B344" s="64">
        <v>46170</v>
      </c>
      <c r="C344" s="65"/>
      <c r="D344" s="66" t="s">
        <v>13</v>
      </c>
      <c r="E344" s="66" t="s">
        <v>13</v>
      </c>
      <c r="F344" s="66" t="s">
        <v>744</v>
      </c>
      <c r="G344" s="66" t="s">
        <v>745</v>
      </c>
      <c r="H344" s="66" t="s">
        <v>754</v>
      </c>
      <c r="I344" s="66" t="s">
        <v>290</v>
      </c>
      <c r="J344" s="66" t="s">
        <v>288</v>
      </c>
      <c r="K344" s="66" t="s">
        <v>747</v>
      </c>
      <c r="L344" s="67">
        <v>1475000</v>
      </c>
      <c r="M344" s="67">
        <v>82000</v>
      </c>
      <c r="N344" s="68">
        <f t="shared" si="23"/>
        <v>1393000</v>
      </c>
      <c r="O344" s="69">
        <f t="shared" si="22"/>
        <v>1393000</v>
      </c>
      <c r="P344" s="42" t="str">
        <f>IFERROR(VLOOKUP(J344,'Mã NV'!$B:$C,2,0),"")</f>
        <v>XE01563</v>
      </c>
      <c r="Q344" s="70" t="str">
        <f>IFERROR(VLOOKUP(I344,'Mã NV'!$J:$K,2,0),"")</f>
        <v>8T</v>
      </c>
      <c r="S344" s="44">
        <f t="shared" si="20"/>
        <v>44250</v>
      </c>
    </row>
    <row r="345" ht="33.6" customHeight="1" spans="1:20">
      <c r="A345" s="63">
        <f t="shared" si="21"/>
        <v>342</v>
      </c>
      <c r="B345" s="64">
        <v>46170</v>
      </c>
      <c r="C345" s="65"/>
      <c r="D345" s="66" t="s">
        <v>13</v>
      </c>
      <c r="E345" s="66" t="s">
        <v>13</v>
      </c>
      <c r="F345" s="66" t="s">
        <v>744</v>
      </c>
      <c r="G345" s="66" t="s">
        <v>745</v>
      </c>
      <c r="H345" s="66" t="s">
        <v>754</v>
      </c>
      <c r="I345" s="66" t="s">
        <v>290</v>
      </c>
      <c r="J345" s="66" t="s">
        <v>329</v>
      </c>
      <c r="K345" s="66" t="s">
        <v>747</v>
      </c>
      <c r="L345" s="67">
        <v>1475000</v>
      </c>
      <c r="M345" s="67">
        <v>82000</v>
      </c>
      <c r="N345" s="68">
        <f t="shared" si="23"/>
        <v>1393000</v>
      </c>
      <c r="O345" s="69">
        <f t="shared" si="22"/>
        <v>1393000</v>
      </c>
      <c r="P345" s="42" t="str">
        <f>IFERROR(VLOOKUP(J345,'Mã NV'!$B:$C,2,0),"")</f>
        <v>XE01609</v>
      </c>
      <c r="Q345" s="70" t="str">
        <f>IFERROR(VLOOKUP(I345,'Mã NV'!$J:$K,2,0),"")</f>
        <v>8T</v>
      </c>
      <c r="S345" s="44">
        <f t="shared" si="20"/>
        <v>44250</v>
      </c>
    </row>
    <row r="346" ht="33.6" customHeight="1" spans="1:20">
      <c r="A346" s="63">
        <f t="shared" si="21"/>
        <v>343</v>
      </c>
      <c r="B346" s="64">
        <v>46141</v>
      </c>
      <c r="C346" s="65"/>
      <c r="D346" s="66" t="s">
        <v>18</v>
      </c>
      <c r="E346" s="66" t="s">
        <v>816</v>
      </c>
      <c r="F346" s="66" t="s">
        <v>744</v>
      </c>
      <c r="G346" s="66" t="s">
        <v>750</v>
      </c>
      <c r="H346" s="66" t="s">
        <v>745</v>
      </c>
      <c r="I346" s="66" t="s">
        <v>158</v>
      </c>
      <c r="J346" s="66" t="s">
        <v>156</v>
      </c>
      <c r="K346" s="66" t="s">
        <v>747</v>
      </c>
      <c r="L346" s="67">
        <v>9500000</v>
      </c>
      <c r="M346" s="67"/>
      <c r="N346" s="68">
        <f t="shared" ref="N346" si="24">L346-M346</f>
        <v>9500000</v>
      </c>
      <c r="O346" s="69">
        <f t="shared" ref="O346" si="25">N346/$P$1</f>
        <v>9500000</v>
      </c>
      <c r="P346" s="42" t="str">
        <f>IFERROR(VLOOKUP(J346,'Mã NV'!$B:$C,2,0),"")</f>
        <v>XE01316</v>
      </c>
      <c r="Q346" s="70" t="str">
        <f>IFERROR(VLOOKUP(I346,'Mã NV'!$J:$K,2,0),"")</f>
        <v>8T</v>
      </c>
      <c r="R346" s="39" t="s">
        <v>817</v>
      </c>
    </row>
    <row r="347" ht="33.6" customHeight="1" spans="1:20">
      <c r="A347" s="63">
        <f t="shared" si="21"/>
        <v>344</v>
      </c>
      <c r="B347" s="64">
        <v>46141</v>
      </c>
      <c r="C347" s="65"/>
      <c r="D347" s="66" t="s">
        <v>18</v>
      </c>
      <c r="E347" s="66" t="s">
        <v>816</v>
      </c>
      <c r="F347" s="66" t="s">
        <v>744</v>
      </c>
      <c r="G347" s="66" t="s">
        <v>750</v>
      </c>
      <c r="H347" s="66" t="s">
        <v>745</v>
      </c>
      <c r="I347" s="66" t="s">
        <v>158</v>
      </c>
      <c r="J347" s="66" t="s">
        <v>277</v>
      </c>
      <c r="K347" s="66" t="s">
        <v>747</v>
      </c>
      <c r="L347" s="67">
        <v>9500000</v>
      </c>
      <c r="M347" s="67"/>
      <c r="N347" s="68">
        <f t="shared" ref="N347" si="26">L347-M347</f>
        <v>9500000</v>
      </c>
      <c r="O347" s="69">
        <f t="shared" ref="O347" si="27">N347/$P$1</f>
        <v>9500000</v>
      </c>
      <c r="P347" s="42" t="str">
        <f>IFERROR(VLOOKUP(J347,'Mã NV'!$B:$C,2,0),"")</f>
        <v>XE01534</v>
      </c>
      <c r="Q347" s="70" t="str">
        <f>IFERROR(VLOOKUP(I347,'Mã NV'!$J:$K,2,0),"")</f>
        <v>8T</v>
      </c>
      <c r="R347" s="39" t="s">
        <v>817</v>
      </c>
    </row>
    <row r="348" ht="33.6" customHeight="1" spans="1:20">
      <c r="A348" s="63">
        <f t="shared" si="21"/>
        <v>345</v>
      </c>
      <c r="B348" s="64">
        <v>46141</v>
      </c>
      <c r="C348" s="65"/>
      <c r="D348" s="66" t="s">
        <v>18</v>
      </c>
      <c r="E348" s="66" t="s">
        <v>818</v>
      </c>
      <c r="F348" s="66" t="s">
        <v>744</v>
      </c>
      <c r="G348" s="66" t="s">
        <v>767</v>
      </c>
      <c r="H348" s="66" t="s">
        <v>778</v>
      </c>
      <c r="I348" s="66" t="s">
        <v>141</v>
      </c>
      <c r="J348" s="66" t="s">
        <v>145</v>
      </c>
      <c r="K348" s="66" t="s">
        <v>747</v>
      </c>
      <c r="L348" s="67">
        <v>9000000</v>
      </c>
      <c r="M348" s="67"/>
      <c r="N348" s="68">
        <f t="shared" ref="N348:N351" si="28">L348-M348</f>
        <v>9000000</v>
      </c>
      <c r="O348" s="69">
        <f t="shared" ref="O348:O351" si="29">N348/$P$1</f>
        <v>9000000</v>
      </c>
      <c r="P348" s="42" t="str">
        <f>IFERROR(VLOOKUP(J348,'Mã NV'!$B:$C,2,0),"")</f>
        <v>XE01326</v>
      </c>
      <c r="Q348" s="70" t="str">
        <f>IFERROR(VLOOKUP(I348,'Mã NV'!$J:$K,2,0),"")</f>
        <v>7.1t</v>
      </c>
      <c r="R348" s="39" t="s">
        <v>817</v>
      </c>
    </row>
    <row r="349" ht="33.6" customHeight="1" spans="1:20">
      <c r="A349" s="63">
        <f t="shared" si="21"/>
        <v>346</v>
      </c>
      <c r="B349" s="64">
        <v>46141</v>
      </c>
      <c r="C349" s="65"/>
      <c r="D349" s="66" t="s">
        <v>18</v>
      </c>
      <c r="E349" s="66" t="s">
        <v>818</v>
      </c>
      <c r="F349" s="66" t="s">
        <v>744</v>
      </c>
      <c r="G349" s="66" t="s">
        <v>767</v>
      </c>
      <c r="H349" s="66" t="s">
        <v>778</v>
      </c>
      <c r="I349" s="66" t="s">
        <v>141</v>
      </c>
      <c r="J349" s="66" t="s">
        <v>139</v>
      </c>
      <c r="K349" s="66" t="s">
        <v>747</v>
      </c>
      <c r="L349" s="67">
        <v>9000000</v>
      </c>
      <c r="M349" s="67"/>
      <c r="N349" s="68">
        <f t="shared" si="28"/>
        <v>9000000</v>
      </c>
      <c r="O349" s="69">
        <f t="shared" si="29"/>
        <v>9000000</v>
      </c>
      <c r="P349" s="42" t="str">
        <f>IFERROR(VLOOKUP(J349,'Mã NV'!$B:$C,2,0),"")</f>
        <v>XE01325</v>
      </c>
      <c r="Q349" s="70" t="str">
        <f>IFERROR(VLOOKUP(I349,'Mã NV'!$J:$K,2,0),"")</f>
        <v>7.1t</v>
      </c>
      <c r="R349" s="39" t="s">
        <v>817</v>
      </c>
    </row>
    <row r="350" ht="33.6" customHeight="1" spans="1:20">
      <c r="A350" s="63">
        <f t="shared" si="21"/>
        <v>347</v>
      </c>
      <c r="B350" s="64">
        <v>46141</v>
      </c>
      <c r="C350" s="65"/>
      <c r="D350" s="66" t="s">
        <v>18</v>
      </c>
      <c r="E350" s="66" t="s">
        <v>818</v>
      </c>
      <c r="F350" s="66" t="s">
        <v>744</v>
      </c>
      <c r="G350" s="66" t="s">
        <v>767</v>
      </c>
      <c r="H350" s="66" t="s">
        <v>778</v>
      </c>
      <c r="I350" s="66" t="s">
        <v>300</v>
      </c>
      <c r="J350" s="66" t="s">
        <v>298</v>
      </c>
      <c r="K350" s="66" t="s">
        <v>747</v>
      </c>
      <c r="L350" s="67">
        <v>9000000</v>
      </c>
      <c r="M350" s="67"/>
      <c r="N350" s="68">
        <f t="shared" si="28"/>
        <v>9000000</v>
      </c>
      <c r="O350" s="69">
        <f t="shared" si="29"/>
        <v>9000000</v>
      </c>
      <c r="P350" s="42" t="str">
        <f>IFERROR(VLOOKUP(J350,'Mã NV'!$B:$C,2,0),"")</f>
        <v>XE01590</v>
      </c>
      <c r="Q350" s="70" t="str">
        <f>IFERROR(VLOOKUP(I350,'Mã NV'!$J:$K,2,0),"")</f>
        <v>8T</v>
      </c>
      <c r="R350" s="39" t="s">
        <v>817</v>
      </c>
      <c r="T350" s="45" t="s">
        <v>819</v>
      </c>
    </row>
    <row r="351" ht="33.6" customHeight="1" spans="1:20">
      <c r="A351" s="63">
        <f t="shared" si="21"/>
        <v>348</v>
      </c>
      <c r="B351" s="64">
        <v>46141</v>
      </c>
      <c r="C351" s="65"/>
      <c r="D351" s="66" t="s">
        <v>18</v>
      </c>
      <c r="E351" s="66" t="s">
        <v>818</v>
      </c>
      <c r="F351" s="66" t="s">
        <v>744</v>
      </c>
      <c r="G351" s="66" t="s">
        <v>767</v>
      </c>
      <c r="H351" s="66" t="s">
        <v>778</v>
      </c>
      <c r="I351" s="66" t="s">
        <v>300</v>
      </c>
      <c r="J351" s="66" t="s">
        <v>301</v>
      </c>
      <c r="K351" s="66" t="s">
        <v>747</v>
      </c>
      <c r="L351" s="67">
        <v>9000000</v>
      </c>
      <c r="M351" s="67"/>
      <c r="N351" s="68">
        <f t="shared" si="28"/>
        <v>9000000</v>
      </c>
      <c r="O351" s="69">
        <f t="shared" si="29"/>
        <v>9000000</v>
      </c>
      <c r="P351" s="42" t="str">
        <f>IFERROR(VLOOKUP(J351,'Mã NV'!$B:$C,2,0),"")</f>
        <v>XE01591</v>
      </c>
      <c r="Q351" s="70" t="str">
        <f>IFERROR(VLOOKUP(I351,'Mã NV'!$J:$K,2,0),"")</f>
        <v>8T</v>
      </c>
      <c r="R351" s="39" t="s">
        <v>817</v>
      </c>
      <c r="T351" s="45" t="s">
        <v>819</v>
      </c>
    </row>
    <row r="352" ht="33.6" customHeight="1" spans="1:20">
      <c r="A352" s="63">
        <f t="shared" si="21"/>
        <v>349</v>
      </c>
      <c r="B352" s="64">
        <v>46144</v>
      </c>
      <c r="C352" s="65"/>
      <c r="D352" s="66" t="s">
        <v>18</v>
      </c>
      <c r="E352" s="66" t="s">
        <v>818</v>
      </c>
      <c r="F352" s="66" t="s">
        <v>744</v>
      </c>
      <c r="G352" s="66" t="s">
        <v>770</v>
      </c>
      <c r="H352" s="66" t="s">
        <v>820</v>
      </c>
      <c r="I352" s="66" t="s">
        <v>205</v>
      </c>
      <c r="J352" s="66" t="s">
        <v>312</v>
      </c>
      <c r="K352" s="66" t="s">
        <v>747</v>
      </c>
      <c r="L352" s="67">
        <v>6000000</v>
      </c>
      <c r="M352" s="67">
        <v>0</v>
      </c>
      <c r="N352" s="68">
        <f t="shared" si="23"/>
        <v>6000000</v>
      </c>
      <c r="O352" s="69">
        <f t="shared" si="22"/>
        <v>6000000</v>
      </c>
      <c r="P352" s="42" t="str">
        <f>IFERROR(VLOOKUP(J352,'Mã NV'!$B:$C,2,0),"")</f>
        <v>XE01582</v>
      </c>
      <c r="Q352" s="70" t="str">
        <f>IFERROR(VLOOKUP(I352,'Mã NV'!$J:$K,2,0),"")</f>
        <v>8T</v>
      </c>
    </row>
    <row r="353" ht="33.6" customHeight="1" spans="1:17">
      <c r="A353" s="63">
        <f t="shared" si="21"/>
        <v>350</v>
      </c>
      <c r="B353" s="64">
        <v>46144</v>
      </c>
      <c r="C353" s="65"/>
      <c r="D353" s="66" t="s">
        <v>18</v>
      </c>
      <c r="E353" s="66" t="s">
        <v>818</v>
      </c>
      <c r="F353" s="66" t="s">
        <v>744</v>
      </c>
      <c r="G353" s="66" t="s">
        <v>770</v>
      </c>
      <c r="H353" s="66" t="s">
        <v>820</v>
      </c>
      <c r="I353" s="66" t="s">
        <v>205</v>
      </c>
      <c r="J353" s="66" t="s">
        <v>314</v>
      </c>
      <c r="K353" s="66" t="s">
        <v>747</v>
      </c>
      <c r="L353" s="67">
        <v>6000000</v>
      </c>
      <c r="M353" s="67">
        <v>0</v>
      </c>
      <c r="N353" s="68">
        <f t="shared" si="23"/>
        <v>6000000</v>
      </c>
      <c r="O353" s="69">
        <f t="shared" si="22"/>
        <v>6000000</v>
      </c>
      <c r="P353" s="42" t="str">
        <f>IFERROR(VLOOKUP(J353,'Mã NV'!$B:$C,2,0),"")</f>
        <v>XE01583</v>
      </c>
      <c r="Q353" s="70" t="str">
        <f>IFERROR(VLOOKUP(I353,'Mã NV'!$J:$K,2,0),"")</f>
        <v>8T</v>
      </c>
    </row>
    <row r="354" ht="33.6" customHeight="1" spans="1:17">
      <c r="A354" s="63">
        <f t="shared" si="21"/>
        <v>351</v>
      </c>
      <c r="B354" s="64">
        <v>46145</v>
      </c>
      <c r="C354" s="65"/>
      <c r="D354" s="66" t="s">
        <v>18</v>
      </c>
      <c r="E354" s="66" t="s">
        <v>821</v>
      </c>
      <c r="F354" s="66" t="s">
        <v>744</v>
      </c>
      <c r="G354" s="66" t="s">
        <v>822</v>
      </c>
      <c r="H354" s="66" t="s">
        <v>768</v>
      </c>
      <c r="I354" s="66" t="s">
        <v>230</v>
      </c>
      <c r="J354" s="66" t="s">
        <v>228</v>
      </c>
      <c r="K354" s="66" t="s">
        <v>747</v>
      </c>
      <c r="L354" s="67">
        <v>1000000</v>
      </c>
      <c r="M354" s="67">
        <v>0</v>
      </c>
      <c r="N354" s="68">
        <f t="shared" si="23"/>
        <v>1000000</v>
      </c>
      <c r="O354" s="69">
        <f t="shared" si="22"/>
        <v>1000000</v>
      </c>
      <c r="P354" s="42" t="str">
        <f>IFERROR(VLOOKUP(J354,'Mã NV'!$B:$C,2,0),"")</f>
        <v>XE01390</v>
      </c>
      <c r="Q354" s="70" t="str">
        <f>IFERROR(VLOOKUP(I354,'Mã NV'!$J:$K,2,0),"")</f>
        <v>15T</v>
      </c>
    </row>
    <row r="355" ht="33.6" customHeight="1" spans="1:17">
      <c r="A355" s="63">
        <f t="shared" si="21"/>
        <v>352</v>
      </c>
      <c r="B355" s="64">
        <v>46145</v>
      </c>
      <c r="C355" s="65"/>
      <c r="D355" s="66" t="s">
        <v>18</v>
      </c>
      <c r="E355" s="66" t="s">
        <v>821</v>
      </c>
      <c r="F355" s="66" t="s">
        <v>744</v>
      </c>
      <c r="G355" s="66" t="s">
        <v>822</v>
      </c>
      <c r="H355" s="66" t="s">
        <v>768</v>
      </c>
      <c r="I355" s="66" t="s">
        <v>230</v>
      </c>
      <c r="J355" s="66" t="s">
        <v>370</v>
      </c>
      <c r="K355" s="66" t="s">
        <v>747</v>
      </c>
      <c r="L355" s="67">
        <v>1000000</v>
      </c>
      <c r="M355" s="67">
        <v>0</v>
      </c>
      <c r="N355" s="68">
        <f t="shared" si="23"/>
        <v>1000000</v>
      </c>
      <c r="O355" s="69">
        <f t="shared" si="22"/>
        <v>1000000</v>
      </c>
      <c r="P355" s="42" t="str">
        <f>IFERROR(VLOOKUP(J355,'Mã NV'!$B:$C,2,0),"")</f>
        <v/>
      </c>
      <c r="Q355" s="70" t="str">
        <f>IFERROR(VLOOKUP(I355,'Mã NV'!$J:$K,2,0),"")</f>
        <v>15T</v>
      </c>
    </row>
    <row r="356" ht="33.6" customHeight="1" spans="1:17">
      <c r="A356" s="63">
        <f t="shared" si="21"/>
        <v>353</v>
      </c>
      <c r="B356" s="64">
        <v>46145</v>
      </c>
      <c r="C356" s="65"/>
      <c r="D356" s="66" t="s">
        <v>18</v>
      </c>
      <c r="E356" s="66" t="s">
        <v>821</v>
      </c>
      <c r="F356" s="66" t="s">
        <v>744</v>
      </c>
      <c r="G356" s="66" t="s">
        <v>823</v>
      </c>
      <c r="H356" s="66" t="s">
        <v>768</v>
      </c>
      <c r="I356" s="66" t="s">
        <v>42</v>
      </c>
      <c r="J356" s="66" t="s">
        <v>40</v>
      </c>
      <c r="K356" s="66" t="s">
        <v>747</v>
      </c>
      <c r="L356" s="67">
        <v>1000000</v>
      </c>
      <c r="M356" s="67">
        <v>0</v>
      </c>
      <c r="N356" s="68">
        <f t="shared" si="23"/>
        <v>1000000</v>
      </c>
      <c r="O356" s="69">
        <f t="shared" si="22"/>
        <v>1000000</v>
      </c>
      <c r="P356" s="42" t="str">
        <f>IFERROR(VLOOKUP(J356,'Mã NV'!$B:$C,2,0),"")</f>
        <v>XE01417</v>
      </c>
      <c r="Q356" s="70" t="str">
        <f>IFERROR(VLOOKUP(I356,'Mã NV'!$J:$K,2,0),"")</f>
        <v>7.1t</v>
      </c>
    </row>
    <row r="357" ht="33.6" customHeight="1" spans="1:17">
      <c r="A357" s="63">
        <f t="shared" si="21"/>
        <v>354</v>
      </c>
      <c r="B357" s="64">
        <v>46145</v>
      </c>
      <c r="C357" s="65"/>
      <c r="D357" s="66" t="s">
        <v>18</v>
      </c>
      <c r="E357" s="66" t="s">
        <v>821</v>
      </c>
      <c r="F357" s="66" t="s">
        <v>744</v>
      </c>
      <c r="G357" s="66" t="s">
        <v>823</v>
      </c>
      <c r="H357" s="66" t="s">
        <v>768</v>
      </c>
      <c r="I357" s="66" t="s">
        <v>42</v>
      </c>
      <c r="J357" s="66" t="s">
        <v>333</v>
      </c>
      <c r="K357" s="66" t="s">
        <v>747</v>
      </c>
      <c r="L357" s="67">
        <v>1000000</v>
      </c>
      <c r="M357" s="67">
        <v>0</v>
      </c>
      <c r="N357" s="68">
        <f t="shared" si="23"/>
        <v>1000000</v>
      </c>
      <c r="O357" s="69">
        <f t="shared" si="22"/>
        <v>1000000</v>
      </c>
      <c r="P357" s="42" t="str">
        <f>IFERROR(VLOOKUP(J357,'Mã NV'!$B:$C,2,0),"")</f>
        <v>XE01671</v>
      </c>
      <c r="Q357" s="70" t="str">
        <f>IFERROR(VLOOKUP(I357,'Mã NV'!$J:$K,2,0),"")</f>
        <v>7.1t</v>
      </c>
    </row>
    <row r="358" ht="33.6" customHeight="1" spans="1:17">
      <c r="A358" s="63">
        <f t="shared" si="21"/>
        <v>355</v>
      </c>
      <c r="B358" s="64">
        <v>46146</v>
      </c>
      <c r="C358" s="65"/>
      <c r="D358" s="66" t="s">
        <v>18</v>
      </c>
      <c r="E358" s="66" t="s">
        <v>821</v>
      </c>
      <c r="F358" s="66" t="s">
        <v>744</v>
      </c>
      <c r="G358" s="66" t="s">
        <v>768</v>
      </c>
      <c r="H358" s="66" t="s">
        <v>750</v>
      </c>
      <c r="I358" s="66" t="s">
        <v>42</v>
      </c>
      <c r="J358" s="66" t="s">
        <v>40</v>
      </c>
      <c r="K358" s="66" t="s">
        <v>747</v>
      </c>
      <c r="L358" s="67">
        <v>9500000</v>
      </c>
      <c r="M358" s="67">
        <v>0</v>
      </c>
      <c r="N358" s="68">
        <f t="shared" si="23"/>
        <v>9500000</v>
      </c>
      <c r="O358" s="69">
        <f t="shared" si="22"/>
        <v>9500000</v>
      </c>
      <c r="P358" s="42" t="str">
        <f>IFERROR(VLOOKUP(J358,'Mã NV'!$B:$C,2,0),"")</f>
        <v>XE01417</v>
      </c>
      <c r="Q358" s="70" t="str">
        <f>IFERROR(VLOOKUP(I358,'Mã NV'!$J:$K,2,0),"")</f>
        <v>7.1t</v>
      </c>
    </row>
    <row r="359" ht="33.6" customHeight="1" spans="1:17">
      <c r="A359" s="63">
        <f t="shared" si="21"/>
        <v>356</v>
      </c>
      <c r="B359" s="64">
        <v>46146</v>
      </c>
      <c r="C359" s="65"/>
      <c r="D359" s="66" t="s">
        <v>18</v>
      </c>
      <c r="E359" s="66" t="s">
        <v>821</v>
      </c>
      <c r="F359" s="66" t="s">
        <v>744</v>
      </c>
      <c r="G359" s="66" t="s">
        <v>768</v>
      </c>
      <c r="H359" s="66" t="s">
        <v>750</v>
      </c>
      <c r="I359" s="66" t="s">
        <v>42</v>
      </c>
      <c r="J359" s="66" t="s">
        <v>333</v>
      </c>
      <c r="K359" s="66" t="s">
        <v>747</v>
      </c>
      <c r="L359" s="67">
        <v>9500000</v>
      </c>
      <c r="M359" s="67">
        <v>0</v>
      </c>
      <c r="N359" s="68">
        <f t="shared" si="23"/>
        <v>9500000</v>
      </c>
      <c r="O359" s="69">
        <f t="shared" si="22"/>
        <v>9500000</v>
      </c>
      <c r="P359" s="42" t="str">
        <f>IFERROR(VLOOKUP(J359,'Mã NV'!$B:$C,2,0),"")</f>
        <v>XE01671</v>
      </c>
      <c r="Q359" s="70" t="str">
        <f>IFERROR(VLOOKUP(I359,'Mã NV'!$J:$K,2,0),"")</f>
        <v>7.1t</v>
      </c>
    </row>
    <row r="360" ht="33.6" customHeight="1" spans="1:17">
      <c r="A360" s="63">
        <f t="shared" si="21"/>
        <v>357</v>
      </c>
      <c r="B360" s="64">
        <v>46146</v>
      </c>
      <c r="C360" s="65"/>
      <c r="D360" s="66" t="s">
        <v>18</v>
      </c>
      <c r="E360" s="66" t="s">
        <v>821</v>
      </c>
      <c r="F360" s="66" t="s">
        <v>744</v>
      </c>
      <c r="G360" s="66" t="s">
        <v>745</v>
      </c>
      <c r="H360" s="66" t="s">
        <v>792</v>
      </c>
      <c r="I360" s="66" t="s">
        <v>293</v>
      </c>
      <c r="J360" s="66" t="s">
        <v>294</v>
      </c>
      <c r="K360" s="66" t="s">
        <v>747</v>
      </c>
      <c r="L360" s="67">
        <v>5000000</v>
      </c>
      <c r="M360" s="67">
        <v>0</v>
      </c>
      <c r="N360" s="68">
        <f t="shared" si="23"/>
        <v>5000000</v>
      </c>
      <c r="O360" s="69">
        <f t="shared" si="22"/>
        <v>5000000</v>
      </c>
      <c r="P360" s="42" t="str">
        <f>IFERROR(VLOOKUP(J360,'Mã NV'!$B:$C,2,0),"")</f>
        <v>XE01551</v>
      </c>
      <c r="Q360" s="70" t="str">
        <f>IFERROR(VLOOKUP(I360,'Mã NV'!$J:$K,2,0),"")</f>
        <v>8T</v>
      </c>
    </row>
    <row r="361" ht="33.6" customHeight="1" spans="1:17">
      <c r="A361" s="63">
        <f t="shared" si="21"/>
        <v>358</v>
      </c>
      <c r="B361" s="64">
        <v>46146</v>
      </c>
      <c r="C361" s="65"/>
      <c r="D361" s="66" t="s">
        <v>18</v>
      </c>
      <c r="E361" s="66" t="s">
        <v>821</v>
      </c>
      <c r="F361" s="66" t="s">
        <v>744</v>
      </c>
      <c r="G361" s="66" t="s">
        <v>745</v>
      </c>
      <c r="H361" s="66" t="s">
        <v>792</v>
      </c>
      <c r="I361" s="66" t="s">
        <v>293</v>
      </c>
      <c r="J361" s="66" t="s">
        <v>291</v>
      </c>
      <c r="K361" s="66" t="s">
        <v>747</v>
      </c>
      <c r="L361" s="67">
        <v>5000000</v>
      </c>
      <c r="M361" s="67">
        <v>0</v>
      </c>
      <c r="N361" s="68">
        <f t="shared" si="23"/>
        <v>5000000</v>
      </c>
      <c r="O361" s="69">
        <f t="shared" si="22"/>
        <v>5000000</v>
      </c>
      <c r="P361" s="42" t="str">
        <f>IFERROR(VLOOKUP(J361,'Mã NV'!$B:$C,2,0),"")</f>
        <v>XE01552</v>
      </c>
      <c r="Q361" s="70" t="str">
        <f>IFERROR(VLOOKUP(I361,'Mã NV'!$J:$K,2,0),"")</f>
        <v>8T</v>
      </c>
    </row>
    <row r="362" ht="33.6" customHeight="1" spans="1:17">
      <c r="A362" s="63">
        <f t="shared" si="21"/>
        <v>359</v>
      </c>
      <c r="B362" s="64">
        <v>46147</v>
      </c>
      <c r="C362" s="65"/>
      <c r="D362" s="66" t="s">
        <v>309</v>
      </c>
      <c r="E362" s="66" t="s">
        <v>309</v>
      </c>
      <c r="F362" s="66" t="s">
        <v>744</v>
      </c>
      <c r="G362" s="66" t="s">
        <v>767</v>
      </c>
      <c r="H362" s="66" t="s">
        <v>768</v>
      </c>
      <c r="I362" s="66" t="s">
        <v>119</v>
      </c>
      <c r="J362" s="66" t="s">
        <v>307</v>
      </c>
      <c r="K362" s="66" t="s">
        <v>747</v>
      </c>
      <c r="L362" s="67">
        <v>12000000</v>
      </c>
      <c r="M362" s="67">
        <v>0</v>
      </c>
      <c r="N362" s="68">
        <f t="shared" si="23"/>
        <v>12000000</v>
      </c>
      <c r="O362" s="69">
        <f t="shared" si="22"/>
        <v>12000000</v>
      </c>
      <c r="P362" s="42" t="str">
        <f>IFERROR(VLOOKUP(J362,'Mã NV'!$B:$C,2,0),"")</f>
        <v>XE01548</v>
      </c>
      <c r="Q362" s="70" t="str">
        <f>IFERROR(VLOOKUP(I362,'Mã NV'!$J:$K,2,0),"")</f>
        <v>8T</v>
      </c>
    </row>
    <row r="363" ht="33.6" customHeight="1" spans="1:17">
      <c r="A363" s="63">
        <f t="shared" si="21"/>
        <v>360</v>
      </c>
      <c r="B363" s="64">
        <v>46147</v>
      </c>
      <c r="C363" s="65"/>
      <c r="D363" s="66" t="s">
        <v>309</v>
      </c>
      <c r="E363" s="66" t="s">
        <v>309</v>
      </c>
      <c r="F363" s="66" t="s">
        <v>744</v>
      </c>
      <c r="G363" s="66" t="s">
        <v>767</v>
      </c>
      <c r="H363" s="66" t="s">
        <v>768</v>
      </c>
      <c r="I363" s="66" t="s">
        <v>119</v>
      </c>
      <c r="J363" s="66" t="s">
        <v>310</v>
      </c>
      <c r="K363" s="66" t="s">
        <v>747</v>
      </c>
      <c r="L363" s="67">
        <v>12000000</v>
      </c>
      <c r="M363" s="67">
        <v>0</v>
      </c>
      <c r="N363" s="68">
        <f t="shared" si="23"/>
        <v>12000000</v>
      </c>
      <c r="O363" s="69">
        <f t="shared" si="22"/>
        <v>12000000</v>
      </c>
      <c r="P363" s="42" t="str">
        <f>IFERROR(VLOOKUP(J363,'Mã NV'!$B:$C,2,0),"")</f>
        <v>XE01549</v>
      </c>
      <c r="Q363" s="70" t="str">
        <f>IFERROR(VLOOKUP(I363,'Mã NV'!$J:$K,2,0),"")</f>
        <v>8T</v>
      </c>
    </row>
    <row r="364" ht="33.6" customHeight="1" spans="1:17">
      <c r="A364" s="63">
        <f t="shared" si="21"/>
        <v>361</v>
      </c>
      <c r="B364" s="64">
        <v>46147</v>
      </c>
      <c r="C364" s="65"/>
      <c r="D364" s="66" t="s">
        <v>18</v>
      </c>
      <c r="E364" s="66" t="s">
        <v>824</v>
      </c>
      <c r="F364" s="66" t="s">
        <v>744</v>
      </c>
      <c r="G364" s="66" t="s">
        <v>750</v>
      </c>
      <c r="H364" s="66" t="s">
        <v>745</v>
      </c>
      <c r="I364" s="66" t="s">
        <v>205</v>
      </c>
      <c r="J364" s="66" t="s">
        <v>312</v>
      </c>
      <c r="K364" s="66" t="s">
        <v>747</v>
      </c>
      <c r="L364" s="67">
        <v>6200000</v>
      </c>
      <c r="M364" s="67">
        <v>0</v>
      </c>
      <c r="N364" s="68">
        <f t="shared" si="23"/>
        <v>6200000</v>
      </c>
      <c r="O364" s="69">
        <f t="shared" si="22"/>
        <v>6200000</v>
      </c>
      <c r="P364" s="42" t="str">
        <f>IFERROR(VLOOKUP(J364,'Mã NV'!$B:$C,2,0),"")</f>
        <v>XE01582</v>
      </c>
      <c r="Q364" s="70" t="str">
        <f>IFERROR(VLOOKUP(I364,'Mã NV'!$J:$K,2,0),"")</f>
        <v>8T</v>
      </c>
    </row>
    <row r="365" ht="33.6" customHeight="1" spans="1:17">
      <c r="A365" s="63">
        <f t="shared" si="21"/>
        <v>362</v>
      </c>
      <c r="B365" s="64">
        <v>46147</v>
      </c>
      <c r="C365" s="65"/>
      <c r="D365" s="66" t="s">
        <v>18</v>
      </c>
      <c r="E365" s="66" t="s">
        <v>824</v>
      </c>
      <c r="F365" s="66" t="s">
        <v>744</v>
      </c>
      <c r="G365" s="66" t="s">
        <v>750</v>
      </c>
      <c r="H365" s="66" t="s">
        <v>745</v>
      </c>
      <c r="I365" s="66" t="s">
        <v>205</v>
      </c>
      <c r="J365" s="66" t="s">
        <v>314</v>
      </c>
      <c r="K365" s="66" t="s">
        <v>747</v>
      </c>
      <c r="L365" s="67">
        <v>6200000</v>
      </c>
      <c r="M365" s="67">
        <v>0</v>
      </c>
      <c r="N365" s="68">
        <f t="shared" si="23"/>
        <v>6200000</v>
      </c>
      <c r="O365" s="69">
        <f t="shared" si="22"/>
        <v>6200000</v>
      </c>
      <c r="P365" s="42" t="str">
        <f>IFERROR(VLOOKUP(J365,'Mã NV'!$B:$C,2,0),"")</f>
        <v>XE01583</v>
      </c>
      <c r="Q365" s="70" t="str">
        <f>IFERROR(VLOOKUP(I365,'Mã NV'!$J:$K,2,0),"")</f>
        <v>8T</v>
      </c>
    </row>
    <row r="366" ht="33.6" customHeight="1" spans="1:17">
      <c r="A366" s="63">
        <f t="shared" si="21"/>
        <v>363</v>
      </c>
      <c r="B366" s="64">
        <v>46147</v>
      </c>
      <c r="C366" s="65"/>
      <c r="D366" s="66" t="s">
        <v>18</v>
      </c>
      <c r="E366" s="66" t="s">
        <v>824</v>
      </c>
      <c r="F366" s="66" t="s">
        <v>744</v>
      </c>
      <c r="G366" s="66" t="s">
        <v>825</v>
      </c>
      <c r="H366" s="66" t="s">
        <v>770</v>
      </c>
      <c r="I366" s="66" t="s">
        <v>205</v>
      </c>
      <c r="J366" s="66" t="s">
        <v>312</v>
      </c>
      <c r="K366" s="66" t="s">
        <v>747</v>
      </c>
      <c r="L366" s="67">
        <v>1350000</v>
      </c>
      <c r="M366" s="67">
        <v>0</v>
      </c>
      <c r="N366" s="68">
        <f t="shared" si="23"/>
        <v>1350000</v>
      </c>
      <c r="O366" s="69">
        <f t="shared" si="22"/>
        <v>1350000</v>
      </c>
      <c r="P366" s="42" t="str">
        <f>IFERROR(VLOOKUP(J366,'Mã NV'!$B:$C,2,0),"")</f>
        <v>XE01582</v>
      </c>
      <c r="Q366" s="70" t="str">
        <f>IFERROR(VLOOKUP(I366,'Mã NV'!$J:$K,2,0),"")</f>
        <v>8T</v>
      </c>
    </row>
    <row r="367" ht="33.6" customHeight="1" spans="1:17">
      <c r="A367" s="63">
        <f t="shared" si="21"/>
        <v>364</v>
      </c>
      <c r="B367" s="64">
        <v>46147</v>
      </c>
      <c r="C367" s="65"/>
      <c r="D367" s="66" t="s">
        <v>18</v>
      </c>
      <c r="E367" s="66" t="s">
        <v>824</v>
      </c>
      <c r="F367" s="66" t="s">
        <v>744</v>
      </c>
      <c r="G367" s="66" t="s">
        <v>825</v>
      </c>
      <c r="H367" s="66" t="s">
        <v>770</v>
      </c>
      <c r="I367" s="66" t="s">
        <v>205</v>
      </c>
      <c r="J367" s="66" t="s">
        <v>314</v>
      </c>
      <c r="K367" s="66" t="s">
        <v>747</v>
      </c>
      <c r="L367" s="67">
        <v>1350000</v>
      </c>
      <c r="M367" s="67">
        <v>0</v>
      </c>
      <c r="N367" s="68">
        <f t="shared" si="23"/>
        <v>1350000</v>
      </c>
      <c r="O367" s="69">
        <f t="shared" si="22"/>
        <v>1350000</v>
      </c>
      <c r="P367" s="42" t="str">
        <f>IFERROR(VLOOKUP(J367,'Mã NV'!$B:$C,2,0),"")</f>
        <v>XE01583</v>
      </c>
      <c r="Q367" s="70" t="str">
        <f>IFERROR(VLOOKUP(I367,'Mã NV'!$J:$K,2,0),"")</f>
        <v>8T</v>
      </c>
    </row>
    <row r="368" ht="33.6" customHeight="1" spans="1:17">
      <c r="A368" s="63">
        <f t="shared" si="21"/>
        <v>365</v>
      </c>
      <c r="B368" s="64">
        <v>46147</v>
      </c>
      <c r="C368" s="65"/>
      <c r="D368" s="66" t="s">
        <v>18</v>
      </c>
      <c r="E368" s="66" t="s">
        <v>826</v>
      </c>
      <c r="F368" s="66" t="s">
        <v>744</v>
      </c>
      <c r="G368" s="66" t="s">
        <v>777</v>
      </c>
      <c r="H368" s="66" t="s">
        <v>745</v>
      </c>
      <c r="I368" s="66" t="s">
        <v>205</v>
      </c>
      <c r="J368" s="66" t="s">
        <v>312</v>
      </c>
      <c r="K368" s="66" t="s">
        <v>747</v>
      </c>
      <c r="L368" s="67">
        <v>1500000</v>
      </c>
      <c r="M368" s="67">
        <v>0</v>
      </c>
      <c r="N368" s="68">
        <f t="shared" si="23"/>
        <v>1500000</v>
      </c>
      <c r="O368" s="69">
        <f t="shared" si="22"/>
        <v>1500000</v>
      </c>
      <c r="P368" s="42" t="str">
        <f>IFERROR(VLOOKUP(J368,'Mã NV'!$B:$C,2,0),"")</f>
        <v>XE01582</v>
      </c>
      <c r="Q368" s="70" t="str">
        <f>IFERROR(VLOOKUP(I368,'Mã NV'!$J:$K,2,0),"")</f>
        <v>8T</v>
      </c>
    </row>
    <row r="369" ht="33.6" customHeight="1" spans="1:17">
      <c r="A369" s="63">
        <f t="shared" si="21"/>
        <v>366</v>
      </c>
      <c r="B369" s="64">
        <v>46147</v>
      </c>
      <c r="C369" s="65"/>
      <c r="D369" s="66" t="s">
        <v>18</v>
      </c>
      <c r="E369" s="66" t="s">
        <v>826</v>
      </c>
      <c r="F369" s="66" t="s">
        <v>744</v>
      </c>
      <c r="G369" s="66" t="s">
        <v>777</v>
      </c>
      <c r="H369" s="66" t="s">
        <v>745</v>
      </c>
      <c r="I369" s="66" t="s">
        <v>205</v>
      </c>
      <c r="J369" s="66" t="s">
        <v>314</v>
      </c>
      <c r="K369" s="66" t="s">
        <v>747</v>
      </c>
      <c r="L369" s="67">
        <v>1500000</v>
      </c>
      <c r="M369" s="67">
        <v>0</v>
      </c>
      <c r="N369" s="68">
        <f t="shared" si="23"/>
        <v>1500000</v>
      </c>
      <c r="O369" s="69">
        <f t="shared" si="22"/>
        <v>1500000</v>
      </c>
      <c r="P369" s="42" t="str">
        <f>IFERROR(VLOOKUP(J369,'Mã NV'!$B:$C,2,0),"")</f>
        <v>XE01583</v>
      </c>
      <c r="Q369" s="70" t="str">
        <f>IFERROR(VLOOKUP(I369,'Mã NV'!$J:$K,2,0),"")</f>
        <v>8T</v>
      </c>
    </row>
    <row r="370" ht="33.6" customHeight="1" spans="1:17">
      <c r="A370" s="63">
        <f t="shared" si="21"/>
        <v>367</v>
      </c>
      <c r="B370" s="64">
        <v>46147</v>
      </c>
      <c r="C370" s="65"/>
      <c r="D370" s="66" t="s">
        <v>18</v>
      </c>
      <c r="E370" s="66" t="s">
        <v>818</v>
      </c>
      <c r="F370" s="66" t="s">
        <v>744</v>
      </c>
      <c r="G370" s="66" t="s">
        <v>750</v>
      </c>
      <c r="H370" s="66" t="s">
        <v>770</v>
      </c>
      <c r="I370" s="66" t="s">
        <v>205</v>
      </c>
      <c r="J370" s="66" t="s">
        <v>312</v>
      </c>
      <c r="K370" s="66" t="s">
        <v>747</v>
      </c>
      <c r="L370" s="67">
        <v>750000</v>
      </c>
      <c r="M370" s="67">
        <v>0</v>
      </c>
      <c r="N370" s="68">
        <f t="shared" si="23"/>
        <v>750000</v>
      </c>
      <c r="O370" s="69">
        <f t="shared" si="22"/>
        <v>750000</v>
      </c>
      <c r="P370" s="42" t="str">
        <f>IFERROR(VLOOKUP(J370,'Mã NV'!$B:$C,2,0),"")</f>
        <v>XE01582</v>
      </c>
      <c r="Q370" s="70" t="str">
        <f>IFERROR(VLOOKUP(I370,'Mã NV'!$J:$K,2,0),"")</f>
        <v>8T</v>
      </c>
    </row>
    <row r="371" ht="33.6" customHeight="1" spans="1:17">
      <c r="A371" s="63">
        <f t="shared" si="21"/>
        <v>368</v>
      </c>
      <c r="B371" s="64">
        <v>46147</v>
      </c>
      <c r="C371" s="65"/>
      <c r="D371" s="66" t="s">
        <v>18</v>
      </c>
      <c r="E371" s="66" t="s">
        <v>818</v>
      </c>
      <c r="F371" s="66" t="s">
        <v>744</v>
      </c>
      <c r="G371" s="66" t="s">
        <v>750</v>
      </c>
      <c r="H371" s="66" t="s">
        <v>770</v>
      </c>
      <c r="I371" s="66" t="s">
        <v>205</v>
      </c>
      <c r="J371" s="66" t="s">
        <v>314</v>
      </c>
      <c r="K371" s="66" t="s">
        <v>747</v>
      </c>
      <c r="L371" s="67">
        <v>750000</v>
      </c>
      <c r="M371" s="67">
        <v>0</v>
      </c>
      <c r="N371" s="68">
        <f t="shared" si="23"/>
        <v>750000</v>
      </c>
      <c r="O371" s="69">
        <f t="shared" si="22"/>
        <v>750000</v>
      </c>
      <c r="P371" s="42" t="str">
        <f>IFERROR(VLOOKUP(J371,'Mã NV'!$B:$C,2,0),"")</f>
        <v>XE01583</v>
      </c>
      <c r="Q371" s="70" t="str">
        <f>IFERROR(VLOOKUP(I371,'Mã NV'!$J:$K,2,0),"")</f>
        <v>8T</v>
      </c>
    </row>
    <row r="372" ht="33.6" customHeight="1" spans="1:17">
      <c r="A372" s="63">
        <f t="shared" si="21"/>
        <v>369</v>
      </c>
      <c r="B372" s="64">
        <v>46147</v>
      </c>
      <c r="C372" s="65"/>
      <c r="D372" s="66" t="s">
        <v>18</v>
      </c>
      <c r="E372" s="66" t="s">
        <v>18</v>
      </c>
      <c r="F372" s="66" t="s">
        <v>744</v>
      </c>
      <c r="G372" s="66" t="s">
        <v>827</v>
      </c>
      <c r="H372" s="66" t="s">
        <v>777</v>
      </c>
      <c r="I372" s="66" t="s">
        <v>276</v>
      </c>
      <c r="J372" s="66" t="s">
        <v>273</v>
      </c>
      <c r="K372" s="66" t="s">
        <v>747</v>
      </c>
      <c r="L372" s="67">
        <v>1500000</v>
      </c>
      <c r="M372" s="67">
        <v>0</v>
      </c>
      <c r="N372" s="68">
        <f t="shared" si="23"/>
        <v>1500000</v>
      </c>
      <c r="O372" s="69">
        <f t="shared" si="22"/>
        <v>1500000</v>
      </c>
      <c r="P372" s="42" t="str">
        <f>IFERROR(VLOOKUP(J372,'Mã NV'!$B:$C,2,0),"")</f>
        <v>XE01527</v>
      </c>
      <c r="Q372" s="70" t="str">
        <f>IFERROR(VLOOKUP(I372,'Mã NV'!$J:$K,2,0),"")</f>
        <v>8T</v>
      </c>
    </row>
    <row r="373" ht="33.6" customHeight="1" spans="1:17">
      <c r="A373" s="63">
        <f t="shared" si="21"/>
        <v>370</v>
      </c>
      <c r="B373" s="64">
        <v>46147</v>
      </c>
      <c r="C373" s="65"/>
      <c r="D373" s="66" t="s">
        <v>18</v>
      </c>
      <c r="E373" s="66" t="s">
        <v>18</v>
      </c>
      <c r="F373" s="66" t="s">
        <v>744</v>
      </c>
      <c r="G373" s="66" t="s">
        <v>827</v>
      </c>
      <c r="H373" s="66" t="s">
        <v>777</v>
      </c>
      <c r="I373" s="66" t="s">
        <v>276</v>
      </c>
      <c r="J373" s="66" t="s">
        <v>303</v>
      </c>
      <c r="K373" s="66" t="s">
        <v>747</v>
      </c>
      <c r="L373" s="67">
        <v>1500000</v>
      </c>
      <c r="M373" s="67">
        <v>0</v>
      </c>
      <c r="N373" s="68">
        <f t="shared" si="23"/>
        <v>1500000</v>
      </c>
      <c r="O373" s="69">
        <f t="shared" si="22"/>
        <v>1500000</v>
      </c>
      <c r="P373" s="42" t="str">
        <f>IFERROR(VLOOKUP(J373,'Mã NV'!$B:$C,2,0),"")</f>
        <v>XE01574</v>
      </c>
      <c r="Q373" s="70" t="str">
        <f>IFERROR(VLOOKUP(I373,'Mã NV'!$J:$K,2,0),"")</f>
        <v>8T</v>
      </c>
    </row>
    <row r="374" ht="33.6" customHeight="1" spans="1:17">
      <c r="A374" s="63">
        <f t="shared" si="21"/>
        <v>371</v>
      </c>
      <c r="B374" s="64">
        <v>46148</v>
      </c>
      <c r="C374" s="65"/>
      <c r="D374" s="66" t="s">
        <v>18</v>
      </c>
      <c r="E374" s="66" t="s">
        <v>828</v>
      </c>
      <c r="F374" s="66" t="s">
        <v>744</v>
      </c>
      <c r="G374" s="66" t="s">
        <v>774</v>
      </c>
      <c r="H374" s="66" t="s">
        <v>745</v>
      </c>
      <c r="I374" s="66" t="s">
        <v>234</v>
      </c>
      <c r="J374" s="66" t="s">
        <v>239</v>
      </c>
      <c r="K374" s="66" t="s">
        <v>747</v>
      </c>
      <c r="L374" s="67">
        <v>12500000</v>
      </c>
      <c r="M374" s="67">
        <v>0</v>
      </c>
      <c r="N374" s="68">
        <f t="shared" si="23"/>
        <v>12500000</v>
      </c>
      <c r="O374" s="69">
        <f t="shared" si="22"/>
        <v>12500000</v>
      </c>
      <c r="P374" s="42" t="str">
        <f>IFERROR(VLOOKUP(J374,'Mã NV'!$B:$C,2,0),"")</f>
        <v>XE01021</v>
      </c>
      <c r="Q374" s="70" t="str">
        <f>IFERROR(VLOOKUP(I374,'Mã NV'!$J:$K,2,0),"")</f>
        <v>Cont 50F</v>
      </c>
    </row>
    <row r="375" ht="33.6" customHeight="1" spans="1:17">
      <c r="A375" s="63">
        <f t="shared" si="21"/>
        <v>372</v>
      </c>
      <c r="B375" s="64">
        <v>46148</v>
      </c>
      <c r="C375" s="65"/>
      <c r="D375" s="66" t="s">
        <v>18</v>
      </c>
      <c r="E375" s="66" t="s">
        <v>828</v>
      </c>
      <c r="F375" s="66" t="s">
        <v>744</v>
      </c>
      <c r="G375" s="66" t="s">
        <v>774</v>
      </c>
      <c r="H375" s="66" t="s">
        <v>745</v>
      </c>
      <c r="I375" s="66" t="s">
        <v>234</v>
      </c>
      <c r="J375" s="66" t="s">
        <v>232</v>
      </c>
      <c r="K375" s="66" t="s">
        <v>747</v>
      </c>
      <c r="L375" s="67">
        <v>12500000</v>
      </c>
      <c r="M375" s="67">
        <v>0</v>
      </c>
      <c r="N375" s="68">
        <f t="shared" si="23"/>
        <v>12500000</v>
      </c>
      <c r="O375" s="69">
        <f t="shared" si="22"/>
        <v>12500000</v>
      </c>
      <c r="P375" s="42" t="str">
        <f>IFERROR(VLOOKUP(J375,'Mã NV'!$B:$C,2,0),"")</f>
        <v>XE00893</v>
      </c>
      <c r="Q375" s="70" t="str">
        <f>IFERROR(VLOOKUP(I375,'Mã NV'!$J:$K,2,0),"")</f>
        <v>Cont 50F</v>
      </c>
    </row>
    <row r="376" ht="33.6" customHeight="1" spans="1:17">
      <c r="A376" s="63">
        <f t="shared" si="21"/>
        <v>373</v>
      </c>
      <c r="B376" s="64">
        <v>46148</v>
      </c>
      <c r="C376" s="65"/>
      <c r="D376" s="66" t="s">
        <v>18</v>
      </c>
      <c r="E376" s="66" t="s">
        <v>829</v>
      </c>
      <c r="F376" s="66" t="s">
        <v>744</v>
      </c>
      <c r="G376" s="66" t="s">
        <v>830</v>
      </c>
      <c r="H376" s="66" t="s">
        <v>746</v>
      </c>
      <c r="I376" s="66" t="s">
        <v>283</v>
      </c>
      <c r="J376" s="66" t="s">
        <v>337</v>
      </c>
      <c r="K376" s="66" t="s">
        <v>747</v>
      </c>
      <c r="L376" s="67">
        <v>10500000</v>
      </c>
      <c r="M376" s="67">
        <v>0</v>
      </c>
      <c r="N376" s="68">
        <f t="shared" si="23"/>
        <v>10500000</v>
      </c>
      <c r="O376" s="69">
        <f t="shared" si="22"/>
        <v>10500000</v>
      </c>
      <c r="P376" s="42" t="str">
        <f>IFERROR(VLOOKUP(J376,'Mã NV'!$B:$C,2,0),"")</f>
        <v>XE01477</v>
      </c>
      <c r="Q376" s="70" t="str">
        <f>IFERROR(VLOOKUP(I376,'Mã NV'!$J:$K,2,0),"")</f>
        <v>15T</v>
      </c>
    </row>
    <row r="377" ht="33.6" customHeight="1" spans="1:17">
      <c r="A377" s="63">
        <f t="shared" si="21"/>
        <v>374</v>
      </c>
      <c r="B377" s="64">
        <v>46148</v>
      </c>
      <c r="C377" s="65"/>
      <c r="D377" s="66" t="s">
        <v>18</v>
      </c>
      <c r="E377" s="66" t="s">
        <v>829</v>
      </c>
      <c r="F377" s="66" t="s">
        <v>744</v>
      </c>
      <c r="G377" s="66" t="s">
        <v>830</v>
      </c>
      <c r="H377" s="66" t="s">
        <v>746</v>
      </c>
      <c r="I377" s="66" t="s">
        <v>283</v>
      </c>
      <c r="J377" s="66" t="s">
        <v>339</v>
      </c>
      <c r="K377" s="66" t="s">
        <v>747</v>
      </c>
      <c r="L377" s="67">
        <v>10500000</v>
      </c>
      <c r="M377" s="67">
        <v>0</v>
      </c>
      <c r="N377" s="68">
        <f t="shared" si="23"/>
        <v>10500000</v>
      </c>
      <c r="O377" s="69">
        <f t="shared" si="22"/>
        <v>10500000</v>
      </c>
      <c r="P377" s="42" t="str">
        <f>IFERROR(VLOOKUP(J377,'Mã NV'!$B:$C,2,0),"")</f>
        <v>XE01670</v>
      </c>
      <c r="Q377" s="70" t="str">
        <f>IFERROR(VLOOKUP(I377,'Mã NV'!$J:$K,2,0),"")</f>
        <v>15T</v>
      </c>
    </row>
    <row r="378" ht="33.6" customHeight="1" spans="1:17">
      <c r="A378" s="63">
        <f t="shared" si="21"/>
        <v>375</v>
      </c>
      <c r="B378" s="64">
        <v>46148</v>
      </c>
      <c r="C378" s="65"/>
      <c r="D378" s="66" t="s">
        <v>25</v>
      </c>
      <c r="E378" s="66" t="s">
        <v>25</v>
      </c>
      <c r="F378" s="66" t="s">
        <v>744</v>
      </c>
      <c r="G378" s="66" t="s">
        <v>745</v>
      </c>
      <c r="H378" s="66" t="s">
        <v>750</v>
      </c>
      <c r="I378" s="66" t="s">
        <v>17</v>
      </c>
      <c r="J378" s="66" t="s">
        <v>15</v>
      </c>
      <c r="K378" s="66" t="s">
        <v>747</v>
      </c>
      <c r="L378" s="67">
        <v>1144000</v>
      </c>
      <c r="M378" s="67">
        <v>0</v>
      </c>
      <c r="N378" s="68">
        <f t="shared" si="23"/>
        <v>1144000</v>
      </c>
      <c r="O378" s="69">
        <f t="shared" si="22"/>
        <v>1144000</v>
      </c>
      <c r="P378" s="42" t="str">
        <f>IFERROR(VLOOKUP(J378,'Mã NV'!$B:$C,2,0),"")</f>
        <v>XE01331</v>
      </c>
      <c r="Q378" s="70" t="str">
        <f>IFERROR(VLOOKUP(I378,'Mã NV'!$J:$K,2,0),"")</f>
        <v>15T</v>
      </c>
    </row>
    <row r="379" ht="33.6" customHeight="1" spans="1:17">
      <c r="A379" s="63">
        <f t="shared" si="21"/>
        <v>376</v>
      </c>
      <c r="B379" s="64">
        <v>46148</v>
      </c>
      <c r="C379" s="65"/>
      <c r="D379" s="66" t="s">
        <v>25</v>
      </c>
      <c r="E379" s="66" t="s">
        <v>25</v>
      </c>
      <c r="F379" s="66" t="s">
        <v>744</v>
      </c>
      <c r="G379" s="66" t="s">
        <v>745</v>
      </c>
      <c r="H379" s="66" t="s">
        <v>750</v>
      </c>
      <c r="I379" s="66" t="s">
        <v>17</v>
      </c>
      <c r="J379" s="66" t="s">
        <v>341</v>
      </c>
      <c r="K379" s="66" t="s">
        <v>747</v>
      </c>
      <c r="L379" s="67">
        <v>1144000</v>
      </c>
      <c r="M379" s="67">
        <v>0</v>
      </c>
      <c r="N379" s="68">
        <f t="shared" si="23"/>
        <v>1144000</v>
      </c>
      <c r="O379" s="69">
        <f t="shared" si="22"/>
        <v>1144000</v>
      </c>
      <c r="P379" s="42" t="str">
        <f>IFERROR(VLOOKUP(J379,'Mã NV'!$B:$C,2,0),"")</f>
        <v>XE01645</v>
      </c>
      <c r="Q379" s="70" t="str">
        <f>IFERROR(VLOOKUP(I379,'Mã NV'!$J:$K,2,0),"")</f>
        <v>15T</v>
      </c>
    </row>
    <row r="380" ht="33.6" customHeight="1" spans="1:17">
      <c r="A380" s="63">
        <f t="shared" si="21"/>
        <v>377</v>
      </c>
      <c r="B380" s="64">
        <v>46148</v>
      </c>
      <c r="C380" s="65"/>
      <c r="D380" s="66" t="s">
        <v>25</v>
      </c>
      <c r="E380" s="66" t="s">
        <v>25</v>
      </c>
      <c r="F380" s="66" t="s">
        <v>748</v>
      </c>
      <c r="G380" s="66" t="s">
        <v>745</v>
      </c>
      <c r="H380" s="66" t="s">
        <v>750</v>
      </c>
      <c r="I380" s="77" t="s">
        <v>214</v>
      </c>
      <c r="J380" s="66" t="s">
        <v>212</v>
      </c>
      <c r="K380" s="66" t="s">
        <v>747</v>
      </c>
      <c r="L380" s="67">
        <v>572000</v>
      </c>
      <c r="M380" s="67"/>
      <c r="N380" s="68">
        <f t="shared" si="23"/>
        <v>572000</v>
      </c>
      <c r="O380" s="69">
        <f t="shared" si="22"/>
        <v>572000</v>
      </c>
      <c r="P380" s="42" t="str">
        <f>IFERROR(VLOOKUP(J380,'Mã NV'!$B:$C,2,0),"")</f>
        <v>XE00977</v>
      </c>
      <c r="Q380" s="70" t="str">
        <f>IFERROR(VLOOKUP(I380,'Mã NV'!$J:$K,2,0),"")</f>
        <v>2T5 Lạnh </v>
      </c>
    </row>
    <row r="381" ht="33.6" customHeight="1" spans="1:17">
      <c r="A381" s="63">
        <f t="shared" si="21"/>
        <v>378</v>
      </c>
      <c r="B381" s="64">
        <v>46148</v>
      </c>
      <c r="C381" s="65"/>
      <c r="D381" s="66" t="s">
        <v>18</v>
      </c>
      <c r="E381" s="66" t="s">
        <v>831</v>
      </c>
      <c r="F381" s="66" t="s">
        <v>744</v>
      </c>
      <c r="G381" s="66" t="s">
        <v>745</v>
      </c>
      <c r="H381" s="66" t="s">
        <v>746</v>
      </c>
      <c r="I381" s="66" t="s">
        <v>103</v>
      </c>
      <c r="J381" s="66" t="s">
        <v>101</v>
      </c>
      <c r="K381" s="66" t="s">
        <v>747</v>
      </c>
      <c r="L381" s="67">
        <v>750000</v>
      </c>
      <c r="M381" s="67">
        <v>0</v>
      </c>
      <c r="N381" s="68">
        <f t="shared" si="23"/>
        <v>750000</v>
      </c>
      <c r="O381" s="69">
        <f t="shared" si="22"/>
        <v>750000</v>
      </c>
      <c r="P381" s="42" t="str">
        <f>IFERROR(VLOOKUP(J381,'Mã NV'!$B:$C,2,0),"")</f>
        <v>XE01434</v>
      </c>
      <c r="Q381" s="70" t="str">
        <f>IFERROR(VLOOKUP(I381,'Mã NV'!$J:$K,2,0),"")</f>
        <v>7.1t</v>
      </c>
    </row>
    <row r="382" ht="33.6" customHeight="1" spans="1:17">
      <c r="A382" s="63">
        <f t="shared" si="21"/>
        <v>379</v>
      </c>
      <c r="B382" s="64">
        <v>46148</v>
      </c>
      <c r="C382" s="65"/>
      <c r="D382" s="66" t="s">
        <v>18</v>
      </c>
      <c r="E382" s="66" t="s">
        <v>831</v>
      </c>
      <c r="F382" s="66" t="s">
        <v>744</v>
      </c>
      <c r="G382" s="66" t="s">
        <v>745</v>
      </c>
      <c r="H382" s="66" t="s">
        <v>746</v>
      </c>
      <c r="I382" s="66" t="s">
        <v>103</v>
      </c>
      <c r="J382" s="66" t="s">
        <v>172</v>
      </c>
      <c r="K382" s="66" t="s">
        <v>747</v>
      </c>
      <c r="L382" s="67">
        <v>750000</v>
      </c>
      <c r="M382" s="67">
        <v>0</v>
      </c>
      <c r="N382" s="68">
        <f t="shared" si="23"/>
        <v>750000</v>
      </c>
      <c r="O382" s="69">
        <f t="shared" si="22"/>
        <v>750000</v>
      </c>
      <c r="P382" s="42" t="str">
        <f>IFERROR(VLOOKUP(J382,'Mã NV'!$B:$C,2,0),"")</f>
        <v>XE01433</v>
      </c>
      <c r="Q382" s="70" t="str">
        <f>IFERROR(VLOOKUP(I382,'Mã NV'!$J:$K,2,0),"")</f>
        <v>7.1t</v>
      </c>
    </row>
    <row r="383" ht="33.6" customHeight="1" spans="1:17">
      <c r="A383" s="63">
        <f t="shared" si="21"/>
        <v>380</v>
      </c>
      <c r="B383" s="64">
        <v>46148</v>
      </c>
      <c r="C383" s="65"/>
      <c r="D383" s="66" t="s">
        <v>18</v>
      </c>
      <c r="E383" s="66" t="s">
        <v>829</v>
      </c>
      <c r="F383" s="66" t="s">
        <v>744</v>
      </c>
      <c r="G383" s="66" t="s">
        <v>745</v>
      </c>
      <c r="H383" s="66" t="s">
        <v>832</v>
      </c>
      <c r="I383" s="66" t="s">
        <v>103</v>
      </c>
      <c r="J383" s="66" t="s">
        <v>101</v>
      </c>
      <c r="K383" s="66" t="s">
        <v>747</v>
      </c>
      <c r="L383" s="67">
        <v>1000000</v>
      </c>
      <c r="M383" s="67">
        <v>0</v>
      </c>
      <c r="N383" s="68">
        <f t="shared" si="23"/>
        <v>1000000</v>
      </c>
      <c r="O383" s="69">
        <f t="shared" si="22"/>
        <v>1000000</v>
      </c>
      <c r="P383" s="42" t="str">
        <f>IFERROR(VLOOKUP(J383,'Mã NV'!$B:$C,2,0),"")</f>
        <v>XE01434</v>
      </c>
      <c r="Q383" s="70" t="str">
        <f>IFERROR(VLOOKUP(I383,'Mã NV'!$J:$K,2,0),"")</f>
        <v>7.1t</v>
      </c>
    </row>
    <row r="384" ht="33.6" customHeight="1" spans="1:17">
      <c r="A384" s="63">
        <f t="shared" si="21"/>
        <v>381</v>
      </c>
      <c r="B384" s="64">
        <v>46148</v>
      </c>
      <c r="C384" s="65"/>
      <c r="D384" s="66" t="s">
        <v>18</v>
      </c>
      <c r="E384" s="66" t="s">
        <v>829</v>
      </c>
      <c r="F384" s="66" t="s">
        <v>744</v>
      </c>
      <c r="G384" s="66" t="s">
        <v>745</v>
      </c>
      <c r="H384" s="66" t="s">
        <v>832</v>
      </c>
      <c r="I384" s="66" t="s">
        <v>103</v>
      </c>
      <c r="J384" s="66" t="s">
        <v>172</v>
      </c>
      <c r="K384" s="66" t="s">
        <v>747</v>
      </c>
      <c r="L384" s="67">
        <v>1000000</v>
      </c>
      <c r="M384" s="67">
        <v>0</v>
      </c>
      <c r="N384" s="68">
        <f t="shared" si="23"/>
        <v>1000000</v>
      </c>
      <c r="O384" s="69">
        <f t="shared" si="22"/>
        <v>1000000</v>
      </c>
      <c r="P384" s="42" t="str">
        <f>IFERROR(VLOOKUP(J384,'Mã NV'!$B:$C,2,0),"")</f>
        <v>XE01433</v>
      </c>
      <c r="Q384" s="70" t="str">
        <f>IFERROR(VLOOKUP(I384,'Mã NV'!$J:$K,2,0),"")</f>
        <v>7.1t</v>
      </c>
    </row>
    <row r="385" ht="33.6" customHeight="1" spans="1:19">
      <c r="A385" s="63">
        <f t="shared" si="21"/>
        <v>382</v>
      </c>
      <c r="B385" s="64">
        <v>46148</v>
      </c>
      <c r="C385" s="65"/>
      <c r="D385" s="66" t="s">
        <v>18</v>
      </c>
      <c r="E385" s="66" t="s">
        <v>829</v>
      </c>
      <c r="F385" s="66" t="s">
        <v>744</v>
      </c>
      <c r="G385" s="66" t="s">
        <v>745</v>
      </c>
      <c r="H385" s="66" t="s">
        <v>746</v>
      </c>
      <c r="I385" s="66" t="s">
        <v>103</v>
      </c>
      <c r="J385" s="66" t="s">
        <v>101</v>
      </c>
      <c r="K385" s="66" t="s">
        <v>747</v>
      </c>
      <c r="L385" s="67">
        <v>200000</v>
      </c>
      <c r="M385" s="67">
        <v>0</v>
      </c>
      <c r="N385" s="68">
        <f t="shared" si="23"/>
        <v>200000</v>
      </c>
      <c r="O385" s="69">
        <f t="shared" si="22"/>
        <v>200000</v>
      </c>
      <c r="P385" s="42" t="str">
        <f>IFERROR(VLOOKUP(J385,'Mã NV'!$B:$C,2,0),"")</f>
        <v>XE01434</v>
      </c>
      <c r="Q385" s="70" t="str">
        <f>IFERROR(VLOOKUP(I385,'Mã NV'!$J:$K,2,0),"")</f>
        <v>7.1t</v>
      </c>
    </row>
    <row r="386" ht="33.6" customHeight="1" spans="1:19">
      <c r="A386" s="63">
        <f t="shared" si="21"/>
        <v>383</v>
      </c>
      <c r="B386" s="64">
        <v>46148</v>
      </c>
      <c r="C386" s="65"/>
      <c r="D386" s="66" t="s">
        <v>18</v>
      </c>
      <c r="E386" s="66" t="s">
        <v>829</v>
      </c>
      <c r="F386" s="66" t="s">
        <v>744</v>
      </c>
      <c r="G386" s="66" t="s">
        <v>745</v>
      </c>
      <c r="H386" s="66" t="s">
        <v>746</v>
      </c>
      <c r="I386" s="66" t="s">
        <v>103</v>
      </c>
      <c r="J386" s="66" t="s">
        <v>172</v>
      </c>
      <c r="K386" s="66" t="s">
        <v>747</v>
      </c>
      <c r="L386" s="67">
        <v>200000</v>
      </c>
      <c r="M386" s="67">
        <v>0</v>
      </c>
      <c r="N386" s="68">
        <f t="shared" si="23"/>
        <v>200000</v>
      </c>
      <c r="O386" s="69">
        <f t="shared" si="22"/>
        <v>200000</v>
      </c>
      <c r="P386" s="42" t="str">
        <f>IFERROR(VLOOKUP(J386,'Mã NV'!$B:$C,2,0),"")</f>
        <v>XE01433</v>
      </c>
      <c r="Q386" s="70" t="str">
        <f>IFERROR(VLOOKUP(I386,'Mã NV'!$J:$K,2,0),"")</f>
        <v>7.1t</v>
      </c>
    </row>
    <row r="387" ht="33.6" customHeight="1" spans="1:19">
      <c r="A387" s="63">
        <f t="shared" si="21"/>
        <v>384</v>
      </c>
      <c r="B387" s="64">
        <v>46150</v>
      </c>
      <c r="C387" s="65"/>
      <c r="D387" s="66" t="s">
        <v>18</v>
      </c>
      <c r="E387" s="66" t="s">
        <v>829</v>
      </c>
      <c r="F387" s="66" t="s">
        <v>748</v>
      </c>
      <c r="G387" s="66" t="s">
        <v>745</v>
      </c>
      <c r="H387" s="66" t="s">
        <v>746</v>
      </c>
      <c r="I387" s="77" t="s">
        <v>345</v>
      </c>
      <c r="J387" s="66" t="s">
        <v>343</v>
      </c>
      <c r="K387" s="66" t="s">
        <v>747</v>
      </c>
      <c r="L387" s="67">
        <v>100000</v>
      </c>
      <c r="M387" s="67"/>
      <c r="N387" s="68">
        <f t="shared" si="23"/>
        <v>100000</v>
      </c>
      <c r="O387" s="69">
        <f t="shared" si="22"/>
        <v>100000</v>
      </c>
      <c r="P387" s="42" t="str">
        <f>IFERROR(VLOOKUP(J387,'Mã NV'!$B:$C,2,0),"")</f>
        <v>XE01615</v>
      </c>
      <c r="Q387" s="70" t="str">
        <f>IFERROR(VLOOKUP(I387,'Mã NV'!$J:$K,2,0),"")</f>
        <v>2T5</v>
      </c>
    </row>
    <row r="388" ht="33.6" customHeight="1" spans="1:19">
      <c r="A388" s="63">
        <f t="shared" si="21"/>
        <v>385</v>
      </c>
      <c r="B388" s="64">
        <v>46149</v>
      </c>
      <c r="C388" s="65"/>
      <c r="D388" s="66" t="s">
        <v>171</v>
      </c>
      <c r="E388" s="66" t="s">
        <v>171</v>
      </c>
      <c r="F388" s="66" t="s">
        <v>744</v>
      </c>
      <c r="G388" s="66" t="s">
        <v>745</v>
      </c>
      <c r="H388" s="66" t="s">
        <v>833</v>
      </c>
      <c r="I388" s="66" t="s">
        <v>170</v>
      </c>
      <c r="J388" s="66" t="s">
        <v>168</v>
      </c>
      <c r="K388" s="66" t="s">
        <v>747</v>
      </c>
      <c r="L388" s="67">
        <v>6500000</v>
      </c>
      <c r="M388" s="67">
        <v>0</v>
      </c>
      <c r="N388" s="68">
        <f t="shared" si="23"/>
        <v>6500000</v>
      </c>
      <c r="O388" s="69">
        <f t="shared" si="22"/>
        <v>6500000</v>
      </c>
      <c r="P388" s="42" t="str">
        <f>IFERROR(VLOOKUP(J388,'Mã NV'!$B:$C,2,0),"")</f>
        <v>XE01263</v>
      </c>
      <c r="Q388" s="70" t="str">
        <f>IFERROR(VLOOKUP(I388,'Mã NV'!$J:$K,2,0),"")</f>
        <v>8T</v>
      </c>
    </row>
    <row r="389" ht="33.6" customHeight="1" spans="1:19">
      <c r="A389" s="63">
        <f t="shared" si="21"/>
        <v>386</v>
      </c>
      <c r="B389" s="64">
        <v>46149</v>
      </c>
      <c r="C389" s="65"/>
      <c r="D389" s="66" t="s">
        <v>171</v>
      </c>
      <c r="E389" s="66" t="s">
        <v>171</v>
      </c>
      <c r="F389" s="66" t="s">
        <v>744</v>
      </c>
      <c r="G389" s="66" t="s">
        <v>745</v>
      </c>
      <c r="H389" s="66" t="s">
        <v>833</v>
      </c>
      <c r="I389" s="66" t="s">
        <v>170</v>
      </c>
      <c r="J389" s="66" t="s">
        <v>203</v>
      </c>
      <c r="K389" s="66" t="s">
        <v>747</v>
      </c>
      <c r="L389" s="67">
        <v>6500000</v>
      </c>
      <c r="M389" s="67">
        <v>0</v>
      </c>
      <c r="N389" s="68">
        <f t="shared" si="23"/>
        <v>6500000</v>
      </c>
      <c r="O389" s="69">
        <f t="shared" si="22"/>
        <v>6500000</v>
      </c>
      <c r="P389" s="42" t="str">
        <f>IFERROR(VLOOKUP(J389,'Mã NV'!$B:$C,2,0),"")</f>
        <v>XE01149</v>
      </c>
      <c r="Q389" s="70" t="str">
        <f>IFERROR(VLOOKUP(I389,'Mã NV'!$J:$K,2,0),"")</f>
        <v>8T</v>
      </c>
    </row>
    <row r="390" ht="33.6" customHeight="1" spans="1:19">
      <c r="A390" s="63">
        <f t="shared" si="21"/>
        <v>387</v>
      </c>
      <c r="B390" s="64">
        <v>46149</v>
      </c>
      <c r="C390" s="65"/>
      <c r="D390" s="66" t="s">
        <v>18</v>
      </c>
      <c r="E390" s="66" t="s">
        <v>818</v>
      </c>
      <c r="F390" s="66" t="s">
        <v>744</v>
      </c>
      <c r="G390" s="66" t="s">
        <v>770</v>
      </c>
      <c r="H390" s="66" t="s">
        <v>820</v>
      </c>
      <c r="I390" s="66" t="s">
        <v>286</v>
      </c>
      <c r="J390" s="66" t="s">
        <v>284</v>
      </c>
      <c r="K390" s="66" t="s">
        <v>747</v>
      </c>
      <c r="L390" s="67">
        <v>2500000</v>
      </c>
      <c r="M390" s="67">
        <v>0</v>
      </c>
      <c r="N390" s="68">
        <f t="shared" si="23"/>
        <v>2500000</v>
      </c>
      <c r="O390" s="69">
        <f t="shared" si="22"/>
        <v>2500000</v>
      </c>
      <c r="P390" s="42" t="str">
        <f>IFERROR(VLOOKUP(J390,'Mã NV'!$B:$C,2,0),"")</f>
        <v>XE01543</v>
      </c>
      <c r="Q390" s="70" t="str">
        <f>IFERROR(VLOOKUP(I390,'Mã NV'!$J:$K,2,0),"")</f>
        <v>8T</v>
      </c>
    </row>
    <row r="391" ht="33.6" customHeight="1" spans="1:19">
      <c r="A391" s="63">
        <f t="shared" si="21"/>
        <v>388</v>
      </c>
      <c r="B391" s="64">
        <v>46149</v>
      </c>
      <c r="C391" s="65"/>
      <c r="D391" s="66" t="s">
        <v>18</v>
      </c>
      <c r="E391" s="66" t="s">
        <v>818</v>
      </c>
      <c r="F391" s="66" t="s">
        <v>744</v>
      </c>
      <c r="G391" s="66" t="s">
        <v>770</v>
      </c>
      <c r="H391" s="66" t="s">
        <v>820</v>
      </c>
      <c r="I391" s="66" t="s">
        <v>286</v>
      </c>
      <c r="J391" s="66" t="s">
        <v>335</v>
      </c>
      <c r="K391" s="66" t="s">
        <v>747</v>
      </c>
      <c r="L391" s="67">
        <v>2500000</v>
      </c>
      <c r="M391" s="67">
        <v>0</v>
      </c>
      <c r="N391" s="68">
        <f t="shared" si="23"/>
        <v>2500000</v>
      </c>
      <c r="O391" s="69">
        <f t="shared" si="22"/>
        <v>2500000</v>
      </c>
      <c r="P391" s="42" t="str">
        <f>IFERROR(VLOOKUP(J391,'Mã NV'!$B:$C,2,0),"")</f>
        <v>XE01622</v>
      </c>
      <c r="Q391" s="70" t="str">
        <f>IFERROR(VLOOKUP(I391,'Mã NV'!$J:$K,2,0),"")</f>
        <v>8T</v>
      </c>
    </row>
    <row r="392" ht="33.6" customHeight="1" spans="1:19">
      <c r="A392" s="63">
        <f t="shared" si="21"/>
        <v>389</v>
      </c>
      <c r="B392" s="64">
        <v>46149</v>
      </c>
      <c r="C392" s="65"/>
      <c r="D392" s="66" t="s">
        <v>18</v>
      </c>
      <c r="E392" s="66" t="s">
        <v>818</v>
      </c>
      <c r="F392" s="66" t="s">
        <v>744</v>
      </c>
      <c r="G392" s="66" t="s">
        <v>745</v>
      </c>
      <c r="H392" s="66" t="s">
        <v>767</v>
      </c>
      <c r="I392" s="66" t="s">
        <v>223</v>
      </c>
      <c r="J392" s="66" t="s">
        <v>221</v>
      </c>
      <c r="K392" s="66" t="s">
        <v>747</v>
      </c>
      <c r="L392" s="67">
        <v>5000000</v>
      </c>
      <c r="M392" s="67"/>
      <c r="N392" s="68">
        <f t="shared" si="23"/>
        <v>5000000</v>
      </c>
      <c r="O392" s="69">
        <f t="shared" si="22"/>
        <v>5000000</v>
      </c>
      <c r="P392" s="42" t="str">
        <f>IFERROR(VLOOKUP(J392,'Mã NV'!$B:$C,2,0),"")</f>
        <v>XE01283</v>
      </c>
      <c r="Q392" s="70" t="str">
        <f>IFERROR(VLOOKUP(I392,'Mã NV'!$J:$K,2,0),"")</f>
        <v>7.1t</v>
      </c>
      <c r="R392" s="44"/>
    </row>
    <row r="393" ht="33.6" customHeight="1" spans="1:19">
      <c r="A393" s="63">
        <f t="shared" si="21"/>
        <v>390</v>
      </c>
      <c r="B393" s="64">
        <v>46149</v>
      </c>
      <c r="C393" s="65"/>
      <c r="D393" s="66" t="s">
        <v>18</v>
      </c>
      <c r="E393" s="66" t="s">
        <v>818</v>
      </c>
      <c r="F393" s="66" t="s">
        <v>744</v>
      </c>
      <c r="G393" s="66" t="s">
        <v>745</v>
      </c>
      <c r="H393" s="66" t="s">
        <v>767</v>
      </c>
      <c r="I393" s="66" t="s">
        <v>223</v>
      </c>
      <c r="J393" s="66" t="s">
        <v>296</v>
      </c>
      <c r="K393" s="66" t="s">
        <v>747</v>
      </c>
      <c r="L393" s="67">
        <v>5000000</v>
      </c>
      <c r="M393" s="67"/>
      <c r="N393" s="68">
        <f t="shared" si="23"/>
        <v>5000000</v>
      </c>
      <c r="O393" s="69">
        <f t="shared" si="22"/>
        <v>5000000</v>
      </c>
      <c r="P393" s="42" t="str">
        <f>IFERROR(VLOOKUP(J393,'Mã NV'!$B:$C,2,0),"")</f>
        <v>XE01541</v>
      </c>
      <c r="Q393" s="70" t="str">
        <f>IFERROR(VLOOKUP(I393,'Mã NV'!$J:$K,2,0),"")</f>
        <v>7.1t</v>
      </c>
      <c r="R393" s="44"/>
    </row>
    <row r="394" s="38" customFormat="1" ht="33.6" customHeight="1" spans="1:19">
      <c r="A394" s="78">
        <f t="shared" si="21"/>
        <v>391</v>
      </c>
      <c r="B394" s="79">
        <v>46143</v>
      </c>
      <c r="C394" s="80"/>
      <c r="D394" s="81" t="s">
        <v>18</v>
      </c>
      <c r="E394" s="81" t="s">
        <v>816</v>
      </c>
      <c r="F394" s="81" t="s">
        <v>744</v>
      </c>
      <c r="G394" s="81" t="s">
        <v>768</v>
      </c>
      <c r="H394" s="81" t="s">
        <v>750</v>
      </c>
      <c r="I394" s="81" t="s">
        <v>42</v>
      </c>
      <c r="J394" s="81" t="s">
        <v>40</v>
      </c>
      <c r="K394" s="81" t="s">
        <v>747</v>
      </c>
      <c r="L394" s="82">
        <v>9500000</v>
      </c>
      <c r="M394" s="82"/>
      <c r="N394" s="83">
        <f t="shared" si="23"/>
        <v>9500000</v>
      </c>
      <c r="O394" s="84">
        <f t="shared" si="22"/>
        <v>9500000</v>
      </c>
      <c r="P394" s="85" t="str">
        <f>IFERROR(VLOOKUP(J394,'Mã NV'!$B:$C,2,0),"")</f>
        <v>XE01417</v>
      </c>
      <c r="Q394" s="70" t="str">
        <f>IFERROR(VLOOKUP(I394,'Mã NV'!$J:$K,2,0),"")</f>
        <v>7.1t</v>
      </c>
      <c r="R394" s="86" t="s">
        <v>834</v>
      </c>
      <c r="S394" s="86"/>
    </row>
    <row r="395" s="38" customFormat="1" ht="33.6" customHeight="1" spans="1:19">
      <c r="A395" s="78">
        <f t="shared" si="21"/>
        <v>392</v>
      </c>
      <c r="B395" s="79">
        <v>46143</v>
      </c>
      <c r="C395" s="80"/>
      <c r="D395" s="81" t="s">
        <v>18</v>
      </c>
      <c r="E395" s="81" t="s">
        <v>816</v>
      </c>
      <c r="F395" s="81" t="s">
        <v>744</v>
      </c>
      <c r="G395" s="81" t="s">
        <v>768</v>
      </c>
      <c r="H395" s="81" t="s">
        <v>750</v>
      </c>
      <c r="I395" s="81" t="s">
        <v>42</v>
      </c>
      <c r="J395" s="81" t="s">
        <v>137</v>
      </c>
      <c r="K395" s="81" t="s">
        <v>747</v>
      </c>
      <c r="L395" s="82">
        <v>9500000</v>
      </c>
      <c r="M395" s="82"/>
      <c r="N395" s="83">
        <f t="shared" si="23"/>
        <v>9500000</v>
      </c>
      <c r="O395" s="84">
        <f t="shared" si="22"/>
        <v>9500000</v>
      </c>
      <c r="P395" s="85" t="str">
        <f>IFERROR(VLOOKUP(J395,'Mã NV'!$B:$C,2,0),"")</f>
        <v>XE01418</v>
      </c>
      <c r="Q395" s="70" t="str">
        <f>IFERROR(VLOOKUP(I395,'Mã NV'!$J:$K,2,0),"")</f>
        <v>7.1t</v>
      </c>
      <c r="R395" s="86" t="s">
        <v>834</v>
      </c>
      <c r="S395" s="86"/>
    </row>
    <row r="396" ht="33.6" customHeight="1" spans="1:19">
      <c r="A396" s="63">
        <f t="shared" ref="A396:A459" si="30">A395+1</f>
        <v>393</v>
      </c>
      <c r="B396" s="64">
        <v>46151</v>
      </c>
      <c r="C396" s="65"/>
      <c r="D396" s="66" t="s">
        <v>18</v>
      </c>
      <c r="E396" s="66" t="s">
        <v>816</v>
      </c>
      <c r="F396" s="66" t="s">
        <v>744</v>
      </c>
      <c r="G396" s="66" t="s">
        <v>768</v>
      </c>
      <c r="H396" s="66" t="s">
        <v>750</v>
      </c>
      <c r="I396" s="66" t="s">
        <v>42</v>
      </c>
      <c r="J396" s="66" t="s">
        <v>40</v>
      </c>
      <c r="K396" s="66" t="s">
        <v>747</v>
      </c>
      <c r="L396" s="67">
        <v>9500000</v>
      </c>
      <c r="M396" s="67"/>
      <c r="N396" s="68">
        <f t="shared" si="23"/>
        <v>9500000</v>
      </c>
      <c r="O396" s="69">
        <f t="shared" si="22"/>
        <v>9500000</v>
      </c>
      <c r="P396" s="42" t="str">
        <f>IFERROR(VLOOKUP(J396,'Mã NV'!$B:$C,2,0),"")</f>
        <v>XE01417</v>
      </c>
      <c r="Q396" s="70" t="str">
        <f>IFERROR(VLOOKUP(I396,'Mã NV'!$J:$K,2,0),"")</f>
        <v>7.1t</v>
      </c>
      <c r="R396" s="44"/>
    </row>
    <row r="397" ht="33.6" customHeight="1" spans="1:19">
      <c r="A397" s="63">
        <f t="shared" si="30"/>
        <v>394</v>
      </c>
      <c r="B397" s="64">
        <v>46151</v>
      </c>
      <c r="C397" s="65"/>
      <c r="D397" s="66" t="s">
        <v>18</v>
      </c>
      <c r="E397" s="66" t="s">
        <v>816</v>
      </c>
      <c r="F397" s="66" t="s">
        <v>744</v>
      </c>
      <c r="G397" s="66" t="s">
        <v>768</v>
      </c>
      <c r="H397" s="66" t="s">
        <v>750</v>
      </c>
      <c r="I397" s="66" t="s">
        <v>42</v>
      </c>
      <c r="J397" s="66" t="s">
        <v>333</v>
      </c>
      <c r="K397" s="66" t="s">
        <v>747</v>
      </c>
      <c r="L397" s="67">
        <v>9500000</v>
      </c>
      <c r="M397" s="67"/>
      <c r="N397" s="68">
        <f t="shared" si="23"/>
        <v>9500000</v>
      </c>
      <c r="O397" s="69">
        <f t="shared" ref="O397:O460" si="31">N397/$P$1</f>
        <v>9500000</v>
      </c>
      <c r="P397" s="42" t="str">
        <f>IFERROR(VLOOKUP(J397,'Mã NV'!$B:$C,2,0),"")</f>
        <v>XE01671</v>
      </c>
      <c r="Q397" s="70" t="str">
        <f>IFERROR(VLOOKUP(I397,'Mã NV'!$J:$K,2,0),"")</f>
        <v>7.1t</v>
      </c>
      <c r="R397" s="44"/>
    </row>
    <row r="398" ht="33.6" customHeight="1" spans="1:19">
      <c r="A398" s="63">
        <f t="shared" si="30"/>
        <v>395</v>
      </c>
      <c r="B398" s="64">
        <v>46151</v>
      </c>
      <c r="C398" s="65"/>
      <c r="D398" s="66" t="s">
        <v>18</v>
      </c>
      <c r="E398" s="66" t="s">
        <v>835</v>
      </c>
      <c r="F398" s="66" t="s">
        <v>744</v>
      </c>
      <c r="G398" s="66" t="s">
        <v>770</v>
      </c>
      <c r="H398" s="66" t="s">
        <v>820</v>
      </c>
      <c r="I398" s="66" t="s">
        <v>119</v>
      </c>
      <c r="J398" s="66" t="s">
        <v>307</v>
      </c>
      <c r="K398" s="66" t="s">
        <v>747</v>
      </c>
      <c r="L398" s="67">
        <v>7500000</v>
      </c>
      <c r="M398" s="67">
        <v>0</v>
      </c>
      <c r="N398" s="68">
        <f t="shared" ref="N398:N461" si="32">L398-M398</f>
        <v>7500000</v>
      </c>
      <c r="O398" s="69">
        <f t="shared" si="31"/>
        <v>7500000</v>
      </c>
      <c r="P398" s="42" t="str">
        <f>IFERROR(VLOOKUP(J398,'Mã NV'!$B:$C,2,0),"")</f>
        <v>XE01548</v>
      </c>
      <c r="Q398" s="70" t="str">
        <f>IFERROR(VLOOKUP(I398,'Mã NV'!$J:$K,2,0),"")</f>
        <v>8T</v>
      </c>
    </row>
    <row r="399" ht="33.6" customHeight="1" spans="1:19">
      <c r="A399" s="63">
        <f t="shared" si="30"/>
        <v>396</v>
      </c>
      <c r="B399" s="64">
        <v>46151</v>
      </c>
      <c r="C399" s="65"/>
      <c r="D399" s="66" t="s">
        <v>18</v>
      </c>
      <c r="E399" s="66" t="s">
        <v>835</v>
      </c>
      <c r="F399" s="66" t="s">
        <v>744</v>
      </c>
      <c r="G399" s="66" t="s">
        <v>770</v>
      </c>
      <c r="H399" s="66" t="s">
        <v>820</v>
      </c>
      <c r="I399" s="66" t="s">
        <v>119</v>
      </c>
      <c r="J399" s="66" t="s">
        <v>310</v>
      </c>
      <c r="K399" s="66" t="s">
        <v>747</v>
      </c>
      <c r="L399" s="67">
        <v>7500000</v>
      </c>
      <c r="M399" s="67">
        <v>0</v>
      </c>
      <c r="N399" s="68">
        <f t="shared" si="32"/>
        <v>7500000</v>
      </c>
      <c r="O399" s="69">
        <f t="shared" si="31"/>
        <v>7500000</v>
      </c>
      <c r="P399" s="42" t="str">
        <f>IFERROR(VLOOKUP(J399,'Mã NV'!$B:$C,2,0),"")</f>
        <v>XE01549</v>
      </c>
      <c r="Q399" s="70" t="str">
        <f>IFERROR(VLOOKUP(I399,'Mã NV'!$J:$K,2,0),"")</f>
        <v>8T</v>
      </c>
    </row>
    <row r="400" ht="33.6" customHeight="1" spans="1:19">
      <c r="A400" s="63">
        <f t="shared" si="30"/>
        <v>397</v>
      </c>
      <c r="B400" s="64">
        <v>46151</v>
      </c>
      <c r="C400" s="65"/>
      <c r="D400" s="66" t="s">
        <v>111</v>
      </c>
      <c r="E400" s="66" t="s">
        <v>111</v>
      </c>
      <c r="F400" s="66" t="s">
        <v>744</v>
      </c>
      <c r="G400" s="66" t="s">
        <v>745</v>
      </c>
      <c r="H400" s="66" t="s">
        <v>836</v>
      </c>
      <c r="I400" s="66" t="s">
        <v>109</v>
      </c>
      <c r="J400" s="66" t="s">
        <v>107</v>
      </c>
      <c r="K400" s="66" t="s">
        <v>747</v>
      </c>
      <c r="L400" s="67">
        <v>2600000</v>
      </c>
      <c r="M400" s="67">
        <v>0</v>
      </c>
      <c r="N400" s="68">
        <f t="shared" si="32"/>
        <v>2600000</v>
      </c>
      <c r="O400" s="69">
        <f t="shared" si="31"/>
        <v>2600000</v>
      </c>
      <c r="P400" s="42" t="str">
        <f>IFERROR(VLOOKUP(J400,'Mã NV'!$B:$C,2,0),"")</f>
        <v>XE01102</v>
      </c>
      <c r="Q400" s="70" t="str">
        <f>IFERROR(VLOOKUP(I400,'Mã NV'!$J:$K,2,0),"")</f>
        <v>15T</v>
      </c>
    </row>
    <row r="401" ht="33.6" customHeight="1" spans="1:17">
      <c r="A401" s="63">
        <f t="shared" si="30"/>
        <v>398</v>
      </c>
      <c r="B401" s="64">
        <v>46151</v>
      </c>
      <c r="C401" s="65"/>
      <c r="D401" s="66" t="s">
        <v>111</v>
      </c>
      <c r="E401" s="66" t="s">
        <v>111</v>
      </c>
      <c r="F401" s="66" t="s">
        <v>744</v>
      </c>
      <c r="G401" s="66" t="s">
        <v>745</v>
      </c>
      <c r="H401" s="66" t="s">
        <v>836</v>
      </c>
      <c r="I401" s="66" t="s">
        <v>109</v>
      </c>
      <c r="J401" s="66" t="s">
        <v>120</v>
      </c>
      <c r="K401" s="66" t="s">
        <v>747</v>
      </c>
      <c r="L401" s="67">
        <v>2600000</v>
      </c>
      <c r="M401" s="67">
        <v>0</v>
      </c>
      <c r="N401" s="68">
        <f t="shared" si="32"/>
        <v>2600000</v>
      </c>
      <c r="O401" s="69">
        <f t="shared" si="31"/>
        <v>2600000</v>
      </c>
      <c r="P401" s="42" t="str">
        <f>IFERROR(VLOOKUP(J401,'Mã NV'!$B:$C,2,0),"")</f>
        <v>XE01315</v>
      </c>
      <c r="Q401" s="70" t="str">
        <f>IFERROR(VLOOKUP(I401,'Mã NV'!$J:$K,2,0),"")</f>
        <v>15T</v>
      </c>
    </row>
    <row r="402" ht="33.6" customHeight="1" spans="1:17">
      <c r="A402" s="63">
        <f t="shared" si="30"/>
        <v>399</v>
      </c>
      <c r="B402" s="64">
        <v>46151</v>
      </c>
      <c r="C402" s="65"/>
      <c r="D402" s="66" t="s">
        <v>18</v>
      </c>
      <c r="E402" s="66" t="s">
        <v>18</v>
      </c>
      <c r="F402" s="66" t="s">
        <v>744</v>
      </c>
      <c r="G402" s="66" t="s">
        <v>753</v>
      </c>
      <c r="H402" s="66" t="s">
        <v>758</v>
      </c>
      <c r="I402" s="66" t="s">
        <v>208</v>
      </c>
      <c r="J402" s="66" t="s">
        <v>219</v>
      </c>
      <c r="K402" s="66" t="s">
        <v>747</v>
      </c>
      <c r="L402" s="67">
        <v>1000000</v>
      </c>
      <c r="M402" s="67">
        <v>0</v>
      </c>
      <c r="N402" s="68">
        <f t="shared" si="32"/>
        <v>1000000</v>
      </c>
      <c r="O402" s="69">
        <f t="shared" si="31"/>
        <v>1000000</v>
      </c>
      <c r="P402" s="42" t="str">
        <f>IFERROR(VLOOKUP(J402,'Mã NV'!$B:$C,2,0),"")</f>
        <v>XE00499</v>
      </c>
      <c r="Q402" s="70" t="str">
        <f>IFERROR(VLOOKUP(I402,'Mã NV'!$J:$K,2,0),"")</f>
        <v>15T</v>
      </c>
    </row>
    <row r="403" ht="33.6" customHeight="1" spans="1:17">
      <c r="A403" s="63">
        <f t="shared" si="30"/>
        <v>400</v>
      </c>
      <c r="B403" s="64">
        <v>46151</v>
      </c>
      <c r="C403" s="65"/>
      <c r="D403" s="66" t="s">
        <v>18</v>
      </c>
      <c r="E403" s="66" t="s">
        <v>18</v>
      </c>
      <c r="F403" s="66" t="s">
        <v>744</v>
      </c>
      <c r="G403" s="66" t="s">
        <v>753</v>
      </c>
      <c r="H403" s="66" t="s">
        <v>758</v>
      </c>
      <c r="I403" s="66" t="s">
        <v>208</v>
      </c>
      <c r="J403" s="66" t="s">
        <v>206</v>
      </c>
      <c r="K403" s="66" t="s">
        <v>747</v>
      </c>
      <c r="L403" s="67">
        <v>1000000</v>
      </c>
      <c r="M403" s="67">
        <v>0</v>
      </c>
      <c r="N403" s="68">
        <f t="shared" si="32"/>
        <v>1000000</v>
      </c>
      <c r="O403" s="69">
        <f t="shared" si="31"/>
        <v>1000000</v>
      </c>
      <c r="P403" s="42" t="str">
        <f>IFERROR(VLOOKUP(J403,'Mã NV'!$B:$C,2,0),"")</f>
        <v>XE00934</v>
      </c>
      <c r="Q403" s="70" t="str">
        <f>IFERROR(VLOOKUP(I403,'Mã NV'!$J:$K,2,0),"")</f>
        <v>15T</v>
      </c>
    </row>
    <row r="404" ht="33.6" customHeight="1" spans="1:17">
      <c r="A404" s="63">
        <f t="shared" si="30"/>
        <v>401</v>
      </c>
      <c r="B404" s="64">
        <v>46152</v>
      </c>
      <c r="C404" s="65"/>
      <c r="D404" s="66" t="s">
        <v>18</v>
      </c>
      <c r="E404" s="66" t="s">
        <v>821</v>
      </c>
      <c r="F404" s="66" t="s">
        <v>744</v>
      </c>
      <c r="G404" s="66" t="s">
        <v>836</v>
      </c>
      <c r="H404" s="66" t="s">
        <v>750</v>
      </c>
      <c r="I404" s="66" t="s">
        <v>158</v>
      </c>
      <c r="J404" s="66" t="s">
        <v>156</v>
      </c>
      <c r="K404" s="66" t="s">
        <v>747</v>
      </c>
      <c r="L404" s="67">
        <v>1500000</v>
      </c>
      <c r="M404" s="67">
        <v>0</v>
      </c>
      <c r="N404" s="68">
        <f t="shared" si="32"/>
        <v>1500000</v>
      </c>
      <c r="O404" s="69">
        <f t="shared" si="31"/>
        <v>1500000</v>
      </c>
      <c r="P404" s="42" t="str">
        <f>IFERROR(VLOOKUP(J404,'Mã NV'!$B:$C,2,0),"")</f>
        <v>XE01316</v>
      </c>
      <c r="Q404" s="70" t="str">
        <f>IFERROR(VLOOKUP(I404,'Mã NV'!$J:$K,2,0),"")</f>
        <v>8T</v>
      </c>
    </row>
    <row r="405" ht="33.6" customHeight="1" spans="1:17">
      <c r="A405" s="63">
        <f t="shared" si="30"/>
        <v>402</v>
      </c>
      <c r="B405" s="64">
        <v>46152</v>
      </c>
      <c r="C405" s="65"/>
      <c r="D405" s="66" t="s">
        <v>18</v>
      </c>
      <c r="E405" s="66" t="s">
        <v>821</v>
      </c>
      <c r="F405" s="66" t="s">
        <v>744</v>
      </c>
      <c r="G405" s="66" t="s">
        <v>836</v>
      </c>
      <c r="H405" s="66" t="s">
        <v>750</v>
      </c>
      <c r="I405" s="66" t="s">
        <v>158</v>
      </c>
      <c r="J405" s="66" t="s">
        <v>277</v>
      </c>
      <c r="K405" s="66" t="s">
        <v>747</v>
      </c>
      <c r="L405" s="67">
        <v>1500000</v>
      </c>
      <c r="M405" s="67">
        <v>0</v>
      </c>
      <c r="N405" s="68">
        <f t="shared" si="32"/>
        <v>1500000</v>
      </c>
      <c r="O405" s="69">
        <f t="shared" si="31"/>
        <v>1500000</v>
      </c>
      <c r="P405" s="42" t="str">
        <f>IFERROR(VLOOKUP(J405,'Mã NV'!$B:$C,2,0),"")</f>
        <v>XE01534</v>
      </c>
      <c r="Q405" s="70" t="str">
        <f>IFERROR(VLOOKUP(I405,'Mã NV'!$J:$K,2,0),"")</f>
        <v>8T</v>
      </c>
    </row>
    <row r="406" ht="33.6" customHeight="1" spans="1:17">
      <c r="A406" s="63">
        <f t="shared" si="30"/>
        <v>403</v>
      </c>
      <c r="B406" s="64">
        <v>46153</v>
      </c>
      <c r="C406" s="65"/>
      <c r="D406" s="66" t="s">
        <v>18</v>
      </c>
      <c r="E406" s="66" t="s">
        <v>821</v>
      </c>
      <c r="F406" s="66" t="s">
        <v>744</v>
      </c>
      <c r="G406" s="66" t="s">
        <v>830</v>
      </c>
      <c r="H406" s="66" t="s">
        <v>750</v>
      </c>
      <c r="I406" s="66" t="s">
        <v>270</v>
      </c>
      <c r="J406" s="66" t="s">
        <v>268</v>
      </c>
      <c r="K406" s="66" t="s">
        <v>747</v>
      </c>
      <c r="L406" s="67">
        <v>11000000</v>
      </c>
      <c r="M406" s="67">
        <v>0</v>
      </c>
      <c r="N406" s="68">
        <f t="shared" si="32"/>
        <v>11000000</v>
      </c>
      <c r="O406" s="69">
        <f t="shared" si="31"/>
        <v>11000000</v>
      </c>
      <c r="P406" s="42" t="str">
        <f>IFERROR(VLOOKUP(J406,'Mã NV'!$B:$C,2,0),"")</f>
        <v>XE01506</v>
      </c>
      <c r="Q406" s="70" t="str">
        <f>IFERROR(VLOOKUP(I406,'Mã NV'!$J:$K,2,0),"")</f>
        <v>15T</v>
      </c>
    </row>
    <row r="407" ht="33.6" customHeight="1" spans="1:17">
      <c r="A407" s="63">
        <f t="shared" si="30"/>
        <v>404</v>
      </c>
      <c r="B407" s="64">
        <v>46153</v>
      </c>
      <c r="C407" s="65"/>
      <c r="D407" s="66" t="s">
        <v>18</v>
      </c>
      <c r="E407" s="66" t="s">
        <v>821</v>
      </c>
      <c r="F407" s="66" t="s">
        <v>744</v>
      </c>
      <c r="G407" s="66" t="s">
        <v>830</v>
      </c>
      <c r="H407" s="66" t="s">
        <v>750</v>
      </c>
      <c r="I407" s="66" t="s">
        <v>270</v>
      </c>
      <c r="J407" s="66" t="s">
        <v>271</v>
      </c>
      <c r="K407" s="66" t="s">
        <v>747</v>
      </c>
      <c r="L407" s="67">
        <v>11000000</v>
      </c>
      <c r="M407" s="67">
        <v>0</v>
      </c>
      <c r="N407" s="68">
        <f t="shared" si="32"/>
        <v>11000000</v>
      </c>
      <c r="O407" s="69">
        <f t="shared" si="31"/>
        <v>11000000</v>
      </c>
      <c r="P407" s="42" t="str">
        <f>IFERROR(VLOOKUP(J407,'Mã NV'!$B:$C,2,0),"")</f>
        <v>XE01507</v>
      </c>
      <c r="Q407" s="70" t="str">
        <f>IFERROR(VLOOKUP(I407,'Mã NV'!$J:$K,2,0),"")</f>
        <v>15T</v>
      </c>
    </row>
    <row r="408" ht="33.6" customHeight="1" spans="1:17">
      <c r="A408" s="63">
        <f t="shared" si="30"/>
        <v>405</v>
      </c>
      <c r="B408" s="64">
        <v>46153</v>
      </c>
      <c r="C408" s="65"/>
      <c r="D408" s="66" t="s">
        <v>18</v>
      </c>
      <c r="E408" s="66" t="s">
        <v>821</v>
      </c>
      <c r="F408" s="66" t="s">
        <v>744</v>
      </c>
      <c r="G408" s="66" t="s">
        <v>775</v>
      </c>
      <c r="H408" s="66" t="s">
        <v>820</v>
      </c>
      <c r="I408" s="66" t="s">
        <v>211</v>
      </c>
      <c r="J408" s="66" t="s">
        <v>209</v>
      </c>
      <c r="K408" s="66" t="s">
        <v>747</v>
      </c>
      <c r="L408" s="67">
        <v>1500000</v>
      </c>
      <c r="M408" s="67">
        <v>0</v>
      </c>
      <c r="N408" s="68">
        <f t="shared" si="32"/>
        <v>1500000</v>
      </c>
      <c r="O408" s="69">
        <f t="shared" si="31"/>
        <v>1500000</v>
      </c>
      <c r="P408" s="42" t="str">
        <f>IFERROR(VLOOKUP(J408,'Mã NV'!$B:$C,2,0),"")</f>
        <v>XE01098</v>
      </c>
      <c r="Q408" s="70" t="str">
        <f>IFERROR(VLOOKUP(I408,'Mã NV'!$J:$K,2,0),"")</f>
        <v>7.1t</v>
      </c>
    </row>
    <row r="409" ht="33.6" customHeight="1" spans="1:17">
      <c r="A409" s="63">
        <f t="shared" si="30"/>
        <v>406</v>
      </c>
      <c r="B409" s="64">
        <v>46153</v>
      </c>
      <c r="C409" s="65"/>
      <c r="D409" s="66" t="s">
        <v>18</v>
      </c>
      <c r="E409" s="66" t="s">
        <v>821</v>
      </c>
      <c r="F409" s="66" t="s">
        <v>744</v>
      </c>
      <c r="G409" s="66" t="s">
        <v>775</v>
      </c>
      <c r="H409" s="66" t="s">
        <v>820</v>
      </c>
      <c r="I409" s="66" t="s">
        <v>211</v>
      </c>
      <c r="J409" s="66" t="s">
        <v>316</v>
      </c>
      <c r="K409" s="66" t="s">
        <v>747</v>
      </c>
      <c r="L409" s="67">
        <v>1500000</v>
      </c>
      <c r="M409" s="67">
        <v>0</v>
      </c>
      <c r="N409" s="68">
        <f t="shared" si="32"/>
        <v>1500000</v>
      </c>
      <c r="O409" s="69">
        <f t="shared" si="31"/>
        <v>1500000</v>
      </c>
      <c r="P409" s="42" t="str">
        <f>IFERROR(VLOOKUP(J409,'Mã NV'!$B:$C,2,0),"")</f>
        <v>XE01600</v>
      </c>
      <c r="Q409" s="70" t="str">
        <f>IFERROR(VLOOKUP(I409,'Mã NV'!$J:$K,2,0),"")</f>
        <v>7.1t</v>
      </c>
    </row>
    <row r="410" ht="33.6" customHeight="1" spans="1:17">
      <c r="A410" s="63">
        <f t="shared" si="30"/>
        <v>407</v>
      </c>
      <c r="B410" s="64">
        <v>46154</v>
      </c>
      <c r="C410" s="65"/>
      <c r="D410" s="66" t="s">
        <v>18</v>
      </c>
      <c r="E410" s="66" t="s">
        <v>821</v>
      </c>
      <c r="F410" s="66" t="s">
        <v>744</v>
      </c>
      <c r="G410" s="66" t="s">
        <v>750</v>
      </c>
      <c r="H410" s="66" t="s">
        <v>745</v>
      </c>
      <c r="I410" s="66" t="s">
        <v>266</v>
      </c>
      <c r="J410" s="66" t="s">
        <v>264</v>
      </c>
      <c r="K410" s="66" t="s">
        <v>747</v>
      </c>
      <c r="L410" s="67">
        <v>3000000</v>
      </c>
      <c r="M410" s="67">
        <v>0</v>
      </c>
      <c r="N410" s="68">
        <f t="shared" si="32"/>
        <v>3000000</v>
      </c>
      <c r="O410" s="69">
        <f t="shared" si="31"/>
        <v>3000000</v>
      </c>
      <c r="P410" s="42" t="str">
        <f>IFERROR(VLOOKUP(J410,'Mã NV'!$B:$C,2,0),"")</f>
        <v>XE01678</v>
      </c>
      <c r="Q410" s="70" t="str">
        <f>IFERROR(VLOOKUP(I410,'Mã NV'!$J:$K,2,0),"")</f>
        <v>7.1t</v>
      </c>
    </row>
    <row r="411" ht="33.6" customHeight="1" spans="1:17">
      <c r="A411" s="63">
        <f t="shared" si="30"/>
        <v>408</v>
      </c>
      <c r="B411" s="64">
        <v>46154</v>
      </c>
      <c r="C411" s="65"/>
      <c r="D411" s="66" t="s">
        <v>18</v>
      </c>
      <c r="E411" s="66" t="s">
        <v>821</v>
      </c>
      <c r="F411" s="66" t="s">
        <v>744</v>
      </c>
      <c r="G411" s="66" t="s">
        <v>750</v>
      </c>
      <c r="H411" s="66" t="s">
        <v>745</v>
      </c>
      <c r="I411" s="66" t="s">
        <v>266</v>
      </c>
      <c r="J411" s="66" t="s">
        <v>399</v>
      </c>
      <c r="K411" s="66" t="s">
        <v>747</v>
      </c>
      <c r="L411" s="67">
        <v>3000000</v>
      </c>
      <c r="M411" s="67">
        <v>0</v>
      </c>
      <c r="N411" s="68">
        <f t="shared" si="32"/>
        <v>3000000</v>
      </c>
      <c r="O411" s="69">
        <f t="shared" si="31"/>
        <v>3000000</v>
      </c>
      <c r="P411" s="42" t="str">
        <f>IFERROR(VLOOKUP(J411,'Mã NV'!$B:$C,2,0),"")</f>
        <v>XE01679</v>
      </c>
      <c r="Q411" s="70" t="str">
        <f>IFERROR(VLOOKUP(I411,'Mã NV'!$J:$K,2,0),"")</f>
        <v>7.1t</v>
      </c>
    </row>
    <row r="412" ht="33.6" customHeight="1" spans="1:17">
      <c r="A412" s="63">
        <f t="shared" si="30"/>
        <v>409</v>
      </c>
      <c r="B412" s="64">
        <v>46154</v>
      </c>
      <c r="C412" s="65"/>
      <c r="D412" s="66" t="s">
        <v>18</v>
      </c>
      <c r="E412" s="66" t="s">
        <v>821</v>
      </c>
      <c r="F412" s="66" t="s">
        <v>744</v>
      </c>
      <c r="G412" s="66" t="s">
        <v>777</v>
      </c>
      <c r="H412" s="66" t="s">
        <v>745</v>
      </c>
      <c r="I412" s="66" t="s">
        <v>266</v>
      </c>
      <c r="J412" s="66" t="s">
        <v>264</v>
      </c>
      <c r="K412" s="66" t="s">
        <v>747</v>
      </c>
      <c r="L412" s="67">
        <v>2500000</v>
      </c>
      <c r="M412" s="67">
        <v>0</v>
      </c>
      <c r="N412" s="68">
        <f t="shared" si="32"/>
        <v>2500000</v>
      </c>
      <c r="O412" s="69">
        <f t="shared" si="31"/>
        <v>2500000</v>
      </c>
      <c r="P412" s="42" t="str">
        <f>IFERROR(VLOOKUP(J412,'Mã NV'!$B:$C,2,0),"")</f>
        <v>XE01678</v>
      </c>
      <c r="Q412" s="70" t="str">
        <f>IFERROR(VLOOKUP(I412,'Mã NV'!$J:$K,2,0),"")</f>
        <v>7.1t</v>
      </c>
    </row>
    <row r="413" ht="33.6" customHeight="1" spans="1:17">
      <c r="A413" s="63">
        <f t="shared" si="30"/>
        <v>410</v>
      </c>
      <c r="B413" s="64">
        <v>46154</v>
      </c>
      <c r="C413" s="65"/>
      <c r="D413" s="66" t="s">
        <v>18</v>
      </c>
      <c r="E413" s="66" t="s">
        <v>821</v>
      </c>
      <c r="F413" s="66" t="s">
        <v>744</v>
      </c>
      <c r="G413" s="66" t="s">
        <v>777</v>
      </c>
      <c r="H413" s="66" t="s">
        <v>745</v>
      </c>
      <c r="I413" s="66" t="s">
        <v>266</v>
      </c>
      <c r="J413" s="66" t="s">
        <v>399</v>
      </c>
      <c r="K413" s="66" t="s">
        <v>747</v>
      </c>
      <c r="L413" s="67">
        <v>2500000</v>
      </c>
      <c r="M413" s="67">
        <v>0</v>
      </c>
      <c r="N413" s="68">
        <f t="shared" si="32"/>
        <v>2500000</v>
      </c>
      <c r="O413" s="69">
        <f t="shared" si="31"/>
        <v>2500000</v>
      </c>
      <c r="P413" s="42" t="str">
        <f>IFERROR(VLOOKUP(J413,'Mã NV'!$B:$C,2,0),"")</f>
        <v>XE01679</v>
      </c>
      <c r="Q413" s="70" t="str">
        <f>IFERROR(VLOOKUP(I413,'Mã NV'!$J:$K,2,0),"")</f>
        <v>7.1t</v>
      </c>
    </row>
    <row r="414" ht="33.6" customHeight="1" spans="1:17">
      <c r="A414" s="63">
        <f t="shared" si="30"/>
        <v>411</v>
      </c>
      <c r="B414" s="64">
        <v>46154</v>
      </c>
      <c r="C414" s="65"/>
      <c r="D414" s="66" t="s">
        <v>18</v>
      </c>
      <c r="E414" s="66" t="s">
        <v>829</v>
      </c>
      <c r="F414" s="66" t="s">
        <v>744</v>
      </c>
      <c r="G414" s="66" t="s">
        <v>768</v>
      </c>
      <c r="H414" s="66" t="s">
        <v>750</v>
      </c>
      <c r="I414" s="66" t="s">
        <v>266</v>
      </c>
      <c r="J414" s="66" t="s">
        <v>264</v>
      </c>
      <c r="K414" s="66" t="s">
        <v>747</v>
      </c>
      <c r="L414" s="67">
        <v>250000</v>
      </c>
      <c r="M414" s="67">
        <v>0</v>
      </c>
      <c r="N414" s="68">
        <f t="shared" si="32"/>
        <v>250000</v>
      </c>
      <c r="O414" s="69">
        <f t="shared" si="31"/>
        <v>250000</v>
      </c>
      <c r="P414" s="42" t="str">
        <f>IFERROR(VLOOKUP(J414,'Mã NV'!$B:$C,2,0),"")</f>
        <v>XE01678</v>
      </c>
      <c r="Q414" s="70" t="str">
        <f>IFERROR(VLOOKUP(I414,'Mã NV'!$J:$K,2,0),"")</f>
        <v>7.1t</v>
      </c>
    </row>
    <row r="415" ht="33.6" customHeight="1" spans="1:17">
      <c r="A415" s="63">
        <f t="shared" si="30"/>
        <v>412</v>
      </c>
      <c r="B415" s="64">
        <v>46154</v>
      </c>
      <c r="C415" s="65"/>
      <c r="D415" s="66" t="s">
        <v>18</v>
      </c>
      <c r="E415" s="66" t="s">
        <v>829</v>
      </c>
      <c r="F415" s="66" t="s">
        <v>744</v>
      </c>
      <c r="G415" s="66" t="s">
        <v>768</v>
      </c>
      <c r="H415" s="66" t="s">
        <v>750</v>
      </c>
      <c r="I415" s="66" t="s">
        <v>266</v>
      </c>
      <c r="J415" s="66" t="s">
        <v>399</v>
      </c>
      <c r="K415" s="66" t="s">
        <v>747</v>
      </c>
      <c r="L415" s="67">
        <v>250000</v>
      </c>
      <c r="M415" s="67">
        <v>0</v>
      </c>
      <c r="N415" s="68">
        <f t="shared" si="32"/>
        <v>250000</v>
      </c>
      <c r="O415" s="69">
        <f t="shared" si="31"/>
        <v>250000</v>
      </c>
      <c r="P415" s="42" t="str">
        <f>IFERROR(VLOOKUP(J415,'Mã NV'!$B:$C,2,0),"")</f>
        <v>XE01679</v>
      </c>
      <c r="Q415" s="70" t="str">
        <f>IFERROR(VLOOKUP(I415,'Mã NV'!$J:$K,2,0),"")</f>
        <v>7.1t</v>
      </c>
    </row>
    <row r="416" ht="33.6" customHeight="1" spans="1:17">
      <c r="A416" s="63">
        <f t="shared" si="30"/>
        <v>413</v>
      </c>
      <c r="B416" s="64">
        <v>46154</v>
      </c>
      <c r="C416" s="65"/>
      <c r="D416" s="66" t="s">
        <v>18</v>
      </c>
      <c r="E416" s="66" t="s">
        <v>829</v>
      </c>
      <c r="F416" s="66" t="s">
        <v>744</v>
      </c>
      <c r="G416" s="66" t="s">
        <v>837</v>
      </c>
      <c r="H416" s="66" t="s">
        <v>745</v>
      </c>
      <c r="I416" s="66" t="s">
        <v>17</v>
      </c>
      <c r="J416" s="66" t="s">
        <v>15</v>
      </c>
      <c r="K416" s="66" t="s">
        <v>747</v>
      </c>
      <c r="L416" s="67">
        <v>12000000</v>
      </c>
      <c r="M416" s="67">
        <v>0</v>
      </c>
      <c r="N416" s="68">
        <f t="shared" si="32"/>
        <v>12000000</v>
      </c>
      <c r="O416" s="69">
        <f t="shared" si="31"/>
        <v>12000000</v>
      </c>
      <c r="P416" s="42" t="str">
        <f>IFERROR(VLOOKUP(J416,'Mã NV'!$B:$C,2,0),"")</f>
        <v>XE01331</v>
      </c>
      <c r="Q416" s="70" t="str">
        <f>IFERROR(VLOOKUP(I416,'Mã NV'!$J:$K,2,0),"")</f>
        <v>15T</v>
      </c>
    </row>
    <row r="417" ht="33.6" customHeight="1" spans="1:17">
      <c r="A417" s="63">
        <f t="shared" si="30"/>
        <v>414</v>
      </c>
      <c r="B417" s="64">
        <v>46154</v>
      </c>
      <c r="C417" s="65"/>
      <c r="D417" s="66" t="s">
        <v>18</v>
      </c>
      <c r="E417" s="66" t="s">
        <v>829</v>
      </c>
      <c r="F417" s="66" t="s">
        <v>744</v>
      </c>
      <c r="G417" s="66" t="s">
        <v>837</v>
      </c>
      <c r="H417" s="66" t="s">
        <v>745</v>
      </c>
      <c r="I417" s="66" t="s">
        <v>17</v>
      </c>
      <c r="J417" s="66" t="s">
        <v>341</v>
      </c>
      <c r="K417" s="66" t="s">
        <v>747</v>
      </c>
      <c r="L417" s="67">
        <v>12000000</v>
      </c>
      <c r="M417" s="67">
        <v>0</v>
      </c>
      <c r="N417" s="68">
        <f t="shared" si="32"/>
        <v>12000000</v>
      </c>
      <c r="O417" s="69">
        <f t="shared" si="31"/>
        <v>12000000</v>
      </c>
      <c r="P417" s="42" t="str">
        <f>IFERROR(VLOOKUP(J417,'Mã NV'!$B:$C,2,0),"")</f>
        <v>XE01645</v>
      </c>
      <c r="Q417" s="70" t="str">
        <f>IFERROR(VLOOKUP(I417,'Mã NV'!$J:$K,2,0),"")</f>
        <v>15T</v>
      </c>
    </row>
    <row r="418" ht="33.6" customHeight="1" spans="1:17">
      <c r="A418" s="63">
        <f t="shared" si="30"/>
        <v>415</v>
      </c>
      <c r="B418" s="64">
        <v>46154</v>
      </c>
      <c r="C418" s="65"/>
      <c r="D418" s="66" t="s">
        <v>18</v>
      </c>
      <c r="E418" s="66" t="s">
        <v>821</v>
      </c>
      <c r="F418" s="66" t="s">
        <v>744</v>
      </c>
      <c r="G418" s="66" t="s">
        <v>745</v>
      </c>
      <c r="H418" s="66" t="s">
        <v>750</v>
      </c>
      <c r="I418" s="66" t="s">
        <v>151</v>
      </c>
      <c r="J418" s="66" t="s">
        <v>147</v>
      </c>
      <c r="K418" s="66" t="s">
        <v>747</v>
      </c>
      <c r="L418" s="67">
        <v>1500000</v>
      </c>
      <c r="M418" s="67">
        <v>0</v>
      </c>
      <c r="N418" s="68">
        <f t="shared" si="32"/>
        <v>1500000</v>
      </c>
      <c r="O418" s="69">
        <f t="shared" si="31"/>
        <v>1500000</v>
      </c>
      <c r="P418" s="42" t="str">
        <f>IFERROR(VLOOKUP(J418,'Mã NV'!$B:$C,2,0),"")</f>
        <v>XE01304</v>
      </c>
      <c r="Q418" s="70" t="str">
        <f>IFERROR(VLOOKUP(I418,'Mã NV'!$J:$K,2,0),"")</f>
        <v>8T</v>
      </c>
    </row>
    <row r="419" ht="33.6" customHeight="1" spans="1:17">
      <c r="A419" s="63">
        <f t="shared" si="30"/>
        <v>416</v>
      </c>
      <c r="B419" s="64">
        <v>46154</v>
      </c>
      <c r="C419" s="65"/>
      <c r="D419" s="66" t="s">
        <v>18</v>
      </c>
      <c r="E419" s="66" t="s">
        <v>821</v>
      </c>
      <c r="F419" s="66" t="s">
        <v>744</v>
      </c>
      <c r="G419" s="66" t="s">
        <v>745</v>
      </c>
      <c r="H419" s="66" t="s">
        <v>750</v>
      </c>
      <c r="I419" s="66" t="s">
        <v>151</v>
      </c>
      <c r="J419" s="66" t="s">
        <v>235</v>
      </c>
      <c r="K419" s="66" t="s">
        <v>747</v>
      </c>
      <c r="L419" s="67">
        <v>1500000</v>
      </c>
      <c r="M419" s="67">
        <v>0</v>
      </c>
      <c r="N419" s="68">
        <f t="shared" si="32"/>
        <v>1500000</v>
      </c>
      <c r="O419" s="69">
        <f t="shared" si="31"/>
        <v>1500000</v>
      </c>
      <c r="P419" s="42" t="str">
        <f>IFERROR(VLOOKUP(J419,'Mã NV'!$B:$C,2,0),"")</f>
        <v>XE01305</v>
      </c>
      <c r="Q419" s="70" t="str">
        <f>IFERROR(VLOOKUP(I419,'Mã NV'!$J:$K,2,0),"")</f>
        <v>8T</v>
      </c>
    </row>
    <row r="420" ht="33.6" customHeight="1" spans="1:17">
      <c r="A420" s="63">
        <f t="shared" si="30"/>
        <v>417</v>
      </c>
      <c r="B420" s="64">
        <v>46154</v>
      </c>
      <c r="C420" s="65"/>
      <c r="D420" s="66" t="s">
        <v>18</v>
      </c>
      <c r="E420" s="66" t="s">
        <v>821</v>
      </c>
      <c r="F420" s="66" t="s">
        <v>744</v>
      </c>
      <c r="G420" s="66" t="s">
        <v>814</v>
      </c>
      <c r="H420" s="66" t="s">
        <v>746</v>
      </c>
      <c r="I420" s="66" t="s">
        <v>151</v>
      </c>
      <c r="J420" s="66" t="s">
        <v>147</v>
      </c>
      <c r="K420" s="66" t="s">
        <v>747</v>
      </c>
      <c r="L420" s="67">
        <v>720000</v>
      </c>
      <c r="M420" s="67">
        <v>0</v>
      </c>
      <c r="N420" s="68">
        <f t="shared" si="32"/>
        <v>720000</v>
      </c>
      <c r="O420" s="69">
        <f t="shared" si="31"/>
        <v>720000</v>
      </c>
      <c r="P420" s="42" t="str">
        <f>IFERROR(VLOOKUP(J420,'Mã NV'!$B:$C,2,0),"")</f>
        <v>XE01304</v>
      </c>
      <c r="Q420" s="70" t="str">
        <f>IFERROR(VLOOKUP(I420,'Mã NV'!$J:$K,2,0),"")</f>
        <v>8T</v>
      </c>
    </row>
    <row r="421" ht="33.6" customHeight="1" spans="1:17">
      <c r="A421" s="63">
        <f t="shared" si="30"/>
        <v>418</v>
      </c>
      <c r="B421" s="64">
        <v>46154</v>
      </c>
      <c r="C421" s="65"/>
      <c r="D421" s="66" t="s">
        <v>18</v>
      </c>
      <c r="E421" s="66" t="s">
        <v>821</v>
      </c>
      <c r="F421" s="66" t="s">
        <v>744</v>
      </c>
      <c r="G421" s="66" t="s">
        <v>814</v>
      </c>
      <c r="H421" s="66" t="s">
        <v>746</v>
      </c>
      <c r="I421" s="66" t="s">
        <v>151</v>
      </c>
      <c r="J421" s="66" t="s">
        <v>235</v>
      </c>
      <c r="K421" s="66" t="s">
        <v>747</v>
      </c>
      <c r="L421" s="67">
        <v>720000</v>
      </c>
      <c r="M421" s="67">
        <v>0</v>
      </c>
      <c r="N421" s="68">
        <f t="shared" si="32"/>
        <v>720000</v>
      </c>
      <c r="O421" s="69">
        <f t="shared" si="31"/>
        <v>720000</v>
      </c>
      <c r="P421" s="42" t="str">
        <f>IFERROR(VLOOKUP(J421,'Mã NV'!$B:$C,2,0),"")</f>
        <v>XE01305</v>
      </c>
      <c r="Q421" s="70" t="str">
        <f>IFERROR(VLOOKUP(I421,'Mã NV'!$J:$K,2,0),"")</f>
        <v>8T</v>
      </c>
    </row>
    <row r="422" ht="33.6" customHeight="1" spans="1:17">
      <c r="A422" s="63">
        <f t="shared" si="30"/>
        <v>419</v>
      </c>
      <c r="B422" s="64">
        <v>46156</v>
      </c>
      <c r="C422" s="65"/>
      <c r="D422" s="66" t="s">
        <v>18</v>
      </c>
      <c r="E422" s="66" t="s">
        <v>821</v>
      </c>
      <c r="F422" s="66" t="s">
        <v>748</v>
      </c>
      <c r="G422" s="66" t="s">
        <v>810</v>
      </c>
      <c r="H422" s="66" t="s">
        <v>750</v>
      </c>
      <c r="I422" s="66" t="s">
        <v>323</v>
      </c>
      <c r="J422" s="66" t="s">
        <v>321</v>
      </c>
      <c r="K422" s="66" t="s">
        <v>747</v>
      </c>
      <c r="L422" s="67">
        <v>360000</v>
      </c>
      <c r="M422" s="67"/>
      <c r="N422" s="68">
        <f t="shared" si="32"/>
        <v>360000</v>
      </c>
      <c r="O422" s="69">
        <f t="shared" si="31"/>
        <v>360000</v>
      </c>
      <c r="P422" s="42" t="str">
        <f>IFERROR(VLOOKUP(J422,'Mã NV'!$B:$C,2,0),"")</f>
        <v>XE01537</v>
      </c>
      <c r="Q422" s="70" t="str">
        <f>IFERROR(VLOOKUP(I422,'Mã NV'!$J:$K,2,0),"")</f>
        <v>2.5T</v>
      </c>
    </row>
    <row r="423" ht="33.6" customHeight="1" spans="1:17">
      <c r="A423" s="63">
        <f t="shared" si="30"/>
        <v>420</v>
      </c>
      <c r="B423" s="64">
        <v>46155</v>
      </c>
      <c r="C423" s="65"/>
      <c r="D423" s="66" t="s">
        <v>18</v>
      </c>
      <c r="E423" s="66" t="s">
        <v>821</v>
      </c>
      <c r="F423" s="66" t="s">
        <v>744</v>
      </c>
      <c r="G423" s="66" t="s">
        <v>767</v>
      </c>
      <c r="H423" s="66" t="s">
        <v>768</v>
      </c>
      <c r="I423" s="66" t="s">
        <v>37</v>
      </c>
      <c r="J423" s="66" t="s">
        <v>241</v>
      </c>
      <c r="K423" s="66" t="s">
        <v>747</v>
      </c>
      <c r="L423" s="67">
        <v>7500000</v>
      </c>
      <c r="M423" s="67">
        <v>0</v>
      </c>
      <c r="N423" s="68">
        <f t="shared" si="32"/>
        <v>7500000</v>
      </c>
      <c r="O423" s="69">
        <f t="shared" si="31"/>
        <v>7500000</v>
      </c>
      <c r="P423" s="42" t="str">
        <f>IFERROR(VLOOKUP(J423,'Mã NV'!$B:$C,2,0),"")</f>
        <v>XE01443</v>
      </c>
      <c r="Q423" s="70" t="str">
        <f>IFERROR(VLOOKUP(I423,'Mã NV'!$J:$K,2,0),"")</f>
        <v>Cont 50F</v>
      </c>
    </row>
    <row r="424" ht="33.6" customHeight="1" spans="1:17">
      <c r="A424" s="63">
        <f t="shared" si="30"/>
        <v>421</v>
      </c>
      <c r="B424" s="64">
        <v>46155</v>
      </c>
      <c r="C424" s="65"/>
      <c r="D424" s="66" t="s">
        <v>18</v>
      </c>
      <c r="E424" s="66" t="s">
        <v>821</v>
      </c>
      <c r="F424" s="66" t="s">
        <v>744</v>
      </c>
      <c r="G424" s="66" t="s">
        <v>767</v>
      </c>
      <c r="H424" s="66" t="s">
        <v>768</v>
      </c>
      <c r="I424" s="66" t="s">
        <v>37</v>
      </c>
      <c r="J424" s="66" t="s">
        <v>243</v>
      </c>
      <c r="K424" s="66" t="s">
        <v>747</v>
      </c>
      <c r="L424" s="67">
        <v>7500000</v>
      </c>
      <c r="M424" s="67">
        <v>0</v>
      </c>
      <c r="N424" s="68">
        <f t="shared" si="32"/>
        <v>7500000</v>
      </c>
      <c r="O424" s="69">
        <f t="shared" si="31"/>
        <v>7500000</v>
      </c>
      <c r="P424" s="42" t="str">
        <f>IFERROR(VLOOKUP(J424,'Mã NV'!$B:$C,2,0),"")</f>
        <v>XE01444</v>
      </c>
      <c r="Q424" s="70" t="str">
        <f>IFERROR(VLOOKUP(I424,'Mã NV'!$J:$K,2,0),"")</f>
        <v>Cont 50F</v>
      </c>
    </row>
    <row r="425" ht="33.6" customHeight="1" spans="1:17">
      <c r="A425" s="63">
        <f t="shared" si="30"/>
        <v>422</v>
      </c>
      <c r="B425" s="64">
        <v>46155</v>
      </c>
      <c r="C425" s="65"/>
      <c r="D425" s="66" t="s">
        <v>11</v>
      </c>
      <c r="E425" s="66" t="s">
        <v>11</v>
      </c>
      <c r="F425" s="66" t="s">
        <v>744</v>
      </c>
      <c r="G425" s="66" t="s">
        <v>838</v>
      </c>
      <c r="H425" s="66" t="s">
        <v>785</v>
      </c>
      <c r="I425" s="66" t="s">
        <v>8</v>
      </c>
      <c r="J425" s="66" t="s">
        <v>6</v>
      </c>
      <c r="K425" s="66" t="s">
        <v>747</v>
      </c>
      <c r="L425" s="67">
        <v>2000000</v>
      </c>
      <c r="M425" s="67">
        <v>0</v>
      </c>
      <c r="N425" s="68">
        <f t="shared" si="32"/>
        <v>2000000</v>
      </c>
      <c r="O425" s="69">
        <f t="shared" si="31"/>
        <v>2000000</v>
      </c>
      <c r="P425" s="42" t="str">
        <f>IFERROR(VLOOKUP(J425,'Mã NV'!$B:$C,2,0),"")</f>
        <v>XE01420</v>
      </c>
      <c r="Q425" s="70" t="str">
        <f>IFERROR(VLOOKUP(I425,'Mã NV'!$J:$K,2,0),"")</f>
        <v>5.5T</v>
      </c>
    </row>
    <row r="426" ht="33.6" customHeight="1" spans="1:17">
      <c r="A426" s="63">
        <f t="shared" si="30"/>
        <v>423</v>
      </c>
      <c r="B426" s="64">
        <v>46155</v>
      </c>
      <c r="C426" s="65"/>
      <c r="D426" s="66" t="s">
        <v>18</v>
      </c>
      <c r="E426" s="66" t="s">
        <v>839</v>
      </c>
      <c r="F426" s="66" t="s">
        <v>744</v>
      </c>
      <c r="G426" s="66" t="s">
        <v>745</v>
      </c>
      <c r="H426" s="66" t="s">
        <v>840</v>
      </c>
      <c r="I426" s="66" t="s">
        <v>293</v>
      </c>
      <c r="J426" s="66" t="s">
        <v>294</v>
      </c>
      <c r="K426" s="66" t="s">
        <v>747</v>
      </c>
      <c r="L426" s="67">
        <v>1000000</v>
      </c>
      <c r="M426" s="67">
        <v>0</v>
      </c>
      <c r="N426" s="68">
        <f t="shared" si="32"/>
        <v>1000000</v>
      </c>
      <c r="O426" s="69">
        <f t="shared" si="31"/>
        <v>1000000</v>
      </c>
      <c r="P426" s="42" t="str">
        <f>IFERROR(VLOOKUP(J426,'Mã NV'!$B:$C,2,0),"")</f>
        <v>XE01551</v>
      </c>
      <c r="Q426" s="70" t="str">
        <f>IFERROR(VLOOKUP(I426,'Mã NV'!$J:$K,2,0),"")</f>
        <v>8T</v>
      </c>
    </row>
    <row r="427" ht="33.6" customHeight="1" spans="1:17">
      <c r="A427" s="63">
        <f t="shared" si="30"/>
        <v>424</v>
      </c>
      <c r="B427" s="64">
        <v>46155</v>
      </c>
      <c r="C427" s="65"/>
      <c r="D427" s="66" t="s">
        <v>18</v>
      </c>
      <c r="E427" s="66" t="s">
        <v>839</v>
      </c>
      <c r="F427" s="66" t="s">
        <v>744</v>
      </c>
      <c r="G427" s="66" t="s">
        <v>745</v>
      </c>
      <c r="H427" s="66" t="s">
        <v>840</v>
      </c>
      <c r="I427" s="66" t="s">
        <v>293</v>
      </c>
      <c r="J427" s="66" t="s">
        <v>291</v>
      </c>
      <c r="K427" s="66" t="s">
        <v>747</v>
      </c>
      <c r="L427" s="67">
        <v>1000000</v>
      </c>
      <c r="M427" s="67">
        <v>0</v>
      </c>
      <c r="N427" s="68">
        <f t="shared" si="32"/>
        <v>1000000</v>
      </c>
      <c r="O427" s="69">
        <f t="shared" si="31"/>
        <v>1000000</v>
      </c>
      <c r="P427" s="42" t="str">
        <f>IFERROR(VLOOKUP(J427,'Mã NV'!$B:$C,2,0),"")</f>
        <v>XE01552</v>
      </c>
      <c r="Q427" s="70" t="str">
        <f>IFERROR(VLOOKUP(I427,'Mã NV'!$J:$K,2,0),"")</f>
        <v>8T</v>
      </c>
    </row>
    <row r="428" ht="33.6" customHeight="1" spans="1:17">
      <c r="A428" s="63">
        <f t="shared" si="30"/>
        <v>425</v>
      </c>
      <c r="B428" s="64">
        <v>46157</v>
      </c>
      <c r="C428" s="65"/>
      <c r="D428" s="66" t="s">
        <v>18</v>
      </c>
      <c r="E428" s="66" t="s">
        <v>839</v>
      </c>
      <c r="F428" s="66" t="s">
        <v>748</v>
      </c>
      <c r="G428" s="66" t="s">
        <v>810</v>
      </c>
      <c r="H428" s="66" t="s">
        <v>754</v>
      </c>
      <c r="I428" s="66" t="s">
        <v>358</v>
      </c>
      <c r="J428" s="66" t="s">
        <v>356</v>
      </c>
      <c r="K428" s="66" t="s">
        <v>747</v>
      </c>
      <c r="L428" s="67">
        <v>500000</v>
      </c>
      <c r="M428" s="67"/>
      <c r="N428" s="68">
        <f t="shared" si="32"/>
        <v>500000</v>
      </c>
      <c r="O428" s="69">
        <f t="shared" si="31"/>
        <v>500000</v>
      </c>
      <c r="P428" s="42" t="str">
        <f>IFERROR(VLOOKUP(J428,'Mã NV'!$B:$C,2,0),"")</f>
        <v>XE01616</v>
      </c>
      <c r="Q428" s="70" t="str">
        <f>IFERROR(VLOOKUP(I428,'Mã NV'!$J:$K,2,0),"")</f>
        <v>2.5T Lạnh</v>
      </c>
    </row>
    <row r="429" ht="33.6" customHeight="1" spans="1:17">
      <c r="A429" s="63">
        <f t="shared" si="30"/>
        <v>426</v>
      </c>
      <c r="B429" s="64">
        <v>46155</v>
      </c>
      <c r="C429" s="65"/>
      <c r="D429" s="66" t="s">
        <v>171</v>
      </c>
      <c r="E429" s="66" t="s">
        <v>171</v>
      </c>
      <c r="F429" s="66" t="s">
        <v>744</v>
      </c>
      <c r="G429" s="66" t="s">
        <v>841</v>
      </c>
      <c r="H429" s="66" t="s">
        <v>833</v>
      </c>
      <c r="I429" s="66" t="s">
        <v>293</v>
      </c>
      <c r="J429" s="66" t="s">
        <v>294</v>
      </c>
      <c r="K429" s="66" t="s">
        <v>747</v>
      </c>
      <c r="L429" s="67">
        <v>1200000</v>
      </c>
      <c r="M429" s="67"/>
      <c r="N429" s="68">
        <f t="shared" si="32"/>
        <v>1200000</v>
      </c>
      <c r="O429" s="69">
        <f t="shared" si="31"/>
        <v>1200000</v>
      </c>
      <c r="P429" s="42" t="str">
        <f>IFERROR(VLOOKUP(J429,'Mã NV'!$B:$C,2,0),"")</f>
        <v>XE01551</v>
      </c>
      <c r="Q429" s="70" t="str">
        <f>IFERROR(VLOOKUP(I429,'Mã NV'!$J:$K,2,0),"")</f>
        <v>8T</v>
      </c>
    </row>
    <row r="430" ht="33.6" customHeight="1" spans="1:17">
      <c r="A430" s="63">
        <f t="shared" si="30"/>
        <v>427</v>
      </c>
      <c r="B430" s="64">
        <v>46155</v>
      </c>
      <c r="C430" s="65"/>
      <c r="D430" s="66" t="s">
        <v>171</v>
      </c>
      <c r="E430" s="66" t="s">
        <v>171</v>
      </c>
      <c r="F430" s="66" t="s">
        <v>744</v>
      </c>
      <c r="G430" s="66" t="s">
        <v>841</v>
      </c>
      <c r="H430" s="66" t="s">
        <v>833</v>
      </c>
      <c r="I430" s="66" t="s">
        <v>293</v>
      </c>
      <c r="J430" s="66" t="s">
        <v>291</v>
      </c>
      <c r="K430" s="66" t="s">
        <v>747</v>
      </c>
      <c r="L430" s="67">
        <v>1200000</v>
      </c>
      <c r="M430" s="67"/>
      <c r="N430" s="68">
        <f t="shared" si="32"/>
        <v>1200000</v>
      </c>
      <c r="O430" s="69">
        <f t="shared" si="31"/>
        <v>1200000</v>
      </c>
      <c r="P430" s="42" t="str">
        <f>IFERROR(VLOOKUP(J430,'Mã NV'!$B:$C,2,0),"")</f>
        <v>XE01552</v>
      </c>
      <c r="Q430" s="70" t="str">
        <f>IFERROR(VLOOKUP(I430,'Mã NV'!$J:$K,2,0),"")</f>
        <v>8T</v>
      </c>
    </row>
    <row r="431" ht="33.6" customHeight="1" spans="1:17">
      <c r="A431" s="63">
        <f t="shared" si="30"/>
        <v>428</v>
      </c>
      <c r="B431" s="64">
        <v>46157</v>
      </c>
      <c r="C431" s="65"/>
      <c r="D431" s="66" t="s">
        <v>171</v>
      </c>
      <c r="E431" s="66" t="s">
        <v>171</v>
      </c>
      <c r="F431" s="66" t="s">
        <v>748</v>
      </c>
      <c r="G431" s="66" t="s">
        <v>810</v>
      </c>
      <c r="H431" s="66" t="s">
        <v>833</v>
      </c>
      <c r="I431" s="66" t="s">
        <v>177</v>
      </c>
      <c r="J431" s="66" t="s">
        <v>174</v>
      </c>
      <c r="K431" s="66" t="s">
        <v>747</v>
      </c>
      <c r="L431" s="67">
        <v>600000</v>
      </c>
      <c r="M431" s="67"/>
      <c r="N431" s="68">
        <f t="shared" si="32"/>
        <v>600000</v>
      </c>
      <c r="O431" s="69">
        <f t="shared" si="31"/>
        <v>600000</v>
      </c>
      <c r="P431" s="42" t="str">
        <f>IFERROR(VLOOKUP(J431,'Mã NV'!$B:$C,2,0),"")</f>
        <v>XE00975</v>
      </c>
      <c r="Q431" s="70" t="str">
        <f>IFERROR(VLOOKUP(I431,'Mã NV'!$J:$K,2,0),"")</f>
        <v>2.5T Lạnh</v>
      </c>
    </row>
    <row r="432" ht="33.6" customHeight="1" spans="1:17">
      <c r="A432" s="63">
        <f t="shared" si="30"/>
        <v>429</v>
      </c>
      <c r="B432" s="64">
        <v>46155</v>
      </c>
      <c r="C432" s="65"/>
      <c r="D432" s="66" t="s">
        <v>18</v>
      </c>
      <c r="E432" s="66" t="s">
        <v>842</v>
      </c>
      <c r="F432" s="66" t="s">
        <v>744</v>
      </c>
      <c r="G432" s="66" t="s">
        <v>843</v>
      </c>
      <c r="H432" s="66" t="s">
        <v>820</v>
      </c>
      <c r="I432" s="66" t="s">
        <v>293</v>
      </c>
      <c r="J432" s="66" t="s">
        <v>294</v>
      </c>
      <c r="K432" s="66" t="s">
        <v>747</v>
      </c>
      <c r="L432" s="67">
        <v>1200000</v>
      </c>
      <c r="M432" s="67">
        <v>0</v>
      </c>
      <c r="N432" s="68">
        <f t="shared" si="32"/>
        <v>1200000</v>
      </c>
      <c r="O432" s="69">
        <f t="shared" si="31"/>
        <v>1200000</v>
      </c>
      <c r="P432" s="42" t="str">
        <f>IFERROR(VLOOKUP(J432,'Mã NV'!$B:$C,2,0),"")</f>
        <v>XE01551</v>
      </c>
      <c r="Q432" s="70" t="str">
        <f>IFERROR(VLOOKUP(I432,'Mã NV'!$J:$K,2,0),"")</f>
        <v>8T</v>
      </c>
    </row>
    <row r="433" ht="33.6" customHeight="1" spans="1:18">
      <c r="A433" s="63">
        <f t="shared" si="30"/>
        <v>430</v>
      </c>
      <c r="B433" s="64">
        <v>46155</v>
      </c>
      <c r="C433" s="65"/>
      <c r="D433" s="66" t="s">
        <v>18</v>
      </c>
      <c r="E433" s="66" t="s">
        <v>842</v>
      </c>
      <c r="F433" s="66" t="s">
        <v>744</v>
      </c>
      <c r="G433" s="66" t="s">
        <v>843</v>
      </c>
      <c r="H433" s="66" t="s">
        <v>820</v>
      </c>
      <c r="I433" s="66" t="s">
        <v>293</v>
      </c>
      <c r="J433" s="66" t="s">
        <v>291</v>
      </c>
      <c r="K433" s="66" t="s">
        <v>747</v>
      </c>
      <c r="L433" s="67">
        <v>1200000</v>
      </c>
      <c r="M433" s="67">
        <v>0</v>
      </c>
      <c r="N433" s="68">
        <f t="shared" si="32"/>
        <v>1200000</v>
      </c>
      <c r="O433" s="69">
        <f t="shared" si="31"/>
        <v>1200000</v>
      </c>
      <c r="P433" s="42" t="str">
        <f>IFERROR(VLOOKUP(J433,'Mã NV'!$B:$C,2,0),"")</f>
        <v>XE01552</v>
      </c>
      <c r="Q433" s="70" t="str">
        <f>IFERROR(VLOOKUP(I433,'Mã NV'!$J:$K,2,0),"")</f>
        <v>8T</v>
      </c>
    </row>
    <row r="434" ht="33.6" customHeight="1" spans="1:18">
      <c r="A434" s="63">
        <f t="shared" si="30"/>
        <v>431</v>
      </c>
      <c r="B434" s="64">
        <v>46155</v>
      </c>
      <c r="C434" s="65"/>
      <c r="D434" s="66" t="s">
        <v>18</v>
      </c>
      <c r="E434" s="66" t="s">
        <v>842</v>
      </c>
      <c r="F434" s="66" t="s">
        <v>748</v>
      </c>
      <c r="G434" s="66" t="s">
        <v>810</v>
      </c>
      <c r="H434" s="66" t="s">
        <v>820</v>
      </c>
      <c r="I434" s="77" t="s">
        <v>214</v>
      </c>
      <c r="J434" s="66" t="s">
        <v>212</v>
      </c>
      <c r="K434" s="66" t="s">
        <v>747</v>
      </c>
      <c r="L434" s="67">
        <v>600000</v>
      </c>
      <c r="M434" s="67"/>
      <c r="N434" s="68">
        <f t="shared" si="32"/>
        <v>600000</v>
      </c>
      <c r="O434" s="69">
        <f t="shared" si="31"/>
        <v>600000</v>
      </c>
      <c r="P434" s="42" t="str">
        <f>IFERROR(VLOOKUP(J434,'Mã NV'!$B:$C,2,0),"")</f>
        <v>XE00977</v>
      </c>
      <c r="Q434" s="70" t="str">
        <f>IFERROR(VLOOKUP(I434,'Mã NV'!$J:$K,2,0),"")</f>
        <v>2T5 Lạnh </v>
      </c>
    </row>
    <row r="435" ht="33.6" customHeight="1" spans="1:18">
      <c r="A435" s="63">
        <f t="shared" si="30"/>
        <v>432</v>
      </c>
      <c r="B435" s="64">
        <v>46155</v>
      </c>
      <c r="C435" s="65"/>
      <c r="D435" s="66" t="s">
        <v>18</v>
      </c>
      <c r="E435" s="66" t="s">
        <v>844</v>
      </c>
      <c r="F435" s="66" t="s">
        <v>744</v>
      </c>
      <c r="G435" s="66" t="s">
        <v>745</v>
      </c>
      <c r="H435" s="66" t="s">
        <v>750</v>
      </c>
      <c r="I435" s="66" t="s">
        <v>87</v>
      </c>
      <c r="J435" s="66" t="s">
        <v>85</v>
      </c>
      <c r="K435" s="66" t="s">
        <v>747</v>
      </c>
      <c r="L435" s="67">
        <v>2750000</v>
      </c>
      <c r="M435" s="67"/>
      <c r="N435" s="68">
        <f t="shared" si="32"/>
        <v>2750000</v>
      </c>
      <c r="O435" s="69">
        <f t="shared" si="31"/>
        <v>2750000</v>
      </c>
      <c r="P435" s="42" t="str">
        <f>IFERROR(VLOOKUP(J435,'Mã NV'!$B:$C,2,0),"")</f>
        <v>XE01456</v>
      </c>
      <c r="Q435" s="70" t="str">
        <f>IFERROR(VLOOKUP(I435,'Mã NV'!$J:$K,2,0),"")</f>
        <v>8T</v>
      </c>
      <c r="R435" s="44"/>
    </row>
    <row r="436" ht="33.6" customHeight="1" spans="1:18">
      <c r="A436" s="63">
        <f t="shared" si="30"/>
        <v>433</v>
      </c>
      <c r="B436" s="64">
        <v>46155</v>
      </c>
      <c r="C436" s="65"/>
      <c r="D436" s="66" t="s">
        <v>18</v>
      </c>
      <c r="E436" s="66" t="s">
        <v>844</v>
      </c>
      <c r="F436" s="66" t="s">
        <v>744</v>
      </c>
      <c r="G436" s="66" t="s">
        <v>745</v>
      </c>
      <c r="H436" s="66" t="s">
        <v>750</v>
      </c>
      <c r="I436" s="66" t="s">
        <v>87</v>
      </c>
      <c r="J436" s="66" t="s">
        <v>305</v>
      </c>
      <c r="K436" s="66" t="s">
        <v>747</v>
      </c>
      <c r="L436" s="67">
        <v>2750000</v>
      </c>
      <c r="M436" s="67"/>
      <c r="N436" s="68">
        <f t="shared" si="32"/>
        <v>2750000</v>
      </c>
      <c r="O436" s="69">
        <f t="shared" si="31"/>
        <v>2750000</v>
      </c>
      <c r="P436" s="42" t="str">
        <f>IFERROR(VLOOKUP(J436,'Mã NV'!$B:$C,2,0),"")</f>
        <v>XE01599</v>
      </c>
      <c r="Q436" s="70" t="str">
        <f>IFERROR(VLOOKUP(I436,'Mã NV'!$J:$K,2,0),"")</f>
        <v>8T</v>
      </c>
      <c r="R436" s="44"/>
    </row>
    <row r="437" ht="33.6" customHeight="1" spans="1:18">
      <c r="A437" s="63">
        <f t="shared" si="30"/>
        <v>434</v>
      </c>
      <c r="B437" s="64">
        <v>46157</v>
      </c>
      <c r="C437" s="65"/>
      <c r="D437" s="66" t="s">
        <v>18</v>
      </c>
      <c r="E437" s="66" t="s">
        <v>18</v>
      </c>
      <c r="F437" s="66" t="s">
        <v>744</v>
      </c>
      <c r="G437" s="66" t="s">
        <v>822</v>
      </c>
      <c r="H437" s="66" t="s">
        <v>750</v>
      </c>
      <c r="I437" s="66" t="s">
        <v>42</v>
      </c>
      <c r="J437" s="66" t="s">
        <v>40</v>
      </c>
      <c r="K437" s="66" t="s">
        <v>747</v>
      </c>
      <c r="L437" s="67">
        <v>9500000</v>
      </c>
      <c r="M437" s="67">
        <v>0</v>
      </c>
      <c r="N437" s="68">
        <f t="shared" si="32"/>
        <v>9500000</v>
      </c>
      <c r="O437" s="69">
        <f t="shared" si="31"/>
        <v>9500000</v>
      </c>
      <c r="P437" s="42" t="str">
        <f>IFERROR(VLOOKUP(J437,'Mã NV'!$B:$C,2,0),"")</f>
        <v>XE01417</v>
      </c>
      <c r="Q437" s="70" t="str">
        <f>IFERROR(VLOOKUP(I437,'Mã NV'!$J:$K,2,0),"")</f>
        <v>7.1t</v>
      </c>
    </row>
    <row r="438" ht="33.6" customHeight="1" spans="1:18">
      <c r="A438" s="63">
        <f t="shared" si="30"/>
        <v>435</v>
      </c>
      <c r="B438" s="64">
        <v>46157</v>
      </c>
      <c r="C438" s="65"/>
      <c r="D438" s="66" t="s">
        <v>18</v>
      </c>
      <c r="E438" s="66" t="s">
        <v>18</v>
      </c>
      <c r="F438" s="66" t="s">
        <v>744</v>
      </c>
      <c r="G438" s="66" t="s">
        <v>822</v>
      </c>
      <c r="H438" s="66" t="s">
        <v>750</v>
      </c>
      <c r="I438" s="66" t="s">
        <v>42</v>
      </c>
      <c r="J438" s="66" t="s">
        <v>333</v>
      </c>
      <c r="K438" s="66" t="s">
        <v>747</v>
      </c>
      <c r="L438" s="67">
        <v>9500000</v>
      </c>
      <c r="M438" s="67">
        <v>0</v>
      </c>
      <c r="N438" s="68">
        <f t="shared" si="32"/>
        <v>9500000</v>
      </c>
      <c r="O438" s="69">
        <f t="shared" si="31"/>
        <v>9500000</v>
      </c>
      <c r="P438" s="42" t="str">
        <f>IFERROR(VLOOKUP(J438,'Mã NV'!$B:$C,2,0),"")</f>
        <v>XE01671</v>
      </c>
      <c r="Q438" s="70" t="str">
        <f>IFERROR(VLOOKUP(I438,'Mã NV'!$J:$K,2,0),"")</f>
        <v>7.1t</v>
      </c>
    </row>
    <row r="439" ht="33.6" customHeight="1" spans="1:18">
      <c r="A439" s="63">
        <f t="shared" si="30"/>
        <v>436</v>
      </c>
      <c r="B439" s="64">
        <v>46160</v>
      </c>
      <c r="C439" s="65"/>
      <c r="D439" s="66" t="s">
        <v>18</v>
      </c>
      <c r="E439" s="66" t="s">
        <v>829</v>
      </c>
      <c r="F439" s="66" t="s">
        <v>744</v>
      </c>
      <c r="G439" s="66" t="s">
        <v>774</v>
      </c>
      <c r="H439" s="66" t="s">
        <v>772</v>
      </c>
      <c r="I439" s="66" t="s">
        <v>286</v>
      </c>
      <c r="J439" s="66" t="s">
        <v>284</v>
      </c>
      <c r="K439" s="66" t="s">
        <v>747</v>
      </c>
      <c r="L439" s="67">
        <v>2000000</v>
      </c>
      <c r="M439" s="67">
        <v>0</v>
      </c>
      <c r="N439" s="68">
        <f t="shared" si="32"/>
        <v>2000000</v>
      </c>
      <c r="O439" s="69">
        <f t="shared" si="31"/>
        <v>2000000</v>
      </c>
      <c r="P439" s="42" t="str">
        <f>IFERROR(VLOOKUP(J439,'Mã NV'!$B:$C,2,0),"")</f>
        <v>XE01543</v>
      </c>
      <c r="Q439" s="70" t="str">
        <f>IFERROR(VLOOKUP(I439,'Mã NV'!$J:$K,2,0),"")</f>
        <v>8T</v>
      </c>
    </row>
    <row r="440" ht="33.6" customHeight="1" spans="1:18">
      <c r="A440" s="63">
        <f t="shared" si="30"/>
        <v>437</v>
      </c>
      <c r="B440" s="64">
        <v>46160</v>
      </c>
      <c r="C440" s="65"/>
      <c r="D440" s="66" t="s">
        <v>18</v>
      </c>
      <c r="E440" s="66" t="s">
        <v>829</v>
      </c>
      <c r="F440" s="66" t="s">
        <v>744</v>
      </c>
      <c r="G440" s="66" t="s">
        <v>774</v>
      </c>
      <c r="H440" s="66" t="s">
        <v>772</v>
      </c>
      <c r="I440" s="66" t="s">
        <v>286</v>
      </c>
      <c r="J440" s="66" t="s">
        <v>335</v>
      </c>
      <c r="K440" s="66" t="s">
        <v>747</v>
      </c>
      <c r="L440" s="67">
        <v>2000000</v>
      </c>
      <c r="M440" s="67">
        <v>0</v>
      </c>
      <c r="N440" s="68">
        <f t="shared" si="32"/>
        <v>2000000</v>
      </c>
      <c r="O440" s="69">
        <f t="shared" si="31"/>
        <v>2000000</v>
      </c>
      <c r="P440" s="42" t="str">
        <f>IFERROR(VLOOKUP(J440,'Mã NV'!$B:$C,2,0),"")</f>
        <v>XE01622</v>
      </c>
      <c r="Q440" s="70" t="str">
        <f>IFERROR(VLOOKUP(I440,'Mã NV'!$J:$K,2,0),"")</f>
        <v>8T</v>
      </c>
    </row>
    <row r="441" ht="33.6" customHeight="1" spans="1:18">
      <c r="A441" s="63">
        <f t="shared" si="30"/>
        <v>438</v>
      </c>
      <c r="B441" s="64">
        <v>46160</v>
      </c>
      <c r="C441" s="65"/>
      <c r="D441" s="66" t="s">
        <v>18</v>
      </c>
      <c r="E441" s="66" t="s">
        <v>829</v>
      </c>
      <c r="F441" s="66" t="s">
        <v>744</v>
      </c>
      <c r="G441" s="66" t="s">
        <v>845</v>
      </c>
      <c r="H441" s="66" t="s">
        <v>768</v>
      </c>
      <c r="I441" s="66" t="s">
        <v>286</v>
      </c>
      <c r="J441" s="66" t="s">
        <v>284</v>
      </c>
      <c r="K441" s="66" t="s">
        <v>747</v>
      </c>
      <c r="L441" s="67">
        <v>475000</v>
      </c>
      <c r="M441" s="67">
        <v>0</v>
      </c>
      <c r="N441" s="68">
        <f t="shared" si="32"/>
        <v>475000</v>
      </c>
      <c r="O441" s="69">
        <f t="shared" si="31"/>
        <v>475000</v>
      </c>
      <c r="P441" s="42" t="str">
        <f>IFERROR(VLOOKUP(J441,'Mã NV'!$B:$C,2,0),"")</f>
        <v>XE01543</v>
      </c>
      <c r="Q441" s="70" t="str">
        <f>IFERROR(VLOOKUP(I441,'Mã NV'!$J:$K,2,0),"")</f>
        <v>8T</v>
      </c>
    </row>
    <row r="442" ht="33.6" customHeight="1" spans="1:18">
      <c r="A442" s="63">
        <f t="shared" si="30"/>
        <v>439</v>
      </c>
      <c r="B442" s="64">
        <v>46160</v>
      </c>
      <c r="C442" s="65"/>
      <c r="D442" s="66" t="s">
        <v>18</v>
      </c>
      <c r="E442" s="66" t="s">
        <v>829</v>
      </c>
      <c r="F442" s="66" t="s">
        <v>744</v>
      </c>
      <c r="G442" s="66" t="s">
        <v>845</v>
      </c>
      <c r="H442" s="66" t="s">
        <v>768</v>
      </c>
      <c r="I442" s="66" t="s">
        <v>286</v>
      </c>
      <c r="J442" s="66" t="s">
        <v>335</v>
      </c>
      <c r="K442" s="66" t="s">
        <v>747</v>
      </c>
      <c r="L442" s="67">
        <v>475000</v>
      </c>
      <c r="M442" s="67">
        <v>0</v>
      </c>
      <c r="N442" s="68">
        <f t="shared" si="32"/>
        <v>475000</v>
      </c>
      <c r="O442" s="69">
        <f t="shared" si="31"/>
        <v>475000</v>
      </c>
      <c r="P442" s="42" t="str">
        <f>IFERROR(VLOOKUP(J442,'Mã NV'!$B:$C,2,0),"")</f>
        <v>XE01622</v>
      </c>
      <c r="Q442" s="70" t="str">
        <f>IFERROR(VLOOKUP(I442,'Mã NV'!$J:$K,2,0),"")</f>
        <v>8T</v>
      </c>
    </row>
    <row r="443" ht="33.6" customHeight="1" spans="1:18">
      <c r="A443" s="63">
        <f t="shared" si="30"/>
        <v>440</v>
      </c>
      <c r="B443" s="64">
        <v>46160</v>
      </c>
      <c r="C443" s="65"/>
      <c r="D443" s="66" t="s">
        <v>18</v>
      </c>
      <c r="E443" s="66" t="s">
        <v>829</v>
      </c>
      <c r="F443" s="66" t="s">
        <v>744</v>
      </c>
      <c r="G443" s="66" t="s">
        <v>750</v>
      </c>
      <c r="H443" s="66" t="s">
        <v>770</v>
      </c>
      <c r="I443" s="66" t="s">
        <v>286</v>
      </c>
      <c r="J443" s="66" t="s">
        <v>284</v>
      </c>
      <c r="K443" s="66" t="s">
        <v>747</v>
      </c>
      <c r="L443" s="67">
        <v>750000</v>
      </c>
      <c r="M443" s="67">
        <v>0</v>
      </c>
      <c r="N443" s="68">
        <f t="shared" si="32"/>
        <v>750000</v>
      </c>
      <c r="O443" s="69">
        <f t="shared" si="31"/>
        <v>750000</v>
      </c>
      <c r="P443" s="42" t="str">
        <f>IFERROR(VLOOKUP(J443,'Mã NV'!$B:$C,2,0),"")</f>
        <v>XE01543</v>
      </c>
      <c r="Q443" s="70" t="str">
        <f>IFERROR(VLOOKUP(I443,'Mã NV'!$J:$K,2,0),"")</f>
        <v>8T</v>
      </c>
    </row>
    <row r="444" ht="33.6" customHeight="1" spans="1:18">
      <c r="A444" s="63">
        <f t="shared" si="30"/>
        <v>441</v>
      </c>
      <c r="B444" s="64">
        <v>46160</v>
      </c>
      <c r="C444" s="65"/>
      <c r="D444" s="66" t="s">
        <v>18</v>
      </c>
      <c r="E444" s="66" t="s">
        <v>829</v>
      </c>
      <c r="F444" s="66" t="s">
        <v>744</v>
      </c>
      <c r="G444" s="66" t="s">
        <v>750</v>
      </c>
      <c r="H444" s="66" t="s">
        <v>770</v>
      </c>
      <c r="I444" s="66" t="s">
        <v>286</v>
      </c>
      <c r="J444" s="66" t="s">
        <v>335</v>
      </c>
      <c r="K444" s="66" t="s">
        <v>747</v>
      </c>
      <c r="L444" s="67">
        <v>750000</v>
      </c>
      <c r="M444" s="67">
        <v>0</v>
      </c>
      <c r="N444" s="68">
        <f t="shared" si="32"/>
        <v>750000</v>
      </c>
      <c r="O444" s="69">
        <f t="shared" si="31"/>
        <v>750000</v>
      </c>
      <c r="P444" s="42" t="str">
        <f>IFERROR(VLOOKUP(J444,'Mã NV'!$B:$C,2,0),"")</f>
        <v>XE01622</v>
      </c>
      <c r="Q444" s="70" t="str">
        <f>IFERROR(VLOOKUP(I444,'Mã NV'!$J:$K,2,0),"")</f>
        <v>8T</v>
      </c>
    </row>
    <row r="445" ht="33.6" customHeight="1" spans="1:18">
      <c r="A445" s="63">
        <f t="shared" si="30"/>
        <v>442</v>
      </c>
      <c r="B445" s="64">
        <v>46160</v>
      </c>
      <c r="C445" s="65"/>
      <c r="D445" s="66" t="s">
        <v>18</v>
      </c>
      <c r="E445" s="66" t="s">
        <v>829</v>
      </c>
      <c r="F445" s="66" t="s">
        <v>744</v>
      </c>
      <c r="G445" s="66" t="s">
        <v>777</v>
      </c>
      <c r="H445" s="66" t="s">
        <v>745</v>
      </c>
      <c r="I445" s="66" t="s">
        <v>286</v>
      </c>
      <c r="J445" s="66" t="s">
        <v>284</v>
      </c>
      <c r="K445" s="66" t="s">
        <v>747</v>
      </c>
      <c r="L445" s="67">
        <v>1500000</v>
      </c>
      <c r="M445" s="67">
        <v>0</v>
      </c>
      <c r="N445" s="68">
        <f t="shared" si="32"/>
        <v>1500000</v>
      </c>
      <c r="O445" s="69">
        <f t="shared" si="31"/>
        <v>1500000</v>
      </c>
      <c r="P445" s="42" t="str">
        <f>IFERROR(VLOOKUP(J445,'Mã NV'!$B:$C,2,0),"")</f>
        <v>XE01543</v>
      </c>
      <c r="Q445" s="70" t="str">
        <f>IFERROR(VLOOKUP(I445,'Mã NV'!$J:$K,2,0),"")</f>
        <v>8T</v>
      </c>
    </row>
    <row r="446" ht="33.6" customHeight="1" spans="1:18">
      <c r="A446" s="63">
        <f t="shared" si="30"/>
        <v>443</v>
      </c>
      <c r="B446" s="64">
        <v>46160</v>
      </c>
      <c r="C446" s="65"/>
      <c r="D446" s="66" t="s">
        <v>18</v>
      </c>
      <c r="E446" s="66" t="s">
        <v>829</v>
      </c>
      <c r="F446" s="66" t="s">
        <v>744</v>
      </c>
      <c r="G446" s="66" t="s">
        <v>777</v>
      </c>
      <c r="H446" s="66" t="s">
        <v>745</v>
      </c>
      <c r="I446" s="66" t="s">
        <v>286</v>
      </c>
      <c r="J446" s="66" t="s">
        <v>335</v>
      </c>
      <c r="K446" s="66" t="s">
        <v>747</v>
      </c>
      <c r="L446" s="67">
        <v>1500000</v>
      </c>
      <c r="M446" s="67">
        <v>0</v>
      </c>
      <c r="N446" s="68">
        <f t="shared" si="32"/>
        <v>1500000</v>
      </c>
      <c r="O446" s="69">
        <f t="shared" si="31"/>
        <v>1500000</v>
      </c>
      <c r="P446" s="42" t="str">
        <f>IFERROR(VLOOKUP(J446,'Mã NV'!$B:$C,2,0),"")</f>
        <v>XE01622</v>
      </c>
      <c r="Q446" s="70" t="str">
        <f>IFERROR(VLOOKUP(I446,'Mã NV'!$J:$K,2,0),"")</f>
        <v>8T</v>
      </c>
    </row>
    <row r="447" ht="33.6" customHeight="1" spans="1:18">
      <c r="A447" s="63">
        <f t="shared" si="30"/>
        <v>444</v>
      </c>
      <c r="B447" s="64">
        <v>46161</v>
      </c>
      <c r="C447" s="65"/>
      <c r="D447" s="66" t="s">
        <v>18</v>
      </c>
      <c r="E447" s="66" t="s">
        <v>18</v>
      </c>
      <c r="F447" s="66" t="s">
        <v>744</v>
      </c>
      <c r="G447" s="66" t="s">
        <v>774</v>
      </c>
      <c r="H447" s="66" t="s">
        <v>745</v>
      </c>
      <c r="I447" s="66" t="s">
        <v>200</v>
      </c>
      <c r="J447" s="66" t="s">
        <v>198</v>
      </c>
      <c r="K447" s="66" t="s">
        <v>747</v>
      </c>
      <c r="L447" s="67">
        <v>10000000</v>
      </c>
      <c r="M447" s="67">
        <v>0</v>
      </c>
      <c r="N447" s="68">
        <f t="shared" si="32"/>
        <v>10000000</v>
      </c>
      <c r="O447" s="69">
        <f t="shared" si="31"/>
        <v>10000000</v>
      </c>
      <c r="P447" s="42" t="str">
        <f>IFERROR(VLOOKUP(J447,'Mã NV'!$B:$C,2,0),"")</f>
        <v>XE00865</v>
      </c>
      <c r="Q447" s="70" t="str">
        <f>IFERROR(VLOOKUP(I447,'Mã NV'!$J:$K,2,0),"")</f>
        <v>Cont 50F</v>
      </c>
    </row>
    <row r="448" ht="33.6" customHeight="1" spans="1:18">
      <c r="A448" s="63">
        <f t="shared" si="30"/>
        <v>445</v>
      </c>
      <c r="B448" s="64">
        <v>46161</v>
      </c>
      <c r="C448" s="65"/>
      <c r="D448" s="66" t="s">
        <v>18</v>
      </c>
      <c r="E448" s="66" t="s">
        <v>18</v>
      </c>
      <c r="F448" s="66" t="s">
        <v>744</v>
      </c>
      <c r="G448" s="66" t="s">
        <v>774</v>
      </c>
      <c r="H448" s="66" t="s">
        <v>745</v>
      </c>
      <c r="I448" s="66" t="s">
        <v>200</v>
      </c>
      <c r="J448" s="66" t="s">
        <v>237</v>
      </c>
      <c r="K448" s="66" t="s">
        <v>747</v>
      </c>
      <c r="L448" s="67">
        <v>10000000</v>
      </c>
      <c r="M448" s="67">
        <v>0</v>
      </c>
      <c r="N448" s="68">
        <f t="shared" si="32"/>
        <v>10000000</v>
      </c>
      <c r="O448" s="69">
        <f t="shared" si="31"/>
        <v>10000000</v>
      </c>
      <c r="P448" s="42" t="str">
        <f>IFERROR(VLOOKUP(J448,'Mã NV'!$B:$C,2,0),"")</f>
        <v>XE00985</v>
      </c>
      <c r="Q448" s="70" t="str">
        <f>IFERROR(VLOOKUP(I448,'Mã NV'!$J:$K,2,0),"")</f>
        <v>Cont 50F</v>
      </c>
    </row>
    <row r="449" ht="33.6" customHeight="1" spans="1:17">
      <c r="A449" s="63">
        <f t="shared" si="30"/>
        <v>446</v>
      </c>
      <c r="B449" s="64">
        <v>46161</v>
      </c>
      <c r="C449" s="65"/>
      <c r="D449" s="66" t="s">
        <v>18</v>
      </c>
      <c r="E449" s="66" t="s">
        <v>821</v>
      </c>
      <c r="F449" s="66" t="s">
        <v>744</v>
      </c>
      <c r="G449" s="66" t="s">
        <v>745</v>
      </c>
      <c r="H449" s="66" t="s">
        <v>777</v>
      </c>
      <c r="I449" s="66" t="s">
        <v>176</v>
      </c>
      <c r="J449" s="66" t="s">
        <v>192</v>
      </c>
      <c r="K449" s="66" t="s">
        <v>747</v>
      </c>
      <c r="L449" s="67">
        <v>2500000</v>
      </c>
      <c r="M449" s="67">
        <v>0</v>
      </c>
      <c r="N449" s="68">
        <f t="shared" si="32"/>
        <v>2500000</v>
      </c>
      <c r="O449" s="69">
        <f t="shared" si="31"/>
        <v>2500000</v>
      </c>
      <c r="P449" s="42" t="str">
        <f>IFERROR(VLOOKUP(J449,'Mã NV'!$B:$C,2,0),"")</f>
        <v>XE01335</v>
      </c>
      <c r="Q449" s="70" t="str">
        <f>IFERROR(VLOOKUP(I449,'Mã NV'!$J:$K,2,0),"")</f>
        <v>8T</v>
      </c>
    </row>
    <row r="450" ht="33.6" customHeight="1" spans="1:17">
      <c r="A450" s="63">
        <f t="shared" si="30"/>
        <v>447</v>
      </c>
      <c r="B450" s="64">
        <v>46161</v>
      </c>
      <c r="C450" s="65"/>
      <c r="D450" s="66" t="s">
        <v>18</v>
      </c>
      <c r="E450" s="66" t="s">
        <v>821</v>
      </c>
      <c r="F450" s="66" t="s">
        <v>744</v>
      </c>
      <c r="G450" s="66" t="s">
        <v>745</v>
      </c>
      <c r="H450" s="66" t="s">
        <v>777</v>
      </c>
      <c r="I450" s="66" t="s">
        <v>176</v>
      </c>
      <c r="J450" s="66" t="s">
        <v>354</v>
      </c>
      <c r="K450" s="66" t="s">
        <v>747</v>
      </c>
      <c r="L450" s="67">
        <v>2500000</v>
      </c>
      <c r="M450" s="67">
        <v>0</v>
      </c>
      <c r="N450" s="68">
        <f t="shared" si="32"/>
        <v>2500000</v>
      </c>
      <c r="O450" s="69">
        <f t="shared" si="31"/>
        <v>2500000</v>
      </c>
      <c r="P450" s="42" t="str">
        <f>IFERROR(VLOOKUP(J450,'Mã NV'!$B:$C,2,0),"")</f>
        <v>XE01644</v>
      </c>
      <c r="Q450" s="70" t="str">
        <f>IFERROR(VLOOKUP(I450,'Mã NV'!$J:$K,2,0),"")</f>
        <v>8T</v>
      </c>
    </row>
    <row r="451" ht="33.6" customHeight="1" spans="1:17">
      <c r="A451" s="63">
        <f t="shared" si="30"/>
        <v>448</v>
      </c>
      <c r="B451" s="64">
        <v>46162</v>
      </c>
      <c r="C451" s="65"/>
      <c r="D451" s="66" t="s">
        <v>18</v>
      </c>
      <c r="E451" s="66" t="s">
        <v>829</v>
      </c>
      <c r="F451" s="66" t="s">
        <v>744</v>
      </c>
      <c r="G451" s="66" t="s">
        <v>846</v>
      </c>
      <c r="H451" s="66" t="s">
        <v>804</v>
      </c>
      <c r="I451" s="66" t="s">
        <v>270</v>
      </c>
      <c r="J451" s="66" t="s">
        <v>268</v>
      </c>
      <c r="K451" s="66" t="s">
        <v>747</v>
      </c>
      <c r="L451" s="67">
        <v>6000000</v>
      </c>
      <c r="M451" s="67">
        <v>0</v>
      </c>
      <c r="N451" s="68">
        <f t="shared" si="32"/>
        <v>6000000</v>
      </c>
      <c r="O451" s="69">
        <f t="shared" si="31"/>
        <v>6000000</v>
      </c>
      <c r="P451" s="42" t="str">
        <f>IFERROR(VLOOKUP(J451,'Mã NV'!$B:$C,2,0),"")</f>
        <v>XE01506</v>
      </c>
      <c r="Q451" s="70" t="str">
        <f>IFERROR(VLOOKUP(I451,'Mã NV'!$J:$K,2,0),"")</f>
        <v>15T</v>
      </c>
    </row>
    <row r="452" ht="33.6" customHeight="1" spans="1:17">
      <c r="A452" s="63">
        <f t="shared" si="30"/>
        <v>449</v>
      </c>
      <c r="B452" s="64">
        <v>46162</v>
      </c>
      <c r="C452" s="65"/>
      <c r="D452" s="66" t="s">
        <v>18</v>
      </c>
      <c r="E452" s="66" t="s">
        <v>829</v>
      </c>
      <c r="F452" s="66" t="s">
        <v>744</v>
      </c>
      <c r="G452" s="66" t="s">
        <v>846</v>
      </c>
      <c r="H452" s="66" t="s">
        <v>804</v>
      </c>
      <c r="I452" s="66" t="s">
        <v>270</v>
      </c>
      <c r="J452" s="66" t="s">
        <v>271</v>
      </c>
      <c r="K452" s="66" t="s">
        <v>747</v>
      </c>
      <c r="L452" s="67">
        <v>6000000</v>
      </c>
      <c r="M452" s="67">
        <v>0</v>
      </c>
      <c r="N452" s="68">
        <f t="shared" si="32"/>
        <v>6000000</v>
      </c>
      <c r="O452" s="69">
        <f t="shared" si="31"/>
        <v>6000000</v>
      </c>
      <c r="P452" s="42" t="str">
        <f>IFERROR(VLOOKUP(J452,'Mã NV'!$B:$C,2,0),"")</f>
        <v>XE01507</v>
      </c>
      <c r="Q452" s="70" t="str">
        <f>IFERROR(VLOOKUP(I452,'Mã NV'!$J:$K,2,0),"")</f>
        <v>15T</v>
      </c>
    </row>
    <row r="453" ht="33.6" customHeight="1" spans="1:17">
      <c r="A453" s="63">
        <f t="shared" si="30"/>
        <v>450</v>
      </c>
      <c r="B453" s="64">
        <v>46162</v>
      </c>
      <c r="C453" s="65"/>
      <c r="D453" s="66" t="s">
        <v>18</v>
      </c>
      <c r="E453" s="66" t="s">
        <v>829</v>
      </c>
      <c r="F453" s="66" t="s">
        <v>744</v>
      </c>
      <c r="G453" s="66" t="s">
        <v>847</v>
      </c>
      <c r="H453" s="66" t="s">
        <v>769</v>
      </c>
      <c r="I453" s="66" t="s">
        <v>270</v>
      </c>
      <c r="J453" s="66" t="s">
        <v>268</v>
      </c>
      <c r="K453" s="66" t="s">
        <v>747</v>
      </c>
      <c r="L453" s="67">
        <v>1500000</v>
      </c>
      <c r="M453" s="67">
        <v>0</v>
      </c>
      <c r="N453" s="68">
        <f t="shared" si="32"/>
        <v>1500000</v>
      </c>
      <c r="O453" s="69">
        <f t="shared" si="31"/>
        <v>1500000</v>
      </c>
      <c r="P453" s="42" t="str">
        <f>IFERROR(VLOOKUP(J453,'Mã NV'!$B:$C,2,0),"")</f>
        <v>XE01506</v>
      </c>
      <c r="Q453" s="70" t="str">
        <f>IFERROR(VLOOKUP(I453,'Mã NV'!$J:$K,2,0),"")</f>
        <v>15T</v>
      </c>
    </row>
    <row r="454" ht="33.6" customHeight="1" spans="1:17">
      <c r="A454" s="63">
        <f t="shared" si="30"/>
        <v>451</v>
      </c>
      <c r="B454" s="64">
        <v>46162</v>
      </c>
      <c r="C454" s="65"/>
      <c r="D454" s="66" t="s">
        <v>18</v>
      </c>
      <c r="E454" s="66" t="s">
        <v>829</v>
      </c>
      <c r="F454" s="66" t="s">
        <v>744</v>
      </c>
      <c r="G454" s="66" t="s">
        <v>847</v>
      </c>
      <c r="H454" s="66" t="s">
        <v>769</v>
      </c>
      <c r="I454" s="66" t="s">
        <v>270</v>
      </c>
      <c r="J454" s="66" t="s">
        <v>271</v>
      </c>
      <c r="K454" s="66" t="s">
        <v>747</v>
      </c>
      <c r="L454" s="67">
        <v>1500000</v>
      </c>
      <c r="M454" s="67">
        <v>0</v>
      </c>
      <c r="N454" s="68">
        <f t="shared" si="32"/>
        <v>1500000</v>
      </c>
      <c r="O454" s="69">
        <f t="shared" si="31"/>
        <v>1500000</v>
      </c>
      <c r="P454" s="42" t="str">
        <f>IFERROR(VLOOKUP(J454,'Mã NV'!$B:$C,2,0),"")</f>
        <v>XE01507</v>
      </c>
      <c r="Q454" s="70" t="str">
        <f>IFERROR(VLOOKUP(I454,'Mã NV'!$J:$K,2,0),"")</f>
        <v>15T</v>
      </c>
    </row>
    <row r="455" ht="33.6" customHeight="1" spans="1:17">
      <c r="A455" s="63">
        <f t="shared" si="30"/>
        <v>452</v>
      </c>
      <c r="B455" s="64">
        <v>46163</v>
      </c>
      <c r="C455" s="65"/>
      <c r="D455" s="66" t="s">
        <v>18</v>
      </c>
      <c r="E455" s="66" t="s">
        <v>818</v>
      </c>
      <c r="F455" s="66" t="s">
        <v>744</v>
      </c>
      <c r="G455" s="66" t="s">
        <v>767</v>
      </c>
      <c r="H455" s="66" t="s">
        <v>770</v>
      </c>
      <c r="I455" s="66" t="s">
        <v>119</v>
      </c>
      <c r="J455" s="66" t="s">
        <v>281</v>
      </c>
      <c r="K455" s="66" t="s">
        <v>747</v>
      </c>
      <c r="L455" s="67">
        <v>2000000</v>
      </c>
      <c r="M455" s="67">
        <v>0</v>
      </c>
      <c r="N455" s="68">
        <f t="shared" si="32"/>
        <v>2000000</v>
      </c>
      <c r="O455" s="69">
        <f t="shared" si="31"/>
        <v>2000000</v>
      </c>
      <c r="P455" s="42" t="str">
        <f>IFERROR(VLOOKUP(J455,'Mã NV'!$B:$C,2,0),"")</f>
        <v>XE01532</v>
      </c>
      <c r="Q455" s="70" t="str">
        <f>IFERROR(VLOOKUP(I455,'Mã NV'!$J:$K,2,0),"")</f>
        <v>8T</v>
      </c>
    </row>
    <row r="456" ht="33.6" customHeight="1" spans="1:17">
      <c r="A456" s="63">
        <f t="shared" si="30"/>
        <v>453</v>
      </c>
      <c r="B456" s="64">
        <v>46163</v>
      </c>
      <c r="C456" s="65"/>
      <c r="D456" s="66" t="s">
        <v>18</v>
      </c>
      <c r="E456" s="66" t="s">
        <v>818</v>
      </c>
      <c r="F456" s="66" t="s">
        <v>744</v>
      </c>
      <c r="G456" s="66" t="s">
        <v>767</v>
      </c>
      <c r="H456" s="66" t="s">
        <v>770</v>
      </c>
      <c r="I456" s="66" t="s">
        <v>119</v>
      </c>
      <c r="J456" s="66" t="s">
        <v>363</v>
      </c>
      <c r="K456" s="66" t="s">
        <v>747</v>
      </c>
      <c r="L456" s="67">
        <v>2000000</v>
      </c>
      <c r="M456" s="67">
        <v>0</v>
      </c>
      <c r="N456" s="68">
        <f t="shared" si="32"/>
        <v>2000000</v>
      </c>
      <c r="O456" s="69">
        <f t="shared" si="31"/>
        <v>2000000</v>
      </c>
      <c r="P456" s="42" t="str">
        <f>IFERROR(VLOOKUP(J456,'Mã NV'!$B:$C,2,0),"")</f>
        <v/>
      </c>
      <c r="Q456" s="70" t="str">
        <f>IFERROR(VLOOKUP(I456,'Mã NV'!$J:$K,2,0),"")</f>
        <v>8T</v>
      </c>
    </row>
    <row r="457" ht="33.6" customHeight="1" spans="1:17">
      <c r="A457" s="63">
        <f t="shared" si="30"/>
        <v>454</v>
      </c>
      <c r="B457" s="64">
        <v>46163</v>
      </c>
      <c r="C457" s="65"/>
      <c r="D457" s="66" t="s">
        <v>18</v>
      </c>
      <c r="E457" s="66" t="s">
        <v>848</v>
      </c>
      <c r="F457" s="66" t="s">
        <v>744</v>
      </c>
      <c r="G457" s="66" t="s">
        <v>777</v>
      </c>
      <c r="H457" s="66" t="s">
        <v>745</v>
      </c>
      <c r="I457" s="66" t="s">
        <v>141</v>
      </c>
      <c r="J457" s="66" t="s">
        <v>145</v>
      </c>
      <c r="K457" s="66" t="s">
        <v>747</v>
      </c>
      <c r="L457" s="67">
        <v>3500000</v>
      </c>
      <c r="M457" s="67">
        <v>0</v>
      </c>
      <c r="N457" s="68">
        <f t="shared" si="32"/>
        <v>3500000</v>
      </c>
      <c r="O457" s="69">
        <f t="shared" si="31"/>
        <v>3500000</v>
      </c>
      <c r="P457" s="42" t="str">
        <f>IFERROR(VLOOKUP(J457,'Mã NV'!$B:$C,2,0),"")</f>
        <v>XE01326</v>
      </c>
      <c r="Q457" s="70" t="str">
        <f>IFERROR(VLOOKUP(I457,'Mã NV'!$J:$K,2,0),"")</f>
        <v>7.1t</v>
      </c>
    </row>
    <row r="458" ht="33.6" customHeight="1" spans="1:17">
      <c r="A458" s="63">
        <f t="shared" si="30"/>
        <v>455</v>
      </c>
      <c r="B458" s="64">
        <v>46163</v>
      </c>
      <c r="C458" s="65"/>
      <c r="D458" s="66" t="s">
        <v>18</v>
      </c>
      <c r="E458" s="66" t="s">
        <v>848</v>
      </c>
      <c r="F458" s="66" t="s">
        <v>744</v>
      </c>
      <c r="G458" s="66" t="s">
        <v>777</v>
      </c>
      <c r="H458" s="66" t="s">
        <v>745</v>
      </c>
      <c r="I458" s="66" t="s">
        <v>141</v>
      </c>
      <c r="J458" s="66" t="s">
        <v>139</v>
      </c>
      <c r="K458" s="66" t="s">
        <v>747</v>
      </c>
      <c r="L458" s="67">
        <v>3500000</v>
      </c>
      <c r="M458" s="67">
        <v>0</v>
      </c>
      <c r="N458" s="68">
        <f t="shared" si="32"/>
        <v>3500000</v>
      </c>
      <c r="O458" s="69">
        <f t="shared" si="31"/>
        <v>3500000</v>
      </c>
      <c r="P458" s="42" t="str">
        <f>IFERROR(VLOOKUP(J458,'Mã NV'!$B:$C,2,0),"")</f>
        <v>XE01325</v>
      </c>
      <c r="Q458" s="70" t="str">
        <f>IFERROR(VLOOKUP(I458,'Mã NV'!$J:$K,2,0),"")</f>
        <v>7.1t</v>
      </c>
    </row>
    <row r="459" ht="33.6" customHeight="1" spans="1:17">
      <c r="A459" s="63">
        <f t="shared" si="30"/>
        <v>456</v>
      </c>
      <c r="B459" s="64">
        <v>46163</v>
      </c>
      <c r="C459" s="65"/>
      <c r="D459" s="66" t="s">
        <v>18</v>
      </c>
      <c r="E459" s="66" t="s">
        <v>848</v>
      </c>
      <c r="F459" s="66" t="s">
        <v>744</v>
      </c>
      <c r="G459" s="66" t="s">
        <v>750</v>
      </c>
      <c r="H459" s="66" t="s">
        <v>762</v>
      </c>
      <c r="I459" s="66" t="s">
        <v>158</v>
      </c>
      <c r="J459" s="66" t="s">
        <v>156</v>
      </c>
      <c r="K459" s="66" t="s">
        <v>747</v>
      </c>
      <c r="L459" s="67">
        <v>9500000</v>
      </c>
      <c r="M459" s="67">
        <v>0</v>
      </c>
      <c r="N459" s="68">
        <f t="shared" si="32"/>
        <v>9500000</v>
      </c>
      <c r="O459" s="69">
        <f t="shared" si="31"/>
        <v>9500000</v>
      </c>
      <c r="P459" s="42" t="str">
        <f>IFERROR(VLOOKUP(J459,'Mã NV'!$B:$C,2,0),"")</f>
        <v>XE01316</v>
      </c>
      <c r="Q459" s="70" t="str">
        <f>IFERROR(VLOOKUP(I459,'Mã NV'!$J:$K,2,0),"")</f>
        <v>8T</v>
      </c>
    </row>
    <row r="460" ht="33.6" customHeight="1" spans="1:17">
      <c r="A460" s="63">
        <f t="shared" ref="A460:A523" si="33">A459+1</f>
        <v>457</v>
      </c>
      <c r="B460" s="64">
        <v>46163</v>
      </c>
      <c r="C460" s="65"/>
      <c r="D460" s="66" t="s">
        <v>18</v>
      </c>
      <c r="E460" s="66" t="s">
        <v>848</v>
      </c>
      <c r="F460" s="66" t="s">
        <v>744</v>
      </c>
      <c r="G460" s="66" t="s">
        <v>750</v>
      </c>
      <c r="H460" s="66" t="s">
        <v>762</v>
      </c>
      <c r="I460" s="66" t="s">
        <v>158</v>
      </c>
      <c r="J460" s="66" t="s">
        <v>277</v>
      </c>
      <c r="K460" s="66" t="s">
        <v>747</v>
      </c>
      <c r="L460" s="67">
        <v>9500000</v>
      </c>
      <c r="M460" s="67">
        <v>0</v>
      </c>
      <c r="N460" s="68">
        <f t="shared" si="32"/>
        <v>9500000</v>
      </c>
      <c r="O460" s="69">
        <f t="shared" si="31"/>
        <v>9500000</v>
      </c>
      <c r="P460" s="42" t="str">
        <f>IFERROR(VLOOKUP(J460,'Mã NV'!$B:$C,2,0),"")</f>
        <v>XE01534</v>
      </c>
      <c r="Q460" s="70" t="str">
        <f>IFERROR(VLOOKUP(I460,'Mã NV'!$J:$K,2,0),"")</f>
        <v>8T</v>
      </c>
    </row>
    <row r="461" ht="33.6" customHeight="1" spans="1:17">
      <c r="A461" s="63">
        <f t="shared" si="33"/>
        <v>458</v>
      </c>
      <c r="B461" s="64">
        <v>46163</v>
      </c>
      <c r="C461" s="65"/>
      <c r="D461" s="66" t="s">
        <v>18</v>
      </c>
      <c r="E461" s="66" t="s">
        <v>849</v>
      </c>
      <c r="F461" s="66" t="s">
        <v>744</v>
      </c>
      <c r="G461" s="66" t="s">
        <v>850</v>
      </c>
      <c r="H461" s="66" t="s">
        <v>851</v>
      </c>
      <c r="I461" s="66" t="s">
        <v>381</v>
      </c>
      <c r="J461" s="66" t="s">
        <v>377</v>
      </c>
      <c r="K461" s="66" t="s">
        <v>747</v>
      </c>
      <c r="L461" s="67">
        <v>900000</v>
      </c>
      <c r="M461" s="67">
        <v>0</v>
      </c>
      <c r="N461" s="68">
        <f t="shared" si="32"/>
        <v>900000</v>
      </c>
      <c r="O461" s="69">
        <f t="shared" ref="O461:O524" si="34">N461/$P$1</f>
        <v>900000</v>
      </c>
      <c r="P461" s="42" t="str">
        <f>IFERROR(VLOOKUP(J461,'Mã NV'!$B:$C,2,0),"")</f>
        <v>XE01666</v>
      </c>
      <c r="Q461" s="70" t="str">
        <f>IFERROR(VLOOKUP(I461,'Mã NV'!$J:$K,2,0),"")</f>
        <v>2T5</v>
      </c>
    </row>
    <row r="462" ht="33.6" customHeight="1" spans="1:17">
      <c r="A462" s="63">
        <f t="shared" si="33"/>
        <v>459</v>
      </c>
      <c r="B462" s="64">
        <v>46164</v>
      </c>
      <c r="C462" s="65"/>
      <c r="D462" s="66" t="s">
        <v>18</v>
      </c>
      <c r="E462" s="66" t="s">
        <v>818</v>
      </c>
      <c r="F462" s="66" t="s">
        <v>744</v>
      </c>
      <c r="G462" s="66" t="s">
        <v>825</v>
      </c>
      <c r="H462" s="66" t="s">
        <v>770</v>
      </c>
      <c r="I462" s="66" t="s">
        <v>293</v>
      </c>
      <c r="J462" s="66" t="s">
        <v>294</v>
      </c>
      <c r="K462" s="66" t="s">
        <v>747</v>
      </c>
      <c r="L462" s="67">
        <v>1500000</v>
      </c>
      <c r="M462" s="67">
        <v>0</v>
      </c>
      <c r="N462" s="68">
        <f t="shared" ref="N462:N525" si="35">L462-M462</f>
        <v>1500000</v>
      </c>
      <c r="O462" s="69">
        <f t="shared" si="34"/>
        <v>1500000</v>
      </c>
      <c r="P462" s="42" t="str">
        <f>IFERROR(VLOOKUP(J462,'Mã NV'!$B:$C,2,0),"")</f>
        <v>XE01551</v>
      </c>
      <c r="Q462" s="70" t="str">
        <f>IFERROR(VLOOKUP(I462,'Mã NV'!$J:$K,2,0),"")</f>
        <v>8T</v>
      </c>
    </row>
    <row r="463" ht="33.6" customHeight="1" spans="1:17">
      <c r="A463" s="63">
        <f t="shared" si="33"/>
        <v>460</v>
      </c>
      <c r="B463" s="64">
        <v>46164</v>
      </c>
      <c r="C463" s="65"/>
      <c r="D463" s="66" t="s">
        <v>18</v>
      </c>
      <c r="E463" s="66" t="s">
        <v>818</v>
      </c>
      <c r="F463" s="66" t="s">
        <v>744</v>
      </c>
      <c r="G463" s="66" t="s">
        <v>825</v>
      </c>
      <c r="H463" s="66" t="s">
        <v>770</v>
      </c>
      <c r="I463" s="66" t="s">
        <v>293</v>
      </c>
      <c r="J463" s="66" t="s">
        <v>291</v>
      </c>
      <c r="K463" s="66" t="s">
        <v>747</v>
      </c>
      <c r="L463" s="67">
        <v>1500000</v>
      </c>
      <c r="M463" s="67">
        <v>0</v>
      </c>
      <c r="N463" s="68">
        <f t="shared" si="35"/>
        <v>1500000</v>
      </c>
      <c r="O463" s="69">
        <f t="shared" si="34"/>
        <v>1500000</v>
      </c>
      <c r="P463" s="42" t="str">
        <f>IFERROR(VLOOKUP(J463,'Mã NV'!$B:$C,2,0),"")</f>
        <v>XE01552</v>
      </c>
      <c r="Q463" s="70" t="str">
        <f>IFERROR(VLOOKUP(I463,'Mã NV'!$J:$K,2,0),"")</f>
        <v>8T</v>
      </c>
    </row>
    <row r="464" ht="33.6" customHeight="1" spans="1:17">
      <c r="A464" s="63">
        <f t="shared" si="33"/>
        <v>461</v>
      </c>
      <c r="B464" s="64">
        <v>46165</v>
      </c>
      <c r="C464" s="65"/>
      <c r="D464" s="66" t="s">
        <v>18</v>
      </c>
      <c r="E464" s="66" t="s">
        <v>829</v>
      </c>
      <c r="F464" s="66" t="s">
        <v>744</v>
      </c>
      <c r="G464" s="66" t="s">
        <v>762</v>
      </c>
      <c r="H464" s="66" t="s">
        <v>780</v>
      </c>
      <c r="I464" s="66" t="s">
        <v>205</v>
      </c>
      <c r="J464" s="66" t="s">
        <v>312</v>
      </c>
      <c r="K464" s="66" t="s">
        <v>747</v>
      </c>
      <c r="L464" s="67">
        <v>600000</v>
      </c>
      <c r="M464" s="67">
        <v>0</v>
      </c>
      <c r="N464" s="68">
        <f t="shared" si="35"/>
        <v>600000</v>
      </c>
      <c r="O464" s="69">
        <f t="shared" si="34"/>
        <v>600000</v>
      </c>
      <c r="P464" s="42" t="str">
        <f>IFERROR(VLOOKUP(J464,'Mã NV'!$B:$C,2,0),"")</f>
        <v>XE01582</v>
      </c>
      <c r="Q464" s="70" t="str">
        <f>IFERROR(VLOOKUP(I464,'Mã NV'!$J:$K,2,0),"")</f>
        <v>8T</v>
      </c>
    </row>
    <row r="465" ht="33.6" customHeight="1" spans="1:18">
      <c r="A465" s="63">
        <f t="shared" si="33"/>
        <v>462</v>
      </c>
      <c r="B465" s="64">
        <v>46165</v>
      </c>
      <c r="C465" s="65"/>
      <c r="D465" s="66" t="s">
        <v>18</v>
      </c>
      <c r="E465" s="66" t="s">
        <v>829</v>
      </c>
      <c r="F465" s="66" t="s">
        <v>744</v>
      </c>
      <c r="G465" s="66" t="s">
        <v>762</v>
      </c>
      <c r="H465" s="66" t="s">
        <v>780</v>
      </c>
      <c r="I465" s="66" t="s">
        <v>205</v>
      </c>
      <c r="J465" s="66" t="s">
        <v>314</v>
      </c>
      <c r="K465" s="66" t="s">
        <v>747</v>
      </c>
      <c r="L465" s="67">
        <v>600000</v>
      </c>
      <c r="M465" s="67">
        <v>0</v>
      </c>
      <c r="N465" s="68">
        <f t="shared" si="35"/>
        <v>600000</v>
      </c>
      <c r="O465" s="69">
        <f t="shared" si="34"/>
        <v>600000</v>
      </c>
      <c r="P465" s="42" t="str">
        <f>IFERROR(VLOOKUP(J465,'Mã NV'!$B:$C,2,0),"")</f>
        <v>XE01583</v>
      </c>
      <c r="Q465" s="70" t="str">
        <f>IFERROR(VLOOKUP(I465,'Mã NV'!$J:$K,2,0),"")</f>
        <v>8T</v>
      </c>
    </row>
    <row r="466" ht="33.6" customHeight="1" spans="1:18">
      <c r="A466" s="63">
        <f t="shared" si="33"/>
        <v>463</v>
      </c>
      <c r="B466" s="64">
        <v>46165</v>
      </c>
      <c r="C466" s="65"/>
      <c r="D466" s="66" t="s">
        <v>231</v>
      </c>
      <c r="E466" s="66" t="s">
        <v>852</v>
      </c>
      <c r="F466" s="66" t="s">
        <v>744</v>
      </c>
      <c r="G466" s="66" t="s">
        <v>853</v>
      </c>
      <c r="H466" s="66" t="s">
        <v>776</v>
      </c>
      <c r="I466" s="66" t="s">
        <v>230</v>
      </c>
      <c r="J466" s="66" t="s">
        <v>228</v>
      </c>
      <c r="K466" s="66" t="s">
        <v>747</v>
      </c>
      <c r="L466" s="67">
        <v>1000000</v>
      </c>
      <c r="M466" s="67">
        <v>0</v>
      </c>
      <c r="N466" s="68">
        <f t="shared" si="35"/>
        <v>1000000</v>
      </c>
      <c r="O466" s="69">
        <f t="shared" si="34"/>
        <v>1000000</v>
      </c>
      <c r="P466" s="42" t="str">
        <f>IFERROR(VLOOKUP(J466,'Mã NV'!$B:$C,2,0),"")</f>
        <v>XE01390</v>
      </c>
      <c r="Q466" s="70" t="str">
        <f>IFERROR(VLOOKUP(I466,'Mã NV'!$J:$K,2,0),"")</f>
        <v>15T</v>
      </c>
    </row>
    <row r="467" ht="33.6" customHeight="1" spans="1:18">
      <c r="A467" s="63">
        <f t="shared" si="33"/>
        <v>464</v>
      </c>
      <c r="B467" s="64">
        <v>46165</v>
      </c>
      <c r="C467" s="65"/>
      <c r="D467" s="66" t="s">
        <v>231</v>
      </c>
      <c r="E467" s="66" t="s">
        <v>852</v>
      </c>
      <c r="F467" s="66" t="s">
        <v>744</v>
      </c>
      <c r="G467" s="66" t="s">
        <v>853</v>
      </c>
      <c r="H467" s="66" t="s">
        <v>776</v>
      </c>
      <c r="I467" s="66" t="s">
        <v>230</v>
      </c>
      <c r="J467" s="66" t="s">
        <v>364</v>
      </c>
      <c r="K467" s="66" t="s">
        <v>747</v>
      </c>
      <c r="L467" s="67">
        <v>1000000</v>
      </c>
      <c r="M467" s="67">
        <v>0</v>
      </c>
      <c r="N467" s="68">
        <f t="shared" si="35"/>
        <v>1000000</v>
      </c>
      <c r="O467" s="69">
        <f t="shared" si="34"/>
        <v>1000000</v>
      </c>
      <c r="P467" s="42" t="str">
        <f>IFERROR(VLOOKUP(J467,'Mã NV'!$B:$C,2,0),"")</f>
        <v>XE01690</v>
      </c>
      <c r="Q467" s="70" t="str">
        <f>IFERROR(VLOOKUP(I467,'Mã NV'!$J:$K,2,0),"")</f>
        <v>15T</v>
      </c>
    </row>
    <row r="468" ht="33.6" customHeight="1" spans="1:18">
      <c r="A468" s="63">
        <f t="shared" si="33"/>
        <v>465</v>
      </c>
      <c r="B468" s="64">
        <v>46165</v>
      </c>
      <c r="C468" s="65"/>
      <c r="D468" s="66" t="s">
        <v>18</v>
      </c>
      <c r="E468" s="66" t="s">
        <v>818</v>
      </c>
      <c r="F468" s="66" t="s">
        <v>744</v>
      </c>
      <c r="G468" s="66" t="s">
        <v>762</v>
      </c>
      <c r="H468" s="66" t="s">
        <v>854</v>
      </c>
      <c r="I468" s="66" t="s">
        <v>141</v>
      </c>
      <c r="J468" s="66" t="s">
        <v>145</v>
      </c>
      <c r="K468" s="66" t="s">
        <v>747</v>
      </c>
      <c r="L468" s="67">
        <v>2250000</v>
      </c>
      <c r="M468" s="67">
        <v>0</v>
      </c>
      <c r="N468" s="68">
        <f t="shared" si="35"/>
        <v>2250000</v>
      </c>
      <c r="O468" s="69">
        <f t="shared" si="34"/>
        <v>2250000</v>
      </c>
      <c r="P468" s="42" t="str">
        <f>IFERROR(VLOOKUP(J468,'Mã NV'!$B:$C,2,0),"")</f>
        <v>XE01326</v>
      </c>
      <c r="Q468" s="70" t="str">
        <f>IFERROR(VLOOKUP(I468,'Mã NV'!$J:$K,2,0),"")</f>
        <v>7.1t</v>
      </c>
    </row>
    <row r="469" ht="33.6" customHeight="1" spans="1:18">
      <c r="A469" s="63">
        <f t="shared" si="33"/>
        <v>466</v>
      </c>
      <c r="B469" s="64">
        <v>46165</v>
      </c>
      <c r="C469" s="65"/>
      <c r="D469" s="66" t="s">
        <v>18</v>
      </c>
      <c r="E469" s="66" t="s">
        <v>818</v>
      </c>
      <c r="F469" s="66" t="s">
        <v>744</v>
      </c>
      <c r="G469" s="66" t="s">
        <v>762</v>
      </c>
      <c r="H469" s="66" t="s">
        <v>854</v>
      </c>
      <c r="I469" s="66" t="s">
        <v>141</v>
      </c>
      <c r="J469" s="66" t="s">
        <v>139</v>
      </c>
      <c r="K469" s="66" t="s">
        <v>747</v>
      </c>
      <c r="L469" s="67">
        <v>2250000</v>
      </c>
      <c r="M469" s="67">
        <v>0</v>
      </c>
      <c r="N469" s="68">
        <f t="shared" si="35"/>
        <v>2250000</v>
      </c>
      <c r="O469" s="69">
        <f t="shared" si="34"/>
        <v>2250000</v>
      </c>
      <c r="P469" s="42" t="str">
        <f>IFERROR(VLOOKUP(J469,'Mã NV'!$B:$C,2,0),"")</f>
        <v>XE01325</v>
      </c>
      <c r="Q469" s="70" t="str">
        <f>IFERROR(VLOOKUP(I469,'Mã NV'!$J:$K,2,0),"")</f>
        <v>7.1t</v>
      </c>
    </row>
    <row r="470" ht="33.6" customHeight="1" spans="1:18">
      <c r="A470" s="63">
        <f t="shared" si="33"/>
        <v>467</v>
      </c>
      <c r="B470" s="64">
        <v>46167</v>
      </c>
      <c r="C470" s="65"/>
      <c r="D470" s="66" t="s">
        <v>18</v>
      </c>
      <c r="E470" s="66" t="s">
        <v>829</v>
      </c>
      <c r="F470" s="66" t="s">
        <v>744</v>
      </c>
      <c r="G470" s="66" t="s">
        <v>750</v>
      </c>
      <c r="H470" s="66" t="s">
        <v>770</v>
      </c>
      <c r="I470" s="66" t="s">
        <v>91</v>
      </c>
      <c r="J470" s="66" t="s">
        <v>245</v>
      </c>
      <c r="K470" s="66" t="s">
        <v>747</v>
      </c>
      <c r="L470" s="67">
        <v>1250000</v>
      </c>
      <c r="M470" s="67">
        <v>0</v>
      </c>
      <c r="N470" s="68">
        <f t="shared" si="35"/>
        <v>1250000</v>
      </c>
      <c r="O470" s="69">
        <f t="shared" si="34"/>
        <v>1250000</v>
      </c>
      <c r="P470" s="42" t="str">
        <f>IFERROR(VLOOKUP(J470,'Mã NV'!$B:$C,2,0),"")</f>
        <v>XE01470</v>
      </c>
      <c r="Q470" s="70" t="str">
        <f>IFERROR(VLOOKUP(I470,'Mã NV'!$J:$K,2,0),"")</f>
        <v>15T</v>
      </c>
    </row>
    <row r="471" ht="33.6" customHeight="1" spans="1:18">
      <c r="A471" s="63">
        <f t="shared" si="33"/>
        <v>468</v>
      </c>
      <c r="B471" s="64">
        <v>46167</v>
      </c>
      <c r="C471" s="65"/>
      <c r="D471" s="66" t="s">
        <v>18</v>
      </c>
      <c r="E471" s="66" t="s">
        <v>829</v>
      </c>
      <c r="F471" s="66" t="s">
        <v>744</v>
      </c>
      <c r="G471" s="66" t="s">
        <v>750</v>
      </c>
      <c r="H471" s="66" t="s">
        <v>770</v>
      </c>
      <c r="I471" s="66" t="s">
        <v>91</v>
      </c>
      <c r="J471" s="66" t="s">
        <v>364</v>
      </c>
      <c r="K471" s="66" t="s">
        <v>747</v>
      </c>
      <c r="L471" s="67">
        <v>1250000</v>
      </c>
      <c r="M471" s="67">
        <v>0</v>
      </c>
      <c r="N471" s="68">
        <f t="shared" si="35"/>
        <v>1250000</v>
      </c>
      <c r="O471" s="69">
        <f t="shared" si="34"/>
        <v>1250000</v>
      </c>
      <c r="P471" s="42" t="str">
        <f>IFERROR(VLOOKUP(J471,'Mã NV'!$B:$C,2,0),"")</f>
        <v>XE01690</v>
      </c>
      <c r="Q471" s="70" t="str">
        <f>IFERROR(VLOOKUP(I471,'Mã NV'!$J:$K,2,0),"")</f>
        <v>15T</v>
      </c>
    </row>
    <row r="472" ht="33.6" customHeight="1" spans="1:18">
      <c r="A472" s="63">
        <f t="shared" si="33"/>
        <v>469</v>
      </c>
      <c r="B472" s="64">
        <v>46167</v>
      </c>
      <c r="C472" s="65"/>
      <c r="D472" s="66" t="s">
        <v>18</v>
      </c>
      <c r="E472" s="66" t="s">
        <v>818</v>
      </c>
      <c r="F472" s="66" t="s">
        <v>744</v>
      </c>
      <c r="G472" s="66" t="s">
        <v>750</v>
      </c>
      <c r="H472" s="66" t="s">
        <v>768</v>
      </c>
      <c r="I472" s="66" t="s">
        <v>91</v>
      </c>
      <c r="J472" s="66" t="s">
        <v>245</v>
      </c>
      <c r="K472" s="66" t="s">
        <v>747</v>
      </c>
      <c r="L472" s="67">
        <v>2000000</v>
      </c>
      <c r="M472" s="67">
        <v>0</v>
      </c>
      <c r="N472" s="68">
        <f t="shared" si="35"/>
        <v>2000000</v>
      </c>
      <c r="O472" s="69">
        <f t="shared" si="34"/>
        <v>2000000</v>
      </c>
      <c r="P472" s="42" t="str">
        <f>IFERROR(VLOOKUP(J472,'Mã NV'!$B:$C,2,0),"")</f>
        <v>XE01470</v>
      </c>
      <c r="Q472" s="70" t="str">
        <f>IFERROR(VLOOKUP(I472,'Mã NV'!$J:$K,2,0),"")</f>
        <v>15T</v>
      </c>
    </row>
    <row r="473" ht="33.6" customHeight="1" spans="1:18">
      <c r="A473" s="63">
        <f t="shared" si="33"/>
        <v>470</v>
      </c>
      <c r="B473" s="64">
        <v>46167</v>
      </c>
      <c r="C473" s="65"/>
      <c r="D473" s="66" t="s">
        <v>18</v>
      </c>
      <c r="E473" s="66" t="s">
        <v>818</v>
      </c>
      <c r="F473" s="66" t="s">
        <v>744</v>
      </c>
      <c r="G473" s="66" t="s">
        <v>750</v>
      </c>
      <c r="H473" s="66" t="s">
        <v>768</v>
      </c>
      <c r="I473" s="66" t="s">
        <v>91</v>
      </c>
      <c r="J473" s="66" t="s">
        <v>364</v>
      </c>
      <c r="K473" s="66" t="s">
        <v>747</v>
      </c>
      <c r="L473" s="67">
        <v>2000000</v>
      </c>
      <c r="M473" s="67">
        <v>0</v>
      </c>
      <c r="N473" s="68">
        <f t="shared" si="35"/>
        <v>2000000</v>
      </c>
      <c r="O473" s="69">
        <f t="shared" si="34"/>
        <v>2000000</v>
      </c>
      <c r="P473" s="42" t="str">
        <f>IFERROR(VLOOKUP(J473,'Mã NV'!$B:$C,2,0),"")</f>
        <v>XE01690</v>
      </c>
      <c r="Q473" s="70" t="str">
        <f>IFERROR(VLOOKUP(I473,'Mã NV'!$J:$K,2,0),"")</f>
        <v>15T</v>
      </c>
    </row>
    <row r="474" ht="33.6" customHeight="1" spans="1:18">
      <c r="A474" s="63">
        <f t="shared" si="33"/>
        <v>471</v>
      </c>
      <c r="B474" s="64">
        <v>46167</v>
      </c>
      <c r="C474" s="65"/>
      <c r="D474" s="66" t="s">
        <v>18</v>
      </c>
      <c r="E474" s="66" t="s">
        <v>818</v>
      </c>
      <c r="F474" s="66" t="s">
        <v>744</v>
      </c>
      <c r="G474" s="66" t="s">
        <v>767</v>
      </c>
      <c r="H474" s="66" t="s">
        <v>768</v>
      </c>
      <c r="I474" s="66" t="s">
        <v>91</v>
      </c>
      <c r="J474" s="66" t="s">
        <v>245</v>
      </c>
      <c r="K474" s="66" t="s">
        <v>747</v>
      </c>
      <c r="L474" s="67">
        <v>1500000</v>
      </c>
      <c r="M474" s="67">
        <v>0</v>
      </c>
      <c r="N474" s="68">
        <f t="shared" si="35"/>
        <v>1500000</v>
      </c>
      <c r="O474" s="69">
        <f t="shared" si="34"/>
        <v>1500000</v>
      </c>
      <c r="P474" s="42" t="str">
        <f>IFERROR(VLOOKUP(J474,'Mã NV'!$B:$C,2,0),"")</f>
        <v>XE01470</v>
      </c>
      <c r="Q474" s="70" t="str">
        <f>IFERROR(VLOOKUP(I474,'Mã NV'!$J:$K,2,0),"")</f>
        <v>15T</v>
      </c>
    </row>
    <row r="475" ht="33.6" customHeight="1" spans="1:18">
      <c r="A475" s="63">
        <f t="shared" si="33"/>
        <v>472</v>
      </c>
      <c r="B475" s="64">
        <v>46167</v>
      </c>
      <c r="C475" s="65"/>
      <c r="D475" s="66" t="s">
        <v>18</v>
      </c>
      <c r="E475" s="66" t="s">
        <v>818</v>
      </c>
      <c r="F475" s="66" t="s">
        <v>744</v>
      </c>
      <c r="G475" s="66" t="s">
        <v>767</v>
      </c>
      <c r="H475" s="66" t="s">
        <v>768</v>
      </c>
      <c r="I475" s="66" t="s">
        <v>91</v>
      </c>
      <c r="J475" s="66" t="s">
        <v>364</v>
      </c>
      <c r="K475" s="66" t="s">
        <v>747</v>
      </c>
      <c r="L475" s="67">
        <v>1500000</v>
      </c>
      <c r="M475" s="67">
        <v>0</v>
      </c>
      <c r="N475" s="68">
        <f t="shared" si="35"/>
        <v>1500000</v>
      </c>
      <c r="O475" s="69">
        <f t="shared" si="34"/>
        <v>1500000</v>
      </c>
      <c r="P475" s="42" t="str">
        <f>IFERROR(VLOOKUP(J475,'Mã NV'!$B:$C,2,0),"")</f>
        <v>XE01690</v>
      </c>
      <c r="Q475" s="70" t="str">
        <f>IFERROR(VLOOKUP(I475,'Mã NV'!$J:$K,2,0),"")</f>
        <v>15T</v>
      </c>
    </row>
    <row r="476" ht="33.6" customHeight="1" spans="1:18">
      <c r="A476" s="63">
        <f t="shared" si="33"/>
        <v>473</v>
      </c>
      <c r="B476" s="64">
        <v>46167</v>
      </c>
      <c r="C476" s="65"/>
      <c r="D476" s="66" t="s">
        <v>18</v>
      </c>
      <c r="E476" s="66" t="s">
        <v>829</v>
      </c>
      <c r="F476" s="66" t="s">
        <v>744</v>
      </c>
      <c r="G476" s="66" t="s">
        <v>855</v>
      </c>
      <c r="H476" s="66" t="s">
        <v>746</v>
      </c>
      <c r="I476" s="66" t="s">
        <v>42</v>
      </c>
      <c r="J476" s="66" t="s">
        <v>40</v>
      </c>
      <c r="K476" s="66" t="s">
        <v>747</v>
      </c>
      <c r="L476" s="67">
        <v>9500000</v>
      </c>
      <c r="M476" s="67">
        <v>0</v>
      </c>
      <c r="N476" s="68">
        <f t="shared" si="35"/>
        <v>9500000</v>
      </c>
      <c r="O476" s="69">
        <f t="shared" si="34"/>
        <v>9500000</v>
      </c>
      <c r="P476" s="42" t="str">
        <f>IFERROR(VLOOKUP(J476,'Mã NV'!$B:$C,2,0),"")</f>
        <v>XE01417</v>
      </c>
      <c r="Q476" s="70" t="str">
        <f>IFERROR(VLOOKUP(I476,'Mã NV'!$J:$K,2,0),"")</f>
        <v>7.1t</v>
      </c>
    </row>
    <row r="477" ht="33.6" customHeight="1" spans="1:18">
      <c r="A477" s="63">
        <f t="shared" si="33"/>
        <v>474</v>
      </c>
      <c r="B477" s="64">
        <v>46167</v>
      </c>
      <c r="C477" s="65"/>
      <c r="D477" s="66" t="s">
        <v>18</v>
      </c>
      <c r="E477" s="66" t="s">
        <v>829</v>
      </c>
      <c r="F477" s="66" t="s">
        <v>744</v>
      </c>
      <c r="G477" s="66" t="s">
        <v>855</v>
      </c>
      <c r="H477" s="66" t="s">
        <v>746</v>
      </c>
      <c r="I477" s="66" t="s">
        <v>42</v>
      </c>
      <c r="J477" s="66" t="s">
        <v>333</v>
      </c>
      <c r="K477" s="66" t="s">
        <v>747</v>
      </c>
      <c r="L477" s="67">
        <v>9500000</v>
      </c>
      <c r="M477" s="67">
        <v>0</v>
      </c>
      <c r="N477" s="68">
        <f t="shared" si="35"/>
        <v>9500000</v>
      </c>
      <c r="O477" s="69">
        <f t="shared" si="34"/>
        <v>9500000</v>
      </c>
      <c r="P477" s="42" t="str">
        <f>IFERROR(VLOOKUP(J477,'Mã NV'!$B:$C,2,0),"")</f>
        <v>XE01671</v>
      </c>
      <c r="Q477" s="70" t="str">
        <f>IFERROR(VLOOKUP(I477,'Mã NV'!$J:$K,2,0),"")</f>
        <v>7.1t</v>
      </c>
    </row>
    <row r="478" ht="33.6" customHeight="1" spans="1:18">
      <c r="A478" s="63">
        <f t="shared" si="33"/>
        <v>475</v>
      </c>
      <c r="B478" s="64">
        <v>46167</v>
      </c>
      <c r="C478" s="65"/>
      <c r="D478" s="66" t="s">
        <v>18</v>
      </c>
      <c r="E478" s="66" t="s">
        <v>844</v>
      </c>
      <c r="F478" s="66" t="s">
        <v>744</v>
      </c>
      <c r="G478" s="66" t="s">
        <v>761</v>
      </c>
      <c r="H478" s="66" t="s">
        <v>768</v>
      </c>
      <c r="I478" s="66" t="s">
        <v>91</v>
      </c>
      <c r="J478" s="66" t="s">
        <v>245</v>
      </c>
      <c r="K478" s="66" t="s">
        <v>747</v>
      </c>
      <c r="L478" s="67">
        <v>3500000</v>
      </c>
      <c r="M478" s="67"/>
      <c r="N478" s="68">
        <f t="shared" si="35"/>
        <v>3500000</v>
      </c>
      <c r="O478" s="69">
        <f t="shared" si="34"/>
        <v>3500000</v>
      </c>
      <c r="P478" s="42" t="str">
        <f>IFERROR(VLOOKUP(J478,'Mã NV'!$B:$C,2,0),"")</f>
        <v>XE01470</v>
      </c>
      <c r="Q478" s="70" t="str">
        <f>IFERROR(VLOOKUP(I478,'Mã NV'!$J:$K,2,0),"")</f>
        <v>15T</v>
      </c>
      <c r="R478" s="44"/>
    </row>
    <row r="479" ht="33.6" customHeight="1" spans="1:18">
      <c r="A479" s="63">
        <f t="shared" si="33"/>
        <v>476</v>
      </c>
      <c r="B479" s="64">
        <v>46167</v>
      </c>
      <c r="C479" s="65"/>
      <c r="D479" s="66" t="s">
        <v>18</v>
      </c>
      <c r="E479" s="66" t="s">
        <v>844</v>
      </c>
      <c r="F479" s="66" t="s">
        <v>744</v>
      </c>
      <c r="G479" s="66" t="s">
        <v>761</v>
      </c>
      <c r="H479" s="66" t="s">
        <v>768</v>
      </c>
      <c r="I479" s="66" t="s">
        <v>91</v>
      </c>
      <c r="J479" s="66" t="s">
        <v>364</v>
      </c>
      <c r="K479" s="66" t="s">
        <v>747</v>
      </c>
      <c r="L479" s="67">
        <v>3500000</v>
      </c>
      <c r="M479" s="67"/>
      <c r="N479" s="68">
        <f t="shared" si="35"/>
        <v>3500000</v>
      </c>
      <c r="O479" s="69">
        <f t="shared" si="34"/>
        <v>3500000</v>
      </c>
      <c r="P479" s="42" t="str">
        <f>IFERROR(VLOOKUP(J479,'Mã NV'!$B:$C,2,0),"")</f>
        <v>XE01690</v>
      </c>
      <c r="Q479" s="70" t="str">
        <f>IFERROR(VLOOKUP(I479,'Mã NV'!$J:$K,2,0),"")</f>
        <v>15T</v>
      </c>
      <c r="R479" s="44"/>
    </row>
    <row r="480" ht="33.6" customHeight="1" spans="1:18">
      <c r="A480" s="63">
        <f t="shared" si="33"/>
        <v>477</v>
      </c>
      <c r="B480" s="64">
        <v>46168</v>
      </c>
      <c r="C480" s="65"/>
      <c r="D480" s="66" t="s">
        <v>18</v>
      </c>
      <c r="E480" s="66" t="s">
        <v>829</v>
      </c>
      <c r="F480" s="66" t="s">
        <v>744</v>
      </c>
      <c r="G480" s="66" t="s">
        <v>750</v>
      </c>
      <c r="H480" s="66" t="s">
        <v>745</v>
      </c>
      <c r="I480" s="66" t="s">
        <v>208</v>
      </c>
      <c r="J480" s="66" t="s">
        <v>219</v>
      </c>
      <c r="K480" s="66" t="s">
        <v>747</v>
      </c>
      <c r="L480" s="67">
        <v>10250000</v>
      </c>
      <c r="M480" s="67">
        <v>0</v>
      </c>
      <c r="N480" s="68">
        <f t="shared" si="35"/>
        <v>10250000</v>
      </c>
      <c r="O480" s="69">
        <f t="shared" si="34"/>
        <v>10250000</v>
      </c>
      <c r="P480" s="42" t="str">
        <f>IFERROR(VLOOKUP(J480,'Mã NV'!$B:$C,2,0),"")</f>
        <v>XE00499</v>
      </c>
      <c r="Q480" s="70" t="str">
        <f>IFERROR(VLOOKUP(I480,'Mã NV'!$J:$K,2,0),"")</f>
        <v>15T</v>
      </c>
    </row>
    <row r="481" ht="33.6" customHeight="1" spans="1:18">
      <c r="A481" s="63">
        <f t="shared" si="33"/>
        <v>478</v>
      </c>
      <c r="B481" s="64">
        <v>46168</v>
      </c>
      <c r="C481" s="65"/>
      <c r="D481" s="66" t="s">
        <v>18</v>
      </c>
      <c r="E481" s="66" t="s">
        <v>829</v>
      </c>
      <c r="F481" s="66" t="s">
        <v>744</v>
      </c>
      <c r="G481" s="66" t="s">
        <v>750</v>
      </c>
      <c r="H481" s="66" t="s">
        <v>745</v>
      </c>
      <c r="I481" s="66" t="s">
        <v>208</v>
      </c>
      <c r="J481" s="66" t="s">
        <v>373</v>
      </c>
      <c r="K481" s="66" t="s">
        <v>747</v>
      </c>
      <c r="L481" s="67">
        <v>10250000</v>
      </c>
      <c r="M481" s="67">
        <v>0</v>
      </c>
      <c r="N481" s="68">
        <f t="shared" si="35"/>
        <v>10250000</v>
      </c>
      <c r="O481" s="69">
        <f t="shared" si="34"/>
        <v>10250000</v>
      </c>
      <c r="P481" s="42" t="str">
        <f>IFERROR(VLOOKUP(J481,'Mã NV'!$B:$C,2,0),"")</f>
        <v>XE01694</v>
      </c>
      <c r="Q481" s="70" t="str">
        <f>IFERROR(VLOOKUP(I481,'Mã NV'!$J:$K,2,0),"")</f>
        <v>15T</v>
      </c>
    </row>
    <row r="482" ht="33.6" customHeight="1" spans="1:18">
      <c r="A482" s="63">
        <f t="shared" si="33"/>
        <v>479</v>
      </c>
      <c r="B482" s="64">
        <v>46168</v>
      </c>
      <c r="C482" s="65"/>
      <c r="D482" s="66" t="s">
        <v>18</v>
      </c>
      <c r="E482" s="66" t="s">
        <v>18</v>
      </c>
      <c r="F482" s="66" t="s">
        <v>744</v>
      </c>
      <c r="G482" s="66" t="s">
        <v>745</v>
      </c>
      <c r="H482" s="66" t="s">
        <v>777</v>
      </c>
      <c r="I482" s="66" t="s">
        <v>300</v>
      </c>
      <c r="J482" s="66" t="s">
        <v>298</v>
      </c>
      <c r="K482" s="66" t="s">
        <v>747</v>
      </c>
      <c r="L482" s="67">
        <v>350000</v>
      </c>
      <c r="M482" s="67">
        <v>0</v>
      </c>
      <c r="N482" s="68">
        <f t="shared" si="35"/>
        <v>350000</v>
      </c>
      <c r="O482" s="69">
        <f t="shared" si="34"/>
        <v>350000</v>
      </c>
      <c r="P482" s="42" t="str">
        <f>IFERROR(VLOOKUP(J482,'Mã NV'!$B:$C,2,0),"")</f>
        <v>XE01590</v>
      </c>
      <c r="Q482" s="70" t="str">
        <f>IFERROR(VLOOKUP(I482,'Mã NV'!$J:$K,2,0),"")</f>
        <v>8T</v>
      </c>
    </row>
    <row r="483" ht="33.6" customHeight="1" spans="1:18">
      <c r="A483" s="63">
        <f t="shared" si="33"/>
        <v>480</v>
      </c>
      <c r="B483" s="64">
        <v>46168</v>
      </c>
      <c r="C483" s="65"/>
      <c r="D483" s="66" t="s">
        <v>18</v>
      </c>
      <c r="E483" s="66" t="s">
        <v>18</v>
      </c>
      <c r="F483" s="66" t="s">
        <v>744</v>
      </c>
      <c r="G483" s="66" t="s">
        <v>745</v>
      </c>
      <c r="H483" s="66" t="s">
        <v>777</v>
      </c>
      <c r="I483" s="66" t="s">
        <v>300</v>
      </c>
      <c r="J483" s="66" t="s">
        <v>301</v>
      </c>
      <c r="K483" s="66" t="s">
        <v>747</v>
      </c>
      <c r="L483" s="67">
        <v>350000</v>
      </c>
      <c r="M483" s="67">
        <v>0</v>
      </c>
      <c r="N483" s="68">
        <f t="shared" si="35"/>
        <v>350000</v>
      </c>
      <c r="O483" s="69">
        <f t="shared" si="34"/>
        <v>350000</v>
      </c>
      <c r="P483" s="42" t="str">
        <f>IFERROR(VLOOKUP(J483,'Mã NV'!$B:$C,2,0),"")</f>
        <v>XE01591</v>
      </c>
      <c r="Q483" s="70" t="str">
        <f>IFERROR(VLOOKUP(I483,'Mã NV'!$J:$K,2,0),"")</f>
        <v>8T</v>
      </c>
    </row>
    <row r="484" ht="33.6" customHeight="1" spans="1:18">
      <c r="A484" s="63">
        <f t="shared" si="33"/>
        <v>481</v>
      </c>
      <c r="B484" s="64">
        <v>46169</v>
      </c>
      <c r="C484" s="65"/>
      <c r="D484" s="66" t="s">
        <v>267</v>
      </c>
      <c r="E484" s="66" t="s">
        <v>267</v>
      </c>
      <c r="F484" s="66" t="s">
        <v>744</v>
      </c>
      <c r="G484" s="66" t="s">
        <v>769</v>
      </c>
      <c r="H484" s="66" t="s">
        <v>792</v>
      </c>
      <c r="I484" s="66" t="s">
        <v>266</v>
      </c>
      <c r="J484" s="66" t="s">
        <v>264</v>
      </c>
      <c r="K484" s="66" t="s">
        <v>747</v>
      </c>
      <c r="L484" s="67">
        <v>2000000</v>
      </c>
      <c r="M484" s="67">
        <v>0</v>
      </c>
      <c r="N484" s="68">
        <f t="shared" si="35"/>
        <v>2000000</v>
      </c>
      <c r="O484" s="69">
        <f t="shared" si="34"/>
        <v>2000000</v>
      </c>
      <c r="P484" s="42" t="str">
        <f>IFERROR(VLOOKUP(J484,'Mã NV'!$B:$C,2,0),"")</f>
        <v>XE01678</v>
      </c>
      <c r="Q484" s="70" t="str">
        <f>IFERROR(VLOOKUP(I484,'Mã NV'!$J:$K,2,0),"")</f>
        <v>7.1t</v>
      </c>
    </row>
    <row r="485" ht="33.6" customHeight="1" spans="1:18">
      <c r="A485" s="63">
        <f t="shared" si="33"/>
        <v>482</v>
      </c>
      <c r="B485" s="64">
        <v>46169</v>
      </c>
      <c r="C485" s="65"/>
      <c r="D485" s="66" t="s">
        <v>267</v>
      </c>
      <c r="E485" s="66" t="s">
        <v>267</v>
      </c>
      <c r="F485" s="66" t="s">
        <v>744</v>
      </c>
      <c r="G485" s="66" t="s">
        <v>769</v>
      </c>
      <c r="H485" s="66" t="s">
        <v>792</v>
      </c>
      <c r="I485" s="66" t="s">
        <v>266</v>
      </c>
      <c r="J485" s="66" t="s">
        <v>399</v>
      </c>
      <c r="K485" s="66" t="s">
        <v>747</v>
      </c>
      <c r="L485" s="67">
        <v>2000000</v>
      </c>
      <c r="M485" s="67">
        <v>0</v>
      </c>
      <c r="N485" s="68">
        <f t="shared" si="35"/>
        <v>2000000</v>
      </c>
      <c r="O485" s="69">
        <f t="shared" si="34"/>
        <v>2000000</v>
      </c>
      <c r="P485" s="42" t="str">
        <f>IFERROR(VLOOKUP(J485,'Mã NV'!$B:$C,2,0),"")</f>
        <v>XE01679</v>
      </c>
      <c r="Q485" s="70" t="str">
        <f>IFERROR(VLOOKUP(I485,'Mã NV'!$J:$K,2,0),"")</f>
        <v>7.1t</v>
      </c>
    </row>
    <row r="486" ht="33.6" customHeight="1" spans="1:18">
      <c r="A486" s="63">
        <f t="shared" si="33"/>
        <v>483</v>
      </c>
      <c r="B486" s="64">
        <v>46169</v>
      </c>
      <c r="C486" s="65"/>
      <c r="D486" s="66" t="s">
        <v>18</v>
      </c>
      <c r="E486" s="66" t="s">
        <v>844</v>
      </c>
      <c r="F486" s="66" t="s">
        <v>744</v>
      </c>
      <c r="G486" s="66" t="s">
        <v>745</v>
      </c>
      <c r="H486" s="66" t="s">
        <v>802</v>
      </c>
      <c r="I486" s="66" t="s">
        <v>275</v>
      </c>
      <c r="J486" s="66" t="s">
        <v>273</v>
      </c>
      <c r="K486" s="66" t="s">
        <v>747</v>
      </c>
      <c r="L486" s="67">
        <v>1500000</v>
      </c>
      <c r="M486" s="67"/>
      <c r="N486" s="68">
        <f t="shared" si="35"/>
        <v>1500000</v>
      </c>
      <c r="O486" s="69">
        <f t="shared" si="34"/>
        <v>1500000</v>
      </c>
      <c r="P486" s="42" t="str">
        <f>IFERROR(VLOOKUP(J486,'Mã NV'!$B:$C,2,0),"")</f>
        <v>XE01527</v>
      </c>
      <c r="Q486" s="70" t="str">
        <f>IFERROR(VLOOKUP(I486,'Mã NV'!$J:$K,2,0),"")</f>
        <v>8T</v>
      </c>
      <c r="R486" s="44"/>
    </row>
    <row r="487" ht="33.6" customHeight="1" spans="1:18">
      <c r="A487" s="63">
        <f t="shared" si="33"/>
        <v>484</v>
      </c>
      <c r="B487" s="64">
        <v>46169</v>
      </c>
      <c r="C487" s="65"/>
      <c r="D487" s="66" t="s">
        <v>18</v>
      </c>
      <c r="E487" s="66" t="s">
        <v>844</v>
      </c>
      <c r="F487" s="66" t="s">
        <v>744</v>
      </c>
      <c r="G487" s="66" t="s">
        <v>745</v>
      </c>
      <c r="H487" s="66" t="s">
        <v>802</v>
      </c>
      <c r="I487" s="66" t="s">
        <v>275</v>
      </c>
      <c r="J487" s="66" t="s">
        <v>303</v>
      </c>
      <c r="K487" s="66" t="s">
        <v>747</v>
      </c>
      <c r="L487" s="67">
        <v>1500000</v>
      </c>
      <c r="M487" s="67"/>
      <c r="N487" s="68">
        <f t="shared" si="35"/>
        <v>1500000</v>
      </c>
      <c r="O487" s="69">
        <f t="shared" si="34"/>
        <v>1500000</v>
      </c>
      <c r="P487" s="42" t="str">
        <f>IFERROR(VLOOKUP(J487,'Mã NV'!$B:$C,2,0),"")</f>
        <v>XE01574</v>
      </c>
      <c r="Q487" s="70" t="str">
        <f>IFERROR(VLOOKUP(I487,'Mã NV'!$J:$K,2,0),"")</f>
        <v>8T</v>
      </c>
      <c r="R487" s="44"/>
    </row>
    <row r="488" ht="33.6" customHeight="1" spans="1:18">
      <c r="A488" s="63">
        <f t="shared" si="33"/>
        <v>485</v>
      </c>
      <c r="B488" s="64">
        <v>46170</v>
      </c>
      <c r="C488" s="65"/>
      <c r="D488" s="66" t="s">
        <v>18</v>
      </c>
      <c r="E488" s="66" t="s">
        <v>829</v>
      </c>
      <c r="F488" s="66" t="s">
        <v>744</v>
      </c>
      <c r="G488" s="66" t="s">
        <v>820</v>
      </c>
      <c r="H488" s="66" t="s">
        <v>770</v>
      </c>
      <c r="I488" s="66" t="s">
        <v>17</v>
      </c>
      <c r="J488" s="66" t="s">
        <v>15</v>
      </c>
      <c r="K488" s="66" t="s">
        <v>747</v>
      </c>
      <c r="L488" s="67">
        <v>2500000</v>
      </c>
      <c r="M488" s="67">
        <v>102500</v>
      </c>
      <c r="N488" s="68">
        <f t="shared" si="35"/>
        <v>2397500</v>
      </c>
      <c r="O488" s="69">
        <f t="shared" si="34"/>
        <v>2397500</v>
      </c>
      <c r="P488" s="42" t="str">
        <f>IFERROR(VLOOKUP(J488,'Mã NV'!$B:$C,2,0),"")</f>
        <v>XE01331</v>
      </c>
      <c r="Q488" s="70" t="str">
        <f>IFERROR(VLOOKUP(I488,'Mã NV'!$J:$K,2,0),"")</f>
        <v>15T</v>
      </c>
    </row>
    <row r="489" ht="33.6" customHeight="1" spans="1:18">
      <c r="A489" s="63">
        <f t="shared" si="33"/>
        <v>486</v>
      </c>
      <c r="B489" s="64">
        <v>46170</v>
      </c>
      <c r="C489" s="65"/>
      <c r="D489" s="66" t="s">
        <v>18</v>
      </c>
      <c r="E489" s="66" t="s">
        <v>829</v>
      </c>
      <c r="F489" s="66" t="s">
        <v>744</v>
      </c>
      <c r="G489" s="66" t="s">
        <v>820</v>
      </c>
      <c r="H489" s="66" t="s">
        <v>770</v>
      </c>
      <c r="I489" s="66" t="s">
        <v>17</v>
      </c>
      <c r="J489" s="66" t="s">
        <v>341</v>
      </c>
      <c r="K489" s="66" t="s">
        <v>747</v>
      </c>
      <c r="L489" s="67">
        <v>2500000</v>
      </c>
      <c r="M489" s="67">
        <v>102500</v>
      </c>
      <c r="N489" s="68">
        <f t="shared" si="35"/>
        <v>2397500</v>
      </c>
      <c r="O489" s="69">
        <f t="shared" si="34"/>
        <v>2397500</v>
      </c>
      <c r="P489" s="42" t="str">
        <f>IFERROR(VLOOKUP(J489,'Mã NV'!$B:$C,2,0),"")</f>
        <v>XE01645</v>
      </c>
      <c r="Q489" s="70" t="str">
        <f>IFERROR(VLOOKUP(I489,'Mã NV'!$J:$K,2,0),"")</f>
        <v>15T</v>
      </c>
    </row>
    <row r="490" ht="33.6" customHeight="1" spans="1:18">
      <c r="A490" s="63">
        <f t="shared" si="33"/>
        <v>487</v>
      </c>
      <c r="B490" s="64">
        <v>46170</v>
      </c>
      <c r="C490" s="65"/>
      <c r="D490" s="66" t="s">
        <v>18</v>
      </c>
      <c r="E490" s="66" t="s">
        <v>818</v>
      </c>
      <c r="F490" s="66" t="s">
        <v>744</v>
      </c>
      <c r="G490" s="66" t="s">
        <v>854</v>
      </c>
      <c r="H490" s="66" t="s">
        <v>770</v>
      </c>
      <c r="I490" s="66" t="s">
        <v>17</v>
      </c>
      <c r="J490" s="66" t="s">
        <v>15</v>
      </c>
      <c r="K490" s="66" t="s">
        <v>747</v>
      </c>
      <c r="L490" s="67">
        <v>750000</v>
      </c>
      <c r="M490" s="67">
        <v>0</v>
      </c>
      <c r="N490" s="68">
        <f t="shared" si="35"/>
        <v>750000</v>
      </c>
      <c r="O490" s="69">
        <f t="shared" si="34"/>
        <v>750000</v>
      </c>
      <c r="P490" s="42" t="str">
        <f>IFERROR(VLOOKUP(J490,'Mã NV'!$B:$C,2,0),"")</f>
        <v>XE01331</v>
      </c>
      <c r="Q490" s="70" t="str">
        <f>IFERROR(VLOOKUP(I490,'Mã NV'!$J:$K,2,0),"")</f>
        <v>15T</v>
      </c>
    </row>
    <row r="491" ht="33.6" customHeight="1" spans="1:18">
      <c r="A491" s="63">
        <f t="shared" si="33"/>
        <v>488</v>
      </c>
      <c r="B491" s="64">
        <v>46170</v>
      </c>
      <c r="C491" s="65"/>
      <c r="D491" s="66" t="s">
        <v>18</v>
      </c>
      <c r="E491" s="66" t="s">
        <v>818</v>
      </c>
      <c r="F491" s="66" t="s">
        <v>744</v>
      </c>
      <c r="G491" s="66" t="s">
        <v>854</v>
      </c>
      <c r="H491" s="66" t="s">
        <v>770</v>
      </c>
      <c r="I491" s="66" t="s">
        <v>17</v>
      </c>
      <c r="J491" s="66" t="s">
        <v>341</v>
      </c>
      <c r="K491" s="66" t="s">
        <v>747</v>
      </c>
      <c r="L491" s="67">
        <v>750000</v>
      </c>
      <c r="M491" s="67">
        <v>0</v>
      </c>
      <c r="N491" s="68">
        <f t="shared" si="35"/>
        <v>750000</v>
      </c>
      <c r="O491" s="69">
        <f t="shared" si="34"/>
        <v>750000</v>
      </c>
      <c r="P491" s="42" t="str">
        <f>IFERROR(VLOOKUP(J491,'Mã NV'!$B:$C,2,0),"")</f>
        <v>XE01645</v>
      </c>
      <c r="Q491" s="70" t="str">
        <f>IFERROR(VLOOKUP(I491,'Mã NV'!$J:$K,2,0),"")</f>
        <v>15T</v>
      </c>
    </row>
    <row r="492" ht="33.6" customHeight="1" spans="1:18">
      <c r="A492" s="63">
        <f t="shared" si="33"/>
        <v>489</v>
      </c>
      <c r="B492" s="64">
        <v>46170</v>
      </c>
      <c r="C492" s="65"/>
      <c r="D492" s="66" t="s">
        <v>227</v>
      </c>
      <c r="E492" s="66" t="s">
        <v>856</v>
      </c>
      <c r="F492" s="66" t="s">
        <v>744</v>
      </c>
      <c r="G492" s="66" t="s">
        <v>769</v>
      </c>
      <c r="H492" s="66" t="s">
        <v>857</v>
      </c>
      <c r="I492" s="66" t="s">
        <v>161</v>
      </c>
      <c r="J492" s="66" t="s">
        <v>225</v>
      </c>
      <c r="K492" s="66" t="s">
        <v>747</v>
      </c>
      <c r="L492" s="67">
        <v>1600000</v>
      </c>
      <c r="M492" s="67">
        <v>68000</v>
      </c>
      <c r="N492" s="68">
        <f t="shared" si="35"/>
        <v>1532000</v>
      </c>
      <c r="O492" s="69">
        <f t="shared" si="34"/>
        <v>1532000</v>
      </c>
      <c r="P492" s="42" t="str">
        <f>IFERROR(VLOOKUP(J492,'Mã NV'!$B:$C,2,0),"")</f>
        <v>XE01164</v>
      </c>
      <c r="Q492" s="70" t="str">
        <f>IFERROR(VLOOKUP(I492,'Mã NV'!$J:$K,2,0),"")</f>
        <v>8T</v>
      </c>
    </row>
    <row r="493" ht="33.6" customHeight="1" spans="1:18">
      <c r="A493" s="63">
        <f t="shared" si="33"/>
        <v>490</v>
      </c>
      <c r="B493" s="64">
        <v>46170</v>
      </c>
      <c r="C493" s="65"/>
      <c r="D493" s="66" t="s">
        <v>227</v>
      </c>
      <c r="E493" s="66" t="s">
        <v>856</v>
      </c>
      <c r="F493" s="66" t="s">
        <v>744</v>
      </c>
      <c r="G493" s="66" t="s">
        <v>769</v>
      </c>
      <c r="H493" s="66" t="s">
        <v>857</v>
      </c>
      <c r="I493" s="66" t="s">
        <v>161</v>
      </c>
      <c r="J493" s="66" t="s">
        <v>371</v>
      </c>
      <c r="K493" s="66" t="s">
        <v>747</v>
      </c>
      <c r="L493" s="67">
        <v>1600000</v>
      </c>
      <c r="M493" s="67">
        <v>68000</v>
      </c>
      <c r="N493" s="68">
        <f t="shared" si="35"/>
        <v>1532000</v>
      </c>
      <c r="O493" s="69">
        <f t="shared" si="34"/>
        <v>1532000</v>
      </c>
      <c r="P493" s="42" t="str">
        <f>IFERROR(VLOOKUP(J493,'Mã NV'!$B:$C,2,0),"")</f>
        <v>XE01698</v>
      </c>
      <c r="Q493" s="70" t="str">
        <f>IFERROR(VLOOKUP(I493,'Mã NV'!$J:$K,2,0),"")</f>
        <v>8T</v>
      </c>
    </row>
    <row r="494" ht="33.6" customHeight="1" spans="1:18">
      <c r="A494" s="63">
        <f t="shared" si="33"/>
        <v>491</v>
      </c>
      <c r="B494" s="64">
        <v>46170</v>
      </c>
      <c r="C494" s="65"/>
      <c r="D494" s="66" t="s">
        <v>18</v>
      </c>
      <c r="E494" s="66" t="s">
        <v>818</v>
      </c>
      <c r="F494" s="66" t="s">
        <v>744</v>
      </c>
      <c r="G494" s="66" t="s">
        <v>858</v>
      </c>
      <c r="H494" s="66" t="s">
        <v>802</v>
      </c>
      <c r="I494" s="66" t="s">
        <v>161</v>
      </c>
      <c r="J494" s="66" t="s">
        <v>225</v>
      </c>
      <c r="K494" s="66" t="s">
        <v>747</v>
      </c>
      <c r="L494" s="67">
        <v>150000</v>
      </c>
      <c r="M494" s="67">
        <v>68000</v>
      </c>
      <c r="N494" s="68">
        <f t="shared" si="35"/>
        <v>82000</v>
      </c>
      <c r="O494" s="69">
        <f t="shared" si="34"/>
        <v>82000</v>
      </c>
      <c r="P494" s="42" t="str">
        <f>IFERROR(VLOOKUP(J494,'Mã NV'!$B:$C,2,0),"")</f>
        <v>XE01164</v>
      </c>
      <c r="Q494" s="70" t="str">
        <f>IFERROR(VLOOKUP(I494,'Mã NV'!$J:$K,2,0),"")</f>
        <v>8T</v>
      </c>
    </row>
    <row r="495" ht="33.6" customHeight="1" spans="1:18">
      <c r="A495" s="63">
        <f t="shared" si="33"/>
        <v>492</v>
      </c>
      <c r="B495" s="64">
        <v>46170</v>
      </c>
      <c r="C495" s="65"/>
      <c r="D495" s="66" t="s">
        <v>18</v>
      </c>
      <c r="E495" s="66" t="s">
        <v>818</v>
      </c>
      <c r="F495" s="66" t="s">
        <v>744</v>
      </c>
      <c r="G495" s="66" t="s">
        <v>858</v>
      </c>
      <c r="H495" s="66" t="s">
        <v>802</v>
      </c>
      <c r="I495" s="66" t="s">
        <v>161</v>
      </c>
      <c r="J495" s="66" t="s">
        <v>371</v>
      </c>
      <c r="K495" s="66" t="s">
        <v>747</v>
      </c>
      <c r="L495" s="67">
        <v>150000</v>
      </c>
      <c r="M495" s="67">
        <v>68000</v>
      </c>
      <c r="N495" s="68">
        <f t="shared" si="35"/>
        <v>82000</v>
      </c>
      <c r="O495" s="69">
        <f t="shared" si="34"/>
        <v>82000</v>
      </c>
      <c r="P495" s="42" t="str">
        <f>IFERROR(VLOOKUP(J495,'Mã NV'!$B:$C,2,0),"")</f>
        <v>XE01698</v>
      </c>
      <c r="Q495" s="70" t="str">
        <f>IFERROR(VLOOKUP(I495,'Mã NV'!$J:$K,2,0),"")</f>
        <v>8T</v>
      </c>
    </row>
    <row r="496" ht="33.6" customHeight="1" spans="1:18">
      <c r="A496" s="63">
        <f t="shared" si="33"/>
        <v>493</v>
      </c>
      <c r="B496" s="64">
        <v>46170</v>
      </c>
      <c r="C496" s="65"/>
      <c r="D496" s="66" t="s">
        <v>18</v>
      </c>
      <c r="E496" s="66" t="s">
        <v>828</v>
      </c>
      <c r="F496" s="66" t="s">
        <v>744</v>
      </c>
      <c r="G496" s="66" t="s">
        <v>750</v>
      </c>
      <c r="H496" s="66" t="s">
        <v>765</v>
      </c>
      <c r="I496" s="66" t="s">
        <v>72</v>
      </c>
      <c r="J496" s="66" t="s">
        <v>166</v>
      </c>
      <c r="K496" s="66" t="s">
        <v>747</v>
      </c>
      <c r="L496" s="67">
        <v>8500000</v>
      </c>
      <c r="M496" s="67">
        <v>0</v>
      </c>
      <c r="N496" s="68">
        <f t="shared" si="35"/>
        <v>8500000</v>
      </c>
      <c r="O496" s="69">
        <f t="shared" si="34"/>
        <v>8500000</v>
      </c>
      <c r="P496" s="42" t="str">
        <f>IFERROR(VLOOKUP(J496,'Mã NV'!$B:$C,2,0),"")</f>
        <v>XE00844</v>
      </c>
      <c r="Q496" s="70" t="str">
        <f>IFERROR(VLOOKUP(I496,'Mã NV'!$J:$K,2,0),"")</f>
        <v>Cont 50F</v>
      </c>
    </row>
    <row r="497" ht="33.6" customHeight="1" spans="1:18">
      <c r="A497" s="63">
        <f t="shared" si="33"/>
        <v>494</v>
      </c>
      <c r="B497" s="64">
        <v>46170</v>
      </c>
      <c r="C497" s="65"/>
      <c r="D497" s="66" t="s">
        <v>18</v>
      </c>
      <c r="E497" s="66" t="s">
        <v>828</v>
      </c>
      <c r="F497" s="66" t="s">
        <v>744</v>
      </c>
      <c r="G497" s="66" t="s">
        <v>750</v>
      </c>
      <c r="H497" s="66" t="s">
        <v>765</v>
      </c>
      <c r="I497" s="66" t="s">
        <v>72</v>
      </c>
      <c r="J497" s="66" t="s">
        <v>70</v>
      </c>
      <c r="K497" s="66" t="s">
        <v>747</v>
      </c>
      <c r="L497" s="67">
        <v>8500000</v>
      </c>
      <c r="M497" s="67">
        <v>0</v>
      </c>
      <c r="N497" s="68">
        <f t="shared" si="35"/>
        <v>8500000</v>
      </c>
      <c r="O497" s="69">
        <f t="shared" si="34"/>
        <v>8500000</v>
      </c>
      <c r="P497" s="42" t="str">
        <f>IFERROR(VLOOKUP(J497,'Mã NV'!$B:$C,2,0),"")</f>
        <v>XE00843</v>
      </c>
      <c r="Q497" s="70" t="str">
        <f>IFERROR(VLOOKUP(I497,'Mã NV'!$J:$K,2,0),"")</f>
        <v>Cont 50F</v>
      </c>
    </row>
    <row r="498" ht="33.6" customHeight="1" spans="1:18">
      <c r="A498" s="63">
        <f t="shared" si="33"/>
        <v>495</v>
      </c>
      <c r="B498" s="64">
        <v>46172</v>
      </c>
      <c r="C498" s="65"/>
      <c r="D498" s="66" t="s">
        <v>73</v>
      </c>
      <c r="E498" s="66" t="s">
        <v>73</v>
      </c>
      <c r="F498" s="66" t="s">
        <v>744</v>
      </c>
      <c r="G498" s="66" t="s">
        <v>765</v>
      </c>
      <c r="H498" s="66" t="s">
        <v>770</v>
      </c>
      <c r="I498" s="66" t="s">
        <v>72</v>
      </c>
      <c r="J498" s="66" t="s">
        <v>166</v>
      </c>
      <c r="K498" s="66" t="s">
        <v>747</v>
      </c>
      <c r="L498" s="67">
        <v>9000000</v>
      </c>
      <c r="M498" s="67">
        <v>0</v>
      </c>
      <c r="N498" s="68">
        <f t="shared" si="35"/>
        <v>9000000</v>
      </c>
      <c r="O498" s="69">
        <f t="shared" si="34"/>
        <v>9000000</v>
      </c>
      <c r="P498" s="42" t="str">
        <f>IFERROR(VLOOKUP(J498,'Mã NV'!$B:$C,2,0),"")</f>
        <v>XE00844</v>
      </c>
      <c r="Q498" s="70" t="str">
        <f>IFERROR(VLOOKUP(I498,'Mã NV'!$J:$K,2,0),"")</f>
        <v>Cont 50F</v>
      </c>
    </row>
    <row r="499" ht="33.6" customHeight="1" spans="1:18">
      <c r="A499" s="63">
        <f t="shared" si="33"/>
        <v>496</v>
      </c>
      <c r="B499" s="64">
        <v>46172</v>
      </c>
      <c r="C499" s="65"/>
      <c r="D499" s="66" t="s">
        <v>73</v>
      </c>
      <c r="E499" s="66" t="s">
        <v>73</v>
      </c>
      <c r="F499" s="66" t="s">
        <v>744</v>
      </c>
      <c r="G499" s="66" t="s">
        <v>765</v>
      </c>
      <c r="H499" s="66" t="s">
        <v>770</v>
      </c>
      <c r="I499" s="66" t="s">
        <v>72</v>
      </c>
      <c r="J499" s="66" t="s">
        <v>70</v>
      </c>
      <c r="K499" s="66" t="s">
        <v>747</v>
      </c>
      <c r="L499" s="67">
        <v>9000000</v>
      </c>
      <c r="M499" s="67">
        <v>0</v>
      </c>
      <c r="N499" s="68">
        <f t="shared" si="35"/>
        <v>9000000</v>
      </c>
      <c r="O499" s="69">
        <f t="shared" si="34"/>
        <v>9000000</v>
      </c>
      <c r="P499" s="42" t="str">
        <f>IFERROR(VLOOKUP(J499,'Mã NV'!$B:$C,2,0),"")</f>
        <v>XE00843</v>
      </c>
      <c r="Q499" s="70" t="str">
        <f>IFERROR(VLOOKUP(I499,'Mã NV'!$J:$K,2,0),"")</f>
        <v>Cont 50F</v>
      </c>
    </row>
    <row r="500" ht="33.6" customHeight="1" spans="1:18">
      <c r="A500" s="63">
        <f t="shared" si="33"/>
        <v>497</v>
      </c>
      <c r="B500" s="64">
        <v>46172</v>
      </c>
      <c r="C500" s="65"/>
      <c r="D500" s="66" t="s">
        <v>248</v>
      </c>
      <c r="E500" s="66" t="s">
        <v>248</v>
      </c>
      <c r="F500" s="66" t="s">
        <v>744</v>
      </c>
      <c r="G500" s="66" t="s">
        <v>859</v>
      </c>
      <c r="H500" s="66" t="s">
        <v>761</v>
      </c>
      <c r="I500" s="66" t="s">
        <v>91</v>
      </c>
      <c r="J500" s="66" t="s">
        <v>245</v>
      </c>
      <c r="K500" s="66" t="s">
        <v>747</v>
      </c>
      <c r="L500" s="67">
        <v>13750000</v>
      </c>
      <c r="M500" s="67">
        <v>0</v>
      </c>
      <c r="N500" s="68">
        <f t="shared" si="35"/>
        <v>13750000</v>
      </c>
      <c r="O500" s="69">
        <f t="shared" si="34"/>
        <v>13750000</v>
      </c>
      <c r="P500" s="42" t="str">
        <f>IFERROR(VLOOKUP(J500,'Mã NV'!$B:$C,2,0),"")</f>
        <v>XE01470</v>
      </c>
      <c r="Q500" s="70" t="str">
        <f>IFERROR(VLOOKUP(I500,'Mã NV'!$J:$K,2,0),"")</f>
        <v>15T</v>
      </c>
    </row>
    <row r="501" ht="33.6" customHeight="1" spans="1:18">
      <c r="A501" s="63">
        <f t="shared" si="33"/>
        <v>498</v>
      </c>
      <c r="B501" s="64">
        <v>46172</v>
      </c>
      <c r="C501" s="65"/>
      <c r="D501" s="66" t="s">
        <v>248</v>
      </c>
      <c r="E501" s="66" t="s">
        <v>248</v>
      </c>
      <c r="F501" s="66" t="s">
        <v>744</v>
      </c>
      <c r="G501" s="66" t="s">
        <v>859</v>
      </c>
      <c r="H501" s="66" t="s">
        <v>761</v>
      </c>
      <c r="I501" s="66" t="s">
        <v>91</v>
      </c>
      <c r="J501" s="66" t="s">
        <v>364</v>
      </c>
      <c r="K501" s="66" t="s">
        <v>747</v>
      </c>
      <c r="L501" s="67">
        <v>13750000</v>
      </c>
      <c r="M501" s="67">
        <v>0</v>
      </c>
      <c r="N501" s="68">
        <f t="shared" si="35"/>
        <v>13750000</v>
      </c>
      <c r="O501" s="69">
        <f t="shared" si="34"/>
        <v>13750000</v>
      </c>
      <c r="P501" s="42" t="str">
        <f>IFERROR(VLOOKUP(J501,'Mã NV'!$B:$C,2,0),"")</f>
        <v>XE01690</v>
      </c>
      <c r="Q501" s="70" t="str">
        <f>IFERROR(VLOOKUP(I501,'Mã NV'!$J:$K,2,0),"")</f>
        <v>15T</v>
      </c>
    </row>
    <row r="502" ht="33.6" customHeight="1" spans="1:18">
      <c r="A502" s="63">
        <f t="shared" si="33"/>
        <v>499</v>
      </c>
      <c r="B502" s="64">
        <v>46172</v>
      </c>
      <c r="C502" s="65"/>
      <c r="D502" s="66" t="s">
        <v>18</v>
      </c>
      <c r="E502" s="66" t="s">
        <v>860</v>
      </c>
      <c r="F502" s="66" t="s">
        <v>744</v>
      </c>
      <c r="G502" s="66" t="s">
        <v>861</v>
      </c>
      <c r="H502" s="66" t="s">
        <v>759</v>
      </c>
      <c r="I502" s="66" t="s">
        <v>91</v>
      </c>
      <c r="J502" s="66" t="s">
        <v>245</v>
      </c>
      <c r="K502" s="66" t="s">
        <v>747</v>
      </c>
      <c r="L502" s="67">
        <v>5000000</v>
      </c>
      <c r="M502" s="67">
        <v>0</v>
      </c>
      <c r="N502" s="68">
        <f t="shared" si="35"/>
        <v>5000000</v>
      </c>
      <c r="O502" s="69">
        <f t="shared" si="34"/>
        <v>5000000</v>
      </c>
      <c r="P502" s="42" t="str">
        <f>IFERROR(VLOOKUP(J502,'Mã NV'!$B:$C,2,0),"")</f>
        <v>XE01470</v>
      </c>
      <c r="Q502" s="70" t="str">
        <f>IFERROR(VLOOKUP(I502,'Mã NV'!$J:$K,2,0),"")</f>
        <v>15T</v>
      </c>
    </row>
    <row r="503" ht="33.6" customHeight="1" spans="1:18">
      <c r="A503" s="63">
        <f t="shared" si="33"/>
        <v>500</v>
      </c>
      <c r="B503" s="64">
        <v>46172</v>
      </c>
      <c r="C503" s="65"/>
      <c r="D503" s="66" t="s">
        <v>18</v>
      </c>
      <c r="E503" s="66" t="s">
        <v>860</v>
      </c>
      <c r="F503" s="66" t="s">
        <v>744</v>
      </c>
      <c r="G503" s="66" t="s">
        <v>861</v>
      </c>
      <c r="H503" s="66" t="s">
        <v>759</v>
      </c>
      <c r="I503" s="66" t="s">
        <v>91</v>
      </c>
      <c r="J503" s="66" t="s">
        <v>364</v>
      </c>
      <c r="K503" s="66" t="s">
        <v>747</v>
      </c>
      <c r="L503" s="67">
        <v>5000000</v>
      </c>
      <c r="M503" s="67">
        <v>0</v>
      </c>
      <c r="N503" s="68">
        <f t="shared" si="35"/>
        <v>5000000</v>
      </c>
      <c r="O503" s="69">
        <f t="shared" si="34"/>
        <v>5000000</v>
      </c>
      <c r="P503" s="42" t="str">
        <f>IFERROR(VLOOKUP(J503,'Mã NV'!$B:$C,2,0),"")</f>
        <v>XE01690</v>
      </c>
      <c r="Q503" s="70" t="str">
        <f>IFERROR(VLOOKUP(I503,'Mã NV'!$J:$K,2,0),"")</f>
        <v>15T</v>
      </c>
    </row>
    <row r="504" ht="33.6" customHeight="1" spans="1:18">
      <c r="A504" s="63">
        <f t="shared" si="33"/>
        <v>501</v>
      </c>
      <c r="B504" s="64">
        <v>46120</v>
      </c>
      <c r="C504" s="65"/>
      <c r="D504" s="66" t="s">
        <v>22</v>
      </c>
      <c r="E504" s="66" t="s">
        <v>22</v>
      </c>
      <c r="F504" s="66" t="s">
        <v>744</v>
      </c>
      <c r="G504" s="66" t="s">
        <v>745</v>
      </c>
      <c r="H504" s="66" t="s">
        <v>771</v>
      </c>
      <c r="I504" s="66" t="s">
        <v>249</v>
      </c>
      <c r="J504" s="66" t="s">
        <v>245</v>
      </c>
      <c r="K504" s="66" t="s">
        <v>747</v>
      </c>
      <c r="L504" s="67">
        <v>2500000</v>
      </c>
      <c r="M504" s="67">
        <v>0</v>
      </c>
      <c r="N504" s="68">
        <f t="shared" si="35"/>
        <v>2500000</v>
      </c>
      <c r="O504" s="69">
        <f t="shared" si="34"/>
        <v>2500000</v>
      </c>
      <c r="P504" s="42" t="str">
        <f>IFERROR(VLOOKUP(J504,'Mã NV'!$B:$C,2,0),"")</f>
        <v>XE01470</v>
      </c>
      <c r="Q504" s="70" t="str">
        <f>IFERROR(VLOOKUP(I504,'Mã NV'!$J:$K,2,0),"")</f>
        <v>15T</v>
      </c>
    </row>
    <row r="505" ht="33.6" customHeight="1" spans="1:18">
      <c r="A505" s="63">
        <f t="shared" si="33"/>
        <v>502</v>
      </c>
      <c r="B505" s="64">
        <v>46120</v>
      </c>
      <c r="C505" s="65"/>
      <c r="D505" s="66" t="s">
        <v>22</v>
      </c>
      <c r="E505" s="66" t="s">
        <v>22</v>
      </c>
      <c r="F505" s="66" t="s">
        <v>744</v>
      </c>
      <c r="G505" s="66" t="s">
        <v>745</v>
      </c>
      <c r="H505" s="66" t="s">
        <v>771</v>
      </c>
      <c r="I505" s="66" t="s">
        <v>249</v>
      </c>
      <c r="J505" s="66" t="s">
        <v>250</v>
      </c>
      <c r="K505" s="66" t="s">
        <v>747</v>
      </c>
      <c r="L505" s="67">
        <v>2500000</v>
      </c>
      <c r="M505" s="67">
        <v>0</v>
      </c>
      <c r="N505" s="68">
        <f t="shared" si="35"/>
        <v>2500000</v>
      </c>
      <c r="O505" s="69">
        <f t="shared" si="34"/>
        <v>2500000</v>
      </c>
      <c r="P505" s="42" t="str">
        <f>IFERROR(VLOOKUP(J505,'Mã NV'!$B:$C,2,0),"")</f>
        <v>XE01469</v>
      </c>
      <c r="Q505" s="70" t="str">
        <f>IFERROR(VLOOKUP(I505,'Mã NV'!$J:$K,2,0),"")</f>
        <v>15T</v>
      </c>
    </row>
    <row r="506" ht="33.6" customHeight="1" spans="1:18">
      <c r="A506" s="63">
        <f t="shared" si="33"/>
        <v>503</v>
      </c>
      <c r="B506" s="64">
        <v>46123</v>
      </c>
      <c r="C506" s="65"/>
      <c r="D506" s="66" t="s">
        <v>22</v>
      </c>
      <c r="E506" s="66" t="s">
        <v>22</v>
      </c>
      <c r="F506" s="66" t="s">
        <v>744</v>
      </c>
      <c r="G506" s="66" t="s">
        <v>761</v>
      </c>
      <c r="H506" s="66" t="s">
        <v>862</v>
      </c>
      <c r="I506" s="66" t="s">
        <v>17</v>
      </c>
      <c r="J506" s="66" t="s">
        <v>15</v>
      </c>
      <c r="K506" s="66" t="s">
        <v>747</v>
      </c>
      <c r="L506" s="67">
        <v>5500000</v>
      </c>
      <c r="M506" s="67">
        <v>0</v>
      </c>
      <c r="N506" s="68">
        <f t="shared" si="35"/>
        <v>5500000</v>
      </c>
      <c r="O506" s="69">
        <f t="shared" si="34"/>
        <v>5500000</v>
      </c>
      <c r="P506" s="42" t="str">
        <f>IFERROR(VLOOKUP(J506,'Mã NV'!$B:$C,2,0),"")</f>
        <v>XE01331</v>
      </c>
      <c r="Q506" s="70" t="str">
        <f>IFERROR(VLOOKUP(I506,'Mã NV'!$J:$K,2,0),"")</f>
        <v>15T</v>
      </c>
      <c r="R506" s="73" t="s">
        <v>863</v>
      </c>
    </row>
    <row r="507" ht="33.6" customHeight="1" spans="1:18">
      <c r="A507" s="63">
        <f t="shared" si="33"/>
        <v>504</v>
      </c>
      <c r="B507" s="64">
        <v>46123</v>
      </c>
      <c r="C507" s="65"/>
      <c r="D507" s="66" t="s">
        <v>22</v>
      </c>
      <c r="E507" s="66" t="s">
        <v>22</v>
      </c>
      <c r="F507" s="66" t="s">
        <v>744</v>
      </c>
      <c r="G507" s="66" t="s">
        <v>761</v>
      </c>
      <c r="H507" s="66" t="s">
        <v>862</v>
      </c>
      <c r="I507" s="66" t="s">
        <v>17</v>
      </c>
      <c r="J507" s="66" t="s">
        <v>341</v>
      </c>
      <c r="K507" s="66" t="s">
        <v>747</v>
      </c>
      <c r="L507" s="67">
        <v>5500000</v>
      </c>
      <c r="M507" s="67">
        <v>0</v>
      </c>
      <c r="N507" s="68">
        <f t="shared" si="35"/>
        <v>5500000</v>
      </c>
      <c r="O507" s="69">
        <f t="shared" si="34"/>
        <v>5500000</v>
      </c>
      <c r="P507" s="42" t="str">
        <f>IFERROR(VLOOKUP(J507,'Mã NV'!$B:$C,2,0),"")</f>
        <v>XE01645</v>
      </c>
      <c r="Q507" s="70" t="str">
        <f>IFERROR(VLOOKUP(I507,'Mã NV'!$J:$K,2,0),"")</f>
        <v>15T</v>
      </c>
      <c r="R507" s="73" t="s">
        <v>864</v>
      </c>
    </row>
    <row r="508" ht="33.6" customHeight="1" spans="1:18">
      <c r="A508" s="63">
        <f t="shared" si="33"/>
        <v>505</v>
      </c>
      <c r="B508" s="64">
        <v>46141</v>
      </c>
      <c r="C508" s="65"/>
      <c r="D508" s="66" t="s">
        <v>22</v>
      </c>
      <c r="E508" s="66" t="s">
        <v>22</v>
      </c>
      <c r="F508" s="66" t="s">
        <v>744</v>
      </c>
      <c r="G508" s="66" t="s">
        <v>750</v>
      </c>
      <c r="H508" s="66" t="s">
        <v>770</v>
      </c>
      <c r="I508" s="66" t="s">
        <v>205</v>
      </c>
      <c r="J508" s="66" t="s">
        <v>312</v>
      </c>
      <c r="K508" s="66" t="s">
        <v>747</v>
      </c>
      <c r="L508" s="67">
        <v>9500000</v>
      </c>
      <c r="M508" s="67">
        <v>0</v>
      </c>
      <c r="N508" s="68">
        <f t="shared" si="35"/>
        <v>9500000</v>
      </c>
      <c r="O508" s="69">
        <f t="shared" si="34"/>
        <v>9500000</v>
      </c>
      <c r="P508" s="42" t="str">
        <f>IFERROR(VLOOKUP(J508,'Mã NV'!$B:$C,2,0),"")</f>
        <v>XE01582</v>
      </c>
      <c r="Q508" s="70" t="str">
        <f>IFERROR(VLOOKUP(I508,'Mã NV'!$J:$K,2,0),"")</f>
        <v>8T</v>
      </c>
    </row>
    <row r="509" ht="33.6" customHeight="1" spans="1:18">
      <c r="A509" s="63">
        <f t="shared" si="33"/>
        <v>506</v>
      </c>
      <c r="B509" s="64">
        <v>46141</v>
      </c>
      <c r="C509" s="65"/>
      <c r="D509" s="66" t="s">
        <v>22</v>
      </c>
      <c r="E509" s="66" t="s">
        <v>22</v>
      </c>
      <c r="F509" s="66" t="s">
        <v>744</v>
      </c>
      <c r="G509" s="66" t="s">
        <v>750</v>
      </c>
      <c r="H509" s="66" t="s">
        <v>770</v>
      </c>
      <c r="I509" s="66" t="s">
        <v>205</v>
      </c>
      <c r="J509" s="66" t="s">
        <v>314</v>
      </c>
      <c r="K509" s="66" t="s">
        <v>747</v>
      </c>
      <c r="L509" s="67">
        <v>9500000</v>
      </c>
      <c r="M509" s="67">
        <v>0</v>
      </c>
      <c r="N509" s="68">
        <f t="shared" si="35"/>
        <v>9500000</v>
      </c>
      <c r="O509" s="69">
        <f t="shared" si="34"/>
        <v>9500000</v>
      </c>
      <c r="P509" s="42" t="str">
        <f>IFERROR(VLOOKUP(J509,'Mã NV'!$B:$C,2,0),"")</f>
        <v>XE01583</v>
      </c>
      <c r="Q509" s="70" t="str">
        <f>IFERROR(VLOOKUP(I509,'Mã NV'!$J:$K,2,0),"")</f>
        <v>8T</v>
      </c>
    </row>
    <row r="510" ht="33.6" customHeight="1" spans="1:18">
      <c r="A510" s="63">
        <f t="shared" si="33"/>
        <v>507</v>
      </c>
      <c r="B510" s="64">
        <v>46142</v>
      </c>
      <c r="C510" s="65"/>
      <c r="D510" s="66" t="s">
        <v>22</v>
      </c>
      <c r="E510" s="66" t="s">
        <v>22</v>
      </c>
      <c r="F510" s="66" t="s">
        <v>744</v>
      </c>
      <c r="G510" s="66" t="s">
        <v>750</v>
      </c>
      <c r="H510" s="66" t="s">
        <v>745</v>
      </c>
      <c r="I510" s="66" t="s">
        <v>283</v>
      </c>
      <c r="J510" s="66" t="s">
        <v>337</v>
      </c>
      <c r="K510" s="66" t="s">
        <v>747</v>
      </c>
      <c r="L510" s="67">
        <v>10000000</v>
      </c>
      <c r="M510" s="67">
        <v>0</v>
      </c>
      <c r="N510" s="68">
        <f t="shared" si="35"/>
        <v>10000000</v>
      </c>
      <c r="O510" s="69">
        <f t="shared" si="34"/>
        <v>10000000</v>
      </c>
      <c r="P510" s="42" t="str">
        <f>IFERROR(VLOOKUP(J510,'Mã NV'!$B:$C,2,0),"")</f>
        <v>XE01477</v>
      </c>
      <c r="Q510" s="70" t="str">
        <f>IFERROR(VLOOKUP(I510,'Mã NV'!$J:$K,2,0),"")</f>
        <v>15T</v>
      </c>
    </row>
    <row r="511" ht="33.6" customHeight="1" spans="1:18">
      <c r="A511" s="63">
        <f t="shared" si="33"/>
        <v>508</v>
      </c>
      <c r="B511" s="64">
        <v>46142</v>
      </c>
      <c r="C511" s="65"/>
      <c r="D511" s="66" t="s">
        <v>22</v>
      </c>
      <c r="E511" s="66" t="s">
        <v>22</v>
      </c>
      <c r="F511" s="66" t="s">
        <v>744</v>
      </c>
      <c r="G511" s="66" t="s">
        <v>750</v>
      </c>
      <c r="H511" s="66" t="s">
        <v>745</v>
      </c>
      <c r="I511" s="66" t="s">
        <v>283</v>
      </c>
      <c r="J511" s="66" t="s">
        <v>339</v>
      </c>
      <c r="K511" s="66" t="s">
        <v>747</v>
      </c>
      <c r="L511" s="67">
        <v>10000000</v>
      </c>
      <c r="M511" s="67">
        <v>0</v>
      </c>
      <c r="N511" s="68">
        <f t="shared" si="35"/>
        <v>10000000</v>
      </c>
      <c r="O511" s="69">
        <f t="shared" si="34"/>
        <v>10000000</v>
      </c>
      <c r="P511" s="42" t="str">
        <f>IFERROR(VLOOKUP(J511,'Mã NV'!$B:$C,2,0),"")</f>
        <v>XE01670</v>
      </c>
      <c r="Q511" s="70" t="str">
        <f>IFERROR(VLOOKUP(I511,'Mã NV'!$J:$K,2,0),"")</f>
        <v>15T</v>
      </c>
    </row>
    <row r="512" ht="33.6" customHeight="1" spans="1:18">
      <c r="A512" s="63">
        <f t="shared" si="33"/>
        <v>509</v>
      </c>
      <c r="B512" s="64">
        <v>46144</v>
      </c>
      <c r="C512" s="65"/>
      <c r="D512" s="66" t="s">
        <v>22</v>
      </c>
      <c r="E512" s="66" t="s">
        <v>22</v>
      </c>
      <c r="F512" s="66" t="s">
        <v>744</v>
      </c>
      <c r="G512" s="66" t="s">
        <v>754</v>
      </c>
      <c r="H512" s="66" t="s">
        <v>745</v>
      </c>
      <c r="I512" s="66" t="s">
        <v>17</v>
      </c>
      <c r="J512" s="66" t="s">
        <v>15</v>
      </c>
      <c r="K512" s="66" t="s">
        <v>747</v>
      </c>
      <c r="L512" s="67">
        <v>13000000</v>
      </c>
      <c r="M512" s="67">
        <v>0</v>
      </c>
      <c r="N512" s="68">
        <f t="shared" si="35"/>
        <v>13000000</v>
      </c>
      <c r="O512" s="69">
        <f t="shared" si="34"/>
        <v>13000000</v>
      </c>
      <c r="P512" s="42" t="str">
        <f>IFERROR(VLOOKUP(J512,'Mã NV'!$B:$C,2,0),"")</f>
        <v>XE01331</v>
      </c>
      <c r="Q512" s="70" t="str">
        <f>IFERROR(VLOOKUP(I512,'Mã NV'!$J:$K,2,0),"")</f>
        <v>15T</v>
      </c>
    </row>
    <row r="513" ht="33.6" customHeight="1" spans="1:17">
      <c r="A513" s="63">
        <f t="shared" si="33"/>
        <v>510</v>
      </c>
      <c r="B513" s="64">
        <v>46144</v>
      </c>
      <c r="C513" s="65"/>
      <c r="D513" s="66" t="s">
        <v>22</v>
      </c>
      <c r="E513" s="66" t="s">
        <v>22</v>
      </c>
      <c r="F513" s="66" t="s">
        <v>744</v>
      </c>
      <c r="G513" s="66" t="s">
        <v>754</v>
      </c>
      <c r="H513" s="66" t="s">
        <v>745</v>
      </c>
      <c r="I513" s="66" t="s">
        <v>17</v>
      </c>
      <c r="J513" s="66" t="s">
        <v>341</v>
      </c>
      <c r="K513" s="66" t="s">
        <v>747</v>
      </c>
      <c r="L513" s="67">
        <v>13000000</v>
      </c>
      <c r="M513" s="67">
        <v>0</v>
      </c>
      <c r="N513" s="68">
        <f t="shared" si="35"/>
        <v>13000000</v>
      </c>
      <c r="O513" s="69">
        <f t="shared" si="34"/>
        <v>13000000</v>
      </c>
      <c r="P513" s="42" t="str">
        <f>IFERROR(VLOOKUP(J513,'Mã NV'!$B:$C,2,0),"")</f>
        <v>XE01645</v>
      </c>
      <c r="Q513" s="70" t="str">
        <f>IFERROR(VLOOKUP(I513,'Mã NV'!$J:$K,2,0),"")</f>
        <v>15T</v>
      </c>
    </row>
    <row r="514" ht="33.6" customHeight="1" spans="1:17">
      <c r="A514" s="63">
        <f t="shared" si="33"/>
        <v>511</v>
      </c>
      <c r="B514" s="64">
        <v>46146</v>
      </c>
      <c r="C514" s="65"/>
      <c r="D514" s="66" t="s">
        <v>22</v>
      </c>
      <c r="E514" s="66" t="s">
        <v>22</v>
      </c>
      <c r="F514" s="66" t="s">
        <v>744</v>
      </c>
      <c r="G514" s="66" t="s">
        <v>750</v>
      </c>
      <c r="H514" s="66" t="s">
        <v>745</v>
      </c>
      <c r="I514" s="66" t="s">
        <v>170</v>
      </c>
      <c r="J514" s="66" t="s">
        <v>168</v>
      </c>
      <c r="K514" s="66" t="s">
        <v>747</v>
      </c>
      <c r="L514" s="67">
        <v>9750000</v>
      </c>
      <c r="M514" s="67">
        <v>0</v>
      </c>
      <c r="N514" s="68">
        <f t="shared" si="35"/>
        <v>9750000</v>
      </c>
      <c r="O514" s="69">
        <f t="shared" si="34"/>
        <v>9750000</v>
      </c>
      <c r="P514" s="42" t="str">
        <f>IFERROR(VLOOKUP(J514,'Mã NV'!$B:$C,2,0),"")</f>
        <v>XE01263</v>
      </c>
      <c r="Q514" s="70" t="str">
        <f>IFERROR(VLOOKUP(I514,'Mã NV'!$J:$K,2,0),"")</f>
        <v>8T</v>
      </c>
    </row>
    <row r="515" ht="33.6" customHeight="1" spans="1:17">
      <c r="A515" s="63">
        <f t="shared" si="33"/>
        <v>512</v>
      </c>
      <c r="B515" s="64">
        <v>46146</v>
      </c>
      <c r="C515" s="65"/>
      <c r="D515" s="66" t="s">
        <v>22</v>
      </c>
      <c r="E515" s="66" t="s">
        <v>22</v>
      </c>
      <c r="F515" s="66" t="s">
        <v>744</v>
      </c>
      <c r="G515" s="66" t="s">
        <v>750</v>
      </c>
      <c r="H515" s="66" t="s">
        <v>745</v>
      </c>
      <c r="I515" s="66" t="s">
        <v>170</v>
      </c>
      <c r="J515" s="66" t="s">
        <v>203</v>
      </c>
      <c r="K515" s="66" t="s">
        <v>747</v>
      </c>
      <c r="L515" s="67">
        <v>9750000</v>
      </c>
      <c r="M515" s="67">
        <v>0</v>
      </c>
      <c r="N515" s="68">
        <f t="shared" si="35"/>
        <v>9750000</v>
      </c>
      <c r="O515" s="69">
        <f t="shared" si="34"/>
        <v>9750000</v>
      </c>
      <c r="P515" s="42" t="str">
        <f>IFERROR(VLOOKUP(J515,'Mã NV'!$B:$C,2,0),"")</f>
        <v>XE01149</v>
      </c>
      <c r="Q515" s="70" t="str">
        <f>IFERROR(VLOOKUP(I515,'Mã NV'!$J:$K,2,0),"")</f>
        <v>8T</v>
      </c>
    </row>
    <row r="516" ht="33.6" customHeight="1" spans="1:17">
      <c r="A516" s="63">
        <f t="shared" si="33"/>
        <v>513</v>
      </c>
      <c r="B516" s="64">
        <v>46148</v>
      </c>
      <c r="C516" s="65"/>
      <c r="D516" s="66" t="s">
        <v>22</v>
      </c>
      <c r="E516" s="66" t="s">
        <v>22</v>
      </c>
      <c r="F516" s="66" t="s">
        <v>744</v>
      </c>
      <c r="G516" s="66" t="s">
        <v>745</v>
      </c>
      <c r="H516" s="66" t="s">
        <v>746</v>
      </c>
      <c r="I516" s="66" t="s">
        <v>17</v>
      </c>
      <c r="J516" s="66" t="s">
        <v>15</v>
      </c>
      <c r="K516" s="66" t="s">
        <v>747</v>
      </c>
      <c r="L516" s="67">
        <v>2500000</v>
      </c>
      <c r="M516" s="67">
        <v>0</v>
      </c>
      <c r="N516" s="68">
        <f t="shared" si="35"/>
        <v>2500000</v>
      </c>
      <c r="O516" s="69">
        <f t="shared" si="34"/>
        <v>2500000</v>
      </c>
      <c r="P516" s="42" t="str">
        <f>IFERROR(VLOOKUP(J516,'Mã NV'!$B:$C,2,0),"")</f>
        <v>XE01331</v>
      </c>
      <c r="Q516" s="70" t="str">
        <f>IFERROR(VLOOKUP(I516,'Mã NV'!$J:$K,2,0),"")</f>
        <v>15T</v>
      </c>
    </row>
    <row r="517" ht="33.6" customHeight="1" spans="1:17">
      <c r="A517" s="63">
        <f t="shared" si="33"/>
        <v>514</v>
      </c>
      <c r="B517" s="64">
        <v>46148</v>
      </c>
      <c r="C517" s="65"/>
      <c r="D517" s="66" t="s">
        <v>22</v>
      </c>
      <c r="E517" s="66" t="s">
        <v>22</v>
      </c>
      <c r="F517" s="66" t="s">
        <v>744</v>
      </c>
      <c r="G517" s="66" t="s">
        <v>745</v>
      </c>
      <c r="H517" s="66" t="s">
        <v>746</v>
      </c>
      <c r="I517" s="66" t="s">
        <v>17</v>
      </c>
      <c r="J517" s="66" t="s">
        <v>341</v>
      </c>
      <c r="K517" s="66" t="s">
        <v>747</v>
      </c>
      <c r="L517" s="67">
        <v>2500000</v>
      </c>
      <c r="M517" s="67">
        <v>0</v>
      </c>
      <c r="N517" s="68">
        <f t="shared" si="35"/>
        <v>2500000</v>
      </c>
      <c r="O517" s="69">
        <f t="shared" si="34"/>
        <v>2500000</v>
      </c>
      <c r="P517" s="42" t="str">
        <f>IFERROR(VLOOKUP(J517,'Mã NV'!$B:$C,2,0),"")</f>
        <v>XE01645</v>
      </c>
      <c r="Q517" s="70" t="str">
        <f>IFERROR(VLOOKUP(I517,'Mã NV'!$J:$K,2,0),"")</f>
        <v>15T</v>
      </c>
    </row>
    <row r="518" ht="33.6" customHeight="1" spans="1:17">
      <c r="A518" s="63">
        <f t="shared" si="33"/>
        <v>515</v>
      </c>
      <c r="B518" s="64">
        <v>46150</v>
      </c>
      <c r="C518" s="65"/>
      <c r="D518" s="66" t="s">
        <v>22</v>
      </c>
      <c r="E518" s="66" t="s">
        <v>22</v>
      </c>
      <c r="F518" s="66" t="s">
        <v>744</v>
      </c>
      <c r="G518" s="66" t="s">
        <v>750</v>
      </c>
      <c r="H518" s="66" t="s">
        <v>745</v>
      </c>
      <c r="I518" s="66" t="s">
        <v>290</v>
      </c>
      <c r="J518" s="66" t="s">
        <v>288</v>
      </c>
      <c r="K518" s="66" t="s">
        <v>747</v>
      </c>
      <c r="L518" s="67">
        <v>10500000</v>
      </c>
      <c r="M518" s="67">
        <v>0</v>
      </c>
      <c r="N518" s="68">
        <f t="shared" si="35"/>
        <v>10500000</v>
      </c>
      <c r="O518" s="69">
        <f t="shared" si="34"/>
        <v>10500000</v>
      </c>
      <c r="P518" s="42" t="str">
        <f>IFERROR(VLOOKUP(J518,'Mã NV'!$B:$C,2,0),"")</f>
        <v>XE01563</v>
      </c>
      <c r="Q518" s="70" t="str">
        <f>IFERROR(VLOOKUP(I518,'Mã NV'!$J:$K,2,0),"")</f>
        <v>8T</v>
      </c>
    </row>
    <row r="519" ht="33.6" customHeight="1" spans="1:17">
      <c r="A519" s="63">
        <f t="shared" si="33"/>
        <v>516</v>
      </c>
      <c r="B519" s="64">
        <v>46150</v>
      </c>
      <c r="C519" s="65"/>
      <c r="D519" s="66" t="s">
        <v>22</v>
      </c>
      <c r="E519" s="66" t="s">
        <v>22</v>
      </c>
      <c r="F519" s="66" t="s">
        <v>744</v>
      </c>
      <c r="G519" s="66" t="s">
        <v>750</v>
      </c>
      <c r="H519" s="66" t="s">
        <v>745</v>
      </c>
      <c r="I519" s="66" t="s">
        <v>290</v>
      </c>
      <c r="J519" s="66" t="s">
        <v>329</v>
      </c>
      <c r="K519" s="66" t="s">
        <v>747</v>
      </c>
      <c r="L519" s="67">
        <v>10500000</v>
      </c>
      <c r="M519" s="67">
        <v>0</v>
      </c>
      <c r="N519" s="68">
        <f t="shared" si="35"/>
        <v>10500000</v>
      </c>
      <c r="O519" s="69">
        <f t="shared" si="34"/>
        <v>10500000</v>
      </c>
      <c r="P519" s="42" t="str">
        <f>IFERROR(VLOOKUP(J519,'Mã NV'!$B:$C,2,0),"")</f>
        <v>XE01609</v>
      </c>
      <c r="Q519" s="70" t="str">
        <f>IFERROR(VLOOKUP(I519,'Mã NV'!$J:$K,2,0),"")</f>
        <v>8T</v>
      </c>
    </row>
    <row r="520" ht="33.6" customHeight="1" spans="1:17">
      <c r="A520" s="63">
        <f t="shared" si="33"/>
        <v>517</v>
      </c>
      <c r="B520" s="64">
        <v>46151</v>
      </c>
      <c r="C520" s="65"/>
      <c r="D520" s="66" t="s">
        <v>22</v>
      </c>
      <c r="E520" s="66" t="s">
        <v>22</v>
      </c>
      <c r="F520" s="66" t="s">
        <v>744</v>
      </c>
      <c r="G520" s="66" t="s">
        <v>750</v>
      </c>
      <c r="H520" s="66" t="s">
        <v>768</v>
      </c>
      <c r="I520" s="66" t="s">
        <v>249</v>
      </c>
      <c r="J520" s="66" t="s">
        <v>245</v>
      </c>
      <c r="K520" s="66" t="s">
        <v>747</v>
      </c>
      <c r="L520" s="67">
        <v>13000000</v>
      </c>
      <c r="M520" s="67">
        <v>0</v>
      </c>
      <c r="N520" s="68">
        <f t="shared" si="35"/>
        <v>13000000</v>
      </c>
      <c r="O520" s="69">
        <f t="shared" si="34"/>
        <v>13000000</v>
      </c>
      <c r="P520" s="42" t="str">
        <f>IFERROR(VLOOKUP(J520,'Mã NV'!$B:$C,2,0),"")</f>
        <v>XE01470</v>
      </c>
      <c r="Q520" s="70" t="str">
        <f>IFERROR(VLOOKUP(I520,'Mã NV'!$J:$K,2,0),"")</f>
        <v>15T</v>
      </c>
    </row>
    <row r="521" ht="33.6" customHeight="1" spans="1:17">
      <c r="A521" s="63">
        <f t="shared" si="33"/>
        <v>518</v>
      </c>
      <c r="B521" s="64">
        <v>46151</v>
      </c>
      <c r="C521" s="65"/>
      <c r="D521" s="66" t="s">
        <v>22</v>
      </c>
      <c r="E521" s="66" t="s">
        <v>22</v>
      </c>
      <c r="F521" s="66" t="s">
        <v>744</v>
      </c>
      <c r="G521" s="66" t="s">
        <v>750</v>
      </c>
      <c r="H521" s="66" t="s">
        <v>768</v>
      </c>
      <c r="I521" s="66" t="s">
        <v>249</v>
      </c>
      <c r="J521" s="66" t="s">
        <v>250</v>
      </c>
      <c r="K521" s="66" t="s">
        <v>747</v>
      </c>
      <c r="L521" s="67">
        <v>13000000</v>
      </c>
      <c r="M521" s="67">
        <v>0</v>
      </c>
      <c r="N521" s="68">
        <f t="shared" si="35"/>
        <v>13000000</v>
      </c>
      <c r="O521" s="69">
        <f t="shared" si="34"/>
        <v>13000000</v>
      </c>
      <c r="P521" s="42" t="str">
        <f>IFERROR(VLOOKUP(J521,'Mã NV'!$B:$C,2,0),"")</f>
        <v>XE01469</v>
      </c>
      <c r="Q521" s="70" t="str">
        <f>IFERROR(VLOOKUP(I521,'Mã NV'!$J:$K,2,0),"")</f>
        <v>15T</v>
      </c>
    </row>
    <row r="522" ht="33.6" customHeight="1" spans="1:17">
      <c r="A522" s="63">
        <f t="shared" si="33"/>
        <v>519</v>
      </c>
      <c r="B522" s="64">
        <v>46153</v>
      </c>
      <c r="C522" s="65"/>
      <c r="D522" s="66" t="s">
        <v>22</v>
      </c>
      <c r="E522" s="66" t="s">
        <v>22</v>
      </c>
      <c r="F522" s="66" t="s">
        <v>744</v>
      </c>
      <c r="G522" s="66" t="s">
        <v>746</v>
      </c>
      <c r="H522" s="66" t="s">
        <v>745</v>
      </c>
      <c r="I522" s="66" t="s">
        <v>161</v>
      </c>
      <c r="J522" s="66" t="s">
        <v>159</v>
      </c>
      <c r="K522" s="66" t="s">
        <v>747</v>
      </c>
      <c r="L522" s="67">
        <v>10500000</v>
      </c>
      <c r="M522" s="67">
        <v>0</v>
      </c>
      <c r="N522" s="68">
        <f t="shared" si="35"/>
        <v>10500000</v>
      </c>
      <c r="O522" s="69">
        <f t="shared" si="34"/>
        <v>10500000</v>
      </c>
      <c r="P522" s="42" t="str">
        <f>IFERROR(VLOOKUP(J522,'Mã NV'!$B:$C,2,0),"")</f>
        <v>XE01005</v>
      </c>
      <c r="Q522" s="70" t="str">
        <f>IFERROR(VLOOKUP(I522,'Mã NV'!$J:$K,2,0),"")</f>
        <v>8T</v>
      </c>
    </row>
    <row r="523" ht="33.6" customHeight="1" spans="1:17">
      <c r="A523" s="63">
        <f t="shared" si="33"/>
        <v>520</v>
      </c>
      <c r="B523" s="64">
        <v>46153</v>
      </c>
      <c r="C523" s="65"/>
      <c r="D523" s="66" t="s">
        <v>22</v>
      </c>
      <c r="E523" s="66" t="s">
        <v>22</v>
      </c>
      <c r="F523" s="66" t="s">
        <v>744</v>
      </c>
      <c r="G523" s="66" t="s">
        <v>746</v>
      </c>
      <c r="H523" s="66" t="s">
        <v>745</v>
      </c>
      <c r="I523" s="66" t="s">
        <v>161</v>
      </c>
      <c r="J523" s="66" t="s">
        <v>225</v>
      </c>
      <c r="K523" s="66" t="s">
        <v>747</v>
      </c>
      <c r="L523" s="67">
        <v>10500000</v>
      </c>
      <c r="M523" s="67">
        <v>0</v>
      </c>
      <c r="N523" s="68">
        <f t="shared" si="35"/>
        <v>10500000</v>
      </c>
      <c r="O523" s="69">
        <f t="shared" si="34"/>
        <v>10500000</v>
      </c>
      <c r="P523" s="42" t="str">
        <f>IFERROR(VLOOKUP(J523,'Mã NV'!$B:$C,2,0),"")</f>
        <v>XE01164</v>
      </c>
      <c r="Q523" s="70" t="str">
        <f>IFERROR(VLOOKUP(I523,'Mã NV'!$J:$K,2,0),"")</f>
        <v>8T</v>
      </c>
    </row>
    <row r="524" ht="33.6" customHeight="1" spans="1:17">
      <c r="A524" s="63">
        <f t="shared" ref="A524:A587" si="36">A523+1</f>
        <v>521</v>
      </c>
      <c r="B524" s="64">
        <v>46154</v>
      </c>
      <c r="C524" s="65"/>
      <c r="D524" s="66" t="s">
        <v>22</v>
      </c>
      <c r="E524" s="66" t="s">
        <v>22</v>
      </c>
      <c r="F524" s="66" t="s">
        <v>744</v>
      </c>
      <c r="G524" s="66" t="s">
        <v>759</v>
      </c>
      <c r="H524" s="66" t="s">
        <v>745</v>
      </c>
      <c r="I524" s="66" t="s">
        <v>266</v>
      </c>
      <c r="J524" s="66" t="s">
        <v>264</v>
      </c>
      <c r="K524" s="66" t="s">
        <v>747</v>
      </c>
      <c r="L524" s="67">
        <v>5000000</v>
      </c>
      <c r="M524" s="67">
        <v>0</v>
      </c>
      <c r="N524" s="68">
        <f t="shared" si="35"/>
        <v>5000000</v>
      </c>
      <c r="O524" s="69">
        <f t="shared" si="34"/>
        <v>5000000</v>
      </c>
      <c r="P524" s="42" t="str">
        <f>IFERROR(VLOOKUP(J524,'Mã NV'!$B:$C,2,0),"")</f>
        <v>XE01678</v>
      </c>
      <c r="Q524" s="70" t="str">
        <f>IFERROR(VLOOKUP(I524,'Mã NV'!$J:$K,2,0),"")</f>
        <v>7.1t</v>
      </c>
    </row>
    <row r="525" ht="33.6" customHeight="1" spans="1:17">
      <c r="A525" s="63">
        <f t="shared" si="36"/>
        <v>522</v>
      </c>
      <c r="B525" s="64">
        <v>46154</v>
      </c>
      <c r="C525" s="65"/>
      <c r="D525" s="66" t="s">
        <v>22</v>
      </c>
      <c r="E525" s="66" t="s">
        <v>22</v>
      </c>
      <c r="F525" s="66" t="s">
        <v>744</v>
      </c>
      <c r="G525" s="66" t="s">
        <v>759</v>
      </c>
      <c r="H525" s="66" t="s">
        <v>745</v>
      </c>
      <c r="I525" s="66" t="s">
        <v>266</v>
      </c>
      <c r="J525" s="66" t="s">
        <v>399</v>
      </c>
      <c r="K525" s="66" t="s">
        <v>747</v>
      </c>
      <c r="L525" s="67">
        <v>5000000</v>
      </c>
      <c r="M525" s="67">
        <v>0</v>
      </c>
      <c r="N525" s="68">
        <f t="shared" si="35"/>
        <v>5000000</v>
      </c>
      <c r="O525" s="69">
        <f t="shared" ref="O525:O588" si="37">N525/$P$1</f>
        <v>5000000</v>
      </c>
      <c r="P525" s="42" t="str">
        <f>IFERROR(VLOOKUP(J525,'Mã NV'!$B:$C,2,0),"")</f>
        <v>XE01679</v>
      </c>
      <c r="Q525" s="70" t="str">
        <f>IFERROR(VLOOKUP(I525,'Mã NV'!$J:$K,2,0),"")</f>
        <v>7.1t</v>
      </c>
    </row>
    <row r="526" ht="33.6" customHeight="1" spans="1:17">
      <c r="A526" s="63">
        <f t="shared" si="36"/>
        <v>523</v>
      </c>
      <c r="B526" s="64">
        <v>46154</v>
      </c>
      <c r="C526" s="65"/>
      <c r="D526" s="66" t="s">
        <v>22</v>
      </c>
      <c r="E526" s="66" t="s">
        <v>22</v>
      </c>
      <c r="F526" s="66" t="s">
        <v>744</v>
      </c>
      <c r="G526" s="66" t="s">
        <v>865</v>
      </c>
      <c r="H526" s="66" t="s">
        <v>750</v>
      </c>
      <c r="I526" s="66" t="s">
        <v>290</v>
      </c>
      <c r="J526" s="66" t="s">
        <v>288</v>
      </c>
      <c r="K526" s="66" t="s">
        <v>747</v>
      </c>
      <c r="L526" s="67">
        <v>2000000</v>
      </c>
      <c r="M526" s="67">
        <v>0</v>
      </c>
      <c r="N526" s="68">
        <f t="shared" ref="N526:N589" si="38">L526-M526</f>
        <v>2000000</v>
      </c>
      <c r="O526" s="69">
        <f t="shared" si="37"/>
        <v>2000000</v>
      </c>
      <c r="P526" s="42" t="str">
        <f>IFERROR(VLOOKUP(J526,'Mã NV'!$B:$C,2,0),"")</f>
        <v>XE01563</v>
      </c>
      <c r="Q526" s="70" t="str">
        <f>IFERROR(VLOOKUP(I526,'Mã NV'!$J:$K,2,0),"")</f>
        <v>8T</v>
      </c>
    </row>
    <row r="527" ht="33.6" customHeight="1" spans="1:17">
      <c r="A527" s="63">
        <f t="shared" si="36"/>
        <v>524</v>
      </c>
      <c r="B527" s="64">
        <v>46154</v>
      </c>
      <c r="C527" s="65"/>
      <c r="D527" s="66" t="s">
        <v>22</v>
      </c>
      <c r="E527" s="66" t="s">
        <v>22</v>
      </c>
      <c r="F527" s="66" t="s">
        <v>744</v>
      </c>
      <c r="G527" s="66" t="s">
        <v>865</v>
      </c>
      <c r="H527" s="66" t="s">
        <v>750</v>
      </c>
      <c r="I527" s="66" t="s">
        <v>290</v>
      </c>
      <c r="J527" s="66" t="s">
        <v>329</v>
      </c>
      <c r="K527" s="66" t="s">
        <v>747</v>
      </c>
      <c r="L527" s="67">
        <v>2000000</v>
      </c>
      <c r="M527" s="67">
        <v>0</v>
      </c>
      <c r="N527" s="68">
        <f t="shared" si="38"/>
        <v>2000000</v>
      </c>
      <c r="O527" s="69">
        <f t="shared" si="37"/>
        <v>2000000</v>
      </c>
      <c r="P527" s="42" t="str">
        <f>IFERROR(VLOOKUP(J527,'Mã NV'!$B:$C,2,0),"")</f>
        <v>XE01609</v>
      </c>
      <c r="Q527" s="70" t="str">
        <f>IFERROR(VLOOKUP(I527,'Mã NV'!$J:$K,2,0),"")</f>
        <v>8T</v>
      </c>
    </row>
    <row r="528" ht="33.6" customHeight="1" spans="1:17">
      <c r="A528" s="63">
        <f t="shared" si="36"/>
        <v>525</v>
      </c>
      <c r="B528" s="64">
        <v>46155</v>
      </c>
      <c r="C528" s="65"/>
      <c r="D528" s="66" t="s">
        <v>22</v>
      </c>
      <c r="E528" s="66" t="s">
        <v>22</v>
      </c>
      <c r="F528" s="66" t="s">
        <v>744</v>
      </c>
      <c r="G528" s="66" t="s">
        <v>750</v>
      </c>
      <c r="H528" s="66" t="s">
        <v>745</v>
      </c>
      <c r="I528" s="66" t="s">
        <v>42</v>
      </c>
      <c r="J528" s="66" t="s">
        <v>40</v>
      </c>
      <c r="K528" s="66" t="s">
        <v>747</v>
      </c>
      <c r="L528" s="67">
        <v>9750000</v>
      </c>
      <c r="M528" s="67">
        <v>0</v>
      </c>
      <c r="N528" s="68">
        <f t="shared" si="38"/>
        <v>9750000</v>
      </c>
      <c r="O528" s="69">
        <f t="shared" si="37"/>
        <v>9750000</v>
      </c>
      <c r="P528" s="42" t="str">
        <f>IFERROR(VLOOKUP(J528,'Mã NV'!$B:$C,2,0),"")</f>
        <v>XE01417</v>
      </c>
      <c r="Q528" s="70" t="str">
        <f>IFERROR(VLOOKUP(I528,'Mã NV'!$J:$K,2,0),"")</f>
        <v>7.1t</v>
      </c>
    </row>
    <row r="529" ht="33.6" customHeight="1" spans="1:19">
      <c r="A529" s="63">
        <f t="shared" si="36"/>
        <v>526</v>
      </c>
      <c r="B529" s="64">
        <v>46155</v>
      </c>
      <c r="C529" s="65"/>
      <c r="D529" s="66" t="s">
        <v>22</v>
      </c>
      <c r="E529" s="66" t="s">
        <v>22</v>
      </c>
      <c r="F529" s="66" t="s">
        <v>744</v>
      </c>
      <c r="G529" s="66" t="s">
        <v>750</v>
      </c>
      <c r="H529" s="66" t="s">
        <v>745</v>
      </c>
      <c r="I529" s="66" t="s">
        <v>42</v>
      </c>
      <c r="J529" s="66" t="s">
        <v>333</v>
      </c>
      <c r="K529" s="66" t="s">
        <v>747</v>
      </c>
      <c r="L529" s="67">
        <v>9750000</v>
      </c>
      <c r="M529" s="67">
        <v>0</v>
      </c>
      <c r="N529" s="68">
        <f t="shared" si="38"/>
        <v>9750000</v>
      </c>
      <c r="O529" s="69">
        <f t="shared" si="37"/>
        <v>9750000</v>
      </c>
      <c r="P529" s="42" t="str">
        <f>IFERROR(VLOOKUP(J529,'Mã NV'!$B:$C,2,0),"")</f>
        <v>XE01671</v>
      </c>
      <c r="Q529" s="70" t="str">
        <f>IFERROR(VLOOKUP(I529,'Mã NV'!$J:$K,2,0),"")</f>
        <v>7.1t</v>
      </c>
    </row>
    <row r="530" ht="33.6" customHeight="1" spans="1:19">
      <c r="A530" s="63">
        <f t="shared" si="36"/>
        <v>527</v>
      </c>
      <c r="B530" s="64">
        <v>46157</v>
      </c>
      <c r="C530" s="65"/>
      <c r="D530" s="66" t="s">
        <v>22</v>
      </c>
      <c r="E530" s="66" t="s">
        <v>22</v>
      </c>
      <c r="F530" s="66" t="s">
        <v>744</v>
      </c>
      <c r="G530" s="66" t="s">
        <v>750</v>
      </c>
      <c r="H530" s="66" t="s">
        <v>866</v>
      </c>
      <c r="I530" s="66" t="s">
        <v>270</v>
      </c>
      <c r="J530" s="66" t="s">
        <v>268</v>
      </c>
      <c r="K530" s="66" t="s">
        <v>747</v>
      </c>
      <c r="L530" s="67">
        <v>12500000</v>
      </c>
      <c r="M530" s="67">
        <v>0</v>
      </c>
      <c r="N530" s="68">
        <f t="shared" si="38"/>
        <v>12500000</v>
      </c>
      <c r="O530" s="69">
        <f t="shared" si="37"/>
        <v>12500000</v>
      </c>
      <c r="P530" s="42" t="str">
        <f>IFERROR(VLOOKUP(J530,'Mã NV'!$B:$C,2,0),"")</f>
        <v>XE01506</v>
      </c>
      <c r="Q530" s="70" t="str">
        <f>IFERROR(VLOOKUP(I530,'Mã NV'!$J:$K,2,0),"")</f>
        <v>15T</v>
      </c>
    </row>
    <row r="531" ht="33.6" customHeight="1" spans="1:19">
      <c r="A531" s="63">
        <f t="shared" si="36"/>
        <v>528</v>
      </c>
      <c r="B531" s="64">
        <v>46157</v>
      </c>
      <c r="C531" s="65"/>
      <c r="D531" s="66" t="s">
        <v>22</v>
      </c>
      <c r="E531" s="66" t="s">
        <v>22</v>
      </c>
      <c r="F531" s="66" t="s">
        <v>744</v>
      </c>
      <c r="G531" s="66" t="s">
        <v>750</v>
      </c>
      <c r="H531" s="66" t="s">
        <v>866</v>
      </c>
      <c r="I531" s="66" t="s">
        <v>270</v>
      </c>
      <c r="J531" s="66" t="s">
        <v>271</v>
      </c>
      <c r="K531" s="66" t="s">
        <v>747</v>
      </c>
      <c r="L531" s="67">
        <v>12500000</v>
      </c>
      <c r="M531" s="67">
        <v>0</v>
      </c>
      <c r="N531" s="68">
        <f t="shared" si="38"/>
        <v>12500000</v>
      </c>
      <c r="O531" s="69">
        <f t="shared" si="37"/>
        <v>12500000</v>
      </c>
      <c r="P531" s="42" t="str">
        <f>IFERROR(VLOOKUP(J531,'Mã NV'!$B:$C,2,0),"")</f>
        <v>XE01507</v>
      </c>
      <c r="Q531" s="70" t="str">
        <f>IFERROR(VLOOKUP(I531,'Mã NV'!$J:$K,2,0),"")</f>
        <v>15T</v>
      </c>
    </row>
    <row r="532" ht="33.6" customHeight="1" spans="1:19">
      <c r="A532" s="63">
        <f t="shared" si="36"/>
        <v>529</v>
      </c>
      <c r="B532" s="64">
        <v>46157</v>
      </c>
      <c r="C532" s="65"/>
      <c r="D532" s="66" t="s">
        <v>22</v>
      </c>
      <c r="E532" s="66" t="s">
        <v>22</v>
      </c>
      <c r="F532" s="66" t="s">
        <v>744</v>
      </c>
      <c r="G532" s="66" t="s">
        <v>750</v>
      </c>
      <c r="H532" s="66" t="s">
        <v>745</v>
      </c>
      <c r="I532" s="66" t="s">
        <v>293</v>
      </c>
      <c r="J532" s="66" t="s">
        <v>294</v>
      </c>
      <c r="K532" s="66" t="s">
        <v>747</v>
      </c>
      <c r="L532" s="67">
        <v>10500000</v>
      </c>
      <c r="M532" s="67">
        <v>0</v>
      </c>
      <c r="N532" s="68">
        <f t="shared" si="38"/>
        <v>10500000</v>
      </c>
      <c r="O532" s="69">
        <f t="shared" si="37"/>
        <v>10500000</v>
      </c>
      <c r="P532" s="42" t="str">
        <f>IFERROR(VLOOKUP(J532,'Mã NV'!$B:$C,2,0),"")</f>
        <v>XE01551</v>
      </c>
      <c r="Q532" s="70" t="str">
        <f>IFERROR(VLOOKUP(I532,'Mã NV'!$J:$K,2,0),"")</f>
        <v>8T</v>
      </c>
    </row>
    <row r="533" ht="33.6" customHeight="1" spans="1:19">
      <c r="A533" s="63">
        <f t="shared" si="36"/>
        <v>530</v>
      </c>
      <c r="B533" s="64">
        <v>46157</v>
      </c>
      <c r="C533" s="65"/>
      <c r="D533" s="66" t="s">
        <v>22</v>
      </c>
      <c r="E533" s="66" t="s">
        <v>22</v>
      </c>
      <c r="F533" s="66" t="s">
        <v>744</v>
      </c>
      <c r="G533" s="66" t="s">
        <v>750</v>
      </c>
      <c r="H533" s="66" t="s">
        <v>745</v>
      </c>
      <c r="I533" s="66" t="s">
        <v>293</v>
      </c>
      <c r="J533" s="66" t="s">
        <v>291</v>
      </c>
      <c r="K533" s="66" t="s">
        <v>747</v>
      </c>
      <c r="L533" s="67">
        <v>10500000</v>
      </c>
      <c r="M533" s="67">
        <v>0</v>
      </c>
      <c r="N533" s="68">
        <f t="shared" si="38"/>
        <v>10500000</v>
      </c>
      <c r="O533" s="69">
        <f t="shared" si="37"/>
        <v>10500000</v>
      </c>
      <c r="P533" s="42" t="str">
        <f>IFERROR(VLOOKUP(J533,'Mã NV'!$B:$C,2,0),"")</f>
        <v>XE01552</v>
      </c>
      <c r="Q533" s="70" t="str">
        <f>IFERROR(VLOOKUP(I533,'Mã NV'!$J:$K,2,0),"")</f>
        <v>8T</v>
      </c>
    </row>
    <row r="534" ht="33.6" customHeight="1" spans="1:19">
      <c r="A534" s="63">
        <f t="shared" si="36"/>
        <v>531</v>
      </c>
      <c r="B534" s="64">
        <v>46163</v>
      </c>
      <c r="C534" s="65"/>
      <c r="D534" s="66" t="s">
        <v>22</v>
      </c>
      <c r="E534" s="66" t="s">
        <v>22</v>
      </c>
      <c r="F534" s="66" t="s">
        <v>744</v>
      </c>
      <c r="G534" s="66" t="s">
        <v>750</v>
      </c>
      <c r="H534" s="66" t="s">
        <v>867</v>
      </c>
      <c r="I534" s="66" t="s">
        <v>141</v>
      </c>
      <c r="J534" s="66" t="s">
        <v>145</v>
      </c>
      <c r="K534" s="66" t="s">
        <v>747</v>
      </c>
      <c r="L534" s="67">
        <v>10000000</v>
      </c>
      <c r="M534" s="67">
        <v>0</v>
      </c>
      <c r="N534" s="68">
        <f t="shared" si="38"/>
        <v>10000000</v>
      </c>
      <c r="O534" s="69">
        <f t="shared" si="37"/>
        <v>10000000</v>
      </c>
      <c r="P534" s="42" t="str">
        <f>IFERROR(VLOOKUP(J534,'Mã NV'!$B:$C,2,0),"")</f>
        <v>XE01326</v>
      </c>
      <c r="Q534" s="70" t="str">
        <f>IFERROR(VLOOKUP(I534,'Mã NV'!$J:$K,2,0),"")</f>
        <v>7.1t</v>
      </c>
    </row>
    <row r="535" ht="33.6" customHeight="1" spans="1:19">
      <c r="A535" s="63">
        <f t="shared" si="36"/>
        <v>532</v>
      </c>
      <c r="B535" s="64">
        <v>46163</v>
      </c>
      <c r="C535" s="65"/>
      <c r="D535" s="66" t="s">
        <v>22</v>
      </c>
      <c r="E535" s="66" t="s">
        <v>22</v>
      </c>
      <c r="F535" s="66" t="s">
        <v>744</v>
      </c>
      <c r="G535" s="66" t="s">
        <v>750</v>
      </c>
      <c r="H535" s="66" t="s">
        <v>867</v>
      </c>
      <c r="I535" s="66" t="s">
        <v>141</v>
      </c>
      <c r="J535" s="66" t="s">
        <v>139</v>
      </c>
      <c r="K535" s="66" t="s">
        <v>747</v>
      </c>
      <c r="L535" s="67">
        <v>10000000</v>
      </c>
      <c r="M535" s="67">
        <v>0</v>
      </c>
      <c r="N535" s="68">
        <f t="shared" si="38"/>
        <v>10000000</v>
      </c>
      <c r="O535" s="69">
        <f t="shared" si="37"/>
        <v>10000000</v>
      </c>
      <c r="P535" s="42" t="str">
        <f>IFERROR(VLOOKUP(J535,'Mã NV'!$B:$C,2,0),"")</f>
        <v>XE01325</v>
      </c>
      <c r="Q535" s="70" t="str">
        <f>IFERROR(VLOOKUP(I535,'Mã NV'!$J:$K,2,0),"")</f>
        <v>7.1t</v>
      </c>
    </row>
    <row r="536" ht="33.6" customHeight="1" spans="1:19">
      <c r="A536" s="63">
        <f t="shared" si="36"/>
        <v>533</v>
      </c>
      <c r="B536" s="64">
        <v>46164</v>
      </c>
      <c r="C536" s="65"/>
      <c r="D536" s="66" t="s">
        <v>22</v>
      </c>
      <c r="E536" s="66" t="s">
        <v>22</v>
      </c>
      <c r="F536" s="66" t="s">
        <v>744</v>
      </c>
      <c r="G536" s="66" t="s">
        <v>868</v>
      </c>
      <c r="H536" s="66" t="s">
        <v>772</v>
      </c>
      <c r="I536" s="66" t="s">
        <v>38</v>
      </c>
      <c r="J536" s="66" t="s">
        <v>105</v>
      </c>
      <c r="K536" s="66" t="s">
        <v>747</v>
      </c>
      <c r="L536" s="67">
        <v>29000000</v>
      </c>
      <c r="M536" s="67">
        <v>0</v>
      </c>
      <c r="N536" s="68">
        <f t="shared" si="38"/>
        <v>29000000</v>
      </c>
      <c r="O536" s="69">
        <f t="shared" si="37"/>
        <v>29000000</v>
      </c>
      <c r="P536" s="42" t="str">
        <f>IFERROR(VLOOKUP(J536,'Mã NV'!$B:$C,2,0),"")</f>
        <v>XE00853</v>
      </c>
      <c r="Q536" s="70" t="str">
        <f>IFERROR(VLOOKUP(I536,'Mã NV'!$J:$K,2,0),"")</f>
        <v>Cont 50F</v>
      </c>
    </row>
    <row r="537" ht="33.6" customHeight="1" spans="1:19">
      <c r="A537" s="63">
        <f t="shared" si="36"/>
        <v>534</v>
      </c>
      <c r="B537" s="64">
        <v>46147</v>
      </c>
      <c r="C537" s="65"/>
      <c r="D537" s="66" t="s">
        <v>116</v>
      </c>
      <c r="E537" s="66" t="s">
        <v>116</v>
      </c>
      <c r="F537" s="66" t="s">
        <v>744</v>
      </c>
      <c r="G537" s="66" t="s">
        <v>869</v>
      </c>
      <c r="H537" s="66" t="s">
        <v>787</v>
      </c>
      <c r="I537" s="66" t="s">
        <v>127</v>
      </c>
      <c r="J537" s="66" t="s">
        <v>125</v>
      </c>
      <c r="K537" s="66" t="s">
        <v>747</v>
      </c>
      <c r="L537" s="67">
        <v>3000000</v>
      </c>
      <c r="M537" s="67">
        <v>0</v>
      </c>
      <c r="N537" s="68">
        <f t="shared" si="38"/>
        <v>3000000</v>
      </c>
      <c r="O537" s="69">
        <f t="shared" si="37"/>
        <v>3000000</v>
      </c>
      <c r="P537" s="42" t="str">
        <f>IFERROR(VLOOKUP(J537,'Mã NV'!$B:$C,2,0),"")</f>
        <v>XE00547</v>
      </c>
      <c r="Q537" s="70" t="str">
        <f>IFERROR(VLOOKUP(I537,'Mã NV'!$J:$K,2,0),"")</f>
        <v>8T</v>
      </c>
      <c r="S537" s="44">
        <v>250000</v>
      </c>
    </row>
    <row r="538" ht="33.6" customHeight="1" spans="1:19">
      <c r="A538" s="63">
        <f t="shared" si="36"/>
        <v>535</v>
      </c>
      <c r="B538" s="64">
        <v>46151</v>
      </c>
      <c r="C538" s="65"/>
      <c r="D538" s="66" t="s">
        <v>116</v>
      </c>
      <c r="E538" s="66" t="s">
        <v>116</v>
      </c>
      <c r="F538" s="66" t="s">
        <v>744</v>
      </c>
      <c r="G538" s="66" t="s">
        <v>869</v>
      </c>
      <c r="H538" s="66" t="s">
        <v>787</v>
      </c>
      <c r="I538" s="66" t="s">
        <v>115</v>
      </c>
      <c r="J538" s="66" t="s">
        <v>113</v>
      </c>
      <c r="K538" s="66" t="s">
        <v>747</v>
      </c>
      <c r="L538" s="67">
        <v>3000000</v>
      </c>
      <c r="M538" s="67">
        <v>0</v>
      </c>
      <c r="N538" s="68">
        <f t="shared" si="38"/>
        <v>3000000</v>
      </c>
      <c r="O538" s="69">
        <f t="shared" si="37"/>
        <v>3000000</v>
      </c>
      <c r="P538" s="42" t="str">
        <f>IFERROR(VLOOKUP(J538,'Mã NV'!$B:$C,2,0),"")</f>
        <v>XE00447</v>
      </c>
      <c r="Q538" s="70" t="str">
        <f>IFERROR(VLOOKUP(I538,'Mã NV'!$J:$K,2,0),"")</f>
        <v>8T</v>
      </c>
      <c r="S538" s="44">
        <v>250000</v>
      </c>
    </row>
    <row r="539" ht="33.6" customHeight="1" spans="1:19">
      <c r="A539" s="63">
        <f t="shared" si="36"/>
        <v>536</v>
      </c>
      <c r="B539" s="64">
        <v>46155</v>
      </c>
      <c r="C539" s="65"/>
      <c r="D539" s="66" t="s">
        <v>116</v>
      </c>
      <c r="E539" s="66" t="s">
        <v>116</v>
      </c>
      <c r="F539" s="66" t="s">
        <v>744</v>
      </c>
      <c r="G539" s="66" t="s">
        <v>869</v>
      </c>
      <c r="H539" s="66" t="s">
        <v>787</v>
      </c>
      <c r="I539" s="66" t="s">
        <v>52</v>
      </c>
      <c r="J539" s="66" t="s">
        <v>131</v>
      </c>
      <c r="K539" s="66" t="s">
        <v>747</v>
      </c>
      <c r="L539" s="67">
        <v>3000000</v>
      </c>
      <c r="M539" s="67">
        <v>0</v>
      </c>
      <c r="N539" s="68">
        <f t="shared" si="38"/>
        <v>3000000</v>
      </c>
      <c r="O539" s="69">
        <f t="shared" si="37"/>
        <v>3000000</v>
      </c>
      <c r="P539" s="42" t="str">
        <f>IFERROR(VLOOKUP(J539,'Mã NV'!$B:$C,2,0),"")</f>
        <v>XE00847</v>
      </c>
      <c r="Q539" s="70" t="str">
        <f>IFERROR(VLOOKUP(I539,'Mã NV'!$J:$K,2,0),"")</f>
        <v>8T</v>
      </c>
      <c r="S539" s="44">
        <v>250000</v>
      </c>
    </row>
    <row r="540" ht="33.6" customHeight="1" spans="1:19">
      <c r="A540" s="63">
        <f t="shared" si="36"/>
        <v>537</v>
      </c>
      <c r="B540" s="64">
        <v>46162</v>
      </c>
      <c r="C540" s="65"/>
      <c r="D540" s="66" t="s">
        <v>116</v>
      </c>
      <c r="E540" s="66" t="s">
        <v>116</v>
      </c>
      <c r="F540" s="66" t="s">
        <v>744</v>
      </c>
      <c r="G540" s="66" t="s">
        <v>869</v>
      </c>
      <c r="H540" s="66" t="s">
        <v>787</v>
      </c>
      <c r="I540" s="66" t="s">
        <v>127</v>
      </c>
      <c r="J540" s="66" t="s">
        <v>125</v>
      </c>
      <c r="K540" s="66" t="s">
        <v>747</v>
      </c>
      <c r="L540" s="67">
        <v>3000000</v>
      </c>
      <c r="M540" s="67">
        <v>0</v>
      </c>
      <c r="N540" s="68">
        <f t="shared" si="38"/>
        <v>3000000</v>
      </c>
      <c r="O540" s="69">
        <f t="shared" si="37"/>
        <v>3000000</v>
      </c>
      <c r="P540" s="42" t="str">
        <f>IFERROR(VLOOKUP(J540,'Mã NV'!$B:$C,2,0),"")</f>
        <v>XE00547</v>
      </c>
      <c r="Q540" s="70" t="str">
        <f>IFERROR(VLOOKUP(I540,'Mã NV'!$J:$K,2,0),"")</f>
        <v>8T</v>
      </c>
      <c r="S540" s="44">
        <v>250000</v>
      </c>
    </row>
    <row r="541" ht="33.6" customHeight="1" spans="1:19">
      <c r="A541" s="63">
        <f t="shared" si="36"/>
        <v>538</v>
      </c>
      <c r="B541" s="64">
        <v>46165</v>
      </c>
      <c r="C541" s="65"/>
      <c r="D541" s="66" t="s">
        <v>116</v>
      </c>
      <c r="E541" s="66" t="s">
        <v>116</v>
      </c>
      <c r="F541" s="66" t="s">
        <v>744</v>
      </c>
      <c r="G541" s="66" t="s">
        <v>869</v>
      </c>
      <c r="H541" s="66" t="s">
        <v>787</v>
      </c>
      <c r="I541" s="66" t="s">
        <v>115</v>
      </c>
      <c r="J541" s="66" t="s">
        <v>113</v>
      </c>
      <c r="K541" s="66" t="s">
        <v>747</v>
      </c>
      <c r="L541" s="67">
        <v>3000000</v>
      </c>
      <c r="M541" s="67">
        <v>1000000</v>
      </c>
      <c r="N541" s="68">
        <f t="shared" si="38"/>
        <v>2000000</v>
      </c>
      <c r="O541" s="69">
        <f t="shared" si="37"/>
        <v>2000000</v>
      </c>
      <c r="P541" s="42" t="str">
        <f>IFERROR(VLOOKUP(J541,'Mã NV'!$B:$C,2,0),"")</f>
        <v>XE00447</v>
      </c>
      <c r="Q541" s="70" t="str">
        <f>IFERROR(VLOOKUP(I541,'Mã NV'!$J:$K,2,0),"")</f>
        <v>8T</v>
      </c>
      <c r="S541" s="44">
        <v>250000</v>
      </c>
    </row>
    <row r="542" ht="33.6" customHeight="1" spans="1:19">
      <c r="A542" s="63">
        <f t="shared" si="36"/>
        <v>539</v>
      </c>
      <c r="B542" s="64">
        <v>46165</v>
      </c>
      <c r="C542" s="65"/>
      <c r="D542" s="66" t="s">
        <v>116</v>
      </c>
      <c r="E542" s="66" t="s">
        <v>116</v>
      </c>
      <c r="F542" s="66" t="s">
        <v>744</v>
      </c>
      <c r="G542" s="66" t="s">
        <v>869</v>
      </c>
      <c r="H542" s="66" t="s">
        <v>787</v>
      </c>
      <c r="I542" s="66" t="s">
        <v>52</v>
      </c>
      <c r="J542" s="66" t="s">
        <v>162</v>
      </c>
      <c r="K542" s="66" t="s">
        <v>747</v>
      </c>
      <c r="L542" s="67">
        <v>3000000</v>
      </c>
      <c r="M542" s="67">
        <v>500000</v>
      </c>
      <c r="N542" s="68">
        <f t="shared" si="38"/>
        <v>2500000</v>
      </c>
      <c r="O542" s="69">
        <f t="shared" si="37"/>
        <v>2500000</v>
      </c>
      <c r="P542" s="42" t="str">
        <f>IFERROR(VLOOKUP(J542,'Mã NV'!$B:$C,2,0),"")</f>
        <v>XE00779</v>
      </c>
      <c r="Q542" s="70" t="str">
        <f>IFERROR(VLOOKUP(I542,'Mã NV'!$J:$K,2,0),"")</f>
        <v>8T</v>
      </c>
      <c r="S542" s="44">
        <v>250000</v>
      </c>
    </row>
    <row r="543" ht="33.6" customHeight="1" spans="1:19">
      <c r="A543" s="63">
        <f t="shared" si="36"/>
        <v>540</v>
      </c>
      <c r="B543" s="64">
        <v>46171</v>
      </c>
      <c r="C543" s="65"/>
      <c r="D543" s="66" t="s">
        <v>116</v>
      </c>
      <c r="E543" s="66" t="s">
        <v>116</v>
      </c>
      <c r="F543" s="66" t="s">
        <v>744</v>
      </c>
      <c r="G543" s="66" t="s">
        <v>869</v>
      </c>
      <c r="H543" s="66" t="s">
        <v>787</v>
      </c>
      <c r="I543" s="66" t="s">
        <v>115</v>
      </c>
      <c r="J543" s="66" t="s">
        <v>113</v>
      </c>
      <c r="K543" s="66" t="s">
        <v>747</v>
      </c>
      <c r="L543" s="67">
        <v>3000000</v>
      </c>
      <c r="M543" s="67">
        <v>0</v>
      </c>
      <c r="N543" s="68">
        <f t="shared" si="38"/>
        <v>3000000</v>
      </c>
      <c r="O543" s="69">
        <f t="shared" si="37"/>
        <v>3000000</v>
      </c>
      <c r="P543" s="42" t="str">
        <f>IFERROR(VLOOKUP(J543,'Mã NV'!$B:$C,2,0),"")</f>
        <v>XE00447</v>
      </c>
      <c r="Q543" s="70" t="str">
        <f>IFERROR(VLOOKUP(I543,'Mã NV'!$J:$K,2,0),"")</f>
        <v>8T</v>
      </c>
      <c r="S543" s="44">
        <v>250000</v>
      </c>
    </row>
    <row r="544" ht="33.6" customHeight="1" spans="1:19">
      <c r="A544" s="63">
        <f t="shared" si="36"/>
        <v>541</v>
      </c>
      <c r="B544" s="64">
        <v>46156</v>
      </c>
      <c r="C544" s="65"/>
      <c r="D544" s="66" t="s">
        <v>380</v>
      </c>
      <c r="E544" s="66" t="s">
        <v>380</v>
      </c>
      <c r="F544" s="66" t="s">
        <v>744</v>
      </c>
      <c r="G544" s="66" t="s">
        <v>770</v>
      </c>
      <c r="H544" s="66" t="s">
        <v>770</v>
      </c>
      <c r="I544" s="66" t="s">
        <v>379</v>
      </c>
      <c r="J544" s="66" t="s">
        <v>377</v>
      </c>
      <c r="K544" s="66" t="s">
        <v>747</v>
      </c>
      <c r="L544" s="67">
        <v>900000</v>
      </c>
      <c r="M544" s="67">
        <v>0</v>
      </c>
      <c r="N544" s="68">
        <f t="shared" si="38"/>
        <v>900000</v>
      </c>
      <c r="O544" s="69">
        <f t="shared" si="37"/>
        <v>900000</v>
      </c>
      <c r="P544" s="42" t="str">
        <f>IFERROR(VLOOKUP(J544,'Mã NV'!$B:$C,2,0),"")</f>
        <v>XE01666</v>
      </c>
      <c r="Q544" s="70" t="str">
        <f>IFERROR(VLOOKUP(I544,'Mã NV'!$J:$K,2,0),"")</f>
        <v>2T5</v>
      </c>
    </row>
    <row r="545" ht="33.6" customHeight="1" spans="1:17">
      <c r="A545" s="63">
        <f t="shared" si="36"/>
        <v>542</v>
      </c>
      <c r="B545" s="64">
        <v>46170</v>
      </c>
      <c r="C545" s="65"/>
      <c r="D545" s="66" t="s">
        <v>380</v>
      </c>
      <c r="E545" s="66" t="s">
        <v>380</v>
      </c>
      <c r="F545" s="66" t="s">
        <v>744</v>
      </c>
      <c r="G545" s="66" t="s">
        <v>770</v>
      </c>
      <c r="H545" s="66" t="s">
        <v>759</v>
      </c>
      <c r="I545" s="66" t="s">
        <v>394</v>
      </c>
      <c r="J545" s="66" t="s">
        <v>393</v>
      </c>
      <c r="K545" s="66" t="s">
        <v>870</v>
      </c>
      <c r="L545" s="67">
        <v>22500000</v>
      </c>
      <c r="M545" s="67">
        <v>1500000</v>
      </c>
      <c r="N545" s="68">
        <f t="shared" si="38"/>
        <v>21000000</v>
      </c>
      <c r="O545" s="69">
        <f t="shared" si="37"/>
        <v>21000000</v>
      </c>
      <c r="P545" s="42" t="str">
        <f>IFERROR(VLOOKUP(J545,'Mã NV'!$B:$C,2,0),"")</f>
        <v/>
      </c>
      <c r="Q545" s="70" t="str">
        <f>IFERROR(VLOOKUP(I545,'Mã NV'!$J:$K,2,0),"")</f>
        <v/>
      </c>
    </row>
    <row r="546" ht="33.6" customHeight="1" spans="1:17">
      <c r="A546" s="63">
        <f t="shared" si="36"/>
        <v>543</v>
      </c>
      <c r="B546" s="64">
        <v>46170</v>
      </c>
      <c r="C546" s="65"/>
      <c r="D546" s="66" t="s">
        <v>380</v>
      </c>
      <c r="E546" s="66" t="s">
        <v>380</v>
      </c>
      <c r="F546" s="66" t="s">
        <v>744</v>
      </c>
      <c r="G546" s="66" t="s">
        <v>770</v>
      </c>
      <c r="H546" s="66" t="s">
        <v>759</v>
      </c>
      <c r="I546" s="66" t="s">
        <v>395</v>
      </c>
      <c r="J546" s="66" t="s">
        <v>393</v>
      </c>
      <c r="K546" s="66" t="s">
        <v>870</v>
      </c>
      <c r="L546" s="67">
        <v>22500000</v>
      </c>
      <c r="M546" s="67">
        <v>1500000</v>
      </c>
      <c r="N546" s="68">
        <f t="shared" si="38"/>
        <v>21000000</v>
      </c>
      <c r="O546" s="69">
        <f t="shared" si="37"/>
        <v>21000000</v>
      </c>
      <c r="P546" s="42" t="str">
        <f>IFERROR(VLOOKUP(J546,'Mã NV'!$B:$C,2,0),"")</f>
        <v/>
      </c>
      <c r="Q546" s="70" t="str">
        <f>IFERROR(VLOOKUP(I546,'Mã NV'!$J:$K,2,0),"")</f>
        <v/>
      </c>
    </row>
    <row r="547" ht="33.6" customHeight="1" spans="1:17">
      <c r="A547" s="63">
        <f t="shared" si="36"/>
        <v>544</v>
      </c>
      <c r="B547" s="64">
        <v>46149</v>
      </c>
      <c r="C547" s="65"/>
      <c r="D547" s="66" t="s">
        <v>110</v>
      </c>
      <c r="E547" s="66" t="s">
        <v>110</v>
      </c>
      <c r="F547" s="66" t="s">
        <v>744</v>
      </c>
      <c r="G547" s="66" t="s">
        <v>745</v>
      </c>
      <c r="H547" s="66" t="s">
        <v>750</v>
      </c>
      <c r="I547" s="66" t="s">
        <v>223</v>
      </c>
      <c r="J547" s="66" t="s">
        <v>221</v>
      </c>
      <c r="K547" s="66" t="s">
        <v>747</v>
      </c>
      <c r="L547" s="67">
        <v>9850000</v>
      </c>
      <c r="M547" s="67">
        <v>0</v>
      </c>
      <c r="N547" s="68">
        <f t="shared" si="38"/>
        <v>9850000</v>
      </c>
      <c r="O547" s="69">
        <f t="shared" si="37"/>
        <v>9850000</v>
      </c>
      <c r="P547" s="42" t="str">
        <f>IFERROR(VLOOKUP(J547,'Mã NV'!$B:$C,2,0),"")</f>
        <v>XE01283</v>
      </c>
      <c r="Q547" s="70" t="str">
        <f>IFERROR(VLOOKUP(I547,'Mã NV'!$J:$K,2,0),"")</f>
        <v>7.1t</v>
      </c>
    </row>
    <row r="548" ht="33.6" customHeight="1" spans="1:17">
      <c r="A548" s="63">
        <f t="shared" si="36"/>
        <v>545</v>
      </c>
      <c r="B548" s="64">
        <v>46149</v>
      </c>
      <c r="C548" s="65"/>
      <c r="D548" s="66" t="s">
        <v>110</v>
      </c>
      <c r="E548" s="66" t="s">
        <v>110</v>
      </c>
      <c r="F548" s="66" t="s">
        <v>744</v>
      </c>
      <c r="G548" s="66" t="s">
        <v>745</v>
      </c>
      <c r="H548" s="66" t="s">
        <v>750</v>
      </c>
      <c r="I548" s="66" t="s">
        <v>223</v>
      </c>
      <c r="J548" s="66" t="s">
        <v>296</v>
      </c>
      <c r="K548" s="66" t="s">
        <v>747</v>
      </c>
      <c r="L548" s="67">
        <v>9850000</v>
      </c>
      <c r="M548" s="67">
        <v>0</v>
      </c>
      <c r="N548" s="68">
        <f t="shared" si="38"/>
        <v>9850000</v>
      </c>
      <c r="O548" s="69">
        <f t="shared" si="37"/>
        <v>9850000</v>
      </c>
      <c r="P548" s="42" t="str">
        <f>IFERROR(VLOOKUP(J548,'Mã NV'!$B:$C,2,0),"")</f>
        <v>XE01541</v>
      </c>
      <c r="Q548" s="70" t="str">
        <f>IFERROR(VLOOKUP(I548,'Mã NV'!$J:$K,2,0),"")</f>
        <v>7.1t</v>
      </c>
    </row>
    <row r="549" ht="33.6" customHeight="1" spans="1:17">
      <c r="A549" s="63">
        <f t="shared" si="36"/>
        <v>546</v>
      </c>
      <c r="B549" s="64">
        <v>46151</v>
      </c>
      <c r="C549" s="65"/>
      <c r="D549" s="66" t="s">
        <v>110</v>
      </c>
      <c r="E549" s="66" t="s">
        <v>110</v>
      </c>
      <c r="F549" s="66" t="s">
        <v>744</v>
      </c>
      <c r="G549" s="66" t="s">
        <v>770</v>
      </c>
      <c r="H549" s="66" t="s">
        <v>750</v>
      </c>
      <c r="I549" s="66" t="s">
        <v>109</v>
      </c>
      <c r="J549" s="66" t="s">
        <v>107</v>
      </c>
      <c r="K549" s="66" t="s">
        <v>747</v>
      </c>
      <c r="L549" s="67">
        <v>6637500</v>
      </c>
      <c r="M549" s="67">
        <v>0</v>
      </c>
      <c r="N549" s="68">
        <f t="shared" si="38"/>
        <v>6637500</v>
      </c>
      <c r="O549" s="69">
        <f t="shared" si="37"/>
        <v>6637500</v>
      </c>
      <c r="P549" s="42" t="str">
        <f>IFERROR(VLOOKUP(J549,'Mã NV'!$B:$C,2,0),"")</f>
        <v>XE01102</v>
      </c>
      <c r="Q549" s="70" t="str">
        <f>IFERROR(VLOOKUP(I549,'Mã NV'!$J:$K,2,0),"")</f>
        <v>15T</v>
      </c>
    </row>
    <row r="550" ht="33.6" customHeight="1" spans="1:17">
      <c r="A550" s="63">
        <f t="shared" si="36"/>
        <v>547</v>
      </c>
      <c r="B550" s="64">
        <v>46151</v>
      </c>
      <c r="C550" s="65"/>
      <c r="D550" s="66" t="s">
        <v>110</v>
      </c>
      <c r="E550" s="66" t="s">
        <v>110</v>
      </c>
      <c r="F550" s="66" t="s">
        <v>744</v>
      </c>
      <c r="G550" s="66" t="s">
        <v>770</v>
      </c>
      <c r="H550" s="66" t="s">
        <v>750</v>
      </c>
      <c r="I550" s="66" t="s">
        <v>109</v>
      </c>
      <c r="J550" s="66" t="s">
        <v>120</v>
      </c>
      <c r="K550" s="66" t="s">
        <v>747</v>
      </c>
      <c r="L550" s="67">
        <v>6637500</v>
      </c>
      <c r="M550" s="67">
        <v>0</v>
      </c>
      <c r="N550" s="68">
        <f t="shared" si="38"/>
        <v>6637500</v>
      </c>
      <c r="O550" s="69">
        <f t="shared" si="37"/>
        <v>6637500</v>
      </c>
      <c r="P550" s="42" t="str">
        <f>IFERROR(VLOOKUP(J550,'Mã NV'!$B:$C,2,0),"")</f>
        <v>XE01315</v>
      </c>
      <c r="Q550" s="70" t="str">
        <f>IFERROR(VLOOKUP(I550,'Mã NV'!$J:$K,2,0),"")</f>
        <v>15T</v>
      </c>
    </row>
    <row r="551" ht="33.6" customHeight="1" spans="1:17">
      <c r="A551" s="63">
        <f t="shared" si="36"/>
        <v>548</v>
      </c>
      <c r="B551" s="64">
        <v>46156</v>
      </c>
      <c r="C551" s="65"/>
      <c r="D551" s="66" t="s">
        <v>110</v>
      </c>
      <c r="E551" s="66" t="s">
        <v>110</v>
      </c>
      <c r="F551" s="66" t="s">
        <v>744</v>
      </c>
      <c r="G551" s="66" t="s">
        <v>745</v>
      </c>
      <c r="H551" s="66" t="s">
        <v>750</v>
      </c>
      <c r="I551" s="66" t="s">
        <v>223</v>
      </c>
      <c r="J551" s="66" t="s">
        <v>221</v>
      </c>
      <c r="K551" s="66" t="s">
        <v>747</v>
      </c>
      <c r="L551" s="67">
        <v>5675000</v>
      </c>
      <c r="M551" s="67">
        <v>0</v>
      </c>
      <c r="N551" s="68">
        <f t="shared" si="38"/>
        <v>5675000</v>
      </c>
      <c r="O551" s="69">
        <f t="shared" si="37"/>
        <v>5675000</v>
      </c>
      <c r="P551" s="42" t="str">
        <f>IFERROR(VLOOKUP(J551,'Mã NV'!$B:$C,2,0),"")</f>
        <v>XE01283</v>
      </c>
      <c r="Q551" s="70" t="str">
        <f>IFERROR(VLOOKUP(I551,'Mã NV'!$J:$K,2,0),"")</f>
        <v>7.1t</v>
      </c>
    </row>
    <row r="552" ht="33.6" customHeight="1" spans="1:17">
      <c r="A552" s="63">
        <f t="shared" si="36"/>
        <v>549</v>
      </c>
      <c r="B552" s="64">
        <v>46156</v>
      </c>
      <c r="C552" s="65"/>
      <c r="D552" s="66" t="s">
        <v>110</v>
      </c>
      <c r="E552" s="66" t="s">
        <v>110</v>
      </c>
      <c r="F552" s="66" t="s">
        <v>744</v>
      </c>
      <c r="G552" s="66" t="s">
        <v>745</v>
      </c>
      <c r="H552" s="66" t="s">
        <v>750</v>
      </c>
      <c r="I552" s="66" t="s">
        <v>223</v>
      </c>
      <c r="J552" s="66" t="s">
        <v>296</v>
      </c>
      <c r="K552" s="66" t="s">
        <v>747</v>
      </c>
      <c r="L552" s="67">
        <v>5675000</v>
      </c>
      <c r="M552" s="67">
        <v>0</v>
      </c>
      <c r="N552" s="68">
        <f t="shared" si="38"/>
        <v>5675000</v>
      </c>
      <c r="O552" s="69">
        <f t="shared" si="37"/>
        <v>5675000</v>
      </c>
      <c r="P552" s="42" t="str">
        <f>IFERROR(VLOOKUP(J552,'Mã NV'!$B:$C,2,0),"")</f>
        <v>XE01541</v>
      </c>
      <c r="Q552" s="70" t="str">
        <f>IFERROR(VLOOKUP(I552,'Mã NV'!$J:$K,2,0),"")</f>
        <v>7.1t</v>
      </c>
    </row>
    <row r="553" ht="33.6" customHeight="1" spans="1:17">
      <c r="A553" s="63">
        <f t="shared" si="36"/>
        <v>550</v>
      </c>
      <c r="B553" s="64">
        <v>46164</v>
      </c>
      <c r="C553" s="65"/>
      <c r="D553" s="66" t="s">
        <v>110</v>
      </c>
      <c r="E553" s="66" t="s">
        <v>110</v>
      </c>
      <c r="F553" s="66" t="s">
        <v>744</v>
      </c>
      <c r="G553" s="66" t="s">
        <v>770</v>
      </c>
      <c r="H553" s="66" t="s">
        <v>746</v>
      </c>
      <c r="I553" s="66" t="s">
        <v>223</v>
      </c>
      <c r="J553" s="66" t="s">
        <v>221</v>
      </c>
      <c r="K553" s="66" t="s">
        <v>747</v>
      </c>
      <c r="L553" s="67">
        <v>5050000</v>
      </c>
      <c r="M553" s="67">
        <v>0</v>
      </c>
      <c r="N553" s="68">
        <f t="shared" si="38"/>
        <v>5050000</v>
      </c>
      <c r="O553" s="69">
        <f t="shared" si="37"/>
        <v>5050000</v>
      </c>
      <c r="P553" s="42" t="str">
        <f>IFERROR(VLOOKUP(J553,'Mã NV'!$B:$C,2,0),"")</f>
        <v>XE01283</v>
      </c>
      <c r="Q553" s="70" t="str">
        <f>IFERROR(VLOOKUP(I553,'Mã NV'!$J:$K,2,0),"")</f>
        <v>7.1t</v>
      </c>
    </row>
    <row r="554" ht="33.6" customHeight="1" spans="1:17">
      <c r="A554" s="63">
        <f t="shared" si="36"/>
        <v>551</v>
      </c>
      <c r="B554" s="64">
        <v>46164</v>
      </c>
      <c r="C554" s="65"/>
      <c r="D554" s="66" t="s">
        <v>110</v>
      </c>
      <c r="E554" s="66" t="s">
        <v>110</v>
      </c>
      <c r="F554" s="66" t="s">
        <v>744</v>
      </c>
      <c r="G554" s="66" t="s">
        <v>770</v>
      </c>
      <c r="H554" s="66" t="s">
        <v>746</v>
      </c>
      <c r="I554" s="66" t="s">
        <v>223</v>
      </c>
      <c r="J554" s="66" t="s">
        <v>296</v>
      </c>
      <c r="K554" s="66" t="s">
        <v>747</v>
      </c>
      <c r="L554" s="67">
        <v>5050000</v>
      </c>
      <c r="M554" s="67">
        <v>0</v>
      </c>
      <c r="N554" s="68">
        <f t="shared" si="38"/>
        <v>5050000</v>
      </c>
      <c r="O554" s="69">
        <f t="shared" si="37"/>
        <v>5050000</v>
      </c>
      <c r="P554" s="42" t="str">
        <f>IFERROR(VLOOKUP(J554,'Mã NV'!$B:$C,2,0),"")</f>
        <v>XE01541</v>
      </c>
      <c r="Q554" s="70" t="str">
        <f>IFERROR(VLOOKUP(I554,'Mã NV'!$J:$K,2,0),"")</f>
        <v>7.1t</v>
      </c>
    </row>
    <row r="555" ht="33.6" customHeight="1" spans="1:17">
      <c r="A555" s="63">
        <f t="shared" si="36"/>
        <v>552</v>
      </c>
      <c r="B555" s="64">
        <v>46146</v>
      </c>
      <c r="C555" s="65"/>
      <c r="D555" s="66" t="s">
        <v>44</v>
      </c>
      <c r="E555" s="66" t="s">
        <v>44</v>
      </c>
      <c r="F555" s="66" t="s">
        <v>744</v>
      </c>
      <c r="G555" s="66" t="s">
        <v>772</v>
      </c>
      <c r="H555" s="66" t="s">
        <v>836</v>
      </c>
      <c r="I555" s="66" t="s">
        <v>290</v>
      </c>
      <c r="J555" s="66" t="s">
        <v>288</v>
      </c>
      <c r="K555" s="66" t="s">
        <v>747</v>
      </c>
      <c r="L555" s="67">
        <v>7250000</v>
      </c>
      <c r="M555" s="67">
        <v>0</v>
      </c>
      <c r="N555" s="68">
        <f t="shared" si="38"/>
        <v>7250000</v>
      </c>
      <c r="O555" s="69">
        <f t="shared" si="37"/>
        <v>7250000</v>
      </c>
      <c r="P555" s="42" t="str">
        <f>IFERROR(VLOOKUP(J555,'Mã NV'!$B:$C,2,0),"")</f>
        <v>XE01563</v>
      </c>
      <c r="Q555" s="70" t="str">
        <f>IFERROR(VLOOKUP(I555,'Mã NV'!$J:$K,2,0),"")</f>
        <v>8T</v>
      </c>
    </row>
    <row r="556" ht="33.6" customHeight="1" spans="1:17">
      <c r="A556" s="63">
        <f t="shared" si="36"/>
        <v>553</v>
      </c>
      <c r="B556" s="64">
        <v>46146</v>
      </c>
      <c r="C556" s="65"/>
      <c r="D556" s="66" t="s">
        <v>44</v>
      </c>
      <c r="E556" s="66" t="s">
        <v>44</v>
      </c>
      <c r="F556" s="66" t="s">
        <v>744</v>
      </c>
      <c r="G556" s="66" t="s">
        <v>772</v>
      </c>
      <c r="H556" s="66" t="s">
        <v>836</v>
      </c>
      <c r="I556" s="66" t="s">
        <v>290</v>
      </c>
      <c r="J556" s="66" t="s">
        <v>329</v>
      </c>
      <c r="K556" s="66" t="s">
        <v>747</v>
      </c>
      <c r="L556" s="67">
        <v>7250000</v>
      </c>
      <c r="M556" s="67">
        <v>0</v>
      </c>
      <c r="N556" s="68">
        <f t="shared" si="38"/>
        <v>7250000</v>
      </c>
      <c r="O556" s="69">
        <f t="shared" si="37"/>
        <v>7250000</v>
      </c>
      <c r="P556" s="42" t="str">
        <f>IFERROR(VLOOKUP(J556,'Mã NV'!$B:$C,2,0),"")</f>
        <v>XE01609</v>
      </c>
      <c r="Q556" s="70" t="str">
        <f>IFERROR(VLOOKUP(I556,'Mã NV'!$J:$K,2,0),"")</f>
        <v>8T</v>
      </c>
    </row>
    <row r="557" ht="33.6" customHeight="1" spans="1:17">
      <c r="A557" s="63">
        <f t="shared" si="36"/>
        <v>554</v>
      </c>
      <c r="B557" s="64">
        <v>46148</v>
      </c>
      <c r="C557" s="65"/>
      <c r="D557" s="66" t="s">
        <v>44</v>
      </c>
      <c r="E557" s="66" t="s">
        <v>44</v>
      </c>
      <c r="F557" s="66" t="s">
        <v>744</v>
      </c>
      <c r="G557" s="66" t="s">
        <v>772</v>
      </c>
      <c r="H557" s="66" t="s">
        <v>836</v>
      </c>
      <c r="I557" s="66" t="s">
        <v>211</v>
      </c>
      <c r="J557" s="66" t="s">
        <v>209</v>
      </c>
      <c r="K557" s="66" t="s">
        <v>747</v>
      </c>
      <c r="L557" s="67">
        <v>7250000</v>
      </c>
      <c r="M557" s="67">
        <v>0</v>
      </c>
      <c r="N557" s="68">
        <f t="shared" si="38"/>
        <v>7250000</v>
      </c>
      <c r="O557" s="69">
        <f t="shared" si="37"/>
        <v>7250000</v>
      </c>
      <c r="P557" s="42" t="str">
        <f>IFERROR(VLOOKUP(J557,'Mã NV'!$B:$C,2,0),"")</f>
        <v>XE01098</v>
      </c>
      <c r="Q557" s="70" t="str">
        <f>IFERROR(VLOOKUP(I557,'Mã NV'!$J:$K,2,0),"")</f>
        <v>7.1t</v>
      </c>
    </row>
    <row r="558" ht="33.6" customHeight="1" spans="1:17">
      <c r="A558" s="63">
        <f t="shared" si="36"/>
        <v>555</v>
      </c>
      <c r="B558" s="64">
        <v>46148</v>
      </c>
      <c r="C558" s="65"/>
      <c r="D558" s="66" t="s">
        <v>44</v>
      </c>
      <c r="E558" s="66" t="s">
        <v>44</v>
      </c>
      <c r="F558" s="66" t="s">
        <v>744</v>
      </c>
      <c r="G558" s="66" t="s">
        <v>772</v>
      </c>
      <c r="H558" s="66" t="s">
        <v>836</v>
      </c>
      <c r="I558" s="66" t="s">
        <v>211</v>
      </c>
      <c r="J558" s="66" t="s">
        <v>316</v>
      </c>
      <c r="K558" s="66" t="s">
        <v>747</v>
      </c>
      <c r="L558" s="67">
        <v>7250000</v>
      </c>
      <c r="M558" s="67">
        <v>0</v>
      </c>
      <c r="N558" s="68">
        <f t="shared" si="38"/>
        <v>7250000</v>
      </c>
      <c r="O558" s="69">
        <f t="shared" si="37"/>
        <v>7250000</v>
      </c>
      <c r="P558" s="42" t="str">
        <f>IFERROR(VLOOKUP(J558,'Mã NV'!$B:$C,2,0),"")</f>
        <v>XE01600</v>
      </c>
      <c r="Q558" s="70" t="str">
        <f>IFERROR(VLOOKUP(I558,'Mã NV'!$J:$K,2,0),"")</f>
        <v>7.1t</v>
      </c>
    </row>
    <row r="559" ht="33.6" customHeight="1" spans="1:17">
      <c r="A559" s="63">
        <f t="shared" si="36"/>
        <v>556</v>
      </c>
      <c r="B559" s="64">
        <v>46149</v>
      </c>
      <c r="C559" s="65"/>
      <c r="D559" s="66" t="s">
        <v>44</v>
      </c>
      <c r="E559" s="66" t="s">
        <v>44</v>
      </c>
      <c r="F559" s="66" t="s">
        <v>744</v>
      </c>
      <c r="G559" s="66" t="s">
        <v>785</v>
      </c>
      <c r="H559" s="66" t="s">
        <v>836</v>
      </c>
      <c r="I559" s="66" t="s">
        <v>158</v>
      </c>
      <c r="J559" s="66" t="s">
        <v>156</v>
      </c>
      <c r="K559" s="66" t="s">
        <v>747</v>
      </c>
      <c r="L559" s="67">
        <v>7750000</v>
      </c>
      <c r="M559" s="67">
        <v>0</v>
      </c>
      <c r="N559" s="68">
        <f t="shared" si="38"/>
        <v>7750000</v>
      </c>
      <c r="O559" s="69">
        <f t="shared" si="37"/>
        <v>7750000</v>
      </c>
      <c r="P559" s="42" t="str">
        <f>IFERROR(VLOOKUP(J559,'Mã NV'!$B:$C,2,0),"")</f>
        <v>XE01316</v>
      </c>
      <c r="Q559" s="70" t="str">
        <f>IFERROR(VLOOKUP(I559,'Mã NV'!$J:$K,2,0),"")</f>
        <v>8T</v>
      </c>
    </row>
    <row r="560" ht="33.6" customHeight="1" spans="1:17">
      <c r="A560" s="63">
        <f t="shared" si="36"/>
        <v>557</v>
      </c>
      <c r="B560" s="64">
        <v>46149</v>
      </c>
      <c r="C560" s="65"/>
      <c r="D560" s="66" t="s">
        <v>44</v>
      </c>
      <c r="E560" s="66" t="s">
        <v>44</v>
      </c>
      <c r="F560" s="66" t="s">
        <v>744</v>
      </c>
      <c r="G560" s="66" t="s">
        <v>785</v>
      </c>
      <c r="H560" s="66" t="s">
        <v>836</v>
      </c>
      <c r="I560" s="66" t="s">
        <v>158</v>
      </c>
      <c r="J560" s="66" t="s">
        <v>277</v>
      </c>
      <c r="K560" s="66" t="s">
        <v>747</v>
      </c>
      <c r="L560" s="67">
        <v>7750000</v>
      </c>
      <c r="M560" s="67">
        <v>0</v>
      </c>
      <c r="N560" s="68">
        <f t="shared" si="38"/>
        <v>7750000</v>
      </c>
      <c r="O560" s="69">
        <f t="shared" si="37"/>
        <v>7750000</v>
      </c>
      <c r="P560" s="42" t="str">
        <f>IFERROR(VLOOKUP(J560,'Mã NV'!$B:$C,2,0),"")</f>
        <v>XE01534</v>
      </c>
      <c r="Q560" s="70" t="str">
        <f>IFERROR(VLOOKUP(I560,'Mã NV'!$J:$K,2,0),"")</f>
        <v>8T</v>
      </c>
    </row>
    <row r="561" ht="33.6" customHeight="1" spans="1:17">
      <c r="A561" s="63">
        <f t="shared" si="36"/>
        <v>558</v>
      </c>
      <c r="B561" s="64">
        <v>46154</v>
      </c>
      <c r="C561" s="65"/>
      <c r="D561" s="66" t="s">
        <v>44</v>
      </c>
      <c r="E561" s="66" t="s">
        <v>44</v>
      </c>
      <c r="F561" s="66" t="s">
        <v>744</v>
      </c>
      <c r="G561" s="66" t="s">
        <v>772</v>
      </c>
      <c r="H561" s="66" t="s">
        <v>871</v>
      </c>
      <c r="I561" s="66" t="s">
        <v>379</v>
      </c>
      <c r="J561" s="66" t="s">
        <v>377</v>
      </c>
      <c r="K561" s="66" t="s">
        <v>747</v>
      </c>
      <c r="L561" s="67">
        <v>2200000</v>
      </c>
      <c r="M561" s="67">
        <v>0</v>
      </c>
      <c r="N561" s="68">
        <f t="shared" si="38"/>
        <v>2200000</v>
      </c>
      <c r="O561" s="69">
        <f t="shared" si="37"/>
        <v>2200000</v>
      </c>
      <c r="P561" s="42" t="str">
        <f>IFERROR(VLOOKUP(J561,'Mã NV'!$B:$C,2,0),"")</f>
        <v>XE01666</v>
      </c>
      <c r="Q561" s="70" t="str">
        <f>IFERROR(VLOOKUP(I561,'Mã NV'!$J:$K,2,0),"")</f>
        <v>2T5</v>
      </c>
    </row>
    <row r="562" ht="33.6" customHeight="1" spans="1:17">
      <c r="A562" s="63">
        <f t="shared" si="36"/>
        <v>559</v>
      </c>
      <c r="B562" s="64">
        <v>46154</v>
      </c>
      <c r="C562" s="65"/>
      <c r="D562" s="66" t="s">
        <v>44</v>
      </c>
      <c r="E562" s="66" t="s">
        <v>44</v>
      </c>
      <c r="F562" s="66" t="s">
        <v>744</v>
      </c>
      <c r="G562" s="66" t="s">
        <v>772</v>
      </c>
      <c r="H562" s="66" t="s">
        <v>871</v>
      </c>
      <c r="I562" s="66" t="s">
        <v>384</v>
      </c>
      <c r="J562" s="66" t="s">
        <v>382</v>
      </c>
      <c r="K562" s="66" t="s">
        <v>747</v>
      </c>
      <c r="L562" s="67">
        <v>2200000</v>
      </c>
      <c r="M562" s="67">
        <v>0</v>
      </c>
      <c r="N562" s="68">
        <f t="shared" si="38"/>
        <v>2200000</v>
      </c>
      <c r="O562" s="69">
        <f t="shared" si="37"/>
        <v>2200000</v>
      </c>
      <c r="P562" s="42" t="str">
        <f>IFERROR(VLOOKUP(J562,'Mã NV'!$B:$C,2,0),"")</f>
        <v>XE01685</v>
      </c>
      <c r="Q562" s="70" t="str">
        <f>IFERROR(VLOOKUP(I562,'Mã NV'!$J:$K,2,0),"")</f>
        <v>1.5T</v>
      </c>
    </row>
    <row r="563" ht="33.6" customHeight="1" spans="1:17">
      <c r="A563" s="63">
        <f t="shared" si="36"/>
        <v>560</v>
      </c>
      <c r="B563" s="64">
        <v>46155</v>
      </c>
      <c r="C563" s="65"/>
      <c r="D563" s="66" t="s">
        <v>44</v>
      </c>
      <c r="E563" s="66" t="s">
        <v>44</v>
      </c>
      <c r="F563" s="66" t="s">
        <v>744</v>
      </c>
      <c r="G563" s="66" t="s">
        <v>745</v>
      </c>
      <c r="H563" s="66" t="s">
        <v>836</v>
      </c>
      <c r="I563" s="66" t="s">
        <v>161</v>
      </c>
      <c r="J563" s="66" t="s">
        <v>159</v>
      </c>
      <c r="K563" s="66" t="s">
        <v>747</v>
      </c>
      <c r="L563" s="67">
        <v>7250000</v>
      </c>
      <c r="M563" s="67">
        <v>0</v>
      </c>
      <c r="N563" s="68">
        <f t="shared" si="38"/>
        <v>7250000</v>
      </c>
      <c r="O563" s="69">
        <f t="shared" si="37"/>
        <v>7250000</v>
      </c>
      <c r="P563" s="42" t="str">
        <f>IFERROR(VLOOKUP(J563,'Mã NV'!$B:$C,2,0),"")</f>
        <v>XE01005</v>
      </c>
      <c r="Q563" s="70" t="str">
        <f>IFERROR(VLOOKUP(I563,'Mã NV'!$J:$K,2,0),"")</f>
        <v>8T</v>
      </c>
    </row>
    <row r="564" ht="33.6" customHeight="1" spans="1:17">
      <c r="A564" s="63">
        <f t="shared" si="36"/>
        <v>561</v>
      </c>
      <c r="B564" s="64">
        <v>46155</v>
      </c>
      <c r="C564" s="65"/>
      <c r="D564" s="66" t="s">
        <v>44</v>
      </c>
      <c r="E564" s="66" t="s">
        <v>44</v>
      </c>
      <c r="F564" s="66" t="s">
        <v>744</v>
      </c>
      <c r="G564" s="66" t="s">
        <v>745</v>
      </c>
      <c r="H564" s="66" t="s">
        <v>836</v>
      </c>
      <c r="I564" s="66" t="s">
        <v>161</v>
      </c>
      <c r="J564" s="66" t="s">
        <v>225</v>
      </c>
      <c r="K564" s="66" t="s">
        <v>747</v>
      </c>
      <c r="L564" s="67">
        <v>7250000</v>
      </c>
      <c r="M564" s="67">
        <v>0</v>
      </c>
      <c r="N564" s="68">
        <f t="shared" si="38"/>
        <v>7250000</v>
      </c>
      <c r="O564" s="69">
        <f t="shared" si="37"/>
        <v>7250000</v>
      </c>
      <c r="P564" s="42" t="str">
        <f>IFERROR(VLOOKUP(J564,'Mã NV'!$B:$C,2,0),"")</f>
        <v>XE01164</v>
      </c>
      <c r="Q564" s="70" t="str">
        <f>IFERROR(VLOOKUP(I564,'Mã NV'!$J:$K,2,0),"")</f>
        <v>8T</v>
      </c>
    </row>
    <row r="565" ht="33.6" customHeight="1" spans="1:17">
      <c r="A565" s="63">
        <f t="shared" si="36"/>
        <v>562</v>
      </c>
      <c r="B565" s="64">
        <v>46157</v>
      </c>
      <c r="C565" s="65"/>
      <c r="D565" s="66" t="s">
        <v>44</v>
      </c>
      <c r="E565" s="66" t="s">
        <v>44</v>
      </c>
      <c r="F565" s="66" t="s">
        <v>744</v>
      </c>
      <c r="G565" s="66" t="s">
        <v>770</v>
      </c>
      <c r="H565" s="66" t="s">
        <v>871</v>
      </c>
      <c r="I565" s="66" t="s">
        <v>379</v>
      </c>
      <c r="J565" s="66" t="s">
        <v>377</v>
      </c>
      <c r="K565" s="66" t="s">
        <v>747</v>
      </c>
      <c r="L565" s="67">
        <v>1600000</v>
      </c>
      <c r="M565" s="67">
        <v>0</v>
      </c>
      <c r="N565" s="68">
        <f t="shared" si="38"/>
        <v>1600000</v>
      </c>
      <c r="O565" s="69">
        <f t="shared" si="37"/>
        <v>1600000</v>
      </c>
      <c r="P565" s="42" t="str">
        <f>IFERROR(VLOOKUP(J565,'Mã NV'!$B:$C,2,0),"")</f>
        <v>XE01666</v>
      </c>
      <c r="Q565" s="70" t="str">
        <f>IFERROR(VLOOKUP(I565,'Mã NV'!$J:$K,2,0),"")</f>
        <v>2T5</v>
      </c>
    </row>
    <row r="566" ht="33.6" customHeight="1" spans="1:17">
      <c r="A566" s="63">
        <f t="shared" si="36"/>
        <v>563</v>
      </c>
      <c r="B566" s="64">
        <v>46160</v>
      </c>
      <c r="C566" s="65"/>
      <c r="D566" s="66" t="s">
        <v>44</v>
      </c>
      <c r="E566" s="66" t="s">
        <v>44</v>
      </c>
      <c r="F566" s="66" t="s">
        <v>744</v>
      </c>
      <c r="G566" s="66" t="s">
        <v>872</v>
      </c>
      <c r="H566" s="66" t="s">
        <v>836</v>
      </c>
      <c r="I566" s="66" t="s">
        <v>87</v>
      </c>
      <c r="J566" s="66" t="s">
        <v>85</v>
      </c>
      <c r="K566" s="66" t="s">
        <v>747</v>
      </c>
      <c r="L566" s="67">
        <v>7250000</v>
      </c>
      <c r="M566" s="67">
        <v>0</v>
      </c>
      <c r="N566" s="68">
        <f t="shared" si="38"/>
        <v>7250000</v>
      </c>
      <c r="O566" s="69">
        <f t="shared" si="37"/>
        <v>7250000</v>
      </c>
      <c r="P566" s="42" t="str">
        <f>IFERROR(VLOOKUP(J566,'Mã NV'!$B:$C,2,0),"")</f>
        <v>XE01456</v>
      </c>
      <c r="Q566" s="70" t="str">
        <f>IFERROR(VLOOKUP(I566,'Mã NV'!$J:$K,2,0),"")</f>
        <v>8T</v>
      </c>
    </row>
    <row r="567" ht="33.6" customHeight="1" spans="1:17">
      <c r="A567" s="63">
        <f t="shared" si="36"/>
        <v>564</v>
      </c>
      <c r="B567" s="64">
        <v>46160</v>
      </c>
      <c r="C567" s="65"/>
      <c r="D567" s="66" t="s">
        <v>44</v>
      </c>
      <c r="E567" s="66" t="s">
        <v>44</v>
      </c>
      <c r="F567" s="66" t="s">
        <v>744</v>
      </c>
      <c r="G567" s="66" t="s">
        <v>872</v>
      </c>
      <c r="H567" s="66" t="s">
        <v>836</v>
      </c>
      <c r="I567" s="66" t="s">
        <v>87</v>
      </c>
      <c r="J567" s="66" t="s">
        <v>305</v>
      </c>
      <c r="K567" s="66" t="s">
        <v>747</v>
      </c>
      <c r="L567" s="67">
        <v>7250000</v>
      </c>
      <c r="M567" s="67">
        <v>0</v>
      </c>
      <c r="N567" s="68">
        <f t="shared" si="38"/>
        <v>7250000</v>
      </c>
      <c r="O567" s="69">
        <f t="shared" si="37"/>
        <v>7250000</v>
      </c>
      <c r="P567" s="42" t="str">
        <f>IFERROR(VLOOKUP(J567,'Mã NV'!$B:$C,2,0),"")</f>
        <v>XE01599</v>
      </c>
      <c r="Q567" s="70" t="str">
        <f>IFERROR(VLOOKUP(I567,'Mã NV'!$J:$K,2,0),"")</f>
        <v>8T</v>
      </c>
    </row>
    <row r="568" ht="33.6" customHeight="1" spans="1:17">
      <c r="A568" s="63">
        <f t="shared" si="36"/>
        <v>565</v>
      </c>
      <c r="B568" s="64">
        <v>46161</v>
      </c>
      <c r="C568" s="65"/>
      <c r="D568" s="66" t="s">
        <v>44</v>
      </c>
      <c r="E568" s="66" t="s">
        <v>44</v>
      </c>
      <c r="F568" s="66" t="s">
        <v>744</v>
      </c>
      <c r="G568" s="66" t="s">
        <v>872</v>
      </c>
      <c r="H568" s="66" t="s">
        <v>836</v>
      </c>
      <c r="I568" s="66" t="s">
        <v>42</v>
      </c>
      <c r="J568" s="66" t="s">
        <v>40</v>
      </c>
      <c r="K568" s="66" t="s">
        <v>747</v>
      </c>
      <c r="L568" s="67">
        <v>7250000</v>
      </c>
      <c r="M568" s="67">
        <v>0</v>
      </c>
      <c r="N568" s="68">
        <f t="shared" si="38"/>
        <v>7250000</v>
      </c>
      <c r="O568" s="69">
        <f t="shared" si="37"/>
        <v>7250000</v>
      </c>
      <c r="P568" s="42" t="str">
        <f>IFERROR(VLOOKUP(J568,'Mã NV'!$B:$C,2,0),"")</f>
        <v>XE01417</v>
      </c>
      <c r="Q568" s="70" t="str">
        <f>IFERROR(VLOOKUP(I568,'Mã NV'!$J:$K,2,0),"")</f>
        <v>7.1t</v>
      </c>
    </row>
    <row r="569" ht="33.6" customHeight="1" spans="1:17">
      <c r="A569" s="63">
        <f t="shared" si="36"/>
        <v>566</v>
      </c>
      <c r="B569" s="64">
        <v>46161</v>
      </c>
      <c r="C569" s="65"/>
      <c r="D569" s="66" t="s">
        <v>44</v>
      </c>
      <c r="E569" s="66" t="s">
        <v>44</v>
      </c>
      <c r="F569" s="66" t="s">
        <v>744</v>
      </c>
      <c r="G569" s="66" t="s">
        <v>872</v>
      </c>
      <c r="H569" s="66" t="s">
        <v>836</v>
      </c>
      <c r="I569" s="66" t="s">
        <v>42</v>
      </c>
      <c r="J569" s="66" t="s">
        <v>333</v>
      </c>
      <c r="K569" s="66" t="s">
        <v>747</v>
      </c>
      <c r="L569" s="67">
        <v>7250000</v>
      </c>
      <c r="M569" s="67">
        <v>0</v>
      </c>
      <c r="N569" s="68">
        <f t="shared" si="38"/>
        <v>7250000</v>
      </c>
      <c r="O569" s="69">
        <f t="shared" si="37"/>
        <v>7250000</v>
      </c>
      <c r="P569" s="42" t="str">
        <f>IFERROR(VLOOKUP(J569,'Mã NV'!$B:$C,2,0),"")</f>
        <v>XE01671</v>
      </c>
      <c r="Q569" s="70" t="str">
        <f>IFERROR(VLOOKUP(I569,'Mã NV'!$J:$K,2,0),"")</f>
        <v>7.1t</v>
      </c>
    </row>
    <row r="570" ht="33.6" customHeight="1" spans="1:17">
      <c r="A570" s="63">
        <f t="shared" si="36"/>
        <v>567</v>
      </c>
      <c r="B570" s="64">
        <v>46162</v>
      </c>
      <c r="C570" s="65"/>
      <c r="D570" s="66" t="s">
        <v>44</v>
      </c>
      <c r="E570" s="66" t="s">
        <v>44</v>
      </c>
      <c r="F570" s="66" t="s">
        <v>744</v>
      </c>
      <c r="G570" s="66" t="s">
        <v>853</v>
      </c>
      <c r="H570" s="66" t="s">
        <v>873</v>
      </c>
      <c r="I570" s="66" t="s">
        <v>208</v>
      </c>
      <c r="J570" s="66" t="s">
        <v>373</v>
      </c>
      <c r="K570" s="66" t="s">
        <v>747</v>
      </c>
      <c r="L570" s="67">
        <v>1750000</v>
      </c>
      <c r="M570" s="67">
        <v>0</v>
      </c>
      <c r="N570" s="68">
        <f t="shared" si="38"/>
        <v>1750000</v>
      </c>
      <c r="O570" s="69">
        <f t="shared" si="37"/>
        <v>1750000</v>
      </c>
      <c r="P570" s="42" t="str">
        <f>IFERROR(VLOOKUP(J570,'Mã NV'!$B:$C,2,0),"")</f>
        <v>XE01694</v>
      </c>
      <c r="Q570" s="70" t="str">
        <f>IFERROR(VLOOKUP(I570,'Mã NV'!$J:$K,2,0),"")</f>
        <v>15T</v>
      </c>
    </row>
    <row r="571" ht="33.6" customHeight="1" spans="1:17">
      <c r="A571" s="63">
        <f t="shared" si="36"/>
        <v>568</v>
      </c>
      <c r="B571" s="64">
        <v>46162</v>
      </c>
      <c r="C571" s="65"/>
      <c r="D571" s="66" t="s">
        <v>44</v>
      </c>
      <c r="E571" s="66" t="s">
        <v>44</v>
      </c>
      <c r="F571" s="66" t="s">
        <v>744</v>
      </c>
      <c r="G571" s="66" t="s">
        <v>853</v>
      </c>
      <c r="H571" s="66" t="s">
        <v>873</v>
      </c>
      <c r="I571" s="66" t="s">
        <v>208</v>
      </c>
      <c r="J571" s="66" t="s">
        <v>375</v>
      </c>
      <c r="K571" s="66" t="s">
        <v>747</v>
      </c>
      <c r="L571" s="67">
        <v>1750000</v>
      </c>
      <c r="M571" s="67">
        <v>0</v>
      </c>
      <c r="N571" s="68">
        <f t="shared" si="38"/>
        <v>1750000</v>
      </c>
      <c r="O571" s="69">
        <f t="shared" si="37"/>
        <v>1750000</v>
      </c>
      <c r="P571" s="42" t="str">
        <f>IFERROR(VLOOKUP(J571,'Mã NV'!$B:$C,2,0),"")</f>
        <v>XE01695</v>
      </c>
      <c r="Q571" s="70" t="str">
        <f>IFERROR(VLOOKUP(I571,'Mã NV'!$J:$K,2,0),"")</f>
        <v>15T</v>
      </c>
    </row>
    <row r="572" ht="33.6" customHeight="1" spans="1:17">
      <c r="A572" s="63">
        <f t="shared" si="36"/>
        <v>569</v>
      </c>
      <c r="B572" s="64">
        <v>46167</v>
      </c>
      <c r="C572" s="65"/>
      <c r="D572" s="66" t="s">
        <v>44</v>
      </c>
      <c r="E572" s="66" t="s">
        <v>44</v>
      </c>
      <c r="F572" s="66" t="s">
        <v>744</v>
      </c>
      <c r="G572" s="66" t="s">
        <v>773</v>
      </c>
      <c r="H572" s="66" t="s">
        <v>836</v>
      </c>
      <c r="I572" s="66" t="s">
        <v>396</v>
      </c>
      <c r="J572" s="66" t="s">
        <v>393</v>
      </c>
      <c r="K572" s="66" t="s">
        <v>870</v>
      </c>
      <c r="L572" s="67">
        <v>7250000</v>
      </c>
      <c r="M572" s="67">
        <v>0</v>
      </c>
      <c r="N572" s="68">
        <f t="shared" si="38"/>
        <v>7250000</v>
      </c>
      <c r="O572" s="69">
        <f t="shared" si="37"/>
        <v>7250000</v>
      </c>
      <c r="P572" s="42" t="str">
        <f>IFERROR(VLOOKUP(J572,'Mã NV'!$B:$C,2,0),"")</f>
        <v/>
      </c>
      <c r="Q572" s="70" t="str">
        <f>IFERROR(VLOOKUP(I572,'Mã NV'!$J:$K,2,0),"")</f>
        <v/>
      </c>
    </row>
    <row r="573" ht="33.6" customHeight="1" spans="1:17">
      <c r="A573" s="63">
        <f t="shared" si="36"/>
        <v>570</v>
      </c>
      <c r="B573" s="64">
        <v>46167</v>
      </c>
      <c r="C573" s="65"/>
      <c r="D573" s="66" t="s">
        <v>44</v>
      </c>
      <c r="E573" s="66" t="s">
        <v>44</v>
      </c>
      <c r="F573" s="66" t="s">
        <v>744</v>
      </c>
      <c r="G573" s="66" t="s">
        <v>773</v>
      </c>
      <c r="H573" s="66" t="s">
        <v>836</v>
      </c>
      <c r="I573" s="66" t="s">
        <v>396</v>
      </c>
      <c r="J573" s="66" t="s">
        <v>393</v>
      </c>
      <c r="K573" s="66" t="s">
        <v>870</v>
      </c>
      <c r="L573" s="67">
        <v>7250000</v>
      </c>
      <c r="M573" s="67">
        <v>0</v>
      </c>
      <c r="N573" s="68">
        <f t="shared" si="38"/>
        <v>7250000</v>
      </c>
      <c r="O573" s="69">
        <f t="shared" si="37"/>
        <v>7250000</v>
      </c>
      <c r="P573" s="42" t="str">
        <f>IFERROR(VLOOKUP(J573,'Mã NV'!$B:$C,2,0),"")</f>
        <v/>
      </c>
      <c r="Q573" s="70" t="str">
        <f>IFERROR(VLOOKUP(I573,'Mã NV'!$J:$K,2,0),"")</f>
        <v/>
      </c>
    </row>
    <row r="574" ht="33.6" customHeight="1" spans="1:17">
      <c r="A574" s="63">
        <f t="shared" si="36"/>
        <v>571</v>
      </c>
      <c r="B574" s="64">
        <v>46168</v>
      </c>
      <c r="C574" s="65"/>
      <c r="D574" s="66" t="s">
        <v>44</v>
      </c>
      <c r="E574" s="66" t="s">
        <v>44</v>
      </c>
      <c r="F574" s="66" t="s">
        <v>744</v>
      </c>
      <c r="G574" s="66" t="s">
        <v>772</v>
      </c>
      <c r="H574" s="66" t="s">
        <v>836</v>
      </c>
      <c r="I574" s="66" t="s">
        <v>266</v>
      </c>
      <c r="J574" s="66" t="s">
        <v>264</v>
      </c>
      <c r="K574" s="66" t="s">
        <v>747</v>
      </c>
      <c r="L574" s="67">
        <v>7250000</v>
      </c>
      <c r="M574" s="67">
        <v>0</v>
      </c>
      <c r="N574" s="68">
        <f t="shared" si="38"/>
        <v>7250000</v>
      </c>
      <c r="O574" s="69">
        <f t="shared" si="37"/>
        <v>7250000</v>
      </c>
      <c r="P574" s="42" t="str">
        <f>IFERROR(VLOOKUP(J574,'Mã NV'!$B:$C,2,0),"")</f>
        <v>XE01678</v>
      </c>
      <c r="Q574" s="70" t="str">
        <f>IFERROR(VLOOKUP(I574,'Mã NV'!$J:$K,2,0),"")</f>
        <v>7.1t</v>
      </c>
    </row>
    <row r="575" ht="33.6" customHeight="1" spans="1:17">
      <c r="A575" s="63">
        <f t="shared" si="36"/>
        <v>572</v>
      </c>
      <c r="B575" s="64">
        <v>46168</v>
      </c>
      <c r="C575" s="65"/>
      <c r="D575" s="66" t="s">
        <v>44</v>
      </c>
      <c r="E575" s="66" t="s">
        <v>44</v>
      </c>
      <c r="F575" s="66" t="s">
        <v>744</v>
      </c>
      <c r="G575" s="66" t="s">
        <v>772</v>
      </c>
      <c r="H575" s="66" t="s">
        <v>836</v>
      </c>
      <c r="I575" s="66" t="s">
        <v>266</v>
      </c>
      <c r="J575" s="66" t="s">
        <v>399</v>
      </c>
      <c r="K575" s="66" t="s">
        <v>747</v>
      </c>
      <c r="L575" s="67">
        <v>7250000</v>
      </c>
      <c r="M575" s="67">
        <v>0</v>
      </c>
      <c r="N575" s="68">
        <f t="shared" si="38"/>
        <v>7250000</v>
      </c>
      <c r="O575" s="69">
        <f t="shared" si="37"/>
        <v>7250000</v>
      </c>
      <c r="P575" s="42" t="str">
        <f>IFERROR(VLOOKUP(J575,'Mã NV'!$B:$C,2,0),"")</f>
        <v>XE01679</v>
      </c>
      <c r="Q575" s="70" t="str">
        <f>IFERROR(VLOOKUP(I575,'Mã NV'!$J:$K,2,0),"")</f>
        <v>7.1t</v>
      </c>
    </row>
    <row r="576" ht="33.6" customHeight="1" spans="1:17">
      <c r="A576" s="63">
        <f t="shared" si="36"/>
        <v>573</v>
      </c>
      <c r="B576" s="64">
        <v>46140</v>
      </c>
      <c r="C576" s="65"/>
      <c r="D576" s="66" t="s">
        <v>23</v>
      </c>
      <c r="E576" s="66" t="s">
        <v>23</v>
      </c>
      <c r="F576" s="66" t="s">
        <v>744</v>
      </c>
      <c r="G576" s="66" t="s">
        <v>768</v>
      </c>
      <c r="H576" s="66" t="s">
        <v>759</v>
      </c>
      <c r="I576" s="66" t="s">
        <v>270</v>
      </c>
      <c r="J576" s="66" t="s">
        <v>268</v>
      </c>
      <c r="K576" s="66" t="s">
        <v>747</v>
      </c>
      <c r="L576" s="67">
        <v>1736695</v>
      </c>
      <c r="M576" s="67"/>
      <c r="N576" s="68">
        <f t="shared" si="38"/>
        <v>1736695</v>
      </c>
      <c r="O576" s="69">
        <f t="shared" si="37"/>
        <v>1736695</v>
      </c>
      <c r="P576" s="42" t="str">
        <f>IFERROR(VLOOKUP(J576,'Mã NV'!$B:$C,2,0),"")</f>
        <v>XE01506</v>
      </c>
      <c r="Q576" s="70" t="str">
        <f>IFERROR(VLOOKUP(I576,'Mã NV'!$J:$K,2,0),"")</f>
        <v>15T</v>
      </c>
    </row>
    <row r="577" ht="33.6" customHeight="1" spans="1:17">
      <c r="A577" s="63">
        <f t="shared" si="36"/>
        <v>574</v>
      </c>
      <c r="B577" s="64">
        <v>46140</v>
      </c>
      <c r="C577" s="65"/>
      <c r="D577" s="66" t="s">
        <v>23</v>
      </c>
      <c r="E577" s="66" t="s">
        <v>23</v>
      </c>
      <c r="F577" s="66" t="s">
        <v>744</v>
      </c>
      <c r="G577" s="66" t="s">
        <v>768</v>
      </c>
      <c r="H577" s="66" t="s">
        <v>759</v>
      </c>
      <c r="I577" s="66" t="s">
        <v>270</v>
      </c>
      <c r="J577" s="66" t="s">
        <v>271</v>
      </c>
      <c r="K577" s="66" t="s">
        <v>747</v>
      </c>
      <c r="L577" s="67">
        <v>1736695</v>
      </c>
      <c r="M577" s="67"/>
      <c r="N577" s="68">
        <f t="shared" si="38"/>
        <v>1736695</v>
      </c>
      <c r="O577" s="69">
        <f t="shared" si="37"/>
        <v>1736695</v>
      </c>
      <c r="P577" s="42" t="str">
        <f>IFERROR(VLOOKUP(J577,'Mã NV'!$B:$C,2,0),"")</f>
        <v>XE01507</v>
      </c>
      <c r="Q577" s="70" t="str">
        <f>IFERROR(VLOOKUP(I577,'Mã NV'!$J:$K,2,0),"")</f>
        <v>15T</v>
      </c>
    </row>
    <row r="578" ht="33.6" customHeight="1" spans="1:17">
      <c r="A578" s="63">
        <f t="shared" si="36"/>
        <v>575</v>
      </c>
      <c r="B578" s="64">
        <v>46146</v>
      </c>
      <c r="C578" s="65"/>
      <c r="D578" s="66" t="s">
        <v>23</v>
      </c>
      <c r="E578" s="66" t="s">
        <v>23</v>
      </c>
      <c r="F578" s="66" t="s">
        <v>744</v>
      </c>
      <c r="G578" s="66" t="s">
        <v>768</v>
      </c>
      <c r="H578" s="66" t="s">
        <v>812</v>
      </c>
      <c r="I578" s="66" t="s">
        <v>293</v>
      </c>
      <c r="J578" s="66" t="s">
        <v>294</v>
      </c>
      <c r="K578" s="66" t="s">
        <v>747</v>
      </c>
      <c r="L578" s="67">
        <v>1302644</v>
      </c>
      <c r="M578" s="67"/>
      <c r="N578" s="68">
        <f t="shared" si="38"/>
        <v>1302644</v>
      </c>
      <c r="O578" s="69">
        <f t="shared" si="37"/>
        <v>1302644</v>
      </c>
      <c r="P578" s="42" t="str">
        <f>IFERROR(VLOOKUP(J578,'Mã NV'!$B:$C,2,0),"")</f>
        <v>XE01551</v>
      </c>
      <c r="Q578" s="70" t="str">
        <f>IFERROR(VLOOKUP(I578,'Mã NV'!$J:$K,2,0),"")</f>
        <v>8T</v>
      </c>
    </row>
    <row r="579" ht="33.6" customHeight="1" spans="1:17">
      <c r="A579" s="63">
        <f t="shared" si="36"/>
        <v>576</v>
      </c>
      <c r="B579" s="64">
        <v>46146</v>
      </c>
      <c r="C579" s="65"/>
      <c r="D579" s="66" t="s">
        <v>23</v>
      </c>
      <c r="E579" s="66" t="s">
        <v>23</v>
      </c>
      <c r="F579" s="66" t="s">
        <v>744</v>
      </c>
      <c r="G579" s="66" t="s">
        <v>768</v>
      </c>
      <c r="H579" s="66" t="s">
        <v>812</v>
      </c>
      <c r="I579" s="66" t="s">
        <v>293</v>
      </c>
      <c r="J579" s="66" t="s">
        <v>291</v>
      </c>
      <c r="K579" s="66" t="s">
        <v>747</v>
      </c>
      <c r="L579" s="67">
        <v>1302644</v>
      </c>
      <c r="M579" s="67"/>
      <c r="N579" s="68">
        <f t="shared" si="38"/>
        <v>1302644</v>
      </c>
      <c r="O579" s="69">
        <f t="shared" si="37"/>
        <v>1302644</v>
      </c>
      <c r="P579" s="42" t="str">
        <f>IFERROR(VLOOKUP(J579,'Mã NV'!$B:$C,2,0),"")</f>
        <v>XE01552</v>
      </c>
      <c r="Q579" s="70" t="str">
        <f>IFERROR(VLOOKUP(I579,'Mã NV'!$J:$K,2,0),"")</f>
        <v>8T</v>
      </c>
    </row>
    <row r="580" ht="33.6" customHeight="1" spans="1:17">
      <c r="A580" s="63">
        <f t="shared" si="36"/>
        <v>577</v>
      </c>
      <c r="B580" s="64">
        <v>46146</v>
      </c>
      <c r="C580" s="65"/>
      <c r="D580" s="66" t="s">
        <v>23</v>
      </c>
      <c r="E580" s="66" t="s">
        <v>23</v>
      </c>
      <c r="F580" s="66" t="s">
        <v>748</v>
      </c>
      <c r="G580" s="66" t="s">
        <v>768</v>
      </c>
      <c r="H580" s="66" t="s">
        <v>812</v>
      </c>
      <c r="I580" s="66" t="s">
        <v>323</v>
      </c>
      <c r="J580" s="66" t="s">
        <v>321</v>
      </c>
      <c r="K580" s="66" t="s">
        <v>747</v>
      </c>
      <c r="L580" s="67">
        <v>651322</v>
      </c>
      <c r="M580" s="67"/>
      <c r="N580" s="68">
        <f t="shared" si="38"/>
        <v>651322</v>
      </c>
      <c r="O580" s="69">
        <f t="shared" si="37"/>
        <v>651322</v>
      </c>
      <c r="P580" s="42" t="str">
        <f>IFERROR(VLOOKUP(J580,'Mã NV'!$B:$C,2,0),"")</f>
        <v>XE01537</v>
      </c>
      <c r="Q580" s="70" t="str">
        <f>IFERROR(VLOOKUP(I580,'Mã NV'!$J:$K,2,0),"")</f>
        <v>2.5T</v>
      </c>
    </row>
    <row r="581" ht="33.6" customHeight="1" spans="1:17">
      <c r="A581" s="63">
        <f t="shared" si="36"/>
        <v>578</v>
      </c>
      <c r="B581" s="64">
        <v>46146</v>
      </c>
      <c r="C581" s="65"/>
      <c r="D581" s="66" t="s">
        <v>23</v>
      </c>
      <c r="E581" s="66" t="s">
        <v>23</v>
      </c>
      <c r="F581" s="66" t="s">
        <v>744</v>
      </c>
      <c r="G581" s="66" t="s">
        <v>768</v>
      </c>
      <c r="H581" s="66" t="s">
        <v>761</v>
      </c>
      <c r="I581" s="66" t="s">
        <v>293</v>
      </c>
      <c r="J581" s="66" t="s">
        <v>294</v>
      </c>
      <c r="K581" s="66" t="s">
        <v>747</v>
      </c>
      <c r="L581" s="67">
        <v>840000</v>
      </c>
      <c r="M581" s="67"/>
      <c r="N581" s="68">
        <f t="shared" si="38"/>
        <v>840000</v>
      </c>
      <c r="O581" s="69">
        <f t="shared" si="37"/>
        <v>840000</v>
      </c>
      <c r="P581" s="42" t="str">
        <f>IFERROR(VLOOKUP(J581,'Mã NV'!$B:$C,2,0),"")</f>
        <v>XE01551</v>
      </c>
      <c r="Q581" s="70" t="str">
        <f>IFERROR(VLOOKUP(I581,'Mã NV'!$J:$K,2,0),"")</f>
        <v>8T</v>
      </c>
    </row>
    <row r="582" ht="33.6" customHeight="1" spans="1:17">
      <c r="A582" s="63">
        <f t="shared" si="36"/>
        <v>579</v>
      </c>
      <c r="B582" s="64">
        <v>46146</v>
      </c>
      <c r="C582" s="65"/>
      <c r="D582" s="66" t="s">
        <v>23</v>
      </c>
      <c r="E582" s="66" t="s">
        <v>23</v>
      </c>
      <c r="F582" s="66" t="s">
        <v>744</v>
      </c>
      <c r="G582" s="66" t="s">
        <v>768</v>
      </c>
      <c r="H582" s="66" t="s">
        <v>761</v>
      </c>
      <c r="I582" s="66" t="s">
        <v>293</v>
      </c>
      <c r="J582" s="66" t="s">
        <v>291</v>
      </c>
      <c r="K582" s="66" t="s">
        <v>747</v>
      </c>
      <c r="L582" s="67">
        <v>840000</v>
      </c>
      <c r="M582" s="67"/>
      <c r="N582" s="68">
        <f t="shared" si="38"/>
        <v>840000</v>
      </c>
      <c r="O582" s="69">
        <f t="shared" si="37"/>
        <v>840000</v>
      </c>
      <c r="P582" s="42" t="str">
        <f>IFERROR(VLOOKUP(J582,'Mã NV'!$B:$C,2,0),"")</f>
        <v>XE01552</v>
      </c>
      <c r="Q582" s="70" t="str">
        <f>IFERROR(VLOOKUP(I582,'Mã NV'!$J:$K,2,0),"")</f>
        <v>8T</v>
      </c>
    </row>
    <row r="583" ht="33.6" customHeight="1" spans="1:17">
      <c r="A583" s="63">
        <f t="shared" si="36"/>
        <v>580</v>
      </c>
      <c r="B583" s="64">
        <v>46148</v>
      </c>
      <c r="C583" s="65"/>
      <c r="D583" s="66" t="s">
        <v>23</v>
      </c>
      <c r="E583" s="66" t="s">
        <v>23</v>
      </c>
      <c r="F583" s="66" t="s">
        <v>748</v>
      </c>
      <c r="G583" s="66" t="s">
        <v>768</v>
      </c>
      <c r="H583" s="66" t="s">
        <v>761</v>
      </c>
      <c r="I583" s="66" t="s">
        <v>323</v>
      </c>
      <c r="J583" s="66" t="s">
        <v>321</v>
      </c>
      <c r="K583" s="66" t="s">
        <v>747</v>
      </c>
      <c r="L583" s="67">
        <v>420000</v>
      </c>
      <c r="M583" s="67"/>
      <c r="N583" s="68">
        <f t="shared" si="38"/>
        <v>420000</v>
      </c>
      <c r="O583" s="69">
        <f t="shared" si="37"/>
        <v>420000</v>
      </c>
      <c r="P583" s="42" t="str">
        <f>IFERROR(VLOOKUP(J583,'Mã NV'!$B:$C,2,0),"")</f>
        <v>XE01537</v>
      </c>
      <c r="Q583" s="70" t="str">
        <f>IFERROR(VLOOKUP(I583,'Mã NV'!$J:$K,2,0),"")</f>
        <v>2.5T</v>
      </c>
    </row>
    <row r="584" ht="33.6" customHeight="1" spans="1:17">
      <c r="A584" s="63">
        <f t="shared" si="36"/>
        <v>581</v>
      </c>
      <c r="B584" s="64">
        <v>46148</v>
      </c>
      <c r="C584" s="65"/>
      <c r="D584" s="66" t="s">
        <v>23</v>
      </c>
      <c r="E584" s="66" t="s">
        <v>23</v>
      </c>
      <c r="F584" s="66" t="s">
        <v>744</v>
      </c>
      <c r="G584" s="66" t="s">
        <v>768</v>
      </c>
      <c r="H584" s="66" t="s">
        <v>759</v>
      </c>
      <c r="I584" s="66" t="s">
        <v>17</v>
      </c>
      <c r="J584" s="66" t="s">
        <v>15</v>
      </c>
      <c r="K584" s="66" t="s">
        <v>747</v>
      </c>
      <c r="L584" s="67">
        <v>1050000</v>
      </c>
      <c r="M584" s="67"/>
      <c r="N584" s="68">
        <f t="shared" si="38"/>
        <v>1050000</v>
      </c>
      <c r="O584" s="69">
        <f t="shared" si="37"/>
        <v>1050000</v>
      </c>
      <c r="P584" s="42" t="str">
        <f>IFERROR(VLOOKUP(J584,'Mã NV'!$B:$C,2,0),"")</f>
        <v>XE01331</v>
      </c>
      <c r="Q584" s="70" t="str">
        <f>IFERROR(VLOOKUP(I584,'Mã NV'!$J:$K,2,0),"")</f>
        <v>15T</v>
      </c>
    </row>
    <row r="585" ht="33.6" customHeight="1" spans="1:17">
      <c r="A585" s="63">
        <f t="shared" si="36"/>
        <v>582</v>
      </c>
      <c r="B585" s="64">
        <v>46148</v>
      </c>
      <c r="C585" s="65"/>
      <c r="D585" s="66" t="s">
        <v>23</v>
      </c>
      <c r="E585" s="66" t="s">
        <v>23</v>
      </c>
      <c r="F585" s="66" t="s">
        <v>744</v>
      </c>
      <c r="G585" s="66" t="s">
        <v>768</v>
      </c>
      <c r="H585" s="66" t="s">
        <v>759</v>
      </c>
      <c r="I585" s="66" t="s">
        <v>17</v>
      </c>
      <c r="J585" s="66" t="s">
        <v>341</v>
      </c>
      <c r="K585" s="66" t="s">
        <v>747</v>
      </c>
      <c r="L585" s="67">
        <v>1050000</v>
      </c>
      <c r="M585" s="67"/>
      <c r="N585" s="68">
        <f t="shared" si="38"/>
        <v>1050000</v>
      </c>
      <c r="O585" s="69">
        <f t="shared" si="37"/>
        <v>1050000</v>
      </c>
      <c r="P585" s="42" t="str">
        <f>IFERROR(VLOOKUP(J585,'Mã NV'!$B:$C,2,0),"")</f>
        <v>XE01645</v>
      </c>
      <c r="Q585" s="70" t="str">
        <f>IFERROR(VLOOKUP(I585,'Mã NV'!$J:$K,2,0),"")</f>
        <v>15T</v>
      </c>
    </row>
    <row r="586" ht="33.6" customHeight="1" spans="1:17">
      <c r="A586" s="63">
        <f t="shared" si="36"/>
        <v>583</v>
      </c>
      <c r="B586" s="64">
        <v>46151</v>
      </c>
      <c r="C586" s="65"/>
      <c r="D586" s="66" t="s">
        <v>23</v>
      </c>
      <c r="E586" s="66" t="s">
        <v>23</v>
      </c>
      <c r="F586" s="66" t="s">
        <v>744</v>
      </c>
      <c r="G586" s="66" t="s">
        <v>874</v>
      </c>
      <c r="H586" s="66" t="s">
        <v>833</v>
      </c>
      <c r="I586" s="66" t="s">
        <v>293</v>
      </c>
      <c r="J586" s="66" t="s">
        <v>294</v>
      </c>
      <c r="K586" s="66" t="s">
        <v>747</v>
      </c>
      <c r="L586" s="67">
        <v>4981004.375</v>
      </c>
      <c r="M586" s="67"/>
      <c r="N586" s="68">
        <f t="shared" si="38"/>
        <v>4981004.375</v>
      </c>
      <c r="O586" s="69">
        <f t="shared" si="37"/>
        <v>4981004.375</v>
      </c>
      <c r="P586" s="42" t="str">
        <f>IFERROR(VLOOKUP(J586,'Mã NV'!$B:$C,2,0),"")</f>
        <v>XE01551</v>
      </c>
      <c r="Q586" s="70" t="str">
        <f>IFERROR(VLOOKUP(I586,'Mã NV'!$J:$K,2,0),"")</f>
        <v>8T</v>
      </c>
    </row>
    <row r="587" ht="33.6" customHeight="1" spans="1:17">
      <c r="A587" s="63">
        <f t="shared" si="36"/>
        <v>584</v>
      </c>
      <c r="B587" s="64">
        <v>46151</v>
      </c>
      <c r="C587" s="65"/>
      <c r="D587" s="66" t="s">
        <v>23</v>
      </c>
      <c r="E587" s="66" t="s">
        <v>23</v>
      </c>
      <c r="F587" s="66" t="s">
        <v>744</v>
      </c>
      <c r="G587" s="66" t="s">
        <v>874</v>
      </c>
      <c r="H587" s="66" t="s">
        <v>833</v>
      </c>
      <c r="I587" s="66" t="s">
        <v>293</v>
      </c>
      <c r="J587" s="66" t="s">
        <v>291</v>
      </c>
      <c r="K587" s="66" t="s">
        <v>747</v>
      </c>
      <c r="L587" s="67">
        <v>4981004.375</v>
      </c>
      <c r="M587" s="67"/>
      <c r="N587" s="68">
        <f t="shared" si="38"/>
        <v>4981004.375</v>
      </c>
      <c r="O587" s="69">
        <f t="shared" si="37"/>
        <v>4981004.375</v>
      </c>
      <c r="P587" s="42" t="str">
        <f>IFERROR(VLOOKUP(J587,'Mã NV'!$B:$C,2,0),"")</f>
        <v>XE01552</v>
      </c>
      <c r="Q587" s="70" t="str">
        <f>IFERROR(VLOOKUP(I587,'Mã NV'!$J:$K,2,0),"")</f>
        <v>8T</v>
      </c>
    </row>
    <row r="588" ht="33.6" customHeight="1" spans="1:17">
      <c r="A588" s="63">
        <f t="shared" ref="A588:A651" si="39">A587+1</f>
        <v>585</v>
      </c>
      <c r="B588" s="64">
        <v>46154</v>
      </c>
      <c r="C588" s="65"/>
      <c r="D588" s="66" t="s">
        <v>23</v>
      </c>
      <c r="E588" s="66" t="s">
        <v>23</v>
      </c>
      <c r="F588" s="66" t="s">
        <v>744</v>
      </c>
      <c r="G588" s="66" t="s">
        <v>768</v>
      </c>
      <c r="H588" s="66" t="s">
        <v>759</v>
      </c>
      <c r="I588" s="66" t="s">
        <v>151</v>
      </c>
      <c r="J588" s="66" t="s">
        <v>147</v>
      </c>
      <c r="K588" s="66" t="s">
        <v>747</v>
      </c>
      <c r="L588" s="67">
        <v>3493779.375</v>
      </c>
      <c r="M588" s="67"/>
      <c r="N588" s="68">
        <f t="shared" si="38"/>
        <v>3493779.375</v>
      </c>
      <c r="O588" s="69">
        <f t="shared" si="37"/>
        <v>3493779.375</v>
      </c>
      <c r="P588" s="42" t="str">
        <f>IFERROR(VLOOKUP(J588,'Mã NV'!$B:$C,2,0),"")</f>
        <v>XE01304</v>
      </c>
      <c r="Q588" s="70" t="str">
        <f>IFERROR(VLOOKUP(I588,'Mã NV'!$J:$K,2,0),"")</f>
        <v>8T</v>
      </c>
    </row>
    <row r="589" ht="33.6" customHeight="1" spans="1:17">
      <c r="A589" s="63">
        <f t="shared" si="39"/>
        <v>586</v>
      </c>
      <c r="B589" s="64">
        <v>46154</v>
      </c>
      <c r="C589" s="65"/>
      <c r="D589" s="66" t="s">
        <v>23</v>
      </c>
      <c r="E589" s="66" t="s">
        <v>23</v>
      </c>
      <c r="F589" s="66" t="s">
        <v>744</v>
      </c>
      <c r="G589" s="66" t="s">
        <v>768</v>
      </c>
      <c r="H589" s="66" t="s">
        <v>759</v>
      </c>
      <c r="I589" s="66" t="s">
        <v>151</v>
      </c>
      <c r="J589" s="66" t="s">
        <v>235</v>
      </c>
      <c r="K589" s="66" t="s">
        <v>747</v>
      </c>
      <c r="L589" s="67">
        <v>3493779.375</v>
      </c>
      <c r="M589" s="67"/>
      <c r="N589" s="68">
        <f t="shared" si="38"/>
        <v>3493779.375</v>
      </c>
      <c r="O589" s="69">
        <f t="shared" ref="O589:O652" si="40">N589/$P$1</f>
        <v>3493779.375</v>
      </c>
      <c r="P589" s="42" t="str">
        <f>IFERROR(VLOOKUP(J589,'Mã NV'!$B:$C,2,0),"")</f>
        <v>XE01305</v>
      </c>
      <c r="Q589" s="70" t="str">
        <f>IFERROR(VLOOKUP(I589,'Mã NV'!$J:$K,2,0),"")</f>
        <v>8T</v>
      </c>
    </row>
    <row r="590" ht="33.6" customHeight="1" spans="1:17">
      <c r="A590" s="63">
        <f t="shared" si="39"/>
        <v>587</v>
      </c>
      <c r="B590" s="64">
        <v>46154</v>
      </c>
      <c r="C590" s="65"/>
      <c r="D590" s="66" t="s">
        <v>23</v>
      </c>
      <c r="E590" s="66" t="s">
        <v>23</v>
      </c>
      <c r="F590" s="66" t="s">
        <v>744</v>
      </c>
      <c r="G590" s="66" t="s">
        <v>768</v>
      </c>
      <c r="H590" s="66" t="s">
        <v>805</v>
      </c>
      <c r="I590" s="66" t="s">
        <v>176</v>
      </c>
      <c r="J590" s="66" t="s">
        <v>192</v>
      </c>
      <c r="K590" s="66" t="s">
        <v>747</v>
      </c>
      <c r="L590" s="67">
        <v>5701828.75</v>
      </c>
      <c r="M590" s="67"/>
      <c r="N590" s="68">
        <f t="shared" ref="N590:N653" si="41">L590-M590</f>
        <v>5701828.75</v>
      </c>
      <c r="O590" s="69">
        <f t="shared" si="40"/>
        <v>5701828.75</v>
      </c>
      <c r="P590" s="42" t="str">
        <f>IFERROR(VLOOKUP(J590,'Mã NV'!$B:$C,2,0),"")</f>
        <v>XE01335</v>
      </c>
      <c r="Q590" s="70" t="str">
        <f>IFERROR(VLOOKUP(I590,'Mã NV'!$J:$K,2,0),"")</f>
        <v>8T</v>
      </c>
    </row>
    <row r="591" ht="33.6" customHeight="1" spans="1:17">
      <c r="A591" s="63">
        <f t="shared" si="39"/>
        <v>588</v>
      </c>
      <c r="B591" s="64">
        <v>46154</v>
      </c>
      <c r="C591" s="65"/>
      <c r="D591" s="66" t="s">
        <v>23</v>
      </c>
      <c r="E591" s="66" t="s">
        <v>23</v>
      </c>
      <c r="F591" s="66" t="s">
        <v>744</v>
      </c>
      <c r="G591" s="66" t="s">
        <v>768</v>
      </c>
      <c r="H591" s="66" t="s">
        <v>805</v>
      </c>
      <c r="I591" s="66" t="s">
        <v>176</v>
      </c>
      <c r="J591" s="66" t="s">
        <v>354</v>
      </c>
      <c r="K591" s="66" t="s">
        <v>747</v>
      </c>
      <c r="L591" s="67">
        <v>5701828.75</v>
      </c>
      <c r="M591" s="67"/>
      <c r="N591" s="68">
        <f t="shared" si="41"/>
        <v>5701828.75</v>
      </c>
      <c r="O591" s="69">
        <f t="shared" si="40"/>
        <v>5701828.75</v>
      </c>
      <c r="P591" s="42" t="str">
        <f>IFERROR(VLOOKUP(J591,'Mã NV'!$B:$C,2,0),"")</f>
        <v>XE01644</v>
      </c>
      <c r="Q591" s="70" t="str">
        <f>IFERROR(VLOOKUP(I591,'Mã NV'!$J:$K,2,0),"")</f>
        <v>8T</v>
      </c>
    </row>
    <row r="592" ht="33.6" customHeight="1" spans="1:17">
      <c r="A592" s="63">
        <f t="shared" si="39"/>
        <v>589</v>
      </c>
      <c r="B592" s="64">
        <v>46156</v>
      </c>
      <c r="C592" s="65"/>
      <c r="D592" s="66" t="s">
        <v>23</v>
      </c>
      <c r="E592" s="66" t="s">
        <v>23</v>
      </c>
      <c r="F592" s="66" t="s">
        <v>744</v>
      </c>
      <c r="G592" s="66" t="s">
        <v>768</v>
      </c>
      <c r="H592" s="66" t="s">
        <v>777</v>
      </c>
      <c r="I592" s="66" t="s">
        <v>286</v>
      </c>
      <c r="J592" s="66" t="s">
        <v>284</v>
      </c>
      <c r="K592" s="66" t="s">
        <v>747</v>
      </c>
      <c r="L592" s="67">
        <v>5000000</v>
      </c>
      <c r="M592" s="67"/>
      <c r="N592" s="68">
        <f t="shared" si="41"/>
        <v>5000000</v>
      </c>
      <c r="O592" s="69">
        <f t="shared" si="40"/>
        <v>5000000</v>
      </c>
      <c r="P592" s="42" t="str">
        <f>IFERROR(VLOOKUP(J592,'Mã NV'!$B:$C,2,0),"")</f>
        <v>XE01543</v>
      </c>
      <c r="Q592" s="70" t="str">
        <f>IFERROR(VLOOKUP(I592,'Mã NV'!$J:$K,2,0),"")</f>
        <v>8T</v>
      </c>
    </row>
    <row r="593" ht="33.6" customHeight="1" spans="1:17">
      <c r="A593" s="63">
        <f t="shared" si="39"/>
        <v>590</v>
      </c>
      <c r="B593" s="64">
        <v>46156</v>
      </c>
      <c r="C593" s="65"/>
      <c r="D593" s="66" t="s">
        <v>23</v>
      </c>
      <c r="E593" s="66" t="s">
        <v>23</v>
      </c>
      <c r="F593" s="66" t="s">
        <v>744</v>
      </c>
      <c r="G593" s="66" t="s">
        <v>768</v>
      </c>
      <c r="H593" s="66" t="s">
        <v>777</v>
      </c>
      <c r="I593" s="66" t="s">
        <v>286</v>
      </c>
      <c r="J593" s="66" t="s">
        <v>335</v>
      </c>
      <c r="K593" s="66" t="s">
        <v>747</v>
      </c>
      <c r="L593" s="67">
        <v>5000000</v>
      </c>
      <c r="M593" s="67"/>
      <c r="N593" s="68">
        <f t="shared" si="41"/>
        <v>5000000</v>
      </c>
      <c r="O593" s="69">
        <f t="shared" si="40"/>
        <v>5000000</v>
      </c>
      <c r="P593" s="42" t="str">
        <f>IFERROR(VLOOKUP(J593,'Mã NV'!$B:$C,2,0),"")</f>
        <v>XE01622</v>
      </c>
      <c r="Q593" s="70" t="str">
        <f>IFERROR(VLOOKUP(I593,'Mã NV'!$J:$K,2,0),"")</f>
        <v>8T</v>
      </c>
    </row>
    <row r="594" ht="33.6" customHeight="1" spans="1:17">
      <c r="A594" s="63">
        <f t="shared" si="39"/>
        <v>591</v>
      </c>
      <c r="B594" s="64">
        <v>46157</v>
      </c>
      <c r="C594" s="65"/>
      <c r="D594" s="66" t="s">
        <v>23</v>
      </c>
      <c r="E594" s="66" t="s">
        <v>23</v>
      </c>
      <c r="F594" s="66" t="s">
        <v>744</v>
      </c>
      <c r="G594" s="66" t="s">
        <v>768</v>
      </c>
      <c r="H594" s="66" t="s">
        <v>759</v>
      </c>
      <c r="I594" s="66" t="s">
        <v>205</v>
      </c>
      <c r="J594" s="66" t="s">
        <v>312</v>
      </c>
      <c r="K594" s="66" t="s">
        <v>747</v>
      </c>
      <c r="L594" s="67">
        <v>5000000</v>
      </c>
      <c r="M594" s="67"/>
      <c r="N594" s="68">
        <f t="shared" si="41"/>
        <v>5000000</v>
      </c>
      <c r="O594" s="69">
        <f t="shared" si="40"/>
        <v>5000000</v>
      </c>
      <c r="P594" s="42" t="str">
        <f>IFERROR(VLOOKUP(J594,'Mã NV'!$B:$C,2,0),"")</f>
        <v>XE01582</v>
      </c>
      <c r="Q594" s="70" t="str">
        <f>IFERROR(VLOOKUP(I594,'Mã NV'!$J:$K,2,0),"")</f>
        <v>8T</v>
      </c>
    </row>
    <row r="595" ht="33.6" customHeight="1" spans="1:17">
      <c r="A595" s="63">
        <f t="shared" si="39"/>
        <v>592</v>
      </c>
      <c r="B595" s="64">
        <v>46157</v>
      </c>
      <c r="C595" s="65"/>
      <c r="D595" s="66" t="s">
        <v>23</v>
      </c>
      <c r="E595" s="66" t="s">
        <v>23</v>
      </c>
      <c r="F595" s="66" t="s">
        <v>744</v>
      </c>
      <c r="G595" s="66" t="s">
        <v>768</v>
      </c>
      <c r="H595" s="66" t="s">
        <v>759</v>
      </c>
      <c r="I595" s="66" t="s">
        <v>205</v>
      </c>
      <c r="J595" s="66" t="s">
        <v>314</v>
      </c>
      <c r="K595" s="66" t="s">
        <v>747</v>
      </c>
      <c r="L595" s="67">
        <v>5000000</v>
      </c>
      <c r="M595" s="67"/>
      <c r="N595" s="68">
        <f t="shared" si="41"/>
        <v>5000000</v>
      </c>
      <c r="O595" s="69">
        <f t="shared" si="40"/>
        <v>5000000</v>
      </c>
      <c r="P595" s="42" t="str">
        <f>IFERROR(VLOOKUP(J595,'Mã NV'!$B:$C,2,0),"")</f>
        <v>XE01583</v>
      </c>
      <c r="Q595" s="70" t="str">
        <f>IFERROR(VLOOKUP(I595,'Mã NV'!$J:$K,2,0),"")</f>
        <v>8T</v>
      </c>
    </row>
    <row r="596" ht="33.6" customHeight="1" spans="1:17">
      <c r="A596" s="63">
        <f t="shared" si="39"/>
        <v>593</v>
      </c>
      <c r="B596" s="64">
        <v>46157</v>
      </c>
      <c r="C596" s="65"/>
      <c r="D596" s="66" t="s">
        <v>23</v>
      </c>
      <c r="E596" s="66" t="s">
        <v>23</v>
      </c>
      <c r="F596" s="66" t="s">
        <v>744</v>
      </c>
      <c r="G596" s="66" t="s">
        <v>768</v>
      </c>
      <c r="H596" s="66" t="s">
        <v>761</v>
      </c>
      <c r="I596" s="66" t="s">
        <v>170</v>
      </c>
      <c r="J596" s="66" t="s">
        <v>168</v>
      </c>
      <c r="K596" s="66" t="s">
        <v>747</v>
      </c>
      <c r="L596" s="67">
        <v>1098875</v>
      </c>
      <c r="M596" s="67"/>
      <c r="N596" s="68">
        <f t="shared" si="41"/>
        <v>1098875</v>
      </c>
      <c r="O596" s="69">
        <f t="shared" si="40"/>
        <v>1098875</v>
      </c>
      <c r="P596" s="42" t="str">
        <f>IFERROR(VLOOKUP(J596,'Mã NV'!$B:$C,2,0),"")</f>
        <v>XE01263</v>
      </c>
      <c r="Q596" s="70" t="str">
        <f>IFERROR(VLOOKUP(I596,'Mã NV'!$J:$K,2,0),"")</f>
        <v>8T</v>
      </c>
    </row>
    <row r="597" ht="30.75" customHeight="1" spans="1:17">
      <c r="A597" s="63">
        <f t="shared" si="39"/>
        <v>594</v>
      </c>
      <c r="B597" s="64">
        <v>46157</v>
      </c>
      <c r="C597" s="87"/>
      <c r="D597" s="66" t="s">
        <v>23</v>
      </c>
      <c r="E597" s="66" t="s">
        <v>23</v>
      </c>
      <c r="F597" s="66" t="s">
        <v>744</v>
      </c>
      <c r="G597" s="66" t="s">
        <v>768</v>
      </c>
      <c r="H597" s="66" t="s">
        <v>761</v>
      </c>
      <c r="I597" s="66" t="s">
        <v>170</v>
      </c>
      <c r="J597" s="66" t="s">
        <v>203</v>
      </c>
      <c r="K597" s="66" t="s">
        <v>747</v>
      </c>
      <c r="L597" s="67">
        <v>1098875</v>
      </c>
      <c r="M597" s="67"/>
      <c r="N597" s="68">
        <f t="shared" si="41"/>
        <v>1098875</v>
      </c>
      <c r="O597" s="69">
        <f t="shared" si="40"/>
        <v>1098875</v>
      </c>
      <c r="P597" s="42" t="str">
        <f>IFERROR(VLOOKUP(J597,'Mã NV'!$B:$C,2,0),"")</f>
        <v>XE01149</v>
      </c>
      <c r="Q597" s="70" t="str">
        <f>IFERROR(VLOOKUP(I597,'Mã NV'!$J:$K,2,0),"")</f>
        <v>8T</v>
      </c>
    </row>
    <row r="598" ht="30.75" customHeight="1" spans="1:17">
      <c r="A598" s="63">
        <f t="shared" si="39"/>
        <v>595</v>
      </c>
      <c r="B598" s="64">
        <v>46158</v>
      </c>
      <c r="C598" s="87"/>
      <c r="D598" s="66" t="s">
        <v>23</v>
      </c>
      <c r="E598" s="66" t="s">
        <v>23</v>
      </c>
      <c r="F598" s="66" t="s">
        <v>744</v>
      </c>
      <c r="G598" s="66" t="s">
        <v>768</v>
      </c>
      <c r="H598" s="66" t="s">
        <v>812</v>
      </c>
      <c r="I598" s="66" t="s">
        <v>141</v>
      </c>
      <c r="J598" s="66" t="s">
        <v>145</v>
      </c>
      <c r="K598" s="66" t="s">
        <v>747</v>
      </c>
      <c r="L598" s="67">
        <v>2277613.125</v>
      </c>
      <c r="M598" s="67"/>
      <c r="N598" s="68">
        <f t="shared" si="41"/>
        <v>2277613.125</v>
      </c>
      <c r="O598" s="69">
        <f t="shared" si="40"/>
        <v>2277613.125</v>
      </c>
      <c r="P598" s="42" t="str">
        <f>IFERROR(VLOOKUP(J598,'Mã NV'!$B:$C,2,0),"")</f>
        <v>XE01326</v>
      </c>
      <c r="Q598" s="70" t="str">
        <f>IFERROR(VLOOKUP(I598,'Mã NV'!$J:$K,2,0),"")</f>
        <v>7.1t</v>
      </c>
    </row>
    <row r="599" ht="30.75" customHeight="1" spans="1:17">
      <c r="A599" s="63">
        <f t="shared" si="39"/>
        <v>596</v>
      </c>
      <c r="B599" s="64">
        <v>46158</v>
      </c>
      <c r="C599" s="87"/>
      <c r="D599" s="66" t="s">
        <v>23</v>
      </c>
      <c r="E599" s="66" t="s">
        <v>23</v>
      </c>
      <c r="F599" s="66" t="s">
        <v>744</v>
      </c>
      <c r="G599" s="66" t="s">
        <v>768</v>
      </c>
      <c r="H599" s="66" t="s">
        <v>812</v>
      </c>
      <c r="I599" s="66" t="s">
        <v>141</v>
      </c>
      <c r="J599" s="66" t="s">
        <v>139</v>
      </c>
      <c r="K599" s="66" t="s">
        <v>747</v>
      </c>
      <c r="L599" s="67">
        <v>2277613.125</v>
      </c>
      <c r="M599" s="67"/>
      <c r="N599" s="68">
        <f t="shared" si="41"/>
        <v>2277613.125</v>
      </c>
      <c r="O599" s="69">
        <f t="shared" si="40"/>
        <v>2277613.125</v>
      </c>
      <c r="P599" s="42" t="str">
        <f>IFERROR(VLOOKUP(J599,'Mã NV'!$B:$C,2,0),"")</f>
        <v>XE01325</v>
      </c>
      <c r="Q599" s="70" t="str">
        <f>IFERROR(VLOOKUP(I599,'Mã NV'!$J:$K,2,0),"")</f>
        <v>7.1t</v>
      </c>
    </row>
    <row r="600" ht="30.75" customHeight="1" spans="1:17">
      <c r="A600" s="63">
        <f t="shared" si="39"/>
        <v>597</v>
      </c>
      <c r="B600" s="64">
        <v>46166</v>
      </c>
      <c r="C600" s="87"/>
      <c r="D600" s="66" t="s">
        <v>73</v>
      </c>
      <c r="E600" s="66" t="s">
        <v>73</v>
      </c>
      <c r="F600" s="66" t="s">
        <v>744</v>
      </c>
      <c r="G600" s="66" t="s">
        <v>765</v>
      </c>
      <c r="H600" s="66" t="s">
        <v>770</v>
      </c>
      <c r="I600" s="66" t="s">
        <v>180</v>
      </c>
      <c r="J600" s="66" t="s">
        <v>201</v>
      </c>
      <c r="K600" s="66" t="s">
        <v>747</v>
      </c>
      <c r="L600" s="67">
        <v>9000000</v>
      </c>
      <c r="M600" s="67">
        <v>0</v>
      </c>
      <c r="N600" s="68">
        <f t="shared" si="41"/>
        <v>9000000</v>
      </c>
      <c r="O600" s="69">
        <f t="shared" si="40"/>
        <v>9000000</v>
      </c>
      <c r="P600" s="42" t="str">
        <f>IFERROR(VLOOKUP(J600,'Mã NV'!$B:$C,2,0),"")</f>
        <v>XE01308</v>
      </c>
      <c r="Q600" s="70" t="str">
        <f>IFERROR(VLOOKUP(I600,'Mã NV'!$J:$K,2,0),"")</f>
        <v>Cont 50F</v>
      </c>
    </row>
    <row r="601" ht="30.75" customHeight="1" spans="1:17">
      <c r="A601" s="63">
        <f t="shared" si="39"/>
        <v>598</v>
      </c>
      <c r="B601" s="64">
        <v>46166</v>
      </c>
      <c r="C601" s="87"/>
      <c r="D601" s="66" t="s">
        <v>73</v>
      </c>
      <c r="E601" s="66" t="s">
        <v>73</v>
      </c>
      <c r="F601" s="66" t="s">
        <v>744</v>
      </c>
      <c r="G601" s="66" t="s">
        <v>765</v>
      </c>
      <c r="H601" s="66" t="s">
        <v>770</v>
      </c>
      <c r="I601" s="66" t="s">
        <v>180</v>
      </c>
      <c r="J601" s="66" t="s">
        <v>178</v>
      </c>
      <c r="K601" s="66" t="s">
        <v>747</v>
      </c>
      <c r="L601" s="67">
        <v>9000000</v>
      </c>
      <c r="M601" s="67">
        <v>0</v>
      </c>
      <c r="N601" s="68">
        <f t="shared" si="41"/>
        <v>9000000</v>
      </c>
      <c r="O601" s="69">
        <f t="shared" si="40"/>
        <v>9000000</v>
      </c>
      <c r="P601" s="42" t="str">
        <f>IFERROR(VLOOKUP(J601,'Mã NV'!$B:$C,2,0),"")</f>
        <v>XE00952</v>
      </c>
      <c r="Q601" s="70" t="str">
        <f>IFERROR(VLOOKUP(I601,'Mã NV'!$J:$K,2,0),"")</f>
        <v>Cont 50F</v>
      </c>
    </row>
    <row r="602" ht="30.75" customHeight="1" spans="1:17">
      <c r="A602" s="63">
        <f t="shared" si="39"/>
        <v>599</v>
      </c>
      <c r="B602" s="64">
        <v>46148</v>
      </c>
      <c r="C602" s="87"/>
      <c r="D602" s="66" t="s">
        <v>45</v>
      </c>
      <c r="E602" s="66" t="s">
        <v>875</v>
      </c>
      <c r="F602" s="66" t="s">
        <v>744</v>
      </c>
      <c r="G602" s="66" t="s">
        <v>845</v>
      </c>
      <c r="H602" s="66" t="s">
        <v>876</v>
      </c>
      <c r="I602" s="66" t="s">
        <v>290</v>
      </c>
      <c r="J602" s="66" t="s">
        <v>288</v>
      </c>
      <c r="K602" s="66" t="s">
        <v>747</v>
      </c>
      <c r="L602" s="67">
        <v>2352200.5</v>
      </c>
      <c r="M602" s="67">
        <v>0</v>
      </c>
      <c r="N602" s="68">
        <f t="shared" si="41"/>
        <v>2352200.5</v>
      </c>
      <c r="O602" s="69">
        <f t="shared" si="40"/>
        <v>2352200.5</v>
      </c>
      <c r="P602" s="42" t="str">
        <f>IFERROR(VLOOKUP(J602,'Mã NV'!$B:$C,2,0),"")</f>
        <v>XE01563</v>
      </c>
      <c r="Q602" s="70" t="str">
        <f>IFERROR(VLOOKUP(I602,'Mã NV'!$J:$K,2,0),"")</f>
        <v>8T</v>
      </c>
    </row>
    <row r="603" ht="30.75" customHeight="1" spans="1:17">
      <c r="A603" s="63">
        <f t="shared" si="39"/>
        <v>600</v>
      </c>
      <c r="B603" s="64">
        <v>46148</v>
      </c>
      <c r="C603" s="87"/>
      <c r="D603" s="66" t="s">
        <v>45</v>
      </c>
      <c r="E603" s="66" t="s">
        <v>875</v>
      </c>
      <c r="F603" s="66" t="s">
        <v>744</v>
      </c>
      <c r="G603" s="66" t="s">
        <v>845</v>
      </c>
      <c r="H603" s="66" t="s">
        <v>876</v>
      </c>
      <c r="I603" s="66" t="s">
        <v>290</v>
      </c>
      <c r="J603" s="66" t="s">
        <v>329</v>
      </c>
      <c r="K603" s="66" t="s">
        <v>747</v>
      </c>
      <c r="L603" s="67">
        <v>2352200.5</v>
      </c>
      <c r="M603" s="67">
        <v>0</v>
      </c>
      <c r="N603" s="68">
        <f t="shared" si="41"/>
        <v>2352200.5</v>
      </c>
      <c r="O603" s="69">
        <f t="shared" si="40"/>
        <v>2352200.5</v>
      </c>
      <c r="P603" s="42" t="str">
        <f>IFERROR(VLOOKUP(J603,'Mã NV'!$B:$C,2,0),"")</f>
        <v>XE01609</v>
      </c>
      <c r="Q603" s="70" t="str">
        <f>IFERROR(VLOOKUP(I603,'Mã NV'!$J:$K,2,0),"")</f>
        <v>8T</v>
      </c>
    </row>
    <row r="604" ht="30.75" customHeight="1" spans="1:17">
      <c r="A604" s="63">
        <f t="shared" si="39"/>
        <v>601</v>
      </c>
      <c r="B604" s="64">
        <v>46150</v>
      </c>
      <c r="C604" s="87"/>
      <c r="D604" s="66" t="s">
        <v>45</v>
      </c>
      <c r="E604" s="66" t="s">
        <v>45</v>
      </c>
      <c r="F604" s="66" t="s">
        <v>744</v>
      </c>
      <c r="G604" s="66" t="s">
        <v>845</v>
      </c>
      <c r="H604" s="66" t="s">
        <v>750</v>
      </c>
      <c r="I604" s="66" t="s">
        <v>161</v>
      </c>
      <c r="J604" s="66" t="s">
        <v>159</v>
      </c>
      <c r="K604" s="66" t="s">
        <v>747</v>
      </c>
      <c r="L604" s="67">
        <v>2264850</v>
      </c>
      <c r="M604" s="67">
        <v>0</v>
      </c>
      <c r="N604" s="68">
        <f t="shared" si="41"/>
        <v>2264850</v>
      </c>
      <c r="O604" s="69">
        <f t="shared" si="40"/>
        <v>2264850</v>
      </c>
      <c r="P604" s="42" t="str">
        <f>IFERROR(VLOOKUP(J604,'Mã NV'!$B:$C,2,0),"")</f>
        <v>XE01005</v>
      </c>
      <c r="Q604" s="70" t="str">
        <f>IFERROR(VLOOKUP(I604,'Mã NV'!$J:$K,2,0),"")</f>
        <v>8T</v>
      </c>
    </row>
    <row r="605" ht="30.75" customHeight="1" spans="1:17">
      <c r="A605" s="63">
        <f t="shared" si="39"/>
        <v>602</v>
      </c>
      <c r="B605" s="64">
        <v>46150</v>
      </c>
      <c r="C605" s="87"/>
      <c r="D605" s="66" t="s">
        <v>45</v>
      </c>
      <c r="E605" s="66" t="s">
        <v>45</v>
      </c>
      <c r="F605" s="66" t="s">
        <v>744</v>
      </c>
      <c r="G605" s="66" t="s">
        <v>845</v>
      </c>
      <c r="H605" s="66" t="s">
        <v>750</v>
      </c>
      <c r="I605" s="66" t="s">
        <v>161</v>
      </c>
      <c r="J605" s="66" t="s">
        <v>225</v>
      </c>
      <c r="K605" s="66" t="s">
        <v>747</v>
      </c>
      <c r="L605" s="67">
        <v>2264850</v>
      </c>
      <c r="M605" s="67">
        <v>0</v>
      </c>
      <c r="N605" s="68">
        <f t="shared" si="41"/>
        <v>2264850</v>
      </c>
      <c r="O605" s="69">
        <f t="shared" si="40"/>
        <v>2264850</v>
      </c>
      <c r="P605" s="42" t="str">
        <f>IFERROR(VLOOKUP(J605,'Mã NV'!$B:$C,2,0),"")</f>
        <v>XE01164</v>
      </c>
      <c r="Q605" s="70" t="str">
        <f>IFERROR(VLOOKUP(I605,'Mã NV'!$J:$K,2,0),"")</f>
        <v>8T</v>
      </c>
    </row>
    <row r="606" ht="30.75" customHeight="1" spans="1:17">
      <c r="A606" s="63">
        <f t="shared" si="39"/>
        <v>603</v>
      </c>
      <c r="B606" s="64">
        <v>46157</v>
      </c>
      <c r="C606" s="87"/>
      <c r="D606" s="66" t="s">
        <v>45</v>
      </c>
      <c r="E606" s="66" t="s">
        <v>45</v>
      </c>
      <c r="F606" s="66" t="s">
        <v>744</v>
      </c>
      <c r="G606" s="66" t="s">
        <v>845</v>
      </c>
      <c r="H606" s="66" t="s">
        <v>877</v>
      </c>
      <c r="I606" s="66" t="s">
        <v>161</v>
      </c>
      <c r="J606" s="66" t="s">
        <v>159</v>
      </c>
      <c r="K606" s="66" t="s">
        <v>747</v>
      </c>
      <c r="L606" s="67">
        <v>3881250</v>
      </c>
      <c r="M606" s="67">
        <v>0</v>
      </c>
      <c r="N606" s="68">
        <f t="shared" si="41"/>
        <v>3881250</v>
      </c>
      <c r="O606" s="69">
        <f t="shared" si="40"/>
        <v>3881250</v>
      </c>
      <c r="P606" s="42" t="str">
        <f>IFERROR(VLOOKUP(J606,'Mã NV'!$B:$C,2,0),"")</f>
        <v>XE01005</v>
      </c>
      <c r="Q606" s="70" t="str">
        <f>IFERROR(VLOOKUP(I606,'Mã NV'!$J:$K,2,0),"")</f>
        <v>8T</v>
      </c>
    </row>
    <row r="607" ht="30.75" customHeight="1" spans="1:17">
      <c r="A607" s="63">
        <f t="shared" si="39"/>
        <v>604</v>
      </c>
      <c r="B607" s="64">
        <v>46157</v>
      </c>
      <c r="C607" s="87"/>
      <c r="D607" s="66" t="s">
        <v>45</v>
      </c>
      <c r="E607" s="66" t="s">
        <v>45</v>
      </c>
      <c r="F607" s="66" t="s">
        <v>744</v>
      </c>
      <c r="G607" s="66" t="s">
        <v>845</v>
      </c>
      <c r="H607" s="66" t="s">
        <v>877</v>
      </c>
      <c r="I607" s="66" t="s">
        <v>161</v>
      </c>
      <c r="J607" s="66" t="s">
        <v>225</v>
      </c>
      <c r="K607" s="66" t="s">
        <v>747</v>
      </c>
      <c r="L607" s="67">
        <v>3881250</v>
      </c>
      <c r="M607" s="67">
        <v>0</v>
      </c>
      <c r="N607" s="68">
        <f t="shared" si="41"/>
        <v>3881250</v>
      </c>
      <c r="O607" s="69">
        <f t="shared" si="40"/>
        <v>3881250</v>
      </c>
      <c r="P607" s="42" t="str">
        <f>IFERROR(VLOOKUP(J607,'Mã NV'!$B:$C,2,0),"")</f>
        <v>XE01164</v>
      </c>
      <c r="Q607" s="70" t="str">
        <f>IFERROR(VLOOKUP(I607,'Mã NV'!$J:$K,2,0),"")</f>
        <v>8T</v>
      </c>
    </row>
    <row r="608" ht="30.75" customHeight="1" spans="1:17">
      <c r="A608" s="63">
        <f t="shared" si="39"/>
        <v>605</v>
      </c>
      <c r="B608" s="64" t="s">
        <v>878</v>
      </c>
      <c r="C608" s="87"/>
      <c r="D608" s="66" t="s">
        <v>45</v>
      </c>
      <c r="E608" s="66" t="s">
        <v>45</v>
      </c>
      <c r="F608" s="66" t="s">
        <v>744</v>
      </c>
      <c r="G608" s="66" t="s">
        <v>845</v>
      </c>
      <c r="H608" s="66" t="s">
        <v>759</v>
      </c>
      <c r="I608" s="66" t="s">
        <v>87</v>
      </c>
      <c r="J608" s="66" t="s">
        <v>85</v>
      </c>
      <c r="K608" s="66" t="s">
        <v>747</v>
      </c>
      <c r="L608" s="67">
        <v>2861400</v>
      </c>
      <c r="M608" s="67"/>
      <c r="N608" s="68">
        <f t="shared" si="41"/>
        <v>2861400</v>
      </c>
      <c r="O608" s="69">
        <f t="shared" si="40"/>
        <v>2861400</v>
      </c>
      <c r="P608" s="42" t="str">
        <f>IFERROR(VLOOKUP(J608,'Mã NV'!$B:$C,2,0),"")</f>
        <v>XE01456</v>
      </c>
      <c r="Q608" s="70" t="str">
        <f>IFERROR(VLOOKUP(I608,'Mã NV'!$J:$K,2,0),"")</f>
        <v>8T</v>
      </c>
    </row>
    <row r="609" ht="30.75" customHeight="1" spans="1:17">
      <c r="A609" s="63">
        <f t="shared" si="39"/>
        <v>606</v>
      </c>
      <c r="B609" s="64" t="s">
        <v>878</v>
      </c>
      <c r="C609" s="87"/>
      <c r="D609" s="66" t="s">
        <v>45</v>
      </c>
      <c r="E609" s="66" t="s">
        <v>45</v>
      </c>
      <c r="F609" s="66" t="s">
        <v>744</v>
      </c>
      <c r="G609" s="66" t="s">
        <v>845</v>
      </c>
      <c r="H609" s="66" t="s">
        <v>759</v>
      </c>
      <c r="I609" s="66" t="s">
        <v>87</v>
      </c>
      <c r="J609" s="66" t="s">
        <v>305</v>
      </c>
      <c r="K609" s="66" t="s">
        <v>747</v>
      </c>
      <c r="L609" s="67">
        <v>2861400</v>
      </c>
      <c r="M609" s="67"/>
      <c r="N609" s="68">
        <f t="shared" si="41"/>
        <v>2861400</v>
      </c>
      <c r="O609" s="69">
        <f t="shared" si="40"/>
        <v>2861400</v>
      </c>
      <c r="P609" s="42" t="str">
        <f>IFERROR(VLOOKUP(J609,'Mã NV'!$B:$C,2,0),"")</f>
        <v>XE01599</v>
      </c>
      <c r="Q609" s="70" t="str">
        <f>IFERROR(VLOOKUP(I609,'Mã NV'!$J:$K,2,0),"")</f>
        <v>8T</v>
      </c>
    </row>
    <row r="610" ht="30.75" customHeight="1" spans="1:17">
      <c r="A610" s="63">
        <f t="shared" si="39"/>
        <v>607</v>
      </c>
      <c r="B610" s="64" t="s">
        <v>879</v>
      </c>
      <c r="C610" s="87"/>
      <c r="D610" s="66" t="s">
        <v>45</v>
      </c>
      <c r="E610" s="66" t="s">
        <v>45</v>
      </c>
      <c r="F610" s="66" t="s">
        <v>744</v>
      </c>
      <c r="G610" s="66" t="s">
        <v>845</v>
      </c>
      <c r="H610" s="66" t="s">
        <v>753</v>
      </c>
      <c r="I610" s="66" t="s">
        <v>42</v>
      </c>
      <c r="J610" s="66" t="s">
        <v>40</v>
      </c>
      <c r="K610" s="66" t="s">
        <v>747</v>
      </c>
      <c r="L610" s="67">
        <v>683550</v>
      </c>
      <c r="M610" s="67"/>
      <c r="N610" s="68">
        <f t="shared" si="41"/>
        <v>683550</v>
      </c>
      <c r="O610" s="69">
        <f t="shared" si="40"/>
        <v>683550</v>
      </c>
      <c r="P610" s="42" t="str">
        <f>IFERROR(VLOOKUP(J610,'Mã NV'!$B:$C,2,0),"")</f>
        <v>XE01417</v>
      </c>
      <c r="Q610" s="70" t="str">
        <f>IFERROR(VLOOKUP(I610,'Mã NV'!$J:$K,2,0),"")</f>
        <v>7.1t</v>
      </c>
    </row>
    <row r="611" ht="30.75" customHeight="1" spans="1:17">
      <c r="A611" s="63">
        <f t="shared" si="39"/>
        <v>608</v>
      </c>
      <c r="B611" s="64" t="s">
        <v>879</v>
      </c>
      <c r="C611" s="87"/>
      <c r="D611" s="66" t="s">
        <v>45</v>
      </c>
      <c r="E611" s="66" t="s">
        <v>45</v>
      </c>
      <c r="F611" s="66" t="s">
        <v>744</v>
      </c>
      <c r="G611" s="66" t="s">
        <v>845</v>
      </c>
      <c r="H611" s="66" t="s">
        <v>753</v>
      </c>
      <c r="I611" s="66" t="s">
        <v>42</v>
      </c>
      <c r="J611" s="66" t="s">
        <v>333</v>
      </c>
      <c r="K611" s="66" t="s">
        <v>747</v>
      </c>
      <c r="L611" s="67">
        <v>683550</v>
      </c>
      <c r="M611" s="67"/>
      <c r="N611" s="68">
        <f t="shared" si="41"/>
        <v>683550</v>
      </c>
      <c r="O611" s="69">
        <f t="shared" si="40"/>
        <v>683550</v>
      </c>
      <c r="P611" s="42" t="str">
        <f>IFERROR(VLOOKUP(J611,'Mã NV'!$B:$C,2,0),"")</f>
        <v>XE01671</v>
      </c>
      <c r="Q611" s="70" t="str">
        <f>IFERROR(VLOOKUP(I611,'Mã NV'!$J:$K,2,0),"")</f>
        <v>7.1t</v>
      </c>
    </row>
    <row r="612" ht="30.75" customHeight="1" spans="1:17">
      <c r="A612" s="63">
        <f t="shared" si="39"/>
        <v>609</v>
      </c>
      <c r="B612" s="64" t="s">
        <v>879</v>
      </c>
      <c r="C612" s="87"/>
      <c r="D612" s="66" t="s">
        <v>45</v>
      </c>
      <c r="E612" s="66" t="s">
        <v>45</v>
      </c>
      <c r="F612" s="66" t="s">
        <v>744</v>
      </c>
      <c r="G612" s="66" t="s">
        <v>845</v>
      </c>
      <c r="H612" s="66" t="s">
        <v>804</v>
      </c>
      <c r="I612" s="66" t="s">
        <v>42</v>
      </c>
      <c r="J612" s="66" t="s">
        <v>40</v>
      </c>
      <c r="K612" s="66" t="s">
        <v>747</v>
      </c>
      <c r="L612" s="67">
        <v>814050</v>
      </c>
      <c r="M612" s="67"/>
      <c r="N612" s="68">
        <f t="shared" si="41"/>
        <v>814050</v>
      </c>
      <c r="O612" s="69">
        <f t="shared" si="40"/>
        <v>814050</v>
      </c>
      <c r="P612" s="42" t="str">
        <f>IFERROR(VLOOKUP(J612,'Mã NV'!$B:$C,2,0),"")</f>
        <v>XE01417</v>
      </c>
      <c r="Q612" s="70" t="str">
        <f>IFERROR(VLOOKUP(I612,'Mã NV'!$J:$K,2,0),"")</f>
        <v>7.1t</v>
      </c>
    </row>
    <row r="613" ht="30.75" customHeight="1" spans="1:17">
      <c r="A613" s="63">
        <f t="shared" si="39"/>
        <v>610</v>
      </c>
      <c r="B613" s="64" t="s">
        <v>879</v>
      </c>
      <c r="C613" s="87"/>
      <c r="D613" s="66" t="s">
        <v>45</v>
      </c>
      <c r="E613" s="66" t="s">
        <v>45</v>
      </c>
      <c r="F613" s="66" t="s">
        <v>744</v>
      </c>
      <c r="G613" s="66" t="s">
        <v>845</v>
      </c>
      <c r="H613" s="66" t="s">
        <v>804</v>
      </c>
      <c r="I613" s="66" t="s">
        <v>42</v>
      </c>
      <c r="J613" s="66" t="s">
        <v>333</v>
      </c>
      <c r="K613" s="66" t="s">
        <v>747</v>
      </c>
      <c r="L613" s="67">
        <v>814050</v>
      </c>
      <c r="M613" s="67"/>
      <c r="N613" s="68">
        <f t="shared" si="41"/>
        <v>814050</v>
      </c>
      <c r="O613" s="69">
        <f t="shared" si="40"/>
        <v>814050</v>
      </c>
      <c r="P613" s="42" t="str">
        <f>IFERROR(VLOOKUP(J613,'Mã NV'!$B:$C,2,0),"")</f>
        <v>XE01671</v>
      </c>
      <c r="Q613" s="70" t="str">
        <f>IFERROR(VLOOKUP(I613,'Mã NV'!$J:$K,2,0),"")</f>
        <v>7.1t</v>
      </c>
    </row>
    <row r="614" ht="30.75" customHeight="1" spans="1:17">
      <c r="A614" s="63">
        <f t="shared" si="39"/>
        <v>611</v>
      </c>
      <c r="B614" s="64">
        <v>46154</v>
      </c>
      <c r="C614" s="87"/>
      <c r="D614" s="66" t="s">
        <v>150</v>
      </c>
      <c r="E614" s="66" t="s">
        <v>150</v>
      </c>
      <c r="F614" s="66" t="s">
        <v>744</v>
      </c>
      <c r="G614" s="66" t="s">
        <v>767</v>
      </c>
      <c r="H614" s="66" t="s">
        <v>880</v>
      </c>
      <c r="I614" s="66" t="s">
        <v>266</v>
      </c>
      <c r="J614" s="66" t="s">
        <v>264</v>
      </c>
      <c r="K614" s="66" t="s">
        <v>747</v>
      </c>
      <c r="L614" s="67">
        <v>807500</v>
      </c>
      <c r="M614" s="67">
        <v>0</v>
      </c>
      <c r="N614" s="68">
        <f t="shared" si="41"/>
        <v>807500</v>
      </c>
      <c r="O614" s="69">
        <f t="shared" si="40"/>
        <v>807500</v>
      </c>
      <c r="P614" s="42" t="str">
        <f>IFERROR(VLOOKUP(J614,'Mã NV'!$B:$C,2,0),"")</f>
        <v>XE01678</v>
      </c>
      <c r="Q614" s="70" t="str">
        <f>IFERROR(VLOOKUP(I614,'Mã NV'!$J:$K,2,0),"")</f>
        <v>7.1t</v>
      </c>
    </row>
    <row r="615" ht="30.75" customHeight="1" spans="1:17">
      <c r="A615" s="63">
        <f t="shared" si="39"/>
        <v>612</v>
      </c>
      <c r="B615" s="64">
        <v>46154</v>
      </c>
      <c r="C615" s="87"/>
      <c r="D615" s="66" t="s">
        <v>150</v>
      </c>
      <c r="E615" s="66" t="s">
        <v>150</v>
      </c>
      <c r="F615" s="66" t="s">
        <v>744</v>
      </c>
      <c r="G615" s="66" t="s">
        <v>767</v>
      </c>
      <c r="H615" s="66" t="s">
        <v>880</v>
      </c>
      <c r="I615" s="66" t="s">
        <v>266</v>
      </c>
      <c r="J615" s="66" t="s">
        <v>399</v>
      </c>
      <c r="K615" s="66" t="s">
        <v>747</v>
      </c>
      <c r="L615" s="67">
        <v>807500</v>
      </c>
      <c r="M615" s="67">
        <v>0</v>
      </c>
      <c r="N615" s="68">
        <f t="shared" si="41"/>
        <v>807500</v>
      </c>
      <c r="O615" s="69">
        <f t="shared" si="40"/>
        <v>807500</v>
      </c>
      <c r="P615" s="42" t="str">
        <f>IFERROR(VLOOKUP(J615,'Mã NV'!$B:$C,2,0),"")</f>
        <v>XE01679</v>
      </c>
      <c r="Q615" s="70" t="str">
        <f>IFERROR(VLOOKUP(I615,'Mã NV'!$J:$K,2,0),"")</f>
        <v>7.1t</v>
      </c>
    </row>
    <row r="616" ht="30.75" customHeight="1" spans="1:17">
      <c r="A616" s="63">
        <f t="shared" si="39"/>
        <v>613</v>
      </c>
      <c r="B616" s="64">
        <v>46154</v>
      </c>
      <c r="C616" s="87"/>
      <c r="D616" s="66" t="s">
        <v>150</v>
      </c>
      <c r="E616" s="66" t="s">
        <v>150</v>
      </c>
      <c r="F616" s="66" t="s">
        <v>744</v>
      </c>
      <c r="G616" s="66" t="s">
        <v>767</v>
      </c>
      <c r="H616" s="66" t="s">
        <v>804</v>
      </c>
      <c r="I616" s="66" t="s">
        <v>266</v>
      </c>
      <c r="J616" s="66" t="s">
        <v>264</v>
      </c>
      <c r="K616" s="66" t="s">
        <v>747</v>
      </c>
      <c r="L616" s="67">
        <v>1000000</v>
      </c>
      <c r="M616" s="67">
        <v>0</v>
      </c>
      <c r="N616" s="68">
        <f t="shared" si="41"/>
        <v>1000000</v>
      </c>
      <c r="O616" s="69">
        <f t="shared" si="40"/>
        <v>1000000</v>
      </c>
      <c r="P616" s="42" t="str">
        <f>IFERROR(VLOOKUP(J616,'Mã NV'!$B:$C,2,0),"")</f>
        <v>XE01678</v>
      </c>
      <c r="Q616" s="70" t="str">
        <f>IFERROR(VLOOKUP(I616,'Mã NV'!$J:$K,2,0),"")</f>
        <v>7.1t</v>
      </c>
    </row>
    <row r="617" ht="30.75" customHeight="1" spans="1:17">
      <c r="A617" s="63">
        <f t="shared" si="39"/>
        <v>614</v>
      </c>
      <c r="B617" s="64">
        <v>46154</v>
      </c>
      <c r="C617" s="87"/>
      <c r="D617" s="66" t="s">
        <v>150</v>
      </c>
      <c r="E617" s="66" t="s">
        <v>150</v>
      </c>
      <c r="F617" s="66" t="s">
        <v>744</v>
      </c>
      <c r="G617" s="66" t="s">
        <v>767</v>
      </c>
      <c r="H617" s="66" t="s">
        <v>804</v>
      </c>
      <c r="I617" s="66" t="s">
        <v>266</v>
      </c>
      <c r="J617" s="66" t="s">
        <v>399</v>
      </c>
      <c r="K617" s="66" t="s">
        <v>747</v>
      </c>
      <c r="L617" s="67">
        <v>1000000</v>
      </c>
      <c r="M617" s="67">
        <v>0</v>
      </c>
      <c r="N617" s="68">
        <f t="shared" si="41"/>
        <v>1000000</v>
      </c>
      <c r="O617" s="69">
        <f t="shared" si="40"/>
        <v>1000000</v>
      </c>
      <c r="P617" s="42" t="str">
        <f>IFERROR(VLOOKUP(J617,'Mã NV'!$B:$C,2,0),"")</f>
        <v>XE01679</v>
      </c>
      <c r="Q617" s="70" t="str">
        <f>IFERROR(VLOOKUP(I617,'Mã NV'!$J:$K,2,0),"")</f>
        <v>7.1t</v>
      </c>
    </row>
    <row r="618" ht="30.75" customHeight="1" spans="1:17">
      <c r="A618" s="63">
        <f t="shared" si="39"/>
        <v>615</v>
      </c>
      <c r="B618" s="64">
        <v>46155</v>
      </c>
      <c r="C618" s="87"/>
      <c r="D618" s="66" t="s">
        <v>150</v>
      </c>
      <c r="E618" s="66" t="s">
        <v>150</v>
      </c>
      <c r="F618" s="66" t="s">
        <v>744</v>
      </c>
      <c r="G618" s="66" t="s">
        <v>767</v>
      </c>
      <c r="H618" s="66" t="s">
        <v>769</v>
      </c>
      <c r="I618" s="66" t="s">
        <v>37</v>
      </c>
      <c r="J618" s="66" t="s">
        <v>241</v>
      </c>
      <c r="K618" s="66" t="s">
        <v>747</v>
      </c>
      <c r="L618" s="67">
        <v>1000000</v>
      </c>
      <c r="M618" s="67">
        <v>0</v>
      </c>
      <c r="N618" s="68">
        <f t="shared" si="41"/>
        <v>1000000</v>
      </c>
      <c r="O618" s="69">
        <f t="shared" si="40"/>
        <v>1000000</v>
      </c>
      <c r="P618" s="42" t="str">
        <f>IFERROR(VLOOKUP(J618,'Mã NV'!$B:$C,2,0),"")</f>
        <v>XE01443</v>
      </c>
      <c r="Q618" s="70" t="str">
        <f>IFERROR(VLOOKUP(I618,'Mã NV'!$J:$K,2,0),"")</f>
        <v>Cont 50F</v>
      </c>
    </row>
    <row r="619" ht="30.75" customHeight="1" spans="1:17">
      <c r="A619" s="63">
        <f t="shared" si="39"/>
        <v>616</v>
      </c>
      <c r="B619" s="64">
        <v>46155</v>
      </c>
      <c r="C619" s="87"/>
      <c r="D619" s="66" t="s">
        <v>150</v>
      </c>
      <c r="E619" s="66" t="s">
        <v>150</v>
      </c>
      <c r="F619" s="66" t="s">
        <v>744</v>
      </c>
      <c r="G619" s="66" t="s">
        <v>767</v>
      </c>
      <c r="H619" s="66" t="s">
        <v>769</v>
      </c>
      <c r="I619" s="66" t="s">
        <v>37</v>
      </c>
      <c r="J619" s="66" t="s">
        <v>243</v>
      </c>
      <c r="K619" s="66" t="s">
        <v>747</v>
      </c>
      <c r="L619" s="67">
        <v>1000000</v>
      </c>
      <c r="M619" s="67">
        <v>0</v>
      </c>
      <c r="N619" s="68">
        <f t="shared" si="41"/>
        <v>1000000</v>
      </c>
      <c r="O619" s="69">
        <f t="shared" si="40"/>
        <v>1000000</v>
      </c>
      <c r="P619" s="42" t="str">
        <f>IFERROR(VLOOKUP(J619,'Mã NV'!$B:$C,2,0),"")</f>
        <v>XE01444</v>
      </c>
      <c r="Q619" s="70" t="str">
        <f>IFERROR(VLOOKUP(I619,'Mã NV'!$J:$K,2,0),"")</f>
        <v>Cont 50F</v>
      </c>
    </row>
    <row r="620" ht="30.75" customHeight="1" spans="1:17">
      <c r="A620" s="63">
        <f t="shared" si="39"/>
        <v>617</v>
      </c>
      <c r="B620" s="64">
        <v>46158</v>
      </c>
      <c r="C620" s="87"/>
      <c r="D620" s="66" t="s">
        <v>150</v>
      </c>
      <c r="E620" s="66" t="s">
        <v>150</v>
      </c>
      <c r="F620" s="66" t="s">
        <v>744</v>
      </c>
      <c r="G620" s="66" t="s">
        <v>768</v>
      </c>
      <c r="H620" s="66" t="s">
        <v>777</v>
      </c>
      <c r="I620" s="66" t="s">
        <v>149</v>
      </c>
      <c r="J620" s="66" t="s">
        <v>147</v>
      </c>
      <c r="K620" s="66" t="s">
        <v>747</v>
      </c>
      <c r="L620" s="67">
        <v>3136500</v>
      </c>
      <c r="M620" s="67">
        <v>250000</v>
      </c>
      <c r="N620" s="68">
        <f t="shared" si="41"/>
        <v>2886500</v>
      </c>
      <c r="O620" s="69">
        <f t="shared" si="40"/>
        <v>2886500</v>
      </c>
      <c r="P620" s="42" t="str">
        <f>IFERROR(VLOOKUP(J620,'Mã NV'!$B:$C,2,0),"")</f>
        <v>XE01304</v>
      </c>
      <c r="Q620" s="70" t="str">
        <f>IFERROR(VLOOKUP(I620,'Mã NV'!$J:$K,2,0),"")</f>
        <v>8T</v>
      </c>
    </row>
    <row r="621" ht="30.75" customHeight="1" spans="1:17">
      <c r="A621" s="63">
        <f t="shared" si="39"/>
        <v>618</v>
      </c>
      <c r="B621" s="64">
        <v>46158</v>
      </c>
      <c r="C621" s="87"/>
      <c r="D621" s="66" t="s">
        <v>150</v>
      </c>
      <c r="E621" s="66" t="s">
        <v>150</v>
      </c>
      <c r="F621" s="66" t="s">
        <v>744</v>
      </c>
      <c r="G621" s="66" t="s">
        <v>768</v>
      </c>
      <c r="H621" s="66" t="s">
        <v>777</v>
      </c>
      <c r="I621" s="66" t="s">
        <v>149</v>
      </c>
      <c r="J621" s="66" t="s">
        <v>235</v>
      </c>
      <c r="K621" s="66" t="s">
        <v>747</v>
      </c>
      <c r="L621" s="67">
        <v>3136500</v>
      </c>
      <c r="M621" s="67">
        <v>250000</v>
      </c>
      <c r="N621" s="68">
        <f t="shared" si="41"/>
        <v>2886500</v>
      </c>
      <c r="O621" s="69">
        <f t="shared" si="40"/>
        <v>2886500</v>
      </c>
      <c r="P621" s="42" t="str">
        <f>IFERROR(VLOOKUP(J621,'Mã NV'!$B:$C,2,0),"")</f>
        <v>XE01305</v>
      </c>
      <c r="Q621" s="70" t="str">
        <f>IFERROR(VLOOKUP(I621,'Mã NV'!$J:$K,2,0),"")</f>
        <v>8T</v>
      </c>
    </row>
    <row r="622" ht="30.75" customHeight="1" spans="1:17">
      <c r="A622" s="63">
        <f t="shared" si="39"/>
        <v>619</v>
      </c>
      <c r="B622" s="64">
        <v>46158</v>
      </c>
      <c r="C622" s="87"/>
      <c r="D622" s="66" t="s">
        <v>150</v>
      </c>
      <c r="E622" s="66" t="s">
        <v>150</v>
      </c>
      <c r="F622" s="66" t="s">
        <v>744</v>
      </c>
      <c r="G622" s="66" t="s">
        <v>768</v>
      </c>
      <c r="H622" s="66" t="s">
        <v>820</v>
      </c>
      <c r="I622" s="66" t="s">
        <v>149</v>
      </c>
      <c r="J622" s="66" t="s">
        <v>147</v>
      </c>
      <c r="K622" s="66" t="s">
        <v>747</v>
      </c>
      <c r="L622" s="67">
        <v>1550000</v>
      </c>
      <c r="M622" s="67">
        <v>0</v>
      </c>
      <c r="N622" s="68">
        <f t="shared" si="41"/>
        <v>1550000</v>
      </c>
      <c r="O622" s="69">
        <f t="shared" si="40"/>
        <v>1550000</v>
      </c>
      <c r="P622" s="42" t="str">
        <f>IFERROR(VLOOKUP(J622,'Mã NV'!$B:$C,2,0),"")</f>
        <v>XE01304</v>
      </c>
      <c r="Q622" s="70" t="str">
        <f>IFERROR(VLOOKUP(I622,'Mã NV'!$J:$K,2,0),"")</f>
        <v>8T</v>
      </c>
    </row>
    <row r="623" ht="30.75" customHeight="1" spans="1:17">
      <c r="A623" s="63">
        <f t="shared" si="39"/>
        <v>620</v>
      </c>
      <c r="B623" s="64">
        <v>46158</v>
      </c>
      <c r="C623" s="87"/>
      <c r="D623" s="66" t="s">
        <v>150</v>
      </c>
      <c r="E623" s="66" t="s">
        <v>150</v>
      </c>
      <c r="F623" s="66" t="s">
        <v>744</v>
      </c>
      <c r="G623" s="66" t="s">
        <v>768</v>
      </c>
      <c r="H623" s="66" t="s">
        <v>820</v>
      </c>
      <c r="I623" s="66" t="s">
        <v>149</v>
      </c>
      <c r="J623" s="66" t="s">
        <v>235</v>
      </c>
      <c r="K623" s="66" t="s">
        <v>747</v>
      </c>
      <c r="L623" s="67">
        <v>1550000</v>
      </c>
      <c r="M623" s="67">
        <v>0</v>
      </c>
      <c r="N623" s="68">
        <f t="shared" si="41"/>
        <v>1550000</v>
      </c>
      <c r="O623" s="69">
        <f t="shared" si="40"/>
        <v>1550000</v>
      </c>
      <c r="P623" s="42" t="str">
        <f>IFERROR(VLOOKUP(J623,'Mã NV'!$B:$C,2,0),"")</f>
        <v>XE01305</v>
      </c>
      <c r="Q623" s="70" t="str">
        <f>IFERROR(VLOOKUP(I623,'Mã NV'!$J:$K,2,0),"")</f>
        <v>8T</v>
      </c>
    </row>
    <row r="624" ht="30.75" customHeight="1" spans="1:17">
      <c r="A624" s="63">
        <f t="shared" si="39"/>
        <v>621</v>
      </c>
      <c r="B624" s="64">
        <v>46158</v>
      </c>
      <c r="C624" s="87"/>
      <c r="D624" s="66" t="s">
        <v>150</v>
      </c>
      <c r="E624" s="66" t="s">
        <v>150</v>
      </c>
      <c r="F624" s="66" t="s">
        <v>744</v>
      </c>
      <c r="G624" s="66" t="s">
        <v>768</v>
      </c>
      <c r="H624" s="66" t="s">
        <v>776</v>
      </c>
      <c r="I624" s="66" t="s">
        <v>397</v>
      </c>
      <c r="J624" s="66" t="s">
        <v>393</v>
      </c>
      <c r="K624" s="66" t="s">
        <v>870</v>
      </c>
      <c r="L624" s="67">
        <v>18000000</v>
      </c>
      <c r="M624" s="67"/>
      <c r="N624" s="68">
        <f t="shared" si="41"/>
        <v>18000000</v>
      </c>
      <c r="O624" s="69">
        <f t="shared" si="40"/>
        <v>18000000</v>
      </c>
      <c r="P624" s="42" t="str">
        <f>IFERROR(VLOOKUP(J624,'Mã NV'!$B:$C,2,0),"")</f>
        <v/>
      </c>
      <c r="Q624" s="70" t="str">
        <f>IFERROR(VLOOKUP(I624,'Mã NV'!$J:$K,2,0),"")</f>
        <v/>
      </c>
    </row>
    <row r="625" ht="30.75" customHeight="1" spans="1:20">
      <c r="A625" s="63">
        <f t="shared" si="39"/>
        <v>622</v>
      </c>
      <c r="B625" s="64">
        <v>46158</v>
      </c>
      <c r="C625" s="87"/>
      <c r="D625" s="66" t="s">
        <v>150</v>
      </c>
      <c r="E625" s="66" t="s">
        <v>150</v>
      </c>
      <c r="F625" s="66" t="s">
        <v>744</v>
      </c>
      <c r="G625" s="66" t="s">
        <v>768</v>
      </c>
      <c r="H625" s="66" t="s">
        <v>759</v>
      </c>
      <c r="I625" s="66" t="s">
        <v>398</v>
      </c>
      <c r="J625" s="66" t="s">
        <v>393</v>
      </c>
      <c r="K625" s="66" t="s">
        <v>870</v>
      </c>
      <c r="L625" s="67">
        <v>18000000</v>
      </c>
      <c r="M625" s="67"/>
      <c r="N625" s="68">
        <f t="shared" si="41"/>
        <v>18000000</v>
      </c>
      <c r="O625" s="69">
        <f t="shared" si="40"/>
        <v>18000000</v>
      </c>
      <c r="P625" s="42" t="str">
        <f>IFERROR(VLOOKUP(J625,'Mã NV'!$B:$C,2,0),"")</f>
        <v/>
      </c>
      <c r="Q625" s="70" t="str">
        <f>IFERROR(VLOOKUP(I625,'Mã NV'!$J:$K,2,0),"")</f>
        <v/>
      </c>
    </row>
    <row r="626" ht="30.75" customHeight="1" spans="1:20">
      <c r="A626" s="63">
        <f t="shared" si="39"/>
        <v>623</v>
      </c>
      <c r="B626" s="64">
        <v>46164</v>
      </c>
      <c r="C626" s="87"/>
      <c r="D626" s="66" t="s">
        <v>150</v>
      </c>
      <c r="E626" s="66" t="s">
        <v>881</v>
      </c>
      <c r="F626" s="66" t="s">
        <v>744</v>
      </c>
      <c r="G626" s="66" t="s">
        <v>767</v>
      </c>
      <c r="H626" s="66" t="s">
        <v>753</v>
      </c>
      <c r="I626" s="66" t="s">
        <v>293</v>
      </c>
      <c r="J626" s="66" t="s">
        <v>294</v>
      </c>
      <c r="K626" s="66" t="s">
        <v>747</v>
      </c>
      <c r="L626" s="67">
        <v>7000000</v>
      </c>
      <c r="M626" s="67">
        <v>0</v>
      </c>
      <c r="N626" s="68">
        <f t="shared" si="41"/>
        <v>7000000</v>
      </c>
      <c r="O626" s="69">
        <f t="shared" si="40"/>
        <v>7000000</v>
      </c>
      <c r="P626" s="42" t="str">
        <f>IFERROR(VLOOKUP(J626,'Mã NV'!$B:$C,2,0),"")</f>
        <v>XE01551</v>
      </c>
      <c r="Q626" s="70" t="str">
        <f>IFERROR(VLOOKUP(I626,'Mã NV'!$J:$K,2,0),"")</f>
        <v>8T</v>
      </c>
    </row>
    <row r="627" ht="30.75" customHeight="1" spans="1:20">
      <c r="A627" s="63">
        <f t="shared" si="39"/>
        <v>624</v>
      </c>
      <c r="B627" s="64">
        <v>46164</v>
      </c>
      <c r="C627" s="87"/>
      <c r="D627" s="66" t="s">
        <v>150</v>
      </c>
      <c r="E627" s="66" t="s">
        <v>881</v>
      </c>
      <c r="F627" s="66" t="s">
        <v>744</v>
      </c>
      <c r="G627" s="66" t="s">
        <v>767</v>
      </c>
      <c r="H627" s="66" t="s">
        <v>753</v>
      </c>
      <c r="I627" s="66" t="s">
        <v>293</v>
      </c>
      <c r="J627" s="66" t="s">
        <v>291</v>
      </c>
      <c r="K627" s="66" t="s">
        <v>747</v>
      </c>
      <c r="L627" s="67">
        <v>7000000</v>
      </c>
      <c r="M627" s="67">
        <v>0</v>
      </c>
      <c r="N627" s="68">
        <f t="shared" si="41"/>
        <v>7000000</v>
      </c>
      <c r="O627" s="69">
        <f t="shared" si="40"/>
        <v>7000000</v>
      </c>
      <c r="P627" s="42" t="str">
        <f>IFERROR(VLOOKUP(J627,'Mã NV'!$B:$C,2,0),"")</f>
        <v>XE01552</v>
      </c>
      <c r="Q627" s="70" t="str">
        <f>IFERROR(VLOOKUP(I627,'Mã NV'!$J:$K,2,0),"")</f>
        <v>8T</v>
      </c>
    </row>
    <row r="628" ht="30.75" customHeight="1" spans="1:20">
      <c r="A628" s="63">
        <f t="shared" si="39"/>
        <v>625</v>
      </c>
      <c r="B628" s="64">
        <v>46153</v>
      </c>
      <c r="C628" s="87"/>
      <c r="D628" s="66" t="s">
        <v>32</v>
      </c>
      <c r="E628" s="66" t="s">
        <v>32</v>
      </c>
      <c r="F628" s="66" t="s">
        <v>744</v>
      </c>
      <c r="G628" s="66" t="s">
        <v>785</v>
      </c>
      <c r="H628" s="66" t="s">
        <v>882</v>
      </c>
      <c r="I628" s="66" t="s">
        <v>29</v>
      </c>
      <c r="J628" s="66" t="s">
        <v>27</v>
      </c>
      <c r="K628" s="66" t="s">
        <v>747</v>
      </c>
      <c r="L628" s="67">
        <v>51500000</v>
      </c>
      <c r="M628" s="67">
        <v>11250000</v>
      </c>
      <c r="N628" s="68">
        <f t="shared" si="41"/>
        <v>40250000</v>
      </c>
      <c r="O628" s="69">
        <f t="shared" si="40"/>
        <v>40250000</v>
      </c>
      <c r="P628" s="42" t="str">
        <f>IFERROR(VLOOKUP(J628,'Mã NV'!$B:$C,2,0),"")</f>
        <v>XE00991</v>
      </c>
      <c r="Q628" s="70" t="str">
        <f>IFERROR(VLOOKUP(I628,'Mã NV'!$J:$K,2,0),"")</f>
        <v>Cont 50F</v>
      </c>
    </row>
    <row r="629" ht="30.75" customHeight="1" spans="1:20">
      <c r="A629" s="63">
        <f t="shared" si="39"/>
        <v>626</v>
      </c>
      <c r="B629" s="64">
        <v>46153</v>
      </c>
      <c r="C629" s="87"/>
      <c r="D629" s="66" t="s">
        <v>32</v>
      </c>
      <c r="E629" s="66" t="s">
        <v>32</v>
      </c>
      <c r="F629" s="66" t="s">
        <v>744</v>
      </c>
      <c r="G629" s="66" t="s">
        <v>785</v>
      </c>
      <c r="H629" s="66" t="s">
        <v>882</v>
      </c>
      <c r="I629" s="66" t="s">
        <v>29</v>
      </c>
      <c r="J629" s="66" t="s">
        <v>185</v>
      </c>
      <c r="K629" s="66" t="s">
        <v>747</v>
      </c>
      <c r="L629" s="67">
        <v>51500000</v>
      </c>
      <c r="M629" s="67">
        <v>11250000</v>
      </c>
      <c r="N629" s="68">
        <f t="shared" si="41"/>
        <v>40250000</v>
      </c>
      <c r="O629" s="69">
        <f t="shared" si="40"/>
        <v>40250000</v>
      </c>
      <c r="P629" s="42" t="str">
        <f>IFERROR(VLOOKUP(J629,'Mã NV'!$B:$C,2,0),"")</f>
        <v>XE00854</v>
      </c>
      <c r="Q629" s="70" t="str">
        <f>IFERROR(VLOOKUP(I629,'Mã NV'!$J:$K,2,0),"")</f>
        <v>Cont 50F</v>
      </c>
    </row>
    <row r="630" ht="30.75" customHeight="1" spans="1:20">
      <c r="A630" s="63">
        <f t="shared" si="39"/>
        <v>627</v>
      </c>
      <c r="B630" s="64">
        <v>46157</v>
      </c>
      <c r="C630" s="87"/>
      <c r="D630" s="66" t="s">
        <v>32</v>
      </c>
      <c r="E630" s="66" t="s">
        <v>32</v>
      </c>
      <c r="F630" s="66" t="s">
        <v>744</v>
      </c>
      <c r="G630" s="66" t="s">
        <v>785</v>
      </c>
      <c r="H630" s="66" t="s">
        <v>883</v>
      </c>
      <c r="I630" s="66" t="s">
        <v>38</v>
      </c>
      <c r="J630" s="66" t="s">
        <v>105</v>
      </c>
      <c r="K630" s="66" t="s">
        <v>747</v>
      </c>
      <c r="L630" s="67">
        <v>50000000</v>
      </c>
      <c r="M630" s="67">
        <v>10775000</v>
      </c>
      <c r="N630" s="68">
        <f t="shared" si="41"/>
        <v>39225000</v>
      </c>
      <c r="O630" s="69">
        <f t="shared" si="40"/>
        <v>39225000</v>
      </c>
      <c r="P630" s="42" t="str">
        <f>IFERROR(VLOOKUP(J630,'Mã NV'!$B:$C,2,0),"")</f>
        <v>XE00853</v>
      </c>
      <c r="Q630" s="70" t="str">
        <f>IFERROR(VLOOKUP(I630,'Mã NV'!$J:$K,2,0),"")</f>
        <v>Cont 50F</v>
      </c>
    </row>
    <row r="631" ht="30.75" customHeight="1" spans="1:20">
      <c r="A631" s="63">
        <f t="shared" si="39"/>
        <v>628</v>
      </c>
      <c r="B631" s="64">
        <v>46157</v>
      </c>
      <c r="C631" s="87"/>
      <c r="D631" s="66" t="s">
        <v>32</v>
      </c>
      <c r="E631" s="66" t="s">
        <v>32</v>
      </c>
      <c r="F631" s="66" t="s">
        <v>744</v>
      </c>
      <c r="G631" s="66" t="s">
        <v>785</v>
      </c>
      <c r="H631" s="66" t="s">
        <v>883</v>
      </c>
      <c r="I631" s="66" t="s">
        <v>38</v>
      </c>
      <c r="J631" s="66" t="s">
        <v>35</v>
      </c>
      <c r="K631" s="66" t="s">
        <v>747</v>
      </c>
      <c r="L631" s="67">
        <v>50000000</v>
      </c>
      <c r="M631" s="67">
        <v>10775000</v>
      </c>
      <c r="N631" s="68">
        <f t="shared" si="41"/>
        <v>39225000</v>
      </c>
      <c r="O631" s="69">
        <f t="shared" si="40"/>
        <v>39225000</v>
      </c>
      <c r="P631" s="42" t="str">
        <f>IFERROR(VLOOKUP(J631,'Mã NV'!$B:$C,2,0),"")</f>
        <v>XE01303</v>
      </c>
      <c r="Q631" s="70" t="str">
        <f>IFERROR(VLOOKUP(I631,'Mã NV'!$J:$K,2,0),"")</f>
        <v>Cont 50F</v>
      </c>
    </row>
    <row r="632" ht="30.75" customHeight="1" spans="1:20">
      <c r="A632" s="63">
        <f t="shared" si="39"/>
        <v>629</v>
      </c>
      <c r="B632" s="64">
        <v>46158</v>
      </c>
      <c r="C632" s="87"/>
      <c r="D632" s="66" t="s">
        <v>32</v>
      </c>
      <c r="E632" s="66" t="s">
        <v>32</v>
      </c>
      <c r="F632" s="66" t="s">
        <v>744</v>
      </c>
      <c r="G632" s="66" t="s">
        <v>785</v>
      </c>
      <c r="H632" s="66" t="s">
        <v>883</v>
      </c>
      <c r="I632" s="66" t="s">
        <v>37</v>
      </c>
      <c r="J632" s="66" t="s">
        <v>241</v>
      </c>
      <c r="K632" s="66" t="s">
        <v>747</v>
      </c>
      <c r="L632" s="67">
        <v>50000000</v>
      </c>
      <c r="M632" s="67">
        <v>10950000</v>
      </c>
      <c r="N632" s="68">
        <f t="shared" si="41"/>
        <v>39050000</v>
      </c>
      <c r="O632" s="69">
        <f t="shared" si="40"/>
        <v>39050000</v>
      </c>
      <c r="P632" s="42" t="str">
        <f>IFERROR(VLOOKUP(J632,'Mã NV'!$B:$C,2,0),"")</f>
        <v>XE01443</v>
      </c>
      <c r="Q632" s="70" t="str">
        <f>IFERROR(VLOOKUP(I632,'Mã NV'!$J:$K,2,0),"")</f>
        <v>Cont 50F</v>
      </c>
    </row>
    <row r="633" ht="30.75" customHeight="1" spans="1:20">
      <c r="A633" s="63">
        <f t="shared" si="39"/>
        <v>630</v>
      </c>
      <c r="B633" s="64">
        <v>46158</v>
      </c>
      <c r="C633" s="87"/>
      <c r="D633" s="66" t="s">
        <v>32</v>
      </c>
      <c r="E633" s="66" t="s">
        <v>32</v>
      </c>
      <c r="F633" s="66" t="s">
        <v>744</v>
      </c>
      <c r="G633" s="66" t="s">
        <v>785</v>
      </c>
      <c r="H633" s="66" t="s">
        <v>883</v>
      </c>
      <c r="I633" s="66" t="s">
        <v>37</v>
      </c>
      <c r="J633" s="66" t="s">
        <v>243</v>
      </c>
      <c r="K633" s="66" t="s">
        <v>747</v>
      </c>
      <c r="L633" s="67">
        <v>50000000</v>
      </c>
      <c r="M633" s="67">
        <v>10950000</v>
      </c>
      <c r="N633" s="68">
        <f t="shared" si="41"/>
        <v>39050000</v>
      </c>
      <c r="O633" s="69">
        <f t="shared" si="40"/>
        <v>39050000</v>
      </c>
      <c r="P633" s="42" t="str">
        <f>IFERROR(VLOOKUP(J633,'Mã NV'!$B:$C,2,0),"")</f>
        <v>XE01444</v>
      </c>
      <c r="Q633" s="70" t="str">
        <f>IFERROR(VLOOKUP(I633,'Mã NV'!$J:$K,2,0),"")</f>
        <v>Cont 50F</v>
      </c>
    </row>
    <row r="634" ht="30.75" customHeight="1" spans="1:20">
      <c r="A634" s="63">
        <f t="shared" si="39"/>
        <v>631</v>
      </c>
      <c r="B634" s="64">
        <v>46159</v>
      </c>
      <c r="C634" s="87"/>
      <c r="D634" s="66" t="s">
        <v>32</v>
      </c>
      <c r="E634" s="66" t="s">
        <v>32</v>
      </c>
      <c r="F634" s="66" t="s">
        <v>744</v>
      </c>
      <c r="G634" s="66" t="s">
        <v>785</v>
      </c>
      <c r="H634" s="66" t="s">
        <v>882</v>
      </c>
      <c r="I634" s="66" t="s">
        <v>66</v>
      </c>
      <c r="J634" s="66" t="s">
        <v>64</v>
      </c>
      <c r="K634" s="66" t="s">
        <v>747</v>
      </c>
      <c r="L634" s="67">
        <v>50000000</v>
      </c>
      <c r="M634" s="67">
        <v>10950000</v>
      </c>
      <c r="N634" s="68">
        <f t="shared" si="41"/>
        <v>39050000</v>
      </c>
      <c r="O634" s="69">
        <f t="shared" si="40"/>
        <v>39050000</v>
      </c>
      <c r="P634" s="42" t="str">
        <f>IFERROR(VLOOKUP(J634,'Mã NV'!$B:$C,2,0),"")</f>
        <v>XE00858</v>
      </c>
      <c r="Q634" s="70" t="str">
        <f>IFERROR(VLOOKUP(I634,'Mã NV'!$J:$K,2,0),"")</f>
        <v>Cont 50F</v>
      </c>
    </row>
    <row r="635" s="37" customFormat="1" ht="30.75" customHeight="1" spans="1:20">
      <c r="A635" s="63">
        <f t="shared" si="39"/>
        <v>632</v>
      </c>
      <c r="B635" s="64">
        <v>46159</v>
      </c>
      <c r="C635" s="87"/>
      <c r="D635" s="66" t="s">
        <v>32</v>
      </c>
      <c r="E635" s="66" t="s">
        <v>32</v>
      </c>
      <c r="F635" s="66" t="s">
        <v>744</v>
      </c>
      <c r="G635" s="66" t="s">
        <v>785</v>
      </c>
      <c r="H635" s="66" t="s">
        <v>882</v>
      </c>
      <c r="I635" s="66" t="s">
        <v>66</v>
      </c>
      <c r="J635" s="66" t="s">
        <v>327</v>
      </c>
      <c r="K635" s="66" t="s">
        <v>747</v>
      </c>
      <c r="L635" s="67">
        <v>50000000</v>
      </c>
      <c r="M635" s="67">
        <v>10950000</v>
      </c>
      <c r="N635" s="68">
        <f t="shared" si="41"/>
        <v>39050000</v>
      </c>
      <c r="O635" s="69">
        <f t="shared" si="40"/>
        <v>39050000</v>
      </c>
      <c r="P635" s="42" t="str">
        <f>IFERROR(VLOOKUP(J635,'Mã NV'!$B:$C,2,0),"")</f>
        <v>XE01539</v>
      </c>
      <c r="Q635" s="70" t="str">
        <f>IFERROR(VLOOKUP(I635,'Mã NV'!$J:$K,2,0),"")</f>
        <v>Cont 50F</v>
      </c>
      <c r="R635" s="39"/>
      <c r="S635" s="44"/>
      <c r="T635" s="45"/>
    </row>
    <row r="636" s="37" customFormat="1" ht="30.75" customHeight="1" spans="1:20">
      <c r="A636" s="63">
        <f t="shared" si="39"/>
        <v>633</v>
      </c>
      <c r="B636" s="64">
        <v>46162</v>
      </c>
      <c r="C636" s="87"/>
      <c r="D636" s="66" t="s">
        <v>32</v>
      </c>
      <c r="E636" s="66" t="s">
        <v>32</v>
      </c>
      <c r="F636" s="66" t="s">
        <v>744</v>
      </c>
      <c r="G636" s="66" t="s">
        <v>884</v>
      </c>
      <c r="H636" s="66" t="s">
        <v>885</v>
      </c>
      <c r="I636" s="66" t="s">
        <v>124</v>
      </c>
      <c r="J636" s="66" t="s">
        <v>187</v>
      </c>
      <c r="K636" s="66" t="s">
        <v>747</v>
      </c>
      <c r="L636" s="67">
        <v>37500000</v>
      </c>
      <c r="M636" s="67">
        <v>0</v>
      </c>
      <c r="N636" s="68">
        <f t="shared" si="41"/>
        <v>37500000</v>
      </c>
      <c r="O636" s="69">
        <f t="shared" si="40"/>
        <v>37500000</v>
      </c>
      <c r="P636" s="42" t="str">
        <f>IFERROR(VLOOKUP(J636,'Mã NV'!$B:$C,2,0),"")</f>
        <v>XE01064</v>
      </c>
      <c r="Q636" s="70" t="str">
        <f>IFERROR(VLOOKUP(I636,'Mã NV'!$J:$K,2,0),"")</f>
        <v>Cont 50F</v>
      </c>
      <c r="R636" s="39"/>
      <c r="S636" s="44"/>
      <c r="T636" s="45"/>
    </row>
    <row r="637" s="37" customFormat="1" customHeight="1" spans="1:20">
      <c r="A637" s="63">
        <f t="shared" si="39"/>
        <v>634</v>
      </c>
      <c r="B637" s="64">
        <v>46162</v>
      </c>
      <c r="C637" s="87"/>
      <c r="D637" s="66" t="s">
        <v>32</v>
      </c>
      <c r="E637" s="66" t="s">
        <v>32</v>
      </c>
      <c r="F637" s="66" t="s">
        <v>744</v>
      </c>
      <c r="G637" s="66" t="s">
        <v>884</v>
      </c>
      <c r="H637" s="66" t="s">
        <v>885</v>
      </c>
      <c r="I637" s="66" t="s">
        <v>124</v>
      </c>
      <c r="J637" s="66" t="s">
        <v>122</v>
      </c>
      <c r="K637" s="66" t="s">
        <v>747</v>
      </c>
      <c r="L637" s="67">
        <v>37500000</v>
      </c>
      <c r="M637" s="67">
        <v>0</v>
      </c>
      <c r="N637" s="68">
        <f t="shared" si="41"/>
        <v>37500000</v>
      </c>
      <c r="O637" s="69">
        <f t="shared" si="40"/>
        <v>37500000</v>
      </c>
      <c r="P637" s="42" t="str">
        <f>IFERROR(VLOOKUP(J637,'Mã NV'!$B:$C,2,0),"")</f>
        <v>XE01034</v>
      </c>
      <c r="Q637" s="70" t="str">
        <f>IFERROR(VLOOKUP(I637,'Mã NV'!$J:$K,2,0),"")</f>
        <v>Cont 50F</v>
      </c>
      <c r="R637" s="39"/>
      <c r="S637" s="44"/>
      <c r="T637" s="45"/>
    </row>
    <row r="638" customHeight="1" spans="1:20">
      <c r="A638" s="63">
        <f t="shared" si="39"/>
        <v>635</v>
      </c>
      <c r="B638" s="64">
        <v>46164</v>
      </c>
      <c r="C638" s="87"/>
      <c r="D638" s="66" t="s">
        <v>32</v>
      </c>
      <c r="E638" s="66" t="s">
        <v>32</v>
      </c>
      <c r="F638" s="66" t="s">
        <v>744</v>
      </c>
      <c r="G638" s="66" t="s">
        <v>872</v>
      </c>
      <c r="H638" s="66" t="s">
        <v>882</v>
      </c>
      <c r="I638" s="66" t="s">
        <v>72</v>
      </c>
      <c r="J638" s="66" t="s">
        <v>166</v>
      </c>
      <c r="K638" s="66" t="s">
        <v>747</v>
      </c>
      <c r="L638" s="67">
        <v>49500000</v>
      </c>
      <c r="M638" s="67">
        <v>10950000</v>
      </c>
      <c r="N638" s="68">
        <f t="shared" si="41"/>
        <v>38550000</v>
      </c>
      <c r="O638" s="69">
        <f t="shared" si="40"/>
        <v>38550000</v>
      </c>
      <c r="P638" s="42" t="str">
        <f>IFERROR(VLOOKUP(J638,'Mã NV'!$B:$C,2,0),"")</f>
        <v>XE00844</v>
      </c>
      <c r="Q638" s="70" t="str">
        <f>IFERROR(VLOOKUP(I638,'Mã NV'!$J:$K,2,0),"")</f>
        <v>Cont 50F</v>
      </c>
    </row>
    <row r="639" customHeight="1" spans="1:20">
      <c r="A639" s="63">
        <f t="shared" si="39"/>
        <v>636</v>
      </c>
      <c r="B639" s="64">
        <v>46164</v>
      </c>
      <c r="C639" s="87"/>
      <c r="D639" s="66" t="s">
        <v>32</v>
      </c>
      <c r="E639" s="66" t="s">
        <v>32</v>
      </c>
      <c r="F639" s="66" t="s">
        <v>744</v>
      </c>
      <c r="G639" s="66" t="s">
        <v>872</v>
      </c>
      <c r="H639" s="66" t="s">
        <v>882</v>
      </c>
      <c r="I639" s="66" t="s">
        <v>72</v>
      </c>
      <c r="J639" s="66" t="s">
        <v>70</v>
      </c>
      <c r="K639" s="66" t="s">
        <v>747</v>
      </c>
      <c r="L639" s="67">
        <v>49500000</v>
      </c>
      <c r="M639" s="67">
        <v>10950000</v>
      </c>
      <c r="N639" s="68">
        <f t="shared" si="41"/>
        <v>38550000</v>
      </c>
      <c r="O639" s="69">
        <f t="shared" si="40"/>
        <v>38550000</v>
      </c>
      <c r="P639" s="42" t="str">
        <f>IFERROR(VLOOKUP(J639,'Mã NV'!$B:$C,2,0),"")</f>
        <v>XE00843</v>
      </c>
      <c r="Q639" s="70" t="str">
        <f>IFERROR(VLOOKUP(I639,'Mã NV'!$J:$K,2,0),"")</f>
        <v>Cont 50F</v>
      </c>
    </row>
    <row r="640" customHeight="1" spans="1:20">
      <c r="A640" s="63">
        <f t="shared" si="39"/>
        <v>637</v>
      </c>
      <c r="B640" s="64">
        <v>46164</v>
      </c>
      <c r="C640" s="87"/>
      <c r="D640" s="66" t="s">
        <v>32</v>
      </c>
      <c r="E640" s="66" t="s">
        <v>32</v>
      </c>
      <c r="F640" s="66" t="s">
        <v>744</v>
      </c>
      <c r="G640" s="66" t="s">
        <v>872</v>
      </c>
      <c r="H640" s="66" t="s">
        <v>882</v>
      </c>
      <c r="I640" s="66" t="s">
        <v>29</v>
      </c>
      <c r="J640" s="66" t="s">
        <v>27</v>
      </c>
      <c r="K640" s="66" t="s">
        <v>747</v>
      </c>
      <c r="L640" s="67">
        <v>50000000</v>
      </c>
      <c r="M640" s="67">
        <v>11250000</v>
      </c>
      <c r="N640" s="68">
        <f t="shared" si="41"/>
        <v>38750000</v>
      </c>
      <c r="O640" s="69">
        <f t="shared" si="40"/>
        <v>38750000</v>
      </c>
      <c r="P640" s="42" t="str">
        <f>IFERROR(VLOOKUP(J640,'Mã NV'!$B:$C,2,0),"")</f>
        <v>XE00991</v>
      </c>
      <c r="Q640" s="70" t="str">
        <f>IFERROR(VLOOKUP(I640,'Mã NV'!$J:$K,2,0),"")</f>
        <v>Cont 50F</v>
      </c>
    </row>
    <row r="641" customHeight="1" spans="1:17">
      <c r="A641" s="63">
        <f t="shared" si="39"/>
        <v>638</v>
      </c>
      <c r="B641" s="64">
        <v>46164</v>
      </c>
      <c r="C641" s="87"/>
      <c r="D641" s="66" t="s">
        <v>32</v>
      </c>
      <c r="E641" s="66" t="s">
        <v>32</v>
      </c>
      <c r="F641" s="66" t="s">
        <v>744</v>
      </c>
      <c r="G641" s="66" t="s">
        <v>872</v>
      </c>
      <c r="H641" s="66" t="s">
        <v>882</v>
      </c>
      <c r="I641" s="66" t="s">
        <v>29</v>
      </c>
      <c r="J641" s="66" t="s">
        <v>185</v>
      </c>
      <c r="K641" s="66" t="s">
        <v>747</v>
      </c>
      <c r="L641" s="67">
        <v>50000000</v>
      </c>
      <c r="M641" s="67">
        <v>11250000</v>
      </c>
      <c r="N641" s="68">
        <f t="shared" si="41"/>
        <v>38750000</v>
      </c>
      <c r="O641" s="69">
        <f t="shared" si="40"/>
        <v>38750000</v>
      </c>
      <c r="P641" s="42" t="str">
        <f>IFERROR(VLOOKUP(J641,'Mã NV'!$B:$C,2,0),"")</f>
        <v>XE00854</v>
      </c>
      <c r="Q641" s="70" t="str">
        <f>IFERROR(VLOOKUP(I641,'Mã NV'!$J:$K,2,0),"")</f>
        <v>Cont 50F</v>
      </c>
    </row>
    <row r="642" customHeight="1" spans="1:17">
      <c r="A642" s="63">
        <f t="shared" si="39"/>
        <v>639</v>
      </c>
      <c r="B642" s="64">
        <v>46165</v>
      </c>
      <c r="C642" s="87"/>
      <c r="D642" s="66" t="s">
        <v>32</v>
      </c>
      <c r="E642" s="66" t="s">
        <v>32</v>
      </c>
      <c r="F642" s="66" t="s">
        <v>744</v>
      </c>
      <c r="G642" s="66" t="s">
        <v>785</v>
      </c>
      <c r="H642" s="66" t="s">
        <v>882</v>
      </c>
      <c r="I642" s="66" t="s">
        <v>200</v>
      </c>
      <c r="J642" s="66" t="s">
        <v>198</v>
      </c>
      <c r="K642" s="66" t="s">
        <v>747</v>
      </c>
      <c r="L642" s="67">
        <v>49500000</v>
      </c>
      <c r="M642" s="67">
        <v>10850000</v>
      </c>
      <c r="N642" s="68">
        <f t="shared" si="41"/>
        <v>38650000</v>
      </c>
      <c r="O642" s="69">
        <f t="shared" si="40"/>
        <v>38650000</v>
      </c>
      <c r="P642" s="42" t="str">
        <f>IFERROR(VLOOKUP(J642,'Mã NV'!$B:$C,2,0),"")</f>
        <v>XE00865</v>
      </c>
      <c r="Q642" s="70" t="str">
        <f>IFERROR(VLOOKUP(I642,'Mã NV'!$J:$K,2,0),"")</f>
        <v>Cont 50F</v>
      </c>
    </row>
    <row r="643" customHeight="1" spans="1:17">
      <c r="A643" s="63">
        <f t="shared" si="39"/>
        <v>640</v>
      </c>
      <c r="B643" s="64">
        <v>46165</v>
      </c>
      <c r="C643" s="87"/>
      <c r="D643" s="66" t="s">
        <v>32</v>
      </c>
      <c r="E643" s="66" t="s">
        <v>32</v>
      </c>
      <c r="F643" s="66" t="s">
        <v>744</v>
      </c>
      <c r="G643" s="66" t="s">
        <v>785</v>
      </c>
      <c r="H643" s="66" t="s">
        <v>882</v>
      </c>
      <c r="I643" s="66" t="s">
        <v>200</v>
      </c>
      <c r="J643" s="66" t="s">
        <v>237</v>
      </c>
      <c r="K643" s="66" t="s">
        <v>747</v>
      </c>
      <c r="L643" s="67">
        <v>49500000</v>
      </c>
      <c r="M643" s="67">
        <v>10850000</v>
      </c>
      <c r="N643" s="68">
        <f t="shared" si="41"/>
        <v>38650000</v>
      </c>
      <c r="O643" s="69">
        <f t="shared" si="40"/>
        <v>38650000</v>
      </c>
      <c r="P643" s="42" t="str">
        <f>IFERROR(VLOOKUP(J643,'Mã NV'!$B:$C,2,0),"")</f>
        <v>XE00985</v>
      </c>
      <c r="Q643" s="70" t="str">
        <f>IFERROR(VLOOKUP(I643,'Mã NV'!$J:$K,2,0),"")</f>
        <v>Cont 50F</v>
      </c>
    </row>
    <row r="644" customHeight="1" spans="1:17">
      <c r="A644" s="63">
        <f t="shared" si="39"/>
        <v>641</v>
      </c>
      <c r="B644" s="64">
        <v>46169</v>
      </c>
      <c r="C644" s="87"/>
      <c r="D644" s="66" t="s">
        <v>32</v>
      </c>
      <c r="E644" s="66" t="s">
        <v>32</v>
      </c>
      <c r="F644" s="66" t="s">
        <v>744</v>
      </c>
      <c r="G644" s="66" t="s">
        <v>884</v>
      </c>
      <c r="H644" s="66" t="s">
        <v>885</v>
      </c>
      <c r="I644" s="66" t="s">
        <v>180</v>
      </c>
      <c r="J644" s="66" t="s">
        <v>178</v>
      </c>
      <c r="K644" s="66" t="s">
        <v>747</v>
      </c>
      <c r="L644" s="67">
        <v>37000000</v>
      </c>
      <c r="M644" s="67">
        <v>0</v>
      </c>
      <c r="N644" s="68">
        <f t="shared" si="41"/>
        <v>37000000</v>
      </c>
      <c r="O644" s="69">
        <f t="shared" si="40"/>
        <v>37000000</v>
      </c>
      <c r="P644" s="42" t="str">
        <f>IFERROR(VLOOKUP(J644,'Mã NV'!$B:$C,2,0),"")</f>
        <v>XE00952</v>
      </c>
      <c r="Q644" s="70" t="str">
        <f>IFERROR(VLOOKUP(I644,'Mã NV'!$J:$K,2,0),"")</f>
        <v>Cont 50F</v>
      </c>
    </row>
    <row r="645" customHeight="1" spans="1:17">
      <c r="A645" s="63">
        <f t="shared" si="39"/>
        <v>642</v>
      </c>
      <c r="B645" s="64">
        <v>46169</v>
      </c>
      <c r="C645" s="87"/>
      <c r="D645" s="66" t="s">
        <v>32</v>
      </c>
      <c r="E645" s="66" t="s">
        <v>32</v>
      </c>
      <c r="F645" s="66" t="s">
        <v>744</v>
      </c>
      <c r="G645" s="66" t="s">
        <v>884</v>
      </c>
      <c r="H645" s="66" t="s">
        <v>885</v>
      </c>
      <c r="I645" s="66" t="s">
        <v>180</v>
      </c>
      <c r="J645" s="66" t="s">
        <v>201</v>
      </c>
      <c r="K645" s="66" t="s">
        <v>747</v>
      </c>
      <c r="L645" s="67">
        <v>37000000</v>
      </c>
      <c r="M645" s="67">
        <v>0</v>
      </c>
      <c r="N645" s="68">
        <f t="shared" si="41"/>
        <v>37000000</v>
      </c>
      <c r="O645" s="69">
        <f t="shared" si="40"/>
        <v>37000000</v>
      </c>
      <c r="P645" s="42" t="str">
        <f>IFERROR(VLOOKUP(J645,'Mã NV'!$B:$C,2,0),"")</f>
        <v>XE01308</v>
      </c>
      <c r="Q645" s="70" t="str">
        <f>IFERROR(VLOOKUP(I645,'Mã NV'!$J:$K,2,0),"")</f>
        <v>Cont 50F</v>
      </c>
    </row>
    <row r="646" customHeight="1" spans="1:17">
      <c r="A646" s="63">
        <f t="shared" si="39"/>
        <v>643</v>
      </c>
      <c r="B646" s="64">
        <v>46151</v>
      </c>
      <c r="C646" s="87"/>
      <c r="D646" s="66" t="s">
        <v>94</v>
      </c>
      <c r="E646" s="66" t="s">
        <v>94</v>
      </c>
      <c r="F646" s="66" t="s">
        <v>744</v>
      </c>
      <c r="G646" s="66" t="s">
        <v>745</v>
      </c>
      <c r="H646" s="66" t="s">
        <v>774</v>
      </c>
      <c r="I646" s="66" t="s">
        <v>119</v>
      </c>
      <c r="J646" s="66" t="s">
        <v>307</v>
      </c>
      <c r="K646" s="66" t="s">
        <v>747</v>
      </c>
      <c r="L646" s="67">
        <v>1250000</v>
      </c>
      <c r="M646" s="67">
        <v>0</v>
      </c>
      <c r="N646" s="68">
        <f t="shared" si="41"/>
        <v>1250000</v>
      </c>
      <c r="O646" s="69">
        <f t="shared" si="40"/>
        <v>1250000</v>
      </c>
      <c r="P646" s="42" t="str">
        <f>IFERROR(VLOOKUP(J646,'Mã NV'!$B:$C,2,0),"")</f>
        <v>XE01548</v>
      </c>
      <c r="Q646" s="70" t="str">
        <f>IFERROR(VLOOKUP(I646,'Mã NV'!$J:$K,2,0),"")</f>
        <v>8T</v>
      </c>
    </row>
    <row r="647" customHeight="1" spans="1:17">
      <c r="A647" s="63">
        <f t="shared" si="39"/>
        <v>644</v>
      </c>
      <c r="B647" s="64">
        <v>46151</v>
      </c>
      <c r="C647" s="87"/>
      <c r="D647" s="66" t="s">
        <v>94</v>
      </c>
      <c r="E647" s="66" t="s">
        <v>94</v>
      </c>
      <c r="F647" s="66" t="s">
        <v>744</v>
      </c>
      <c r="G647" s="66" t="s">
        <v>745</v>
      </c>
      <c r="H647" s="66" t="s">
        <v>774</v>
      </c>
      <c r="I647" s="66" t="s">
        <v>119</v>
      </c>
      <c r="J647" s="66" t="s">
        <v>310</v>
      </c>
      <c r="K647" s="66" t="s">
        <v>747</v>
      </c>
      <c r="L647" s="67">
        <v>1250000</v>
      </c>
      <c r="M647" s="67">
        <v>0</v>
      </c>
      <c r="N647" s="68">
        <f t="shared" si="41"/>
        <v>1250000</v>
      </c>
      <c r="O647" s="69">
        <f t="shared" si="40"/>
        <v>1250000</v>
      </c>
      <c r="P647" s="42" t="str">
        <f>IFERROR(VLOOKUP(J647,'Mã NV'!$B:$C,2,0),"")</f>
        <v>XE01549</v>
      </c>
      <c r="Q647" s="70" t="str">
        <f>IFERROR(VLOOKUP(I647,'Mã NV'!$J:$K,2,0),"")</f>
        <v>8T</v>
      </c>
    </row>
    <row r="648" customHeight="1" spans="1:17">
      <c r="A648" s="63">
        <f t="shared" si="39"/>
        <v>645</v>
      </c>
      <c r="B648" s="64">
        <v>46151</v>
      </c>
      <c r="C648" s="87"/>
      <c r="D648" s="66" t="s">
        <v>94</v>
      </c>
      <c r="E648" s="66" t="s">
        <v>94</v>
      </c>
      <c r="F648" s="66" t="s">
        <v>744</v>
      </c>
      <c r="G648" s="66" t="s">
        <v>770</v>
      </c>
      <c r="H648" s="66" t="s">
        <v>886</v>
      </c>
      <c r="I648" s="66" t="s">
        <v>93</v>
      </c>
      <c r="J648" s="66" t="s">
        <v>89</v>
      </c>
      <c r="K648" s="66" t="s">
        <v>747</v>
      </c>
      <c r="L648" s="67">
        <v>1000000</v>
      </c>
      <c r="M648" s="67">
        <v>0</v>
      </c>
      <c r="N648" s="68">
        <f t="shared" si="41"/>
        <v>1000000</v>
      </c>
      <c r="O648" s="69">
        <f t="shared" si="40"/>
        <v>1000000</v>
      </c>
      <c r="P648" s="42" t="str">
        <f>IFERROR(VLOOKUP(J648,'Mã NV'!$B:$C,2,0),"")</f>
        <v>XE00873</v>
      </c>
      <c r="Q648" s="70" t="str">
        <f>IFERROR(VLOOKUP(I648,'Mã NV'!$J:$K,2,0),"")</f>
        <v>7.1t</v>
      </c>
    </row>
    <row r="649" customHeight="1" spans="1:17">
      <c r="A649" s="63">
        <f t="shared" si="39"/>
        <v>646</v>
      </c>
      <c r="B649" s="64">
        <v>46151</v>
      </c>
      <c r="C649" s="87"/>
      <c r="D649" s="66" t="s">
        <v>94</v>
      </c>
      <c r="E649" s="66" t="s">
        <v>94</v>
      </c>
      <c r="F649" s="66" t="s">
        <v>744</v>
      </c>
      <c r="G649" s="66" t="s">
        <v>770</v>
      </c>
      <c r="H649" s="66" t="s">
        <v>886</v>
      </c>
      <c r="I649" s="66" t="s">
        <v>93</v>
      </c>
      <c r="J649" s="66" t="s">
        <v>349</v>
      </c>
      <c r="K649" s="66" t="s">
        <v>747</v>
      </c>
      <c r="L649" s="67">
        <v>1000000</v>
      </c>
      <c r="M649" s="67">
        <v>0</v>
      </c>
      <c r="N649" s="68">
        <f t="shared" si="41"/>
        <v>1000000</v>
      </c>
      <c r="O649" s="69">
        <f t="shared" si="40"/>
        <v>1000000</v>
      </c>
      <c r="P649" s="42" t="str">
        <f>IFERROR(VLOOKUP(J649,'Mã NV'!$B:$C,2,0),"")</f>
        <v>XE01672</v>
      </c>
      <c r="Q649" s="70" t="str">
        <f>IFERROR(VLOOKUP(I649,'Mã NV'!$J:$K,2,0),"")</f>
        <v>7.1t</v>
      </c>
    </row>
    <row r="650" customHeight="1" spans="1:17">
      <c r="A650" s="63">
        <f t="shared" si="39"/>
        <v>647</v>
      </c>
      <c r="B650" s="64">
        <v>46154</v>
      </c>
      <c r="C650" s="87"/>
      <c r="D650" s="66" t="s">
        <v>94</v>
      </c>
      <c r="E650" s="66" t="s">
        <v>94</v>
      </c>
      <c r="F650" s="66" t="s">
        <v>744</v>
      </c>
      <c r="G650" s="66" t="s">
        <v>745</v>
      </c>
      <c r="H650" s="66" t="s">
        <v>758</v>
      </c>
      <c r="I650" s="66" t="s">
        <v>151</v>
      </c>
      <c r="J650" s="66" t="s">
        <v>147</v>
      </c>
      <c r="K650" s="66" t="s">
        <v>747</v>
      </c>
      <c r="L650" s="67">
        <v>1200000</v>
      </c>
      <c r="M650" s="67">
        <v>0</v>
      </c>
      <c r="N650" s="68">
        <f t="shared" si="41"/>
        <v>1200000</v>
      </c>
      <c r="O650" s="69">
        <f t="shared" si="40"/>
        <v>1200000</v>
      </c>
      <c r="P650" s="42" t="str">
        <f>IFERROR(VLOOKUP(J650,'Mã NV'!$B:$C,2,0),"")</f>
        <v>XE01304</v>
      </c>
      <c r="Q650" s="70" t="str">
        <f>IFERROR(VLOOKUP(I650,'Mã NV'!$J:$K,2,0),"")</f>
        <v>8T</v>
      </c>
    </row>
    <row r="651" customHeight="1" spans="1:17">
      <c r="A651" s="63">
        <f t="shared" si="39"/>
        <v>648</v>
      </c>
      <c r="B651" s="64">
        <v>46154</v>
      </c>
      <c r="C651" s="87"/>
      <c r="D651" s="66" t="s">
        <v>94</v>
      </c>
      <c r="E651" s="66" t="s">
        <v>94</v>
      </c>
      <c r="F651" s="66" t="s">
        <v>744</v>
      </c>
      <c r="G651" s="66" t="s">
        <v>745</v>
      </c>
      <c r="H651" s="66" t="s">
        <v>758</v>
      </c>
      <c r="I651" s="66" t="s">
        <v>151</v>
      </c>
      <c r="J651" s="66" t="s">
        <v>235</v>
      </c>
      <c r="K651" s="66" t="s">
        <v>747</v>
      </c>
      <c r="L651" s="67">
        <v>1200000</v>
      </c>
      <c r="M651" s="67">
        <v>0</v>
      </c>
      <c r="N651" s="68">
        <f t="shared" si="41"/>
        <v>1200000</v>
      </c>
      <c r="O651" s="69">
        <f t="shared" si="40"/>
        <v>1200000</v>
      </c>
      <c r="P651" s="42" t="str">
        <f>IFERROR(VLOOKUP(J651,'Mã NV'!$B:$C,2,0),"")</f>
        <v>XE01305</v>
      </c>
      <c r="Q651" s="70" t="str">
        <f>IFERROR(VLOOKUP(I651,'Mã NV'!$J:$K,2,0),"")</f>
        <v>8T</v>
      </c>
    </row>
    <row r="652" customHeight="1" spans="1:17">
      <c r="A652" s="63">
        <f t="shared" ref="A652:A715" si="42">A651+1</f>
        <v>649</v>
      </c>
      <c r="B652" s="64">
        <v>46156</v>
      </c>
      <c r="C652" s="87"/>
      <c r="D652" s="66" t="s">
        <v>94</v>
      </c>
      <c r="E652" s="66" t="s">
        <v>94</v>
      </c>
      <c r="F652" s="66" t="s">
        <v>748</v>
      </c>
      <c r="G652" s="66" t="s">
        <v>810</v>
      </c>
      <c r="H652" s="66" t="s">
        <v>754</v>
      </c>
      <c r="I652" s="66" t="s">
        <v>358</v>
      </c>
      <c r="J652" s="66" t="s">
        <v>356</v>
      </c>
      <c r="K652" s="66" t="s">
        <v>747</v>
      </c>
      <c r="L652" s="67">
        <v>600000</v>
      </c>
      <c r="M652" s="67"/>
      <c r="N652" s="68">
        <f t="shared" si="41"/>
        <v>600000</v>
      </c>
      <c r="O652" s="69">
        <f t="shared" si="40"/>
        <v>600000</v>
      </c>
      <c r="P652" s="42" t="str">
        <f>IFERROR(VLOOKUP(J652,'Mã NV'!$B:$C,2,0),"")</f>
        <v>XE01616</v>
      </c>
      <c r="Q652" s="70" t="str">
        <f>IFERROR(VLOOKUP(I652,'Mã NV'!$J:$K,2,0),"")</f>
        <v>2.5T Lạnh</v>
      </c>
    </row>
    <row r="653" customHeight="1" spans="1:17">
      <c r="A653" s="63">
        <f t="shared" si="42"/>
        <v>650</v>
      </c>
      <c r="B653" s="64">
        <v>46154</v>
      </c>
      <c r="C653" s="87"/>
      <c r="D653" s="66" t="s">
        <v>94</v>
      </c>
      <c r="E653" s="66" t="s">
        <v>94</v>
      </c>
      <c r="F653" s="66" t="s">
        <v>744</v>
      </c>
      <c r="G653" s="66" t="s">
        <v>745</v>
      </c>
      <c r="H653" s="66" t="s">
        <v>759</v>
      </c>
      <c r="I653" s="66" t="s">
        <v>176</v>
      </c>
      <c r="J653" s="66" t="s">
        <v>192</v>
      </c>
      <c r="K653" s="66" t="s">
        <v>747</v>
      </c>
      <c r="L653" s="67">
        <v>600000</v>
      </c>
      <c r="M653" s="67">
        <v>0</v>
      </c>
      <c r="N653" s="68">
        <f t="shared" si="41"/>
        <v>600000</v>
      </c>
      <c r="O653" s="69">
        <f t="shared" ref="O653:O714" si="43">N653/$P$1</f>
        <v>600000</v>
      </c>
      <c r="P653" s="42" t="str">
        <f>IFERROR(VLOOKUP(J653,'Mã NV'!$B:$C,2,0),"")</f>
        <v>XE01335</v>
      </c>
      <c r="Q653" s="70" t="str">
        <f>IFERROR(VLOOKUP(I653,'Mã NV'!$J:$K,2,0),"")</f>
        <v>8T</v>
      </c>
    </row>
    <row r="654" customHeight="1" spans="1:17">
      <c r="A654" s="63">
        <f t="shared" si="42"/>
        <v>651</v>
      </c>
      <c r="B654" s="64">
        <v>46154</v>
      </c>
      <c r="C654" s="87"/>
      <c r="D654" s="66" t="s">
        <v>94</v>
      </c>
      <c r="E654" s="66" t="s">
        <v>94</v>
      </c>
      <c r="F654" s="66" t="s">
        <v>744</v>
      </c>
      <c r="G654" s="66" t="s">
        <v>745</v>
      </c>
      <c r="H654" s="66" t="s">
        <v>759</v>
      </c>
      <c r="I654" s="66" t="s">
        <v>176</v>
      </c>
      <c r="J654" s="66" t="s">
        <v>354</v>
      </c>
      <c r="K654" s="66" t="s">
        <v>747</v>
      </c>
      <c r="L654" s="67">
        <v>600000</v>
      </c>
      <c r="M654" s="67">
        <v>0</v>
      </c>
      <c r="N654" s="68">
        <f t="shared" ref="N654:N715" si="44">L654-M654</f>
        <v>600000</v>
      </c>
      <c r="O654" s="69">
        <f t="shared" si="43"/>
        <v>600000</v>
      </c>
      <c r="P654" s="42" t="str">
        <f>IFERROR(VLOOKUP(J654,'Mã NV'!$B:$C,2,0),"")</f>
        <v>XE01644</v>
      </c>
      <c r="Q654" s="70" t="str">
        <f>IFERROR(VLOOKUP(I654,'Mã NV'!$J:$K,2,0),"")</f>
        <v>8T</v>
      </c>
    </row>
    <row r="655" customHeight="1" spans="1:17">
      <c r="A655" s="63">
        <f t="shared" si="42"/>
        <v>652</v>
      </c>
      <c r="B655" s="64">
        <v>46156</v>
      </c>
      <c r="C655" s="87"/>
      <c r="D655" s="66" t="s">
        <v>94</v>
      </c>
      <c r="E655" s="66" t="s">
        <v>94</v>
      </c>
      <c r="F655" s="66" t="s">
        <v>748</v>
      </c>
      <c r="G655" s="66" t="s">
        <v>745</v>
      </c>
      <c r="H655" s="66" t="s">
        <v>759</v>
      </c>
      <c r="I655" s="66" t="s">
        <v>358</v>
      </c>
      <c r="J655" s="66" t="s">
        <v>356</v>
      </c>
      <c r="K655" s="66" t="s">
        <v>747</v>
      </c>
      <c r="L655" s="67">
        <v>300000</v>
      </c>
      <c r="M655" s="67"/>
      <c r="N655" s="68">
        <f t="shared" si="44"/>
        <v>300000</v>
      </c>
      <c r="O655" s="69">
        <f t="shared" si="43"/>
        <v>300000</v>
      </c>
      <c r="P655" s="42" t="str">
        <f>IFERROR(VLOOKUP(J655,'Mã NV'!$B:$C,2,0),"")</f>
        <v>XE01616</v>
      </c>
      <c r="Q655" s="70" t="str">
        <f>IFERROR(VLOOKUP(I655,'Mã NV'!$J:$K,2,0),"")</f>
        <v>2.5T Lạnh</v>
      </c>
    </row>
    <row r="656" customHeight="1" spans="1:17">
      <c r="A656" s="63">
        <f t="shared" si="42"/>
        <v>653</v>
      </c>
      <c r="B656" s="64">
        <v>46156</v>
      </c>
      <c r="C656" s="87"/>
      <c r="D656" s="66" t="s">
        <v>94</v>
      </c>
      <c r="E656" s="66" t="s">
        <v>94</v>
      </c>
      <c r="F656" s="66" t="s">
        <v>744</v>
      </c>
      <c r="G656" s="66" t="s">
        <v>745</v>
      </c>
      <c r="H656" s="66" t="s">
        <v>775</v>
      </c>
      <c r="I656" s="66" t="s">
        <v>103</v>
      </c>
      <c r="J656" s="66" t="s">
        <v>172</v>
      </c>
      <c r="K656" s="66" t="s">
        <v>747</v>
      </c>
      <c r="L656" s="67">
        <v>2850000</v>
      </c>
      <c r="M656" s="67">
        <v>0</v>
      </c>
      <c r="N656" s="68">
        <f t="shared" si="44"/>
        <v>2850000</v>
      </c>
      <c r="O656" s="69">
        <f t="shared" si="43"/>
        <v>2850000</v>
      </c>
      <c r="P656" s="42" t="str">
        <f>IFERROR(VLOOKUP(J656,'Mã NV'!$B:$C,2,0),"")</f>
        <v>XE01433</v>
      </c>
      <c r="Q656" s="70" t="str">
        <f>IFERROR(VLOOKUP(I656,'Mã NV'!$J:$K,2,0),"")</f>
        <v>7.1t</v>
      </c>
    </row>
    <row r="657" customHeight="1" spans="1:17">
      <c r="A657" s="63">
        <f t="shared" si="42"/>
        <v>654</v>
      </c>
      <c r="B657" s="64">
        <v>46156</v>
      </c>
      <c r="C657" s="87"/>
      <c r="D657" s="66" t="s">
        <v>94</v>
      </c>
      <c r="E657" s="66" t="s">
        <v>94</v>
      </c>
      <c r="F657" s="66" t="s">
        <v>744</v>
      </c>
      <c r="G657" s="66" t="s">
        <v>745</v>
      </c>
      <c r="H657" s="66" t="s">
        <v>775</v>
      </c>
      <c r="I657" s="66" t="s">
        <v>103</v>
      </c>
      <c r="J657" s="66" t="s">
        <v>181</v>
      </c>
      <c r="K657" s="66" t="s">
        <v>747</v>
      </c>
      <c r="L657" s="67">
        <v>2850000</v>
      </c>
      <c r="M657" s="67">
        <v>0</v>
      </c>
      <c r="N657" s="68">
        <f t="shared" si="44"/>
        <v>2850000</v>
      </c>
      <c r="O657" s="69">
        <f t="shared" si="43"/>
        <v>2850000</v>
      </c>
      <c r="P657" s="42" t="str">
        <f>IFERROR(VLOOKUP(J657,'Mã NV'!$B:$C,2,0),"")</f>
        <v>XE01281</v>
      </c>
      <c r="Q657" s="70" t="str">
        <f>IFERROR(VLOOKUP(I657,'Mã NV'!$J:$K,2,0),"")</f>
        <v>7.1t</v>
      </c>
    </row>
    <row r="658" customHeight="1" spans="1:17">
      <c r="A658" s="63">
        <f t="shared" si="42"/>
        <v>655</v>
      </c>
      <c r="B658" s="64">
        <v>46157</v>
      </c>
      <c r="C658" s="87"/>
      <c r="D658" s="66" t="s">
        <v>94</v>
      </c>
      <c r="E658" s="66" t="s">
        <v>94</v>
      </c>
      <c r="F658" s="66" t="s">
        <v>744</v>
      </c>
      <c r="G658" s="66" t="s">
        <v>745</v>
      </c>
      <c r="H658" s="66" t="s">
        <v>836</v>
      </c>
      <c r="I658" s="66" t="s">
        <v>266</v>
      </c>
      <c r="J658" s="66" t="s">
        <v>264</v>
      </c>
      <c r="K658" s="66" t="s">
        <v>747</v>
      </c>
      <c r="L658" s="67">
        <v>1750000</v>
      </c>
      <c r="M658" s="67">
        <v>0</v>
      </c>
      <c r="N658" s="68">
        <f t="shared" si="44"/>
        <v>1750000</v>
      </c>
      <c r="O658" s="69">
        <f t="shared" si="43"/>
        <v>1750000</v>
      </c>
      <c r="P658" s="42" t="str">
        <f>IFERROR(VLOOKUP(J658,'Mã NV'!$B:$C,2,0),"")</f>
        <v>XE01678</v>
      </c>
      <c r="Q658" s="70" t="str">
        <f>IFERROR(VLOOKUP(I658,'Mã NV'!$J:$K,2,0),"")</f>
        <v>7.1t</v>
      </c>
    </row>
    <row r="659" customHeight="1" spans="1:17">
      <c r="A659" s="63">
        <f t="shared" si="42"/>
        <v>656</v>
      </c>
      <c r="B659" s="64">
        <v>46157</v>
      </c>
      <c r="C659" s="87"/>
      <c r="D659" s="66" t="s">
        <v>94</v>
      </c>
      <c r="E659" s="66" t="s">
        <v>94</v>
      </c>
      <c r="F659" s="66" t="s">
        <v>744</v>
      </c>
      <c r="G659" s="66" t="s">
        <v>745</v>
      </c>
      <c r="H659" s="66" t="s">
        <v>836</v>
      </c>
      <c r="I659" s="66" t="s">
        <v>266</v>
      </c>
      <c r="J659" s="66" t="s">
        <v>399</v>
      </c>
      <c r="K659" s="66" t="s">
        <v>747</v>
      </c>
      <c r="L659" s="67">
        <v>1750000</v>
      </c>
      <c r="M659" s="67">
        <v>0</v>
      </c>
      <c r="N659" s="68">
        <f t="shared" si="44"/>
        <v>1750000</v>
      </c>
      <c r="O659" s="69">
        <f t="shared" si="43"/>
        <v>1750000</v>
      </c>
      <c r="P659" s="42" t="str">
        <f>IFERROR(VLOOKUP(J659,'Mã NV'!$B:$C,2,0),"")</f>
        <v>XE01679</v>
      </c>
      <c r="Q659" s="70" t="str">
        <f>IFERROR(VLOOKUP(I659,'Mã NV'!$J:$K,2,0),"")</f>
        <v>7.1t</v>
      </c>
    </row>
    <row r="660" customHeight="1" spans="1:17">
      <c r="A660" s="63">
        <f t="shared" si="42"/>
        <v>657</v>
      </c>
      <c r="B660" s="64">
        <v>46157</v>
      </c>
      <c r="C660" s="87"/>
      <c r="D660" s="66" t="s">
        <v>94</v>
      </c>
      <c r="E660" s="66" t="s">
        <v>94</v>
      </c>
      <c r="F660" s="66" t="s">
        <v>744</v>
      </c>
      <c r="G660" s="66" t="s">
        <v>745</v>
      </c>
      <c r="H660" s="66" t="s">
        <v>887</v>
      </c>
      <c r="I660" s="66" t="s">
        <v>158</v>
      </c>
      <c r="J660" s="66" t="s">
        <v>156</v>
      </c>
      <c r="K660" s="66" t="s">
        <v>747</v>
      </c>
      <c r="L660" s="67">
        <v>1750000</v>
      </c>
      <c r="M660" s="67">
        <v>0</v>
      </c>
      <c r="N660" s="68">
        <f t="shared" si="44"/>
        <v>1750000</v>
      </c>
      <c r="O660" s="69">
        <f t="shared" si="43"/>
        <v>1750000</v>
      </c>
      <c r="P660" s="42" t="str">
        <f>IFERROR(VLOOKUP(J660,'Mã NV'!$B:$C,2,0),"")</f>
        <v>XE01316</v>
      </c>
      <c r="Q660" s="70" t="str">
        <f>IFERROR(VLOOKUP(I660,'Mã NV'!$J:$K,2,0),"")</f>
        <v>8T</v>
      </c>
    </row>
    <row r="661" customHeight="1" spans="1:17">
      <c r="A661" s="63">
        <f t="shared" si="42"/>
        <v>658</v>
      </c>
      <c r="B661" s="64">
        <v>46157</v>
      </c>
      <c r="C661" s="87"/>
      <c r="D661" s="66" t="s">
        <v>94</v>
      </c>
      <c r="E661" s="66" t="s">
        <v>94</v>
      </c>
      <c r="F661" s="66" t="s">
        <v>744</v>
      </c>
      <c r="G661" s="66" t="s">
        <v>745</v>
      </c>
      <c r="H661" s="66" t="s">
        <v>887</v>
      </c>
      <c r="I661" s="66" t="s">
        <v>158</v>
      </c>
      <c r="J661" s="66" t="s">
        <v>277</v>
      </c>
      <c r="K661" s="66" t="s">
        <v>747</v>
      </c>
      <c r="L661" s="67">
        <v>1750000</v>
      </c>
      <c r="M661" s="67">
        <v>0</v>
      </c>
      <c r="N661" s="68">
        <f t="shared" si="44"/>
        <v>1750000</v>
      </c>
      <c r="O661" s="69">
        <f t="shared" si="43"/>
        <v>1750000</v>
      </c>
      <c r="P661" s="42" t="str">
        <f>IFERROR(VLOOKUP(J661,'Mã NV'!$B:$C,2,0),"")</f>
        <v>XE01534</v>
      </c>
      <c r="Q661" s="70" t="str">
        <f>IFERROR(VLOOKUP(I661,'Mã NV'!$J:$K,2,0),"")</f>
        <v>8T</v>
      </c>
    </row>
    <row r="662" customHeight="1" spans="1:17">
      <c r="A662" s="63">
        <f t="shared" si="42"/>
        <v>659</v>
      </c>
      <c r="B662" s="64">
        <v>46157</v>
      </c>
      <c r="C662" s="87"/>
      <c r="D662" s="66" t="s">
        <v>94</v>
      </c>
      <c r="E662" s="66" t="s">
        <v>94</v>
      </c>
      <c r="F662" s="66" t="s">
        <v>744</v>
      </c>
      <c r="G662" s="66" t="s">
        <v>745</v>
      </c>
      <c r="H662" s="66" t="s">
        <v>758</v>
      </c>
      <c r="I662" s="66" t="s">
        <v>158</v>
      </c>
      <c r="J662" s="66" t="s">
        <v>156</v>
      </c>
      <c r="K662" s="66" t="s">
        <v>747</v>
      </c>
      <c r="L662" s="67">
        <v>500000</v>
      </c>
      <c r="M662" s="67">
        <v>0</v>
      </c>
      <c r="N662" s="68">
        <f t="shared" si="44"/>
        <v>500000</v>
      </c>
      <c r="O662" s="69">
        <f t="shared" si="43"/>
        <v>500000</v>
      </c>
      <c r="P662" s="42" t="str">
        <f>IFERROR(VLOOKUP(J662,'Mã NV'!$B:$C,2,0),"")</f>
        <v>XE01316</v>
      </c>
      <c r="Q662" s="70" t="str">
        <f>IFERROR(VLOOKUP(I662,'Mã NV'!$J:$K,2,0),"")</f>
        <v>8T</v>
      </c>
    </row>
    <row r="663" customHeight="1" spans="1:17">
      <c r="A663" s="63">
        <f t="shared" si="42"/>
        <v>660</v>
      </c>
      <c r="B663" s="64">
        <v>46157</v>
      </c>
      <c r="C663" s="87"/>
      <c r="D663" s="66" t="s">
        <v>94</v>
      </c>
      <c r="E663" s="66" t="s">
        <v>94</v>
      </c>
      <c r="F663" s="66" t="s">
        <v>744</v>
      </c>
      <c r="G663" s="66" t="s">
        <v>745</v>
      </c>
      <c r="H663" s="66" t="s">
        <v>758</v>
      </c>
      <c r="I663" s="66" t="s">
        <v>158</v>
      </c>
      <c r="J663" s="66" t="s">
        <v>277</v>
      </c>
      <c r="K663" s="66" t="s">
        <v>747</v>
      </c>
      <c r="L663" s="67">
        <v>500000</v>
      </c>
      <c r="M663" s="67">
        <v>0</v>
      </c>
      <c r="N663" s="68">
        <f t="shared" si="44"/>
        <v>500000</v>
      </c>
      <c r="O663" s="69">
        <f t="shared" si="43"/>
        <v>500000</v>
      </c>
      <c r="P663" s="42" t="str">
        <f>IFERROR(VLOOKUP(J663,'Mã NV'!$B:$C,2,0),"")</f>
        <v>XE01534</v>
      </c>
      <c r="Q663" s="70" t="str">
        <f>IFERROR(VLOOKUP(I663,'Mã NV'!$J:$K,2,0),"")</f>
        <v>8T</v>
      </c>
    </row>
    <row r="664" customHeight="1" spans="1:17">
      <c r="A664" s="63">
        <f t="shared" si="42"/>
        <v>661</v>
      </c>
      <c r="B664" s="64">
        <v>46157</v>
      </c>
      <c r="C664" s="87"/>
      <c r="D664" s="66" t="s">
        <v>94</v>
      </c>
      <c r="E664" s="66" t="s">
        <v>94</v>
      </c>
      <c r="F664" s="66" t="s">
        <v>744</v>
      </c>
      <c r="G664" s="66" t="s">
        <v>745</v>
      </c>
      <c r="H664" s="66" t="s">
        <v>750</v>
      </c>
      <c r="I664" s="66" t="s">
        <v>158</v>
      </c>
      <c r="J664" s="66" t="s">
        <v>156</v>
      </c>
      <c r="K664" s="66" t="s">
        <v>747</v>
      </c>
      <c r="L664" s="67">
        <v>3500000</v>
      </c>
      <c r="M664" s="67">
        <v>0</v>
      </c>
      <c r="N664" s="68">
        <f t="shared" si="44"/>
        <v>3500000</v>
      </c>
      <c r="O664" s="69">
        <f t="shared" si="43"/>
        <v>3500000</v>
      </c>
      <c r="P664" s="42" t="str">
        <f>IFERROR(VLOOKUP(J664,'Mã NV'!$B:$C,2,0),"")</f>
        <v>XE01316</v>
      </c>
      <c r="Q664" s="70" t="str">
        <f>IFERROR(VLOOKUP(I664,'Mã NV'!$J:$K,2,0),"")</f>
        <v>8T</v>
      </c>
    </row>
    <row r="665" customHeight="1" spans="1:17">
      <c r="A665" s="63">
        <f t="shared" si="42"/>
        <v>662</v>
      </c>
      <c r="B665" s="64">
        <v>46157</v>
      </c>
      <c r="C665" s="87"/>
      <c r="D665" s="66" t="s">
        <v>94</v>
      </c>
      <c r="E665" s="66" t="s">
        <v>94</v>
      </c>
      <c r="F665" s="66" t="s">
        <v>744</v>
      </c>
      <c r="G665" s="66" t="s">
        <v>745</v>
      </c>
      <c r="H665" s="66" t="s">
        <v>750</v>
      </c>
      <c r="I665" s="66" t="s">
        <v>158</v>
      </c>
      <c r="J665" s="66" t="s">
        <v>277</v>
      </c>
      <c r="K665" s="66" t="s">
        <v>747</v>
      </c>
      <c r="L665" s="67">
        <v>3500000</v>
      </c>
      <c r="M665" s="67">
        <v>0</v>
      </c>
      <c r="N665" s="68">
        <f t="shared" si="44"/>
        <v>3500000</v>
      </c>
      <c r="O665" s="69">
        <f t="shared" si="43"/>
        <v>3500000</v>
      </c>
      <c r="P665" s="42" t="str">
        <f>IFERROR(VLOOKUP(J665,'Mã NV'!$B:$C,2,0),"")</f>
        <v>XE01534</v>
      </c>
      <c r="Q665" s="70" t="str">
        <f>IFERROR(VLOOKUP(I665,'Mã NV'!$J:$K,2,0),"")</f>
        <v>8T</v>
      </c>
    </row>
    <row r="666" customHeight="1" spans="1:17">
      <c r="A666" s="63">
        <f t="shared" si="42"/>
        <v>663</v>
      </c>
      <c r="B666" s="64">
        <v>46160</v>
      </c>
      <c r="C666" s="87"/>
      <c r="D666" s="66" t="s">
        <v>94</v>
      </c>
      <c r="E666" s="66" t="s">
        <v>94</v>
      </c>
      <c r="F666" s="66" t="s">
        <v>744</v>
      </c>
      <c r="G666" s="66" t="s">
        <v>888</v>
      </c>
      <c r="H666" s="66" t="s">
        <v>812</v>
      </c>
      <c r="I666" s="66" t="s">
        <v>290</v>
      </c>
      <c r="J666" s="66" t="s">
        <v>288</v>
      </c>
      <c r="K666" s="66" t="s">
        <v>747</v>
      </c>
      <c r="L666" s="67">
        <v>1600000</v>
      </c>
      <c r="M666" s="67">
        <v>0</v>
      </c>
      <c r="N666" s="68">
        <f t="shared" si="44"/>
        <v>1600000</v>
      </c>
      <c r="O666" s="69">
        <f t="shared" si="43"/>
        <v>1600000</v>
      </c>
      <c r="P666" s="42" t="str">
        <f>IFERROR(VLOOKUP(J666,'Mã NV'!$B:$C,2,0),"")</f>
        <v>XE01563</v>
      </c>
      <c r="Q666" s="70" t="str">
        <f>IFERROR(VLOOKUP(I666,'Mã NV'!$J:$K,2,0),"")</f>
        <v>8T</v>
      </c>
    </row>
    <row r="667" customHeight="1" spans="1:17">
      <c r="A667" s="63">
        <f t="shared" si="42"/>
        <v>664</v>
      </c>
      <c r="B667" s="64">
        <v>46160</v>
      </c>
      <c r="C667" s="87"/>
      <c r="D667" s="66" t="s">
        <v>94</v>
      </c>
      <c r="E667" s="66" t="s">
        <v>94</v>
      </c>
      <c r="F667" s="66" t="s">
        <v>744</v>
      </c>
      <c r="G667" s="66" t="s">
        <v>888</v>
      </c>
      <c r="H667" s="66" t="s">
        <v>812</v>
      </c>
      <c r="I667" s="66" t="s">
        <v>290</v>
      </c>
      <c r="J667" s="66" t="s">
        <v>329</v>
      </c>
      <c r="K667" s="66" t="s">
        <v>747</v>
      </c>
      <c r="L667" s="67">
        <v>1600000</v>
      </c>
      <c r="M667" s="67">
        <v>0</v>
      </c>
      <c r="N667" s="68">
        <f t="shared" si="44"/>
        <v>1600000</v>
      </c>
      <c r="O667" s="69">
        <f t="shared" si="43"/>
        <v>1600000</v>
      </c>
      <c r="P667" s="42" t="str">
        <f>IFERROR(VLOOKUP(J667,'Mã NV'!$B:$C,2,0),"")</f>
        <v>XE01609</v>
      </c>
      <c r="Q667" s="70" t="str">
        <f>IFERROR(VLOOKUP(I667,'Mã NV'!$J:$K,2,0),"")</f>
        <v>8T</v>
      </c>
    </row>
    <row r="668" customHeight="1" spans="1:17">
      <c r="A668" s="63">
        <f t="shared" si="42"/>
        <v>665</v>
      </c>
      <c r="B668" s="64">
        <v>46164</v>
      </c>
      <c r="C668" s="87"/>
      <c r="D668" s="66" t="s">
        <v>94</v>
      </c>
      <c r="E668" s="66" t="s">
        <v>94</v>
      </c>
      <c r="F668" s="66" t="s">
        <v>748</v>
      </c>
      <c r="G668" s="66" t="s">
        <v>810</v>
      </c>
      <c r="H668" s="66" t="s">
        <v>759</v>
      </c>
      <c r="I668" s="66" t="s">
        <v>323</v>
      </c>
      <c r="J668" s="66" t="s">
        <v>321</v>
      </c>
      <c r="K668" s="66" t="s">
        <v>747</v>
      </c>
      <c r="L668" s="67">
        <v>800000</v>
      </c>
      <c r="M668" s="67"/>
      <c r="N668" s="68">
        <f t="shared" si="44"/>
        <v>800000</v>
      </c>
      <c r="O668" s="69">
        <f t="shared" si="43"/>
        <v>800000</v>
      </c>
      <c r="P668" s="42" t="str">
        <f>IFERROR(VLOOKUP(J668,'Mã NV'!$B:$C,2,0),"")</f>
        <v>XE01537</v>
      </c>
      <c r="Q668" s="70" t="str">
        <f>IFERROR(VLOOKUP(I668,'Mã NV'!$J:$K,2,0),"")</f>
        <v>2.5T</v>
      </c>
    </row>
    <row r="669" customHeight="1" spans="1:17">
      <c r="A669" s="63">
        <f t="shared" si="42"/>
        <v>666</v>
      </c>
      <c r="B669" s="64">
        <v>46161</v>
      </c>
      <c r="C669" s="87"/>
      <c r="D669" s="66" t="s">
        <v>94</v>
      </c>
      <c r="E669" s="66" t="s">
        <v>94</v>
      </c>
      <c r="F669" s="66" t="s">
        <v>744</v>
      </c>
      <c r="G669" s="66" t="s">
        <v>768</v>
      </c>
      <c r="H669" s="66" t="s">
        <v>746</v>
      </c>
      <c r="I669" s="66" t="s">
        <v>176</v>
      </c>
      <c r="J669" s="66" t="s">
        <v>192</v>
      </c>
      <c r="K669" s="66" t="s">
        <v>747</v>
      </c>
      <c r="L669" s="67">
        <v>1250000</v>
      </c>
      <c r="M669" s="67">
        <v>0</v>
      </c>
      <c r="N669" s="68">
        <f t="shared" si="44"/>
        <v>1250000</v>
      </c>
      <c r="O669" s="69">
        <f t="shared" si="43"/>
        <v>1250000</v>
      </c>
      <c r="P669" s="42" t="str">
        <f>IFERROR(VLOOKUP(J669,'Mã NV'!$B:$C,2,0),"")</f>
        <v>XE01335</v>
      </c>
      <c r="Q669" s="70" t="str">
        <f>IFERROR(VLOOKUP(I669,'Mã NV'!$J:$K,2,0),"")</f>
        <v>8T</v>
      </c>
    </row>
    <row r="670" customHeight="1" spans="1:17">
      <c r="A670" s="63">
        <f t="shared" si="42"/>
        <v>667</v>
      </c>
      <c r="B670" s="64">
        <v>46161</v>
      </c>
      <c r="C670" s="87"/>
      <c r="D670" s="66" t="s">
        <v>94</v>
      </c>
      <c r="E670" s="66" t="s">
        <v>94</v>
      </c>
      <c r="F670" s="66" t="s">
        <v>744</v>
      </c>
      <c r="G670" s="66" t="s">
        <v>768</v>
      </c>
      <c r="H670" s="66" t="s">
        <v>746</v>
      </c>
      <c r="I670" s="66" t="s">
        <v>176</v>
      </c>
      <c r="J670" s="66" t="s">
        <v>354</v>
      </c>
      <c r="K670" s="66" t="s">
        <v>747</v>
      </c>
      <c r="L670" s="67">
        <v>1250000</v>
      </c>
      <c r="M670" s="67">
        <v>0</v>
      </c>
      <c r="N670" s="68">
        <f t="shared" si="44"/>
        <v>1250000</v>
      </c>
      <c r="O670" s="69">
        <f t="shared" si="43"/>
        <v>1250000</v>
      </c>
      <c r="P670" s="42" t="str">
        <f>IFERROR(VLOOKUP(J670,'Mã NV'!$B:$C,2,0),"")</f>
        <v>XE01644</v>
      </c>
      <c r="Q670" s="70" t="str">
        <f>IFERROR(VLOOKUP(I670,'Mã NV'!$J:$K,2,0),"")</f>
        <v>8T</v>
      </c>
    </row>
    <row r="671" customHeight="1" spans="1:17">
      <c r="A671" s="63">
        <f t="shared" si="42"/>
        <v>668</v>
      </c>
      <c r="B671" s="64">
        <v>46167</v>
      </c>
      <c r="C671" s="87"/>
      <c r="D671" s="66" t="s">
        <v>88</v>
      </c>
      <c r="E671" s="66" t="s">
        <v>889</v>
      </c>
      <c r="F671" s="66" t="s">
        <v>744</v>
      </c>
      <c r="G671" s="66" t="s">
        <v>890</v>
      </c>
      <c r="H671" s="66" t="s">
        <v>891</v>
      </c>
      <c r="I671" s="66" t="s">
        <v>87</v>
      </c>
      <c r="J671" s="66" t="s">
        <v>85</v>
      </c>
      <c r="K671" s="66" t="s">
        <v>747</v>
      </c>
      <c r="L671" s="67">
        <v>11000000</v>
      </c>
      <c r="M671" s="67">
        <v>0</v>
      </c>
      <c r="N671" s="68">
        <f t="shared" si="44"/>
        <v>11000000</v>
      </c>
      <c r="O671" s="69">
        <f t="shared" si="43"/>
        <v>11000000</v>
      </c>
      <c r="P671" s="42" t="str">
        <f>IFERROR(VLOOKUP(J671,'Mã NV'!$B:$C,2,0),"")</f>
        <v>XE01456</v>
      </c>
      <c r="Q671" s="70" t="str">
        <f>IFERROR(VLOOKUP(I671,'Mã NV'!$J:$K,2,0),"")</f>
        <v>8T</v>
      </c>
    </row>
    <row r="672" customHeight="1" spans="1:17">
      <c r="A672" s="63">
        <f t="shared" si="42"/>
        <v>669</v>
      </c>
      <c r="B672" s="64">
        <v>46167</v>
      </c>
      <c r="C672" s="87"/>
      <c r="D672" s="66" t="s">
        <v>88</v>
      </c>
      <c r="E672" s="66" t="s">
        <v>889</v>
      </c>
      <c r="F672" s="66" t="s">
        <v>744</v>
      </c>
      <c r="G672" s="66" t="s">
        <v>890</v>
      </c>
      <c r="H672" s="66" t="s">
        <v>891</v>
      </c>
      <c r="I672" s="66" t="s">
        <v>87</v>
      </c>
      <c r="J672" s="66" t="s">
        <v>305</v>
      </c>
      <c r="K672" s="66" t="s">
        <v>747</v>
      </c>
      <c r="L672" s="67">
        <v>11000000</v>
      </c>
      <c r="M672" s="67">
        <v>0</v>
      </c>
      <c r="N672" s="68">
        <f t="shared" si="44"/>
        <v>11000000</v>
      </c>
      <c r="O672" s="69">
        <f t="shared" si="43"/>
        <v>11000000</v>
      </c>
      <c r="P672" s="42" t="str">
        <f>IFERROR(VLOOKUP(J672,'Mã NV'!$B:$C,2,0),"")</f>
        <v>XE01599</v>
      </c>
      <c r="Q672" s="70" t="str">
        <f>IFERROR(VLOOKUP(I672,'Mã NV'!$J:$K,2,0),"")</f>
        <v>8T</v>
      </c>
    </row>
    <row r="673" customHeight="1" spans="1:17">
      <c r="A673" s="63">
        <f t="shared" si="42"/>
        <v>670</v>
      </c>
      <c r="B673" s="64">
        <v>46169</v>
      </c>
      <c r="C673" s="87"/>
      <c r="D673" s="66" t="s">
        <v>88</v>
      </c>
      <c r="E673" s="66" t="s">
        <v>889</v>
      </c>
      <c r="F673" s="66" t="s">
        <v>744</v>
      </c>
      <c r="G673" s="66" t="s">
        <v>755</v>
      </c>
      <c r="H673" s="66" t="s">
        <v>892</v>
      </c>
      <c r="I673" s="66" t="s">
        <v>275</v>
      </c>
      <c r="J673" s="66" t="s">
        <v>273</v>
      </c>
      <c r="K673" s="66" t="s">
        <v>747</v>
      </c>
      <c r="L673" s="67">
        <v>4000000</v>
      </c>
      <c r="M673" s="67">
        <v>0</v>
      </c>
      <c r="N673" s="68">
        <f t="shared" si="44"/>
        <v>4000000</v>
      </c>
      <c r="O673" s="69">
        <f t="shared" si="43"/>
        <v>4000000</v>
      </c>
      <c r="P673" s="42" t="str">
        <f>IFERROR(VLOOKUP(J673,'Mã NV'!$B:$C,2,0),"")</f>
        <v>XE01527</v>
      </c>
      <c r="Q673" s="70" t="str">
        <f>IFERROR(VLOOKUP(I673,'Mã NV'!$J:$K,2,0),"")</f>
        <v>8T</v>
      </c>
    </row>
    <row r="674" customHeight="1" spans="1:17">
      <c r="A674" s="63">
        <f t="shared" si="42"/>
        <v>671</v>
      </c>
      <c r="B674" s="64">
        <v>46169</v>
      </c>
      <c r="C674" s="87"/>
      <c r="D674" s="66" t="s">
        <v>88</v>
      </c>
      <c r="E674" s="66" t="s">
        <v>889</v>
      </c>
      <c r="F674" s="66" t="s">
        <v>744</v>
      </c>
      <c r="G674" s="66" t="s">
        <v>755</v>
      </c>
      <c r="H674" s="66" t="s">
        <v>892</v>
      </c>
      <c r="I674" s="66" t="s">
        <v>275</v>
      </c>
      <c r="J674" s="66" t="s">
        <v>303</v>
      </c>
      <c r="K674" s="66" t="s">
        <v>747</v>
      </c>
      <c r="L674" s="67">
        <v>4000000</v>
      </c>
      <c r="M674" s="67">
        <v>0</v>
      </c>
      <c r="N674" s="68">
        <f t="shared" si="44"/>
        <v>4000000</v>
      </c>
      <c r="O674" s="69">
        <f t="shared" si="43"/>
        <v>4000000</v>
      </c>
      <c r="P674" s="42" t="str">
        <f>IFERROR(VLOOKUP(J674,'Mã NV'!$B:$C,2,0),"")</f>
        <v>XE01574</v>
      </c>
      <c r="Q674" s="70" t="str">
        <f>IFERROR(VLOOKUP(I674,'Mã NV'!$J:$K,2,0),"")</f>
        <v>8T</v>
      </c>
    </row>
    <row r="675" customHeight="1" spans="1:17">
      <c r="A675" s="63">
        <f t="shared" si="42"/>
        <v>672</v>
      </c>
      <c r="B675" s="64">
        <v>46141</v>
      </c>
      <c r="C675" s="87"/>
      <c r="D675" s="66" t="s">
        <v>26</v>
      </c>
      <c r="E675" s="66" t="s">
        <v>893</v>
      </c>
      <c r="F675" s="66" t="s">
        <v>744</v>
      </c>
      <c r="G675" s="66" t="s">
        <v>745</v>
      </c>
      <c r="H675" s="66" t="s">
        <v>769</v>
      </c>
      <c r="I675" s="66" t="s">
        <v>42</v>
      </c>
      <c r="J675" s="66" t="s">
        <v>40</v>
      </c>
      <c r="K675" s="66" t="s">
        <v>747</v>
      </c>
      <c r="L675" s="67">
        <v>7500000</v>
      </c>
      <c r="M675" s="67">
        <v>0</v>
      </c>
      <c r="N675" s="68">
        <f t="shared" si="44"/>
        <v>7500000</v>
      </c>
      <c r="O675" s="69">
        <f t="shared" si="43"/>
        <v>7500000</v>
      </c>
      <c r="P675" s="42" t="str">
        <f>IFERROR(VLOOKUP(J675,'Mã NV'!$B:$C,2,0),"")</f>
        <v>XE01417</v>
      </c>
      <c r="Q675" s="70" t="str">
        <f>IFERROR(VLOOKUP(I675,'Mã NV'!$J:$K,2,0),"")</f>
        <v>7.1t</v>
      </c>
    </row>
    <row r="676" customHeight="1" spans="1:17">
      <c r="A676" s="63">
        <f t="shared" si="42"/>
        <v>673</v>
      </c>
      <c r="B676" s="64">
        <v>46141</v>
      </c>
      <c r="C676" s="87"/>
      <c r="D676" s="66" t="s">
        <v>26</v>
      </c>
      <c r="E676" s="66" t="s">
        <v>893</v>
      </c>
      <c r="F676" s="66" t="s">
        <v>744</v>
      </c>
      <c r="G676" s="66" t="s">
        <v>745</v>
      </c>
      <c r="H676" s="66" t="s">
        <v>769</v>
      </c>
      <c r="I676" s="66" t="s">
        <v>42</v>
      </c>
      <c r="J676" s="66" t="s">
        <v>333</v>
      </c>
      <c r="K676" s="66" t="s">
        <v>747</v>
      </c>
      <c r="L676" s="67">
        <v>7500000</v>
      </c>
      <c r="M676" s="67">
        <v>0</v>
      </c>
      <c r="N676" s="68">
        <f t="shared" si="44"/>
        <v>7500000</v>
      </c>
      <c r="O676" s="69">
        <f t="shared" si="43"/>
        <v>7500000</v>
      </c>
      <c r="P676" s="42" t="str">
        <f>IFERROR(VLOOKUP(J676,'Mã NV'!$B:$C,2,0),"")</f>
        <v>XE01671</v>
      </c>
      <c r="Q676" s="70" t="str">
        <f>IFERROR(VLOOKUP(I676,'Mã NV'!$J:$K,2,0),"")</f>
        <v>7.1t</v>
      </c>
    </row>
    <row r="677" customHeight="1" spans="1:17">
      <c r="A677" s="63">
        <f t="shared" si="42"/>
        <v>674</v>
      </c>
      <c r="B677" s="64">
        <v>46141</v>
      </c>
      <c r="C677" s="87"/>
      <c r="D677" s="66" t="s">
        <v>26</v>
      </c>
      <c r="E677" s="66" t="s">
        <v>893</v>
      </c>
      <c r="F677" s="66" t="s">
        <v>744</v>
      </c>
      <c r="G677" s="66" t="s">
        <v>745</v>
      </c>
      <c r="H677" s="66" t="s">
        <v>804</v>
      </c>
      <c r="I677" s="66" t="s">
        <v>176</v>
      </c>
      <c r="J677" s="66" t="s">
        <v>192</v>
      </c>
      <c r="K677" s="66" t="s">
        <v>747</v>
      </c>
      <c r="L677" s="67">
        <v>2000000</v>
      </c>
      <c r="M677" s="67">
        <v>0</v>
      </c>
      <c r="N677" s="68">
        <f t="shared" si="44"/>
        <v>2000000</v>
      </c>
      <c r="O677" s="69">
        <f t="shared" si="43"/>
        <v>2000000</v>
      </c>
      <c r="P677" s="42" t="str">
        <f>IFERROR(VLOOKUP(J677,'Mã NV'!$B:$C,2,0),"")</f>
        <v>XE01335</v>
      </c>
      <c r="Q677" s="70" t="str">
        <f>IFERROR(VLOOKUP(I677,'Mã NV'!$J:$K,2,0),"")</f>
        <v>8T</v>
      </c>
    </row>
    <row r="678" customHeight="1" spans="1:17">
      <c r="A678" s="63">
        <f t="shared" si="42"/>
        <v>675</v>
      </c>
      <c r="B678" s="64">
        <v>46141</v>
      </c>
      <c r="C678" s="87"/>
      <c r="D678" s="66" t="s">
        <v>26</v>
      </c>
      <c r="E678" s="66" t="s">
        <v>893</v>
      </c>
      <c r="F678" s="66" t="s">
        <v>744</v>
      </c>
      <c r="G678" s="66" t="s">
        <v>745</v>
      </c>
      <c r="H678" s="66" t="s">
        <v>804</v>
      </c>
      <c r="I678" s="66" t="s">
        <v>176</v>
      </c>
      <c r="J678" s="66" t="s">
        <v>354</v>
      </c>
      <c r="K678" s="66" t="s">
        <v>747</v>
      </c>
      <c r="L678" s="67">
        <v>2000000</v>
      </c>
      <c r="M678" s="67">
        <v>0</v>
      </c>
      <c r="N678" s="68">
        <f t="shared" si="44"/>
        <v>2000000</v>
      </c>
      <c r="O678" s="69">
        <f t="shared" si="43"/>
        <v>2000000</v>
      </c>
      <c r="P678" s="42" t="str">
        <f>IFERROR(VLOOKUP(J678,'Mã NV'!$B:$C,2,0),"")</f>
        <v>XE01644</v>
      </c>
      <c r="Q678" s="70" t="str">
        <f>IFERROR(VLOOKUP(I678,'Mã NV'!$J:$K,2,0),"")</f>
        <v>8T</v>
      </c>
    </row>
    <row r="679" customHeight="1" spans="1:17">
      <c r="A679" s="63">
        <f t="shared" si="42"/>
        <v>676</v>
      </c>
      <c r="B679" s="64">
        <v>46141</v>
      </c>
      <c r="C679" s="87"/>
      <c r="D679" s="66" t="s">
        <v>26</v>
      </c>
      <c r="E679" s="66" t="s">
        <v>893</v>
      </c>
      <c r="F679" s="66" t="s">
        <v>744</v>
      </c>
      <c r="G679" s="66" t="s">
        <v>745</v>
      </c>
      <c r="H679" s="66" t="s">
        <v>769</v>
      </c>
      <c r="I679" s="66" t="s">
        <v>176</v>
      </c>
      <c r="J679" s="66" t="s">
        <v>192</v>
      </c>
      <c r="K679" s="66" t="s">
        <v>747</v>
      </c>
      <c r="L679" s="67">
        <v>2800000</v>
      </c>
      <c r="M679" s="67">
        <v>0</v>
      </c>
      <c r="N679" s="68">
        <f t="shared" si="44"/>
        <v>2800000</v>
      </c>
      <c r="O679" s="69">
        <f t="shared" si="43"/>
        <v>2800000</v>
      </c>
      <c r="P679" s="42" t="str">
        <f>IFERROR(VLOOKUP(J679,'Mã NV'!$B:$C,2,0),"")</f>
        <v>XE01335</v>
      </c>
      <c r="Q679" s="70" t="str">
        <f>IFERROR(VLOOKUP(I679,'Mã NV'!$J:$K,2,0),"")</f>
        <v>8T</v>
      </c>
    </row>
    <row r="680" customHeight="1" spans="1:17">
      <c r="A680" s="63">
        <f t="shared" si="42"/>
        <v>677</v>
      </c>
      <c r="B680" s="64">
        <v>46141</v>
      </c>
      <c r="C680" s="87"/>
      <c r="D680" s="66" t="s">
        <v>26</v>
      </c>
      <c r="E680" s="66" t="s">
        <v>893</v>
      </c>
      <c r="F680" s="66" t="s">
        <v>744</v>
      </c>
      <c r="G680" s="66" t="s">
        <v>745</v>
      </c>
      <c r="H680" s="66" t="s">
        <v>769</v>
      </c>
      <c r="I680" s="66" t="s">
        <v>176</v>
      </c>
      <c r="J680" s="66" t="s">
        <v>354</v>
      </c>
      <c r="K680" s="66" t="s">
        <v>747</v>
      </c>
      <c r="L680" s="67">
        <v>2800000</v>
      </c>
      <c r="M680" s="67">
        <v>0</v>
      </c>
      <c r="N680" s="68">
        <f t="shared" si="44"/>
        <v>2800000</v>
      </c>
      <c r="O680" s="69">
        <f t="shared" si="43"/>
        <v>2800000</v>
      </c>
      <c r="P680" s="42" t="str">
        <f>IFERROR(VLOOKUP(J680,'Mã NV'!$B:$C,2,0),"")</f>
        <v>XE01644</v>
      </c>
      <c r="Q680" s="70" t="str">
        <f>IFERROR(VLOOKUP(I680,'Mã NV'!$J:$K,2,0),"")</f>
        <v>8T</v>
      </c>
    </row>
    <row r="681" customHeight="1" spans="1:17">
      <c r="A681" s="63">
        <f t="shared" si="42"/>
        <v>678</v>
      </c>
      <c r="B681" s="64">
        <v>46141</v>
      </c>
      <c r="C681" s="87"/>
      <c r="D681" s="66" t="s">
        <v>26</v>
      </c>
      <c r="E681" s="66" t="s">
        <v>893</v>
      </c>
      <c r="F681" s="66" t="s">
        <v>744</v>
      </c>
      <c r="G681" s="66" t="s">
        <v>745</v>
      </c>
      <c r="H681" s="66" t="s">
        <v>778</v>
      </c>
      <c r="I681" s="66" t="s">
        <v>176</v>
      </c>
      <c r="J681" s="66" t="s">
        <v>192</v>
      </c>
      <c r="K681" s="66" t="s">
        <v>747</v>
      </c>
      <c r="L681" s="67">
        <v>1750000</v>
      </c>
      <c r="M681" s="67">
        <v>0</v>
      </c>
      <c r="N681" s="68">
        <f t="shared" si="44"/>
        <v>1750000</v>
      </c>
      <c r="O681" s="69">
        <f t="shared" si="43"/>
        <v>1750000</v>
      </c>
      <c r="P681" s="42" t="str">
        <f>IFERROR(VLOOKUP(J681,'Mã NV'!$B:$C,2,0),"")</f>
        <v>XE01335</v>
      </c>
      <c r="Q681" s="70" t="str">
        <f>IFERROR(VLOOKUP(I681,'Mã NV'!$J:$K,2,0),"")</f>
        <v>8T</v>
      </c>
    </row>
    <row r="682" customHeight="1" spans="1:17">
      <c r="A682" s="63">
        <f t="shared" si="42"/>
        <v>679</v>
      </c>
      <c r="B682" s="64">
        <v>46141</v>
      </c>
      <c r="C682" s="87"/>
      <c r="D682" s="66" t="s">
        <v>26</v>
      </c>
      <c r="E682" s="66" t="s">
        <v>893</v>
      </c>
      <c r="F682" s="66" t="s">
        <v>744</v>
      </c>
      <c r="G682" s="66" t="s">
        <v>745</v>
      </c>
      <c r="H682" s="66" t="s">
        <v>778</v>
      </c>
      <c r="I682" s="66" t="s">
        <v>176</v>
      </c>
      <c r="J682" s="66" t="s">
        <v>354</v>
      </c>
      <c r="K682" s="66" t="s">
        <v>747</v>
      </c>
      <c r="L682" s="67">
        <v>1750000</v>
      </c>
      <c r="M682" s="67">
        <v>0</v>
      </c>
      <c r="N682" s="68">
        <f t="shared" si="44"/>
        <v>1750000</v>
      </c>
      <c r="O682" s="69">
        <f t="shared" si="43"/>
        <v>1750000</v>
      </c>
      <c r="P682" s="42" t="str">
        <f>IFERROR(VLOOKUP(J682,'Mã NV'!$B:$C,2,0),"")</f>
        <v>XE01644</v>
      </c>
      <c r="Q682" s="70" t="str">
        <f>IFERROR(VLOOKUP(I682,'Mã NV'!$J:$K,2,0),"")</f>
        <v>8T</v>
      </c>
    </row>
    <row r="683" customHeight="1" spans="1:17">
      <c r="A683" s="63">
        <f t="shared" si="42"/>
        <v>680</v>
      </c>
      <c r="B683" s="64">
        <v>46148</v>
      </c>
      <c r="C683" s="87"/>
      <c r="D683" s="66" t="s">
        <v>26</v>
      </c>
      <c r="E683" s="66" t="s">
        <v>893</v>
      </c>
      <c r="F683" s="66" t="s">
        <v>744</v>
      </c>
      <c r="G683" s="66" t="s">
        <v>745</v>
      </c>
      <c r="H683" s="66" t="s">
        <v>804</v>
      </c>
      <c r="I683" s="66" t="s">
        <v>17</v>
      </c>
      <c r="J683" s="66" t="s">
        <v>15</v>
      </c>
      <c r="K683" s="66" t="s">
        <v>747</v>
      </c>
      <c r="L683" s="67">
        <v>900000</v>
      </c>
      <c r="M683" s="67">
        <v>0</v>
      </c>
      <c r="N683" s="68">
        <f t="shared" si="44"/>
        <v>900000</v>
      </c>
      <c r="O683" s="69">
        <f t="shared" si="43"/>
        <v>900000</v>
      </c>
      <c r="P683" s="42" t="str">
        <f>IFERROR(VLOOKUP(J683,'Mã NV'!$B:$C,2,0),"")</f>
        <v>XE01331</v>
      </c>
      <c r="Q683" s="70" t="str">
        <f>IFERROR(VLOOKUP(I683,'Mã NV'!$J:$K,2,0),"")</f>
        <v>15T</v>
      </c>
    </row>
    <row r="684" customHeight="1" spans="1:17">
      <c r="A684" s="63">
        <f t="shared" si="42"/>
        <v>681</v>
      </c>
      <c r="B684" s="64">
        <v>46148</v>
      </c>
      <c r="C684" s="87"/>
      <c r="D684" s="66" t="s">
        <v>26</v>
      </c>
      <c r="E684" s="66" t="s">
        <v>893</v>
      </c>
      <c r="F684" s="66" t="s">
        <v>744</v>
      </c>
      <c r="G684" s="66" t="s">
        <v>745</v>
      </c>
      <c r="H684" s="66" t="s">
        <v>804</v>
      </c>
      <c r="I684" s="66" t="s">
        <v>17</v>
      </c>
      <c r="J684" s="66" t="s">
        <v>341</v>
      </c>
      <c r="K684" s="66" t="s">
        <v>747</v>
      </c>
      <c r="L684" s="67">
        <v>900000</v>
      </c>
      <c r="M684" s="67">
        <v>0</v>
      </c>
      <c r="N684" s="68">
        <f t="shared" si="44"/>
        <v>900000</v>
      </c>
      <c r="O684" s="69">
        <f t="shared" si="43"/>
        <v>900000</v>
      </c>
      <c r="P684" s="42" t="str">
        <f>IFERROR(VLOOKUP(J684,'Mã NV'!$B:$C,2,0),"")</f>
        <v>XE01645</v>
      </c>
      <c r="Q684" s="70" t="str">
        <f>IFERROR(VLOOKUP(I684,'Mã NV'!$J:$K,2,0),"")</f>
        <v>15T</v>
      </c>
    </row>
    <row r="685" customHeight="1" spans="1:17">
      <c r="A685" s="63">
        <f t="shared" si="42"/>
        <v>682</v>
      </c>
      <c r="B685" s="64">
        <v>46148</v>
      </c>
      <c r="C685" s="87"/>
      <c r="D685" s="66" t="s">
        <v>26</v>
      </c>
      <c r="E685" s="66" t="s">
        <v>894</v>
      </c>
      <c r="F685" s="66" t="s">
        <v>744</v>
      </c>
      <c r="G685" s="66" t="s">
        <v>745</v>
      </c>
      <c r="H685" s="66" t="s">
        <v>769</v>
      </c>
      <c r="I685" s="66" t="s">
        <v>17</v>
      </c>
      <c r="J685" s="66" t="s">
        <v>15</v>
      </c>
      <c r="K685" s="66" t="s">
        <v>747</v>
      </c>
      <c r="L685" s="67">
        <v>3750000</v>
      </c>
      <c r="M685" s="67">
        <v>0</v>
      </c>
      <c r="N685" s="68">
        <f t="shared" si="44"/>
        <v>3750000</v>
      </c>
      <c r="O685" s="69">
        <f t="shared" si="43"/>
        <v>3750000</v>
      </c>
      <c r="P685" s="42" t="str">
        <f>IFERROR(VLOOKUP(J685,'Mã NV'!$B:$C,2,0),"")</f>
        <v>XE01331</v>
      </c>
      <c r="Q685" s="70" t="str">
        <f>IFERROR(VLOOKUP(I685,'Mã NV'!$J:$K,2,0),"")</f>
        <v>15T</v>
      </c>
    </row>
    <row r="686" customHeight="1" spans="1:17">
      <c r="A686" s="63">
        <f t="shared" si="42"/>
        <v>683</v>
      </c>
      <c r="B686" s="64">
        <v>46148</v>
      </c>
      <c r="C686" s="87"/>
      <c r="D686" s="66" t="s">
        <v>26</v>
      </c>
      <c r="E686" s="66" t="s">
        <v>894</v>
      </c>
      <c r="F686" s="66" t="s">
        <v>744</v>
      </c>
      <c r="G686" s="66" t="s">
        <v>745</v>
      </c>
      <c r="H686" s="66" t="s">
        <v>769</v>
      </c>
      <c r="I686" s="66" t="s">
        <v>17</v>
      </c>
      <c r="J686" s="66" t="s">
        <v>341</v>
      </c>
      <c r="K686" s="66" t="s">
        <v>747</v>
      </c>
      <c r="L686" s="67">
        <v>3750000</v>
      </c>
      <c r="M686" s="67">
        <v>0</v>
      </c>
      <c r="N686" s="68">
        <f t="shared" si="44"/>
        <v>3750000</v>
      </c>
      <c r="O686" s="69">
        <f t="shared" si="43"/>
        <v>3750000</v>
      </c>
      <c r="P686" s="42" t="str">
        <f>IFERROR(VLOOKUP(J686,'Mã NV'!$B:$C,2,0),"")</f>
        <v>XE01645</v>
      </c>
      <c r="Q686" s="70" t="str">
        <f>IFERROR(VLOOKUP(I686,'Mã NV'!$J:$K,2,0),"")</f>
        <v>15T</v>
      </c>
    </row>
    <row r="687" customHeight="1" spans="1:17">
      <c r="A687" s="63">
        <f t="shared" si="42"/>
        <v>684</v>
      </c>
      <c r="B687" s="64">
        <v>46148</v>
      </c>
      <c r="C687" s="87"/>
      <c r="D687" s="66" t="s">
        <v>26</v>
      </c>
      <c r="E687" s="66" t="s">
        <v>895</v>
      </c>
      <c r="F687" s="66" t="s">
        <v>744</v>
      </c>
      <c r="G687" s="66" t="s">
        <v>745</v>
      </c>
      <c r="H687" s="66" t="s">
        <v>754</v>
      </c>
      <c r="I687" s="66" t="s">
        <v>103</v>
      </c>
      <c r="J687" s="66" t="s">
        <v>101</v>
      </c>
      <c r="K687" s="66" t="s">
        <v>747</v>
      </c>
      <c r="L687" s="67">
        <v>2250000</v>
      </c>
      <c r="M687" s="67">
        <v>0</v>
      </c>
      <c r="N687" s="68">
        <f t="shared" si="44"/>
        <v>2250000</v>
      </c>
      <c r="O687" s="69">
        <f t="shared" si="43"/>
        <v>2250000</v>
      </c>
      <c r="P687" s="42" t="str">
        <f>IFERROR(VLOOKUP(J687,'Mã NV'!$B:$C,2,0),"")</f>
        <v>XE01434</v>
      </c>
      <c r="Q687" s="70" t="str">
        <f>IFERROR(VLOOKUP(I687,'Mã NV'!$J:$K,2,0),"")</f>
        <v>7.1t</v>
      </c>
    </row>
    <row r="688" customHeight="1" spans="1:17">
      <c r="A688" s="63">
        <f t="shared" si="42"/>
        <v>685</v>
      </c>
      <c r="B688" s="64">
        <v>46148</v>
      </c>
      <c r="C688" s="87"/>
      <c r="D688" s="66" t="s">
        <v>26</v>
      </c>
      <c r="E688" s="66" t="s">
        <v>895</v>
      </c>
      <c r="F688" s="66" t="s">
        <v>744</v>
      </c>
      <c r="G688" s="66" t="s">
        <v>745</v>
      </c>
      <c r="H688" s="66" t="s">
        <v>754</v>
      </c>
      <c r="I688" s="66" t="s">
        <v>103</v>
      </c>
      <c r="J688" s="66" t="s">
        <v>172</v>
      </c>
      <c r="K688" s="66" t="s">
        <v>747</v>
      </c>
      <c r="L688" s="67">
        <v>2250000</v>
      </c>
      <c r="M688" s="67">
        <v>0</v>
      </c>
      <c r="N688" s="68">
        <f t="shared" si="44"/>
        <v>2250000</v>
      </c>
      <c r="O688" s="69">
        <f t="shared" si="43"/>
        <v>2250000</v>
      </c>
      <c r="P688" s="42" t="str">
        <f>IFERROR(VLOOKUP(J688,'Mã NV'!$B:$C,2,0),"")</f>
        <v>XE01433</v>
      </c>
      <c r="Q688" s="70" t="str">
        <f>IFERROR(VLOOKUP(I688,'Mã NV'!$J:$K,2,0),"")</f>
        <v>7.1t</v>
      </c>
    </row>
    <row r="689" customHeight="1" spans="1:17">
      <c r="A689" s="63">
        <f t="shared" si="42"/>
        <v>686</v>
      </c>
      <c r="B689" s="64">
        <v>46151</v>
      </c>
      <c r="C689" s="87"/>
      <c r="D689" s="66" t="s">
        <v>26</v>
      </c>
      <c r="E689" s="66" t="s">
        <v>894</v>
      </c>
      <c r="F689" s="66" t="s">
        <v>744</v>
      </c>
      <c r="G689" s="66" t="s">
        <v>862</v>
      </c>
      <c r="H689" s="66" t="s">
        <v>836</v>
      </c>
      <c r="I689" s="66" t="s">
        <v>93</v>
      </c>
      <c r="J689" s="66" t="s">
        <v>89</v>
      </c>
      <c r="K689" s="66" t="s">
        <v>747</v>
      </c>
      <c r="L689" s="67">
        <v>3250000</v>
      </c>
      <c r="M689" s="67">
        <v>0</v>
      </c>
      <c r="N689" s="68">
        <f t="shared" si="44"/>
        <v>3250000</v>
      </c>
      <c r="O689" s="69">
        <f t="shared" si="43"/>
        <v>3250000</v>
      </c>
      <c r="P689" s="42" t="str">
        <f>IFERROR(VLOOKUP(J689,'Mã NV'!$B:$C,2,0),"")</f>
        <v>XE00873</v>
      </c>
      <c r="Q689" s="70" t="str">
        <f>IFERROR(VLOOKUP(I689,'Mã NV'!$J:$K,2,0),"")</f>
        <v>7.1t</v>
      </c>
    </row>
    <row r="690" customHeight="1" spans="1:17">
      <c r="A690" s="63">
        <f t="shared" si="42"/>
        <v>687</v>
      </c>
      <c r="B690" s="64">
        <v>46151</v>
      </c>
      <c r="C690" s="87"/>
      <c r="D690" s="66" t="s">
        <v>26</v>
      </c>
      <c r="E690" s="66" t="s">
        <v>894</v>
      </c>
      <c r="F690" s="66" t="s">
        <v>744</v>
      </c>
      <c r="G690" s="66" t="s">
        <v>862</v>
      </c>
      <c r="H690" s="66" t="s">
        <v>836</v>
      </c>
      <c r="I690" s="66" t="s">
        <v>93</v>
      </c>
      <c r="J690" s="66" t="s">
        <v>349</v>
      </c>
      <c r="K690" s="66" t="s">
        <v>747</v>
      </c>
      <c r="L690" s="67">
        <v>3250000</v>
      </c>
      <c r="M690" s="67">
        <v>0</v>
      </c>
      <c r="N690" s="68">
        <f t="shared" si="44"/>
        <v>3250000</v>
      </c>
      <c r="O690" s="69">
        <f t="shared" si="43"/>
        <v>3250000</v>
      </c>
      <c r="P690" s="42" t="str">
        <f>IFERROR(VLOOKUP(J690,'Mã NV'!$B:$C,2,0),"")</f>
        <v>XE01672</v>
      </c>
      <c r="Q690" s="70" t="str">
        <f>IFERROR(VLOOKUP(I690,'Mã NV'!$J:$K,2,0),"")</f>
        <v>7.1t</v>
      </c>
    </row>
    <row r="691" customHeight="1" spans="1:17">
      <c r="A691" s="63">
        <f t="shared" si="42"/>
        <v>688</v>
      </c>
      <c r="B691" s="64">
        <v>46151</v>
      </c>
      <c r="C691" s="87"/>
      <c r="D691" s="66" t="s">
        <v>26</v>
      </c>
      <c r="E691" s="66" t="s">
        <v>894</v>
      </c>
      <c r="F691" s="66" t="s">
        <v>744</v>
      </c>
      <c r="G691" s="66" t="s">
        <v>862</v>
      </c>
      <c r="H691" s="66" t="s">
        <v>804</v>
      </c>
      <c r="I691" s="66" t="s">
        <v>93</v>
      </c>
      <c r="J691" s="66" t="s">
        <v>89</v>
      </c>
      <c r="K691" s="66" t="s">
        <v>747</v>
      </c>
      <c r="L691" s="67">
        <v>1500000</v>
      </c>
      <c r="M691" s="67">
        <v>0</v>
      </c>
      <c r="N691" s="68">
        <f t="shared" si="44"/>
        <v>1500000</v>
      </c>
      <c r="O691" s="69">
        <f t="shared" si="43"/>
        <v>1500000</v>
      </c>
      <c r="P691" s="42" t="str">
        <f>IFERROR(VLOOKUP(J691,'Mã NV'!$B:$C,2,0),"")</f>
        <v>XE00873</v>
      </c>
      <c r="Q691" s="70" t="str">
        <f>IFERROR(VLOOKUP(I691,'Mã NV'!$J:$K,2,0),"")</f>
        <v>7.1t</v>
      </c>
    </row>
    <row r="692" customHeight="1" spans="1:17">
      <c r="A692" s="63">
        <f t="shared" si="42"/>
        <v>689</v>
      </c>
      <c r="B692" s="64">
        <v>46151</v>
      </c>
      <c r="C692" s="87"/>
      <c r="D692" s="66" t="s">
        <v>26</v>
      </c>
      <c r="E692" s="66" t="s">
        <v>894</v>
      </c>
      <c r="F692" s="66" t="s">
        <v>744</v>
      </c>
      <c r="G692" s="66" t="s">
        <v>862</v>
      </c>
      <c r="H692" s="66" t="s">
        <v>804</v>
      </c>
      <c r="I692" s="66" t="s">
        <v>93</v>
      </c>
      <c r="J692" s="66" t="s">
        <v>349</v>
      </c>
      <c r="K692" s="66" t="s">
        <v>747</v>
      </c>
      <c r="L692" s="67">
        <v>1500000</v>
      </c>
      <c r="M692" s="67">
        <v>0</v>
      </c>
      <c r="N692" s="68">
        <f t="shared" si="44"/>
        <v>1500000</v>
      </c>
      <c r="O692" s="69">
        <f t="shared" si="43"/>
        <v>1500000</v>
      </c>
      <c r="P692" s="42" t="str">
        <f>IFERROR(VLOOKUP(J692,'Mã NV'!$B:$C,2,0),"")</f>
        <v>XE01672</v>
      </c>
      <c r="Q692" s="70" t="str">
        <f>IFERROR(VLOOKUP(I692,'Mã NV'!$J:$K,2,0),"")</f>
        <v>7.1t</v>
      </c>
    </row>
    <row r="693" customHeight="1" spans="1:17">
      <c r="A693" s="63">
        <f t="shared" si="42"/>
        <v>690</v>
      </c>
      <c r="B693" s="64">
        <v>46151</v>
      </c>
      <c r="C693" s="87"/>
      <c r="D693" s="66" t="s">
        <v>112</v>
      </c>
      <c r="E693" s="66" t="s">
        <v>896</v>
      </c>
      <c r="F693" s="66" t="s">
        <v>744</v>
      </c>
      <c r="G693" s="66" t="s">
        <v>745</v>
      </c>
      <c r="H693" s="66" t="s">
        <v>897</v>
      </c>
      <c r="I693" s="66" t="s">
        <v>119</v>
      </c>
      <c r="J693" s="66" t="s">
        <v>307</v>
      </c>
      <c r="K693" s="66" t="s">
        <v>747</v>
      </c>
      <c r="L693" s="67">
        <v>750000</v>
      </c>
      <c r="M693" s="67">
        <v>0</v>
      </c>
      <c r="N693" s="68">
        <f t="shared" si="44"/>
        <v>750000</v>
      </c>
      <c r="O693" s="69">
        <f t="shared" si="43"/>
        <v>750000</v>
      </c>
      <c r="P693" s="42" t="str">
        <f>IFERROR(VLOOKUP(J693,'Mã NV'!$B:$C,2,0),"")</f>
        <v>XE01548</v>
      </c>
      <c r="Q693" s="70" t="str">
        <f>IFERROR(VLOOKUP(I693,'Mã NV'!$J:$K,2,0),"")</f>
        <v>8T</v>
      </c>
    </row>
    <row r="694" customHeight="1" spans="1:17">
      <c r="A694" s="63">
        <f t="shared" si="42"/>
        <v>691</v>
      </c>
      <c r="B694" s="64">
        <v>46151</v>
      </c>
      <c r="C694" s="87"/>
      <c r="D694" s="66" t="s">
        <v>112</v>
      </c>
      <c r="E694" s="66" t="s">
        <v>896</v>
      </c>
      <c r="F694" s="66" t="s">
        <v>744</v>
      </c>
      <c r="G694" s="66" t="s">
        <v>745</v>
      </c>
      <c r="H694" s="66" t="s">
        <v>897</v>
      </c>
      <c r="I694" s="66" t="s">
        <v>119</v>
      </c>
      <c r="J694" s="66" t="s">
        <v>310</v>
      </c>
      <c r="K694" s="66" t="s">
        <v>747</v>
      </c>
      <c r="L694" s="67">
        <v>750000</v>
      </c>
      <c r="M694" s="67">
        <v>0</v>
      </c>
      <c r="N694" s="68">
        <f t="shared" si="44"/>
        <v>750000</v>
      </c>
      <c r="O694" s="69">
        <f t="shared" si="43"/>
        <v>750000</v>
      </c>
      <c r="P694" s="42" t="str">
        <f>IFERROR(VLOOKUP(J694,'Mã NV'!$B:$C,2,0),"")</f>
        <v>XE01549</v>
      </c>
      <c r="Q694" s="70" t="str">
        <f>IFERROR(VLOOKUP(I694,'Mã NV'!$J:$K,2,0),"")</f>
        <v>8T</v>
      </c>
    </row>
    <row r="695" customHeight="1" spans="1:17">
      <c r="A695" s="63">
        <f t="shared" si="42"/>
        <v>692</v>
      </c>
      <c r="B695" s="64">
        <v>46151</v>
      </c>
      <c r="C695" s="87"/>
      <c r="D695" s="66" t="s">
        <v>112</v>
      </c>
      <c r="E695" s="66" t="s">
        <v>896</v>
      </c>
      <c r="F695" s="66" t="s">
        <v>744</v>
      </c>
      <c r="G695" s="66" t="s">
        <v>745</v>
      </c>
      <c r="H695" s="66" t="s">
        <v>898</v>
      </c>
      <c r="I695" s="66" t="s">
        <v>293</v>
      </c>
      <c r="J695" s="66" t="s">
        <v>294</v>
      </c>
      <c r="K695" s="66" t="s">
        <v>747</v>
      </c>
      <c r="L695" s="67">
        <v>750000</v>
      </c>
      <c r="M695" s="67">
        <v>0</v>
      </c>
      <c r="N695" s="68">
        <f t="shared" si="44"/>
        <v>750000</v>
      </c>
      <c r="O695" s="69">
        <f t="shared" si="43"/>
        <v>750000</v>
      </c>
      <c r="P695" s="42" t="str">
        <f>IFERROR(VLOOKUP(J695,'Mã NV'!$B:$C,2,0),"")</f>
        <v>XE01551</v>
      </c>
      <c r="Q695" s="70" t="str">
        <f>IFERROR(VLOOKUP(I695,'Mã NV'!$J:$K,2,0),"")</f>
        <v>8T</v>
      </c>
    </row>
    <row r="696" customHeight="1" spans="1:17">
      <c r="A696" s="63">
        <f t="shared" si="42"/>
        <v>693</v>
      </c>
      <c r="B696" s="64">
        <v>46151</v>
      </c>
      <c r="C696" s="87"/>
      <c r="D696" s="66" t="s">
        <v>112</v>
      </c>
      <c r="E696" s="66" t="s">
        <v>896</v>
      </c>
      <c r="F696" s="66" t="s">
        <v>744</v>
      </c>
      <c r="G696" s="66" t="s">
        <v>745</v>
      </c>
      <c r="H696" s="66" t="s">
        <v>898</v>
      </c>
      <c r="I696" s="66" t="s">
        <v>293</v>
      </c>
      <c r="J696" s="66" t="s">
        <v>291</v>
      </c>
      <c r="K696" s="66" t="s">
        <v>747</v>
      </c>
      <c r="L696" s="67">
        <v>750000</v>
      </c>
      <c r="M696" s="67">
        <v>0</v>
      </c>
      <c r="N696" s="68">
        <f t="shared" si="44"/>
        <v>750000</v>
      </c>
      <c r="O696" s="69">
        <f t="shared" si="43"/>
        <v>750000</v>
      </c>
      <c r="P696" s="42" t="str">
        <f>IFERROR(VLOOKUP(J696,'Mã NV'!$B:$C,2,0),"")</f>
        <v>XE01552</v>
      </c>
      <c r="Q696" s="70" t="str">
        <f>IFERROR(VLOOKUP(I696,'Mã NV'!$J:$K,2,0),"")</f>
        <v>8T</v>
      </c>
    </row>
    <row r="697" customHeight="1" spans="1:17">
      <c r="A697" s="63">
        <f t="shared" si="42"/>
        <v>694</v>
      </c>
      <c r="B697" s="64">
        <v>46151</v>
      </c>
      <c r="C697" s="87"/>
      <c r="D697" s="66" t="s">
        <v>112</v>
      </c>
      <c r="E697" s="66" t="s">
        <v>896</v>
      </c>
      <c r="F697" s="66" t="s">
        <v>744</v>
      </c>
      <c r="G697" s="66" t="s">
        <v>745</v>
      </c>
      <c r="H697" s="66" t="s">
        <v>899</v>
      </c>
      <c r="I697" s="66" t="s">
        <v>293</v>
      </c>
      <c r="J697" s="66" t="s">
        <v>294</v>
      </c>
      <c r="K697" s="66" t="s">
        <v>747</v>
      </c>
      <c r="L697" s="67">
        <v>750000</v>
      </c>
      <c r="M697" s="67">
        <v>0</v>
      </c>
      <c r="N697" s="68">
        <f t="shared" si="44"/>
        <v>750000</v>
      </c>
      <c r="O697" s="69">
        <f t="shared" si="43"/>
        <v>750000</v>
      </c>
      <c r="P697" s="42" t="str">
        <f>IFERROR(VLOOKUP(J697,'Mã NV'!$B:$C,2,0),"")</f>
        <v>XE01551</v>
      </c>
      <c r="Q697" s="70" t="str">
        <f>IFERROR(VLOOKUP(I697,'Mã NV'!$J:$K,2,0),"")</f>
        <v>8T</v>
      </c>
    </row>
    <row r="698" customHeight="1" spans="1:17">
      <c r="A698" s="63">
        <f t="shared" si="42"/>
        <v>695</v>
      </c>
      <c r="B698" s="64">
        <v>46151</v>
      </c>
      <c r="C698" s="87"/>
      <c r="D698" s="66" t="s">
        <v>112</v>
      </c>
      <c r="E698" s="66" t="s">
        <v>896</v>
      </c>
      <c r="F698" s="66" t="s">
        <v>744</v>
      </c>
      <c r="G698" s="66" t="s">
        <v>745</v>
      </c>
      <c r="H698" s="66" t="s">
        <v>899</v>
      </c>
      <c r="I698" s="66" t="s">
        <v>293</v>
      </c>
      <c r="J698" s="66" t="s">
        <v>291</v>
      </c>
      <c r="K698" s="66" t="s">
        <v>747</v>
      </c>
      <c r="L698" s="67">
        <v>750000</v>
      </c>
      <c r="M698" s="67">
        <v>0</v>
      </c>
      <c r="N698" s="68">
        <f t="shared" si="44"/>
        <v>750000</v>
      </c>
      <c r="O698" s="69">
        <f t="shared" si="43"/>
        <v>750000</v>
      </c>
      <c r="P698" s="42" t="str">
        <f>IFERROR(VLOOKUP(J698,'Mã NV'!$B:$C,2,0),"")</f>
        <v>XE01552</v>
      </c>
      <c r="Q698" s="70" t="str">
        <f>IFERROR(VLOOKUP(I698,'Mã NV'!$J:$K,2,0),"")</f>
        <v>8T</v>
      </c>
    </row>
    <row r="699" customHeight="1" spans="1:17">
      <c r="A699" s="63">
        <f t="shared" si="42"/>
        <v>696</v>
      </c>
      <c r="B699" s="64">
        <v>46151</v>
      </c>
      <c r="C699" s="87"/>
      <c r="D699" s="66" t="s">
        <v>112</v>
      </c>
      <c r="E699" s="66" t="s">
        <v>896</v>
      </c>
      <c r="F699" s="66" t="s">
        <v>744</v>
      </c>
      <c r="G699" s="66" t="s">
        <v>745</v>
      </c>
      <c r="H699" s="66" t="s">
        <v>900</v>
      </c>
      <c r="I699" s="66" t="s">
        <v>293</v>
      </c>
      <c r="J699" s="66" t="s">
        <v>294</v>
      </c>
      <c r="K699" s="66" t="s">
        <v>747</v>
      </c>
      <c r="L699" s="67">
        <v>750000</v>
      </c>
      <c r="M699" s="67">
        <v>0</v>
      </c>
      <c r="N699" s="68">
        <f t="shared" si="44"/>
        <v>750000</v>
      </c>
      <c r="O699" s="69">
        <f t="shared" si="43"/>
        <v>750000</v>
      </c>
      <c r="P699" s="42" t="str">
        <f>IFERROR(VLOOKUP(J699,'Mã NV'!$B:$C,2,0),"")</f>
        <v>XE01551</v>
      </c>
      <c r="Q699" s="70" t="str">
        <f>IFERROR(VLOOKUP(I699,'Mã NV'!$J:$K,2,0),"")</f>
        <v>8T</v>
      </c>
    </row>
    <row r="700" customHeight="1" spans="1:17">
      <c r="A700" s="63">
        <f t="shared" si="42"/>
        <v>697</v>
      </c>
      <c r="B700" s="64">
        <v>46151</v>
      </c>
      <c r="C700" s="87"/>
      <c r="D700" s="66" t="s">
        <v>112</v>
      </c>
      <c r="E700" s="66" t="s">
        <v>896</v>
      </c>
      <c r="F700" s="66" t="s">
        <v>744</v>
      </c>
      <c r="G700" s="66" t="s">
        <v>745</v>
      </c>
      <c r="H700" s="66" t="s">
        <v>900</v>
      </c>
      <c r="I700" s="66" t="s">
        <v>293</v>
      </c>
      <c r="J700" s="66" t="s">
        <v>291</v>
      </c>
      <c r="K700" s="66" t="s">
        <v>747</v>
      </c>
      <c r="L700" s="67">
        <v>750000</v>
      </c>
      <c r="M700" s="67">
        <v>0</v>
      </c>
      <c r="N700" s="68">
        <f t="shared" si="44"/>
        <v>750000</v>
      </c>
      <c r="O700" s="69">
        <f t="shared" si="43"/>
        <v>750000</v>
      </c>
      <c r="P700" s="42" t="str">
        <f>IFERROR(VLOOKUP(J700,'Mã NV'!$B:$C,2,0),"")</f>
        <v>XE01552</v>
      </c>
      <c r="Q700" s="70" t="str">
        <f>IFERROR(VLOOKUP(I700,'Mã NV'!$J:$K,2,0),"")</f>
        <v>8T</v>
      </c>
    </row>
    <row r="701" customHeight="1" spans="1:17">
      <c r="A701" s="63">
        <f t="shared" si="42"/>
        <v>698</v>
      </c>
      <c r="B701" s="64">
        <v>46151</v>
      </c>
      <c r="C701" s="87"/>
      <c r="D701" s="66" t="s">
        <v>112</v>
      </c>
      <c r="E701" s="66" t="s">
        <v>896</v>
      </c>
      <c r="F701" s="66" t="s">
        <v>744</v>
      </c>
      <c r="G701" s="66" t="s">
        <v>745</v>
      </c>
      <c r="H701" s="66" t="s">
        <v>901</v>
      </c>
      <c r="I701" s="66" t="s">
        <v>109</v>
      </c>
      <c r="J701" s="66" t="s">
        <v>107</v>
      </c>
      <c r="K701" s="66" t="s">
        <v>747</v>
      </c>
      <c r="L701" s="67">
        <v>750000</v>
      </c>
      <c r="M701" s="67">
        <v>0</v>
      </c>
      <c r="N701" s="68">
        <f t="shared" si="44"/>
        <v>750000</v>
      </c>
      <c r="O701" s="69">
        <f t="shared" si="43"/>
        <v>750000</v>
      </c>
      <c r="P701" s="42" t="str">
        <f>IFERROR(VLOOKUP(J701,'Mã NV'!$B:$C,2,0),"")</f>
        <v>XE01102</v>
      </c>
      <c r="Q701" s="70" t="str">
        <f>IFERROR(VLOOKUP(I701,'Mã NV'!$J:$K,2,0),"")</f>
        <v>15T</v>
      </c>
    </row>
    <row r="702" customHeight="1" spans="1:17">
      <c r="A702" s="63">
        <f t="shared" si="42"/>
        <v>699</v>
      </c>
      <c r="B702" s="64">
        <v>46151</v>
      </c>
      <c r="C702" s="87"/>
      <c r="D702" s="66" t="s">
        <v>112</v>
      </c>
      <c r="E702" s="66" t="s">
        <v>896</v>
      </c>
      <c r="F702" s="66" t="s">
        <v>744</v>
      </c>
      <c r="G702" s="66" t="s">
        <v>745</v>
      </c>
      <c r="H702" s="66" t="s">
        <v>901</v>
      </c>
      <c r="I702" s="66" t="s">
        <v>109</v>
      </c>
      <c r="J702" s="66" t="s">
        <v>120</v>
      </c>
      <c r="K702" s="66" t="s">
        <v>747</v>
      </c>
      <c r="L702" s="67">
        <v>750000</v>
      </c>
      <c r="M702" s="67">
        <v>0</v>
      </c>
      <c r="N702" s="68">
        <f t="shared" si="44"/>
        <v>750000</v>
      </c>
      <c r="O702" s="69">
        <f t="shared" si="43"/>
        <v>750000</v>
      </c>
      <c r="P702" s="42" t="str">
        <f>IFERROR(VLOOKUP(J702,'Mã NV'!$B:$C,2,0),"")</f>
        <v>XE01315</v>
      </c>
      <c r="Q702" s="70" t="str">
        <f>IFERROR(VLOOKUP(I702,'Mã NV'!$J:$K,2,0),"")</f>
        <v>15T</v>
      </c>
    </row>
    <row r="703" customHeight="1" spans="1:17">
      <c r="A703" s="63">
        <f t="shared" si="42"/>
        <v>700</v>
      </c>
      <c r="B703" s="64">
        <v>46151</v>
      </c>
      <c r="C703" s="87"/>
      <c r="D703" s="66" t="s">
        <v>112</v>
      </c>
      <c r="E703" s="66" t="s">
        <v>896</v>
      </c>
      <c r="F703" s="66" t="s">
        <v>744</v>
      </c>
      <c r="G703" s="66" t="s">
        <v>745</v>
      </c>
      <c r="H703" s="66" t="s">
        <v>902</v>
      </c>
      <c r="I703" s="66" t="s">
        <v>109</v>
      </c>
      <c r="J703" s="66" t="s">
        <v>107</v>
      </c>
      <c r="K703" s="66" t="s">
        <v>747</v>
      </c>
      <c r="L703" s="67">
        <v>750000</v>
      </c>
      <c r="M703" s="67">
        <v>0</v>
      </c>
      <c r="N703" s="68">
        <f t="shared" si="44"/>
        <v>750000</v>
      </c>
      <c r="O703" s="69">
        <f t="shared" si="43"/>
        <v>750000</v>
      </c>
      <c r="P703" s="42" t="str">
        <f>IFERROR(VLOOKUP(J703,'Mã NV'!$B:$C,2,0),"")</f>
        <v>XE01102</v>
      </c>
      <c r="Q703" s="70" t="str">
        <f>IFERROR(VLOOKUP(I703,'Mã NV'!$J:$K,2,0),"")</f>
        <v>15T</v>
      </c>
    </row>
    <row r="704" customHeight="1" spans="1:17">
      <c r="A704" s="63">
        <f t="shared" si="42"/>
        <v>701</v>
      </c>
      <c r="B704" s="64">
        <v>46151</v>
      </c>
      <c r="C704" s="87"/>
      <c r="D704" s="66" t="s">
        <v>112</v>
      </c>
      <c r="E704" s="66" t="s">
        <v>896</v>
      </c>
      <c r="F704" s="66" t="s">
        <v>744</v>
      </c>
      <c r="G704" s="66" t="s">
        <v>745</v>
      </c>
      <c r="H704" s="66" t="s">
        <v>902</v>
      </c>
      <c r="I704" s="66" t="s">
        <v>109</v>
      </c>
      <c r="J704" s="66" t="s">
        <v>120</v>
      </c>
      <c r="K704" s="66" t="s">
        <v>747</v>
      </c>
      <c r="L704" s="67">
        <v>750000</v>
      </c>
      <c r="M704" s="67">
        <v>0</v>
      </c>
      <c r="N704" s="68">
        <f t="shared" si="44"/>
        <v>750000</v>
      </c>
      <c r="O704" s="69">
        <f t="shared" si="43"/>
        <v>750000</v>
      </c>
      <c r="P704" s="42" t="str">
        <f>IFERROR(VLOOKUP(J704,'Mã NV'!$B:$C,2,0),"")</f>
        <v>XE01315</v>
      </c>
      <c r="Q704" s="70" t="str">
        <f>IFERROR(VLOOKUP(I704,'Mã NV'!$J:$K,2,0),"")</f>
        <v>15T</v>
      </c>
    </row>
    <row r="705" customHeight="1" spans="1:17">
      <c r="A705" s="63">
        <f t="shared" si="42"/>
        <v>702</v>
      </c>
      <c r="B705" s="64">
        <v>46151</v>
      </c>
      <c r="C705" s="87"/>
      <c r="D705" s="66" t="s">
        <v>112</v>
      </c>
      <c r="E705" s="66" t="s">
        <v>896</v>
      </c>
      <c r="F705" s="66" t="s">
        <v>744</v>
      </c>
      <c r="G705" s="66" t="s">
        <v>745</v>
      </c>
      <c r="H705" s="66" t="s">
        <v>903</v>
      </c>
      <c r="I705" s="66" t="s">
        <v>109</v>
      </c>
      <c r="J705" s="66" t="s">
        <v>107</v>
      </c>
      <c r="K705" s="66" t="s">
        <v>747</v>
      </c>
      <c r="L705" s="67">
        <v>750000</v>
      </c>
      <c r="M705" s="67">
        <v>0</v>
      </c>
      <c r="N705" s="68">
        <f t="shared" si="44"/>
        <v>750000</v>
      </c>
      <c r="O705" s="69">
        <f t="shared" si="43"/>
        <v>750000</v>
      </c>
      <c r="P705" s="42" t="str">
        <f>IFERROR(VLOOKUP(J705,'Mã NV'!$B:$C,2,0),"")</f>
        <v>XE01102</v>
      </c>
      <c r="Q705" s="70" t="str">
        <f>IFERROR(VLOOKUP(I705,'Mã NV'!$J:$K,2,0),"")</f>
        <v>15T</v>
      </c>
    </row>
    <row r="706" customHeight="1" spans="1:17">
      <c r="A706" s="63">
        <f t="shared" si="42"/>
        <v>703</v>
      </c>
      <c r="B706" s="64">
        <v>46151</v>
      </c>
      <c r="C706" s="87"/>
      <c r="D706" s="66" t="s">
        <v>112</v>
      </c>
      <c r="E706" s="66" t="s">
        <v>896</v>
      </c>
      <c r="F706" s="66" t="s">
        <v>744</v>
      </c>
      <c r="G706" s="66" t="s">
        <v>745</v>
      </c>
      <c r="H706" s="66" t="s">
        <v>903</v>
      </c>
      <c r="I706" s="66" t="s">
        <v>109</v>
      </c>
      <c r="J706" s="66" t="s">
        <v>120</v>
      </c>
      <c r="K706" s="66" t="s">
        <v>747</v>
      </c>
      <c r="L706" s="67">
        <v>750000</v>
      </c>
      <c r="M706" s="67">
        <v>0</v>
      </c>
      <c r="N706" s="68">
        <f t="shared" si="44"/>
        <v>750000</v>
      </c>
      <c r="O706" s="69">
        <f t="shared" si="43"/>
        <v>750000</v>
      </c>
      <c r="P706" s="42" t="str">
        <f>IFERROR(VLOOKUP(J706,'Mã NV'!$B:$C,2,0),"")</f>
        <v>XE01315</v>
      </c>
      <c r="Q706" s="70" t="str">
        <f>IFERROR(VLOOKUP(I706,'Mã NV'!$J:$K,2,0),"")</f>
        <v>15T</v>
      </c>
    </row>
    <row r="707" customHeight="1" spans="1:17">
      <c r="A707" s="63">
        <f t="shared" si="42"/>
        <v>704</v>
      </c>
      <c r="B707" s="64">
        <v>46151</v>
      </c>
      <c r="C707" s="87"/>
      <c r="D707" s="66" t="s">
        <v>112</v>
      </c>
      <c r="E707" s="66" t="s">
        <v>896</v>
      </c>
      <c r="F707" s="66" t="s">
        <v>744</v>
      </c>
      <c r="G707" s="66" t="s">
        <v>745</v>
      </c>
      <c r="H707" s="66" t="s">
        <v>904</v>
      </c>
      <c r="I707" s="66" t="s">
        <v>109</v>
      </c>
      <c r="J707" s="66" t="s">
        <v>107</v>
      </c>
      <c r="K707" s="66" t="s">
        <v>747</v>
      </c>
      <c r="L707" s="67">
        <v>750000</v>
      </c>
      <c r="M707" s="67">
        <v>0</v>
      </c>
      <c r="N707" s="68">
        <f t="shared" si="44"/>
        <v>750000</v>
      </c>
      <c r="O707" s="69">
        <f t="shared" si="43"/>
        <v>750000</v>
      </c>
      <c r="P707" s="42" t="str">
        <f>IFERROR(VLOOKUP(J707,'Mã NV'!$B:$C,2,0),"")</f>
        <v>XE01102</v>
      </c>
      <c r="Q707" s="70" t="str">
        <f>IFERROR(VLOOKUP(I707,'Mã NV'!$J:$K,2,0),"")</f>
        <v>15T</v>
      </c>
    </row>
    <row r="708" customHeight="1" spans="1:17">
      <c r="A708" s="63">
        <f t="shared" si="42"/>
        <v>705</v>
      </c>
      <c r="B708" s="64">
        <v>46151</v>
      </c>
      <c r="C708" s="87"/>
      <c r="D708" s="66" t="s">
        <v>112</v>
      </c>
      <c r="E708" s="66" t="s">
        <v>896</v>
      </c>
      <c r="F708" s="66" t="s">
        <v>744</v>
      </c>
      <c r="G708" s="66" t="s">
        <v>745</v>
      </c>
      <c r="H708" s="66" t="s">
        <v>904</v>
      </c>
      <c r="I708" s="66" t="s">
        <v>109</v>
      </c>
      <c r="J708" s="66" t="s">
        <v>120</v>
      </c>
      <c r="K708" s="66" t="s">
        <v>747</v>
      </c>
      <c r="L708" s="67">
        <v>750000</v>
      </c>
      <c r="M708" s="67">
        <v>0</v>
      </c>
      <c r="N708" s="68">
        <f t="shared" si="44"/>
        <v>750000</v>
      </c>
      <c r="O708" s="69">
        <f t="shared" si="43"/>
        <v>750000</v>
      </c>
      <c r="P708" s="42" t="str">
        <f>IFERROR(VLOOKUP(J708,'Mã NV'!$B:$C,2,0),"")</f>
        <v>XE01315</v>
      </c>
      <c r="Q708" s="70" t="str">
        <f>IFERROR(VLOOKUP(I708,'Mã NV'!$J:$K,2,0),"")</f>
        <v>15T</v>
      </c>
    </row>
    <row r="709" customHeight="1" spans="1:17">
      <c r="A709" s="63">
        <f t="shared" si="42"/>
        <v>706</v>
      </c>
      <c r="B709" s="64">
        <v>46151</v>
      </c>
      <c r="C709" s="87"/>
      <c r="D709" s="66" t="s">
        <v>112</v>
      </c>
      <c r="E709" s="66" t="s">
        <v>896</v>
      </c>
      <c r="F709" s="66" t="s">
        <v>744</v>
      </c>
      <c r="G709" s="66" t="s">
        <v>745</v>
      </c>
      <c r="H709" s="66" t="s">
        <v>905</v>
      </c>
      <c r="I709" s="66" t="s">
        <v>109</v>
      </c>
      <c r="J709" s="66" t="s">
        <v>107</v>
      </c>
      <c r="K709" s="66" t="s">
        <v>747</v>
      </c>
      <c r="L709" s="67">
        <v>750000</v>
      </c>
      <c r="M709" s="67">
        <v>0</v>
      </c>
      <c r="N709" s="68">
        <f t="shared" si="44"/>
        <v>750000</v>
      </c>
      <c r="O709" s="69">
        <f t="shared" si="43"/>
        <v>750000</v>
      </c>
      <c r="P709" s="42" t="str">
        <f>IFERROR(VLOOKUP(J709,'Mã NV'!$B:$C,2,0),"")</f>
        <v>XE01102</v>
      </c>
      <c r="Q709" s="70" t="str">
        <f>IFERROR(VLOOKUP(I709,'Mã NV'!$J:$K,2,0),"")</f>
        <v>15T</v>
      </c>
    </row>
    <row r="710" customHeight="1" spans="1:17">
      <c r="A710" s="63">
        <f t="shared" si="42"/>
        <v>707</v>
      </c>
      <c r="B710" s="64">
        <v>46151</v>
      </c>
      <c r="C710" s="87"/>
      <c r="D710" s="66" t="s">
        <v>112</v>
      </c>
      <c r="E710" s="66" t="s">
        <v>896</v>
      </c>
      <c r="F710" s="66" t="s">
        <v>744</v>
      </c>
      <c r="G710" s="66" t="s">
        <v>745</v>
      </c>
      <c r="H710" s="66" t="s">
        <v>905</v>
      </c>
      <c r="I710" s="66" t="s">
        <v>109</v>
      </c>
      <c r="J710" s="66" t="s">
        <v>120</v>
      </c>
      <c r="K710" s="66" t="s">
        <v>747</v>
      </c>
      <c r="L710" s="67">
        <v>750000</v>
      </c>
      <c r="M710" s="67">
        <v>0</v>
      </c>
      <c r="N710" s="68">
        <f t="shared" si="44"/>
        <v>750000</v>
      </c>
      <c r="O710" s="69">
        <f t="shared" si="43"/>
        <v>750000</v>
      </c>
      <c r="P710" s="42" t="str">
        <f>IFERROR(VLOOKUP(J710,'Mã NV'!$B:$C,2,0),"")</f>
        <v>XE01315</v>
      </c>
      <c r="Q710" s="70" t="str">
        <f>IFERROR(VLOOKUP(I710,'Mã NV'!$J:$K,2,0),"")</f>
        <v>15T</v>
      </c>
    </row>
    <row r="711" customHeight="1" spans="1:17">
      <c r="A711" s="63">
        <f t="shared" si="42"/>
        <v>708</v>
      </c>
      <c r="B711" s="64">
        <v>46151</v>
      </c>
      <c r="C711" s="87"/>
      <c r="D711" s="66" t="s">
        <v>112</v>
      </c>
      <c r="E711" s="66" t="s">
        <v>896</v>
      </c>
      <c r="F711" s="66" t="s">
        <v>744</v>
      </c>
      <c r="G711" s="66" t="s">
        <v>745</v>
      </c>
      <c r="H711" s="66" t="s">
        <v>906</v>
      </c>
      <c r="I711" s="66" t="s">
        <v>109</v>
      </c>
      <c r="J711" s="66" t="s">
        <v>107</v>
      </c>
      <c r="K711" s="66" t="s">
        <v>747</v>
      </c>
      <c r="L711" s="67">
        <v>750000</v>
      </c>
      <c r="M711" s="67">
        <v>0</v>
      </c>
      <c r="N711" s="68">
        <f t="shared" si="44"/>
        <v>750000</v>
      </c>
      <c r="O711" s="69">
        <f t="shared" si="43"/>
        <v>750000</v>
      </c>
      <c r="P711" s="42" t="str">
        <f>IFERROR(VLOOKUP(J711,'Mã NV'!$B:$C,2,0),"")</f>
        <v>XE01102</v>
      </c>
      <c r="Q711" s="70" t="str">
        <f>IFERROR(VLOOKUP(I711,'Mã NV'!$J:$K,2,0),"")</f>
        <v>15T</v>
      </c>
    </row>
    <row r="712" customHeight="1" spans="1:17">
      <c r="A712" s="63">
        <f t="shared" si="42"/>
        <v>709</v>
      </c>
      <c r="B712" s="64">
        <v>46151</v>
      </c>
      <c r="C712" s="87"/>
      <c r="D712" s="66" t="s">
        <v>112</v>
      </c>
      <c r="E712" s="66" t="s">
        <v>896</v>
      </c>
      <c r="F712" s="66" t="s">
        <v>744</v>
      </c>
      <c r="G712" s="66" t="s">
        <v>745</v>
      </c>
      <c r="H712" s="66" t="s">
        <v>906</v>
      </c>
      <c r="I712" s="66" t="s">
        <v>109</v>
      </c>
      <c r="J712" s="66" t="s">
        <v>120</v>
      </c>
      <c r="K712" s="66" t="s">
        <v>747</v>
      </c>
      <c r="L712" s="67">
        <v>750000</v>
      </c>
      <c r="M712" s="67">
        <v>0</v>
      </c>
      <c r="N712" s="68">
        <f t="shared" si="44"/>
        <v>750000</v>
      </c>
      <c r="O712" s="69">
        <f t="shared" si="43"/>
        <v>750000</v>
      </c>
      <c r="P712" s="42" t="str">
        <f>IFERROR(VLOOKUP(J712,'Mã NV'!$B:$C,2,0),"")</f>
        <v>XE01315</v>
      </c>
      <c r="Q712" s="70" t="str">
        <f>IFERROR(VLOOKUP(I712,'Mã NV'!$J:$K,2,0),"")</f>
        <v>15T</v>
      </c>
    </row>
    <row r="713" customHeight="1" spans="1:17">
      <c r="A713" s="63">
        <f t="shared" si="42"/>
        <v>710</v>
      </c>
      <c r="B713" s="64">
        <v>46151</v>
      </c>
      <c r="C713" s="87"/>
      <c r="D713" s="66" t="s">
        <v>112</v>
      </c>
      <c r="E713" s="66" t="s">
        <v>896</v>
      </c>
      <c r="F713" s="66" t="s">
        <v>744</v>
      </c>
      <c r="G713" s="66" t="s">
        <v>745</v>
      </c>
      <c r="H713" s="66" t="s">
        <v>907</v>
      </c>
      <c r="I713" s="66" t="s">
        <v>109</v>
      </c>
      <c r="J713" s="66" t="s">
        <v>107</v>
      </c>
      <c r="K713" s="66" t="s">
        <v>747</v>
      </c>
      <c r="L713" s="67">
        <v>600000</v>
      </c>
      <c r="M713" s="67">
        <v>0</v>
      </c>
      <c r="N713" s="68">
        <f t="shared" si="44"/>
        <v>600000</v>
      </c>
      <c r="O713" s="69">
        <f t="shared" si="43"/>
        <v>600000</v>
      </c>
      <c r="P713" s="42" t="str">
        <f>IFERROR(VLOOKUP(J713,'Mã NV'!$B:$C,2,0),"")</f>
        <v>XE01102</v>
      </c>
      <c r="Q713" s="70" t="str">
        <f>IFERROR(VLOOKUP(I713,'Mã NV'!$J:$K,2,0),"")</f>
        <v>15T</v>
      </c>
    </row>
    <row r="714" customHeight="1" spans="1:17">
      <c r="A714" s="63">
        <f t="shared" si="42"/>
        <v>711</v>
      </c>
      <c r="B714" s="64">
        <v>46151</v>
      </c>
      <c r="C714" s="87"/>
      <c r="D714" s="66" t="s">
        <v>112</v>
      </c>
      <c r="E714" s="66" t="s">
        <v>896</v>
      </c>
      <c r="F714" s="66" t="s">
        <v>744</v>
      </c>
      <c r="G714" s="66" t="s">
        <v>745</v>
      </c>
      <c r="H714" s="66" t="s">
        <v>907</v>
      </c>
      <c r="I714" s="66" t="s">
        <v>109</v>
      </c>
      <c r="J714" s="66" t="s">
        <v>120</v>
      </c>
      <c r="K714" s="66" t="s">
        <v>747</v>
      </c>
      <c r="L714" s="67">
        <v>600000</v>
      </c>
      <c r="M714" s="67">
        <v>0</v>
      </c>
      <c r="N714" s="68">
        <f t="shared" si="44"/>
        <v>600000</v>
      </c>
      <c r="O714" s="69">
        <f t="shared" si="43"/>
        <v>600000</v>
      </c>
      <c r="P714" s="42" t="str">
        <f>IFERROR(VLOOKUP(J714,'Mã NV'!$B:$C,2,0),"")</f>
        <v>XE01315</v>
      </c>
      <c r="Q714" s="70" t="str">
        <f>IFERROR(VLOOKUP(I714,'Mã NV'!$J:$K,2,0),"")</f>
        <v>15T</v>
      </c>
    </row>
    <row r="715" customHeight="1" spans="1:17">
      <c r="A715" s="63">
        <f t="shared" si="42"/>
        <v>712</v>
      </c>
      <c r="B715" s="64">
        <v>46153</v>
      </c>
      <c r="C715" s="87"/>
      <c r="D715" s="66" t="s">
        <v>112</v>
      </c>
      <c r="E715" s="66" t="s">
        <v>896</v>
      </c>
      <c r="F715" s="66" t="s">
        <v>748</v>
      </c>
      <c r="G715" s="66" t="s">
        <v>745</v>
      </c>
      <c r="H715" s="66" t="s">
        <v>907</v>
      </c>
      <c r="I715" s="77" t="s">
        <v>345</v>
      </c>
      <c r="J715" s="66" t="s">
        <v>343</v>
      </c>
      <c r="K715" s="66" t="s">
        <v>747</v>
      </c>
      <c r="L715" s="67">
        <v>300000</v>
      </c>
      <c r="M715" s="67"/>
      <c r="N715" s="68">
        <f t="shared" si="44"/>
        <v>300000</v>
      </c>
      <c r="O715" s="69">
        <f t="shared" ref="O715:O751" si="45">N715/$P$1</f>
        <v>300000</v>
      </c>
      <c r="P715" s="42" t="str">
        <f>IFERROR(VLOOKUP(J715,'Mã NV'!$B:$C,2,0),"")</f>
        <v>XE01615</v>
      </c>
      <c r="Q715" s="70" t="str">
        <f>IFERROR(VLOOKUP(I715,'Mã NV'!$J:$K,2,0),"")</f>
        <v>2T5</v>
      </c>
    </row>
    <row r="716" customHeight="1" spans="1:17">
      <c r="A716" s="63">
        <f t="shared" ref="A716:A779" si="46">A715+1</f>
        <v>713</v>
      </c>
      <c r="B716" s="64">
        <v>46151</v>
      </c>
      <c r="C716" s="87"/>
      <c r="D716" s="66" t="s">
        <v>112</v>
      </c>
      <c r="E716" s="66" t="s">
        <v>896</v>
      </c>
      <c r="F716" s="66" t="s">
        <v>744</v>
      </c>
      <c r="G716" s="66" t="s">
        <v>745</v>
      </c>
      <c r="H716" s="66" t="s">
        <v>908</v>
      </c>
      <c r="I716" s="66" t="s">
        <v>109</v>
      </c>
      <c r="J716" s="66" t="s">
        <v>107</v>
      </c>
      <c r="K716" s="66" t="s">
        <v>747</v>
      </c>
      <c r="L716" s="67">
        <v>600000</v>
      </c>
      <c r="M716" s="67">
        <v>0</v>
      </c>
      <c r="N716" s="68">
        <f t="shared" ref="N716:N751" si="47">L716-M716</f>
        <v>600000</v>
      </c>
      <c r="O716" s="69">
        <f t="shared" si="45"/>
        <v>600000</v>
      </c>
      <c r="P716" s="42" t="str">
        <f>IFERROR(VLOOKUP(J716,'Mã NV'!$B:$C,2,0),"")</f>
        <v>XE01102</v>
      </c>
      <c r="Q716" s="70" t="str">
        <f>IFERROR(VLOOKUP(I716,'Mã NV'!$J:$K,2,0),"")</f>
        <v>15T</v>
      </c>
    </row>
    <row r="717" customHeight="1" spans="1:17">
      <c r="A717" s="63">
        <f t="shared" si="46"/>
        <v>714</v>
      </c>
      <c r="B717" s="64">
        <v>46151</v>
      </c>
      <c r="C717" s="87"/>
      <c r="D717" s="66" t="s">
        <v>112</v>
      </c>
      <c r="E717" s="66" t="s">
        <v>896</v>
      </c>
      <c r="F717" s="66" t="s">
        <v>744</v>
      </c>
      <c r="G717" s="66" t="s">
        <v>745</v>
      </c>
      <c r="H717" s="66" t="s">
        <v>908</v>
      </c>
      <c r="I717" s="66" t="s">
        <v>109</v>
      </c>
      <c r="J717" s="66" t="s">
        <v>120</v>
      </c>
      <c r="K717" s="66" t="s">
        <v>747</v>
      </c>
      <c r="L717" s="67">
        <v>600000</v>
      </c>
      <c r="M717" s="67">
        <v>0</v>
      </c>
      <c r="N717" s="68">
        <f t="shared" si="47"/>
        <v>600000</v>
      </c>
      <c r="O717" s="69">
        <f t="shared" si="45"/>
        <v>600000</v>
      </c>
      <c r="P717" s="42" t="str">
        <f>IFERROR(VLOOKUP(J717,'Mã NV'!$B:$C,2,0),"")</f>
        <v>XE01315</v>
      </c>
      <c r="Q717" s="70" t="str">
        <f>IFERROR(VLOOKUP(I717,'Mã NV'!$J:$K,2,0),"")</f>
        <v>15T</v>
      </c>
    </row>
    <row r="718" customHeight="1" spans="1:17">
      <c r="A718" s="63">
        <f t="shared" si="46"/>
        <v>715</v>
      </c>
      <c r="B718" s="64">
        <v>46153</v>
      </c>
      <c r="C718" s="87"/>
      <c r="D718" s="66" t="s">
        <v>112</v>
      </c>
      <c r="E718" s="66" t="s">
        <v>896</v>
      </c>
      <c r="F718" s="66" t="s">
        <v>748</v>
      </c>
      <c r="G718" s="66" t="s">
        <v>745</v>
      </c>
      <c r="H718" s="66" t="s">
        <v>908</v>
      </c>
      <c r="I718" s="77" t="s">
        <v>345</v>
      </c>
      <c r="J718" s="66" t="s">
        <v>343</v>
      </c>
      <c r="K718" s="66" t="s">
        <v>747</v>
      </c>
      <c r="L718" s="67">
        <v>300000</v>
      </c>
      <c r="M718" s="67"/>
      <c r="N718" s="68">
        <f t="shared" si="47"/>
        <v>300000</v>
      </c>
      <c r="O718" s="69">
        <f t="shared" si="45"/>
        <v>300000</v>
      </c>
      <c r="P718" s="42" t="str">
        <f>IFERROR(VLOOKUP(J718,'Mã NV'!$B:$C,2,0),"")</f>
        <v>XE01615</v>
      </c>
      <c r="Q718" s="70" t="str">
        <f>IFERROR(VLOOKUP(I718,'Mã NV'!$J:$K,2,0),"")</f>
        <v>2T5</v>
      </c>
    </row>
    <row r="719" customHeight="1" spans="1:17">
      <c r="A719" s="63">
        <f t="shared" si="46"/>
        <v>716</v>
      </c>
      <c r="B719" s="64">
        <v>46151</v>
      </c>
      <c r="C719" s="87"/>
      <c r="D719" s="66" t="s">
        <v>112</v>
      </c>
      <c r="E719" s="66" t="s">
        <v>896</v>
      </c>
      <c r="F719" s="66" t="s">
        <v>744</v>
      </c>
      <c r="G719" s="66" t="s">
        <v>745</v>
      </c>
      <c r="H719" s="66" t="s">
        <v>909</v>
      </c>
      <c r="I719" s="66" t="s">
        <v>109</v>
      </c>
      <c r="J719" s="66" t="s">
        <v>107</v>
      </c>
      <c r="K719" s="66" t="s">
        <v>747</v>
      </c>
      <c r="L719" s="67">
        <v>600000</v>
      </c>
      <c r="M719" s="67">
        <v>0</v>
      </c>
      <c r="N719" s="68">
        <f t="shared" si="47"/>
        <v>600000</v>
      </c>
      <c r="O719" s="69">
        <f t="shared" si="45"/>
        <v>600000</v>
      </c>
      <c r="P719" s="42" t="str">
        <f>IFERROR(VLOOKUP(J719,'Mã NV'!$B:$C,2,0),"")</f>
        <v>XE01102</v>
      </c>
      <c r="Q719" s="70" t="str">
        <f>IFERROR(VLOOKUP(I719,'Mã NV'!$J:$K,2,0),"")</f>
        <v>15T</v>
      </c>
    </row>
    <row r="720" customHeight="1" spans="1:17">
      <c r="A720" s="63">
        <f t="shared" si="46"/>
        <v>717</v>
      </c>
      <c r="B720" s="64">
        <v>46151</v>
      </c>
      <c r="C720" s="87"/>
      <c r="D720" s="66" t="s">
        <v>112</v>
      </c>
      <c r="E720" s="66" t="s">
        <v>896</v>
      </c>
      <c r="F720" s="66" t="s">
        <v>744</v>
      </c>
      <c r="G720" s="66" t="s">
        <v>745</v>
      </c>
      <c r="H720" s="66" t="s">
        <v>909</v>
      </c>
      <c r="I720" s="66" t="s">
        <v>109</v>
      </c>
      <c r="J720" s="66" t="s">
        <v>120</v>
      </c>
      <c r="K720" s="66" t="s">
        <v>747</v>
      </c>
      <c r="L720" s="67">
        <v>600000</v>
      </c>
      <c r="M720" s="67">
        <v>0</v>
      </c>
      <c r="N720" s="68">
        <f t="shared" si="47"/>
        <v>600000</v>
      </c>
      <c r="O720" s="69">
        <f t="shared" si="45"/>
        <v>600000</v>
      </c>
      <c r="P720" s="42" t="str">
        <f>IFERROR(VLOOKUP(J720,'Mã NV'!$B:$C,2,0),"")</f>
        <v>XE01315</v>
      </c>
      <c r="Q720" s="70" t="str">
        <f>IFERROR(VLOOKUP(I720,'Mã NV'!$J:$K,2,0),"")</f>
        <v>15T</v>
      </c>
    </row>
    <row r="721" customHeight="1" spans="1:17">
      <c r="A721" s="63">
        <f t="shared" si="46"/>
        <v>718</v>
      </c>
      <c r="B721" s="64">
        <v>46153</v>
      </c>
      <c r="C721" s="87"/>
      <c r="D721" s="66" t="s">
        <v>112</v>
      </c>
      <c r="E721" s="66" t="s">
        <v>896</v>
      </c>
      <c r="F721" s="66" t="s">
        <v>748</v>
      </c>
      <c r="G721" s="66" t="s">
        <v>745</v>
      </c>
      <c r="H721" s="66" t="s">
        <v>909</v>
      </c>
      <c r="I721" s="66" t="s">
        <v>323</v>
      </c>
      <c r="J721" s="66" t="s">
        <v>321</v>
      </c>
      <c r="K721" s="66" t="s">
        <v>747</v>
      </c>
      <c r="L721" s="67">
        <v>300000</v>
      </c>
      <c r="M721" s="67"/>
      <c r="N721" s="68">
        <f t="shared" si="47"/>
        <v>300000</v>
      </c>
      <c r="O721" s="69">
        <f t="shared" si="45"/>
        <v>300000</v>
      </c>
      <c r="P721" s="42" t="str">
        <f>IFERROR(VLOOKUP(J721,'Mã NV'!$B:$C,2,0),"")</f>
        <v>XE01537</v>
      </c>
      <c r="Q721" s="70" t="str">
        <f>IFERROR(VLOOKUP(I721,'Mã NV'!$J:$K,2,0),"")</f>
        <v>2.5T</v>
      </c>
    </row>
    <row r="722" customHeight="1" spans="1:17">
      <c r="A722" s="63">
        <f t="shared" si="46"/>
        <v>719</v>
      </c>
      <c r="B722" s="64">
        <v>46151</v>
      </c>
      <c r="C722" s="87"/>
      <c r="D722" s="66" t="s">
        <v>112</v>
      </c>
      <c r="E722" s="66" t="s">
        <v>896</v>
      </c>
      <c r="F722" s="66" t="s">
        <v>744</v>
      </c>
      <c r="G722" s="66" t="s">
        <v>745</v>
      </c>
      <c r="H722" s="66" t="s">
        <v>910</v>
      </c>
      <c r="I722" s="66" t="s">
        <v>109</v>
      </c>
      <c r="J722" s="66" t="s">
        <v>107</v>
      </c>
      <c r="K722" s="66" t="s">
        <v>747</v>
      </c>
      <c r="L722" s="67">
        <v>750000</v>
      </c>
      <c r="M722" s="67">
        <v>0</v>
      </c>
      <c r="N722" s="68">
        <f t="shared" si="47"/>
        <v>750000</v>
      </c>
      <c r="O722" s="69">
        <f t="shared" si="45"/>
        <v>750000</v>
      </c>
      <c r="P722" s="42" t="str">
        <f>IFERROR(VLOOKUP(J722,'Mã NV'!$B:$C,2,0),"")</f>
        <v>XE01102</v>
      </c>
      <c r="Q722" s="70" t="str">
        <f>IFERROR(VLOOKUP(I722,'Mã NV'!$J:$K,2,0),"")</f>
        <v>15T</v>
      </c>
    </row>
    <row r="723" customHeight="1" spans="1:17">
      <c r="A723" s="63">
        <f t="shared" si="46"/>
        <v>720</v>
      </c>
      <c r="B723" s="64">
        <v>46151</v>
      </c>
      <c r="C723" s="87"/>
      <c r="D723" s="66" t="s">
        <v>112</v>
      </c>
      <c r="E723" s="66" t="s">
        <v>896</v>
      </c>
      <c r="F723" s="66" t="s">
        <v>744</v>
      </c>
      <c r="G723" s="66" t="s">
        <v>745</v>
      </c>
      <c r="H723" s="66" t="s">
        <v>910</v>
      </c>
      <c r="I723" s="66" t="s">
        <v>109</v>
      </c>
      <c r="J723" s="66" t="s">
        <v>120</v>
      </c>
      <c r="K723" s="66" t="s">
        <v>747</v>
      </c>
      <c r="L723" s="67">
        <v>750000</v>
      </c>
      <c r="M723" s="67">
        <v>0</v>
      </c>
      <c r="N723" s="68">
        <f t="shared" si="47"/>
        <v>750000</v>
      </c>
      <c r="O723" s="69">
        <f t="shared" si="45"/>
        <v>750000</v>
      </c>
      <c r="P723" s="42" t="str">
        <f>IFERROR(VLOOKUP(J723,'Mã NV'!$B:$C,2,0),"")</f>
        <v>XE01315</v>
      </c>
      <c r="Q723" s="70" t="str">
        <f>IFERROR(VLOOKUP(I723,'Mã NV'!$J:$K,2,0),"")</f>
        <v>15T</v>
      </c>
    </row>
    <row r="724" customHeight="1" spans="1:17">
      <c r="A724" s="63">
        <f t="shared" si="46"/>
        <v>721</v>
      </c>
      <c r="B724" s="64">
        <v>46154</v>
      </c>
      <c r="C724" s="87"/>
      <c r="D724" s="66" t="s">
        <v>26</v>
      </c>
      <c r="E724" s="66" t="s">
        <v>895</v>
      </c>
      <c r="F724" s="66" t="s">
        <v>744</v>
      </c>
      <c r="G724" s="66" t="s">
        <v>811</v>
      </c>
      <c r="H724" s="66" t="s">
        <v>745</v>
      </c>
      <c r="I724" s="66" t="s">
        <v>266</v>
      </c>
      <c r="J724" s="66" t="s">
        <v>264</v>
      </c>
      <c r="K724" s="66" t="s">
        <v>747</v>
      </c>
      <c r="L724" s="67">
        <v>1250000</v>
      </c>
      <c r="M724" s="67">
        <v>0</v>
      </c>
      <c r="N724" s="68">
        <f t="shared" si="47"/>
        <v>1250000</v>
      </c>
      <c r="O724" s="69">
        <f t="shared" si="45"/>
        <v>1250000</v>
      </c>
      <c r="P724" s="42" t="str">
        <f>IFERROR(VLOOKUP(J724,'Mã NV'!$B:$C,2,0),"")</f>
        <v>XE01678</v>
      </c>
      <c r="Q724" s="70" t="str">
        <f>IFERROR(VLOOKUP(I724,'Mã NV'!$J:$K,2,0),"")</f>
        <v>7.1t</v>
      </c>
    </row>
    <row r="725" customHeight="1" spans="1:17">
      <c r="A725" s="63">
        <f t="shared" si="46"/>
        <v>722</v>
      </c>
      <c r="B725" s="64">
        <v>46154</v>
      </c>
      <c r="C725" s="87"/>
      <c r="D725" s="66" t="s">
        <v>26</v>
      </c>
      <c r="E725" s="66" t="s">
        <v>895</v>
      </c>
      <c r="F725" s="66" t="s">
        <v>744</v>
      </c>
      <c r="G725" s="66" t="s">
        <v>811</v>
      </c>
      <c r="H725" s="66" t="s">
        <v>745</v>
      </c>
      <c r="I725" s="66" t="s">
        <v>266</v>
      </c>
      <c r="J725" s="66" t="s">
        <v>399</v>
      </c>
      <c r="K725" s="66" t="s">
        <v>747</v>
      </c>
      <c r="L725" s="67">
        <v>1250000</v>
      </c>
      <c r="M725" s="67">
        <v>0</v>
      </c>
      <c r="N725" s="68">
        <f t="shared" si="47"/>
        <v>1250000</v>
      </c>
      <c r="O725" s="69">
        <f t="shared" si="45"/>
        <v>1250000</v>
      </c>
      <c r="P725" s="42" t="str">
        <f>IFERROR(VLOOKUP(J725,'Mã NV'!$B:$C,2,0),"")</f>
        <v>XE01679</v>
      </c>
      <c r="Q725" s="70" t="str">
        <f>IFERROR(VLOOKUP(I725,'Mã NV'!$J:$K,2,0),"")</f>
        <v>7.1t</v>
      </c>
    </row>
    <row r="726" customHeight="1" spans="1:17">
      <c r="A726" s="63">
        <f t="shared" si="46"/>
        <v>723</v>
      </c>
      <c r="B726" s="64">
        <v>46154</v>
      </c>
      <c r="C726" s="87"/>
      <c r="D726" s="66" t="s">
        <v>26</v>
      </c>
      <c r="E726" s="66" t="s">
        <v>894</v>
      </c>
      <c r="F726" s="66" t="s">
        <v>744</v>
      </c>
      <c r="G726" s="66" t="s">
        <v>745</v>
      </c>
      <c r="H726" s="66" t="s">
        <v>767</v>
      </c>
      <c r="I726" s="66" t="s">
        <v>151</v>
      </c>
      <c r="J726" s="66" t="s">
        <v>147</v>
      </c>
      <c r="K726" s="66" t="s">
        <v>747</v>
      </c>
      <c r="L726" s="67">
        <v>6000000</v>
      </c>
      <c r="M726" s="67">
        <v>0</v>
      </c>
      <c r="N726" s="68">
        <f t="shared" si="47"/>
        <v>6000000</v>
      </c>
      <c r="O726" s="69">
        <f t="shared" si="45"/>
        <v>6000000</v>
      </c>
      <c r="P726" s="42" t="str">
        <f>IFERROR(VLOOKUP(J726,'Mã NV'!$B:$C,2,0),"")</f>
        <v>XE01304</v>
      </c>
      <c r="Q726" s="70" t="str">
        <f>IFERROR(VLOOKUP(I726,'Mã NV'!$J:$K,2,0),"")</f>
        <v>8T</v>
      </c>
    </row>
    <row r="727" customHeight="1" spans="1:17">
      <c r="A727" s="63">
        <f t="shared" si="46"/>
        <v>724</v>
      </c>
      <c r="B727" s="64">
        <v>46154</v>
      </c>
      <c r="C727" s="87"/>
      <c r="D727" s="66" t="s">
        <v>26</v>
      </c>
      <c r="E727" s="66" t="s">
        <v>894</v>
      </c>
      <c r="F727" s="66" t="s">
        <v>744</v>
      </c>
      <c r="G727" s="66" t="s">
        <v>745</v>
      </c>
      <c r="H727" s="66" t="s">
        <v>767</v>
      </c>
      <c r="I727" s="66" t="s">
        <v>151</v>
      </c>
      <c r="J727" s="66" t="s">
        <v>235</v>
      </c>
      <c r="K727" s="66" t="s">
        <v>747</v>
      </c>
      <c r="L727" s="67">
        <v>6000000</v>
      </c>
      <c r="M727" s="67">
        <v>0</v>
      </c>
      <c r="N727" s="68">
        <f t="shared" si="47"/>
        <v>6000000</v>
      </c>
      <c r="O727" s="69">
        <f t="shared" si="45"/>
        <v>6000000</v>
      </c>
      <c r="P727" s="42" t="str">
        <f>IFERROR(VLOOKUP(J727,'Mã NV'!$B:$C,2,0),"")</f>
        <v>XE01305</v>
      </c>
      <c r="Q727" s="70" t="str">
        <f>IFERROR(VLOOKUP(I727,'Mã NV'!$J:$K,2,0),"")</f>
        <v>8T</v>
      </c>
    </row>
    <row r="728" customHeight="1" spans="1:17">
      <c r="A728" s="63">
        <f t="shared" si="46"/>
        <v>725</v>
      </c>
      <c r="B728" s="64">
        <v>46154</v>
      </c>
      <c r="C728" s="87"/>
      <c r="D728" s="66" t="s">
        <v>26</v>
      </c>
      <c r="E728" s="66" t="s">
        <v>895</v>
      </c>
      <c r="F728" s="66" t="s">
        <v>744</v>
      </c>
      <c r="G728" s="66" t="s">
        <v>745</v>
      </c>
      <c r="H728" s="66" t="s">
        <v>804</v>
      </c>
      <c r="I728" s="66" t="s">
        <v>176</v>
      </c>
      <c r="J728" s="66" t="s">
        <v>192</v>
      </c>
      <c r="K728" s="66" t="s">
        <v>747</v>
      </c>
      <c r="L728" s="67">
        <v>1300000</v>
      </c>
      <c r="M728" s="67">
        <v>0</v>
      </c>
      <c r="N728" s="68">
        <f t="shared" si="47"/>
        <v>1300000</v>
      </c>
      <c r="O728" s="69">
        <f t="shared" si="45"/>
        <v>1300000</v>
      </c>
      <c r="P728" s="42" t="str">
        <f>IFERROR(VLOOKUP(J728,'Mã NV'!$B:$C,2,0),"")</f>
        <v>XE01335</v>
      </c>
      <c r="Q728" s="70" t="str">
        <f>IFERROR(VLOOKUP(I728,'Mã NV'!$J:$K,2,0),"")</f>
        <v>8T</v>
      </c>
    </row>
    <row r="729" customHeight="1" spans="1:17">
      <c r="A729" s="63">
        <f t="shared" si="46"/>
        <v>726</v>
      </c>
      <c r="B729" s="64">
        <v>46154</v>
      </c>
      <c r="C729" s="87"/>
      <c r="D729" s="66" t="s">
        <v>26</v>
      </c>
      <c r="E729" s="66" t="s">
        <v>895</v>
      </c>
      <c r="F729" s="66" t="s">
        <v>744</v>
      </c>
      <c r="G729" s="66" t="s">
        <v>745</v>
      </c>
      <c r="H729" s="66" t="s">
        <v>804</v>
      </c>
      <c r="I729" s="66" t="s">
        <v>176</v>
      </c>
      <c r="J729" s="66" t="s">
        <v>354</v>
      </c>
      <c r="K729" s="66" t="s">
        <v>747</v>
      </c>
      <c r="L729" s="67">
        <v>1300000</v>
      </c>
      <c r="M729" s="67">
        <v>0</v>
      </c>
      <c r="N729" s="68">
        <f t="shared" si="47"/>
        <v>1300000</v>
      </c>
      <c r="O729" s="69">
        <f t="shared" si="45"/>
        <v>1300000</v>
      </c>
      <c r="P729" s="42" t="str">
        <f>IFERROR(VLOOKUP(J729,'Mã NV'!$B:$C,2,0),"")</f>
        <v>XE01644</v>
      </c>
      <c r="Q729" s="70" t="str">
        <f>IFERROR(VLOOKUP(I729,'Mã NV'!$J:$K,2,0),"")</f>
        <v>8T</v>
      </c>
    </row>
    <row r="730" customHeight="1" spans="1:17">
      <c r="A730" s="63">
        <f t="shared" si="46"/>
        <v>727</v>
      </c>
      <c r="B730" s="64">
        <v>45791</v>
      </c>
      <c r="C730" s="87"/>
      <c r="D730" s="66" t="s">
        <v>26</v>
      </c>
      <c r="E730" s="66" t="s">
        <v>895</v>
      </c>
      <c r="F730" s="66" t="s">
        <v>748</v>
      </c>
      <c r="G730" s="66" t="s">
        <v>745</v>
      </c>
      <c r="H730" s="66" t="s">
        <v>804</v>
      </c>
      <c r="I730" s="66" t="s">
        <v>176</v>
      </c>
      <c r="J730" s="66" t="s">
        <v>174</v>
      </c>
      <c r="K730" s="66" t="s">
        <v>747</v>
      </c>
      <c r="L730" s="67">
        <v>650000</v>
      </c>
      <c r="M730" s="67"/>
      <c r="N730" s="68">
        <f t="shared" si="47"/>
        <v>650000</v>
      </c>
      <c r="O730" s="69">
        <f t="shared" si="45"/>
        <v>650000</v>
      </c>
      <c r="P730" s="42" t="str">
        <f>IFERROR(VLOOKUP(J730,'Mã NV'!$B:$C,2,0),"")</f>
        <v>XE00975</v>
      </c>
      <c r="Q730" s="70" t="str">
        <f>IFERROR(VLOOKUP(I730,'Mã NV'!$J:$K,2,0),"")</f>
        <v>8T</v>
      </c>
    </row>
    <row r="731" customHeight="1" spans="1:17">
      <c r="A731" s="63">
        <f t="shared" si="46"/>
        <v>728</v>
      </c>
      <c r="B731" s="64">
        <v>46154</v>
      </c>
      <c r="C731" s="87"/>
      <c r="D731" s="66" t="s">
        <v>26</v>
      </c>
      <c r="E731" s="66" t="s">
        <v>893</v>
      </c>
      <c r="F731" s="66" t="s">
        <v>744</v>
      </c>
      <c r="G731" s="66" t="s">
        <v>745</v>
      </c>
      <c r="H731" s="66" t="s">
        <v>887</v>
      </c>
      <c r="I731" s="66" t="s">
        <v>290</v>
      </c>
      <c r="J731" s="66" t="s">
        <v>288</v>
      </c>
      <c r="K731" s="66" t="s">
        <v>747</v>
      </c>
      <c r="L731" s="67">
        <v>1900000</v>
      </c>
      <c r="M731" s="67">
        <v>0</v>
      </c>
      <c r="N731" s="68">
        <f t="shared" si="47"/>
        <v>1900000</v>
      </c>
      <c r="O731" s="69">
        <f t="shared" si="45"/>
        <v>1900000</v>
      </c>
      <c r="P731" s="42" t="str">
        <f>IFERROR(VLOOKUP(J731,'Mã NV'!$B:$C,2,0),"")</f>
        <v>XE01563</v>
      </c>
      <c r="Q731" s="70" t="str">
        <f>IFERROR(VLOOKUP(I731,'Mã NV'!$J:$K,2,0),"")</f>
        <v>8T</v>
      </c>
    </row>
    <row r="732" customHeight="1" spans="1:17">
      <c r="A732" s="63">
        <f t="shared" si="46"/>
        <v>729</v>
      </c>
      <c r="B732" s="64">
        <v>46154</v>
      </c>
      <c r="C732" s="87"/>
      <c r="D732" s="66" t="s">
        <v>26</v>
      </c>
      <c r="E732" s="66" t="s">
        <v>893</v>
      </c>
      <c r="F732" s="66" t="s">
        <v>744</v>
      </c>
      <c r="G732" s="66" t="s">
        <v>745</v>
      </c>
      <c r="H732" s="66" t="s">
        <v>887</v>
      </c>
      <c r="I732" s="66" t="s">
        <v>290</v>
      </c>
      <c r="J732" s="66" t="s">
        <v>329</v>
      </c>
      <c r="K732" s="66" t="s">
        <v>747</v>
      </c>
      <c r="L732" s="67">
        <v>1900000</v>
      </c>
      <c r="M732" s="67">
        <v>0</v>
      </c>
      <c r="N732" s="68">
        <f t="shared" si="47"/>
        <v>1900000</v>
      </c>
      <c r="O732" s="69">
        <f t="shared" si="45"/>
        <v>1900000</v>
      </c>
      <c r="P732" s="42" t="str">
        <f>IFERROR(VLOOKUP(J732,'Mã NV'!$B:$C,2,0),"")</f>
        <v>XE01609</v>
      </c>
      <c r="Q732" s="70" t="str">
        <f>IFERROR(VLOOKUP(I732,'Mã NV'!$J:$K,2,0),"")</f>
        <v>8T</v>
      </c>
    </row>
    <row r="733" customHeight="1" spans="1:17">
      <c r="A733" s="63">
        <f t="shared" si="46"/>
        <v>730</v>
      </c>
      <c r="B733" s="64">
        <v>46156</v>
      </c>
      <c r="C733" s="87"/>
      <c r="D733" s="66" t="s">
        <v>26</v>
      </c>
      <c r="E733" s="66" t="s">
        <v>893</v>
      </c>
      <c r="F733" s="66" t="s">
        <v>744</v>
      </c>
      <c r="G733" s="66" t="s">
        <v>745</v>
      </c>
      <c r="H733" s="66" t="s">
        <v>769</v>
      </c>
      <c r="I733" s="66" t="s">
        <v>103</v>
      </c>
      <c r="J733" s="66" t="s">
        <v>172</v>
      </c>
      <c r="K733" s="66" t="s">
        <v>747</v>
      </c>
      <c r="L733" s="67">
        <v>2250000</v>
      </c>
      <c r="M733" s="67">
        <v>0</v>
      </c>
      <c r="N733" s="68">
        <f t="shared" si="47"/>
        <v>2250000</v>
      </c>
      <c r="O733" s="69">
        <f t="shared" si="45"/>
        <v>2250000</v>
      </c>
      <c r="P733" s="42" t="str">
        <f>IFERROR(VLOOKUP(J733,'Mã NV'!$B:$C,2,0),"")</f>
        <v>XE01433</v>
      </c>
      <c r="Q733" s="70" t="str">
        <f>IFERROR(VLOOKUP(I733,'Mã NV'!$J:$K,2,0),"")</f>
        <v>7.1t</v>
      </c>
    </row>
    <row r="734" customHeight="1" spans="1:17">
      <c r="A734" s="63">
        <f t="shared" si="46"/>
        <v>731</v>
      </c>
      <c r="B734" s="64">
        <v>46156</v>
      </c>
      <c r="C734" s="87"/>
      <c r="D734" s="66" t="s">
        <v>26</v>
      </c>
      <c r="E734" s="66" t="s">
        <v>893</v>
      </c>
      <c r="F734" s="66" t="s">
        <v>744</v>
      </c>
      <c r="G734" s="66" t="s">
        <v>745</v>
      </c>
      <c r="H734" s="66" t="s">
        <v>769</v>
      </c>
      <c r="I734" s="66" t="s">
        <v>103</v>
      </c>
      <c r="J734" s="66" t="s">
        <v>181</v>
      </c>
      <c r="K734" s="66" t="s">
        <v>747</v>
      </c>
      <c r="L734" s="67">
        <v>2250000</v>
      </c>
      <c r="M734" s="67">
        <v>0</v>
      </c>
      <c r="N734" s="68">
        <f t="shared" si="47"/>
        <v>2250000</v>
      </c>
      <c r="O734" s="69">
        <f t="shared" si="45"/>
        <v>2250000</v>
      </c>
      <c r="P734" s="42" t="str">
        <f>IFERROR(VLOOKUP(J734,'Mã NV'!$B:$C,2,0),"")</f>
        <v>XE01281</v>
      </c>
      <c r="Q734" s="70" t="str">
        <f>IFERROR(VLOOKUP(I734,'Mã NV'!$J:$K,2,0),"")</f>
        <v>7.1t</v>
      </c>
    </row>
    <row r="735" customHeight="1" spans="1:17">
      <c r="A735" s="63">
        <f t="shared" si="46"/>
        <v>732</v>
      </c>
      <c r="B735" s="64">
        <v>46157</v>
      </c>
      <c r="C735" s="87"/>
      <c r="D735" s="66" t="s">
        <v>26</v>
      </c>
      <c r="E735" s="66" t="s">
        <v>894</v>
      </c>
      <c r="F735" s="66" t="s">
        <v>744</v>
      </c>
      <c r="G735" s="66" t="s">
        <v>745</v>
      </c>
      <c r="H735" s="66" t="s">
        <v>769</v>
      </c>
      <c r="I735" s="66" t="s">
        <v>266</v>
      </c>
      <c r="J735" s="66" t="s">
        <v>264</v>
      </c>
      <c r="K735" s="66" t="s">
        <v>747</v>
      </c>
      <c r="L735" s="67">
        <v>2325000</v>
      </c>
      <c r="M735" s="67">
        <v>0</v>
      </c>
      <c r="N735" s="68">
        <f t="shared" si="47"/>
        <v>2325000</v>
      </c>
      <c r="O735" s="69">
        <f t="shared" si="45"/>
        <v>2325000</v>
      </c>
      <c r="P735" s="42" t="str">
        <f>IFERROR(VLOOKUP(J735,'Mã NV'!$B:$C,2,0),"")</f>
        <v>XE01678</v>
      </c>
      <c r="Q735" s="70" t="str">
        <f>IFERROR(VLOOKUP(I735,'Mã NV'!$J:$K,2,0),"")</f>
        <v>7.1t</v>
      </c>
    </row>
    <row r="736" customHeight="1" spans="1:17">
      <c r="A736" s="63">
        <f t="shared" si="46"/>
        <v>733</v>
      </c>
      <c r="B736" s="64">
        <v>46157</v>
      </c>
      <c r="C736" s="87"/>
      <c r="D736" s="66" t="s">
        <v>26</v>
      </c>
      <c r="E736" s="66" t="s">
        <v>894</v>
      </c>
      <c r="F736" s="66" t="s">
        <v>744</v>
      </c>
      <c r="G736" s="66" t="s">
        <v>745</v>
      </c>
      <c r="H736" s="66" t="s">
        <v>769</v>
      </c>
      <c r="I736" s="66" t="s">
        <v>266</v>
      </c>
      <c r="J736" s="66" t="s">
        <v>399</v>
      </c>
      <c r="K736" s="66" t="s">
        <v>747</v>
      </c>
      <c r="L736" s="67">
        <v>2325000</v>
      </c>
      <c r="M736" s="67">
        <v>0</v>
      </c>
      <c r="N736" s="68">
        <f t="shared" si="47"/>
        <v>2325000</v>
      </c>
      <c r="O736" s="69">
        <f t="shared" si="45"/>
        <v>2325000</v>
      </c>
      <c r="P736" s="42" t="str">
        <f>IFERROR(VLOOKUP(J736,'Mã NV'!$B:$C,2,0),"")</f>
        <v>XE01679</v>
      </c>
      <c r="Q736" s="70" t="str">
        <f>IFERROR(VLOOKUP(I736,'Mã NV'!$J:$K,2,0),"")</f>
        <v>7.1t</v>
      </c>
    </row>
    <row r="737" customHeight="1" spans="1:17">
      <c r="A737" s="63">
        <f t="shared" si="46"/>
        <v>734</v>
      </c>
      <c r="B737" s="64">
        <v>46157</v>
      </c>
      <c r="C737" s="87"/>
      <c r="D737" s="66" t="s">
        <v>26</v>
      </c>
      <c r="E737" s="66" t="s">
        <v>895</v>
      </c>
      <c r="F737" s="66" t="s">
        <v>744</v>
      </c>
      <c r="G737" s="66" t="s">
        <v>745</v>
      </c>
      <c r="H737" s="66" t="s">
        <v>767</v>
      </c>
      <c r="I737" s="66" t="s">
        <v>158</v>
      </c>
      <c r="J737" s="66" t="s">
        <v>156</v>
      </c>
      <c r="K737" s="66" t="s">
        <v>747</v>
      </c>
      <c r="L737" s="67">
        <v>2500000</v>
      </c>
      <c r="M737" s="67">
        <v>0</v>
      </c>
      <c r="N737" s="68">
        <f t="shared" si="47"/>
        <v>2500000</v>
      </c>
      <c r="O737" s="69">
        <f t="shared" si="45"/>
        <v>2500000</v>
      </c>
      <c r="P737" s="42" t="str">
        <f>IFERROR(VLOOKUP(J737,'Mã NV'!$B:$C,2,0),"")</f>
        <v>XE01316</v>
      </c>
      <c r="Q737" s="70" t="str">
        <f>IFERROR(VLOOKUP(I737,'Mã NV'!$J:$K,2,0),"")</f>
        <v>8T</v>
      </c>
    </row>
    <row r="738" customHeight="1" spans="1:17">
      <c r="A738" s="63">
        <f t="shared" si="46"/>
        <v>735</v>
      </c>
      <c r="B738" s="64">
        <v>46157</v>
      </c>
      <c r="C738" s="87"/>
      <c r="D738" s="66" t="s">
        <v>26</v>
      </c>
      <c r="E738" s="66" t="s">
        <v>895</v>
      </c>
      <c r="F738" s="66" t="s">
        <v>744</v>
      </c>
      <c r="G738" s="66" t="s">
        <v>745</v>
      </c>
      <c r="H738" s="66" t="s">
        <v>767</v>
      </c>
      <c r="I738" s="66" t="s">
        <v>158</v>
      </c>
      <c r="J738" s="66" t="s">
        <v>277</v>
      </c>
      <c r="K738" s="66" t="s">
        <v>747</v>
      </c>
      <c r="L738" s="67">
        <v>2500000</v>
      </c>
      <c r="M738" s="67">
        <v>0</v>
      </c>
      <c r="N738" s="68">
        <f t="shared" si="47"/>
        <v>2500000</v>
      </c>
      <c r="O738" s="69">
        <f t="shared" si="45"/>
        <v>2500000</v>
      </c>
      <c r="P738" s="42" t="str">
        <f>IFERROR(VLOOKUP(J738,'Mã NV'!$B:$C,2,0),"")</f>
        <v>XE01534</v>
      </c>
      <c r="Q738" s="70" t="str">
        <f>IFERROR(VLOOKUP(I738,'Mã NV'!$J:$K,2,0),"")</f>
        <v>8T</v>
      </c>
    </row>
    <row r="739" customHeight="1" spans="1:17">
      <c r="A739" s="63">
        <f t="shared" si="46"/>
        <v>736</v>
      </c>
      <c r="B739" s="64">
        <v>46157</v>
      </c>
      <c r="C739" s="87"/>
      <c r="D739" s="66" t="s">
        <v>26</v>
      </c>
      <c r="E739" s="66" t="s">
        <v>894</v>
      </c>
      <c r="F739" s="66" t="s">
        <v>744</v>
      </c>
      <c r="G739" s="66" t="s">
        <v>745</v>
      </c>
      <c r="H739" s="66" t="s">
        <v>911</v>
      </c>
      <c r="I739" s="66" t="s">
        <v>17</v>
      </c>
      <c r="J739" s="66" t="s">
        <v>15</v>
      </c>
      <c r="K739" s="66" t="s">
        <v>747</v>
      </c>
      <c r="L739" s="67">
        <v>14800000</v>
      </c>
      <c r="M739" s="67">
        <v>0</v>
      </c>
      <c r="N739" s="68">
        <f t="shared" si="47"/>
        <v>14800000</v>
      </c>
      <c r="O739" s="69">
        <f t="shared" si="45"/>
        <v>14800000</v>
      </c>
      <c r="P739" s="42" t="str">
        <f>IFERROR(VLOOKUP(J739,'Mã NV'!$B:$C,2,0),"")</f>
        <v>XE01331</v>
      </c>
      <c r="Q739" s="70" t="str">
        <f>IFERROR(VLOOKUP(I739,'Mã NV'!$J:$K,2,0),"")</f>
        <v>15T</v>
      </c>
    </row>
    <row r="740" customHeight="1" spans="1:17">
      <c r="A740" s="63">
        <f t="shared" si="46"/>
        <v>737</v>
      </c>
      <c r="B740" s="64">
        <v>46157</v>
      </c>
      <c r="C740" s="87"/>
      <c r="D740" s="66" t="s">
        <v>26</v>
      </c>
      <c r="E740" s="66" t="s">
        <v>894</v>
      </c>
      <c r="F740" s="66" t="s">
        <v>744</v>
      </c>
      <c r="G740" s="66" t="s">
        <v>745</v>
      </c>
      <c r="H740" s="66" t="s">
        <v>911</v>
      </c>
      <c r="I740" s="66" t="s">
        <v>17</v>
      </c>
      <c r="J740" s="66" t="s">
        <v>341</v>
      </c>
      <c r="K740" s="66" t="s">
        <v>747</v>
      </c>
      <c r="L740" s="67">
        <v>14800000</v>
      </c>
      <c r="M740" s="67">
        <v>0</v>
      </c>
      <c r="N740" s="68">
        <f t="shared" si="47"/>
        <v>14800000</v>
      </c>
      <c r="O740" s="69">
        <f t="shared" si="45"/>
        <v>14800000</v>
      </c>
      <c r="P740" s="42" t="str">
        <f>IFERROR(VLOOKUP(J740,'Mã NV'!$B:$C,2,0),"")</f>
        <v>XE01645</v>
      </c>
      <c r="Q740" s="70" t="str">
        <f>IFERROR(VLOOKUP(I740,'Mã NV'!$J:$K,2,0),"")</f>
        <v>15T</v>
      </c>
    </row>
    <row r="741" customHeight="1" spans="1:17">
      <c r="A741" s="63">
        <f t="shared" si="46"/>
        <v>738</v>
      </c>
      <c r="B741" s="64">
        <v>46158</v>
      </c>
      <c r="C741" s="87"/>
      <c r="D741" s="66" t="s">
        <v>26</v>
      </c>
      <c r="E741" s="66" t="s">
        <v>912</v>
      </c>
      <c r="F741" s="66" t="s">
        <v>744</v>
      </c>
      <c r="G741" s="66" t="s">
        <v>750</v>
      </c>
      <c r="H741" s="66" t="s">
        <v>745</v>
      </c>
      <c r="I741" s="66" t="s">
        <v>176</v>
      </c>
      <c r="J741" s="66" t="s">
        <v>192</v>
      </c>
      <c r="K741" s="66" t="s">
        <v>747</v>
      </c>
      <c r="L741" s="67">
        <v>10000000</v>
      </c>
      <c r="M741" s="67">
        <v>0</v>
      </c>
      <c r="N741" s="68">
        <f t="shared" si="47"/>
        <v>10000000</v>
      </c>
      <c r="O741" s="69">
        <f t="shared" si="45"/>
        <v>10000000</v>
      </c>
      <c r="P741" s="42" t="str">
        <f>IFERROR(VLOOKUP(J741,'Mã NV'!$B:$C,2,0),"")</f>
        <v>XE01335</v>
      </c>
      <c r="Q741" s="70" t="str">
        <f>IFERROR(VLOOKUP(I741,'Mã NV'!$J:$K,2,0),"")</f>
        <v>8T</v>
      </c>
    </row>
    <row r="742" customHeight="1" spans="1:17">
      <c r="A742" s="63">
        <f t="shared" si="46"/>
        <v>739</v>
      </c>
      <c r="B742" s="64">
        <v>46158</v>
      </c>
      <c r="C742" s="87"/>
      <c r="D742" s="66" t="s">
        <v>26</v>
      </c>
      <c r="E742" s="66" t="s">
        <v>912</v>
      </c>
      <c r="F742" s="66" t="s">
        <v>744</v>
      </c>
      <c r="G742" s="66" t="s">
        <v>750</v>
      </c>
      <c r="H742" s="66" t="s">
        <v>745</v>
      </c>
      <c r="I742" s="66" t="s">
        <v>176</v>
      </c>
      <c r="J742" s="66" t="s">
        <v>354</v>
      </c>
      <c r="K742" s="66" t="s">
        <v>747</v>
      </c>
      <c r="L742" s="67">
        <v>10000000</v>
      </c>
      <c r="M742" s="67">
        <v>0</v>
      </c>
      <c r="N742" s="68">
        <f t="shared" si="47"/>
        <v>10000000</v>
      </c>
      <c r="O742" s="69">
        <f t="shared" si="45"/>
        <v>10000000</v>
      </c>
      <c r="P742" s="42" t="str">
        <f>IFERROR(VLOOKUP(J742,'Mã NV'!$B:$C,2,0),"")</f>
        <v>XE01644</v>
      </c>
      <c r="Q742" s="70" t="str">
        <f>IFERROR(VLOOKUP(I742,'Mã NV'!$J:$K,2,0),"")</f>
        <v>8T</v>
      </c>
    </row>
    <row r="743" customHeight="1" spans="1:17">
      <c r="A743" s="63">
        <f t="shared" si="46"/>
        <v>740</v>
      </c>
      <c r="B743" s="64">
        <v>46161</v>
      </c>
      <c r="C743" s="87"/>
      <c r="D743" s="66" t="s">
        <v>26</v>
      </c>
      <c r="E743" s="66" t="s">
        <v>895</v>
      </c>
      <c r="F743" s="66" t="s">
        <v>744</v>
      </c>
      <c r="G743" s="66" t="s">
        <v>913</v>
      </c>
      <c r="H743" s="66" t="s">
        <v>771</v>
      </c>
      <c r="I743" s="66" t="s">
        <v>91</v>
      </c>
      <c r="J743" s="66" t="s">
        <v>89</v>
      </c>
      <c r="K743" s="66" t="s">
        <v>747</v>
      </c>
      <c r="L743" s="67">
        <v>3375000</v>
      </c>
      <c r="M743" s="67">
        <v>0</v>
      </c>
      <c r="N743" s="68">
        <f t="shared" si="47"/>
        <v>3375000</v>
      </c>
      <c r="O743" s="69">
        <f t="shared" si="45"/>
        <v>3375000</v>
      </c>
      <c r="P743" s="42" t="str">
        <f>IFERROR(VLOOKUP(J743,'Mã NV'!$B:$C,2,0),"")</f>
        <v>XE00873</v>
      </c>
      <c r="Q743" s="70" t="str">
        <f>IFERROR(VLOOKUP(I743,'Mã NV'!$J:$K,2,0),"")</f>
        <v>15T</v>
      </c>
    </row>
    <row r="744" customHeight="1" spans="1:17">
      <c r="A744" s="63">
        <f t="shared" si="46"/>
        <v>741</v>
      </c>
      <c r="B744" s="64">
        <v>46161</v>
      </c>
      <c r="C744" s="87"/>
      <c r="D744" s="66" t="s">
        <v>26</v>
      </c>
      <c r="E744" s="66" t="s">
        <v>895</v>
      </c>
      <c r="F744" s="66" t="s">
        <v>744</v>
      </c>
      <c r="G744" s="66" t="s">
        <v>913</v>
      </c>
      <c r="H744" s="66" t="s">
        <v>771</v>
      </c>
      <c r="I744" s="66" t="s">
        <v>91</v>
      </c>
      <c r="J744" s="66" t="s">
        <v>349</v>
      </c>
      <c r="K744" s="66" t="s">
        <v>747</v>
      </c>
      <c r="L744" s="67">
        <v>3375000</v>
      </c>
      <c r="M744" s="67">
        <v>0</v>
      </c>
      <c r="N744" s="68">
        <f t="shared" si="47"/>
        <v>3375000</v>
      </c>
      <c r="O744" s="69">
        <f t="shared" si="45"/>
        <v>3375000</v>
      </c>
      <c r="P744" s="42" t="str">
        <f>IFERROR(VLOOKUP(J744,'Mã NV'!$B:$C,2,0),"")</f>
        <v>XE01672</v>
      </c>
      <c r="Q744" s="70" t="str">
        <f>IFERROR(VLOOKUP(I744,'Mã NV'!$J:$K,2,0),"")</f>
        <v>15T</v>
      </c>
    </row>
    <row r="745" customHeight="1" spans="1:17">
      <c r="A745" s="63">
        <f t="shared" si="46"/>
        <v>742</v>
      </c>
      <c r="B745" s="64">
        <v>46161</v>
      </c>
      <c r="C745" s="87"/>
      <c r="D745" s="66" t="s">
        <v>26</v>
      </c>
      <c r="E745" s="66" t="s">
        <v>894</v>
      </c>
      <c r="F745" s="66" t="s">
        <v>744</v>
      </c>
      <c r="G745" s="66" t="s">
        <v>745</v>
      </c>
      <c r="H745" s="66" t="s">
        <v>746</v>
      </c>
      <c r="I745" s="66" t="s">
        <v>91</v>
      </c>
      <c r="J745" s="66" t="s">
        <v>89</v>
      </c>
      <c r="K745" s="66" t="s">
        <v>747</v>
      </c>
      <c r="L745" s="67">
        <v>3300000</v>
      </c>
      <c r="M745" s="67">
        <v>0</v>
      </c>
      <c r="N745" s="68">
        <f t="shared" si="47"/>
        <v>3300000</v>
      </c>
      <c r="O745" s="69">
        <f t="shared" si="45"/>
        <v>3300000</v>
      </c>
      <c r="P745" s="42" t="str">
        <f>IFERROR(VLOOKUP(J745,'Mã NV'!$B:$C,2,0),"")</f>
        <v>XE00873</v>
      </c>
      <c r="Q745" s="70" t="str">
        <f>IFERROR(VLOOKUP(I745,'Mã NV'!$J:$K,2,0),"")</f>
        <v>15T</v>
      </c>
    </row>
    <row r="746" customHeight="1" spans="1:17">
      <c r="A746" s="63">
        <f t="shared" si="46"/>
        <v>743</v>
      </c>
      <c r="B746" s="64">
        <v>46161</v>
      </c>
      <c r="C746" s="87"/>
      <c r="D746" s="66" t="s">
        <v>26</v>
      </c>
      <c r="E746" s="66" t="s">
        <v>894</v>
      </c>
      <c r="F746" s="66" t="s">
        <v>744</v>
      </c>
      <c r="G746" s="66" t="s">
        <v>745</v>
      </c>
      <c r="H746" s="66" t="s">
        <v>746</v>
      </c>
      <c r="I746" s="66" t="s">
        <v>91</v>
      </c>
      <c r="J746" s="66" t="s">
        <v>349</v>
      </c>
      <c r="K746" s="66" t="s">
        <v>747</v>
      </c>
      <c r="L746" s="67">
        <v>3300000</v>
      </c>
      <c r="M746" s="67">
        <v>0</v>
      </c>
      <c r="N746" s="68">
        <f t="shared" si="47"/>
        <v>3300000</v>
      </c>
      <c r="O746" s="69">
        <f t="shared" si="45"/>
        <v>3300000</v>
      </c>
      <c r="P746" s="42" t="str">
        <f>IFERROR(VLOOKUP(J746,'Mã NV'!$B:$C,2,0),"")</f>
        <v>XE01672</v>
      </c>
      <c r="Q746" s="70" t="str">
        <f>IFERROR(VLOOKUP(I746,'Mã NV'!$J:$K,2,0),"")</f>
        <v>15T</v>
      </c>
    </row>
    <row r="747" customHeight="1" spans="1:17">
      <c r="A747" s="63">
        <f t="shared" si="46"/>
        <v>744</v>
      </c>
      <c r="B747" s="64">
        <v>46161</v>
      </c>
      <c r="C747" s="87"/>
      <c r="D747" s="66" t="s">
        <v>26</v>
      </c>
      <c r="E747" s="66" t="s">
        <v>893</v>
      </c>
      <c r="F747" s="66" t="s">
        <v>744</v>
      </c>
      <c r="G747" s="66" t="s">
        <v>745</v>
      </c>
      <c r="H747" s="66" t="s">
        <v>746</v>
      </c>
      <c r="I747" s="66" t="s">
        <v>379</v>
      </c>
      <c r="J747" s="66" t="s">
        <v>377</v>
      </c>
      <c r="K747" s="66" t="s">
        <v>747</v>
      </c>
      <c r="L747" s="67">
        <v>3150000</v>
      </c>
      <c r="M747" s="67">
        <v>0</v>
      </c>
      <c r="N747" s="68">
        <f t="shared" si="47"/>
        <v>3150000</v>
      </c>
      <c r="O747" s="69">
        <f t="shared" si="45"/>
        <v>3150000</v>
      </c>
      <c r="P747" s="42" t="str">
        <f>IFERROR(VLOOKUP(J747,'Mã NV'!$B:$C,2,0),"")</f>
        <v>XE01666</v>
      </c>
      <c r="Q747" s="70" t="str">
        <f>IFERROR(VLOOKUP(I747,'Mã NV'!$J:$K,2,0),"")</f>
        <v>2T5</v>
      </c>
    </row>
    <row r="748" customHeight="1" spans="1:17">
      <c r="A748" s="63">
        <f t="shared" si="46"/>
        <v>745</v>
      </c>
      <c r="B748" s="64">
        <v>46162</v>
      </c>
      <c r="C748" s="87"/>
      <c r="D748" s="66" t="s">
        <v>26</v>
      </c>
      <c r="E748" s="66" t="s">
        <v>893</v>
      </c>
      <c r="F748" s="66" t="s">
        <v>744</v>
      </c>
      <c r="G748" s="66" t="s">
        <v>814</v>
      </c>
      <c r="H748" s="66" t="s">
        <v>746</v>
      </c>
      <c r="I748" s="66" t="s">
        <v>270</v>
      </c>
      <c r="J748" s="66" t="s">
        <v>268</v>
      </c>
      <c r="K748" s="66" t="s">
        <v>747</v>
      </c>
      <c r="L748" s="67">
        <v>7500000</v>
      </c>
      <c r="M748" s="67">
        <v>0</v>
      </c>
      <c r="N748" s="68">
        <f t="shared" si="47"/>
        <v>7500000</v>
      </c>
      <c r="O748" s="69">
        <f t="shared" si="45"/>
        <v>7500000</v>
      </c>
      <c r="P748" s="42" t="str">
        <f>IFERROR(VLOOKUP(J748,'Mã NV'!$B:$C,2,0),"")</f>
        <v>XE01506</v>
      </c>
      <c r="Q748" s="70" t="str">
        <f>IFERROR(VLOOKUP(I748,'Mã NV'!$J:$K,2,0),"")</f>
        <v>15T</v>
      </c>
    </row>
    <row r="749" customHeight="1" spans="1:17">
      <c r="A749" s="63">
        <f t="shared" si="46"/>
        <v>746</v>
      </c>
      <c r="B749" s="64">
        <v>46162</v>
      </c>
      <c r="C749" s="87"/>
      <c r="D749" s="66" t="s">
        <v>26</v>
      </c>
      <c r="E749" s="66" t="s">
        <v>893</v>
      </c>
      <c r="F749" s="66" t="s">
        <v>744</v>
      </c>
      <c r="G749" s="66" t="s">
        <v>814</v>
      </c>
      <c r="H749" s="66" t="s">
        <v>746</v>
      </c>
      <c r="I749" s="66" t="s">
        <v>270</v>
      </c>
      <c r="J749" s="66" t="s">
        <v>271</v>
      </c>
      <c r="K749" s="66" t="s">
        <v>747</v>
      </c>
      <c r="L749" s="67">
        <v>7500000</v>
      </c>
      <c r="M749" s="67">
        <v>0</v>
      </c>
      <c r="N749" s="68">
        <f t="shared" si="47"/>
        <v>7500000</v>
      </c>
      <c r="O749" s="69">
        <f t="shared" si="45"/>
        <v>7500000</v>
      </c>
      <c r="P749" s="42" t="str">
        <f>IFERROR(VLOOKUP(J749,'Mã NV'!$B:$C,2,0),"")</f>
        <v>XE01507</v>
      </c>
      <c r="Q749" s="70" t="str">
        <f>IFERROR(VLOOKUP(I749,'Mã NV'!$J:$K,2,0),"")</f>
        <v>15T</v>
      </c>
    </row>
    <row r="750" customHeight="1" spans="1:17">
      <c r="A750" s="63">
        <f t="shared" si="46"/>
        <v>747</v>
      </c>
      <c r="B750" s="64">
        <v>46162</v>
      </c>
      <c r="C750" s="87"/>
      <c r="D750" s="66" t="s">
        <v>26</v>
      </c>
      <c r="E750" s="66" t="s">
        <v>894</v>
      </c>
      <c r="F750" s="66" t="s">
        <v>744</v>
      </c>
      <c r="G750" s="66" t="s">
        <v>914</v>
      </c>
      <c r="H750" s="66" t="s">
        <v>915</v>
      </c>
      <c r="I750" s="66" t="s">
        <v>17</v>
      </c>
      <c r="J750" s="66" t="s">
        <v>15</v>
      </c>
      <c r="K750" s="66" t="s">
        <v>747</v>
      </c>
      <c r="L750" s="67">
        <v>9420000</v>
      </c>
      <c r="M750" s="67">
        <v>0</v>
      </c>
      <c r="N750" s="68">
        <f t="shared" si="47"/>
        <v>9420000</v>
      </c>
      <c r="O750" s="69">
        <f t="shared" si="45"/>
        <v>9420000</v>
      </c>
      <c r="P750" s="42" t="str">
        <f>IFERROR(VLOOKUP(J750,'Mã NV'!$B:$C,2,0),"")</f>
        <v>XE01331</v>
      </c>
      <c r="Q750" s="70" t="str">
        <f>IFERROR(VLOOKUP(I750,'Mã NV'!$J:$K,2,0),"")</f>
        <v>15T</v>
      </c>
    </row>
    <row r="751" customHeight="1" spans="1:17">
      <c r="A751" s="63">
        <f t="shared" si="46"/>
        <v>748</v>
      </c>
      <c r="B751" s="64">
        <v>46162</v>
      </c>
      <c r="C751" s="87"/>
      <c r="D751" s="66" t="s">
        <v>26</v>
      </c>
      <c r="E751" s="66" t="s">
        <v>894</v>
      </c>
      <c r="F751" s="66" t="s">
        <v>744</v>
      </c>
      <c r="G751" s="66" t="s">
        <v>914</v>
      </c>
      <c r="H751" s="66" t="s">
        <v>915</v>
      </c>
      <c r="I751" s="66" t="s">
        <v>17</v>
      </c>
      <c r="J751" s="66" t="s">
        <v>341</v>
      </c>
      <c r="K751" s="66" t="s">
        <v>747</v>
      </c>
      <c r="L751" s="67">
        <v>9420000</v>
      </c>
      <c r="M751" s="67">
        <v>0</v>
      </c>
      <c r="N751" s="68">
        <f t="shared" si="47"/>
        <v>9420000</v>
      </c>
      <c r="O751" s="69">
        <f t="shared" si="45"/>
        <v>9420000</v>
      </c>
      <c r="P751" s="42" t="str">
        <f>IFERROR(VLOOKUP(J751,'Mã NV'!$B:$C,2,0),"")</f>
        <v>XE01645</v>
      </c>
      <c r="Q751" s="70" t="str">
        <f>IFERROR(VLOOKUP(I751,'Mã NV'!$J:$K,2,0),"")</f>
        <v>15T</v>
      </c>
    </row>
    <row r="752" customHeight="1" spans="1:17">
      <c r="A752" s="63">
        <f t="shared" si="46"/>
        <v>749</v>
      </c>
      <c r="B752" s="64">
        <v>46164</v>
      </c>
      <c r="C752" s="87"/>
      <c r="D752" s="66" t="s">
        <v>26</v>
      </c>
      <c r="E752" s="66" t="s">
        <v>895</v>
      </c>
      <c r="F752" s="66" t="s">
        <v>744</v>
      </c>
      <c r="G752" s="66" t="s">
        <v>916</v>
      </c>
      <c r="H752" s="66" t="s">
        <v>758</v>
      </c>
      <c r="I752" s="66" t="s">
        <v>223</v>
      </c>
      <c r="J752" s="66" t="s">
        <v>221</v>
      </c>
      <c r="K752" s="66" t="s">
        <v>747</v>
      </c>
      <c r="L752" s="67">
        <v>3500000</v>
      </c>
      <c r="M752" s="67">
        <v>0</v>
      </c>
      <c r="N752" s="68">
        <f t="shared" ref="N752:N771" si="48">L752-M752</f>
        <v>3500000</v>
      </c>
      <c r="O752" s="69">
        <f t="shared" ref="O752:O771" si="49">N752/$P$1</f>
        <v>3500000</v>
      </c>
      <c r="P752" s="42" t="str">
        <f>IFERROR(VLOOKUP(J752,'Mã NV'!$B:$C,2,0),"")</f>
        <v>XE01283</v>
      </c>
      <c r="Q752" s="70" t="str">
        <f>IFERROR(VLOOKUP(I752,'Mã NV'!$J:$K,2,0),"")</f>
        <v>7.1t</v>
      </c>
    </row>
    <row r="753" customHeight="1" spans="1:17">
      <c r="A753" s="63">
        <f t="shared" si="46"/>
        <v>750</v>
      </c>
      <c r="B753" s="64">
        <v>46164</v>
      </c>
      <c r="C753" s="87"/>
      <c r="D753" s="66" t="s">
        <v>26</v>
      </c>
      <c r="E753" s="66" t="s">
        <v>895</v>
      </c>
      <c r="F753" s="66" t="s">
        <v>744</v>
      </c>
      <c r="G753" s="66" t="s">
        <v>916</v>
      </c>
      <c r="H753" s="66" t="s">
        <v>758</v>
      </c>
      <c r="I753" s="66" t="s">
        <v>223</v>
      </c>
      <c r="J753" s="66" t="s">
        <v>296</v>
      </c>
      <c r="K753" s="66" t="s">
        <v>747</v>
      </c>
      <c r="L753" s="67">
        <v>3500000</v>
      </c>
      <c r="M753" s="67">
        <v>0</v>
      </c>
      <c r="N753" s="68">
        <f t="shared" si="48"/>
        <v>3500000</v>
      </c>
      <c r="O753" s="69">
        <f t="shared" si="49"/>
        <v>3500000</v>
      </c>
      <c r="P753" s="42" t="str">
        <f>IFERROR(VLOOKUP(J753,'Mã NV'!$B:$C,2,0),"")</f>
        <v>XE01541</v>
      </c>
      <c r="Q753" s="70" t="str">
        <f>IFERROR(VLOOKUP(I753,'Mã NV'!$J:$K,2,0),"")</f>
        <v>7.1t</v>
      </c>
    </row>
    <row r="754" customHeight="1" spans="1:17">
      <c r="A754" s="63">
        <f t="shared" si="46"/>
        <v>751</v>
      </c>
      <c r="B754" s="64">
        <v>46164</v>
      </c>
      <c r="C754" s="87"/>
      <c r="D754" s="66" t="s">
        <v>26</v>
      </c>
      <c r="E754" s="66" t="s">
        <v>894</v>
      </c>
      <c r="F754" s="66" t="s">
        <v>744</v>
      </c>
      <c r="G754" s="66" t="s">
        <v>745</v>
      </c>
      <c r="H754" s="66" t="s">
        <v>769</v>
      </c>
      <c r="I754" s="66" t="s">
        <v>109</v>
      </c>
      <c r="J754" s="66" t="s">
        <v>107</v>
      </c>
      <c r="K754" s="66" t="s">
        <v>747</v>
      </c>
      <c r="L754" s="67">
        <v>775000</v>
      </c>
      <c r="M754" s="67">
        <v>0</v>
      </c>
      <c r="N754" s="68">
        <f t="shared" si="48"/>
        <v>775000</v>
      </c>
      <c r="O754" s="69">
        <f t="shared" si="49"/>
        <v>775000</v>
      </c>
      <c r="P754" s="42" t="str">
        <f>IFERROR(VLOOKUP(J754,'Mã NV'!$B:$C,2,0),"")</f>
        <v>XE01102</v>
      </c>
      <c r="Q754" s="70" t="str">
        <f>IFERROR(VLOOKUP(I754,'Mã NV'!$J:$K,2,0),"")</f>
        <v>15T</v>
      </c>
    </row>
    <row r="755" customHeight="1" spans="1:17">
      <c r="A755" s="63">
        <f t="shared" si="46"/>
        <v>752</v>
      </c>
      <c r="B755" s="64">
        <v>46164</v>
      </c>
      <c r="C755" s="87"/>
      <c r="D755" s="66" t="s">
        <v>26</v>
      </c>
      <c r="E755" s="66" t="s">
        <v>894</v>
      </c>
      <c r="F755" s="66" t="s">
        <v>744</v>
      </c>
      <c r="G755" s="66" t="s">
        <v>745</v>
      </c>
      <c r="H755" s="66" t="s">
        <v>769</v>
      </c>
      <c r="I755" s="66" t="s">
        <v>109</v>
      </c>
      <c r="J755" s="66" t="s">
        <v>120</v>
      </c>
      <c r="K755" s="66" t="s">
        <v>747</v>
      </c>
      <c r="L755" s="67">
        <v>775000</v>
      </c>
      <c r="M755" s="67">
        <v>0</v>
      </c>
      <c r="N755" s="68">
        <f t="shared" si="48"/>
        <v>775000</v>
      </c>
      <c r="O755" s="69">
        <f t="shared" si="49"/>
        <v>775000</v>
      </c>
      <c r="P755" s="42" t="str">
        <f>IFERROR(VLOOKUP(J755,'Mã NV'!$B:$C,2,0),"")</f>
        <v>XE01315</v>
      </c>
      <c r="Q755" s="70" t="str">
        <f>IFERROR(VLOOKUP(I755,'Mã NV'!$J:$K,2,0),"")</f>
        <v>15T</v>
      </c>
    </row>
    <row r="756" customHeight="1" spans="1:17">
      <c r="A756" s="63">
        <f t="shared" si="46"/>
        <v>753</v>
      </c>
      <c r="B756" s="64">
        <v>46164</v>
      </c>
      <c r="C756" s="87"/>
      <c r="D756" s="66" t="s">
        <v>26</v>
      </c>
      <c r="E756" s="66" t="s">
        <v>912</v>
      </c>
      <c r="F756" s="66" t="s">
        <v>744</v>
      </c>
      <c r="G756" s="66" t="s">
        <v>745</v>
      </c>
      <c r="H756" s="66" t="s">
        <v>767</v>
      </c>
      <c r="I756" s="66" t="s">
        <v>286</v>
      </c>
      <c r="J756" s="66" t="s">
        <v>284</v>
      </c>
      <c r="K756" s="66" t="s">
        <v>747</v>
      </c>
      <c r="L756" s="67">
        <v>3750000</v>
      </c>
      <c r="M756" s="67">
        <v>0</v>
      </c>
      <c r="N756" s="68">
        <f t="shared" si="48"/>
        <v>3750000</v>
      </c>
      <c r="O756" s="69">
        <f t="shared" si="49"/>
        <v>3750000</v>
      </c>
      <c r="P756" s="42" t="str">
        <f>IFERROR(VLOOKUP(J756,'Mã NV'!$B:$C,2,0),"")</f>
        <v>XE01543</v>
      </c>
      <c r="Q756" s="70" t="str">
        <f>IFERROR(VLOOKUP(I756,'Mã NV'!$J:$K,2,0),"")</f>
        <v>8T</v>
      </c>
    </row>
    <row r="757" customHeight="1" spans="1:17">
      <c r="A757" s="63">
        <f t="shared" si="46"/>
        <v>754</v>
      </c>
      <c r="B757" s="64">
        <v>46164</v>
      </c>
      <c r="C757" s="87"/>
      <c r="D757" s="66" t="s">
        <v>26</v>
      </c>
      <c r="E757" s="66" t="s">
        <v>912</v>
      </c>
      <c r="F757" s="66" t="s">
        <v>744</v>
      </c>
      <c r="G757" s="66" t="s">
        <v>745</v>
      </c>
      <c r="H757" s="66" t="s">
        <v>767</v>
      </c>
      <c r="I757" s="66" t="s">
        <v>286</v>
      </c>
      <c r="J757" s="66" t="s">
        <v>335</v>
      </c>
      <c r="K757" s="66" t="s">
        <v>747</v>
      </c>
      <c r="L757" s="67">
        <v>3750000</v>
      </c>
      <c r="M757" s="67">
        <v>0</v>
      </c>
      <c r="N757" s="68">
        <f t="shared" si="48"/>
        <v>3750000</v>
      </c>
      <c r="O757" s="69">
        <f t="shared" si="49"/>
        <v>3750000</v>
      </c>
      <c r="P757" s="42" t="str">
        <f>IFERROR(VLOOKUP(J757,'Mã NV'!$B:$C,2,0),"")</f>
        <v>XE01622</v>
      </c>
      <c r="Q757" s="70" t="str">
        <f>IFERROR(VLOOKUP(I757,'Mã NV'!$J:$K,2,0),"")</f>
        <v>8T</v>
      </c>
    </row>
    <row r="758" customHeight="1" spans="1:17">
      <c r="A758" s="63">
        <f t="shared" si="46"/>
        <v>755</v>
      </c>
      <c r="B758" s="64">
        <v>46164</v>
      </c>
      <c r="C758" s="87"/>
      <c r="D758" s="66" t="s">
        <v>26</v>
      </c>
      <c r="E758" s="66" t="s">
        <v>894</v>
      </c>
      <c r="F758" s="66" t="s">
        <v>744</v>
      </c>
      <c r="G758" s="66" t="s">
        <v>745</v>
      </c>
      <c r="H758" s="66" t="s">
        <v>746</v>
      </c>
      <c r="I758" s="66" t="s">
        <v>286</v>
      </c>
      <c r="J758" s="66" t="s">
        <v>284</v>
      </c>
      <c r="K758" s="66" t="s">
        <v>747</v>
      </c>
      <c r="L758" s="67">
        <v>1800000</v>
      </c>
      <c r="M758" s="67">
        <v>0</v>
      </c>
      <c r="N758" s="68">
        <f t="shared" si="48"/>
        <v>1800000</v>
      </c>
      <c r="O758" s="69">
        <f t="shared" si="49"/>
        <v>1800000</v>
      </c>
      <c r="P758" s="42" t="str">
        <f>IFERROR(VLOOKUP(J758,'Mã NV'!$B:$C,2,0),"")</f>
        <v>XE01543</v>
      </c>
      <c r="Q758" s="70" t="str">
        <f>IFERROR(VLOOKUP(I758,'Mã NV'!$J:$K,2,0),"")</f>
        <v>8T</v>
      </c>
    </row>
    <row r="759" customHeight="1" spans="1:17">
      <c r="A759" s="63">
        <f t="shared" si="46"/>
        <v>756</v>
      </c>
      <c r="B759" s="64">
        <v>46164</v>
      </c>
      <c r="C759" s="87"/>
      <c r="D759" s="66" t="s">
        <v>26</v>
      </c>
      <c r="E759" s="66" t="s">
        <v>894</v>
      </c>
      <c r="F759" s="66" t="s">
        <v>744</v>
      </c>
      <c r="G759" s="66" t="s">
        <v>745</v>
      </c>
      <c r="H759" s="66" t="s">
        <v>746</v>
      </c>
      <c r="I759" s="66" t="s">
        <v>286</v>
      </c>
      <c r="J759" s="66" t="s">
        <v>335</v>
      </c>
      <c r="K759" s="66" t="s">
        <v>747</v>
      </c>
      <c r="L759" s="67">
        <v>1800000</v>
      </c>
      <c r="M759" s="67">
        <v>0</v>
      </c>
      <c r="N759" s="68">
        <f t="shared" si="48"/>
        <v>1800000</v>
      </c>
      <c r="O759" s="69">
        <f t="shared" si="49"/>
        <v>1800000</v>
      </c>
      <c r="P759" s="42" t="str">
        <f>IFERROR(VLOOKUP(J759,'Mã NV'!$B:$C,2,0),"")</f>
        <v>XE01622</v>
      </c>
      <c r="Q759" s="70" t="str">
        <f>IFERROR(VLOOKUP(I759,'Mã NV'!$J:$K,2,0),"")</f>
        <v>8T</v>
      </c>
    </row>
    <row r="760" customHeight="1" spans="1:17">
      <c r="A760" s="63">
        <f t="shared" si="46"/>
        <v>757</v>
      </c>
      <c r="B760" s="64">
        <v>46165</v>
      </c>
      <c r="C760" s="87"/>
      <c r="D760" s="66" t="s">
        <v>26</v>
      </c>
      <c r="E760" s="66" t="s">
        <v>894</v>
      </c>
      <c r="F760" s="66" t="s">
        <v>744</v>
      </c>
      <c r="G760" s="66" t="s">
        <v>917</v>
      </c>
      <c r="H760" s="66" t="s">
        <v>793</v>
      </c>
      <c r="I760" s="66" t="s">
        <v>8</v>
      </c>
      <c r="J760" s="66" t="s">
        <v>382</v>
      </c>
      <c r="K760" s="66" t="s">
        <v>747</v>
      </c>
      <c r="L760" s="67">
        <v>4500000</v>
      </c>
      <c r="M760" s="67">
        <v>0</v>
      </c>
      <c r="N760" s="68">
        <f t="shared" si="48"/>
        <v>4500000</v>
      </c>
      <c r="O760" s="69">
        <f t="shared" si="49"/>
        <v>4500000</v>
      </c>
      <c r="P760" s="42" t="str">
        <f>IFERROR(VLOOKUP(J760,'Mã NV'!$B:$C,2,0),"")</f>
        <v>XE01685</v>
      </c>
      <c r="Q760" s="70" t="str">
        <f>IFERROR(VLOOKUP(I760,'Mã NV'!$J:$K,2,0),"")</f>
        <v>5.5T</v>
      </c>
    </row>
    <row r="761" customHeight="1" spans="1:17">
      <c r="A761" s="63">
        <f t="shared" si="46"/>
        <v>758</v>
      </c>
      <c r="B761" s="64">
        <v>46165</v>
      </c>
      <c r="C761" s="87"/>
      <c r="D761" s="66" t="s">
        <v>26</v>
      </c>
      <c r="E761" s="66" t="s">
        <v>912</v>
      </c>
      <c r="F761" s="66" t="s">
        <v>744</v>
      </c>
      <c r="G761" s="66" t="s">
        <v>768</v>
      </c>
      <c r="H761" s="66" t="s">
        <v>746</v>
      </c>
      <c r="I761" s="66" t="s">
        <v>141</v>
      </c>
      <c r="J761" s="66" t="s">
        <v>145</v>
      </c>
      <c r="K761" s="66" t="s">
        <v>747</v>
      </c>
      <c r="L761" s="67">
        <v>3000000</v>
      </c>
      <c r="M761" s="67">
        <v>0</v>
      </c>
      <c r="N761" s="68">
        <f t="shared" si="48"/>
        <v>3000000</v>
      </c>
      <c r="O761" s="69">
        <f t="shared" si="49"/>
        <v>3000000</v>
      </c>
      <c r="P761" s="42" t="str">
        <f>IFERROR(VLOOKUP(J761,'Mã NV'!$B:$C,2,0),"")</f>
        <v>XE01326</v>
      </c>
      <c r="Q761" s="70" t="str">
        <f>IFERROR(VLOOKUP(I761,'Mã NV'!$J:$K,2,0),"")</f>
        <v>7.1t</v>
      </c>
    </row>
    <row r="762" customHeight="1" spans="1:17">
      <c r="A762" s="63">
        <f t="shared" si="46"/>
        <v>759</v>
      </c>
      <c r="B762" s="64">
        <v>46165</v>
      </c>
      <c r="C762" s="87"/>
      <c r="D762" s="66" t="s">
        <v>26</v>
      </c>
      <c r="E762" s="66" t="s">
        <v>912</v>
      </c>
      <c r="F762" s="66" t="s">
        <v>744</v>
      </c>
      <c r="G762" s="66" t="s">
        <v>768</v>
      </c>
      <c r="H762" s="66" t="s">
        <v>746</v>
      </c>
      <c r="I762" s="66" t="s">
        <v>141</v>
      </c>
      <c r="J762" s="66" t="s">
        <v>139</v>
      </c>
      <c r="K762" s="66" t="s">
        <v>747</v>
      </c>
      <c r="L762" s="67">
        <v>3000000</v>
      </c>
      <c r="M762" s="67">
        <v>0</v>
      </c>
      <c r="N762" s="68">
        <f t="shared" si="48"/>
        <v>3000000</v>
      </c>
      <c r="O762" s="69">
        <f t="shared" si="49"/>
        <v>3000000</v>
      </c>
      <c r="P762" s="42" t="str">
        <f>IFERROR(VLOOKUP(J762,'Mã NV'!$B:$C,2,0),"")</f>
        <v>XE01325</v>
      </c>
      <c r="Q762" s="70" t="str">
        <f>IFERROR(VLOOKUP(I762,'Mã NV'!$J:$K,2,0),"")</f>
        <v>7.1t</v>
      </c>
    </row>
    <row r="763" customHeight="1" spans="1:17">
      <c r="A763" s="63">
        <f t="shared" si="46"/>
        <v>760</v>
      </c>
      <c r="B763" s="64">
        <v>46169</v>
      </c>
      <c r="C763" s="87"/>
      <c r="D763" s="66" t="s">
        <v>26</v>
      </c>
      <c r="E763" s="66" t="s">
        <v>894</v>
      </c>
      <c r="F763" s="66" t="s">
        <v>744</v>
      </c>
      <c r="G763" s="66" t="s">
        <v>918</v>
      </c>
      <c r="H763" s="66" t="s">
        <v>746</v>
      </c>
      <c r="I763" s="66" t="s">
        <v>270</v>
      </c>
      <c r="J763" s="66" t="s">
        <v>268</v>
      </c>
      <c r="K763" s="66" t="s">
        <v>747</v>
      </c>
      <c r="L763" s="67">
        <v>5510700</v>
      </c>
      <c r="M763" s="67">
        <v>0</v>
      </c>
      <c r="N763" s="68">
        <f t="shared" si="48"/>
        <v>5510700</v>
      </c>
      <c r="O763" s="69">
        <f t="shared" si="49"/>
        <v>5510700</v>
      </c>
      <c r="P763" s="42" t="str">
        <f>IFERROR(VLOOKUP(J763,'Mã NV'!$B:$C,2,0),"")</f>
        <v>XE01506</v>
      </c>
      <c r="Q763" s="70" t="str">
        <f>IFERROR(VLOOKUP(I763,'Mã NV'!$J:$K,2,0),"")</f>
        <v>15T</v>
      </c>
    </row>
    <row r="764" customHeight="1" spans="1:17">
      <c r="A764" s="63">
        <f t="shared" si="46"/>
        <v>761</v>
      </c>
      <c r="B764" s="64">
        <v>46169</v>
      </c>
      <c r="C764" s="87"/>
      <c r="D764" s="66" t="s">
        <v>26</v>
      </c>
      <c r="E764" s="66" t="s">
        <v>894</v>
      </c>
      <c r="F764" s="66" t="s">
        <v>744</v>
      </c>
      <c r="G764" s="66" t="s">
        <v>918</v>
      </c>
      <c r="H764" s="66" t="s">
        <v>746</v>
      </c>
      <c r="I764" s="66" t="s">
        <v>270</v>
      </c>
      <c r="J764" s="66" t="s">
        <v>271</v>
      </c>
      <c r="K764" s="66" t="s">
        <v>747</v>
      </c>
      <c r="L764" s="67">
        <v>5510700</v>
      </c>
      <c r="M764" s="67">
        <v>0</v>
      </c>
      <c r="N764" s="68">
        <f t="shared" si="48"/>
        <v>5510700</v>
      </c>
      <c r="O764" s="69">
        <f t="shared" si="49"/>
        <v>5510700</v>
      </c>
      <c r="P764" s="42" t="str">
        <f>IFERROR(VLOOKUP(J764,'Mã NV'!$B:$C,2,0),"")</f>
        <v>XE01507</v>
      </c>
      <c r="Q764" s="70" t="str">
        <f>IFERROR(VLOOKUP(I764,'Mã NV'!$J:$K,2,0),"")</f>
        <v>15T</v>
      </c>
    </row>
    <row r="765" customHeight="1" spans="1:17">
      <c r="A765" s="63">
        <f t="shared" si="46"/>
        <v>762</v>
      </c>
      <c r="B765" s="64">
        <v>46169</v>
      </c>
      <c r="C765" s="87"/>
      <c r="D765" s="66" t="s">
        <v>26</v>
      </c>
      <c r="E765" s="66" t="s">
        <v>894</v>
      </c>
      <c r="F765" s="66" t="s">
        <v>744</v>
      </c>
      <c r="G765" s="66" t="s">
        <v>918</v>
      </c>
      <c r="H765" s="66" t="s">
        <v>746</v>
      </c>
      <c r="I765" s="66" t="s">
        <v>270</v>
      </c>
      <c r="J765" s="66" t="s">
        <v>268</v>
      </c>
      <c r="K765" s="66" t="s">
        <v>747</v>
      </c>
      <c r="L765" s="67">
        <v>900000</v>
      </c>
      <c r="M765" s="67">
        <v>0</v>
      </c>
      <c r="N765" s="68">
        <f t="shared" si="48"/>
        <v>900000</v>
      </c>
      <c r="O765" s="69">
        <f t="shared" si="49"/>
        <v>900000</v>
      </c>
      <c r="P765" s="42" t="str">
        <f>IFERROR(VLOOKUP(J765,'Mã NV'!$B:$C,2,0),"")</f>
        <v>XE01506</v>
      </c>
      <c r="Q765" s="70" t="str">
        <f>IFERROR(VLOOKUP(I765,'Mã NV'!$J:$K,2,0),"")</f>
        <v>15T</v>
      </c>
    </row>
    <row r="766" customHeight="1" spans="1:17">
      <c r="A766" s="63">
        <f t="shared" si="46"/>
        <v>763</v>
      </c>
      <c r="B766" s="64">
        <v>46169</v>
      </c>
      <c r="C766" s="87"/>
      <c r="D766" s="66" t="s">
        <v>26</v>
      </c>
      <c r="E766" s="66" t="s">
        <v>894</v>
      </c>
      <c r="F766" s="66" t="s">
        <v>744</v>
      </c>
      <c r="G766" s="66" t="s">
        <v>918</v>
      </c>
      <c r="H766" s="66" t="s">
        <v>746</v>
      </c>
      <c r="I766" s="66" t="s">
        <v>270</v>
      </c>
      <c r="J766" s="66" t="s">
        <v>271</v>
      </c>
      <c r="K766" s="66" t="s">
        <v>747</v>
      </c>
      <c r="L766" s="67">
        <v>900000</v>
      </c>
      <c r="M766" s="67">
        <v>0</v>
      </c>
      <c r="N766" s="68">
        <f t="shared" si="48"/>
        <v>900000</v>
      </c>
      <c r="O766" s="69">
        <f t="shared" si="49"/>
        <v>900000</v>
      </c>
      <c r="P766" s="42" t="str">
        <f>IFERROR(VLOOKUP(J766,'Mã NV'!$B:$C,2,0),"")</f>
        <v>XE01507</v>
      </c>
      <c r="Q766" s="70" t="str">
        <f>IFERROR(VLOOKUP(I766,'Mã NV'!$J:$K,2,0),"")</f>
        <v>15T</v>
      </c>
    </row>
    <row r="767" customHeight="1" spans="1:17">
      <c r="A767" s="63">
        <f t="shared" si="46"/>
        <v>764</v>
      </c>
      <c r="B767" s="64">
        <v>46172</v>
      </c>
      <c r="C767" s="87"/>
      <c r="D767" s="66" t="s">
        <v>26</v>
      </c>
      <c r="E767" s="66" t="s">
        <v>894</v>
      </c>
      <c r="F767" s="66" t="s">
        <v>748</v>
      </c>
      <c r="G767" s="66" t="s">
        <v>810</v>
      </c>
      <c r="H767" s="66" t="s">
        <v>919</v>
      </c>
      <c r="I767" s="66" t="s">
        <v>358</v>
      </c>
      <c r="J767" s="66" t="s">
        <v>356</v>
      </c>
      <c r="K767" s="66" t="s">
        <v>747</v>
      </c>
      <c r="L767" s="67">
        <v>450000</v>
      </c>
      <c r="M767" s="67"/>
      <c r="N767" s="68">
        <f t="shared" si="48"/>
        <v>450000</v>
      </c>
      <c r="O767" s="69">
        <f t="shared" si="49"/>
        <v>450000</v>
      </c>
      <c r="P767" s="42" t="str">
        <f>IFERROR(VLOOKUP(J767,'Mã NV'!$B:$C,2,0),"")</f>
        <v>XE01616</v>
      </c>
      <c r="Q767" s="70" t="str">
        <f>IFERROR(VLOOKUP(I767,'Mã NV'!$J:$K,2,0),"")</f>
        <v>2.5T Lạnh</v>
      </c>
    </row>
    <row r="768" customHeight="1" spans="1:17">
      <c r="A768" s="63">
        <f t="shared" si="46"/>
        <v>765</v>
      </c>
      <c r="B768" s="64">
        <v>46169</v>
      </c>
      <c r="C768" s="87"/>
      <c r="D768" s="66" t="s">
        <v>26</v>
      </c>
      <c r="E768" s="66" t="s">
        <v>894</v>
      </c>
      <c r="F768" s="66" t="s">
        <v>744</v>
      </c>
      <c r="G768" s="66" t="s">
        <v>850</v>
      </c>
      <c r="H768" s="66" t="s">
        <v>774</v>
      </c>
      <c r="I768" s="66" t="s">
        <v>211</v>
      </c>
      <c r="J768" s="66" t="s">
        <v>209</v>
      </c>
      <c r="K768" s="66" t="s">
        <v>747</v>
      </c>
      <c r="L768" s="67">
        <v>1400000</v>
      </c>
      <c r="M768" s="67">
        <v>0</v>
      </c>
      <c r="N768" s="68">
        <f t="shared" si="48"/>
        <v>1400000</v>
      </c>
      <c r="O768" s="69">
        <f t="shared" si="49"/>
        <v>1400000</v>
      </c>
      <c r="P768" s="42" t="str">
        <f>IFERROR(VLOOKUP(J768,'Mã NV'!$B:$C,2,0),"")</f>
        <v>XE01098</v>
      </c>
      <c r="Q768" s="70" t="str">
        <f>IFERROR(VLOOKUP(I768,'Mã NV'!$J:$K,2,0),"")</f>
        <v>7.1t</v>
      </c>
    </row>
    <row r="769" customHeight="1" spans="1:17">
      <c r="A769" s="63">
        <f t="shared" si="46"/>
        <v>766</v>
      </c>
      <c r="B769" s="64">
        <v>46169</v>
      </c>
      <c r="C769" s="87"/>
      <c r="D769" s="66" t="s">
        <v>26</v>
      </c>
      <c r="E769" s="66" t="s">
        <v>894</v>
      </c>
      <c r="F769" s="66" t="s">
        <v>744</v>
      </c>
      <c r="G769" s="66" t="s">
        <v>850</v>
      </c>
      <c r="H769" s="66" t="s">
        <v>774</v>
      </c>
      <c r="I769" s="66" t="s">
        <v>211</v>
      </c>
      <c r="J769" s="66" t="s">
        <v>316</v>
      </c>
      <c r="K769" s="66" t="s">
        <v>747</v>
      </c>
      <c r="L769" s="67">
        <v>1400000</v>
      </c>
      <c r="M769" s="67">
        <v>0</v>
      </c>
      <c r="N769" s="68">
        <f t="shared" si="48"/>
        <v>1400000</v>
      </c>
      <c r="O769" s="69">
        <f t="shared" si="49"/>
        <v>1400000</v>
      </c>
      <c r="P769" s="42" t="str">
        <f>IFERROR(VLOOKUP(J769,'Mã NV'!$B:$C,2,0),"")</f>
        <v>XE01600</v>
      </c>
      <c r="Q769" s="70" t="str">
        <f>IFERROR(VLOOKUP(I769,'Mã NV'!$J:$K,2,0),"")</f>
        <v>7.1t</v>
      </c>
    </row>
    <row r="770" customHeight="1" spans="1:17">
      <c r="A770" s="63">
        <f t="shared" si="46"/>
        <v>767</v>
      </c>
      <c r="B770" s="64">
        <v>46169</v>
      </c>
      <c r="C770" s="87"/>
      <c r="D770" s="66" t="s">
        <v>26</v>
      </c>
      <c r="E770" s="66" t="s">
        <v>894</v>
      </c>
      <c r="F770" s="66" t="s">
        <v>744</v>
      </c>
      <c r="G770" s="66" t="s">
        <v>920</v>
      </c>
      <c r="H770" s="66" t="s">
        <v>767</v>
      </c>
      <c r="I770" s="66" t="s">
        <v>275</v>
      </c>
      <c r="J770" s="66" t="s">
        <v>273</v>
      </c>
      <c r="K770" s="66" t="s">
        <v>747</v>
      </c>
      <c r="L770" s="67">
        <v>2100000</v>
      </c>
      <c r="M770" s="67">
        <v>0</v>
      </c>
      <c r="N770" s="68">
        <f t="shared" si="48"/>
        <v>2100000</v>
      </c>
      <c r="O770" s="69">
        <f t="shared" si="49"/>
        <v>2100000</v>
      </c>
      <c r="P770" s="42" t="str">
        <f>IFERROR(VLOOKUP(J770,'Mã NV'!$B:$C,2,0),"")</f>
        <v>XE01527</v>
      </c>
      <c r="Q770" s="70" t="str">
        <f>IFERROR(VLOOKUP(I770,'Mã NV'!$J:$K,2,0),"")</f>
        <v>8T</v>
      </c>
    </row>
    <row r="771" customHeight="1" spans="1:17">
      <c r="A771" s="63">
        <f t="shared" si="46"/>
        <v>768</v>
      </c>
      <c r="B771" s="64">
        <v>46169</v>
      </c>
      <c r="C771" s="87"/>
      <c r="D771" s="66" t="s">
        <v>26</v>
      </c>
      <c r="E771" s="66" t="s">
        <v>894</v>
      </c>
      <c r="F771" s="66" t="s">
        <v>744</v>
      </c>
      <c r="G771" s="66" t="s">
        <v>920</v>
      </c>
      <c r="H771" s="66" t="s">
        <v>767</v>
      </c>
      <c r="I771" s="66" t="s">
        <v>275</v>
      </c>
      <c r="J771" s="66" t="s">
        <v>303</v>
      </c>
      <c r="K771" s="66" t="s">
        <v>747</v>
      </c>
      <c r="L771" s="67">
        <v>2100000</v>
      </c>
      <c r="M771" s="67">
        <v>0</v>
      </c>
      <c r="N771" s="68">
        <f t="shared" si="48"/>
        <v>2100000</v>
      </c>
      <c r="O771" s="69">
        <f t="shared" si="49"/>
        <v>2100000</v>
      </c>
      <c r="P771" s="42" t="str">
        <f>IFERROR(VLOOKUP(J771,'Mã NV'!$B:$C,2,0),"")</f>
        <v>XE01574</v>
      </c>
      <c r="Q771" s="70" t="str">
        <f>IFERROR(VLOOKUP(I771,'Mã NV'!$J:$K,2,0),"")</f>
        <v>8T</v>
      </c>
    </row>
    <row r="772" customHeight="1" spans="1:17">
      <c r="A772" s="63">
        <f t="shared" si="46"/>
        <v>769</v>
      </c>
      <c r="B772" s="64">
        <v>46164</v>
      </c>
      <c r="C772" s="87"/>
      <c r="D772" s="66" t="s">
        <v>26</v>
      </c>
      <c r="E772" s="66" t="s">
        <v>921</v>
      </c>
      <c r="F772" s="66"/>
      <c r="G772" s="66" t="s">
        <v>922</v>
      </c>
      <c r="H772" s="66" t="s">
        <v>923</v>
      </c>
      <c r="I772" s="77" t="s">
        <v>381</v>
      </c>
      <c r="J772" s="66" t="s">
        <v>377</v>
      </c>
      <c r="K772" s="66" t="s">
        <v>747</v>
      </c>
      <c r="L772" s="67">
        <v>2000000</v>
      </c>
      <c r="M772" s="67"/>
      <c r="N772" s="68">
        <f t="shared" ref="N772:N812" si="50">L772-M772</f>
        <v>2000000</v>
      </c>
      <c r="O772" s="69">
        <f t="shared" ref="O772:O811" si="51">N772/$P$1</f>
        <v>2000000</v>
      </c>
      <c r="P772" s="42" t="str">
        <f>IFERROR(VLOOKUP(J772,'Mã NV'!$B:$C,2,0),"")</f>
        <v>XE01666</v>
      </c>
      <c r="Q772" s="70" t="str">
        <f>IFERROR(VLOOKUP(I772,'Mã NV'!$J:$K,2,0),"")</f>
        <v>2T5</v>
      </c>
    </row>
    <row r="773" customHeight="1" spans="1:17">
      <c r="A773" s="63">
        <f t="shared" si="46"/>
        <v>770</v>
      </c>
      <c r="B773" s="64">
        <v>46173</v>
      </c>
      <c r="C773" s="87"/>
      <c r="D773" s="66" t="s">
        <v>26</v>
      </c>
      <c r="E773" s="66" t="s">
        <v>921</v>
      </c>
      <c r="F773" s="66" t="s">
        <v>744</v>
      </c>
      <c r="G773" s="66" t="s">
        <v>836</v>
      </c>
      <c r="H773" s="66" t="s">
        <v>862</v>
      </c>
      <c r="I773" s="66" t="s">
        <v>119</v>
      </c>
      <c r="J773" s="66" t="s">
        <v>117</v>
      </c>
      <c r="K773" s="66" t="s">
        <v>747</v>
      </c>
      <c r="L773" s="67">
        <v>10000000</v>
      </c>
      <c r="M773" s="67">
        <v>0</v>
      </c>
      <c r="N773" s="68">
        <f t="shared" si="50"/>
        <v>10000000</v>
      </c>
      <c r="O773" s="69">
        <f t="shared" si="51"/>
        <v>10000000</v>
      </c>
      <c r="P773" s="42" t="str">
        <f>IFERROR(VLOOKUP(J773,'Mã NV'!$B:$C,2,0),"")</f>
        <v>XE01453</v>
      </c>
      <c r="Q773" s="70" t="str">
        <f>IFERROR(VLOOKUP(I773,'Mã NV'!$J:$K,2,0),"")</f>
        <v>8T</v>
      </c>
    </row>
    <row r="774" customHeight="1" spans="1:17">
      <c r="A774" s="63">
        <f t="shared" si="46"/>
        <v>771</v>
      </c>
      <c r="B774" s="64">
        <v>46148</v>
      </c>
      <c r="C774" s="87"/>
      <c r="D774" s="66" t="s">
        <v>20</v>
      </c>
      <c r="E774" s="66" t="s">
        <v>924</v>
      </c>
      <c r="F774" s="66" t="s">
        <v>744</v>
      </c>
      <c r="G774" s="66" t="s">
        <v>745</v>
      </c>
      <c r="H774" s="66" t="s">
        <v>836</v>
      </c>
      <c r="I774" s="66" t="s">
        <v>17</v>
      </c>
      <c r="J774" s="66" t="s">
        <v>15</v>
      </c>
      <c r="K774" s="66" t="s">
        <v>747</v>
      </c>
      <c r="L774" s="67">
        <v>1100000</v>
      </c>
      <c r="M774" s="67">
        <v>0</v>
      </c>
      <c r="N774" s="68">
        <f t="shared" si="50"/>
        <v>1100000</v>
      </c>
      <c r="O774" s="69">
        <f t="shared" si="51"/>
        <v>1100000</v>
      </c>
      <c r="P774" s="42" t="str">
        <f>IFERROR(VLOOKUP(J774,'Mã NV'!$B:$C,2,0),"")</f>
        <v>XE01331</v>
      </c>
      <c r="Q774" s="70" t="str">
        <f>IFERROR(VLOOKUP(I774,'Mã NV'!$J:$K,2,0),"")</f>
        <v>15T</v>
      </c>
    </row>
    <row r="775" customHeight="1" spans="1:17">
      <c r="A775" s="63">
        <f t="shared" si="46"/>
        <v>772</v>
      </c>
      <c r="B775" s="64">
        <v>46148</v>
      </c>
      <c r="C775" s="87"/>
      <c r="D775" s="66" t="s">
        <v>20</v>
      </c>
      <c r="E775" s="66" t="s">
        <v>924</v>
      </c>
      <c r="F775" s="66" t="s">
        <v>744</v>
      </c>
      <c r="G775" s="66" t="s">
        <v>745</v>
      </c>
      <c r="H775" s="66" t="s">
        <v>836</v>
      </c>
      <c r="I775" s="66" t="s">
        <v>17</v>
      </c>
      <c r="J775" s="66" t="s">
        <v>341</v>
      </c>
      <c r="K775" s="66" t="s">
        <v>747</v>
      </c>
      <c r="L775" s="67">
        <v>1100000</v>
      </c>
      <c r="M775" s="67">
        <v>0</v>
      </c>
      <c r="N775" s="68">
        <f t="shared" si="50"/>
        <v>1100000</v>
      </c>
      <c r="O775" s="69">
        <f t="shared" si="51"/>
        <v>1100000</v>
      </c>
      <c r="P775" s="42" t="str">
        <f>IFERROR(VLOOKUP(J775,'Mã NV'!$B:$C,2,0),"")</f>
        <v>XE01645</v>
      </c>
      <c r="Q775" s="70" t="str">
        <f>IFERROR(VLOOKUP(I775,'Mã NV'!$J:$K,2,0),"")</f>
        <v>15T</v>
      </c>
    </row>
    <row r="776" customHeight="1" spans="1:17">
      <c r="A776" s="63">
        <f t="shared" si="46"/>
        <v>773</v>
      </c>
      <c r="B776" s="64">
        <v>46148</v>
      </c>
      <c r="C776" s="87"/>
      <c r="D776" s="66" t="s">
        <v>20</v>
      </c>
      <c r="E776" s="66" t="s">
        <v>925</v>
      </c>
      <c r="F776" s="66" t="s">
        <v>744</v>
      </c>
      <c r="G776" s="66" t="s">
        <v>750</v>
      </c>
      <c r="H776" s="66" t="s">
        <v>822</v>
      </c>
      <c r="I776" s="66" t="s">
        <v>17</v>
      </c>
      <c r="J776" s="66" t="s">
        <v>15</v>
      </c>
      <c r="K776" s="66" t="s">
        <v>747</v>
      </c>
      <c r="L776" s="67">
        <v>1778000</v>
      </c>
      <c r="M776" s="67">
        <v>0</v>
      </c>
      <c r="N776" s="68">
        <f t="shared" si="50"/>
        <v>1778000</v>
      </c>
      <c r="O776" s="69">
        <f t="shared" si="51"/>
        <v>1778000</v>
      </c>
      <c r="P776" s="42" t="str">
        <f>IFERROR(VLOOKUP(J776,'Mã NV'!$B:$C,2,0),"")</f>
        <v>XE01331</v>
      </c>
      <c r="Q776" s="70" t="str">
        <f>IFERROR(VLOOKUP(I776,'Mã NV'!$J:$K,2,0),"")</f>
        <v>15T</v>
      </c>
    </row>
    <row r="777" customHeight="1" spans="1:17">
      <c r="A777" s="63">
        <f t="shared" si="46"/>
        <v>774</v>
      </c>
      <c r="B777" s="64">
        <v>46148</v>
      </c>
      <c r="C777" s="87"/>
      <c r="D777" s="66" t="s">
        <v>20</v>
      </c>
      <c r="E777" s="66" t="s">
        <v>925</v>
      </c>
      <c r="F777" s="66" t="s">
        <v>744</v>
      </c>
      <c r="G777" s="66" t="s">
        <v>750</v>
      </c>
      <c r="H777" s="66" t="s">
        <v>822</v>
      </c>
      <c r="I777" s="66" t="s">
        <v>17</v>
      </c>
      <c r="J777" s="66" t="s">
        <v>341</v>
      </c>
      <c r="K777" s="66" t="s">
        <v>747</v>
      </c>
      <c r="L777" s="67">
        <v>1778000</v>
      </c>
      <c r="M777" s="67">
        <v>0</v>
      </c>
      <c r="N777" s="68">
        <f t="shared" si="50"/>
        <v>1778000</v>
      </c>
      <c r="O777" s="69">
        <f t="shared" si="51"/>
        <v>1778000</v>
      </c>
      <c r="P777" s="42" t="str">
        <f>IFERROR(VLOOKUP(J777,'Mã NV'!$B:$C,2,0),"")</f>
        <v>XE01645</v>
      </c>
      <c r="Q777" s="70" t="str">
        <f>IFERROR(VLOOKUP(I777,'Mã NV'!$J:$K,2,0),"")</f>
        <v>15T</v>
      </c>
    </row>
    <row r="778" customHeight="1" spans="1:17">
      <c r="A778" s="63">
        <f t="shared" si="46"/>
        <v>775</v>
      </c>
      <c r="B778" s="64">
        <v>46149</v>
      </c>
      <c r="C778" s="87"/>
      <c r="D778" s="66" t="s">
        <v>20</v>
      </c>
      <c r="E778" s="66" t="s">
        <v>926</v>
      </c>
      <c r="F778" s="66" t="s">
        <v>744</v>
      </c>
      <c r="G778" s="66" t="s">
        <v>927</v>
      </c>
      <c r="H778" s="66" t="s">
        <v>769</v>
      </c>
      <c r="I778" s="66" t="s">
        <v>170</v>
      </c>
      <c r="J778" s="66" t="s">
        <v>168</v>
      </c>
      <c r="K778" s="66" t="s">
        <v>747</v>
      </c>
      <c r="L778" s="67">
        <v>2000000</v>
      </c>
      <c r="M778" s="67">
        <v>0</v>
      </c>
      <c r="N778" s="68">
        <f t="shared" si="50"/>
        <v>2000000</v>
      </c>
      <c r="O778" s="69">
        <f t="shared" si="51"/>
        <v>2000000</v>
      </c>
      <c r="P778" s="42" t="str">
        <f>IFERROR(VLOOKUP(J778,'Mã NV'!$B:$C,2,0),"")</f>
        <v>XE01263</v>
      </c>
      <c r="Q778" s="70" t="str">
        <f>IFERROR(VLOOKUP(I778,'Mã NV'!$J:$K,2,0),"")</f>
        <v>8T</v>
      </c>
    </row>
    <row r="779" customHeight="1" spans="1:17">
      <c r="A779" s="63">
        <f t="shared" si="46"/>
        <v>776</v>
      </c>
      <c r="B779" s="64">
        <v>46149</v>
      </c>
      <c r="C779" s="87"/>
      <c r="D779" s="66" t="s">
        <v>20</v>
      </c>
      <c r="E779" s="66" t="s">
        <v>926</v>
      </c>
      <c r="F779" s="66" t="s">
        <v>744</v>
      </c>
      <c r="G779" s="66" t="s">
        <v>927</v>
      </c>
      <c r="H779" s="66" t="s">
        <v>769</v>
      </c>
      <c r="I779" s="66" t="s">
        <v>170</v>
      </c>
      <c r="J779" s="66" t="s">
        <v>203</v>
      </c>
      <c r="K779" s="66" t="s">
        <v>747</v>
      </c>
      <c r="L779" s="67">
        <v>2000000</v>
      </c>
      <c r="M779" s="67">
        <v>0</v>
      </c>
      <c r="N779" s="68">
        <f t="shared" si="50"/>
        <v>2000000</v>
      </c>
      <c r="O779" s="69">
        <f t="shared" si="51"/>
        <v>2000000</v>
      </c>
      <c r="P779" s="42" t="str">
        <f>IFERROR(VLOOKUP(J779,'Mã NV'!$B:$C,2,0),"")</f>
        <v>XE01149</v>
      </c>
      <c r="Q779" s="70" t="str">
        <f>IFERROR(VLOOKUP(I779,'Mã NV'!$J:$K,2,0),"")</f>
        <v>8T</v>
      </c>
    </row>
    <row r="780" customHeight="1" spans="1:17">
      <c r="A780" s="63">
        <f t="shared" ref="A780:A843" si="52">A779+1</f>
        <v>777</v>
      </c>
      <c r="B780" s="64">
        <v>46159</v>
      </c>
      <c r="C780" s="87"/>
      <c r="D780" s="66" t="s">
        <v>20</v>
      </c>
      <c r="E780" s="66" t="s">
        <v>928</v>
      </c>
      <c r="F780" s="66" t="s">
        <v>744</v>
      </c>
      <c r="G780" s="66" t="s">
        <v>822</v>
      </c>
      <c r="H780" s="66" t="s">
        <v>746</v>
      </c>
      <c r="I780" s="66" t="s">
        <v>42</v>
      </c>
      <c r="J780" s="66" t="s">
        <v>40</v>
      </c>
      <c r="K780" s="66" t="s">
        <v>747</v>
      </c>
      <c r="L780" s="67">
        <v>600000</v>
      </c>
      <c r="M780" s="67">
        <v>0</v>
      </c>
      <c r="N780" s="68">
        <f t="shared" si="50"/>
        <v>600000</v>
      </c>
      <c r="O780" s="69">
        <f t="shared" si="51"/>
        <v>600000</v>
      </c>
      <c r="P780" s="42" t="str">
        <f>IFERROR(VLOOKUP(J780,'Mã NV'!$B:$C,2,0),"")</f>
        <v>XE01417</v>
      </c>
      <c r="Q780" s="70" t="str">
        <f>IFERROR(VLOOKUP(I780,'Mã NV'!$J:$K,2,0),"")</f>
        <v>7.1t</v>
      </c>
    </row>
    <row r="781" customHeight="1" spans="1:17">
      <c r="A781" s="63">
        <f t="shared" si="52"/>
        <v>778</v>
      </c>
      <c r="B781" s="64">
        <v>46159</v>
      </c>
      <c r="C781" s="87"/>
      <c r="D781" s="66" t="s">
        <v>20</v>
      </c>
      <c r="E781" s="66" t="s">
        <v>928</v>
      </c>
      <c r="F781" s="66" t="s">
        <v>744</v>
      </c>
      <c r="G781" s="66" t="s">
        <v>822</v>
      </c>
      <c r="H781" s="66" t="s">
        <v>746</v>
      </c>
      <c r="I781" s="66" t="s">
        <v>42</v>
      </c>
      <c r="J781" s="66" t="s">
        <v>333</v>
      </c>
      <c r="K781" s="66" t="s">
        <v>747</v>
      </c>
      <c r="L781" s="67">
        <v>600000</v>
      </c>
      <c r="M781" s="67">
        <v>0</v>
      </c>
      <c r="N781" s="68">
        <f t="shared" si="50"/>
        <v>600000</v>
      </c>
      <c r="O781" s="69">
        <f t="shared" si="51"/>
        <v>600000</v>
      </c>
      <c r="P781" s="42" t="str">
        <f>IFERROR(VLOOKUP(J781,'Mã NV'!$B:$C,2,0),"")</f>
        <v>XE01671</v>
      </c>
      <c r="Q781" s="70" t="str">
        <f>IFERROR(VLOOKUP(I781,'Mã NV'!$J:$K,2,0),"")</f>
        <v>7.1t</v>
      </c>
    </row>
    <row r="782" customHeight="1" spans="1:17">
      <c r="A782" s="63">
        <f t="shared" si="52"/>
        <v>779</v>
      </c>
      <c r="B782" s="64">
        <v>46160</v>
      </c>
      <c r="C782" s="87"/>
      <c r="D782" s="66" t="s">
        <v>20</v>
      </c>
      <c r="E782" s="66" t="s">
        <v>925</v>
      </c>
      <c r="F782" s="66" t="s">
        <v>744</v>
      </c>
      <c r="G782" s="66" t="s">
        <v>761</v>
      </c>
      <c r="H782" s="66" t="s">
        <v>886</v>
      </c>
      <c r="I782" s="66" t="s">
        <v>286</v>
      </c>
      <c r="J782" s="66" t="s">
        <v>284</v>
      </c>
      <c r="K782" s="66" t="s">
        <v>747</v>
      </c>
      <c r="L782" s="67">
        <v>3950000</v>
      </c>
      <c r="M782" s="67">
        <v>0</v>
      </c>
      <c r="N782" s="68">
        <f t="shared" si="50"/>
        <v>3950000</v>
      </c>
      <c r="O782" s="69">
        <f t="shared" si="51"/>
        <v>3950000</v>
      </c>
      <c r="P782" s="42" t="str">
        <f>IFERROR(VLOOKUP(J782,'Mã NV'!$B:$C,2,0),"")</f>
        <v>XE01543</v>
      </c>
      <c r="Q782" s="70" t="str">
        <f>IFERROR(VLOOKUP(I782,'Mã NV'!$J:$K,2,0),"")</f>
        <v>8T</v>
      </c>
    </row>
    <row r="783" customHeight="1" spans="1:17">
      <c r="A783" s="63">
        <f t="shared" si="52"/>
        <v>780</v>
      </c>
      <c r="B783" s="64">
        <v>46160</v>
      </c>
      <c r="C783" s="87"/>
      <c r="D783" s="66" t="s">
        <v>20</v>
      </c>
      <c r="E783" s="66" t="s">
        <v>925</v>
      </c>
      <c r="F783" s="66" t="s">
        <v>744</v>
      </c>
      <c r="G783" s="66" t="s">
        <v>761</v>
      </c>
      <c r="H783" s="66" t="s">
        <v>886</v>
      </c>
      <c r="I783" s="66" t="s">
        <v>286</v>
      </c>
      <c r="J783" s="66" t="s">
        <v>335</v>
      </c>
      <c r="K783" s="66" t="s">
        <v>747</v>
      </c>
      <c r="L783" s="67">
        <v>3950000</v>
      </c>
      <c r="M783" s="67">
        <v>0</v>
      </c>
      <c r="N783" s="68">
        <f t="shared" si="50"/>
        <v>3950000</v>
      </c>
      <c r="O783" s="69">
        <f t="shared" si="51"/>
        <v>3950000</v>
      </c>
      <c r="P783" s="42" t="str">
        <f>IFERROR(VLOOKUP(J783,'Mã NV'!$B:$C,2,0),"")</f>
        <v>XE01622</v>
      </c>
      <c r="Q783" s="70" t="str">
        <f>IFERROR(VLOOKUP(I783,'Mã NV'!$J:$K,2,0),"")</f>
        <v>8T</v>
      </c>
    </row>
    <row r="784" customHeight="1" spans="1:17">
      <c r="A784" s="63">
        <f t="shared" si="52"/>
        <v>781</v>
      </c>
      <c r="B784" s="64">
        <v>46157</v>
      </c>
      <c r="C784" s="87"/>
      <c r="D784" s="66" t="s">
        <v>20</v>
      </c>
      <c r="E784" s="66" t="s">
        <v>929</v>
      </c>
      <c r="F784" s="66" t="s">
        <v>744</v>
      </c>
      <c r="G784" s="66" t="s">
        <v>750</v>
      </c>
      <c r="H784" s="66" t="s">
        <v>822</v>
      </c>
      <c r="I784" s="66" t="s">
        <v>17</v>
      </c>
      <c r="J784" s="66" t="s">
        <v>15</v>
      </c>
      <c r="K784" s="66" t="s">
        <v>747</v>
      </c>
      <c r="L784" s="67">
        <v>1278000</v>
      </c>
      <c r="M784" s="67"/>
      <c r="N784" s="68">
        <f t="shared" si="50"/>
        <v>1278000</v>
      </c>
      <c r="O784" s="69">
        <f t="shared" si="51"/>
        <v>1278000</v>
      </c>
      <c r="P784" s="42" t="str">
        <f>IFERROR(VLOOKUP(J784,'Mã NV'!$B:$C,2,0),"")</f>
        <v>XE01331</v>
      </c>
      <c r="Q784" s="70" t="str">
        <f>IFERROR(VLOOKUP(I784,'Mã NV'!$J:$K,2,0),"")</f>
        <v>15T</v>
      </c>
    </row>
    <row r="785" customHeight="1" spans="1:17">
      <c r="A785" s="63">
        <f t="shared" si="52"/>
        <v>782</v>
      </c>
      <c r="B785" s="64">
        <v>46157</v>
      </c>
      <c r="C785" s="87"/>
      <c r="D785" s="66" t="s">
        <v>20</v>
      </c>
      <c r="E785" s="66" t="s">
        <v>929</v>
      </c>
      <c r="F785" s="66" t="s">
        <v>744</v>
      </c>
      <c r="G785" s="66" t="s">
        <v>750</v>
      </c>
      <c r="H785" s="66" t="s">
        <v>822</v>
      </c>
      <c r="I785" s="66" t="s">
        <v>17</v>
      </c>
      <c r="J785" s="66" t="s">
        <v>341</v>
      </c>
      <c r="K785" s="66" t="s">
        <v>747</v>
      </c>
      <c r="L785" s="67">
        <v>1278000</v>
      </c>
      <c r="M785" s="67"/>
      <c r="N785" s="68">
        <f t="shared" si="50"/>
        <v>1278000</v>
      </c>
      <c r="O785" s="69">
        <f t="shared" si="51"/>
        <v>1278000</v>
      </c>
      <c r="P785" s="42" t="str">
        <f>IFERROR(VLOOKUP(J785,'Mã NV'!$B:$C,2,0),"")</f>
        <v>XE01645</v>
      </c>
      <c r="Q785" s="70" t="str">
        <f>IFERROR(VLOOKUP(I785,'Mã NV'!$J:$K,2,0),"")</f>
        <v>15T</v>
      </c>
    </row>
    <row r="786" customHeight="1" spans="1:17">
      <c r="A786" s="63">
        <f t="shared" si="52"/>
        <v>783</v>
      </c>
      <c r="B786" s="64">
        <v>46163</v>
      </c>
      <c r="C786" s="87"/>
      <c r="D786" s="66" t="s">
        <v>20</v>
      </c>
      <c r="E786" s="66" t="s">
        <v>930</v>
      </c>
      <c r="F786" s="66" t="s">
        <v>744</v>
      </c>
      <c r="G786" s="66" t="s">
        <v>745</v>
      </c>
      <c r="H786" s="66" t="s">
        <v>836</v>
      </c>
      <c r="I786" s="66" t="s">
        <v>103</v>
      </c>
      <c r="J786" s="66" t="s">
        <v>181</v>
      </c>
      <c r="K786" s="66" t="s">
        <v>747</v>
      </c>
      <c r="L786" s="67">
        <v>1500000</v>
      </c>
      <c r="M786" s="67">
        <v>0</v>
      </c>
      <c r="N786" s="68">
        <f t="shared" si="50"/>
        <v>1500000</v>
      </c>
      <c r="O786" s="69">
        <f t="shared" si="51"/>
        <v>1500000</v>
      </c>
      <c r="P786" s="42" t="str">
        <f>IFERROR(VLOOKUP(J786,'Mã NV'!$B:$C,2,0),"")</f>
        <v>XE01281</v>
      </c>
      <c r="Q786" s="70" t="str">
        <f>IFERROR(VLOOKUP(I786,'Mã NV'!$J:$K,2,0),"")</f>
        <v>7.1t</v>
      </c>
    </row>
    <row r="787" customHeight="1" spans="1:17">
      <c r="A787" s="63">
        <f t="shared" si="52"/>
        <v>784</v>
      </c>
      <c r="B787" s="64">
        <v>46163</v>
      </c>
      <c r="C787" s="87"/>
      <c r="D787" s="66" t="s">
        <v>20</v>
      </c>
      <c r="E787" s="66" t="s">
        <v>930</v>
      </c>
      <c r="F787" s="66" t="s">
        <v>744</v>
      </c>
      <c r="G787" s="66" t="s">
        <v>745</v>
      </c>
      <c r="H787" s="66" t="s">
        <v>836</v>
      </c>
      <c r="I787" s="66" t="s">
        <v>103</v>
      </c>
      <c r="J787" s="66" t="s">
        <v>172</v>
      </c>
      <c r="K787" s="66" t="s">
        <v>747</v>
      </c>
      <c r="L787" s="67">
        <v>1500000</v>
      </c>
      <c r="M787" s="67">
        <v>0</v>
      </c>
      <c r="N787" s="68">
        <f t="shared" si="50"/>
        <v>1500000</v>
      </c>
      <c r="O787" s="69">
        <f t="shared" si="51"/>
        <v>1500000</v>
      </c>
      <c r="P787" s="42" t="str">
        <f>IFERROR(VLOOKUP(J787,'Mã NV'!$B:$C,2,0),"")</f>
        <v>XE01433</v>
      </c>
      <c r="Q787" s="70" t="str">
        <f>IFERROR(VLOOKUP(I787,'Mã NV'!$J:$K,2,0),"")</f>
        <v>7.1t</v>
      </c>
    </row>
    <row r="788" customHeight="1" spans="1:17">
      <c r="A788" s="63">
        <f t="shared" si="52"/>
        <v>785</v>
      </c>
      <c r="B788" s="64">
        <v>46167</v>
      </c>
      <c r="C788" s="87"/>
      <c r="D788" s="66" t="s">
        <v>20</v>
      </c>
      <c r="E788" s="66" t="s">
        <v>20</v>
      </c>
      <c r="F788" s="66" t="s">
        <v>744</v>
      </c>
      <c r="G788" s="66" t="s">
        <v>931</v>
      </c>
      <c r="H788" s="66" t="s">
        <v>801</v>
      </c>
      <c r="I788" s="66" t="s">
        <v>283</v>
      </c>
      <c r="J788" s="66" t="s">
        <v>281</v>
      </c>
      <c r="K788" s="66" t="s">
        <v>747</v>
      </c>
      <c r="L788" s="67">
        <v>1250000</v>
      </c>
      <c r="M788" s="67">
        <v>0</v>
      </c>
      <c r="N788" s="68">
        <f t="shared" si="50"/>
        <v>1250000</v>
      </c>
      <c r="O788" s="69">
        <f t="shared" si="51"/>
        <v>1250000</v>
      </c>
      <c r="P788" s="42" t="str">
        <f>IFERROR(VLOOKUP(J788,'Mã NV'!$B:$C,2,0),"")</f>
        <v>XE01532</v>
      </c>
      <c r="Q788" s="70" t="str">
        <f>IFERROR(VLOOKUP(I788,'Mã NV'!$J:$K,2,0),"")</f>
        <v>15T</v>
      </c>
    </row>
    <row r="789" customHeight="1" spans="1:17">
      <c r="A789" s="63">
        <f t="shared" si="52"/>
        <v>786</v>
      </c>
      <c r="B789" s="64">
        <v>46167</v>
      </c>
      <c r="C789" s="87"/>
      <c r="D789" s="66" t="s">
        <v>20</v>
      </c>
      <c r="E789" s="66" t="s">
        <v>20</v>
      </c>
      <c r="F789" s="66" t="s">
        <v>744</v>
      </c>
      <c r="G789" s="66" t="s">
        <v>931</v>
      </c>
      <c r="H789" s="66" t="s">
        <v>801</v>
      </c>
      <c r="I789" s="66" t="s">
        <v>283</v>
      </c>
      <c r="J789" s="66" t="s">
        <v>388</v>
      </c>
      <c r="K789" s="66" t="s">
        <v>747</v>
      </c>
      <c r="L789" s="67">
        <v>1250000</v>
      </c>
      <c r="M789" s="67">
        <v>0</v>
      </c>
      <c r="N789" s="68">
        <f t="shared" si="50"/>
        <v>1250000</v>
      </c>
      <c r="O789" s="69">
        <f t="shared" si="51"/>
        <v>1250000</v>
      </c>
      <c r="P789" s="42" t="str">
        <f>IFERROR(VLOOKUP(J789,'Mã NV'!$B:$C,2,0),"")</f>
        <v>XE01710</v>
      </c>
      <c r="Q789" s="70" t="str">
        <f>IFERROR(VLOOKUP(I789,'Mã NV'!$J:$K,2,0),"")</f>
        <v>15T</v>
      </c>
    </row>
    <row r="790" customHeight="1" spans="1:17">
      <c r="A790" s="63">
        <f t="shared" si="52"/>
        <v>787</v>
      </c>
      <c r="B790" s="64">
        <v>46170</v>
      </c>
      <c r="C790" s="87"/>
      <c r="D790" s="66" t="s">
        <v>20</v>
      </c>
      <c r="E790" s="66" t="s">
        <v>924</v>
      </c>
      <c r="F790" s="66" t="s">
        <v>744</v>
      </c>
      <c r="G790" s="66" t="s">
        <v>836</v>
      </c>
      <c r="H790" s="66" t="s">
        <v>745</v>
      </c>
      <c r="I790" s="66" t="s">
        <v>93</v>
      </c>
      <c r="J790" s="66" t="s">
        <v>307</v>
      </c>
      <c r="K790" s="66" t="s">
        <v>747</v>
      </c>
      <c r="L790" s="67">
        <v>500000</v>
      </c>
      <c r="M790" s="67">
        <v>0</v>
      </c>
      <c r="N790" s="68">
        <f t="shared" si="50"/>
        <v>500000</v>
      </c>
      <c r="O790" s="69">
        <f t="shared" si="51"/>
        <v>500000</v>
      </c>
      <c r="P790" s="42" t="str">
        <f>IFERROR(VLOOKUP(J790,'Mã NV'!$B:$C,2,0),"")</f>
        <v>XE01548</v>
      </c>
      <c r="Q790" s="70" t="str">
        <f>IFERROR(VLOOKUP(I790,'Mã NV'!$J:$K,2,0),"")</f>
        <v>7.1t</v>
      </c>
    </row>
    <row r="791" customHeight="1" spans="1:17">
      <c r="A791" s="63">
        <f t="shared" si="52"/>
        <v>788</v>
      </c>
      <c r="B791" s="64">
        <v>46170</v>
      </c>
      <c r="C791" s="87"/>
      <c r="D791" s="66" t="s">
        <v>20</v>
      </c>
      <c r="E791" s="66" t="s">
        <v>924</v>
      </c>
      <c r="F791" s="66" t="s">
        <v>744</v>
      </c>
      <c r="G791" s="66" t="s">
        <v>836</v>
      </c>
      <c r="H791" s="66" t="s">
        <v>745</v>
      </c>
      <c r="I791" s="66" t="s">
        <v>93</v>
      </c>
      <c r="J791" s="66" t="s">
        <v>310</v>
      </c>
      <c r="K791" s="66" t="s">
        <v>747</v>
      </c>
      <c r="L791" s="67">
        <v>500000</v>
      </c>
      <c r="M791" s="67">
        <v>0</v>
      </c>
      <c r="N791" s="68">
        <f t="shared" si="50"/>
        <v>500000</v>
      </c>
      <c r="O791" s="69">
        <f t="shared" si="51"/>
        <v>500000</v>
      </c>
      <c r="P791" s="42" t="str">
        <f>IFERROR(VLOOKUP(J791,'Mã NV'!$B:$C,2,0),"")</f>
        <v>XE01549</v>
      </c>
      <c r="Q791" s="70" t="str">
        <f>IFERROR(VLOOKUP(I791,'Mã NV'!$J:$K,2,0),"")</f>
        <v>7.1t</v>
      </c>
    </row>
    <row r="792" customHeight="1" spans="1:17">
      <c r="A792" s="63">
        <f t="shared" si="52"/>
        <v>789</v>
      </c>
      <c r="B792" s="64">
        <v>46144</v>
      </c>
      <c r="C792" s="87"/>
      <c r="D792" s="66" t="s">
        <v>24</v>
      </c>
      <c r="E792" s="66" t="s">
        <v>24</v>
      </c>
      <c r="F792" s="66" t="s">
        <v>744</v>
      </c>
      <c r="G792" s="66" t="s">
        <v>845</v>
      </c>
      <c r="H792" s="66" t="s">
        <v>770</v>
      </c>
      <c r="I792" s="66" t="s">
        <v>62</v>
      </c>
      <c r="J792" s="66" t="s">
        <v>366</v>
      </c>
      <c r="K792" s="66" t="s">
        <v>747</v>
      </c>
      <c r="L792" s="67">
        <v>6000000</v>
      </c>
      <c r="M792" s="67">
        <v>0</v>
      </c>
      <c r="N792" s="68">
        <f t="shared" si="50"/>
        <v>6000000</v>
      </c>
      <c r="O792" s="69">
        <f t="shared" si="51"/>
        <v>6000000</v>
      </c>
      <c r="P792" s="42" t="str">
        <f>IFERROR(VLOOKUP(J792,'Mã NV'!$B:$C,2,0),"")</f>
        <v>XE00909</v>
      </c>
      <c r="Q792" s="70" t="str">
        <f>IFERROR(VLOOKUP(I792,'Mã NV'!$J:$K,2,0),"")</f>
        <v>Cont 50F</v>
      </c>
    </row>
    <row r="793" customHeight="1" spans="1:17">
      <c r="A793" s="63">
        <f t="shared" si="52"/>
        <v>790</v>
      </c>
      <c r="B793" s="64">
        <v>46144</v>
      </c>
      <c r="C793" s="87"/>
      <c r="D793" s="66" t="s">
        <v>24</v>
      </c>
      <c r="E793" s="66" t="s">
        <v>24</v>
      </c>
      <c r="F793" s="66" t="s">
        <v>744</v>
      </c>
      <c r="G793" s="66" t="s">
        <v>845</v>
      </c>
      <c r="H793" s="66" t="s">
        <v>770</v>
      </c>
      <c r="I793" s="66" t="s">
        <v>62</v>
      </c>
      <c r="J793" s="66" t="s">
        <v>60</v>
      </c>
      <c r="K793" s="66" t="s">
        <v>747</v>
      </c>
      <c r="L793" s="67">
        <v>6000000</v>
      </c>
      <c r="M793" s="67">
        <v>0</v>
      </c>
      <c r="N793" s="68">
        <f t="shared" si="50"/>
        <v>6000000</v>
      </c>
      <c r="O793" s="69">
        <f t="shared" si="51"/>
        <v>6000000</v>
      </c>
      <c r="P793" s="42" t="str">
        <f>IFERROR(VLOOKUP(J793,'Mã NV'!$B:$C,2,0),"")</f>
        <v>XE00910</v>
      </c>
      <c r="Q793" s="70" t="str">
        <f>IFERROR(VLOOKUP(I793,'Mã NV'!$J:$K,2,0),"")</f>
        <v>Cont 50F</v>
      </c>
    </row>
    <row r="794" customHeight="1" spans="1:17">
      <c r="A794" s="63">
        <f t="shared" si="52"/>
        <v>791</v>
      </c>
      <c r="B794" s="64">
        <v>46144</v>
      </c>
      <c r="C794" s="87"/>
      <c r="D794" s="66" t="s">
        <v>24</v>
      </c>
      <c r="E794" s="66" t="s">
        <v>24</v>
      </c>
      <c r="F794" s="66" t="s">
        <v>744</v>
      </c>
      <c r="G794" s="66" t="s">
        <v>772</v>
      </c>
      <c r="H794" s="66" t="s">
        <v>754</v>
      </c>
      <c r="I794" s="66" t="s">
        <v>270</v>
      </c>
      <c r="J794" s="66" t="s">
        <v>268</v>
      </c>
      <c r="K794" s="66" t="s">
        <v>747</v>
      </c>
      <c r="L794" s="67">
        <v>11500000</v>
      </c>
      <c r="M794" s="67">
        <v>0</v>
      </c>
      <c r="N794" s="68">
        <f t="shared" si="50"/>
        <v>11500000</v>
      </c>
      <c r="O794" s="69">
        <f t="shared" si="51"/>
        <v>11500000</v>
      </c>
      <c r="P794" s="42" t="str">
        <f>IFERROR(VLOOKUP(J794,'Mã NV'!$B:$C,2,0),"")</f>
        <v>XE01506</v>
      </c>
      <c r="Q794" s="70" t="str">
        <f>IFERROR(VLOOKUP(I794,'Mã NV'!$J:$K,2,0),"")</f>
        <v>15T</v>
      </c>
    </row>
    <row r="795" customHeight="1" spans="1:17">
      <c r="A795" s="63">
        <f t="shared" si="52"/>
        <v>792</v>
      </c>
      <c r="B795" s="64">
        <v>46144</v>
      </c>
      <c r="C795" s="87"/>
      <c r="D795" s="66" t="s">
        <v>24</v>
      </c>
      <c r="E795" s="66" t="s">
        <v>24</v>
      </c>
      <c r="F795" s="66" t="s">
        <v>744</v>
      </c>
      <c r="G795" s="66" t="s">
        <v>772</v>
      </c>
      <c r="H795" s="66" t="s">
        <v>754</v>
      </c>
      <c r="I795" s="66" t="s">
        <v>270</v>
      </c>
      <c r="J795" s="66" t="s">
        <v>271</v>
      </c>
      <c r="K795" s="66" t="s">
        <v>747</v>
      </c>
      <c r="L795" s="67">
        <v>11500000</v>
      </c>
      <c r="M795" s="67">
        <v>0</v>
      </c>
      <c r="N795" s="68">
        <f t="shared" si="50"/>
        <v>11500000</v>
      </c>
      <c r="O795" s="69">
        <f t="shared" si="51"/>
        <v>11500000</v>
      </c>
      <c r="P795" s="42" t="str">
        <f>IFERROR(VLOOKUP(J795,'Mã NV'!$B:$C,2,0),"")</f>
        <v>XE01507</v>
      </c>
      <c r="Q795" s="70" t="str">
        <f>IFERROR(VLOOKUP(I795,'Mã NV'!$J:$K,2,0),"")</f>
        <v>15T</v>
      </c>
    </row>
    <row r="796" customHeight="1" spans="1:17">
      <c r="A796" s="63">
        <f t="shared" si="52"/>
        <v>793</v>
      </c>
      <c r="B796" s="64">
        <v>46144</v>
      </c>
      <c r="C796" s="87"/>
      <c r="D796" s="66" t="s">
        <v>24</v>
      </c>
      <c r="E796" s="66" t="s">
        <v>24</v>
      </c>
      <c r="F796" s="66" t="s">
        <v>744</v>
      </c>
      <c r="G796" s="66" t="s">
        <v>768</v>
      </c>
      <c r="H796" s="66" t="s">
        <v>767</v>
      </c>
      <c r="I796" s="66" t="s">
        <v>270</v>
      </c>
      <c r="J796" s="66" t="s">
        <v>268</v>
      </c>
      <c r="K796" s="66" t="s">
        <v>747</v>
      </c>
      <c r="L796" s="67">
        <v>700000</v>
      </c>
      <c r="M796" s="67">
        <v>0</v>
      </c>
      <c r="N796" s="68">
        <f t="shared" si="50"/>
        <v>700000</v>
      </c>
      <c r="O796" s="69">
        <f t="shared" si="51"/>
        <v>700000</v>
      </c>
      <c r="P796" s="42" t="str">
        <f>IFERROR(VLOOKUP(J796,'Mã NV'!$B:$C,2,0),"")</f>
        <v>XE01506</v>
      </c>
      <c r="Q796" s="70" t="str">
        <f>IFERROR(VLOOKUP(I796,'Mã NV'!$J:$K,2,0),"")</f>
        <v>15T</v>
      </c>
    </row>
    <row r="797" customHeight="1" spans="1:17">
      <c r="A797" s="63">
        <f t="shared" si="52"/>
        <v>794</v>
      </c>
      <c r="B797" s="64">
        <v>46144</v>
      </c>
      <c r="C797" s="87"/>
      <c r="D797" s="66" t="s">
        <v>24</v>
      </c>
      <c r="E797" s="66" t="s">
        <v>24</v>
      </c>
      <c r="F797" s="66" t="s">
        <v>744</v>
      </c>
      <c r="G797" s="66" t="s">
        <v>768</v>
      </c>
      <c r="H797" s="66" t="s">
        <v>767</v>
      </c>
      <c r="I797" s="66" t="s">
        <v>270</v>
      </c>
      <c r="J797" s="66" t="s">
        <v>271</v>
      </c>
      <c r="K797" s="66" t="s">
        <v>747</v>
      </c>
      <c r="L797" s="67">
        <v>700000</v>
      </c>
      <c r="M797" s="67">
        <v>0</v>
      </c>
      <c r="N797" s="68">
        <f t="shared" si="50"/>
        <v>700000</v>
      </c>
      <c r="O797" s="69">
        <f t="shared" si="51"/>
        <v>700000</v>
      </c>
      <c r="P797" s="42" t="str">
        <f>IFERROR(VLOOKUP(J797,'Mã NV'!$B:$C,2,0),"")</f>
        <v>XE01507</v>
      </c>
      <c r="Q797" s="70" t="str">
        <f>IFERROR(VLOOKUP(I797,'Mã NV'!$J:$K,2,0),"")</f>
        <v>15T</v>
      </c>
    </row>
    <row r="798" customHeight="1" spans="1:17">
      <c r="A798" s="63">
        <f t="shared" si="52"/>
        <v>795</v>
      </c>
      <c r="B798" s="64">
        <v>46144</v>
      </c>
      <c r="C798" s="87"/>
      <c r="D798" s="66" t="s">
        <v>24</v>
      </c>
      <c r="E798" s="66" t="s">
        <v>24</v>
      </c>
      <c r="F798" s="66" t="s">
        <v>744</v>
      </c>
      <c r="G798" s="66" t="s">
        <v>768</v>
      </c>
      <c r="H798" s="66" t="s">
        <v>805</v>
      </c>
      <c r="I798" s="66" t="s">
        <v>176</v>
      </c>
      <c r="J798" s="66" t="s">
        <v>192</v>
      </c>
      <c r="K798" s="66" t="s">
        <v>747</v>
      </c>
      <c r="L798" s="67">
        <v>2030000</v>
      </c>
      <c r="M798" s="67">
        <v>0</v>
      </c>
      <c r="N798" s="68">
        <f t="shared" si="50"/>
        <v>2030000</v>
      </c>
      <c r="O798" s="69">
        <f t="shared" si="51"/>
        <v>2030000</v>
      </c>
      <c r="P798" s="42" t="str">
        <f>IFERROR(VLOOKUP(J798,'Mã NV'!$B:$C,2,0),"")</f>
        <v>XE01335</v>
      </c>
      <c r="Q798" s="70" t="str">
        <f>IFERROR(VLOOKUP(I798,'Mã NV'!$J:$K,2,0),"")</f>
        <v>8T</v>
      </c>
    </row>
    <row r="799" customHeight="1" spans="1:17">
      <c r="A799" s="63">
        <f t="shared" si="52"/>
        <v>796</v>
      </c>
      <c r="B799" s="64">
        <v>46144</v>
      </c>
      <c r="C799" s="87"/>
      <c r="D799" s="66" t="s">
        <v>24</v>
      </c>
      <c r="E799" s="66" t="s">
        <v>24</v>
      </c>
      <c r="F799" s="66" t="s">
        <v>744</v>
      </c>
      <c r="G799" s="66" t="s">
        <v>768</v>
      </c>
      <c r="H799" s="66" t="s">
        <v>805</v>
      </c>
      <c r="I799" s="66" t="s">
        <v>176</v>
      </c>
      <c r="J799" s="66" t="s">
        <v>354</v>
      </c>
      <c r="K799" s="66" t="s">
        <v>747</v>
      </c>
      <c r="L799" s="67">
        <v>2030000</v>
      </c>
      <c r="M799" s="67">
        <v>0</v>
      </c>
      <c r="N799" s="68">
        <f t="shared" si="50"/>
        <v>2030000</v>
      </c>
      <c r="O799" s="69">
        <f t="shared" si="51"/>
        <v>2030000</v>
      </c>
      <c r="P799" s="42" t="str">
        <f>IFERROR(VLOOKUP(J799,'Mã NV'!$B:$C,2,0),"")</f>
        <v>XE01644</v>
      </c>
      <c r="Q799" s="70" t="str">
        <f>IFERROR(VLOOKUP(I799,'Mã NV'!$J:$K,2,0),"")</f>
        <v>8T</v>
      </c>
    </row>
    <row r="800" customHeight="1" spans="1:17">
      <c r="A800" s="63">
        <f t="shared" si="52"/>
        <v>797</v>
      </c>
      <c r="B800" s="64">
        <v>46145</v>
      </c>
      <c r="C800" s="87"/>
      <c r="D800" s="66" t="s">
        <v>24</v>
      </c>
      <c r="E800" s="66" t="s">
        <v>24</v>
      </c>
      <c r="F800" s="66" t="s">
        <v>748</v>
      </c>
      <c r="G800" s="66" t="s">
        <v>768</v>
      </c>
      <c r="H800" s="66" t="s">
        <v>767</v>
      </c>
      <c r="I800" s="77" t="s">
        <v>345</v>
      </c>
      <c r="J800" s="66" t="s">
        <v>343</v>
      </c>
      <c r="K800" s="66" t="s">
        <v>747</v>
      </c>
      <c r="L800" s="67">
        <v>350000</v>
      </c>
      <c r="M800" s="67"/>
      <c r="N800" s="68">
        <f t="shared" si="50"/>
        <v>350000</v>
      </c>
      <c r="O800" s="69">
        <f t="shared" si="51"/>
        <v>350000</v>
      </c>
      <c r="P800" s="42" t="str">
        <f>IFERROR(VLOOKUP(J800,'Mã NV'!$B:$C,2,0),"")</f>
        <v>XE01615</v>
      </c>
      <c r="Q800" s="70" t="str">
        <f>IFERROR(VLOOKUP(I800,'Mã NV'!$J:$K,2,0),"")</f>
        <v>2T5</v>
      </c>
    </row>
    <row r="801" customHeight="1" spans="1:17">
      <c r="A801" s="63">
        <f t="shared" si="52"/>
        <v>798</v>
      </c>
      <c r="B801" s="64">
        <v>46144</v>
      </c>
      <c r="C801" s="87"/>
      <c r="D801" s="66" t="s">
        <v>24</v>
      </c>
      <c r="E801" s="66" t="s">
        <v>24</v>
      </c>
      <c r="F801" s="66" t="s">
        <v>744</v>
      </c>
      <c r="G801" s="66" t="s">
        <v>745</v>
      </c>
      <c r="H801" s="66" t="s">
        <v>820</v>
      </c>
      <c r="I801" s="66" t="s">
        <v>270</v>
      </c>
      <c r="J801" s="66" t="s">
        <v>268</v>
      </c>
      <c r="K801" s="66" t="s">
        <v>747</v>
      </c>
      <c r="L801" s="67">
        <v>1120000</v>
      </c>
      <c r="M801" s="67">
        <v>0</v>
      </c>
      <c r="N801" s="68">
        <f t="shared" si="50"/>
        <v>1120000</v>
      </c>
      <c r="O801" s="69">
        <f t="shared" si="51"/>
        <v>1120000</v>
      </c>
      <c r="P801" s="42" t="str">
        <f>IFERROR(VLOOKUP(J801,'Mã NV'!$B:$C,2,0),"")</f>
        <v>XE01506</v>
      </c>
      <c r="Q801" s="70" t="str">
        <f>IFERROR(VLOOKUP(I801,'Mã NV'!$J:$K,2,0),"")</f>
        <v>15T</v>
      </c>
    </row>
    <row r="802" customHeight="1" spans="1:17">
      <c r="A802" s="63">
        <f t="shared" si="52"/>
        <v>799</v>
      </c>
      <c r="B802" s="64">
        <v>46144</v>
      </c>
      <c r="C802" s="87"/>
      <c r="D802" s="66" t="s">
        <v>24</v>
      </c>
      <c r="E802" s="66" t="s">
        <v>24</v>
      </c>
      <c r="F802" s="66" t="s">
        <v>744</v>
      </c>
      <c r="G802" s="66" t="s">
        <v>745</v>
      </c>
      <c r="H802" s="66" t="s">
        <v>820</v>
      </c>
      <c r="I802" s="66" t="s">
        <v>270</v>
      </c>
      <c r="J802" s="66" t="s">
        <v>271</v>
      </c>
      <c r="K802" s="66" t="s">
        <v>747</v>
      </c>
      <c r="L802" s="67">
        <v>1120000</v>
      </c>
      <c r="M802" s="67">
        <v>0</v>
      </c>
      <c r="N802" s="68">
        <f t="shared" si="50"/>
        <v>1120000</v>
      </c>
      <c r="O802" s="69">
        <f t="shared" si="51"/>
        <v>1120000</v>
      </c>
      <c r="P802" s="42" t="str">
        <f>IFERROR(VLOOKUP(J802,'Mã NV'!$B:$C,2,0),"")</f>
        <v>XE01507</v>
      </c>
      <c r="Q802" s="70" t="str">
        <f>IFERROR(VLOOKUP(I802,'Mã NV'!$J:$K,2,0),"")</f>
        <v>15T</v>
      </c>
    </row>
    <row r="803" customHeight="1" spans="1:17">
      <c r="A803" s="63">
        <f t="shared" si="52"/>
        <v>800</v>
      </c>
      <c r="B803" s="64">
        <v>46148</v>
      </c>
      <c r="C803" s="87"/>
      <c r="D803" s="66" t="s">
        <v>24</v>
      </c>
      <c r="E803" s="66" t="s">
        <v>24</v>
      </c>
      <c r="F803" s="66" t="s">
        <v>744</v>
      </c>
      <c r="G803" s="66" t="s">
        <v>770</v>
      </c>
      <c r="H803" s="66" t="s">
        <v>820</v>
      </c>
      <c r="I803" s="66" t="s">
        <v>17</v>
      </c>
      <c r="J803" s="66" t="s">
        <v>15</v>
      </c>
      <c r="K803" s="66" t="s">
        <v>747</v>
      </c>
      <c r="L803" s="67">
        <v>896000</v>
      </c>
      <c r="M803" s="67">
        <v>0</v>
      </c>
      <c r="N803" s="68">
        <f t="shared" si="50"/>
        <v>896000</v>
      </c>
      <c r="O803" s="69">
        <f t="shared" si="51"/>
        <v>896000</v>
      </c>
      <c r="P803" s="42" t="str">
        <f>IFERROR(VLOOKUP(J803,'Mã NV'!$B:$C,2,0),"")</f>
        <v>XE01331</v>
      </c>
      <c r="Q803" s="70" t="str">
        <f>IFERROR(VLOOKUP(I803,'Mã NV'!$J:$K,2,0),"")</f>
        <v>15T</v>
      </c>
    </row>
    <row r="804" customHeight="1" spans="1:17">
      <c r="A804" s="63">
        <f t="shared" si="52"/>
        <v>801</v>
      </c>
      <c r="B804" s="64">
        <v>46148</v>
      </c>
      <c r="C804" s="65"/>
      <c r="D804" s="66" t="s">
        <v>24</v>
      </c>
      <c r="E804" s="66" t="s">
        <v>24</v>
      </c>
      <c r="F804" s="66" t="s">
        <v>744</v>
      </c>
      <c r="G804" s="66" t="s">
        <v>770</v>
      </c>
      <c r="H804" s="66" t="s">
        <v>820</v>
      </c>
      <c r="I804" s="66" t="s">
        <v>17</v>
      </c>
      <c r="J804" s="66" t="s">
        <v>341</v>
      </c>
      <c r="K804" s="66" t="s">
        <v>747</v>
      </c>
      <c r="L804" s="67">
        <v>896000</v>
      </c>
      <c r="M804" s="67">
        <v>0</v>
      </c>
      <c r="N804" s="68">
        <f t="shared" si="50"/>
        <v>896000</v>
      </c>
      <c r="O804" s="69">
        <f t="shared" si="51"/>
        <v>896000</v>
      </c>
      <c r="P804" s="42" t="str">
        <f>IFERROR(VLOOKUP(J804,'Mã NV'!$B:$C,2,0),"")</f>
        <v>XE01645</v>
      </c>
      <c r="Q804" s="70" t="str">
        <f>IFERROR(VLOOKUP(I804,'Mã NV'!$J:$K,2,0),"")</f>
        <v>15T</v>
      </c>
    </row>
    <row r="805" customHeight="1" spans="1:17">
      <c r="A805" s="63">
        <f t="shared" si="52"/>
        <v>802</v>
      </c>
      <c r="B805" s="64">
        <v>46150</v>
      </c>
      <c r="C805" s="65"/>
      <c r="D805" s="66" t="s">
        <v>24</v>
      </c>
      <c r="E805" s="66" t="s">
        <v>24</v>
      </c>
      <c r="F805" s="66" t="s">
        <v>748</v>
      </c>
      <c r="G805" s="66" t="s">
        <v>770</v>
      </c>
      <c r="H805" s="66" t="s">
        <v>820</v>
      </c>
      <c r="I805" s="77" t="s">
        <v>345</v>
      </c>
      <c r="J805" s="66" t="s">
        <v>343</v>
      </c>
      <c r="K805" s="66" t="s">
        <v>747</v>
      </c>
      <c r="L805" s="67">
        <v>448000</v>
      </c>
      <c r="M805" s="67"/>
      <c r="N805" s="68">
        <f t="shared" si="50"/>
        <v>448000</v>
      </c>
      <c r="O805" s="69">
        <f t="shared" si="51"/>
        <v>448000</v>
      </c>
      <c r="P805" s="42" t="str">
        <f>IFERROR(VLOOKUP(J805,'Mã NV'!$B:$C,2,0),"")</f>
        <v>XE01615</v>
      </c>
      <c r="Q805" s="70" t="str">
        <f>IFERROR(VLOOKUP(I805,'Mã NV'!$J:$K,2,0),"")</f>
        <v>2T5</v>
      </c>
    </row>
    <row r="806" customHeight="1" spans="1:17">
      <c r="A806" s="63">
        <f t="shared" si="52"/>
        <v>803</v>
      </c>
      <c r="B806" s="64">
        <v>46149</v>
      </c>
      <c r="C806" s="65"/>
      <c r="D806" s="66" t="s">
        <v>24</v>
      </c>
      <c r="E806" s="66" t="s">
        <v>24</v>
      </c>
      <c r="F806" s="66" t="s">
        <v>744</v>
      </c>
      <c r="G806" s="66" t="s">
        <v>932</v>
      </c>
      <c r="H806" s="66" t="s">
        <v>758</v>
      </c>
      <c r="I806" s="66" t="s">
        <v>170</v>
      </c>
      <c r="J806" s="66" t="s">
        <v>168</v>
      </c>
      <c r="K806" s="66" t="s">
        <v>747</v>
      </c>
      <c r="L806" s="67">
        <v>3150000</v>
      </c>
      <c r="M806" s="67">
        <v>0</v>
      </c>
      <c r="N806" s="68">
        <f t="shared" si="50"/>
        <v>3150000</v>
      </c>
      <c r="O806" s="69">
        <f t="shared" si="51"/>
        <v>3150000</v>
      </c>
      <c r="P806" s="42" t="str">
        <f>IFERROR(VLOOKUP(J806,'Mã NV'!$B:$C,2,0),"")</f>
        <v>XE01263</v>
      </c>
      <c r="Q806" s="70" t="str">
        <f>IFERROR(VLOOKUP(I806,'Mã NV'!$J:$K,2,0),"")</f>
        <v>8T</v>
      </c>
    </row>
    <row r="807" customHeight="1" spans="1:17">
      <c r="A807" s="63">
        <f t="shared" si="52"/>
        <v>804</v>
      </c>
      <c r="B807" s="64">
        <v>46149</v>
      </c>
      <c r="C807" s="65"/>
      <c r="D807" s="66" t="s">
        <v>24</v>
      </c>
      <c r="E807" s="66" t="s">
        <v>24</v>
      </c>
      <c r="F807" s="66" t="s">
        <v>744</v>
      </c>
      <c r="G807" s="66" t="s">
        <v>932</v>
      </c>
      <c r="H807" s="66" t="s">
        <v>758</v>
      </c>
      <c r="I807" s="66" t="s">
        <v>170</v>
      </c>
      <c r="J807" s="66" t="s">
        <v>203</v>
      </c>
      <c r="K807" s="66" t="s">
        <v>747</v>
      </c>
      <c r="L807" s="67">
        <v>3150000</v>
      </c>
      <c r="M807" s="67">
        <v>0</v>
      </c>
      <c r="N807" s="68">
        <f t="shared" si="50"/>
        <v>3150000</v>
      </c>
      <c r="O807" s="69">
        <f t="shared" si="51"/>
        <v>3150000</v>
      </c>
      <c r="P807" s="42" t="str">
        <f>IFERROR(VLOOKUP(J807,'Mã NV'!$B:$C,2,0),"")</f>
        <v>XE01149</v>
      </c>
      <c r="Q807" s="70" t="str">
        <f>IFERROR(VLOOKUP(I807,'Mã NV'!$J:$K,2,0),"")</f>
        <v>8T</v>
      </c>
    </row>
    <row r="808" customHeight="1" spans="1:17">
      <c r="A808" s="63">
        <f t="shared" si="52"/>
        <v>805</v>
      </c>
      <c r="B808" s="64">
        <v>46149</v>
      </c>
      <c r="C808" s="65"/>
      <c r="D808" s="66" t="s">
        <v>24</v>
      </c>
      <c r="E808" s="66" t="s">
        <v>24</v>
      </c>
      <c r="F808" s="66" t="s">
        <v>744</v>
      </c>
      <c r="G808" s="66" t="s">
        <v>768</v>
      </c>
      <c r="H808" s="66" t="s">
        <v>771</v>
      </c>
      <c r="I808" s="66" t="s">
        <v>170</v>
      </c>
      <c r="J808" s="66" t="s">
        <v>168</v>
      </c>
      <c r="K808" s="66" t="s">
        <v>747</v>
      </c>
      <c r="L808" s="67">
        <v>1000000</v>
      </c>
      <c r="M808" s="67">
        <v>0</v>
      </c>
      <c r="N808" s="68">
        <f t="shared" si="50"/>
        <v>1000000</v>
      </c>
      <c r="O808" s="69">
        <f t="shared" si="51"/>
        <v>1000000</v>
      </c>
      <c r="P808" s="42" t="str">
        <f>IFERROR(VLOOKUP(J808,'Mã NV'!$B:$C,2,0),"")</f>
        <v>XE01263</v>
      </c>
      <c r="Q808" s="70" t="str">
        <f>IFERROR(VLOOKUP(I808,'Mã NV'!$J:$K,2,0),"")</f>
        <v>8T</v>
      </c>
    </row>
    <row r="809" customHeight="1" spans="1:17">
      <c r="A809" s="63">
        <f t="shared" si="52"/>
        <v>806</v>
      </c>
      <c r="B809" s="64">
        <v>46149</v>
      </c>
      <c r="C809" s="65"/>
      <c r="D809" s="66" t="s">
        <v>24</v>
      </c>
      <c r="E809" s="66" t="s">
        <v>24</v>
      </c>
      <c r="F809" s="66" t="s">
        <v>744</v>
      </c>
      <c r="G809" s="66" t="s">
        <v>768</v>
      </c>
      <c r="H809" s="66" t="s">
        <v>771</v>
      </c>
      <c r="I809" s="66" t="s">
        <v>170</v>
      </c>
      <c r="J809" s="66" t="s">
        <v>203</v>
      </c>
      <c r="K809" s="66" t="s">
        <v>747</v>
      </c>
      <c r="L809" s="67">
        <v>1000000</v>
      </c>
      <c r="M809" s="67">
        <v>0</v>
      </c>
      <c r="N809" s="68">
        <f t="shared" si="50"/>
        <v>1000000</v>
      </c>
      <c r="O809" s="69">
        <f t="shared" si="51"/>
        <v>1000000</v>
      </c>
      <c r="P809" s="42" t="str">
        <f>IFERROR(VLOOKUP(J809,'Mã NV'!$B:$C,2,0),"")</f>
        <v>XE01149</v>
      </c>
      <c r="Q809" s="70" t="str">
        <f>IFERROR(VLOOKUP(I809,'Mã NV'!$J:$K,2,0),"")</f>
        <v>8T</v>
      </c>
    </row>
    <row r="810" customHeight="1" spans="1:17">
      <c r="A810" s="63">
        <f t="shared" si="52"/>
        <v>807</v>
      </c>
      <c r="B810" s="64">
        <v>46152</v>
      </c>
      <c r="C810" s="65"/>
      <c r="D810" s="66" t="s">
        <v>24</v>
      </c>
      <c r="E810" s="66" t="s">
        <v>24</v>
      </c>
      <c r="F810" s="66" t="s">
        <v>748</v>
      </c>
      <c r="G810" s="66" t="s">
        <v>768</v>
      </c>
      <c r="H810" s="66" t="s">
        <v>771</v>
      </c>
      <c r="I810" s="77" t="s">
        <v>345</v>
      </c>
      <c r="J810" s="66" t="s">
        <v>343</v>
      </c>
      <c r="K810" s="66" t="s">
        <v>747</v>
      </c>
      <c r="L810" s="67">
        <v>500000</v>
      </c>
      <c r="M810" s="67"/>
      <c r="N810" s="68">
        <f t="shared" si="50"/>
        <v>500000</v>
      </c>
      <c r="O810" s="69">
        <f t="shared" si="51"/>
        <v>500000</v>
      </c>
      <c r="P810" s="42" t="str">
        <f>IFERROR(VLOOKUP(J810,'Mã NV'!$B:$C,2,0),"")</f>
        <v>XE01615</v>
      </c>
      <c r="Q810" s="70" t="str">
        <f>IFERROR(VLOOKUP(I810,'Mã NV'!$J:$K,2,0),"")</f>
        <v>2T5</v>
      </c>
    </row>
    <row r="811" customHeight="1" spans="1:17">
      <c r="A811" s="63">
        <f t="shared" si="52"/>
        <v>808</v>
      </c>
      <c r="B811" s="64">
        <v>46149</v>
      </c>
      <c r="C811" s="65"/>
      <c r="D811" s="66" t="s">
        <v>24</v>
      </c>
      <c r="E811" s="66" t="s">
        <v>24</v>
      </c>
      <c r="F811" s="66" t="s">
        <v>744</v>
      </c>
      <c r="G811" s="66" t="s">
        <v>773</v>
      </c>
      <c r="H811" s="66" t="s">
        <v>805</v>
      </c>
      <c r="I811" s="66" t="s">
        <v>170</v>
      </c>
      <c r="J811" s="66" t="s">
        <v>168</v>
      </c>
      <c r="K811" s="66" t="s">
        <v>747</v>
      </c>
      <c r="L811" s="67">
        <v>350000</v>
      </c>
      <c r="M811" s="67">
        <v>0</v>
      </c>
      <c r="N811" s="68">
        <f t="shared" si="50"/>
        <v>350000</v>
      </c>
      <c r="O811" s="69">
        <f t="shared" si="51"/>
        <v>350000</v>
      </c>
      <c r="P811" s="42" t="str">
        <f>IFERROR(VLOOKUP(J811,'Mã NV'!$B:$C,2,0),"")</f>
        <v>XE01263</v>
      </c>
      <c r="Q811" s="70" t="str">
        <f>IFERROR(VLOOKUP(I811,'Mã NV'!$J:$K,2,0),"")</f>
        <v>8T</v>
      </c>
    </row>
    <row r="812" customHeight="1" spans="1:17">
      <c r="A812" s="63">
        <f t="shared" si="52"/>
        <v>809</v>
      </c>
      <c r="B812" s="64">
        <v>46149</v>
      </c>
      <c r="C812" s="65"/>
      <c r="D812" s="66" t="s">
        <v>24</v>
      </c>
      <c r="E812" s="66" t="s">
        <v>24</v>
      </c>
      <c r="F812" s="66" t="s">
        <v>744</v>
      </c>
      <c r="G812" s="66" t="s">
        <v>773</v>
      </c>
      <c r="H812" s="66" t="s">
        <v>805</v>
      </c>
      <c r="I812" s="66" t="s">
        <v>170</v>
      </c>
      <c r="J812" s="66" t="s">
        <v>203</v>
      </c>
      <c r="K812" s="66" t="s">
        <v>747</v>
      </c>
      <c r="L812" s="67">
        <v>350000</v>
      </c>
      <c r="M812" s="67">
        <v>0</v>
      </c>
      <c r="N812" s="68">
        <f t="shared" si="50"/>
        <v>350000</v>
      </c>
      <c r="O812" s="69">
        <f t="shared" ref="O812:O875" si="53">N812/$P$1</f>
        <v>350000</v>
      </c>
      <c r="P812" s="42" t="str">
        <f>IFERROR(VLOOKUP(J812,'Mã NV'!$B:$C,2,0),"")</f>
        <v>XE01149</v>
      </c>
      <c r="Q812" s="70" t="str">
        <f>IFERROR(VLOOKUP(I812,'Mã NV'!$J:$K,2,0),"")</f>
        <v>8T</v>
      </c>
    </row>
    <row r="813" customHeight="1" spans="1:17">
      <c r="A813" s="63">
        <f t="shared" si="52"/>
        <v>810</v>
      </c>
      <c r="B813" s="64">
        <v>46151</v>
      </c>
      <c r="C813" s="65"/>
      <c r="D813" s="66" t="s">
        <v>24</v>
      </c>
      <c r="E813" s="66" t="s">
        <v>24</v>
      </c>
      <c r="F813" s="66" t="s">
        <v>744</v>
      </c>
      <c r="G813" s="66" t="s">
        <v>745</v>
      </c>
      <c r="H813" s="66" t="s">
        <v>805</v>
      </c>
      <c r="I813" s="66" t="s">
        <v>276</v>
      </c>
      <c r="J813" s="66" t="s">
        <v>273</v>
      </c>
      <c r="K813" s="66" t="s">
        <v>747</v>
      </c>
      <c r="L813" s="67">
        <v>2450000</v>
      </c>
      <c r="M813" s="67">
        <v>0</v>
      </c>
      <c r="N813" s="68">
        <f t="shared" ref="N813:N876" si="54">L813-M813</f>
        <v>2450000</v>
      </c>
      <c r="O813" s="69">
        <f t="shared" si="53"/>
        <v>2450000</v>
      </c>
      <c r="P813" s="42" t="str">
        <f>IFERROR(VLOOKUP(J813,'Mã NV'!$B:$C,2,0),"")</f>
        <v>XE01527</v>
      </c>
      <c r="Q813" s="70" t="str">
        <f>IFERROR(VLOOKUP(I813,'Mã NV'!$J:$K,2,0),"")</f>
        <v>8T</v>
      </c>
    </row>
    <row r="814" customHeight="1" spans="1:17">
      <c r="A814" s="63">
        <f t="shared" si="52"/>
        <v>811</v>
      </c>
      <c r="B814" s="64">
        <v>46151</v>
      </c>
      <c r="C814" s="65"/>
      <c r="D814" s="66" t="s">
        <v>24</v>
      </c>
      <c r="E814" s="66" t="s">
        <v>24</v>
      </c>
      <c r="F814" s="66" t="s">
        <v>744</v>
      </c>
      <c r="G814" s="66" t="s">
        <v>745</v>
      </c>
      <c r="H814" s="66" t="s">
        <v>805</v>
      </c>
      <c r="I814" s="66" t="s">
        <v>276</v>
      </c>
      <c r="J814" s="66" t="s">
        <v>303</v>
      </c>
      <c r="K814" s="66" t="s">
        <v>747</v>
      </c>
      <c r="L814" s="67">
        <v>2450000</v>
      </c>
      <c r="M814" s="67">
        <v>0</v>
      </c>
      <c r="N814" s="68">
        <f t="shared" si="54"/>
        <v>2450000</v>
      </c>
      <c r="O814" s="69">
        <f t="shared" si="53"/>
        <v>2450000</v>
      </c>
      <c r="P814" s="42" t="str">
        <f>IFERROR(VLOOKUP(J814,'Mã NV'!$B:$C,2,0),"")</f>
        <v>XE01574</v>
      </c>
      <c r="Q814" s="70" t="str">
        <f>IFERROR(VLOOKUP(I814,'Mã NV'!$J:$K,2,0),"")</f>
        <v>8T</v>
      </c>
    </row>
    <row r="815" customHeight="1" spans="1:17">
      <c r="A815" s="63">
        <f t="shared" si="52"/>
        <v>812</v>
      </c>
      <c r="B815" s="64">
        <v>46151</v>
      </c>
      <c r="C815" s="65"/>
      <c r="D815" s="66" t="s">
        <v>24</v>
      </c>
      <c r="E815" s="66" t="s">
        <v>24</v>
      </c>
      <c r="F815" s="66" t="s">
        <v>744</v>
      </c>
      <c r="G815" s="66" t="s">
        <v>745</v>
      </c>
      <c r="H815" s="66" t="s">
        <v>761</v>
      </c>
      <c r="I815" s="66" t="s">
        <v>276</v>
      </c>
      <c r="J815" s="66" t="s">
        <v>273</v>
      </c>
      <c r="K815" s="66" t="s">
        <v>747</v>
      </c>
      <c r="L815" s="67">
        <v>9500000</v>
      </c>
      <c r="M815" s="67">
        <v>0</v>
      </c>
      <c r="N815" s="68">
        <f t="shared" si="54"/>
        <v>9500000</v>
      </c>
      <c r="O815" s="69">
        <f t="shared" si="53"/>
        <v>9500000</v>
      </c>
      <c r="P815" s="42" t="str">
        <f>IFERROR(VLOOKUP(J815,'Mã NV'!$B:$C,2,0),"")</f>
        <v>XE01527</v>
      </c>
      <c r="Q815" s="70" t="str">
        <f>IFERROR(VLOOKUP(I815,'Mã NV'!$J:$K,2,0),"")</f>
        <v>8T</v>
      </c>
    </row>
    <row r="816" customHeight="1" spans="1:17">
      <c r="A816" s="63">
        <f t="shared" si="52"/>
        <v>813</v>
      </c>
      <c r="B816" s="64">
        <v>46151</v>
      </c>
      <c r="C816" s="65"/>
      <c r="D816" s="66" t="s">
        <v>24</v>
      </c>
      <c r="E816" s="66" t="s">
        <v>24</v>
      </c>
      <c r="F816" s="66" t="s">
        <v>744</v>
      </c>
      <c r="G816" s="66" t="s">
        <v>745</v>
      </c>
      <c r="H816" s="66" t="s">
        <v>761</v>
      </c>
      <c r="I816" s="66" t="s">
        <v>276</v>
      </c>
      <c r="J816" s="66" t="s">
        <v>303</v>
      </c>
      <c r="K816" s="66" t="s">
        <v>747</v>
      </c>
      <c r="L816" s="67">
        <v>9500000</v>
      </c>
      <c r="M816" s="67">
        <v>0</v>
      </c>
      <c r="N816" s="68">
        <f t="shared" si="54"/>
        <v>9500000</v>
      </c>
      <c r="O816" s="69">
        <f t="shared" si="53"/>
        <v>9500000</v>
      </c>
      <c r="P816" s="42" t="str">
        <f>IFERROR(VLOOKUP(J816,'Mã NV'!$B:$C,2,0),"")</f>
        <v>XE01574</v>
      </c>
      <c r="Q816" s="70" t="str">
        <f>IFERROR(VLOOKUP(I816,'Mã NV'!$J:$K,2,0),"")</f>
        <v>8T</v>
      </c>
    </row>
    <row r="817" customHeight="1" spans="1:17">
      <c r="A817" s="63">
        <f t="shared" si="52"/>
        <v>814</v>
      </c>
      <c r="B817" s="64">
        <v>46155</v>
      </c>
      <c r="C817" s="65"/>
      <c r="D817" s="66" t="s">
        <v>24</v>
      </c>
      <c r="E817" s="66" t="s">
        <v>24</v>
      </c>
      <c r="F817" s="66" t="s">
        <v>744</v>
      </c>
      <c r="G817" s="66" t="s">
        <v>772</v>
      </c>
      <c r="H817" s="66" t="s">
        <v>933</v>
      </c>
      <c r="I817" s="66" t="s">
        <v>87</v>
      </c>
      <c r="J817" s="66" t="s">
        <v>85</v>
      </c>
      <c r="K817" s="66" t="s">
        <v>747</v>
      </c>
      <c r="L817" s="67">
        <v>9000000</v>
      </c>
      <c r="M817" s="67">
        <v>0</v>
      </c>
      <c r="N817" s="68">
        <f t="shared" si="54"/>
        <v>9000000</v>
      </c>
      <c r="O817" s="69">
        <f t="shared" si="53"/>
        <v>9000000</v>
      </c>
      <c r="P817" s="42" t="str">
        <f>IFERROR(VLOOKUP(J817,'Mã NV'!$B:$C,2,0),"")</f>
        <v>XE01456</v>
      </c>
      <c r="Q817" s="70" t="str">
        <f>IFERROR(VLOOKUP(I817,'Mã NV'!$J:$K,2,0),"")</f>
        <v>8T</v>
      </c>
    </row>
    <row r="818" customHeight="1" spans="1:17">
      <c r="A818" s="63">
        <f t="shared" si="52"/>
        <v>815</v>
      </c>
      <c r="B818" s="64">
        <v>46155</v>
      </c>
      <c r="C818" s="65"/>
      <c r="D818" s="66" t="s">
        <v>24</v>
      </c>
      <c r="E818" s="66" t="s">
        <v>24</v>
      </c>
      <c r="F818" s="66" t="s">
        <v>744</v>
      </c>
      <c r="G818" s="66" t="s">
        <v>772</v>
      </c>
      <c r="H818" s="66" t="s">
        <v>933</v>
      </c>
      <c r="I818" s="66" t="s">
        <v>87</v>
      </c>
      <c r="J818" s="66" t="s">
        <v>305</v>
      </c>
      <c r="K818" s="66" t="s">
        <v>747</v>
      </c>
      <c r="L818" s="67">
        <v>9000000</v>
      </c>
      <c r="M818" s="67">
        <v>0</v>
      </c>
      <c r="N818" s="68">
        <f t="shared" si="54"/>
        <v>9000000</v>
      </c>
      <c r="O818" s="69">
        <f t="shared" si="53"/>
        <v>9000000</v>
      </c>
      <c r="P818" s="42" t="str">
        <f>IFERROR(VLOOKUP(J818,'Mã NV'!$B:$C,2,0),"")</f>
        <v>XE01599</v>
      </c>
      <c r="Q818" s="70" t="str">
        <f>IFERROR(VLOOKUP(I818,'Mã NV'!$J:$K,2,0),"")</f>
        <v>8T</v>
      </c>
    </row>
    <row r="819" customHeight="1" spans="1:17">
      <c r="A819" s="63">
        <f t="shared" si="52"/>
        <v>816</v>
      </c>
      <c r="B819" s="64">
        <v>46156</v>
      </c>
      <c r="C819" s="65"/>
      <c r="D819" s="66" t="s">
        <v>24</v>
      </c>
      <c r="E819" s="66" t="s">
        <v>24</v>
      </c>
      <c r="F819" s="66" t="s">
        <v>744</v>
      </c>
      <c r="G819" s="66" t="s">
        <v>745</v>
      </c>
      <c r="H819" s="66" t="s">
        <v>759</v>
      </c>
      <c r="I819" s="66" t="s">
        <v>286</v>
      </c>
      <c r="J819" s="66" t="s">
        <v>284</v>
      </c>
      <c r="K819" s="66" t="s">
        <v>747</v>
      </c>
      <c r="L819" s="67">
        <v>3000000</v>
      </c>
      <c r="M819" s="67">
        <v>0</v>
      </c>
      <c r="N819" s="68">
        <f t="shared" si="54"/>
        <v>3000000</v>
      </c>
      <c r="O819" s="69">
        <f t="shared" si="53"/>
        <v>3000000</v>
      </c>
      <c r="P819" s="42" t="str">
        <f>IFERROR(VLOOKUP(J819,'Mã NV'!$B:$C,2,0),"")</f>
        <v>XE01543</v>
      </c>
      <c r="Q819" s="70" t="str">
        <f>IFERROR(VLOOKUP(I819,'Mã NV'!$J:$K,2,0),"")</f>
        <v>8T</v>
      </c>
    </row>
    <row r="820" customHeight="1" spans="1:17">
      <c r="A820" s="63">
        <f t="shared" si="52"/>
        <v>817</v>
      </c>
      <c r="B820" s="64">
        <v>46156</v>
      </c>
      <c r="C820" s="65"/>
      <c r="D820" s="66" t="s">
        <v>24</v>
      </c>
      <c r="E820" s="66" t="s">
        <v>24</v>
      </c>
      <c r="F820" s="66" t="s">
        <v>744</v>
      </c>
      <c r="G820" s="66" t="s">
        <v>745</v>
      </c>
      <c r="H820" s="66" t="s">
        <v>759</v>
      </c>
      <c r="I820" s="66" t="s">
        <v>286</v>
      </c>
      <c r="J820" s="66" t="s">
        <v>335</v>
      </c>
      <c r="K820" s="66" t="s">
        <v>747</v>
      </c>
      <c r="L820" s="67">
        <v>3000000</v>
      </c>
      <c r="M820" s="67">
        <v>0</v>
      </c>
      <c r="N820" s="68">
        <f t="shared" si="54"/>
        <v>3000000</v>
      </c>
      <c r="O820" s="69">
        <f t="shared" si="53"/>
        <v>3000000</v>
      </c>
      <c r="P820" s="42" t="str">
        <f>IFERROR(VLOOKUP(J820,'Mã NV'!$B:$C,2,0),"")</f>
        <v>XE01622</v>
      </c>
      <c r="Q820" s="70" t="str">
        <f>IFERROR(VLOOKUP(I820,'Mã NV'!$J:$K,2,0),"")</f>
        <v>8T</v>
      </c>
    </row>
    <row r="821" customHeight="1" spans="1:17">
      <c r="A821" s="63">
        <f t="shared" si="52"/>
        <v>818</v>
      </c>
      <c r="B821" s="64">
        <v>46156</v>
      </c>
      <c r="C821" s="65"/>
      <c r="D821" s="66" t="s">
        <v>24</v>
      </c>
      <c r="E821" s="66" t="s">
        <v>24</v>
      </c>
      <c r="F821" s="66" t="s">
        <v>744</v>
      </c>
      <c r="G821" s="66" t="s">
        <v>772</v>
      </c>
      <c r="H821" s="66" t="s">
        <v>759</v>
      </c>
      <c r="I821" s="66" t="s">
        <v>109</v>
      </c>
      <c r="J821" s="66" t="s">
        <v>107</v>
      </c>
      <c r="K821" s="66" t="s">
        <v>747</v>
      </c>
      <c r="L821" s="67">
        <v>7000000</v>
      </c>
      <c r="M821" s="67">
        <v>0</v>
      </c>
      <c r="N821" s="68">
        <f t="shared" si="54"/>
        <v>7000000</v>
      </c>
      <c r="O821" s="69">
        <f t="shared" si="53"/>
        <v>7000000</v>
      </c>
      <c r="P821" s="42" t="str">
        <f>IFERROR(VLOOKUP(J821,'Mã NV'!$B:$C,2,0),"")</f>
        <v>XE01102</v>
      </c>
      <c r="Q821" s="70" t="str">
        <f>IFERROR(VLOOKUP(I821,'Mã NV'!$J:$K,2,0),"")</f>
        <v>15T</v>
      </c>
    </row>
    <row r="822" customHeight="1" spans="1:17">
      <c r="A822" s="63">
        <f t="shared" si="52"/>
        <v>819</v>
      </c>
      <c r="B822" s="64">
        <v>46156</v>
      </c>
      <c r="C822" s="65"/>
      <c r="D822" s="66" t="s">
        <v>24</v>
      </c>
      <c r="E822" s="66" t="s">
        <v>24</v>
      </c>
      <c r="F822" s="66" t="s">
        <v>744</v>
      </c>
      <c r="G822" s="66" t="s">
        <v>772</v>
      </c>
      <c r="H822" s="66" t="s">
        <v>759</v>
      </c>
      <c r="I822" s="66" t="s">
        <v>109</v>
      </c>
      <c r="J822" s="66" t="s">
        <v>120</v>
      </c>
      <c r="K822" s="66" t="s">
        <v>747</v>
      </c>
      <c r="L822" s="67">
        <v>7000000</v>
      </c>
      <c r="M822" s="67">
        <v>0</v>
      </c>
      <c r="N822" s="68">
        <f t="shared" si="54"/>
        <v>7000000</v>
      </c>
      <c r="O822" s="69">
        <f t="shared" si="53"/>
        <v>7000000</v>
      </c>
      <c r="P822" s="42" t="str">
        <f>IFERROR(VLOOKUP(J822,'Mã NV'!$B:$C,2,0),"")</f>
        <v>XE01315</v>
      </c>
      <c r="Q822" s="70" t="str">
        <f>IFERROR(VLOOKUP(I822,'Mã NV'!$J:$K,2,0),"")</f>
        <v>15T</v>
      </c>
    </row>
    <row r="823" customHeight="1" spans="1:17">
      <c r="A823" s="63">
        <f t="shared" si="52"/>
        <v>820</v>
      </c>
      <c r="B823" s="64">
        <v>46157</v>
      </c>
      <c r="C823" s="65"/>
      <c r="D823" s="66" t="s">
        <v>24</v>
      </c>
      <c r="E823" s="66" t="s">
        <v>24</v>
      </c>
      <c r="F823" s="66" t="s">
        <v>744</v>
      </c>
      <c r="G823" s="66" t="s">
        <v>853</v>
      </c>
      <c r="H823" s="66" t="s">
        <v>804</v>
      </c>
      <c r="I823" s="66" t="s">
        <v>266</v>
      </c>
      <c r="J823" s="66" t="s">
        <v>264</v>
      </c>
      <c r="K823" s="66" t="s">
        <v>747</v>
      </c>
      <c r="L823" s="67">
        <v>9000000</v>
      </c>
      <c r="M823" s="67">
        <v>0</v>
      </c>
      <c r="N823" s="68">
        <f t="shared" si="54"/>
        <v>9000000</v>
      </c>
      <c r="O823" s="69">
        <f t="shared" si="53"/>
        <v>9000000</v>
      </c>
      <c r="P823" s="42" t="str">
        <f>IFERROR(VLOOKUP(J823,'Mã NV'!$B:$C,2,0),"")</f>
        <v>XE01678</v>
      </c>
      <c r="Q823" s="70" t="str">
        <f>IFERROR(VLOOKUP(I823,'Mã NV'!$J:$K,2,0),"")</f>
        <v>7.1t</v>
      </c>
    </row>
    <row r="824" customHeight="1" spans="1:17">
      <c r="A824" s="63">
        <f t="shared" si="52"/>
        <v>821</v>
      </c>
      <c r="B824" s="64">
        <v>46157</v>
      </c>
      <c r="C824" s="65"/>
      <c r="D824" s="66" t="s">
        <v>24</v>
      </c>
      <c r="E824" s="66" t="s">
        <v>24</v>
      </c>
      <c r="F824" s="66" t="s">
        <v>744</v>
      </c>
      <c r="G824" s="66" t="s">
        <v>853</v>
      </c>
      <c r="H824" s="66" t="s">
        <v>804</v>
      </c>
      <c r="I824" s="66" t="s">
        <v>266</v>
      </c>
      <c r="J824" s="66" t="s">
        <v>399</v>
      </c>
      <c r="K824" s="66" t="s">
        <v>747</v>
      </c>
      <c r="L824" s="67">
        <v>9000000</v>
      </c>
      <c r="M824" s="67">
        <v>0</v>
      </c>
      <c r="N824" s="68">
        <f t="shared" si="54"/>
        <v>9000000</v>
      </c>
      <c r="O824" s="69">
        <f t="shared" si="53"/>
        <v>9000000</v>
      </c>
      <c r="P824" s="42" t="str">
        <f>IFERROR(VLOOKUP(J824,'Mã NV'!$B:$C,2,0),"")</f>
        <v>XE01679</v>
      </c>
      <c r="Q824" s="70" t="str">
        <f>IFERROR(VLOOKUP(I824,'Mã NV'!$J:$K,2,0),"")</f>
        <v>7.1t</v>
      </c>
    </row>
    <row r="825" customHeight="1" spans="1:17">
      <c r="A825" s="63">
        <f t="shared" si="52"/>
        <v>822</v>
      </c>
      <c r="B825" s="64">
        <v>46157</v>
      </c>
      <c r="C825" s="65"/>
      <c r="D825" s="66" t="s">
        <v>24</v>
      </c>
      <c r="E825" s="66" t="s">
        <v>24</v>
      </c>
      <c r="F825" s="66" t="s">
        <v>744</v>
      </c>
      <c r="G825" s="66" t="s">
        <v>772</v>
      </c>
      <c r="H825" s="66" t="s">
        <v>934</v>
      </c>
      <c r="I825" s="66" t="s">
        <v>205</v>
      </c>
      <c r="J825" s="66" t="s">
        <v>312</v>
      </c>
      <c r="K825" s="66" t="s">
        <v>747</v>
      </c>
      <c r="L825" s="67">
        <v>2625000</v>
      </c>
      <c r="M825" s="67">
        <v>0</v>
      </c>
      <c r="N825" s="68">
        <f t="shared" si="54"/>
        <v>2625000</v>
      </c>
      <c r="O825" s="69">
        <f t="shared" si="53"/>
        <v>2625000</v>
      </c>
      <c r="P825" s="42" t="str">
        <f>IFERROR(VLOOKUP(J825,'Mã NV'!$B:$C,2,0),"")</f>
        <v>XE01582</v>
      </c>
      <c r="Q825" s="70" t="str">
        <f>IFERROR(VLOOKUP(I825,'Mã NV'!$J:$K,2,0),"")</f>
        <v>8T</v>
      </c>
    </row>
    <row r="826" customHeight="1" spans="1:17">
      <c r="A826" s="63">
        <f t="shared" si="52"/>
        <v>823</v>
      </c>
      <c r="B826" s="64">
        <v>46157</v>
      </c>
      <c r="C826" s="65"/>
      <c r="D826" s="66" t="s">
        <v>24</v>
      </c>
      <c r="E826" s="66" t="s">
        <v>24</v>
      </c>
      <c r="F826" s="66" t="s">
        <v>744</v>
      </c>
      <c r="G826" s="66" t="s">
        <v>772</v>
      </c>
      <c r="H826" s="66" t="s">
        <v>934</v>
      </c>
      <c r="I826" s="66" t="s">
        <v>205</v>
      </c>
      <c r="J826" s="66" t="s">
        <v>314</v>
      </c>
      <c r="K826" s="66" t="s">
        <v>747</v>
      </c>
      <c r="L826" s="67">
        <v>2625000</v>
      </c>
      <c r="M826" s="67">
        <v>0</v>
      </c>
      <c r="N826" s="68">
        <f t="shared" si="54"/>
        <v>2625000</v>
      </c>
      <c r="O826" s="69">
        <f t="shared" si="53"/>
        <v>2625000</v>
      </c>
      <c r="P826" s="42" t="str">
        <f>IFERROR(VLOOKUP(J826,'Mã NV'!$B:$C,2,0),"")</f>
        <v>XE01583</v>
      </c>
      <c r="Q826" s="70" t="str">
        <f>IFERROR(VLOOKUP(I826,'Mã NV'!$J:$K,2,0),"")</f>
        <v>8T</v>
      </c>
    </row>
    <row r="827" customHeight="1" spans="1:17">
      <c r="A827" s="63">
        <f t="shared" si="52"/>
        <v>824</v>
      </c>
      <c r="B827" s="64">
        <v>46158</v>
      </c>
      <c r="C827" s="65"/>
      <c r="D827" s="66" t="s">
        <v>24</v>
      </c>
      <c r="E827" s="66" t="s">
        <v>935</v>
      </c>
      <c r="F827" s="66" t="s">
        <v>744</v>
      </c>
      <c r="G827" s="66" t="s">
        <v>823</v>
      </c>
      <c r="H827" s="66" t="s">
        <v>812</v>
      </c>
      <c r="I827" s="66" t="s">
        <v>93</v>
      </c>
      <c r="J827" s="66" t="s">
        <v>307</v>
      </c>
      <c r="K827" s="66" t="s">
        <v>747</v>
      </c>
      <c r="L827" s="67">
        <v>3325000</v>
      </c>
      <c r="M827" s="67">
        <v>0</v>
      </c>
      <c r="N827" s="68">
        <f t="shared" si="54"/>
        <v>3325000</v>
      </c>
      <c r="O827" s="69">
        <f t="shared" si="53"/>
        <v>3325000</v>
      </c>
      <c r="P827" s="42" t="str">
        <f>IFERROR(VLOOKUP(J827,'Mã NV'!$B:$C,2,0),"")</f>
        <v>XE01548</v>
      </c>
      <c r="Q827" s="70" t="str">
        <f>IFERROR(VLOOKUP(I827,'Mã NV'!$J:$K,2,0),"")</f>
        <v>7.1t</v>
      </c>
    </row>
    <row r="828" customHeight="1" spans="1:17">
      <c r="A828" s="63">
        <f t="shared" si="52"/>
        <v>825</v>
      </c>
      <c r="B828" s="64">
        <v>46158</v>
      </c>
      <c r="C828" s="65"/>
      <c r="D828" s="66" t="s">
        <v>24</v>
      </c>
      <c r="E828" s="66" t="s">
        <v>935</v>
      </c>
      <c r="F828" s="66" t="s">
        <v>744</v>
      </c>
      <c r="G828" s="66" t="s">
        <v>823</v>
      </c>
      <c r="H828" s="66" t="s">
        <v>812</v>
      </c>
      <c r="I828" s="66" t="s">
        <v>93</v>
      </c>
      <c r="J828" s="66" t="s">
        <v>310</v>
      </c>
      <c r="K828" s="66" t="s">
        <v>747</v>
      </c>
      <c r="L828" s="67">
        <v>3325000</v>
      </c>
      <c r="M828" s="67">
        <v>0</v>
      </c>
      <c r="N828" s="68">
        <f t="shared" si="54"/>
        <v>3325000</v>
      </c>
      <c r="O828" s="69">
        <f t="shared" si="53"/>
        <v>3325000</v>
      </c>
      <c r="P828" s="42" t="str">
        <f>IFERROR(VLOOKUP(J828,'Mã NV'!$B:$C,2,0),"")</f>
        <v>XE01549</v>
      </c>
      <c r="Q828" s="70" t="str">
        <f>IFERROR(VLOOKUP(I828,'Mã NV'!$J:$K,2,0),"")</f>
        <v>7.1t</v>
      </c>
    </row>
    <row r="829" customHeight="1" spans="1:17">
      <c r="A829" s="63">
        <f t="shared" si="52"/>
        <v>826</v>
      </c>
      <c r="B829" s="64">
        <v>46158</v>
      </c>
      <c r="C829" s="65"/>
      <c r="D829" s="66" t="s">
        <v>24</v>
      </c>
      <c r="E829" s="66" t="s">
        <v>24</v>
      </c>
      <c r="F829" s="66" t="s">
        <v>744</v>
      </c>
      <c r="G829" s="66" t="s">
        <v>936</v>
      </c>
      <c r="H829" s="66" t="s">
        <v>937</v>
      </c>
      <c r="I829" s="66" t="s">
        <v>276</v>
      </c>
      <c r="J829" s="66" t="s">
        <v>281</v>
      </c>
      <c r="K829" s="66" t="s">
        <v>747</v>
      </c>
      <c r="L829" s="67">
        <v>9000000</v>
      </c>
      <c r="M829" s="67">
        <v>0</v>
      </c>
      <c r="N829" s="68">
        <f t="shared" si="54"/>
        <v>9000000</v>
      </c>
      <c r="O829" s="69">
        <f t="shared" si="53"/>
        <v>9000000</v>
      </c>
      <c r="P829" s="42" t="str">
        <f>IFERROR(VLOOKUP(J829,'Mã NV'!$B:$C,2,0),"")</f>
        <v>XE01532</v>
      </c>
      <c r="Q829" s="70" t="str">
        <f>IFERROR(VLOOKUP(I829,'Mã NV'!$J:$K,2,0),"")</f>
        <v>8T</v>
      </c>
    </row>
    <row r="830" customHeight="1" spans="1:17">
      <c r="A830" s="63">
        <f t="shared" si="52"/>
        <v>827</v>
      </c>
      <c r="B830" s="64">
        <v>46158</v>
      </c>
      <c r="C830" s="65"/>
      <c r="D830" s="66" t="s">
        <v>24</v>
      </c>
      <c r="E830" s="66" t="s">
        <v>24</v>
      </c>
      <c r="F830" s="66" t="s">
        <v>744</v>
      </c>
      <c r="G830" s="66" t="s">
        <v>936</v>
      </c>
      <c r="H830" s="66" t="s">
        <v>937</v>
      </c>
      <c r="I830" s="66" t="s">
        <v>276</v>
      </c>
      <c r="J830" s="66" t="s">
        <v>363</v>
      </c>
      <c r="K830" s="66" t="s">
        <v>747</v>
      </c>
      <c r="L830" s="67">
        <v>9000000</v>
      </c>
      <c r="M830" s="67">
        <v>0</v>
      </c>
      <c r="N830" s="68">
        <f t="shared" si="54"/>
        <v>9000000</v>
      </c>
      <c r="O830" s="69">
        <f t="shared" si="53"/>
        <v>9000000</v>
      </c>
      <c r="P830" s="42" t="str">
        <f>IFERROR(VLOOKUP(J830,'Mã NV'!$B:$C,2,0),"")</f>
        <v/>
      </c>
      <c r="Q830" s="70" t="str">
        <f>IFERROR(VLOOKUP(I830,'Mã NV'!$J:$K,2,0),"")</f>
        <v>8T</v>
      </c>
    </row>
    <row r="831" customHeight="1" spans="1:17">
      <c r="A831" s="63">
        <f t="shared" si="52"/>
        <v>828</v>
      </c>
      <c r="B831" s="64">
        <v>46158</v>
      </c>
      <c r="C831" s="65"/>
      <c r="D831" s="66" t="s">
        <v>24</v>
      </c>
      <c r="E831" s="66" t="s">
        <v>24</v>
      </c>
      <c r="F831" s="66" t="s">
        <v>744</v>
      </c>
      <c r="G831" s="66" t="s">
        <v>936</v>
      </c>
      <c r="H831" s="66" t="s">
        <v>937</v>
      </c>
      <c r="I831" s="66" t="s">
        <v>211</v>
      </c>
      <c r="J831" s="66" t="s">
        <v>209</v>
      </c>
      <c r="K831" s="66" t="s">
        <v>747</v>
      </c>
      <c r="L831" s="67">
        <v>4500000</v>
      </c>
      <c r="M831" s="67">
        <v>0</v>
      </c>
      <c r="N831" s="68">
        <f t="shared" si="54"/>
        <v>4500000</v>
      </c>
      <c r="O831" s="69">
        <f t="shared" si="53"/>
        <v>4500000</v>
      </c>
      <c r="P831" s="42" t="str">
        <f>IFERROR(VLOOKUP(J831,'Mã NV'!$B:$C,2,0),"")</f>
        <v>XE01098</v>
      </c>
      <c r="Q831" s="70" t="str">
        <f>IFERROR(VLOOKUP(I831,'Mã NV'!$J:$K,2,0),"")</f>
        <v>7.1t</v>
      </c>
    </row>
    <row r="832" customHeight="1" spans="1:17">
      <c r="A832" s="63">
        <f t="shared" si="52"/>
        <v>829</v>
      </c>
      <c r="B832" s="64">
        <v>46158</v>
      </c>
      <c r="C832" s="65"/>
      <c r="D832" s="66" t="s">
        <v>24</v>
      </c>
      <c r="E832" s="66" t="s">
        <v>24</v>
      </c>
      <c r="F832" s="66" t="s">
        <v>744</v>
      </c>
      <c r="G832" s="66" t="s">
        <v>936</v>
      </c>
      <c r="H832" s="66" t="s">
        <v>937</v>
      </c>
      <c r="I832" s="66" t="s">
        <v>211</v>
      </c>
      <c r="J832" s="66" t="s">
        <v>316</v>
      </c>
      <c r="K832" s="66" t="s">
        <v>747</v>
      </c>
      <c r="L832" s="67">
        <v>4500000</v>
      </c>
      <c r="M832" s="67">
        <v>0</v>
      </c>
      <c r="N832" s="68">
        <f t="shared" si="54"/>
        <v>4500000</v>
      </c>
      <c r="O832" s="69">
        <f t="shared" si="53"/>
        <v>4500000</v>
      </c>
      <c r="P832" s="42" t="str">
        <f>IFERROR(VLOOKUP(J832,'Mã NV'!$B:$C,2,0),"")</f>
        <v>XE01600</v>
      </c>
      <c r="Q832" s="70" t="str">
        <f>IFERROR(VLOOKUP(I832,'Mã NV'!$J:$K,2,0),"")</f>
        <v>7.1t</v>
      </c>
    </row>
    <row r="833" customHeight="1" spans="1:19">
      <c r="A833" s="63">
        <f t="shared" si="52"/>
        <v>830</v>
      </c>
      <c r="B833" s="64">
        <v>46160</v>
      </c>
      <c r="C833" s="65"/>
      <c r="D833" s="66" t="s">
        <v>24</v>
      </c>
      <c r="E833" s="66" t="s">
        <v>935</v>
      </c>
      <c r="F833" s="66" t="s">
        <v>744</v>
      </c>
      <c r="G833" s="66" t="s">
        <v>773</v>
      </c>
      <c r="H833" s="66" t="s">
        <v>938</v>
      </c>
      <c r="I833" s="66" t="s">
        <v>293</v>
      </c>
      <c r="J833" s="66" t="s">
        <v>294</v>
      </c>
      <c r="K833" s="66" t="s">
        <v>747</v>
      </c>
      <c r="L833" s="67">
        <v>9000000</v>
      </c>
      <c r="M833" s="67">
        <v>0</v>
      </c>
      <c r="N833" s="68">
        <f t="shared" si="54"/>
        <v>9000000</v>
      </c>
      <c r="O833" s="69">
        <f t="shared" si="53"/>
        <v>9000000</v>
      </c>
      <c r="P833" s="42" t="str">
        <f>IFERROR(VLOOKUP(J833,'Mã NV'!$B:$C,2,0),"")</f>
        <v>XE01551</v>
      </c>
      <c r="Q833" s="70" t="str">
        <f>IFERROR(VLOOKUP(I833,'Mã NV'!$J:$K,2,0),"")</f>
        <v>8T</v>
      </c>
    </row>
    <row r="834" customHeight="1" spans="1:19">
      <c r="A834" s="63">
        <f t="shared" si="52"/>
        <v>831</v>
      </c>
      <c r="B834" s="64">
        <v>46160</v>
      </c>
      <c r="C834" s="65"/>
      <c r="D834" s="66" t="s">
        <v>24</v>
      </c>
      <c r="E834" s="66" t="s">
        <v>935</v>
      </c>
      <c r="F834" s="66" t="s">
        <v>744</v>
      </c>
      <c r="G834" s="66" t="s">
        <v>773</v>
      </c>
      <c r="H834" s="66" t="s">
        <v>938</v>
      </c>
      <c r="I834" s="66" t="s">
        <v>293</v>
      </c>
      <c r="J834" s="66" t="s">
        <v>291</v>
      </c>
      <c r="K834" s="66" t="s">
        <v>747</v>
      </c>
      <c r="L834" s="67">
        <v>9000000</v>
      </c>
      <c r="M834" s="67">
        <v>0</v>
      </c>
      <c r="N834" s="68">
        <f t="shared" si="54"/>
        <v>9000000</v>
      </c>
      <c r="O834" s="69">
        <f t="shared" si="53"/>
        <v>9000000</v>
      </c>
      <c r="P834" s="42" t="str">
        <f>IFERROR(VLOOKUP(J834,'Mã NV'!$B:$C,2,0),"")</f>
        <v>XE01552</v>
      </c>
      <c r="Q834" s="70" t="str">
        <f>IFERROR(VLOOKUP(I834,'Mã NV'!$J:$K,2,0),"")</f>
        <v>8T</v>
      </c>
    </row>
    <row r="835" customHeight="1" spans="1:19">
      <c r="A835" s="63">
        <f t="shared" si="52"/>
        <v>832</v>
      </c>
      <c r="B835" s="64">
        <v>46160</v>
      </c>
      <c r="C835" s="65"/>
      <c r="D835" s="66" t="s">
        <v>24</v>
      </c>
      <c r="E835" s="66" t="s">
        <v>935</v>
      </c>
      <c r="F835" s="66" t="s">
        <v>744</v>
      </c>
      <c r="G835" s="66" t="s">
        <v>772</v>
      </c>
      <c r="H835" s="66" t="s">
        <v>938</v>
      </c>
      <c r="I835" s="66" t="s">
        <v>290</v>
      </c>
      <c r="J835" s="66" t="s">
        <v>288</v>
      </c>
      <c r="K835" s="66" t="s">
        <v>747</v>
      </c>
      <c r="L835" s="67">
        <v>4500000</v>
      </c>
      <c r="M835" s="67">
        <v>0</v>
      </c>
      <c r="N835" s="68">
        <f t="shared" si="54"/>
        <v>4500000</v>
      </c>
      <c r="O835" s="69">
        <f t="shared" si="53"/>
        <v>4500000</v>
      </c>
      <c r="P835" s="42" t="str">
        <f>IFERROR(VLOOKUP(J835,'Mã NV'!$B:$C,2,0),"")</f>
        <v>XE01563</v>
      </c>
      <c r="Q835" s="70" t="str">
        <f>IFERROR(VLOOKUP(I835,'Mã NV'!$J:$K,2,0),"")</f>
        <v>8T</v>
      </c>
    </row>
    <row r="836" customHeight="1" spans="1:19">
      <c r="A836" s="63">
        <f t="shared" si="52"/>
        <v>833</v>
      </c>
      <c r="B836" s="64">
        <v>46160</v>
      </c>
      <c r="C836" s="65"/>
      <c r="D836" s="66" t="s">
        <v>24</v>
      </c>
      <c r="E836" s="66" t="s">
        <v>935</v>
      </c>
      <c r="F836" s="66" t="s">
        <v>744</v>
      </c>
      <c r="G836" s="66" t="s">
        <v>772</v>
      </c>
      <c r="H836" s="66" t="s">
        <v>938</v>
      </c>
      <c r="I836" s="66" t="s">
        <v>290</v>
      </c>
      <c r="J836" s="66" t="s">
        <v>329</v>
      </c>
      <c r="K836" s="66" t="s">
        <v>747</v>
      </c>
      <c r="L836" s="67">
        <v>4500000</v>
      </c>
      <c r="M836" s="67">
        <v>0</v>
      </c>
      <c r="N836" s="68">
        <f t="shared" si="54"/>
        <v>4500000</v>
      </c>
      <c r="O836" s="69">
        <f t="shared" si="53"/>
        <v>4500000</v>
      </c>
      <c r="P836" s="42" t="str">
        <f>IFERROR(VLOOKUP(J836,'Mã NV'!$B:$C,2,0),"")</f>
        <v>XE01609</v>
      </c>
      <c r="Q836" s="70" t="str">
        <f>IFERROR(VLOOKUP(I836,'Mã NV'!$J:$K,2,0),"")</f>
        <v>8T</v>
      </c>
    </row>
    <row r="837" customHeight="1" spans="1:19">
      <c r="A837" s="63">
        <f t="shared" si="52"/>
        <v>834</v>
      </c>
      <c r="B837" s="64">
        <v>46162</v>
      </c>
      <c r="C837" s="65"/>
      <c r="D837" s="66" t="s">
        <v>24</v>
      </c>
      <c r="E837" s="66" t="s">
        <v>24</v>
      </c>
      <c r="F837" s="66" t="s">
        <v>744</v>
      </c>
      <c r="G837" s="66" t="s">
        <v>745</v>
      </c>
      <c r="H837" s="66" t="s">
        <v>746</v>
      </c>
      <c r="I837" s="66" t="s">
        <v>266</v>
      </c>
      <c r="J837" s="66" t="s">
        <v>264</v>
      </c>
      <c r="K837" s="66" t="s">
        <v>747</v>
      </c>
      <c r="L837" s="67">
        <v>11500000</v>
      </c>
      <c r="M837" s="67">
        <v>0</v>
      </c>
      <c r="N837" s="68">
        <f t="shared" si="54"/>
        <v>11500000</v>
      </c>
      <c r="O837" s="69">
        <f t="shared" si="53"/>
        <v>11500000</v>
      </c>
      <c r="P837" s="42" t="str">
        <f>IFERROR(VLOOKUP(J837,'Mã NV'!$B:$C,2,0),"")</f>
        <v>XE01678</v>
      </c>
      <c r="Q837" s="70" t="str">
        <f>IFERROR(VLOOKUP(I837,'Mã NV'!$J:$K,2,0),"")</f>
        <v>7.1t</v>
      </c>
    </row>
    <row r="838" customHeight="1" spans="1:19">
      <c r="A838" s="63">
        <f t="shared" si="52"/>
        <v>835</v>
      </c>
      <c r="B838" s="64">
        <v>46162</v>
      </c>
      <c r="C838" s="65"/>
      <c r="D838" s="66" t="s">
        <v>24</v>
      </c>
      <c r="E838" s="66" t="s">
        <v>24</v>
      </c>
      <c r="F838" s="66" t="s">
        <v>744</v>
      </c>
      <c r="G838" s="66" t="s">
        <v>745</v>
      </c>
      <c r="H838" s="66" t="s">
        <v>746</v>
      </c>
      <c r="I838" s="66" t="s">
        <v>266</v>
      </c>
      <c r="J838" s="66" t="s">
        <v>399</v>
      </c>
      <c r="K838" s="66" t="s">
        <v>747</v>
      </c>
      <c r="L838" s="67">
        <v>11500000</v>
      </c>
      <c r="M838" s="67">
        <v>0</v>
      </c>
      <c r="N838" s="68">
        <f t="shared" si="54"/>
        <v>11500000</v>
      </c>
      <c r="O838" s="69">
        <f t="shared" si="53"/>
        <v>11500000</v>
      </c>
      <c r="P838" s="42" t="str">
        <f>IFERROR(VLOOKUP(J838,'Mã NV'!$B:$C,2,0),"")</f>
        <v>XE01679</v>
      </c>
      <c r="Q838" s="70" t="str">
        <f>IFERROR(VLOOKUP(I838,'Mã NV'!$J:$K,2,0),"")</f>
        <v>7.1t</v>
      </c>
    </row>
    <row r="839" customHeight="1" spans="1:19">
      <c r="A839" s="63">
        <f t="shared" si="52"/>
        <v>836</v>
      </c>
      <c r="B839" s="64">
        <v>46164</v>
      </c>
      <c r="C839" s="65"/>
      <c r="D839" s="66" t="s">
        <v>24</v>
      </c>
      <c r="E839" s="66" t="s">
        <v>24</v>
      </c>
      <c r="F839" s="66" t="s">
        <v>744</v>
      </c>
      <c r="G839" s="66" t="s">
        <v>745</v>
      </c>
      <c r="H839" s="66" t="s">
        <v>938</v>
      </c>
      <c r="I839" s="66" t="s">
        <v>161</v>
      </c>
      <c r="J839" s="66" t="s">
        <v>225</v>
      </c>
      <c r="K839" s="66" t="s">
        <v>747</v>
      </c>
      <c r="L839" s="67">
        <v>9000000</v>
      </c>
      <c r="M839" s="67">
        <v>0</v>
      </c>
      <c r="N839" s="68">
        <f t="shared" si="54"/>
        <v>9000000</v>
      </c>
      <c r="O839" s="69">
        <f t="shared" si="53"/>
        <v>9000000</v>
      </c>
      <c r="P839" s="42" t="str">
        <f>IFERROR(VLOOKUP(J839,'Mã NV'!$B:$C,2,0),"")</f>
        <v>XE01164</v>
      </c>
      <c r="Q839" s="70" t="str">
        <f>IFERROR(VLOOKUP(I839,'Mã NV'!$J:$K,2,0),"")</f>
        <v>8T</v>
      </c>
    </row>
    <row r="840" customHeight="1" spans="1:19">
      <c r="A840" s="63">
        <f t="shared" si="52"/>
        <v>837</v>
      </c>
      <c r="B840" s="64">
        <v>46164</v>
      </c>
      <c r="C840" s="65"/>
      <c r="D840" s="66" t="s">
        <v>24</v>
      </c>
      <c r="E840" s="66" t="s">
        <v>24</v>
      </c>
      <c r="F840" s="66" t="s">
        <v>744</v>
      </c>
      <c r="G840" s="66" t="s">
        <v>745</v>
      </c>
      <c r="H840" s="66" t="s">
        <v>938</v>
      </c>
      <c r="I840" s="66" t="s">
        <v>161</v>
      </c>
      <c r="J840" s="66" t="s">
        <v>371</v>
      </c>
      <c r="K840" s="66" t="s">
        <v>747</v>
      </c>
      <c r="L840" s="67">
        <v>9000000</v>
      </c>
      <c r="M840" s="67">
        <v>0</v>
      </c>
      <c r="N840" s="68">
        <f t="shared" si="54"/>
        <v>9000000</v>
      </c>
      <c r="O840" s="69">
        <f t="shared" si="53"/>
        <v>9000000</v>
      </c>
      <c r="P840" s="42" t="str">
        <f>IFERROR(VLOOKUP(J840,'Mã NV'!$B:$C,2,0),"")</f>
        <v>XE01698</v>
      </c>
      <c r="Q840" s="70" t="str">
        <f>IFERROR(VLOOKUP(I840,'Mã NV'!$J:$K,2,0),"")</f>
        <v>8T</v>
      </c>
    </row>
    <row r="841" customHeight="1" spans="1:19">
      <c r="A841" s="63">
        <f t="shared" si="52"/>
        <v>838</v>
      </c>
      <c r="B841" s="64">
        <v>46164</v>
      </c>
      <c r="C841" s="65"/>
      <c r="D841" s="66" t="s">
        <v>24</v>
      </c>
      <c r="E841" s="66" t="s">
        <v>24</v>
      </c>
      <c r="F841" s="66" t="s">
        <v>744</v>
      </c>
      <c r="G841" s="66" t="s">
        <v>773</v>
      </c>
      <c r="H841" s="66" t="s">
        <v>758</v>
      </c>
      <c r="I841" s="66" t="s">
        <v>109</v>
      </c>
      <c r="J841" s="66" t="s">
        <v>107</v>
      </c>
      <c r="K841" s="66" t="s">
        <v>747</v>
      </c>
      <c r="L841" s="67">
        <v>10500000</v>
      </c>
      <c r="M841" s="67">
        <v>0</v>
      </c>
      <c r="N841" s="68">
        <f t="shared" si="54"/>
        <v>10500000</v>
      </c>
      <c r="O841" s="69">
        <f t="shared" si="53"/>
        <v>10500000</v>
      </c>
      <c r="P841" s="42" t="str">
        <f>IFERROR(VLOOKUP(J841,'Mã NV'!$B:$C,2,0),"")</f>
        <v>XE01102</v>
      </c>
      <c r="Q841" s="70" t="str">
        <f>IFERROR(VLOOKUP(I841,'Mã NV'!$J:$K,2,0),"")</f>
        <v>15T</v>
      </c>
    </row>
    <row r="842" customHeight="1" spans="1:19">
      <c r="A842" s="63">
        <f t="shared" si="52"/>
        <v>839</v>
      </c>
      <c r="B842" s="64">
        <v>46164</v>
      </c>
      <c r="C842" s="65"/>
      <c r="D842" s="66" t="s">
        <v>24</v>
      </c>
      <c r="E842" s="66" t="s">
        <v>24</v>
      </c>
      <c r="F842" s="66" t="s">
        <v>744</v>
      </c>
      <c r="G842" s="66" t="s">
        <v>773</v>
      </c>
      <c r="H842" s="66" t="s">
        <v>758</v>
      </c>
      <c r="I842" s="66" t="s">
        <v>109</v>
      </c>
      <c r="J842" s="66" t="s">
        <v>120</v>
      </c>
      <c r="K842" s="66" t="s">
        <v>747</v>
      </c>
      <c r="L842" s="67">
        <v>10500000</v>
      </c>
      <c r="M842" s="67">
        <v>0</v>
      </c>
      <c r="N842" s="68">
        <f t="shared" si="54"/>
        <v>10500000</v>
      </c>
      <c r="O842" s="69">
        <f t="shared" si="53"/>
        <v>10500000</v>
      </c>
      <c r="P842" s="42" t="str">
        <f>IFERROR(VLOOKUP(J842,'Mã NV'!$B:$C,2,0),"")</f>
        <v>XE01315</v>
      </c>
      <c r="Q842" s="70" t="str">
        <f>IFERROR(VLOOKUP(I842,'Mã NV'!$J:$K,2,0),"")</f>
        <v>15T</v>
      </c>
    </row>
    <row r="843" customHeight="1" spans="1:19">
      <c r="A843" s="63">
        <f t="shared" si="52"/>
        <v>840</v>
      </c>
      <c r="B843" s="64">
        <v>46165</v>
      </c>
      <c r="C843" s="65"/>
      <c r="D843" s="66" t="s">
        <v>24</v>
      </c>
      <c r="E843" s="66" t="s">
        <v>24</v>
      </c>
      <c r="F843" s="66" t="s">
        <v>744</v>
      </c>
      <c r="G843" s="66" t="s">
        <v>770</v>
      </c>
      <c r="H843" s="66" t="s">
        <v>939</v>
      </c>
      <c r="I843" s="66" t="s">
        <v>170</v>
      </c>
      <c r="J843" s="66" t="s">
        <v>168</v>
      </c>
      <c r="K843" s="66" t="s">
        <v>747</v>
      </c>
      <c r="L843" s="67">
        <v>9000000</v>
      </c>
      <c r="M843" s="67">
        <v>0</v>
      </c>
      <c r="N843" s="68">
        <f t="shared" si="54"/>
        <v>9000000</v>
      </c>
      <c r="O843" s="69">
        <f t="shared" si="53"/>
        <v>9000000</v>
      </c>
      <c r="P843" s="42" t="str">
        <f>IFERROR(VLOOKUP(J843,'Mã NV'!$B:$C,2,0),"")</f>
        <v>XE01263</v>
      </c>
      <c r="Q843" s="70" t="str">
        <f>IFERROR(VLOOKUP(I843,'Mã NV'!$J:$K,2,0),"")</f>
        <v>8T</v>
      </c>
    </row>
    <row r="844" customHeight="1" spans="1:19">
      <c r="A844" s="63">
        <f t="shared" ref="A844:A907" si="55">A843+1</f>
        <v>841</v>
      </c>
      <c r="B844" s="64">
        <v>46165</v>
      </c>
      <c r="C844" s="65"/>
      <c r="D844" s="66" t="s">
        <v>24</v>
      </c>
      <c r="E844" s="66" t="s">
        <v>24</v>
      </c>
      <c r="F844" s="66" t="s">
        <v>744</v>
      </c>
      <c r="G844" s="66" t="s">
        <v>770</v>
      </c>
      <c r="H844" s="66" t="s">
        <v>939</v>
      </c>
      <c r="I844" s="66" t="s">
        <v>170</v>
      </c>
      <c r="J844" s="66" t="s">
        <v>203</v>
      </c>
      <c r="K844" s="66" t="s">
        <v>747</v>
      </c>
      <c r="L844" s="67">
        <v>9000000</v>
      </c>
      <c r="M844" s="67">
        <v>0</v>
      </c>
      <c r="N844" s="68">
        <f t="shared" si="54"/>
        <v>9000000</v>
      </c>
      <c r="O844" s="69">
        <f t="shared" si="53"/>
        <v>9000000</v>
      </c>
      <c r="P844" s="42" t="str">
        <f>IFERROR(VLOOKUP(J844,'Mã NV'!$B:$C,2,0),"")</f>
        <v>XE01149</v>
      </c>
      <c r="Q844" s="70" t="str">
        <f>IFERROR(VLOOKUP(I844,'Mã NV'!$J:$K,2,0),"")</f>
        <v>8T</v>
      </c>
    </row>
    <row r="845" customHeight="1" spans="1:19">
      <c r="A845" s="63">
        <f t="shared" si="55"/>
        <v>842</v>
      </c>
      <c r="B845" s="64">
        <v>46165</v>
      </c>
      <c r="C845" s="65"/>
      <c r="D845" s="66" t="s">
        <v>24</v>
      </c>
      <c r="E845" s="66" t="s">
        <v>24</v>
      </c>
      <c r="F845" s="66" t="s">
        <v>744</v>
      </c>
      <c r="G845" s="66" t="s">
        <v>770</v>
      </c>
      <c r="H845" s="66" t="s">
        <v>887</v>
      </c>
      <c r="I845" s="66" t="s">
        <v>205</v>
      </c>
      <c r="J845" s="66" t="s">
        <v>312</v>
      </c>
      <c r="K845" s="66" t="s">
        <v>747</v>
      </c>
      <c r="L845" s="67">
        <v>4500000</v>
      </c>
      <c r="M845" s="67">
        <v>0</v>
      </c>
      <c r="N845" s="68">
        <f t="shared" si="54"/>
        <v>4500000</v>
      </c>
      <c r="O845" s="69">
        <f t="shared" si="53"/>
        <v>4500000</v>
      </c>
      <c r="P845" s="42" t="str">
        <f>IFERROR(VLOOKUP(J845,'Mã NV'!$B:$C,2,0),"")</f>
        <v>XE01582</v>
      </c>
      <c r="Q845" s="70" t="str">
        <f>IFERROR(VLOOKUP(I845,'Mã NV'!$J:$K,2,0),"")</f>
        <v>8T</v>
      </c>
    </row>
    <row r="846" customHeight="1" spans="1:19">
      <c r="A846" s="63">
        <f t="shared" si="55"/>
        <v>843</v>
      </c>
      <c r="B846" s="64">
        <v>46165</v>
      </c>
      <c r="C846" s="65"/>
      <c r="D846" s="66" t="s">
        <v>24</v>
      </c>
      <c r="E846" s="66" t="s">
        <v>24</v>
      </c>
      <c r="F846" s="66" t="s">
        <v>744</v>
      </c>
      <c r="G846" s="66" t="s">
        <v>770</v>
      </c>
      <c r="H846" s="66" t="s">
        <v>887</v>
      </c>
      <c r="I846" s="66" t="s">
        <v>205</v>
      </c>
      <c r="J846" s="66" t="s">
        <v>314</v>
      </c>
      <c r="K846" s="66" t="s">
        <v>747</v>
      </c>
      <c r="L846" s="67">
        <v>4500000</v>
      </c>
      <c r="M846" s="67">
        <v>0</v>
      </c>
      <c r="N846" s="68">
        <f t="shared" si="54"/>
        <v>4500000</v>
      </c>
      <c r="O846" s="69">
        <f t="shared" si="53"/>
        <v>4500000</v>
      </c>
      <c r="P846" s="42" t="str">
        <f>IFERROR(VLOOKUP(J846,'Mã NV'!$B:$C,2,0),"")</f>
        <v>XE01583</v>
      </c>
      <c r="Q846" s="70" t="str">
        <f>IFERROR(VLOOKUP(I846,'Mã NV'!$J:$K,2,0),"")</f>
        <v>8T</v>
      </c>
    </row>
    <row r="847" customHeight="1" spans="1:19">
      <c r="A847" s="63">
        <f t="shared" si="55"/>
        <v>844</v>
      </c>
      <c r="B847" s="64">
        <v>46143</v>
      </c>
      <c r="C847" s="65"/>
      <c r="D847" s="66" t="s">
        <v>98</v>
      </c>
      <c r="E847" s="66" t="s">
        <v>98</v>
      </c>
      <c r="F847" s="66" t="s">
        <v>744</v>
      </c>
      <c r="G847" s="66" t="s">
        <v>775</v>
      </c>
      <c r="H847" s="66" t="s">
        <v>754</v>
      </c>
      <c r="I847" s="66" t="s">
        <v>176</v>
      </c>
      <c r="J847" s="66" t="s">
        <v>192</v>
      </c>
      <c r="K847" s="66" t="s">
        <v>747</v>
      </c>
      <c r="L847" s="67">
        <v>3000000</v>
      </c>
      <c r="M847" s="67">
        <v>0</v>
      </c>
      <c r="N847" s="68">
        <f t="shared" si="54"/>
        <v>3000000</v>
      </c>
      <c r="O847" s="69">
        <f t="shared" si="53"/>
        <v>3000000</v>
      </c>
      <c r="P847" s="42" t="str">
        <f>IFERROR(VLOOKUP(J847,'Mã NV'!$B:$C,2,0),"")</f>
        <v>XE01335</v>
      </c>
      <c r="Q847" s="70" t="str">
        <f>IFERROR(VLOOKUP(I847,'Mã NV'!$J:$K,2,0),"")</f>
        <v>8T</v>
      </c>
      <c r="S847" s="44">
        <f>L847*2%</f>
        <v>60000</v>
      </c>
    </row>
    <row r="848" customHeight="1" spans="1:19">
      <c r="A848" s="63">
        <f t="shared" si="55"/>
        <v>845</v>
      </c>
      <c r="B848" s="64">
        <v>46143</v>
      </c>
      <c r="C848" s="65"/>
      <c r="D848" s="66" t="s">
        <v>98</v>
      </c>
      <c r="E848" s="66" t="s">
        <v>98</v>
      </c>
      <c r="F848" s="66" t="s">
        <v>744</v>
      </c>
      <c r="G848" s="66" t="s">
        <v>775</v>
      </c>
      <c r="H848" s="66" t="s">
        <v>754</v>
      </c>
      <c r="I848" s="66" t="s">
        <v>176</v>
      </c>
      <c r="J848" s="66" t="s">
        <v>354</v>
      </c>
      <c r="K848" s="66" t="s">
        <v>747</v>
      </c>
      <c r="L848" s="67">
        <v>3000000</v>
      </c>
      <c r="M848" s="67">
        <v>0</v>
      </c>
      <c r="N848" s="68">
        <f t="shared" si="54"/>
        <v>3000000</v>
      </c>
      <c r="O848" s="69">
        <f t="shared" si="53"/>
        <v>3000000</v>
      </c>
      <c r="P848" s="42" t="str">
        <f>IFERROR(VLOOKUP(J848,'Mã NV'!$B:$C,2,0),"")</f>
        <v>XE01644</v>
      </c>
      <c r="Q848" s="70" t="str">
        <f>IFERROR(VLOOKUP(I848,'Mã NV'!$J:$K,2,0),"")</f>
        <v>8T</v>
      </c>
      <c r="S848" s="44">
        <f t="shared" ref="S848:S865" si="56">L848*2%</f>
        <v>60000</v>
      </c>
    </row>
    <row r="849" customHeight="1" spans="1:19">
      <c r="A849" s="63">
        <f t="shared" si="55"/>
        <v>846</v>
      </c>
      <c r="B849" s="64">
        <v>46147</v>
      </c>
      <c r="C849" s="65"/>
      <c r="D849" s="66" t="s">
        <v>98</v>
      </c>
      <c r="E849" s="66" t="s">
        <v>98</v>
      </c>
      <c r="F849" s="66" t="s">
        <v>744</v>
      </c>
      <c r="G849" s="66" t="s">
        <v>775</v>
      </c>
      <c r="H849" s="66" t="s">
        <v>770</v>
      </c>
      <c r="I849" s="66" t="s">
        <v>97</v>
      </c>
      <c r="J849" s="66" t="s">
        <v>95</v>
      </c>
      <c r="K849" s="66" t="s">
        <v>747</v>
      </c>
      <c r="L849" s="67">
        <v>2000000</v>
      </c>
      <c r="M849" s="67">
        <v>0</v>
      </c>
      <c r="N849" s="68">
        <f t="shared" si="54"/>
        <v>2000000</v>
      </c>
      <c r="O849" s="69">
        <f t="shared" si="53"/>
        <v>2000000</v>
      </c>
      <c r="P849" s="42" t="str">
        <f>IFERROR(VLOOKUP(J849,'Mã NV'!$B:$C,2,0),"")</f>
        <v>XE01379</v>
      </c>
      <c r="Q849" s="70" t="str">
        <f>IFERROR(VLOOKUP(I849,'Mã NV'!$J:$K,2,0),"")</f>
        <v> 3T5 Lạnh </v>
      </c>
      <c r="S849" s="44">
        <f t="shared" si="56"/>
        <v>40000</v>
      </c>
    </row>
    <row r="850" customHeight="1" spans="1:19">
      <c r="A850" s="63">
        <f t="shared" si="55"/>
        <v>847</v>
      </c>
      <c r="B850" s="64">
        <v>46147</v>
      </c>
      <c r="C850" s="65"/>
      <c r="D850" s="66" t="s">
        <v>98</v>
      </c>
      <c r="E850" s="66" t="s">
        <v>98</v>
      </c>
      <c r="F850" s="66" t="s">
        <v>744</v>
      </c>
      <c r="G850" s="66" t="s">
        <v>775</v>
      </c>
      <c r="H850" s="66" t="s">
        <v>772</v>
      </c>
      <c r="I850" s="66" t="s">
        <v>208</v>
      </c>
      <c r="J850" s="66" t="s">
        <v>219</v>
      </c>
      <c r="K850" s="66" t="s">
        <v>747</v>
      </c>
      <c r="L850" s="67">
        <v>7000000</v>
      </c>
      <c r="M850" s="67">
        <v>0</v>
      </c>
      <c r="N850" s="68">
        <f t="shared" si="54"/>
        <v>7000000</v>
      </c>
      <c r="O850" s="69">
        <f t="shared" si="53"/>
        <v>7000000</v>
      </c>
      <c r="P850" s="42" t="str">
        <f>IFERROR(VLOOKUP(J850,'Mã NV'!$B:$C,2,0),"")</f>
        <v>XE00499</v>
      </c>
      <c r="Q850" s="70" t="str">
        <f>IFERROR(VLOOKUP(I850,'Mã NV'!$J:$K,2,0),"")</f>
        <v>15T</v>
      </c>
      <c r="S850" s="44">
        <f t="shared" si="56"/>
        <v>140000</v>
      </c>
    </row>
    <row r="851" customHeight="1" spans="1:19">
      <c r="A851" s="63">
        <f t="shared" si="55"/>
        <v>848</v>
      </c>
      <c r="B851" s="64">
        <v>46147</v>
      </c>
      <c r="C851" s="65"/>
      <c r="D851" s="66" t="s">
        <v>98</v>
      </c>
      <c r="E851" s="66" t="s">
        <v>98</v>
      </c>
      <c r="F851" s="66" t="s">
        <v>744</v>
      </c>
      <c r="G851" s="66" t="s">
        <v>775</v>
      </c>
      <c r="H851" s="66" t="s">
        <v>772</v>
      </c>
      <c r="I851" s="66" t="s">
        <v>208</v>
      </c>
      <c r="J851" s="66" t="s">
        <v>206</v>
      </c>
      <c r="K851" s="66" t="s">
        <v>747</v>
      </c>
      <c r="L851" s="67">
        <v>7000000</v>
      </c>
      <c r="M851" s="67">
        <v>0</v>
      </c>
      <c r="N851" s="68">
        <f t="shared" si="54"/>
        <v>7000000</v>
      </c>
      <c r="O851" s="69">
        <f t="shared" si="53"/>
        <v>7000000</v>
      </c>
      <c r="P851" s="42" t="str">
        <f>IFERROR(VLOOKUP(J851,'Mã NV'!$B:$C,2,0),"")</f>
        <v>XE00934</v>
      </c>
      <c r="Q851" s="70" t="str">
        <f>IFERROR(VLOOKUP(I851,'Mã NV'!$J:$K,2,0),"")</f>
        <v>15T</v>
      </c>
      <c r="S851" s="44">
        <f t="shared" si="56"/>
        <v>140000</v>
      </c>
    </row>
    <row r="852" customHeight="1" spans="1:19">
      <c r="A852" s="63">
        <f t="shared" si="55"/>
        <v>849</v>
      </c>
      <c r="B852" s="64">
        <v>46148</v>
      </c>
      <c r="C852" s="65"/>
      <c r="D852" s="66" t="s">
        <v>98</v>
      </c>
      <c r="E852" s="66" t="s">
        <v>98</v>
      </c>
      <c r="F852" s="66" t="s">
        <v>744</v>
      </c>
      <c r="G852" s="66" t="s">
        <v>775</v>
      </c>
      <c r="H852" s="66" t="s">
        <v>758</v>
      </c>
      <c r="I852" s="66" t="s">
        <v>103</v>
      </c>
      <c r="J852" s="66" t="s">
        <v>101</v>
      </c>
      <c r="K852" s="66" t="s">
        <v>747</v>
      </c>
      <c r="L852" s="67">
        <v>5000000</v>
      </c>
      <c r="M852" s="67">
        <v>0</v>
      </c>
      <c r="N852" s="68">
        <f t="shared" si="54"/>
        <v>5000000</v>
      </c>
      <c r="O852" s="69">
        <f t="shared" si="53"/>
        <v>5000000</v>
      </c>
      <c r="P852" s="42" t="str">
        <f>IFERROR(VLOOKUP(J852,'Mã NV'!$B:$C,2,0),"")</f>
        <v>XE01434</v>
      </c>
      <c r="Q852" s="70" t="str">
        <f>IFERROR(VLOOKUP(I852,'Mã NV'!$J:$K,2,0),"")</f>
        <v>7.1t</v>
      </c>
      <c r="S852" s="44">
        <f t="shared" si="56"/>
        <v>100000</v>
      </c>
    </row>
    <row r="853" customHeight="1" spans="1:19">
      <c r="A853" s="63">
        <f t="shared" si="55"/>
        <v>850</v>
      </c>
      <c r="B853" s="64">
        <v>46148</v>
      </c>
      <c r="C853" s="65"/>
      <c r="D853" s="66" t="s">
        <v>98</v>
      </c>
      <c r="E853" s="66" t="s">
        <v>98</v>
      </c>
      <c r="F853" s="66" t="s">
        <v>744</v>
      </c>
      <c r="G853" s="66" t="s">
        <v>775</v>
      </c>
      <c r="H853" s="66" t="s">
        <v>758</v>
      </c>
      <c r="I853" s="66" t="s">
        <v>103</v>
      </c>
      <c r="J853" s="66" t="s">
        <v>172</v>
      </c>
      <c r="K853" s="66" t="s">
        <v>747</v>
      </c>
      <c r="L853" s="67">
        <v>5000000</v>
      </c>
      <c r="M853" s="67">
        <v>0</v>
      </c>
      <c r="N853" s="68">
        <f t="shared" si="54"/>
        <v>5000000</v>
      </c>
      <c r="O853" s="69">
        <f t="shared" si="53"/>
        <v>5000000</v>
      </c>
      <c r="P853" s="42" t="str">
        <f>IFERROR(VLOOKUP(J853,'Mã NV'!$B:$C,2,0),"")</f>
        <v>XE01433</v>
      </c>
      <c r="Q853" s="70" t="str">
        <f>IFERROR(VLOOKUP(I853,'Mã NV'!$J:$K,2,0),"")</f>
        <v>7.1t</v>
      </c>
      <c r="S853" s="44">
        <f t="shared" si="56"/>
        <v>100000</v>
      </c>
    </row>
    <row r="854" customHeight="1" spans="1:19">
      <c r="A854" s="63">
        <f t="shared" si="55"/>
        <v>851</v>
      </c>
      <c r="B854" s="64">
        <v>46149</v>
      </c>
      <c r="C854" s="65"/>
      <c r="D854" s="66" t="s">
        <v>98</v>
      </c>
      <c r="E854" s="66" t="s">
        <v>98</v>
      </c>
      <c r="F854" s="66" t="s">
        <v>744</v>
      </c>
      <c r="G854" s="66" t="s">
        <v>775</v>
      </c>
      <c r="H854" s="66" t="s">
        <v>770</v>
      </c>
      <c r="I854" s="66" t="s">
        <v>97</v>
      </c>
      <c r="J854" s="66" t="s">
        <v>95</v>
      </c>
      <c r="K854" s="66" t="s">
        <v>747</v>
      </c>
      <c r="L854" s="67">
        <v>2000000</v>
      </c>
      <c r="M854" s="67">
        <v>0</v>
      </c>
      <c r="N854" s="68">
        <f t="shared" si="54"/>
        <v>2000000</v>
      </c>
      <c r="O854" s="69">
        <f t="shared" si="53"/>
        <v>2000000</v>
      </c>
      <c r="P854" s="42" t="str">
        <f>IFERROR(VLOOKUP(J854,'Mã NV'!$B:$C,2,0),"")</f>
        <v>XE01379</v>
      </c>
      <c r="Q854" s="70" t="str">
        <f>IFERROR(VLOOKUP(I854,'Mã NV'!$J:$K,2,0),"")</f>
        <v> 3T5 Lạnh </v>
      </c>
      <c r="S854" s="44">
        <f t="shared" si="56"/>
        <v>40000</v>
      </c>
    </row>
    <row r="855" customHeight="1" spans="1:19">
      <c r="A855" s="63">
        <f t="shared" si="55"/>
        <v>852</v>
      </c>
      <c r="B855" s="64">
        <v>46151</v>
      </c>
      <c r="C855" s="65"/>
      <c r="D855" s="66" t="s">
        <v>98</v>
      </c>
      <c r="E855" s="66" t="s">
        <v>98</v>
      </c>
      <c r="F855" s="66" t="s">
        <v>744</v>
      </c>
      <c r="G855" s="66" t="s">
        <v>775</v>
      </c>
      <c r="H855" s="66" t="s">
        <v>770</v>
      </c>
      <c r="I855" s="66" t="s">
        <v>353</v>
      </c>
      <c r="J855" s="66" t="s">
        <v>351</v>
      </c>
      <c r="K855" s="66" t="s">
        <v>747</v>
      </c>
      <c r="L855" s="67">
        <v>2000000</v>
      </c>
      <c r="M855" s="67">
        <v>0</v>
      </c>
      <c r="N855" s="68">
        <f t="shared" si="54"/>
        <v>2000000</v>
      </c>
      <c r="O855" s="69">
        <f t="shared" si="53"/>
        <v>2000000</v>
      </c>
      <c r="P855" s="42" t="str">
        <f>IFERROR(VLOOKUP(J855,'Mã NV'!$B:$C,2,0),"")</f>
        <v>XE01642</v>
      </c>
      <c r="Q855" s="70" t="str">
        <f>IFERROR(VLOOKUP(I855,'Mã NV'!$J:$K,2,0),"")</f>
        <v>2T5 Lạnh </v>
      </c>
      <c r="S855" s="44">
        <f t="shared" si="56"/>
        <v>40000</v>
      </c>
    </row>
    <row r="856" customHeight="1" spans="1:19">
      <c r="A856" s="63">
        <f t="shared" si="55"/>
        <v>853</v>
      </c>
      <c r="B856" s="64">
        <v>46154</v>
      </c>
      <c r="C856" s="65"/>
      <c r="D856" s="66" t="s">
        <v>98</v>
      </c>
      <c r="E856" s="66" t="s">
        <v>98</v>
      </c>
      <c r="F856" s="66" t="s">
        <v>744</v>
      </c>
      <c r="G856" s="66" t="s">
        <v>775</v>
      </c>
      <c r="H856" s="66" t="s">
        <v>770</v>
      </c>
      <c r="I856" s="66" t="s">
        <v>392</v>
      </c>
      <c r="J856" s="66" t="s">
        <v>390</v>
      </c>
      <c r="K856" s="66" t="s">
        <v>747</v>
      </c>
      <c r="L856" s="67">
        <v>2000000</v>
      </c>
      <c r="M856" s="67">
        <v>0</v>
      </c>
      <c r="N856" s="68">
        <f t="shared" si="54"/>
        <v>2000000</v>
      </c>
      <c r="O856" s="69">
        <f t="shared" si="53"/>
        <v>2000000</v>
      </c>
      <c r="P856" s="42" t="str">
        <f>IFERROR(VLOOKUP(J856,'Mã NV'!$B:$C,2,0),"")</f>
        <v>XE01665</v>
      </c>
      <c r="Q856" s="70" t="str">
        <f>IFERROR(VLOOKUP(I856,'Mã NV'!$J:$K,2,0),"")</f>
        <v>2T5 Lạnh </v>
      </c>
      <c r="S856" s="44">
        <f t="shared" si="56"/>
        <v>40000</v>
      </c>
    </row>
    <row r="857" customHeight="1" spans="1:19">
      <c r="A857" s="63">
        <f t="shared" si="55"/>
        <v>854</v>
      </c>
      <c r="B857" s="64">
        <v>46156</v>
      </c>
      <c r="C857" s="65"/>
      <c r="D857" s="66" t="s">
        <v>98</v>
      </c>
      <c r="E857" s="66" t="s">
        <v>98</v>
      </c>
      <c r="F857" s="66" t="s">
        <v>744</v>
      </c>
      <c r="G857" s="66" t="s">
        <v>775</v>
      </c>
      <c r="H857" s="66" t="s">
        <v>770</v>
      </c>
      <c r="I857" s="66" t="s">
        <v>97</v>
      </c>
      <c r="J857" s="66" t="s">
        <v>95</v>
      </c>
      <c r="K857" s="66" t="s">
        <v>747</v>
      </c>
      <c r="L857" s="67">
        <v>2000000</v>
      </c>
      <c r="M857" s="67">
        <v>0</v>
      </c>
      <c r="N857" s="68">
        <f t="shared" si="54"/>
        <v>2000000</v>
      </c>
      <c r="O857" s="69">
        <f t="shared" si="53"/>
        <v>2000000</v>
      </c>
      <c r="P857" s="42" t="str">
        <f>IFERROR(VLOOKUP(J857,'Mã NV'!$B:$C,2,0),"")</f>
        <v>XE01379</v>
      </c>
      <c r="Q857" s="70" t="str">
        <f>IFERROR(VLOOKUP(I857,'Mã NV'!$J:$K,2,0),"")</f>
        <v> 3T5 Lạnh </v>
      </c>
      <c r="S857" s="44">
        <f t="shared" si="56"/>
        <v>40000</v>
      </c>
    </row>
    <row r="858" customHeight="1" spans="1:19">
      <c r="A858" s="63">
        <f t="shared" si="55"/>
        <v>855</v>
      </c>
      <c r="B858" s="64">
        <v>46158</v>
      </c>
      <c r="C858" s="65"/>
      <c r="D858" s="66" t="s">
        <v>98</v>
      </c>
      <c r="E858" s="66" t="s">
        <v>98</v>
      </c>
      <c r="F858" s="66" t="s">
        <v>744</v>
      </c>
      <c r="G858" s="66" t="s">
        <v>775</v>
      </c>
      <c r="H858" s="66" t="s">
        <v>770</v>
      </c>
      <c r="I858" s="66" t="s">
        <v>353</v>
      </c>
      <c r="J858" s="66" t="s">
        <v>351</v>
      </c>
      <c r="K858" s="66" t="s">
        <v>747</v>
      </c>
      <c r="L858" s="67">
        <v>2000000</v>
      </c>
      <c r="M858" s="67">
        <v>0</v>
      </c>
      <c r="N858" s="68">
        <f t="shared" si="54"/>
        <v>2000000</v>
      </c>
      <c r="O858" s="69">
        <f t="shared" si="53"/>
        <v>2000000</v>
      </c>
      <c r="P858" s="42" t="str">
        <f>IFERROR(VLOOKUP(J858,'Mã NV'!$B:$C,2,0),"")</f>
        <v>XE01642</v>
      </c>
      <c r="Q858" s="70" t="str">
        <f>IFERROR(VLOOKUP(I858,'Mã NV'!$J:$K,2,0),"")</f>
        <v>2T5 Lạnh </v>
      </c>
      <c r="S858" s="44">
        <f t="shared" si="56"/>
        <v>40000</v>
      </c>
    </row>
    <row r="859" customHeight="1" spans="1:19">
      <c r="A859" s="63">
        <f t="shared" si="55"/>
        <v>856</v>
      </c>
      <c r="B859" s="64">
        <v>46161</v>
      </c>
      <c r="C859" s="65"/>
      <c r="D859" s="66" t="s">
        <v>98</v>
      </c>
      <c r="E859" s="66" t="s">
        <v>98</v>
      </c>
      <c r="F859" s="66" t="s">
        <v>744</v>
      </c>
      <c r="G859" s="66" t="s">
        <v>775</v>
      </c>
      <c r="H859" s="66" t="s">
        <v>770</v>
      </c>
      <c r="I859" s="66" t="s">
        <v>353</v>
      </c>
      <c r="J859" s="66" t="s">
        <v>351</v>
      </c>
      <c r="K859" s="66" t="s">
        <v>747</v>
      </c>
      <c r="L859" s="67">
        <v>2000000</v>
      </c>
      <c r="M859" s="67">
        <v>0</v>
      </c>
      <c r="N859" s="68">
        <f t="shared" si="54"/>
        <v>2000000</v>
      </c>
      <c r="O859" s="69">
        <f t="shared" si="53"/>
        <v>2000000</v>
      </c>
      <c r="P859" s="42" t="str">
        <f>IFERROR(VLOOKUP(J859,'Mã NV'!$B:$C,2,0),"")</f>
        <v>XE01642</v>
      </c>
      <c r="Q859" s="70" t="str">
        <f>IFERROR(VLOOKUP(I859,'Mã NV'!$J:$K,2,0),"")</f>
        <v>2T5 Lạnh </v>
      </c>
      <c r="S859" s="44">
        <f t="shared" si="56"/>
        <v>40000</v>
      </c>
    </row>
    <row r="860" customHeight="1" spans="1:19">
      <c r="A860" s="63">
        <f t="shared" si="55"/>
        <v>857</v>
      </c>
      <c r="B860" s="64">
        <v>46163</v>
      </c>
      <c r="C860" s="65"/>
      <c r="D860" s="66" t="s">
        <v>98</v>
      </c>
      <c r="E860" s="66" t="s">
        <v>98</v>
      </c>
      <c r="F860" s="66" t="s">
        <v>744</v>
      </c>
      <c r="G860" s="66" t="s">
        <v>775</v>
      </c>
      <c r="H860" s="66" t="s">
        <v>940</v>
      </c>
      <c r="I860" s="66" t="s">
        <v>97</v>
      </c>
      <c r="J860" s="66" t="s">
        <v>95</v>
      </c>
      <c r="K860" s="66" t="s">
        <v>747</v>
      </c>
      <c r="L860" s="67">
        <v>2000000</v>
      </c>
      <c r="M860" s="67">
        <v>0</v>
      </c>
      <c r="N860" s="68">
        <f t="shared" si="54"/>
        <v>2000000</v>
      </c>
      <c r="O860" s="69">
        <f t="shared" si="53"/>
        <v>2000000</v>
      </c>
      <c r="P860" s="42" t="str">
        <f>IFERROR(VLOOKUP(J860,'Mã NV'!$B:$C,2,0),"")</f>
        <v>XE01379</v>
      </c>
      <c r="Q860" s="70" t="str">
        <f>IFERROR(VLOOKUP(I860,'Mã NV'!$J:$K,2,0),"")</f>
        <v> 3T5 Lạnh </v>
      </c>
      <c r="S860" s="44">
        <f t="shared" si="56"/>
        <v>40000</v>
      </c>
    </row>
    <row r="861" customHeight="1" spans="1:19">
      <c r="A861" s="63">
        <f t="shared" si="55"/>
        <v>858</v>
      </c>
      <c r="B861" s="64">
        <v>46165</v>
      </c>
      <c r="C861" s="65"/>
      <c r="D861" s="66" t="s">
        <v>98</v>
      </c>
      <c r="E861" s="66" t="s">
        <v>98</v>
      </c>
      <c r="F861" s="66" t="s">
        <v>744</v>
      </c>
      <c r="G861" s="66" t="s">
        <v>775</v>
      </c>
      <c r="H861" s="66" t="s">
        <v>762</v>
      </c>
      <c r="I861" s="66" t="s">
        <v>320</v>
      </c>
      <c r="J861" s="66" t="s">
        <v>318</v>
      </c>
      <c r="K861" s="66" t="s">
        <v>747</v>
      </c>
      <c r="L861" s="67">
        <v>2000000</v>
      </c>
      <c r="M861" s="67">
        <v>0</v>
      </c>
      <c r="N861" s="68">
        <f t="shared" si="54"/>
        <v>2000000</v>
      </c>
      <c r="O861" s="69">
        <f t="shared" si="53"/>
        <v>2000000</v>
      </c>
      <c r="P861" s="42" t="str">
        <f>IFERROR(VLOOKUP(J861,'Mã NV'!$B:$C,2,0),"")</f>
        <v>XE01597</v>
      </c>
      <c r="Q861" s="70" t="str">
        <f>IFERROR(VLOOKUP(I861,'Mã NV'!$J:$K,2,0),"")</f>
        <v>2T5 Lạnh </v>
      </c>
      <c r="S861" s="44">
        <f t="shared" si="56"/>
        <v>40000</v>
      </c>
    </row>
    <row r="862" customHeight="1" spans="1:19">
      <c r="A862" s="63">
        <f t="shared" si="55"/>
        <v>859</v>
      </c>
      <c r="B862" s="64">
        <v>46168</v>
      </c>
      <c r="C862" s="65"/>
      <c r="D862" s="66" t="s">
        <v>98</v>
      </c>
      <c r="E862" s="66" t="s">
        <v>98</v>
      </c>
      <c r="F862" s="66" t="s">
        <v>744</v>
      </c>
      <c r="G862" s="66" t="s">
        <v>941</v>
      </c>
      <c r="H862" s="66" t="s">
        <v>762</v>
      </c>
      <c r="I862" s="66" t="s">
        <v>353</v>
      </c>
      <c r="J862" s="66" t="s">
        <v>351</v>
      </c>
      <c r="K862" s="66" t="s">
        <v>747</v>
      </c>
      <c r="L862" s="67">
        <v>2000000</v>
      </c>
      <c r="M862" s="67">
        <v>0</v>
      </c>
      <c r="N862" s="68">
        <f t="shared" si="54"/>
        <v>2000000</v>
      </c>
      <c r="O862" s="69">
        <f t="shared" si="53"/>
        <v>2000000</v>
      </c>
      <c r="P862" s="42" t="str">
        <f>IFERROR(VLOOKUP(J862,'Mã NV'!$B:$C,2,0),"")</f>
        <v>XE01642</v>
      </c>
      <c r="Q862" s="70" t="str">
        <f>IFERROR(VLOOKUP(I862,'Mã NV'!$J:$K,2,0),"")</f>
        <v>2T5 Lạnh </v>
      </c>
      <c r="S862" s="44">
        <f t="shared" si="56"/>
        <v>40000</v>
      </c>
    </row>
    <row r="863" customHeight="1" spans="1:19">
      <c r="A863" s="63">
        <f t="shared" si="55"/>
        <v>860</v>
      </c>
      <c r="B863" s="64">
        <v>46170</v>
      </c>
      <c r="C863" s="65"/>
      <c r="D863" s="66" t="s">
        <v>98</v>
      </c>
      <c r="E863" s="66" t="s">
        <v>98</v>
      </c>
      <c r="F863" s="66" t="s">
        <v>744</v>
      </c>
      <c r="G863" s="66" t="s">
        <v>775</v>
      </c>
      <c r="H863" s="66" t="s">
        <v>770</v>
      </c>
      <c r="I863" s="66" t="s">
        <v>97</v>
      </c>
      <c r="J863" s="66" t="s">
        <v>95</v>
      </c>
      <c r="K863" s="66" t="s">
        <v>747</v>
      </c>
      <c r="L863" s="67">
        <v>2000000</v>
      </c>
      <c r="M863" s="67">
        <v>0</v>
      </c>
      <c r="N863" s="68">
        <f t="shared" si="54"/>
        <v>2000000</v>
      </c>
      <c r="O863" s="69">
        <f t="shared" si="53"/>
        <v>2000000</v>
      </c>
      <c r="P863" s="42" t="str">
        <f>IFERROR(VLOOKUP(J863,'Mã NV'!$B:$C,2,0),"")</f>
        <v>XE01379</v>
      </c>
      <c r="Q863" s="70" t="str">
        <f>IFERROR(VLOOKUP(I863,'Mã NV'!$J:$K,2,0),"")</f>
        <v> 3T5 Lạnh </v>
      </c>
      <c r="S863" s="44">
        <f t="shared" si="56"/>
        <v>40000</v>
      </c>
    </row>
    <row r="864" customHeight="1" spans="1:19">
      <c r="A864" s="63">
        <f t="shared" si="55"/>
        <v>861</v>
      </c>
      <c r="B864" s="64">
        <v>46171</v>
      </c>
      <c r="C864" s="65"/>
      <c r="D864" s="66" t="s">
        <v>98</v>
      </c>
      <c r="E864" s="66" t="s">
        <v>98</v>
      </c>
      <c r="F864" s="66" t="s">
        <v>744</v>
      </c>
      <c r="G864" s="66" t="s">
        <v>770</v>
      </c>
      <c r="H864" s="66" t="s">
        <v>775</v>
      </c>
      <c r="I864" s="66" t="s">
        <v>170</v>
      </c>
      <c r="J864" s="66" t="s">
        <v>168</v>
      </c>
      <c r="K864" s="66" t="s">
        <v>747</v>
      </c>
      <c r="L864" s="67">
        <v>4250000</v>
      </c>
      <c r="M864" s="67">
        <v>0</v>
      </c>
      <c r="N864" s="68">
        <f t="shared" si="54"/>
        <v>4250000</v>
      </c>
      <c r="O864" s="69">
        <f t="shared" si="53"/>
        <v>4250000</v>
      </c>
      <c r="P864" s="42" t="str">
        <f>IFERROR(VLOOKUP(J864,'Mã NV'!$B:$C,2,0),"")</f>
        <v>XE01263</v>
      </c>
      <c r="Q864" s="70" t="str">
        <f>IFERROR(VLOOKUP(I864,'Mã NV'!$J:$K,2,0),"")</f>
        <v>8T</v>
      </c>
      <c r="S864" s="44">
        <f t="shared" si="56"/>
        <v>85000</v>
      </c>
    </row>
    <row r="865" customHeight="1" spans="1:19">
      <c r="A865" s="63">
        <f t="shared" si="55"/>
        <v>862</v>
      </c>
      <c r="B865" s="64">
        <v>46171</v>
      </c>
      <c r="C865" s="65"/>
      <c r="D865" s="66" t="s">
        <v>98</v>
      </c>
      <c r="E865" s="66" t="s">
        <v>98</v>
      </c>
      <c r="F865" s="66" t="s">
        <v>744</v>
      </c>
      <c r="G865" s="66" t="s">
        <v>770</v>
      </c>
      <c r="H865" s="66" t="s">
        <v>775</v>
      </c>
      <c r="I865" s="66" t="s">
        <v>170</v>
      </c>
      <c r="J865" s="66" t="s">
        <v>312</v>
      </c>
      <c r="K865" s="66" t="s">
        <v>747</v>
      </c>
      <c r="L865" s="67">
        <v>4250000</v>
      </c>
      <c r="M865" s="67">
        <v>0</v>
      </c>
      <c r="N865" s="68">
        <f t="shared" si="54"/>
        <v>4250000</v>
      </c>
      <c r="O865" s="69">
        <f t="shared" si="53"/>
        <v>4250000</v>
      </c>
      <c r="P865" s="42" t="str">
        <f>IFERROR(VLOOKUP(J865,'Mã NV'!$B:$C,2,0),"")</f>
        <v>XE01582</v>
      </c>
      <c r="Q865" s="70" t="str">
        <f>IFERROR(VLOOKUP(I865,'Mã NV'!$J:$K,2,0),"")</f>
        <v>8T</v>
      </c>
      <c r="S865" s="44">
        <f t="shared" si="56"/>
        <v>85000</v>
      </c>
    </row>
    <row r="866" customHeight="1" spans="1:19">
      <c r="A866" s="63">
        <f t="shared" si="55"/>
        <v>863</v>
      </c>
      <c r="B866" s="64">
        <v>46155</v>
      </c>
      <c r="C866" s="65"/>
      <c r="D866" s="66" t="s">
        <v>92</v>
      </c>
      <c r="E866" s="66" t="s">
        <v>92</v>
      </c>
      <c r="F866" s="66" t="s">
        <v>744</v>
      </c>
      <c r="G866" s="66" t="s">
        <v>942</v>
      </c>
      <c r="H866" s="66" t="s">
        <v>759</v>
      </c>
      <c r="I866" s="66" t="s">
        <v>293</v>
      </c>
      <c r="J866" s="66" t="s">
        <v>294</v>
      </c>
      <c r="K866" s="66" t="s">
        <v>747</v>
      </c>
      <c r="L866" s="67">
        <v>4500000</v>
      </c>
      <c r="M866" s="67">
        <v>0</v>
      </c>
      <c r="N866" s="68">
        <f t="shared" si="54"/>
        <v>4500000</v>
      </c>
      <c r="O866" s="69">
        <f t="shared" si="53"/>
        <v>4500000</v>
      </c>
      <c r="P866" s="42" t="str">
        <f>IFERROR(VLOOKUP(J866,'Mã NV'!$B:$C,2,0),"")</f>
        <v>XE01551</v>
      </c>
      <c r="Q866" s="70" t="str">
        <f>IFERROR(VLOOKUP(I866,'Mã NV'!$J:$K,2,0),"")</f>
        <v>8T</v>
      </c>
    </row>
    <row r="867" customHeight="1" spans="1:19">
      <c r="A867" s="63">
        <f t="shared" si="55"/>
        <v>864</v>
      </c>
      <c r="B867" s="64">
        <v>46155</v>
      </c>
      <c r="C867" s="65"/>
      <c r="D867" s="66" t="s">
        <v>92</v>
      </c>
      <c r="E867" s="66" t="s">
        <v>92</v>
      </c>
      <c r="F867" s="66" t="s">
        <v>744</v>
      </c>
      <c r="G867" s="66" t="s">
        <v>942</v>
      </c>
      <c r="H867" s="66" t="s">
        <v>759</v>
      </c>
      <c r="I867" s="66" t="s">
        <v>293</v>
      </c>
      <c r="J867" s="66" t="s">
        <v>291</v>
      </c>
      <c r="K867" s="66" t="s">
        <v>747</v>
      </c>
      <c r="L867" s="67">
        <v>4500000</v>
      </c>
      <c r="M867" s="67">
        <v>0</v>
      </c>
      <c r="N867" s="68">
        <f t="shared" si="54"/>
        <v>4500000</v>
      </c>
      <c r="O867" s="69">
        <f t="shared" si="53"/>
        <v>4500000</v>
      </c>
      <c r="P867" s="42" t="str">
        <f>IFERROR(VLOOKUP(J867,'Mã NV'!$B:$C,2,0),"")</f>
        <v>XE01552</v>
      </c>
      <c r="Q867" s="70" t="str">
        <f>IFERROR(VLOOKUP(I867,'Mã NV'!$J:$K,2,0),"")</f>
        <v>8T</v>
      </c>
    </row>
    <row r="868" customHeight="1" spans="1:19">
      <c r="A868" s="63">
        <f t="shared" si="55"/>
        <v>865</v>
      </c>
      <c r="B868" s="64">
        <v>46158</v>
      </c>
      <c r="C868" s="65"/>
      <c r="D868" s="66" t="s">
        <v>92</v>
      </c>
      <c r="E868" s="66" t="s">
        <v>92</v>
      </c>
      <c r="F868" s="66" t="s">
        <v>744</v>
      </c>
      <c r="G868" s="66" t="s">
        <v>768</v>
      </c>
      <c r="H868" s="66" t="s">
        <v>812</v>
      </c>
      <c r="I868" s="66" t="s">
        <v>149</v>
      </c>
      <c r="J868" s="66" t="s">
        <v>147</v>
      </c>
      <c r="K868" s="66" t="s">
        <v>747</v>
      </c>
      <c r="L868" s="67">
        <v>5500000</v>
      </c>
      <c r="M868" s="67">
        <v>0</v>
      </c>
      <c r="N868" s="68">
        <f t="shared" si="54"/>
        <v>5500000</v>
      </c>
      <c r="O868" s="69">
        <f t="shared" si="53"/>
        <v>5500000</v>
      </c>
      <c r="P868" s="42" t="str">
        <f>IFERROR(VLOOKUP(J868,'Mã NV'!$B:$C,2,0),"")</f>
        <v>XE01304</v>
      </c>
      <c r="Q868" s="70" t="str">
        <f>IFERROR(VLOOKUP(I868,'Mã NV'!$J:$K,2,0),"")</f>
        <v>8T</v>
      </c>
    </row>
    <row r="869" customHeight="1" spans="1:19">
      <c r="A869" s="63">
        <f t="shared" si="55"/>
        <v>866</v>
      </c>
      <c r="B869" s="64">
        <v>46158</v>
      </c>
      <c r="C869" s="65"/>
      <c r="D869" s="66" t="s">
        <v>92</v>
      </c>
      <c r="E869" s="66" t="s">
        <v>92</v>
      </c>
      <c r="F869" s="66" t="s">
        <v>744</v>
      </c>
      <c r="G869" s="66" t="s">
        <v>768</v>
      </c>
      <c r="H869" s="66" t="s">
        <v>812</v>
      </c>
      <c r="I869" s="66" t="s">
        <v>149</v>
      </c>
      <c r="J869" s="66" t="s">
        <v>235</v>
      </c>
      <c r="K869" s="66" t="s">
        <v>747</v>
      </c>
      <c r="L869" s="67">
        <v>5500000</v>
      </c>
      <c r="M869" s="67">
        <v>0</v>
      </c>
      <c r="N869" s="68">
        <f t="shared" si="54"/>
        <v>5500000</v>
      </c>
      <c r="O869" s="69">
        <f t="shared" si="53"/>
        <v>5500000</v>
      </c>
      <c r="P869" s="42" t="str">
        <f>IFERROR(VLOOKUP(J869,'Mã NV'!$B:$C,2,0),"")</f>
        <v>XE01305</v>
      </c>
      <c r="Q869" s="70" t="str">
        <f>IFERROR(VLOOKUP(I869,'Mã NV'!$J:$K,2,0),"")</f>
        <v>8T</v>
      </c>
    </row>
    <row r="870" customHeight="1" spans="1:19">
      <c r="A870" s="63">
        <f t="shared" si="55"/>
        <v>867</v>
      </c>
      <c r="B870" s="64">
        <v>46158</v>
      </c>
      <c r="C870" s="65"/>
      <c r="D870" s="66" t="s">
        <v>92</v>
      </c>
      <c r="E870" s="66" t="s">
        <v>943</v>
      </c>
      <c r="F870" s="66" t="s">
        <v>744</v>
      </c>
      <c r="G870" s="66" t="s">
        <v>762</v>
      </c>
      <c r="H870" s="66" t="s">
        <v>812</v>
      </c>
      <c r="I870" s="66" t="s">
        <v>230</v>
      </c>
      <c r="J870" s="66" t="s">
        <v>228</v>
      </c>
      <c r="K870" s="66" t="s">
        <v>747</v>
      </c>
      <c r="L870" s="67">
        <v>5500000</v>
      </c>
      <c r="M870" s="67">
        <v>0</v>
      </c>
      <c r="N870" s="68">
        <f t="shared" si="54"/>
        <v>5500000</v>
      </c>
      <c r="O870" s="69">
        <f t="shared" si="53"/>
        <v>5500000</v>
      </c>
      <c r="P870" s="42" t="str">
        <f>IFERROR(VLOOKUP(J870,'Mã NV'!$B:$C,2,0),"")</f>
        <v>XE01390</v>
      </c>
      <c r="Q870" s="70" t="str">
        <f>IFERROR(VLOOKUP(I870,'Mã NV'!$J:$K,2,0),"")</f>
        <v>15T</v>
      </c>
    </row>
    <row r="871" customHeight="1" spans="1:19">
      <c r="A871" s="63">
        <f t="shared" si="55"/>
        <v>868</v>
      </c>
      <c r="B871" s="64">
        <v>46158</v>
      </c>
      <c r="C871" s="65"/>
      <c r="D871" s="66" t="s">
        <v>92</v>
      </c>
      <c r="E871" s="66" t="s">
        <v>943</v>
      </c>
      <c r="F871" s="66" t="s">
        <v>744</v>
      </c>
      <c r="G871" s="66" t="s">
        <v>762</v>
      </c>
      <c r="H871" s="66" t="s">
        <v>812</v>
      </c>
      <c r="I871" s="66" t="s">
        <v>230</v>
      </c>
      <c r="J871" s="66" t="s">
        <v>364</v>
      </c>
      <c r="K871" s="66" t="s">
        <v>747</v>
      </c>
      <c r="L871" s="67">
        <v>5500000</v>
      </c>
      <c r="M871" s="67">
        <v>0</v>
      </c>
      <c r="N871" s="68">
        <f t="shared" si="54"/>
        <v>5500000</v>
      </c>
      <c r="O871" s="69">
        <f t="shared" si="53"/>
        <v>5500000</v>
      </c>
      <c r="P871" s="42" t="str">
        <f>IFERROR(VLOOKUP(J871,'Mã NV'!$B:$C,2,0),"")</f>
        <v>XE01690</v>
      </c>
      <c r="Q871" s="70" t="str">
        <f>IFERROR(VLOOKUP(I871,'Mã NV'!$J:$K,2,0),"")</f>
        <v>15T</v>
      </c>
    </row>
    <row r="872" customHeight="1" spans="1:19">
      <c r="A872" s="63">
        <f t="shared" si="55"/>
        <v>869</v>
      </c>
      <c r="B872" s="64">
        <v>46158</v>
      </c>
      <c r="C872" s="65"/>
      <c r="D872" s="66" t="s">
        <v>92</v>
      </c>
      <c r="E872" s="66" t="s">
        <v>943</v>
      </c>
      <c r="F872" s="66" t="s">
        <v>744</v>
      </c>
      <c r="G872" s="66" t="s">
        <v>762</v>
      </c>
      <c r="H872" s="66" t="s">
        <v>771</v>
      </c>
      <c r="I872" s="66" t="s">
        <v>230</v>
      </c>
      <c r="J872" s="66" t="s">
        <v>228</v>
      </c>
      <c r="K872" s="66" t="s">
        <v>747</v>
      </c>
      <c r="L872" s="67">
        <v>1500000</v>
      </c>
      <c r="M872" s="67">
        <v>0</v>
      </c>
      <c r="N872" s="68">
        <f t="shared" si="54"/>
        <v>1500000</v>
      </c>
      <c r="O872" s="69">
        <f t="shared" si="53"/>
        <v>1500000</v>
      </c>
      <c r="P872" s="42" t="str">
        <f>IFERROR(VLOOKUP(J872,'Mã NV'!$B:$C,2,0),"")</f>
        <v>XE01390</v>
      </c>
      <c r="Q872" s="70" t="str">
        <f>IFERROR(VLOOKUP(I872,'Mã NV'!$J:$K,2,0),"")</f>
        <v>15T</v>
      </c>
    </row>
    <row r="873" customHeight="1" spans="1:19">
      <c r="A873" s="63">
        <f t="shared" si="55"/>
        <v>870</v>
      </c>
      <c r="B873" s="64">
        <v>46158</v>
      </c>
      <c r="C873" s="65"/>
      <c r="D873" s="66" t="s">
        <v>92</v>
      </c>
      <c r="E873" s="66" t="s">
        <v>943</v>
      </c>
      <c r="F873" s="66" t="s">
        <v>744</v>
      </c>
      <c r="G873" s="66" t="s">
        <v>762</v>
      </c>
      <c r="H873" s="66" t="s">
        <v>771</v>
      </c>
      <c r="I873" s="66" t="s">
        <v>230</v>
      </c>
      <c r="J873" s="66" t="s">
        <v>364</v>
      </c>
      <c r="K873" s="66" t="s">
        <v>747</v>
      </c>
      <c r="L873" s="67">
        <v>1500000</v>
      </c>
      <c r="M873" s="67">
        <v>0</v>
      </c>
      <c r="N873" s="68">
        <f t="shared" si="54"/>
        <v>1500000</v>
      </c>
      <c r="O873" s="69">
        <f t="shared" si="53"/>
        <v>1500000</v>
      </c>
      <c r="P873" s="42" t="str">
        <f>IFERROR(VLOOKUP(J873,'Mã NV'!$B:$C,2,0),"")</f>
        <v>XE01690</v>
      </c>
      <c r="Q873" s="70" t="str">
        <f>IFERROR(VLOOKUP(I873,'Mã NV'!$J:$K,2,0),"")</f>
        <v>15T</v>
      </c>
    </row>
    <row r="874" customHeight="1" spans="1:19">
      <c r="A874" s="63">
        <f t="shared" si="55"/>
        <v>871</v>
      </c>
      <c r="B874" s="64">
        <v>46158</v>
      </c>
      <c r="C874" s="65"/>
      <c r="D874" s="66" t="s">
        <v>92</v>
      </c>
      <c r="E874" s="66" t="s">
        <v>943</v>
      </c>
      <c r="F874" s="66" t="s">
        <v>744</v>
      </c>
      <c r="G874" s="66" t="s">
        <v>762</v>
      </c>
      <c r="H874" s="66" t="s">
        <v>758</v>
      </c>
      <c r="I874" s="66" t="s">
        <v>230</v>
      </c>
      <c r="J874" s="66" t="s">
        <v>228</v>
      </c>
      <c r="K874" s="66" t="s">
        <v>747</v>
      </c>
      <c r="L874" s="67">
        <v>600000</v>
      </c>
      <c r="M874" s="67">
        <v>0</v>
      </c>
      <c r="N874" s="68">
        <f t="shared" si="54"/>
        <v>600000</v>
      </c>
      <c r="O874" s="69">
        <f t="shared" si="53"/>
        <v>600000</v>
      </c>
      <c r="P874" s="42" t="str">
        <f>IFERROR(VLOOKUP(J874,'Mã NV'!$B:$C,2,0),"")</f>
        <v>XE01390</v>
      </c>
      <c r="Q874" s="70" t="str">
        <f>IFERROR(VLOOKUP(I874,'Mã NV'!$J:$K,2,0),"")</f>
        <v>15T</v>
      </c>
    </row>
    <row r="875" customHeight="1" spans="1:19">
      <c r="A875" s="63">
        <f t="shared" si="55"/>
        <v>872</v>
      </c>
      <c r="B875" s="64">
        <v>46158</v>
      </c>
      <c r="C875" s="65"/>
      <c r="D875" s="66" t="s">
        <v>92</v>
      </c>
      <c r="E875" s="66" t="s">
        <v>943</v>
      </c>
      <c r="F875" s="66" t="s">
        <v>744</v>
      </c>
      <c r="G875" s="66" t="s">
        <v>762</v>
      </c>
      <c r="H875" s="66" t="s">
        <v>758</v>
      </c>
      <c r="I875" s="66" t="s">
        <v>230</v>
      </c>
      <c r="J875" s="66" t="s">
        <v>364</v>
      </c>
      <c r="K875" s="66" t="s">
        <v>747</v>
      </c>
      <c r="L875" s="67">
        <v>600000</v>
      </c>
      <c r="M875" s="67">
        <v>0</v>
      </c>
      <c r="N875" s="68">
        <f t="shared" si="54"/>
        <v>600000</v>
      </c>
      <c r="O875" s="69">
        <f t="shared" si="53"/>
        <v>600000</v>
      </c>
      <c r="P875" s="42" t="str">
        <f>IFERROR(VLOOKUP(J875,'Mã NV'!$B:$C,2,0),"")</f>
        <v>XE01690</v>
      </c>
      <c r="Q875" s="70" t="str">
        <f>IFERROR(VLOOKUP(I875,'Mã NV'!$J:$K,2,0),"")</f>
        <v>15T</v>
      </c>
    </row>
    <row r="876" customHeight="1" spans="1:19">
      <c r="A876" s="63">
        <f t="shared" si="55"/>
        <v>873</v>
      </c>
      <c r="B876" s="64">
        <v>46158</v>
      </c>
      <c r="C876" s="65"/>
      <c r="D876" s="66" t="s">
        <v>92</v>
      </c>
      <c r="E876" s="66" t="s">
        <v>943</v>
      </c>
      <c r="F876" s="66" t="s">
        <v>744</v>
      </c>
      <c r="G876" s="66" t="s">
        <v>762</v>
      </c>
      <c r="H876" s="66" t="s">
        <v>758</v>
      </c>
      <c r="I876" s="66" t="s">
        <v>230</v>
      </c>
      <c r="J876" s="66" t="s">
        <v>228</v>
      </c>
      <c r="K876" s="66" t="s">
        <v>747</v>
      </c>
      <c r="L876" s="67">
        <v>500000</v>
      </c>
      <c r="M876" s="67">
        <v>0</v>
      </c>
      <c r="N876" s="68">
        <f t="shared" si="54"/>
        <v>500000</v>
      </c>
      <c r="O876" s="69">
        <f t="shared" ref="O876:O939" si="57">N876/$P$1</f>
        <v>500000</v>
      </c>
      <c r="P876" s="42" t="str">
        <f>IFERROR(VLOOKUP(J876,'Mã NV'!$B:$C,2,0),"")</f>
        <v>XE01390</v>
      </c>
      <c r="Q876" s="70" t="str">
        <f>IFERROR(VLOOKUP(I876,'Mã NV'!$J:$K,2,0),"")</f>
        <v>15T</v>
      </c>
    </row>
    <row r="877" customHeight="1" spans="1:19">
      <c r="A877" s="63">
        <f t="shared" si="55"/>
        <v>874</v>
      </c>
      <c r="B877" s="64">
        <v>46158</v>
      </c>
      <c r="C877" s="65"/>
      <c r="D877" s="66" t="s">
        <v>92</v>
      </c>
      <c r="E877" s="66" t="s">
        <v>943</v>
      </c>
      <c r="F877" s="66" t="s">
        <v>744</v>
      </c>
      <c r="G877" s="66" t="s">
        <v>762</v>
      </c>
      <c r="H877" s="66" t="s">
        <v>758</v>
      </c>
      <c r="I877" s="66" t="s">
        <v>230</v>
      </c>
      <c r="J877" s="66" t="s">
        <v>364</v>
      </c>
      <c r="K877" s="66" t="s">
        <v>747</v>
      </c>
      <c r="L877" s="67">
        <v>500000</v>
      </c>
      <c r="M877" s="67">
        <v>0</v>
      </c>
      <c r="N877" s="68">
        <f t="shared" ref="N877:N940" si="58">L877-M877</f>
        <v>500000</v>
      </c>
      <c r="O877" s="69">
        <f t="shared" si="57"/>
        <v>500000</v>
      </c>
      <c r="P877" s="42" t="str">
        <f>IFERROR(VLOOKUP(J877,'Mã NV'!$B:$C,2,0),"")</f>
        <v>XE01690</v>
      </c>
      <c r="Q877" s="70" t="str">
        <f>IFERROR(VLOOKUP(I877,'Mã NV'!$J:$K,2,0),"")</f>
        <v>15T</v>
      </c>
    </row>
    <row r="878" customHeight="1" spans="1:19">
      <c r="A878" s="63">
        <f t="shared" si="55"/>
        <v>875</v>
      </c>
      <c r="B878" s="64">
        <v>46161</v>
      </c>
      <c r="C878" s="65"/>
      <c r="D878" s="66" t="s">
        <v>92</v>
      </c>
      <c r="E878" s="66" t="s">
        <v>92</v>
      </c>
      <c r="F878" s="66" t="s">
        <v>744</v>
      </c>
      <c r="G878" s="66" t="s">
        <v>762</v>
      </c>
      <c r="H878" s="66" t="s">
        <v>758</v>
      </c>
      <c r="I878" s="66" t="s">
        <v>91</v>
      </c>
      <c r="J878" s="66" t="s">
        <v>89</v>
      </c>
      <c r="K878" s="66" t="s">
        <v>747</v>
      </c>
      <c r="L878" s="67">
        <v>7750000</v>
      </c>
      <c r="M878" s="67">
        <v>0</v>
      </c>
      <c r="N878" s="68">
        <f t="shared" si="58"/>
        <v>7750000</v>
      </c>
      <c r="O878" s="69">
        <f t="shared" si="57"/>
        <v>7750000</v>
      </c>
      <c r="P878" s="42" t="str">
        <f>IFERROR(VLOOKUP(J878,'Mã NV'!$B:$C,2,0),"")</f>
        <v>XE00873</v>
      </c>
      <c r="Q878" s="70" t="str">
        <f>IFERROR(VLOOKUP(I878,'Mã NV'!$J:$K,2,0),"")</f>
        <v>15T</v>
      </c>
    </row>
    <row r="879" customHeight="1" spans="1:19">
      <c r="A879" s="63">
        <f t="shared" si="55"/>
        <v>876</v>
      </c>
      <c r="B879" s="64">
        <v>46161</v>
      </c>
      <c r="C879" s="65"/>
      <c r="D879" s="66" t="s">
        <v>92</v>
      </c>
      <c r="E879" s="66" t="s">
        <v>92</v>
      </c>
      <c r="F879" s="66" t="s">
        <v>744</v>
      </c>
      <c r="G879" s="66" t="s">
        <v>762</v>
      </c>
      <c r="H879" s="66" t="s">
        <v>758</v>
      </c>
      <c r="I879" s="66" t="s">
        <v>91</v>
      </c>
      <c r="J879" s="66" t="s">
        <v>349</v>
      </c>
      <c r="K879" s="66" t="s">
        <v>747</v>
      </c>
      <c r="L879" s="67">
        <v>7750000</v>
      </c>
      <c r="M879" s="67">
        <v>0</v>
      </c>
      <c r="N879" s="68">
        <f t="shared" si="58"/>
        <v>7750000</v>
      </c>
      <c r="O879" s="69">
        <f t="shared" si="57"/>
        <v>7750000</v>
      </c>
      <c r="P879" s="42" t="str">
        <f>IFERROR(VLOOKUP(J879,'Mã NV'!$B:$C,2,0),"")</f>
        <v>XE01672</v>
      </c>
      <c r="Q879" s="70" t="str">
        <f>IFERROR(VLOOKUP(I879,'Mã NV'!$J:$K,2,0),"")</f>
        <v>15T</v>
      </c>
    </row>
    <row r="880" customHeight="1" spans="1:19">
      <c r="A880" s="63">
        <f t="shared" si="55"/>
        <v>877</v>
      </c>
      <c r="B880" s="64">
        <v>46161</v>
      </c>
      <c r="C880" s="65"/>
      <c r="D880" s="66" t="s">
        <v>92</v>
      </c>
      <c r="E880" s="66" t="s">
        <v>92</v>
      </c>
      <c r="F880" s="66" t="s">
        <v>744</v>
      </c>
      <c r="G880" s="66" t="s">
        <v>796</v>
      </c>
      <c r="H880" s="66" t="s">
        <v>771</v>
      </c>
      <c r="I880" s="66" t="s">
        <v>91</v>
      </c>
      <c r="J880" s="66" t="s">
        <v>89</v>
      </c>
      <c r="K880" s="66" t="s">
        <v>747</v>
      </c>
      <c r="L880" s="67">
        <v>1250000</v>
      </c>
      <c r="M880" s="67">
        <v>0</v>
      </c>
      <c r="N880" s="68">
        <f t="shared" si="58"/>
        <v>1250000</v>
      </c>
      <c r="O880" s="69">
        <f t="shared" si="57"/>
        <v>1250000</v>
      </c>
      <c r="P880" s="42" t="str">
        <f>IFERROR(VLOOKUP(J880,'Mã NV'!$B:$C,2,0),"")</f>
        <v>XE00873</v>
      </c>
      <c r="Q880" s="70" t="str">
        <f>IFERROR(VLOOKUP(I880,'Mã NV'!$J:$K,2,0),"")</f>
        <v>15T</v>
      </c>
    </row>
    <row r="881" customHeight="1" spans="1:17">
      <c r="A881" s="63">
        <f t="shared" si="55"/>
        <v>878</v>
      </c>
      <c r="B881" s="64">
        <v>46161</v>
      </c>
      <c r="C881" s="65"/>
      <c r="D881" s="66" t="s">
        <v>92</v>
      </c>
      <c r="E881" s="66" t="s">
        <v>92</v>
      </c>
      <c r="F881" s="66" t="s">
        <v>744</v>
      </c>
      <c r="G881" s="66" t="s">
        <v>796</v>
      </c>
      <c r="H881" s="66" t="s">
        <v>771</v>
      </c>
      <c r="I881" s="66" t="s">
        <v>91</v>
      </c>
      <c r="J881" s="66" t="s">
        <v>349</v>
      </c>
      <c r="K881" s="66" t="s">
        <v>747</v>
      </c>
      <c r="L881" s="67">
        <v>1250000</v>
      </c>
      <c r="M881" s="67">
        <v>0</v>
      </c>
      <c r="N881" s="68">
        <f t="shared" si="58"/>
        <v>1250000</v>
      </c>
      <c r="O881" s="69">
        <f t="shared" si="57"/>
        <v>1250000</v>
      </c>
      <c r="P881" s="42" t="str">
        <f>IFERROR(VLOOKUP(J881,'Mã NV'!$B:$C,2,0),"")</f>
        <v>XE01672</v>
      </c>
      <c r="Q881" s="70" t="str">
        <f>IFERROR(VLOOKUP(I881,'Mã NV'!$J:$K,2,0),"")</f>
        <v>15T</v>
      </c>
    </row>
    <row r="882" customHeight="1" spans="1:17">
      <c r="A882" s="63">
        <f t="shared" si="55"/>
        <v>879</v>
      </c>
      <c r="B882" s="64">
        <v>46164</v>
      </c>
      <c r="C882" s="65"/>
      <c r="D882" s="66" t="s">
        <v>92</v>
      </c>
      <c r="E882" s="66" t="s">
        <v>944</v>
      </c>
      <c r="F882" s="66" t="s">
        <v>744</v>
      </c>
      <c r="G882" s="66" t="s">
        <v>768</v>
      </c>
      <c r="H882" s="66" t="s">
        <v>758</v>
      </c>
      <c r="I882" s="66" t="s">
        <v>109</v>
      </c>
      <c r="J882" s="66" t="s">
        <v>107</v>
      </c>
      <c r="K882" s="66" t="s">
        <v>747</v>
      </c>
      <c r="L882" s="67">
        <v>2000000</v>
      </c>
      <c r="M882" s="67">
        <v>0</v>
      </c>
      <c r="N882" s="68">
        <f t="shared" si="58"/>
        <v>2000000</v>
      </c>
      <c r="O882" s="69">
        <f t="shared" si="57"/>
        <v>2000000</v>
      </c>
      <c r="P882" s="42" t="str">
        <f>IFERROR(VLOOKUP(J882,'Mã NV'!$B:$C,2,0),"")</f>
        <v>XE01102</v>
      </c>
      <c r="Q882" s="70" t="str">
        <f>IFERROR(VLOOKUP(I882,'Mã NV'!$J:$K,2,0),"")</f>
        <v>15T</v>
      </c>
    </row>
    <row r="883" customHeight="1" spans="1:17">
      <c r="A883" s="63">
        <f t="shared" si="55"/>
        <v>880</v>
      </c>
      <c r="B883" s="64">
        <v>46164</v>
      </c>
      <c r="C883" s="65"/>
      <c r="D883" s="66" t="s">
        <v>92</v>
      </c>
      <c r="E883" s="66" t="s">
        <v>944</v>
      </c>
      <c r="F883" s="66" t="s">
        <v>744</v>
      </c>
      <c r="G883" s="66" t="s">
        <v>768</v>
      </c>
      <c r="H883" s="66" t="s">
        <v>758</v>
      </c>
      <c r="I883" s="66" t="s">
        <v>109</v>
      </c>
      <c r="J883" s="66" t="s">
        <v>120</v>
      </c>
      <c r="K883" s="66" t="s">
        <v>747</v>
      </c>
      <c r="L883" s="67">
        <v>2000000</v>
      </c>
      <c r="M883" s="67">
        <v>0</v>
      </c>
      <c r="N883" s="68">
        <f t="shared" si="58"/>
        <v>2000000</v>
      </c>
      <c r="O883" s="69">
        <f t="shared" si="57"/>
        <v>2000000</v>
      </c>
      <c r="P883" s="42" t="str">
        <f>IFERROR(VLOOKUP(J883,'Mã NV'!$B:$C,2,0),"")</f>
        <v>XE01315</v>
      </c>
      <c r="Q883" s="70" t="str">
        <f>IFERROR(VLOOKUP(I883,'Mã NV'!$J:$K,2,0),"")</f>
        <v>15T</v>
      </c>
    </row>
    <row r="884" customHeight="1" spans="1:17">
      <c r="A884" s="63">
        <f t="shared" si="55"/>
        <v>881</v>
      </c>
      <c r="B884" s="64">
        <v>46164</v>
      </c>
      <c r="C884" s="65"/>
      <c r="D884" s="66" t="s">
        <v>92</v>
      </c>
      <c r="E884" s="66" t="s">
        <v>894</v>
      </c>
      <c r="F884" s="66" t="s">
        <v>744</v>
      </c>
      <c r="G884" s="66" t="s">
        <v>768</v>
      </c>
      <c r="H884" s="66" t="s">
        <v>812</v>
      </c>
      <c r="I884" s="66" t="s">
        <v>286</v>
      </c>
      <c r="J884" s="66" t="s">
        <v>284</v>
      </c>
      <c r="K884" s="66" t="s">
        <v>747</v>
      </c>
      <c r="L884" s="67">
        <v>1750000</v>
      </c>
      <c r="M884" s="67">
        <v>0</v>
      </c>
      <c r="N884" s="68">
        <f t="shared" si="58"/>
        <v>1750000</v>
      </c>
      <c r="O884" s="69">
        <f t="shared" si="57"/>
        <v>1750000</v>
      </c>
      <c r="P884" s="42" t="str">
        <f>IFERROR(VLOOKUP(J884,'Mã NV'!$B:$C,2,0),"")</f>
        <v>XE01543</v>
      </c>
      <c r="Q884" s="70" t="str">
        <f>IFERROR(VLOOKUP(I884,'Mã NV'!$J:$K,2,0),"")</f>
        <v>8T</v>
      </c>
    </row>
    <row r="885" customHeight="1" spans="1:17">
      <c r="A885" s="63">
        <f t="shared" si="55"/>
        <v>882</v>
      </c>
      <c r="B885" s="64">
        <v>46164</v>
      </c>
      <c r="C885" s="65"/>
      <c r="D885" s="66" t="s">
        <v>92</v>
      </c>
      <c r="E885" s="66" t="s">
        <v>894</v>
      </c>
      <c r="F885" s="66" t="s">
        <v>744</v>
      </c>
      <c r="G885" s="66" t="s">
        <v>768</v>
      </c>
      <c r="H885" s="66" t="s">
        <v>812</v>
      </c>
      <c r="I885" s="66" t="s">
        <v>286</v>
      </c>
      <c r="J885" s="66" t="s">
        <v>335</v>
      </c>
      <c r="K885" s="66" t="s">
        <v>747</v>
      </c>
      <c r="L885" s="67">
        <v>1750000</v>
      </c>
      <c r="M885" s="67">
        <v>0</v>
      </c>
      <c r="N885" s="68">
        <f t="shared" si="58"/>
        <v>1750000</v>
      </c>
      <c r="O885" s="69">
        <f t="shared" si="57"/>
        <v>1750000</v>
      </c>
      <c r="P885" s="42" t="str">
        <f>IFERROR(VLOOKUP(J885,'Mã NV'!$B:$C,2,0),"")</f>
        <v>XE01622</v>
      </c>
      <c r="Q885" s="70" t="str">
        <f>IFERROR(VLOOKUP(I885,'Mã NV'!$J:$K,2,0),"")</f>
        <v>8T</v>
      </c>
    </row>
    <row r="886" customHeight="1" spans="1:17">
      <c r="A886" s="63">
        <f t="shared" si="55"/>
        <v>883</v>
      </c>
      <c r="B886" s="64">
        <v>46165</v>
      </c>
      <c r="C886" s="65"/>
      <c r="D886" s="66" t="s">
        <v>92</v>
      </c>
      <c r="E886" s="66" t="s">
        <v>944</v>
      </c>
      <c r="F886" s="66" t="s">
        <v>744</v>
      </c>
      <c r="G886" s="66" t="s">
        <v>770</v>
      </c>
      <c r="H886" s="66" t="s">
        <v>776</v>
      </c>
      <c r="I886" s="66" t="s">
        <v>170</v>
      </c>
      <c r="J886" s="66" t="s">
        <v>168</v>
      </c>
      <c r="K886" s="66" t="s">
        <v>747</v>
      </c>
      <c r="L886" s="67">
        <v>2750000</v>
      </c>
      <c r="M886" s="67">
        <v>0</v>
      </c>
      <c r="N886" s="68">
        <f t="shared" si="58"/>
        <v>2750000</v>
      </c>
      <c r="O886" s="69">
        <f t="shared" si="57"/>
        <v>2750000</v>
      </c>
      <c r="P886" s="42" t="str">
        <f>IFERROR(VLOOKUP(J886,'Mã NV'!$B:$C,2,0),"")</f>
        <v>XE01263</v>
      </c>
      <c r="Q886" s="70" t="str">
        <f>IFERROR(VLOOKUP(I886,'Mã NV'!$J:$K,2,0),"")</f>
        <v>8T</v>
      </c>
    </row>
    <row r="887" customHeight="1" spans="1:17">
      <c r="A887" s="63">
        <f t="shared" si="55"/>
        <v>884</v>
      </c>
      <c r="B887" s="64">
        <v>46165</v>
      </c>
      <c r="C887" s="65"/>
      <c r="D887" s="66" t="s">
        <v>92</v>
      </c>
      <c r="E887" s="66" t="s">
        <v>944</v>
      </c>
      <c r="F887" s="66" t="s">
        <v>744</v>
      </c>
      <c r="G887" s="66" t="s">
        <v>770</v>
      </c>
      <c r="H887" s="66" t="s">
        <v>776</v>
      </c>
      <c r="I887" s="66" t="s">
        <v>170</v>
      </c>
      <c r="J887" s="66" t="s">
        <v>203</v>
      </c>
      <c r="K887" s="66" t="s">
        <v>747</v>
      </c>
      <c r="L887" s="67">
        <v>2750000</v>
      </c>
      <c r="M887" s="67">
        <v>0</v>
      </c>
      <c r="N887" s="68">
        <f t="shared" si="58"/>
        <v>2750000</v>
      </c>
      <c r="O887" s="69">
        <f t="shared" si="57"/>
        <v>2750000</v>
      </c>
      <c r="P887" s="42" t="str">
        <f>IFERROR(VLOOKUP(J887,'Mã NV'!$B:$C,2,0),"")</f>
        <v>XE01149</v>
      </c>
      <c r="Q887" s="70" t="str">
        <f>IFERROR(VLOOKUP(I887,'Mã NV'!$J:$K,2,0),"")</f>
        <v>8T</v>
      </c>
    </row>
    <row r="888" customHeight="1" spans="1:17">
      <c r="A888" s="63">
        <f t="shared" si="55"/>
        <v>885</v>
      </c>
      <c r="B888" s="64">
        <v>46165</v>
      </c>
      <c r="C888" s="65"/>
      <c r="D888" s="66" t="s">
        <v>92</v>
      </c>
      <c r="E888" s="66" t="s">
        <v>944</v>
      </c>
      <c r="F888" s="66" t="s">
        <v>744</v>
      </c>
      <c r="G888" s="66" t="s">
        <v>768</v>
      </c>
      <c r="H888" s="66" t="s">
        <v>776</v>
      </c>
      <c r="I888" s="66" t="s">
        <v>230</v>
      </c>
      <c r="J888" s="66" t="s">
        <v>228</v>
      </c>
      <c r="K888" s="66" t="s">
        <v>747</v>
      </c>
      <c r="L888" s="67">
        <v>8760000</v>
      </c>
      <c r="M888" s="67">
        <v>0</v>
      </c>
      <c r="N888" s="68">
        <f t="shared" si="58"/>
        <v>8760000</v>
      </c>
      <c r="O888" s="69">
        <f t="shared" si="57"/>
        <v>8760000</v>
      </c>
      <c r="P888" s="42" t="str">
        <f>IFERROR(VLOOKUP(J888,'Mã NV'!$B:$C,2,0),"")</f>
        <v>XE01390</v>
      </c>
      <c r="Q888" s="70" t="str">
        <f>IFERROR(VLOOKUP(I888,'Mã NV'!$J:$K,2,0),"")</f>
        <v>15T</v>
      </c>
    </row>
    <row r="889" customHeight="1" spans="1:17">
      <c r="A889" s="63">
        <f t="shared" si="55"/>
        <v>886</v>
      </c>
      <c r="B889" s="64">
        <v>46165</v>
      </c>
      <c r="C889" s="65"/>
      <c r="D889" s="66" t="s">
        <v>92</v>
      </c>
      <c r="E889" s="66" t="s">
        <v>944</v>
      </c>
      <c r="F889" s="66" t="s">
        <v>744</v>
      </c>
      <c r="G889" s="66" t="s">
        <v>768</v>
      </c>
      <c r="H889" s="66" t="s">
        <v>776</v>
      </c>
      <c r="I889" s="66" t="s">
        <v>230</v>
      </c>
      <c r="J889" s="66" t="s">
        <v>364</v>
      </c>
      <c r="K889" s="66" t="s">
        <v>747</v>
      </c>
      <c r="L889" s="67">
        <v>8760000</v>
      </c>
      <c r="M889" s="67">
        <v>0</v>
      </c>
      <c r="N889" s="68">
        <f t="shared" si="58"/>
        <v>8760000</v>
      </c>
      <c r="O889" s="69">
        <f t="shared" si="57"/>
        <v>8760000</v>
      </c>
      <c r="P889" s="42" t="str">
        <f>IFERROR(VLOOKUP(J889,'Mã NV'!$B:$C,2,0),"")</f>
        <v>XE01690</v>
      </c>
      <c r="Q889" s="70" t="str">
        <f>IFERROR(VLOOKUP(I889,'Mã NV'!$J:$K,2,0),"")</f>
        <v>15T</v>
      </c>
    </row>
    <row r="890" customHeight="1" spans="1:17">
      <c r="A890" s="63">
        <f t="shared" si="55"/>
        <v>887</v>
      </c>
      <c r="B890" s="64">
        <v>46165</v>
      </c>
      <c r="C890" s="65"/>
      <c r="D890" s="66" t="s">
        <v>92</v>
      </c>
      <c r="E890" s="66" t="s">
        <v>944</v>
      </c>
      <c r="F890" s="66" t="s">
        <v>744</v>
      </c>
      <c r="G890" s="66" t="s">
        <v>768</v>
      </c>
      <c r="H890" s="66" t="s">
        <v>812</v>
      </c>
      <c r="I890" s="66" t="s">
        <v>230</v>
      </c>
      <c r="J890" s="66" t="s">
        <v>228</v>
      </c>
      <c r="K890" s="66" t="s">
        <v>747</v>
      </c>
      <c r="L890" s="67">
        <v>4000000</v>
      </c>
      <c r="M890" s="67">
        <v>0</v>
      </c>
      <c r="N890" s="68">
        <f t="shared" si="58"/>
        <v>4000000</v>
      </c>
      <c r="O890" s="69">
        <f t="shared" si="57"/>
        <v>4000000</v>
      </c>
      <c r="P890" s="42" t="str">
        <f>IFERROR(VLOOKUP(J890,'Mã NV'!$B:$C,2,0),"")</f>
        <v>XE01390</v>
      </c>
      <c r="Q890" s="70" t="str">
        <f>IFERROR(VLOOKUP(I890,'Mã NV'!$J:$K,2,0),"")</f>
        <v>15T</v>
      </c>
    </row>
    <row r="891" customHeight="1" spans="1:17">
      <c r="A891" s="63">
        <f t="shared" si="55"/>
        <v>888</v>
      </c>
      <c r="B891" s="64">
        <v>46165</v>
      </c>
      <c r="C891" s="65"/>
      <c r="D891" s="66" t="s">
        <v>92</v>
      </c>
      <c r="E891" s="66" t="s">
        <v>944</v>
      </c>
      <c r="F891" s="66" t="s">
        <v>744</v>
      </c>
      <c r="G891" s="66" t="s">
        <v>768</v>
      </c>
      <c r="H891" s="66" t="s">
        <v>812</v>
      </c>
      <c r="I891" s="66" t="s">
        <v>230</v>
      </c>
      <c r="J891" s="66" t="s">
        <v>364</v>
      </c>
      <c r="K891" s="66" t="s">
        <v>747</v>
      </c>
      <c r="L891" s="67">
        <v>4000000</v>
      </c>
      <c r="M891" s="67">
        <v>0</v>
      </c>
      <c r="N891" s="68">
        <f t="shared" si="58"/>
        <v>4000000</v>
      </c>
      <c r="O891" s="69">
        <f t="shared" si="57"/>
        <v>4000000</v>
      </c>
      <c r="P891" s="42" t="str">
        <f>IFERROR(VLOOKUP(J891,'Mã NV'!$B:$C,2,0),"")</f>
        <v>XE01690</v>
      </c>
      <c r="Q891" s="70" t="str">
        <f>IFERROR(VLOOKUP(I891,'Mã NV'!$J:$K,2,0),"")</f>
        <v>15T</v>
      </c>
    </row>
    <row r="892" customHeight="1" spans="1:17">
      <c r="A892" s="63">
        <f t="shared" si="55"/>
        <v>889</v>
      </c>
      <c r="B892" s="64">
        <v>46165</v>
      </c>
      <c r="C892" s="65"/>
      <c r="D892" s="66" t="s">
        <v>92</v>
      </c>
      <c r="E892" s="66" t="s">
        <v>944</v>
      </c>
      <c r="F892" s="66" t="s">
        <v>744</v>
      </c>
      <c r="G892" s="66" t="s">
        <v>942</v>
      </c>
      <c r="H892" s="66" t="s">
        <v>945</v>
      </c>
      <c r="I892" s="66" t="s">
        <v>141</v>
      </c>
      <c r="J892" s="66" t="s">
        <v>145</v>
      </c>
      <c r="K892" s="66" t="s">
        <v>747</v>
      </c>
      <c r="L892" s="67">
        <v>1350000</v>
      </c>
      <c r="M892" s="67">
        <v>0</v>
      </c>
      <c r="N892" s="68">
        <f t="shared" si="58"/>
        <v>1350000</v>
      </c>
      <c r="O892" s="69">
        <f t="shared" si="57"/>
        <v>1350000</v>
      </c>
      <c r="P892" s="42" t="str">
        <f>IFERROR(VLOOKUP(J892,'Mã NV'!$B:$C,2,0),"")</f>
        <v>XE01326</v>
      </c>
      <c r="Q892" s="70" t="str">
        <f>IFERROR(VLOOKUP(I892,'Mã NV'!$J:$K,2,0),"")</f>
        <v>7.1t</v>
      </c>
    </row>
    <row r="893" customHeight="1" spans="1:17">
      <c r="A893" s="63">
        <f t="shared" si="55"/>
        <v>890</v>
      </c>
      <c r="B893" s="64">
        <v>46165</v>
      </c>
      <c r="C893" s="65"/>
      <c r="D893" s="66" t="s">
        <v>92</v>
      </c>
      <c r="E893" s="66" t="s">
        <v>944</v>
      </c>
      <c r="F893" s="66" t="s">
        <v>744</v>
      </c>
      <c r="G893" s="66" t="s">
        <v>942</v>
      </c>
      <c r="H893" s="66" t="s">
        <v>945</v>
      </c>
      <c r="I893" s="66" t="s">
        <v>141</v>
      </c>
      <c r="J893" s="66" t="s">
        <v>139</v>
      </c>
      <c r="K893" s="66" t="s">
        <v>747</v>
      </c>
      <c r="L893" s="67">
        <v>1350000</v>
      </c>
      <c r="M893" s="67">
        <v>0</v>
      </c>
      <c r="N893" s="68">
        <f t="shared" si="58"/>
        <v>1350000</v>
      </c>
      <c r="O893" s="69">
        <f t="shared" si="57"/>
        <v>1350000</v>
      </c>
      <c r="P893" s="42" t="str">
        <f>IFERROR(VLOOKUP(J893,'Mã NV'!$B:$C,2,0),"")</f>
        <v>XE01325</v>
      </c>
      <c r="Q893" s="70" t="str">
        <f>IFERROR(VLOOKUP(I893,'Mã NV'!$J:$K,2,0),"")</f>
        <v>7.1t</v>
      </c>
    </row>
    <row r="894" customHeight="1" spans="1:17">
      <c r="A894" s="63">
        <f t="shared" si="55"/>
        <v>891</v>
      </c>
      <c r="B894" s="64">
        <v>46165</v>
      </c>
      <c r="C894" s="65"/>
      <c r="D894" s="66" t="s">
        <v>92</v>
      </c>
      <c r="E894" s="66" t="s">
        <v>946</v>
      </c>
      <c r="F894" s="66" t="s">
        <v>744</v>
      </c>
      <c r="G894" s="66" t="s">
        <v>754</v>
      </c>
      <c r="H894" s="66" t="s">
        <v>768</v>
      </c>
      <c r="I894" s="66" t="s">
        <v>119</v>
      </c>
      <c r="J894" s="66" t="s">
        <v>281</v>
      </c>
      <c r="K894" s="66" t="s">
        <v>747</v>
      </c>
      <c r="L894" s="67">
        <v>4500000</v>
      </c>
      <c r="M894" s="67">
        <v>0</v>
      </c>
      <c r="N894" s="68">
        <f t="shared" si="58"/>
        <v>4500000</v>
      </c>
      <c r="O894" s="69">
        <f t="shared" si="57"/>
        <v>4500000</v>
      </c>
      <c r="P894" s="42" t="str">
        <f>IFERROR(VLOOKUP(J894,'Mã NV'!$B:$C,2,0),"")</f>
        <v>XE01532</v>
      </c>
      <c r="Q894" s="70" t="str">
        <f>IFERROR(VLOOKUP(I894,'Mã NV'!$J:$K,2,0),"")</f>
        <v>8T</v>
      </c>
    </row>
    <row r="895" customHeight="1" spans="1:17">
      <c r="A895" s="63">
        <f t="shared" si="55"/>
        <v>892</v>
      </c>
      <c r="B895" s="64">
        <v>46165</v>
      </c>
      <c r="C895" s="65"/>
      <c r="D895" s="66" t="s">
        <v>92</v>
      </c>
      <c r="E895" s="66" t="s">
        <v>946</v>
      </c>
      <c r="F895" s="66" t="s">
        <v>744</v>
      </c>
      <c r="G895" s="66" t="s">
        <v>754</v>
      </c>
      <c r="H895" s="66" t="s">
        <v>768</v>
      </c>
      <c r="I895" s="66" t="s">
        <v>119</v>
      </c>
      <c r="J895" s="66" t="s">
        <v>363</v>
      </c>
      <c r="K895" s="66" t="s">
        <v>747</v>
      </c>
      <c r="L895" s="67">
        <v>4500000</v>
      </c>
      <c r="M895" s="67">
        <v>0</v>
      </c>
      <c r="N895" s="68">
        <f t="shared" si="58"/>
        <v>4500000</v>
      </c>
      <c r="O895" s="69">
        <f t="shared" si="57"/>
        <v>4500000</v>
      </c>
      <c r="P895" s="42" t="str">
        <f>IFERROR(VLOOKUP(J895,'Mã NV'!$B:$C,2,0),"")</f>
        <v/>
      </c>
      <c r="Q895" s="70" t="str">
        <f>IFERROR(VLOOKUP(I895,'Mã NV'!$J:$K,2,0),"")</f>
        <v>8T</v>
      </c>
    </row>
    <row r="896" customHeight="1" spans="1:17">
      <c r="A896" s="63">
        <f t="shared" si="55"/>
        <v>893</v>
      </c>
      <c r="B896" s="64">
        <v>46145</v>
      </c>
      <c r="C896" s="65"/>
      <c r="D896" s="66" t="s">
        <v>24</v>
      </c>
      <c r="E896" s="66" t="s">
        <v>24</v>
      </c>
      <c r="F896" s="66" t="s">
        <v>748</v>
      </c>
      <c r="G896" s="66" t="s">
        <v>745</v>
      </c>
      <c r="H896" s="66" t="s">
        <v>820</v>
      </c>
      <c r="I896" s="77" t="s">
        <v>345</v>
      </c>
      <c r="J896" s="66" t="s">
        <v>343</v>
      </c>
      <c r="K896" s="66" t="s">
        <v>747</v>
      </c>
      <c r="L896" s="67">
        <v>560000</v>
      </c>
      <c r="M896" s="67"/>
      <c r="N896" s="68">
        <f t="shared" si="58"/>
        <v>560000</v>
      </c>
      <c r="O896" s="69">
        <f t="shared" si="57"/>
        <v>560000</v>
      </c>
      <c r="P896" s="42" t="str">
        <f>IFERROR(VLOOKUP(J896,'Mã NV'!$B:$C,2,0),"")</f>
        <v>XE01615</v>
      </c>
      <c r="Q896" s="70" t="str">
        <f>IFERROR(VLOOKUP(I896,'Mã NV'!$J:$K,2,0),"")</f>
        <v>2T5</v>
      </c>
    </row>
    <row r="897" customHeight="1" spans="1:17">
      <c r="A897" s="63">
        <f t="shared" si="55"/>
        <v>894</v>
      </c>
      <c r="B897" s="64">
        <v>46165</v>
      </c>
      <c r="C897" s="65"/>
      <c r="D897" s="66" t="s">
        <v>92</v>
      </c>
      <c r="E897" s="66" t="s">
        <v>92</v>
      </c>
      <c r="F897" s="66" t="s">
        <v>744</v>
      </c>
      <c r="G897" s="66" t="s">
        <v>745</v>
      </c>
      <c r="H897" s="66" t="s">
        <v>754</v>
      </c>
      <c r="I897" s="66" t="s">
        <v>270</v>
      </c>
      <c r="J897" s="66" t="s">
        <v>268</v>
      </c>
      <c r="K897" s="66" t="s">
        <v>747</v>
      </c>
      <c r="L897" s="67">
        <v>12000000</v>
      </c>
      <c r="M897" s="67">
        <v>0</v>
      </c>
      <c r="N897" s="68">
        <f t="shared" si="58"/>
        <v>12000000</v>
      </c>
      <c r="O897" s="69">
        <f t="shared" si="57"/>
        <v>12000000</v>
      </c>
      <c r="P897" s="42" t="str">
        <f>IFERROR(VLOOKUP(J897,'Mã NV'!$B:$C,2,0),"")</f>
        <v>XE01506</v>
      </c>
      <c r="Q897" s="70" t="str">
        <f>IFERROR(VLOOKUP(I897,'Mã NV'!$J:$K,2,0),"")</f>
        <v>15T</v>
      </c>
    </row>
    <row r="898" customHeight="1" spans="1:17">
      <c r="A898" s="63">
        <f t="shared" si="55"/>
        <v>895</v>
      </c>
      <c r="B898" s="64">
        <v>46165</v>
      </c>
      <c r="C898" s="65"/>
      <c r="D898" s="66" t="s">
        <v>92</v>
      </c>
      <c r="E898" s="66" t="s">
        <v>92</v>
      </c>
      <c r="F898" s="66" t="s">
        <v>744</v>
      </c>
      <c r="G898" s="66" t="s">
        <v>745</v>
      </c>
      <c r="H898" s="66" t="s">
        <v>754</v>
      </c>
      <c r="I898" s="66" t="s">
        <v>270</v>
      </c>
      <c r="J898" s="66" t="s">
        <v>271</v>
      </c>
      <c r="K898" s="66" t="s">
        <v>747</v>
      </c>
      <c r="L898" s="67">
        <v>12000000</v>
      </c>
      <c r="M898" s="67">
        <v>0</v>
      </c>
      <c r="N898" s="68">
        <f t="shared" si="58"/>
        <v>12000000</v>
      </c>
      <c r="O898" s="69">
        <f t="shared" si="57"/>
        <v>12000000</v>
      </c>
      <c r="P898" s="42" t="str">
        <f>IFERROR(VLOOKUP(J898,'Mã NV'!$B:$C,2,0),"")</f>
        <v>XE01507</v>
      </c>
      <c r="Q898" s="70" t="str">
        <f>IFERROR(VLOOKUP(I898,'Mã NV'!$J:$K,2,0),"")</f>
        <v>15T</v>
      </c>
    </row>
    <row r="899" customHeight="1" spans="1:17">
      <c r="A899" s="63">
        <f t="shared" si="55"/>
        <v>896</v>
      </c>
      <c r="B899" s="64">
        <v>46167</v>
      </c>
      <c r="C899" s="65"/>
      <c r="D899" s="66" t="s">
        <v>92</v>
      </c>
      <c r="E899" s="66" t="s">
        <v>944</v>
      </c>
      <c r="F899" s="66" t="s">
        <v>744</v>
      </c>
      <c r="G899" s="66" t="s">
        <v>768</v>
      </c>
      <c r="H899" s="66" t="s">
        <v>947</v>
      </c>
      <c r="I899" s="66" t="s">
        <v>283</v>
      </c>
      <c r="J899" s="66" t="s">
        <v>281</v>
      </c>
      <c r="K899" s="66" t="s">
        <v>747</v>
      </c>
      <c r="L899" s="67">
        <v>9500000</v>
      </c>
      <c r="M899" s="67">
        <v>0</v>
      </c>
      <c r="N899" s="68">
        <f t="shared" si="58"/>
        <v>9500000</v>
      </c>
      <c r="O899" s="69">
        <f t="shared" si="57"/>
        <v>9500000</v>
      </c>
      <c r="P899" s="42" t="str">
        <f>IFERROR(VLOOKUP(J899,'Mã NV'!$B:$C,2,0),"")</f>
        <v>XE01532</v>
      </c>
      <c r="Q899" s="70" t="str">
        <f>IFERROR(VLOOKUP(I899,'Mã NV'!$J:$K,2,0),"")</f>
        <v>15T</v>
      </c>
    </row>
    <row r="900" customHeight="1" spans="1:17">
      <c r="A900" s="63">
        <f t="shared" si="55"/>
        <v>897</v>
      </c>
      <c r="B900" s="64">
        <v>46167</v>
      </c>
      <c r="C900" s="65"/>
      <c r="D900" s="66" t="s">
        <v>92</v>
      </c>
      <c r="E900" s="66" t="s">
        <v>944</v>
      </c>
      <c r="F900" s="66" t="s">
        <v>744</v>
      </c>
      <c r="G900" s="66" t="s">
        <v>768</v>
      </c>
      <c r="H900" s="66" t="s">
        <v>947</v>
      </c>
      <c r="I900" s="66" t="s">
        <v>283</v>
      </c>
      <c r="J900" s="66" t="s">
        <v>388</v>
      </c>
      <c r="K900" s="66" t="s">
        <v>747</v>
      </c>
      <c r="L900" s="67">
        <v>9500000</v>
      </c>
      <c r="M900" s="67">
        <v>0</v>
      </c>
      <c r="N900" s="68">
        <f t="shared" si="58"/>
        <v>9500000</v>
      </c>
      <c r="O900" s="69">
        <f t="shared" si="57"/>
        <v>9500000</v>
      </c>
      <c r="P900" s="42" t="str">
        <f>IFERROR(VLOOKUP(J900,'Mã NV'!$B:$C,2,0),"")</f>
        <v>XE01710</v>
      </c>
      <c r="Q900" s="70" t="str">
        <f>IFERROR(VLOOKUP(I900,'Mã NV'!$J:$K,2,0),"")</f>
        <v>15T</v>
      </c>
    </row>
    <row r="901" customHeight="1" spans="1:17">
      <c r="A901" s="63">
        <f t="shared" si="55"/>
        <v>898</v>
      </c>
      <c r="B901" s="64">
        <v>46167</v>
      </c>
      <c r="C901" s="65"/>
      <c r="D901" s="66" t="s">
        <v>92</v>
      </c>
      <c r="E901" s="66" t="s">
        <v>944</v>
      </c>
      <c r="F901" s="66" t="s">
        <v>744</v>
      </c>
      <c r="G901" s="66" t="s">
        <v>762</v>
      </c>
      <c r="H901" s="66" t="s">
        <v>771</v>
      </c>
      <c r="I901" s="66" t="s">
        <v>283</v>
      </c>
      <c r="J901" s="66" t="s">
        <v>281</v>
      </c>
      <c r="K901" s="66" t="s">
        <v>747</v>
      </c>
      <c r="L901" s="67">
        <v>1750000</v>
      </c>
      <c r="M901" s="67">
        <v>0</v>
      </c>
      <c r="N901" s="68">
        <f t="shared" si="58"/>
        <v>1750000</v>
      </c>
      <c r="O901" s="69">
        <f t="shared" si="57"/>
        <v>1750000</v>
      </c>
      <c r="P901" s="42" t="str">
        <f>IFERROR(VLOOKUP(J901,'Mã NV'!$B:$C,2,0),"")</f>
        <v>XE01532</v>
      </c>
      <c r="Q901" s="70" t="str">
        <f>IFERROR(VLOOKUP(I901,'Mã NV'!$J:$K,2,0),"")</f>
        <v>15T</v>
      </c>
    </row>
    <row r="902" customHeight="1" spans="1:17">
      <c r="A902" s="63">
        <f t="shared" si="55"/>
        <v>899</v>
      </c>
      <c r="B902" s="64">
        <v>46167</v>
      </c>
      <c r="C902" s="65"/>
      <c r="D902" s="66" t="s">
        <v>92</v>
      </c>
      <c r="E902" s="66" t="s">
        <v>944</v>
      </c>
      <c r="F902" s="66" t="s">
        <v>744</v>
      </c>
      <c r="G902" s="66" t="s">
        <v>762</v>
      </c>
      <c r="H902" s="66" t="s">
        <v>771</v>
      </c>
      <c r="I902" s="66" t="s">
        <v>283</v>
      </c>
      <c r="J902" s="66" t="s">
        <v>388</v>
      </c>
      <c r="K902" s="66" t="s">
        <v>747</v>
      </c>
      <c r="L902" s="67">
        <v>1750000</v>
      </c>
      <c r="M902" s="67">
        <v>0</v>
      </c>
      <c r="N902" s="68">
        <f t="shared" si="58"/>
        <v>1750000</v>
      </c>
      <c r="O902" s="69">
        <f t="shared" si="57"/>
        <v>1750000</v>
      </c>
      <c r="P902" s="42" t="str">
        <f>IFERROR(VLOOKUP(J902,'Mã NV'!$B:$C,2,0),"")</f>
        <v>XE01710</v>
      </c>
      <c r="Q902" s="70" t="str">
        <f>IFERROR(VLOOKUP(I902,'Mã NV'!$J:$K,2,0),"")</f>
        <v>15T</v>
      </c>
    </row>
    <row r="903" customHeight="1" spans="1:17">
      <c r="A903" s="63">
        <f t="shared" si="55"/>
        <v>900</v>
      </c>
      <c r="B903" s="64">
        <v>46167</v>
      </c>
      <c r="C903" s="65"/>
      <c r="D903" s="66" t="s">
        <v>92</v>
      </c>
      <c r="E903" s="66" t="s">
        <v>944</v>
      </c>
      <c r="F903" s="66" t="s">
        <v>744</v>
      </c>
      <c r="G903" s="66" t="s">
        <v>858</v>
      </c>
      <c r="H903" s="66" t="s">
        <v>812</v>
      </c>
      <c r="I903" s="66" t="s">
        <v>149</v>
      </c>
      <c r="J903" s="66" t="s">
        <v>147</v>
      </c>
      <c r="K903" s="66" t="s">
        <v>747</v>
      </c>
      <c r="L903" s="67">
        <v>6000000</v>
      </c>
      <c r="M903" s="67">
        <v>0</v>
      </c>
      <c r="N903" s="68">
        <f t="shared" si="58"/>
        <v>6000000</v>
      </c>
      <c r="O903" s="69">
        <f t="shared" si="57"/>
        <v>6000000</v>
      </c>
      <c r="P903" s="42" t="str">
        <f>IFERROR(VLOOKUP(J903,'Mã NV'!$B:$C,2,0),"")</f>
        <v>XE01304</v>
      </c>
      <c r="Q903" s="70" t="str">
        <f>IFERROR(VLOOKUP(I903,'Mã NV'!$J:$K,2,0),"")</f>
        <v>8T</v>
      </c>
    </row>
    <row r="904" customHeight="1" spans="1:17">
      <c r="A904" s="63">
        <f t="shared" si="55"/>
        <v>901</v>
      </c>
      <c r="B904" s="64">
        <v>46167</v>
      </c>
      <c r="C904" s="65"/>
      <c r="D904" s="66" t="s">
        <v>92</v>
      </c>
      <c r="E904" s="66" t="s">
        <v>944</v>
      </c>
      <c r="F904" s="66" t="s">
        <v>744</v>
      </c>
      <c r="G904" s="66" t="s">
        <v>858</v>
      </c>
      <c r="H904" s="66" t="s">
        <v>812</v>
      </c>
      <c r="I904" s="66" t="s">
        <v>149</v>
      </c>
      <c r="J904" s="66" t="s">
        <v>235</v>
      </c>
      <c r="K904" s="66" t="s">
        <v>747</v>
      </c>
      <c r="L904" s="67">
        <v>6000000</v>
      </c>
      <c r="M904" s="67">
        <v>0</v>
      </c>
      <c r="N904" s="68">
        <f t="shared" si="58"/>
        <v>6000000</v>
      </c>
      <c r="O904" s="69">
        <f t="shared" si="57"/>
        <v>6000000</v>
      </c>
      <c r="P904" s="42" t="str">
        <f>IFERROR(VLOOKUP(J904,'Mã NV'!$B:$C,2,0),"")</f>
        <v>XE01305</v>
      </c>
      <c r="Q904" s="70" t="str">
        <f>IFERROR(VLOOKUP(I904,'Mã NV'!$J:$K,2,0),"")</f>
        <v>8T</v>
      </c>
    </row>
    <row r="905" customHeight="1" spans="1:17">
      <c r="A905" s="63">
        <f t="shared" si="55"/>
        <v>902</v>
      </c>
      <c r="B905" s="64">
        <v>46168</v>
      </c>
      <c r="C905" s="65"/>
      <c r="D905" s="66" t="s">
        <v>92</v>
      </c>
      <c r="E905" s="66" t="s">
        <v>943</v>
      </c>
      <c r="F905" s="66" t="s">
        <v>744</v>
      </c>
      <c r="G905" s="66" t="s">
        <v>770</v>
      </c>
      <c r="H905" s="66" t="s">
        <v>767</v>
      </c>
      <c r="I905" s="66" t="s">
        <v>300</v>
      </c>
      <c r="J905" s="66" t="s">
        <v>298</v>
      </c>
      <c r="K905" s="66" t="s">
        <v>747</v>
      </c>
      <c r="L905" s="67">
        <v>1000000</v>
      </c>
      <c r="M905" s="67">
        <v>0</v>
      </c>
      <c r="N905" s="68">
        <f t="shared" si="58"/>
        <v>1000000</v>
      </c>
      <c r="O905" s="69">
        <f t="shared" si="57"/>
        <v>1000000</v>
      </c>
      <c r="P905" s="42" t="str">
        <f>IFERROR(VLOOKUP(J905,'Mã NV'!$B:$C,2,0),"")</f>
        <v>XE01590</v>
      </c>
      <c r="Q905" s="70" t="str">
        <f>IFERROR(VLOOKUP(I905,'Mã NV'!$J:$K,2,0),"")</f>
        <v>8T</v>
      </c>
    </row>
    <row r="906" customHeight="1" spans="1:17">
      <c r="A906" s="63">
        <f t="shared" si="55"/>
        <v>903</v>
      </c>
      <c r="B906" s="64">
        <v>46168</v>
      </c>
      <c r="C906" s="65"/>
      <c r="D906" s="66" t="s">
        <v>92</v>
      </c>
      <c r="E906" s="66" t="s">
        <v>943</v>
      </c>
      <c r="F906" s="66" t="s">
        <v>744</v>
      </c>
      <c r="G906" s="66" t="s">
        <v>770</v>
      </c>
      <c r="H906" s="66" t="s">
        <v>767</v>
      </c>
      <c r="I906" s="66" t="s">
        <v>300</v>
      </c>
      <c r="J906" s="66" t="s">
        <v>301</v>
      </c>
      <c r="K906" s="66" t="s">
        <v>747</v>
      </c>
      <c r="L906" s="67">
        <v>1000000</v>
      </c>
      <c r="M906" s="67">
        <v>0</v>
      </c>
      <c r="N906" s="68">
        <f t="shared" si="58"/>
        <v>1000000</v>
      </c>
      <c r="O906" s="69">
        <f t="shared" si="57"/>
        <v>1000000</v>
      </c>
      <c r="P906" s="42" t="str">
        <f>IFERROR(VLOOKUP(J906,'Mã NV'!$B:$C,2,0),"")</f>
        <v>XE01591</v>
      </c>
      <c r="Q906" s="70" t="str">
        <f>IFERROR(VLOOKUP(I906,'Mã NV'!$J:$K,2,0),"")</f>
        <v>8T</v>
      </c>
    </row>
    <row r="907" customHeight="1" spans="1:17">
      <c r="A907" s="63">
        <f t="shared" si="55"/>
        <v>904</v>
      </c>
      <c r="B907" s="64">
        <v>46169</v>
      </c>
      <c r="C907" s="65"/>
      <c r="D907" s="66" t="s">
        <v>92</v>
      </c>
      <c r="E907" s="66" t="s">
        <v>943</v>
      </c>
      <c r="F907" s="66" t="s">
        <v>744</v>
      </c>
      <c r="G907" s="66" t="s">
        <v>796</v>
      </c>
      <c r="H907" s="66" t="s">
        <v>754</v>
      </c>
      <c r="I907" s="66" t="s">
        <v>275</v>
      </c>
      <c r="J907" s="66" t="s">
        <v>273</v>
      </c>
      <c r="K907" s="66" t="s">
        <v>747</v>
      </c>
      <c r="L907" s="67">
        <v>1400000</v>
      </c>
      <c r="M907" s="67">
        <v>0</v>
      </c>
      <c r="N907" s="68">
        <f t="shared" si="58"/>
        <v>1400000</v>
      </c>
      <c r="O907" s="69">
        <f t="shared" si="57"/>
        <v>1400000</v>
      </c>
      <c r="P907" s="42" t="str">
        <f>IFERROR(VLOOKUP(J907,'Mã NV'!$B:$C,2,0),"")</f>
        <v>XE01527</v>
      </c>
      <c r="Q907" s="70" t="str">
        <f>IFERROR(VLOOKUP(I907,'Mã NV'!$J:$K,2,0),"")</f>
        <v>8T</v>
      </c>
    </row>
    <row r="908" customHeight="1" spans="1:17">
      <c r="A908" s="63">
        <f t="shared" ref="A908:A971" si="59">A907+1</f>
        <v>905</v>
      </c>
      <c r="B908" s="64">
        <v>46169</v>
      </c>
      <c r="C908" s="65"/>
      <c r="D908" s="66" t="s">
        <v>92</v>
      </c>
      <c r="E908" s="66" t="s">
        <v>943</v>
      </c>
      <c r="F908" s="66" t="s">
        <v>744</v>
      </c>
      <c r="G908" s="66" t="s">
        <v>796</v>
      </c>
      <c r="H908" s="66" t="s">
        <v>754</v>
      </c>
      <c r="I908" s="66" t="s">
        <v>275</v>
      </c>
      <c r="J908" s="66" t="s">
        <v>303</v>
      </c>
      <c r="K908" s="66" t="s">
        <v>747</v>
      </c>
      <c r="L908" s="67">
        <v>1400000</v>
      </c>
      <c r="M908" s="67">
        <v>0</v>
      </c>
      <c r="N908" s="68">
        <f t="shared" si="58"/>
        <v>1400000</v>
      </c>
      <c r="O908" s="69">
        <f t="shared" si="57"/>
        <v>1400000</v>
      </c>
      <c r="P908" s="42" t="str">
        <f>IFERROR(VLOOKUP(J908,'Mã NV'!$B:$C,2,0),"")</f>
        <v>XE01574</v>
      </c>
      <c r="Q908" s="70" t="str">
        <f>IFERROR(VLOOKUP(I908,'Mã NV'!$J:$K,2,0),"")</f>
        <v>8T</v>
      </c>
    </row>
    <row r="909" customHeight="1" spans="1:17">
      <c r="A909" s="63">
        <f t="shared" si="59"/>
        <v>906</v>
      </c>
      <c r="B909" s="64">
        <v>46138</v>
      </c>
      <c r="C909" s="65"/>
      <c r="D909" s="66" t="s">
        <v>30</v>
      </c>
      <c r="E909" s="66" t="s">
        <v>30</v>
      </c>
      <c r="F909" s="66" t="s">
        <v>744</v>
      </c>
      <c r="G909" s="66" t="s">
        <v>948</v>
      </c>
      <c r="H909" s="66" t="s">
        <v>768</v>
      </c>
      <c r="I909" s="66" t="s">
        <v>275</v>
      </c>
      <c r="J909" s="66" t="s">
        <v>279</v>
      </c>
      <c r="K909" s="66" t="s">
        <v>747</v>
      </c>
      <c r="L909" s="67">
        <v>11000000</v>
      </c>
      <c r="M909" s="67">
        <v>0</v>
      </c>
      <c r="N909" s="68">
        <f t="shared" si="58"/>
        <v>11000000</v>
      </c>
      <c r="O909" s="69">
        <f t="shared" si="57"/>
        <v>11000000</v>
      </c>
      <c r="P909" s="42" t="str">
        <f>IFERROR(VLOOKUP(J909,'Mã NV'!$B:$C,2,0),"")</f>
        <v>XE01530</v>
      </c>
      <c r="Q909" s="70" t="str">
        <f>IFERROR(VLOOKUP(I909,'Mã NV'!$J:$K,2,0),"")</f>
        <v>8T</v>
      </c>
    </row>
    <row r="910" customHeight="1" spans="1:17">
      <c r="A910" s="63">
        <f t="shared" si="59"/>
        <v>907</v>
      </c>
      <c r="B910" s="64">
        <v>46138</v>
      </c>
      <c r="C910" s="65"/>
      <c r="D910" s="66" t="s">
        <v>30</v>
      </c>
      <c r="E910" s="66" t="s">
        <v>30</v>
      </c>
      <c r="F910" s="66" t="s">
        <v>744</v>
      </c>
      <c r="G910" s="66" t="s">
        <v>948</v>
      </c>
      <c r="H910" s="66" t="s">
        <v>768</v>
      </c>
      <c r="I910" s="66" t="s">
        <v>275</v>
      </c>
      <c r="J910" s="66" t="s">
        <v>331</v>
      </c>
      <c r="K910" s="66" t="s">
        <v>747</v>
      </c>
      <c r="L910" s="67">
        <v>11000000</v>
      </c>
      <c r="M910" s="67">
        <v>0</v>
      </c>
      <c r="N910" s="68">
        <f t="shared" si="58"/>
        <v>11000000</v>
      </c>
      <c r="O910" s="69">
        <f t="shared" si="57"/>
        <v>11000000</v>
      </c>
      <c r="P910" s="42" t="str">
        <f>IFERROR(VLOOKUP(J910,'Mã NV'!$B:$C,2,0),"")</f>
        <v>XE01540</v>
      </c>
      <c r="Q910" s="70" t="str">
        <f>IFERROR(VLOOKUP(I910,'Mã NV'!$J:$K,2,0),"")</f>
        <v>8T</v>
      </c>
    </row>
    <row r="911" customHeight="1" spans="1:17">
      <c r="A911" s="63">
        <f t="shared" si="59"/>
        <v>908</v>
      </c>
      <c r="B911" s="64">
        <v>46139</v>
      </c>
      <c r="C911" s="65"/>
      <c r="D911" s="66" t="s">
        <v>30</v>
      </c>
      <c r="E911" s="66" t="s">
        <v>30</v>
      </c>
      <c r="F911" s="66" t="s">
        <v>744</v>
      </c>
      <c r="G911" s="66" t="s">
        <v>949</v>
      </c>
      <c r="H911" s="66" t="s">
        <v>745</v>
      </c>
      <c r="I911" s="66" t="s">
        <v>69</v>
      </c>
      <c r="J911" s="66" t="s">
        <v>183</v>
      </c>
      <c r="K911" s="66" t="s">
        <v>747</v>
      </c>
      <c r="L911" s="67">
        <v>12000000</v>
      </c>
      <c r="M911" s="67">
        <v>0</v>
      </c>
      <c r="N911" s="68">
        <f t="shared" si="58"/>
        <v>12000000</v>
      </c>
      <c r="O911" s="69">
        <f t="shared" si="57"/>
        <v>12000000</v>
      </c>
      <c r="P911" s="42" t="str">
        <f>IFERROR(VLOOKUP(J911,'Mã NV'!$B:$C,2,0),"")</f>
        <v>XE00894</v>
      </c>
      <c r="Q911" s="70" t="str">
        <f>IFERROR(VLOOKUP(I911,'Mã NV'!$J:$K,2,0),"")</f>
        <v>Cont 50F</v>
      </c>
    </row>
    <row r="912" customHeight="1" spans="1:17">
      <c r="A912" s="63">
        <f t="shared" si="59"/>
        <v>909</v>
      </c>
      <c r="B912" s="64">
        <v>46139</v>
      </c>
      <c r="C912" s="65"/>
      <c r="D912" s="66" t="s">
        <v>30</v>
      </c>
      <c r="E912" s="66" t="s">
        <v>30</v>
      </c>
      <c r="F912" s="66" t="s">
        <v>744</v>
      </c>
      <c r="G912" s="66" t="s">
        <v>949</v>
      </c>
      <c r="H912" s="66" t="s">
        <v>745</v>
      </c>
      <c r="I912" s="66" t="s">
        <v>69</v>
      </c>
      <c r="J912" s="66" t="s">
        <v>67</v>
      </c>
      <c r="K912" s="66" t="s">
        <v>747</v>
      </c>
      <c r="L912" s="67">
        <v>12000000</v>
      </c>
      <c r="M912" s="67">
        <v>0</v>
      </c>
      <c r="N912" s="68">
        <f t="shared" si="58"/>
        <v>12000000</v>
      </c>
      <c r="O912" s="69">
        <f t="shared" si="57"/>
        <v>12000000</v>
      </c>
      <c r="P912" s="42" t="str">
        <f>IFERROR(VLOOKUP(J912,'Mã NV'!$B:$C,2,0),"")</f>
        <v>XE00855</v>
      </c>
      <c r="Q912" s="70" t="str">
        <f>IFERROR(VLOOKUP(I912,'Mã NV'!$J:$K,2,0),"")</f>
        <v>Cont 50F</v>
      </c>
    </row>
    <row r="913" customHeight="1" spans="1:17">
      <c r="A913" s="63">
        <f t="shared" si="59"/>
        <v>910</v>
      </c>
      <c r="B913" s="64">
        <v>46140</v>
      </c>
      <c r="C913" s="65"/>
      <c r="D913" s="66" t="s">
        <v>30</v>
      </c>
      <c r="E913" s="66" t="s">
        <v>30</v>
      </c>
      <c r="F913" s="66" t="s">
        <v>744</v>
      </c>
      <c r="G913" s="66" t="s">
        <v>950</v>
      </c>
      <c r="H913" s="66" t="s">
        <v>759</v>
      </c>
      <c r="I913" s="66" t="s">
        <v>158</v>
      </c>
      <c r="J913" s="66" t="s">
        <v>156</v>
      </c>
      <c r="K913" s="66" t="s">
        <v>747</v>
      </c>
      <c r="L913" s="67">
        <v>5000000</v>
      </c>
      <c r="M913" s="67"/>
      <c r="N913" s="68">
        <f t="shared" si="58"/>
        <v>5000000</v>
      </c>
      <c r="O913" s="69">
        <f t="shared" si="57"/>
        <v>5000000</v>
      </c>
      <c r="P913" s="42" t="str">
        <f>IFERROR(VLOOKUP(J913,'Mã NV'!$B:$C,2,0),"")</f>
        <v>XE01316</v>
      </c>
      <c r="Q913" s="70" t="str">
        <f>IFERROR(VLOOKUP(I913,'Mã NV'!$J:$K,2,0),"")</f>
        <v>8T</v>
      </c>
    </row>
    <row r="914" customHeight="1" spans="1:17">
      <c r="A914" s="63">
        <f t="shared" si="59"/>
        <v>911</v>
      </c>
      <c r="B914" s="64">
        <v>46140</v>
      </c>
      <c r="C914" s="65"/>
      <c r="D914" s="66" t="s">
        <v>30</v>
      </c>
      <c r="E914" s="66" t="s">
        <v>30</v>
      </c>
      <c r="F914" s="66" t="s">
        <v>744</v>
      </c>
      <c r="G914" s="66" t="s">
        <v>950</v>
      </c>
      <c r="H914" s="66" t="s">
        <v>759</v>
      </c>
      <c r="I914" s="66" t="s">
        <v>158</v>
      </c>
      <c r="J914" s="66" t="s">
        <v>277</v>
      </c>
      <c r="K914" s="66" t="s">
        <v>747</v>
      </c>
      <c r="L914" s="67">
        <v>5000000</v>
      </c>
      <c r="M914" s="67"/>
      <c r="N914" s="68">
        <f t="shared" si="58"/>
        <v>5000000</v>
      </c>
      <c r="O914" s="69">
        <f t="shared" si="57"/>
        <v>5000000</v>
      </c>
      <c r="P914" s="42" t="str">
        <f>IFERROR(VLOOKUP(J914,'Mã NV'!$B:$C,2,0),"")</f>
        <v>XE01534</v>
      </c>
      <c r="Q914" s="70" t="str">
        <f>IFERROR(VLOOKUP(I914,'Mã NV'!$J:$K,2,0),"")</f>
        <v>8T</v>
      </c>
    </row>
    <row r="915" customHeight="1" spans="1:17">
      <c r="A915" s="63">
        <f t="shared" si="59"/>
        <v>912</v>
      </c>
      <c r="B915" s="64">
        <v>46148</v>
      </c>
      <c r="C915" s="65"/>
      <c r="D915" s="66" t="s">
        <v>30</v>
      </c>
      <c r="E915" s="66" t="s">
        <v>30</v>
      </c>
      <c r="F915" s="66" t="s">
        <v>744</v>
      </c>
      <c r="G915" s="66" t="s">
        <v>767</v>
      </c>
      <c r="H915" s="66" t="s">
        <v>754</v>
      </c>
      <c r="I915" s="66" t="s">
        <v>134</v>
      </c>
      <c r="J915" s="66" t="s">
        <v>359</v>
      </c>
      <c r="K915" s="66" t="s">
        <v>747</v>
      </c>
      <c r="L915" s="67">
        <v>1500000</v>
      </c>
      <c r="M915" s="67">
        <v>0</v>
      </c>
      <c r="N915" s="68">
        <f t="shared" si="58"/>
        <v>1500000</v>
      </c>
      <c r="O915" s="69">
        <f t="shared" si="57"/>
        <v>1500000</v>
      </c>
      <c r="P915" s="42" t="str">
        <f>IFERROR(VLOOKUP(J915,'Mã NV'!$B:$C,2,0),"")</f>
        <v>XE01639</v>
      </c>
      <c r="Q915" s="70" t="str">
        <f>IFERROR(VLOOKUP(I915,'Mã NV'!$J:$K,2,0),"")</f>
        <v>2.5T Lạnh</v>
      </c>
    </row>
    <row r="916" customHeight="1" spans="1:17">
      <c r="A916" s="63">
        <f t="shared" si="59"/>
        <v>913</v>
      </c>
      <c r="B916" s="64">
        <v>46150</v>
      </c>
      <c r="C916" s="65"/>
      <c r="D916" s="66" t="s">
        <v>30</v>
      </c>
      <c r="E916" s="66" t="s">
        <v>30</v>
      </c>
      <c r="F916" s="66" t="s">
        <v>744</v>
      </c>
      <c r="G916" s="66" t="s">
        <v>767</v>
      </c>
      <c r="H916" s="66" t="s">
        <v>951</v>
      </c>
      <c r="I916" s="66" t="s">
        <v>141</v>
      </c>
      <c r="J916" s="66" t="s">
        <v>145</v>
      </c>
      <c r="K916" s="66" t="s">
        <v>747</v>
      </c>
      <c r="L916" s="67">
        <v>12000000</v>
      </c>
      <c r="M916" s="67">
        <v>0</v>
      </c>
      <c r="N916" s="68">
        <f t="shared" si="58"/>
        <v>12000000</v>
      </c>
      <c r="O916" s="69">
        <f t="shared" si="57"/>
        <v>12000000</v>
      </c>
      <c r="P916" s="42" t="str">
        <f>IFERROR(VLOOKUP(J916,'Mã NV'!$B:$C,2,0),"")</f>
        <v>XE01326</v>
      </c>
      <c r="Q916" s="70" t="str">
        <f>IFERROR(VLOOKUP(I916,'Mã NV'!$J:$K,2,0),"")</f>
        <v>7.1t</v>
      </c>
    </row>
    <row r="917" customHeight="1" spans="1:17">
      <c r="A917" s="63">
        <f t="shared" si="59"/>
        <v>914</v>
      </c>
      <c r="B917" s="64">
        <v>46150</v>
      </c>
      <c r="C917" s="87"/>
      <c r="D917" s="66" t="s">
        <v>30</v>
      </c>
      <c r="E917" s="66" t="s">
        <v>30</v>
      </c>
      <c r="F917" s="66" t="s">
        <v>744</v>
      </c>
      <c r="G917" s="66" t="s">
        <v>767</v>
      </c>
      <c r="H917" s="66" t="s">
        <v>951</v>
      </c>
      <c r="I917" s="66" t="s">
        <v>141</v>
      </c>
      <c r="J917" s="66" t="s">
        <v>139</v>
      </c>
      <c r="K917" s="66" t="s">
        <v>747</v>
      </c>
      <c r="L917" s="67">
        <v>12000000</v>
      </c>
      <c r="M917" s="67">
        <v>0</v>
      </c>
      <c r="N917" s="68">
        <f t="shared" si="58"/>
        <v>12000000</v>
      </c>
      <c r="O917" s="69">
        <f t="shared" si="57"/>
        <v>12000000</v>
      </c>
      <c r="P917" s="42" t="str">
        <f>IFERROR(VLOOKUP(J917,'Mã NV'!$B:$C,2,0),"")</f>
        <v>XE01325</v>
      </c>
      <c r="Q917" s="70" t="str">
        <f>IFERROR(VLOOKUP(I917,'Mã NV'!$J:$K,2,0),"")</f>
        <v>7.1t</v>
      </c>
    </row>
    <row r="918" customHeight="1" spans="1:17">
      <c r="A918" s="63">
        <f t="shared" si="59"/>
        <v>915</v>
      </c>
      <c r="B918" s="64">
        <v>46156</v>
      </c>
      <c r="C918" s="87"/>
      <c r="D918" s="66" t="s">
        <v>30</v>
      </c>
      <c r="E918" s="66" t="s">
        <v>30</v>
      </c>
      <c r="F918" s="66" t="s">
        <v>744</v>
      </c>
      <c r="G918" s="66" t="s">
        <v>883</v>
      </c>
      <c r="H918" s="66" t="s">
        <v>772</v>
      </c>
      <c r="I918" s="66" t="s">
        <v>66</v>
      </c>
      <c r="J918" s="66" t="s">
        <v>64</v>
      </c>
      <c r="K918" s="66" t="s">
        <v>747</v>
      </c>
      <c r="L918" s="67">
        <v>12500000</v>
      </c>
      <c r="M918" s="67">
        <v>0</v>
      </c>
      <c r="N918" s="68">
        <f t="shared" si="58"/>
        <v>12500000</v>
      </c>
      <c r="O918" s="69">
        <f t="shared" si="57"/>
        <v>12500000</v>
      </c>
      <c r="P918" s="42" t="str">
        <f>IFERROR(VLOOKUP(J918,'Mã NV'!$B:$C,2,0),"")</f>
        <v>XE00858</v>
      </c>
      <c r="Q918" s="70" t="str">
        <f>IFERROR(VLOOKUP(I918,'Mã NV'!$J:$K,2,0),"")</f>
        <v>Cont 50F</v>
      </c>
    </row>
    <row r="919" customHeight="1" spans="1:17">
      <c r="A919" s="63">
        <f t="shared" si="59"/>
        <v>916</v>
      </c>
      <c r="B919" s="64">
        <v>46156</v>
      </c>
      <c r="C919" s="87"/>
      <c r="D919" s="66" t="s">
        <v>30</v>
      </c>
      <c r="E919" s="66" t="s">
        <v>30</v>
      </c>
      <c r="F919" s="66" t="s">
        <v>744</v>
      </c>
      <c r="G919" s="66" t="s">
        <v>883</v>
      </c>
      <c r="H919" s="66" t="s">
        <v>772</v>
      </c>
      <c r="I919" s="66" t="s">
        <v>66</v>
      </c>
      <c r="J919" s="66" t="s">
        <v>327</v>
      </c>
      <c r="K919" s="66" t="s">
        <v>747</v>
      </c>
      <c r="L919" s="67">
        <v>12500000</v>
      </c>
      <c r="M919" s="67">
        <v>0</v>
      </c>
      <c r="N919" s="68">
        <f t="shared" si="58"/>
        <v>12500000</v>
      </c>
      <c r="O919" s="69">
        <f t="shared" si="57"/>
        <v>12500000</v>
      </c>
      <c r="P919" s="42" t="str">
        <f>IFERROR(VLOOKUP(J919,'Mã NV'!$B:$C,2,0),"")</f>
        <v>XE01539</v>
      </c>
      <c r="Q919" s="70" t="str">
        <f>IFERROR(VLOOKUP(I919,'Mã NV'!$J:$K,2,0),"")</f>
        <v>Cont 50F</v>
      </c>
    </row>
    <row r="920" customHeight="1" spans="1:17">
      <c r="A920" s="63">
        <f t="shared" si="59"/>
        <v>917</v>
      </c>
      <c r="B920" s="64">
        <v>46156</v>
      </c>
      <c r="C920" s="87"/>
      <c r="D920" s="66" t="s">
        <v>30</v>
      </c>
      <c r="E920" s="66" t="s">
        <v>30</v>
      </c>
      <c r="F920" s="66" t="s">
        <v>744</v>
      </c>
      <c r="G920" s="66" t="s">
        <v>883</v>
      </c>
      <c r="H920" s="66" t="s">
        <v>772</v>
      </c>
      <c r="I920" s="66" t="s">
        <v>76</v>
      </c>
      <c r="J920" s="66" t="s">
        <v>368</v>
      </c>
      <c r="K920" s="66" t="s">
        <v>747</v>
      </c>
      <c r="L920" s="67">
        <v>12500000</v>
      </c>
      <c r="M920" s="67">
        <v>0</v>
      </c>
      <c r="N920" s="68">
        <f t="shared" si="58"/>
        <v>12500000</v>
      </c>
      <c r="O920" s="69">
        <f t="shared" si="57"/>
        <v>12500000</v>
      </c>
      <c r="P920" s="42" t="str">
        <f>IFERROR(VLOOKUP(J920,'Mã NV'!$B:$C,2,0),"")</f>
        <v>XE00907</v>
      </c>
      <c r="Q920" s="70" t="str">
        <f>IFERROR(VLOOKUP(I920,'Mã NV'!$J:$K,2,0),"")</f>
        <v>Cont 50F</v>
      </c>
    </row>
    <row r="921" customHeight="1" spans="1:17">
      <c r="A921" s="63">
        <f t="shared" si="59"/>
        <v>918</v>
      </c>
      <c r="B921" s="64">
        <v>46156</v>
      </c>
      <c r="C921" s="87"/>
      <c r="D921" s="66" t="s">
        <v>30</v>
      </c>
      <c r="E921" s="66" t="s">
        <v>30</v>
      </c>
      <c r="F921" s="66" t="s">
        <v>744</v>
      </c>
      <c r="G921" s="66" t="s">
        <v>883</v>
      </c>
      <c r="H921" s="66" t="s">
        <v>772</v>
      </c>
      <c r="I921" s="66" t="s">
        <v>76</v>
      </c>
      <c r="J921" s="66" t="s">
        <v>369</v>
      </c>
      <c r="K921" s="66" t="s">
        <v>747</v>
      </c>
      <c r="L921" s="67">
        <v>12500000</v>
      </c>
      <c r="M921" s="67">
        <v>0</v>
      </c>
      <c r="N921" s="68">
        <f t="shared" si="58"/>
        <v>12500000</v>
      </c>
      <c r="O921" s="69">
        <f t="shared" si="57"/>
        <v>12500000</v>
      </c>
      <c r="P921" s="42" t="str">
        <f>IFERROR(VLOOKUP(J921,'Mã NV'!$B:$C,2,0),"")</f>
        <v>XE00908</v>
      </c>
      <c r="Q921" s="70" t="str">
        <f>IFERROR(VLOOKUP(I921,'Mã NV'!$J:$K,2,0),"")</f>
        <v>Cont 50F</v>
      </c>
    </row>
    <row r="922" customHeight="1" spans="1:17">
      <c r="A922" s="63">
        <f t="shared" si="59"/>
        <v>919</v>
      </c>
      <c r="B922" s="64">
        <v>46158</v>
      </c>
      <c r="C922" s="87"/>
      <c r="D922" s="66" t="s">
        <v>30</v>
      </c>
      <c r="E922" s="66" t="s">
        <v>30</v>
      </c>
      <c r="F922" s="66" t="s">
        <v>744</v>
      </c>
      <c r="G922" s="66" t="s">
        <v>948</v>
      </c>
      <c r="H922" s="66" t="s">
        <v>952</v>
      </c>
      <c r="I922" s="66" t="s">
        <v>124</v>
      </c>
      <c r="J922" s="66" t="s">
        <v>187</v>
      </c>
      <c r="K922" s="66" t="s">
        <v>747</v>
      </c>
      <c r="L922" s="67">
        <v>15000000</v>
      </c>
      <c r="M922" s="67">
        <v>0</v>
      </c>
      <c r="N922" s="68">
        <f t="shared" si="58"/>
        <v>15000000</v>
      </c>
      <c r="O922" s="69">
        <f t="shared" si="57"/>
        <v>15000000</v>
      </c>
      <c r="P922" s="42" t="str">
        <f>IFERROR(VLOOKUP(J922,'Mã NV'!$B:$C,2,0),"")</f>
        <v>XE01064</v>
      </c>
      <c r="Q922" s="70" t="str">
        <f>IFERROR(VLOOKUP(I922,'Mã NV'!$J:$K,2,0),"")</f>
        <v>Cont 50F</v>
      </c>
    </row>
    <row r="923" customHeight="1" spans="1:17">
      <c r="A923" s="63">
        <f t="shared" si="59"/>
        <v>920</v>
      </c>
      <c r="B923" s="64">
        <v>46158</v>
      </c>
      <c r="C923" s="87"/>
      <c r="D923" s="66" t="s">
        <v>30</v>
      </c>
      <c r="E923" s="66" t="s">
        <v>30</v>
      </c>
      <c r="F923" s="66" t="s">
        <v>744</v>
      </c>
      <c r="G923" s="66" t="s">
        <v>948</v>
      </c>
      <c r="H923" s="66" t="s">
        <v>952</v>
      </c>
      <c r="I923" s="66" t="s">
        <v>124</v>
      </c>
      <c r="J923" s="66" t="s">
        <v>122</v>
      </c>
      <c r="K923" s="66" t="s">
        <v>747</v>
      </c>
      <c r="L923" s="67">
        <v>15000000</v>
      </c>
      <c r="M923" s="67">
        <v>0</v>
      </c>
      <c r="N923" s="68">
        <f t="shared" si="58"/>
        <v>15000000</v>
      </c>
      <c r="O923" s="69">
        <f t="shared" si="57"/>
        <v>15000000</v>
      </c>
      <c r="P923" s="42" t="str">
        <f>IFERROR(VLOOKUP(J923,'Mã NV'!$B:$C,2,0),"")</f>
        <v>XE01034</v>
      </c>
      <c r="Q923" s="70" t="str">
        <f>IFERROR(VLOOKUP(I923,'Mã NV'!$J:$K,2,0),"")</f>
        <v>Cont 50F</v>
      </c>
    </row>
    <row r="924" customHeight="1" spans="1:17">
      <c r="A924" s="63">
        <f t="shared" si="59"/>
        <v>921</v>
      </c>
      <c r="B924" s="64">
        <v>46158</v>
      </c>
      <c r="C924" s="87"/>
      <c r="D924" s="66" t="s">
        <v>30</v>
      </c>
      <c r="E924" s="66" t="s">
        <v>30</v>
      </c>
      <c r="F924" s="66" t="s">
        <v>744</v>
      </c>
      <c r="G924" s="66" t="s">
        <v>750</v>
      </c>
      <c r="H924" s="66" t="s">
        <v>745</v>
      </c>
      <c r="I924" s="66" t="s">
        <v>283</v>
      </c>
      <c r="J924" s="66" t="s">
        <v>337</v>
      </c>
      <c r="K924" s="66" t="s">
        <v>747</v>
      </c>
      <c r="L924" s="67">
        <v>11500000</v>
      </c>
      <c r="M924" s="67">
        <v>0</v>
      </c>
      <c r="N924" s="68">
        <f t="shared" si="58"/>
        <v>11500000</v>
      </c>
      <c r="O924" s="69">
        <f t="shared" si="57"/>
        <v>11500000</v>
      </c>
      <c r="P924" s="42" t="str">
        <f>IFERROR(VLOOKUP(J924,'Mã NV'!$B:$C,2,0),"")</f>
        <v>XE01477</v>
      </c>
      <c r="Q924" s="70" t="str">
        <f>IFERROR(VLOOKUP(I924,'Mã NV'!$J:$K,2,0),"")</f>
        <v>15T</v>
      </c>
    </row>
    <row r="925" customHeight="1" spans="1:17">
      <c r="A925" s="63">
        <f t="shared" si="59"/>
        <v>922</v>
      </c>
      <c r="B925" s="64">
        <v>46158</v>
      </c>
      <c r="C925" s="87"/>
      <c r="D925" s="66" t="s">
        <v>30</v>
      </c>
      <c r="E925" s="66" t="s">
        <v>30</v>
      </c>
      <c r="F925" s="66" t="s">
        <v>744</v>
      </c>
      <c r="G925" s="66" t="s">
        <v>750</v>
      </c>
      <c r="H925" s="66" t="s">
        <v>745</v>
      </c>
      <c r="I925" s="66" t="s">
        <v>283</v>
      </c>
      <c r="J925" s="66" t="s">
        <v>339</v>
      </c>
      <c r="K925" s="66" t="s">
        <v>747</v>
      </c>
      <c r="L925" s="67">
        <v>11500000</v>
      </c>
      <c r="M925" s="67">
        <v>0</v>
      </c>
      <c r="N925" s="68">
        <f t="shared" si="58"/>
        <v>11500000</v>
      </c>
      <c r="O925" s="69">
        <f t="shared" si="57"/>
        <v>11500000</v>
      </c>
      <c r="P925" s="42" t="str">
        <f>IFERROR(VLOOKUP(J925,'Mã NV'!$B:$C,2,0),"")</f>
        <v>XE01670</v>
      </c>
      <c r="Q925" s="70" t="str">
        <f>IFERROR(VLOOKUP(I925,'Mã NV'!$J:$K,2,0),"")</f>
        <v>15T</v>
      </c>
    </row>
    <row r="926" customHeight="1" spans="1:17">
      <c r="A926" s="63">
        <f t="shared" si="59"/>
        <v>923</v>
      </c>
      <c r="B926" s="64">
        <v>46158</v>
      </c>
      <c r="C926" s="65"/>
      <c r="D926" s="66" t="s">
        <v>30</v>
      </c>
      <c r="E926" s="66" t="s">
        <v>30</v>
      </c>
      <c r="F926" s="66" t="s">
        <v>744</v>
      </c>
      <c r="G926" s="66" t="s">
        <v>953</v>
      </c>
      <c r="H926" s="66" t="s">
        <v>745</v>
      </c>
      <c r="I926" s="66" t="s">
        <v>208</v>
      </c>
      <c r="J926" s="66" t="s">
        <v>373</v>
      </c>
      <c r="K926" s="66" t="s">
        <v>747</v>
      </c>
      <c r="L926" s="67">
        <v>12500000</v>
      </c>
      <c r="M926" s="67">
        <v>0</v>
      </c>
      <c r="N926" s="68">
        <f t="shared" si="58"/>
        <v>12500000</v>
      </c>
      <c r="O926" s="69">
        <f t="shared" si="57"/>
        <v>12500000</v>
      </c>
      <c r="P926" s="42" t="str">
        <f>IFERROR(VLOOKUP(J926,'Mã NV'!$B:$C,2,0),"")</f>
        <v>XE01694</v>
      </c>
      <c r="Q926" s="70" t="str">
        <f>IFERROR(VLOOKUP(I926,'Mã NV'!$J:$K,2,0),"")</f>
        <v>15T</v>
      </c>
    </row>
    <row r="927" customHeight="1" spans="1:17">
      <c r="A927" s="63">
        <f t="shared" si="59"/>
        <v>924</v>
      </c>
      <c r="B927" s="64">
        <v>46158</v>
      </c>
      <c r="C927" s="65"/>
      <c r="D927" s="66" t="s">
        <v>30</v>
      </c>
      <c r="E927" s="66" t="s">
        <v>30</v>
      </c>
      <c r="F927" s="66" t="s">
        <v>744</v>
      </c>
      <c r="G927" s="66" t="s">
        <v>953</v>
      </c>
      <c r="H927" s="66" t="s">
        <v>745</v>
      </c>
      <c r="I927" s="66" t="s">
        <v>208</v>
      </c>
      <c r="J927" s="66" t="s">
        <v>375</v>
      </c>
      <c r="K927" s="66" t="s">
        <v>747</v>
      </c>
      <c r="L927" s="67">
        <v>12500000</v>
      </c>
      <c r="M927" s="67">
        <v>0</v>
      </c>
      <c r="N927" s="68">
        <f t="shared" si="58"/>
        <v>12500000</v>
      </c>
      <c r="O927" s="69">
        <f t="shared" si="57"/>
        <v>12500000</v>
      </c>
      <c r="P927" s="42" t="str">
        <f>IFERROR(VLOOKUP(J927,'Mã NV'!$B:$C,2,0),"")</f>
        <v>XE01695</v>
      </c>
      <c r="Q927" s="70" t="str">
        <f>IFERROR(VLOOKUP(I927,'Mã NV'!$J:$K,2,0),"")</f>
        <v>15T</v>
      </c>
    </row>
    <row r="928" customHeight="1" spans="1:17">
      <c r="A928" s="63">
        <f t="shared" si="59"/>
        <v>925</v>
      </c>
      <c r="B928" s="64">
        <v>46159</v>
      </c>
      <c r="C928" s="65"/>
      <c r="D928" s="66" t="s">
        <v>30</v>
      </c>
      <c r="E928" s="66" t="s">
        <v>30</v>
      </c>
      <c r="F928" s="66" t="s">
        <v>744</v>
      </c>
      <c r="G928" s="66" t="s">
        <v>767</v>
      </c>
      <c r="H928" s="66" t="s">
        <v>954</v>
      </c>
      <c r="I928" s="66" t="s">
        <v>72</v>
      </c>
      <c r="J928" s="66" t="s">
        <v>166</v>
      </c>
      <c r="K928" s="66" t="s">
        <v>747</v>
      </c>
      <c r="L928" s="67">
        <v>12000000</v>
      </c>
      <c r="M928" s="67">
        <v>0</v>
      </c>
      <c r="N928" s="68">
        <f t="shared" si="58"/>
        <v>12000000</v>
      </c>
      <c r="O928" s="69">
        <f t="shared" si="57"/>
        <v>12000000</v>
      </c>
      <c r="P928" s="42" t="str">
        <f>IFERROR(VLOOKUP(J928,'Mã NV'!$B:$C,2,0),"")</f>
        <v>XE00844</v>
      </c>
      <c r="Q928" s="70" t="str">
        <f>IFERROR(VLOOKUP(I928,'Mã NV'!$J:$K,2,0),"")</f>
        <v>Cont 50F</v>
      </c>
    </row>
    <row r="929" customHeight="1" spans="1:17">
      <c r="A929" s="63">
        <f t="shared" si="59"/>
        <v>926</v>
      </c>
      <c r="B929" s="64">
        <v>46159</v>
      </c>
      <c r="C929" s="65"/>
      <c r="D929" s="66" t="s">
        <v>30</v>
      </c>
      <c r="E929" s="66" t="s">
        <v>30</v>
      </c>
      <c r="F929" s="66" t="s">
        <v>744</v>
      </c>
      <c r="G929" s="66" t="s">
        <v>767</v>
      </c>
      <c r="H929" s="66" t="s">
        <v>954</v>
      </c>
      <c r="I929" s="66" t="s">
        <v>72</v>
      </c>
      <c r="J929" s="66" t="s">
        <v>70</v>
      </c>
      <c r="K929" s="66" t="s">
        <v>747</v>
      </c>
      <c r="L929" s="67">
        <v>12000000</v>
      </c>
      <c r="M929" s="67">
        <v>0</v>
      </c>
      <c r="N929" s="68">
        <f t="shared" si="58"/>
        <v>12000000</v>
      </c>
      <c r="O929" s="69">
        <f t="shared" si="57"/>
        <v>12000000</v>
      </c>
      <c r="P929" s="42" t="str">
        <f>IFERROR(VLOOKUP(J929,'Mã NV'!$B:$C,2,0),"")</f>
        <v>XE00843</v>
      </c>
      <c r="Q929" s="70" t="str">
        <f>IFERROR(VLOOKUP(I929,'Mã NV'!$J:$K,2,0),"")</f>
        <v>Cont 50F</v>
      </c>
    </row>
    <row r="930" customHeight="1" spans="1:17">
      <c r="A930" s="63">
        <f t="shared" si="59"/>
        <v>927</v>
      </c>
      <c r="B930" s="64">
        <v>46160</v>
      </c>
      <c r="C930" s="65"/>
      <c r="D930" s="66" t="s">
        <v>30</v>
      </c>
      <c r="E930" s="66" t="s">
        <v>30</v>
      </c>
      <c r="F930" s="66" t="s">
        <v>744</v>
      </c>
      <c r="G930" s="66" t="s">
        <v>953</v>
      </c>
      <c r="H930" s="66" t="s">
        <v>955</v>
      </c>
      <c r="I930" s="66" t="s">
        <v>29</v>
      </c>
      <c r="J930" s="66" t="s">
        <v>27</v>
      </c>
      <c r="K930" s="66" t="s">
        <v>747</v>
      </c>
      <c r="L930" s="67">
        <v>13000000</v>
      </c>
      <c r="M930" s="67">
        <v>0</v>
      </c>
      <c r="N930" s="68">
        <f t="shared" si="58"/>
        <v>13000000</v>
      </c>
      <c r="O930" s="69">
        <f t="shared" si="57"/>
        <v>13000000</v>
      </c>
      <c r="P930" s="42" t="str">
        <f>IFERROR(VLOOKUP(J930,'Mã NV'!$B:$C,2,0),"")</f>
        <v>XE00991</v>
      </c>
      <c r="Q930" s="70" t="str">
        <f>IFERROR(VLOOKUP(I930,'Mã NV'!$J:$K,2,0),"")</f>
        <v>Cont 50F</v>
      </c>
    </row>
    <row r="931" customHeight="1" spans="1:17">
      <c r="A931" s="63">
        <f t="shared" si="59"/>
        <v>928</v>
      </c>
      <c r="B931" s="64">
        <v>46160</v>
      </c>
      <c r="C931" s="65"/>
      <c r="D931" s="66" t="s">
        <v>30</v>
      </c>
      <c r="E931" s="66" t="s">
        <v>30</v>
      </c>
      <c r="F931" s="66" t="s">
        <v>744</v>
      </c>
      <c r="G931" s="66" t="s">
        <v>953</v>
      </c>
      <c r="H931" s="66" t="s">
        <v>955</v>
      </c>
      <c r="I931" s="66" t="s">
        <v>29</v>
      </c>
      <c r="J931" s="66" t="s">
        <v>185</v>
      </c>
      <c r="K931" s="66" t="s">
        <v>747</v>
      </c>
      <c r="L931" s="67">
        <v>13000000</v>
      </c>
      <c r="M931" s="67">
        <v>0</v>
      </c>
      <c r="N931" s="68">
        <f t="shared" si="58"/>
        <v>13000000</v>
      </c>
      <c r="O931" s="69">
        <f t="shared" si="57"/>
        <v>13000000</v>
      </c>
      <c r="P931" s="42" t="str">
        <f>IFERROR(VLOOKUP(J931,'Mã NV'!$B:$C,2,0),"")</f>
        <v>XE00854</v>
      </c>
      <c r="Q931" s="70" t="str">
        <f>IFERROR(VLOOKUP(I931,'Mã NV'!$J:$K,2,0),"")</f>
        <v>Cont 50F</v>
      </c>
    </row>
    <row r="932" customHeight="1" spans="1:17">
      <c r="A932" s="63">
        <f t="shared" si="59"/>
        <v>929</v>
      </c>
      <c r="B932" s="64">
        <v>46163</v>
      </c>
      <c r="C932" s="65"/>
      <c r="D932" s="66" t="s">
        <v>30</v>
      </c>
      <c r="E932" s="66" t="s">
        <v>30</v>
      </c>
      <c r="F932" s="66" t="s">
        <v>744</v>
      </c>
      <c r="G932" s="66" t="s">
        <v>883</v>
      </c>
      <c r="H932" s="66" t="s">
        <v>745</v>
      </c>
      <c r="I932" s="66" t="s">
        <v>62</v>
      </c>
      <c r="J932" s="66" t="s">
        <v>366</v>
      </c>
      <c r="K932" s="66" t="s">
        <v>747</v>
      </c>
      <c r="L932" s="67">
        <v>11750000</v>
      </c>
      <c r="M932" s="67">
        <v>0</v>
      </c>
      <c r="N932" s="68">
        <f t="shared" si="58"/>
        <v>11750000</v>
      </c>
      <c r="O932" s="69">
        <f t="shared" si="57"/>
        <v>11750000</v>
      </c>
      <c r="P932" s="42" t="str">
        <f>IFERROR(VLOOKUP(J932,'Mã NV'!$B:$C,2,0),"")</f>
        <v>XE00909</v>
      </c>
      <c r="Q932" s="70" t="str">
        <f>IFERROR(VLOOKUP(I932,'Mã NV'!$J:$K,2,0),"")</f>
        <v>Cont 50F</v>
      </c>
    </row>
    <row r="933" customHeight="1" spans="1:17">
      <c r="A933" s="63">
        <f t="shared" si="59"/>
        <v>930</v>
      </c>
      <c r="B933" s="64">
        <v>46163</v>
      </c>
      <c r="C933" s="65"/>
      <c r="D933" s="66" t="s">
        <v>30</v>
      </c>
      <c r="E933" s="66" t="s">
        <v>30</v>
      </c>
      <c r="F933" s="66" t="s">
        <v>744</v>
      </c>
      <c r="G933" s="66" t="s">
        <v>883</v>
      </c>
      <c r="H933" s="66" t="s">
        <v>745</v>
      </c>
      <c r="I933" s="66" t="s">
        <v>62</v>
      </c>
      <c r="J933" s="66" t="s">
        <v>60</v>
      </c>
      <c r="K933" s="66" t="s">
        <v>747</v>
      </c>
      <c r="L933" s="67">
        <v>11750000</v>
      </c>
      <c r="M933" s="67">
        <v>0</v>
      </c>
      <c r="N933" s="68">
        <f t="shared" si="58"/>
        <v>11750000</v>
      </c>
      <c r="O933" s="69">
        <f t="shared" si="57"/>
        <v>11750000</v>
      </c>
      <c r="P933" s="42" t="str">
        <f>IFERROR(VLOOKUP(J933,'Mã NV'!$B:$C,2,0),"")</f>
        <v>XE00910</v>
      </c>
      <c r="Q933" s="70" t="str">
        <f>IFERROR(VLOOKUP(I933,'Mã NV'!$J:$K,2,0),"")</f>
        <v>Cont 50F</v>
      </c>
    </row>
    <row r="934" customHeight="1" spans="1:17">
      <c r="A934" s="63">
        <f t="shared" si="59"/>
        <v>931</v>
      </c>
      <c r="B934" s="64">
        <v>46164</v>
      </c>
      <c r="C934" s="65"/>
      <c r="D934" s="66" t="s">
        <v>30</v>
      </c>
      <c r="E934" s="66" t="s">
        <v>30</v>
      </c>
      <c r="F934" s="66" t="s">
        <v>744</v>
      </c>
      <c r="G934" s="66" t="s">
        <v>767</v>
      </c>
      <c r="H934" s="66" t="s">
        <v>956</v>
      </c>
      <c r="I934" s="66" t="s">
        <v>211</v>
      </c>
      <c r="J934" s="66" t="s">
        <v>209</v>
      </c>
      <c r="K934" s="66" t="s">
        <v>747</v>
      </c>
      <c r="L934" s="67">
        <v>10000000</v>
      </c>
      <c r="M934" s="67">
        <v>0</v>
      </c>
      <c r="N934" s="68">
        <f t="shared" si="58"/>
        <v>10000000</v>
      </c>
      <c r="O934" s="69">
        <f t="shared" si="57"/>
        <v>10000000</v>
      </c>
      <c r="P934" s="42" t="str">
        <f>IFERROR(VLOOKUP(J934,'Mã NV'!$B:$C,2,0),"")</f>
        <v>XE01098</v>
      </c>
      <c r="Q934" s="70" t="str">
        <f>IFERROR(VLOOKUP(I934,'Mã NV'!$J:$K,2,0),"")</f>
        <v>7.1t</v>
      </c>
    </row>
    <row r="935" customHeight="1" spans="1:17">
      <c r="A935" s="63">
        <f t="shared" si="59"/>
        <v>932</v>
      </c>
      <c r="B935" s="64">
        <v>46164</v>
      </c>
      <c r="C935" s="87"/>
      <c r="D935" s="66" t="s">
        <v>30</v>
      </c>
      <c r="E935" s="66" t="s">
        <v>30</v>
      </c>
      <c r="F935" s="66" t="s">
        <v>744</v>
      </c>
      <c r="G935" s="66" t="s">
        <v>767</v>
      </c>
      <c r="H935" s="66" t="s">
        <v>956</v>
      </c>
      <c r="I935" s="66" t="s">
        <v>211</v>
      </c>
      <c r="J935" s="66" t="s">
        <v>316</v>
      </c>
      <c r="K935" s="66" t="s">
        <v>747</v>
      </c>
      <c r="L935" s="67">
        <v>10000000</v>
      </c>
      <c r="M935" s="67">
        <v>0</v>
      </c>
      <c r="N935" s="68">
        <f t="shared" si="58"/>
        <v>10000000</v>
      </c>
      <c r="O935" s="69">
        <f t="shared" si="57"/>
        <v>10000000</v>
      </c>
      <c r="P935" s="42" t="str">
        <f>IFERROR(VLOOKUP(J935,'Mã NV'!$B:$C,2,0),"")</f>
        <v>XE01600</v>
      </c>
      <c r="Q935" s="70" t="str">
        <f>IFERROR(VLOOKUP(I935,'Mã NV'!$J:$K,2,0),"")</f>
        <v>7.1t</v>
      </c>
    </row>
    <row r="936" customHeight="1" spans="1:17">
      <c r="A936" s="63">
        <f t="shared" si="59"/>
        <v>933</v>
      </c>
      <c r="B936" s="64">
        <v>46165</v>
      </c>
      <c r="C936" s="87"/>
      <c r="D936" s="66" t="s">
        <v>30</v>
      </c>
      <c r="E936" s="66" t="s">
        <v>30</v>
      </c>
      <c r="F936" s="66" t="s">
        <v>744</v>
      </c>
      <c r="G936" s="66" t="s">
        <v>883</v>
      </c>
      <c r="H936" s="66" t="s">
        <v>772</v>
      </c>
      <c r="I936" s="66" t="s">
        <v>66</v>
      </c>
      <c r="J936" s="66" t="s">
        <v>64</v>
      </c>
      <c r="K936" s="66" t="s">
        <v>747</v>
      </c>
      <c r="L936" s="67">
        <v>23500000</v>
      </c>
      <c r="M936" s="67">
        <v>0</v>
      </c>
      <c r="N936" s="68">
        <f t="shared" si="58"/>
        <v>23500000</v>
      </c>
      <c r="O936" s="69">
        <f t="shared" si="57"/>
        <v>23500000</v>
      </c>
      <c r="P936" s="42" t="str">
        <f>IFERROR(VLOOKUP(J936,'Mã NV'!$B:$C,2,0),"")</f>
        <v>XE00858</v>
      </c>
      <c r="Q936" s="70" t="str">
        <f>IFERROR(VLOOKUP(I936,'Mã NV'!$J:$K,2,0),"")</f>
        <v>Cont 50F</v>
      </c>
    </row>
    <row r="937" customHeight="1" spans="1:17">
      <c r="A937" s="63">
        <f t="shared" si="59"/>
        <v>934</v>
      </c>
      <c r="B937" s="64">
        <v>46166</v>
      </c>
      <c r="C937" s="87"/>
      <c r="D937" s="66" t="s">
        <v>30</v>
      </c>
      <c r="E937" s="66" t="s">
        <v>30</v>
      </c>
      <c r="F937" s="66" t="s">
        <v>744</v>
      </c>
      <c r="G937" s="66" t="s">
        <v>767</v>
      </c>
      <c r="H937" s="66" t="s">
        <v>954</v>
      </c>
      <c r="I937" s="66" t="s">
        <v>37</v>
      </c>
      <c r="J937" s="66" t="s">
        <v>327</v>
      </c>
      <c r="K937" s="66" t="s">
        <v>747</v>
      </c>
      <c r="L937" s="67">
        <v>11750000</v>
      </c>
      <c r="M937" s="67">
        <v>0</v>
      </c>
      <c r="N937" s="68">
        <f t="shared" si="58"/>
        <v>11750000</v>
      </c>
      <c r="O937" s="69">
        <f t="shared" si="57"/>
        <v>11750000</v>
      </c>
      <c r="P937" s="42" t="str">
        <f>IFERROR(VLOOKUP(J937,'Mã NV'!$B:$C,2,0),"")</f>
        <v>XE01539</v>
      </c>
      <c r="Q937" s="70" t="str">
        <f>IFERROR(VLOOKUP(I937,'Mã NV'!$J:$K,2,0),"")</f>
        <v>Cont 50F</v>
      </c>
    </row>
    <row r="938" customHeight="1" spans="1:17">
      <c r="A938" s="63">
        <f t="shared" si="59"/>
        <v>935</v>
      </c>
      <c r="B938" s="64">
        <v>46166</v>
      </c>
      <c r="C938" s="87"/>
      <c r="D938" s="66" t="s">
        <v>30</v>
      </c>
      <c r="E938" s="66" t="s">
        <v>30</v>
      </c>
      <c r="F938" s="66" t="s">
        <v>744</v>
      </c>
      <c r="G938" s="66" t="s">
        <v>767</v>
      </c>
      <c r="H938" s="66" t="s">
        <v>954</v>
      </c>
      <c r="I938" s="66" t="s">
        <v>37</v>
      </c>
      <c r="J938" s="66" t="s">
        <v>35</v>
      </c>
      <c r="K938" s="66" t="s">
        <v>747</v>
      </c>
      <c r="L938" s="67">
        <v>11750000</v>
      </c>
      <c r="M938" s="67">
        <v>0</v>
      </c>
      <c r="N938" s="68">
        <f t="shared" si="58"/>
        <v>11750000</v>
      </c>
      <c r="O938" s="69">
        <f t="shared" si="57"/>
        <v>11750000</v>
      </c>
      <c r="P938" s="42" t="str">
        <f>IFERROR(VLOOKUP(J938,'Mã NV'!$B:$C,2,0),"")</f>
        <v>XE01303</v>
      </c>
      <c r="Q938" s="70" t="str">
        <f>IFERROR(VLOOKUP(I938,'Mã NV'!$J:$K,2,0),"")</f>
        <v>Cont 50F</v>
      </c>
    </row>
    <row r="939" customHeight="1" spans="1:17">
      <c r="A939" s="63">
        <f t="shared" si="59"/>
        <v>936</v>
      </c>
      <c r="B939" s="64">
        <v>46166</v>
      </c>
      <c r="C939" s="87"/>
      <c r="D939" s="66" t="s">
        <v>30</v>
      </c>
      <c r="E939" s="66" t="s">
        <v>30</v>
      </c>
      <c r="F939" s="66" t="s">
        <v>744</v>
      </c>
      <c r="G939" s="66" t="s">
        <v>949</v>
      </c>
      <c r="H939" s="66" t="s">
        <v>780</v>
      </c>
      <c r="I939" s="66" t="s">
        <v>93</v>
      </c>
      <c r="J939" s="66" t="s">
        <v>307</v>
      </c>
      <c r="K939" s="66" t="s">
        <v>747</v>
      </c>
      <c r="L939" s="67">
        <v>8500000</v>
      </c>
      <c r="M939" s="67">
        <v>0</v>
      </c>
      <c r="N939" s="68">
        <f t="shared" si="58"/>
        <v>8500000</v>
      </c>
      <c r="O939" s="69">
        <f t="shared" si="57"/>
        <v>8500000</v>
      </c>
      <c r="P939" s="42" t="str">
        <f>IFERROR(VLOOKUP(J939,'Mã NV'!$B:$C,2,0),"")</f>
        <v>XE01548</v>
      </c>
      <c r="Q939" s="70" t="str">
        <f>IFERROR(VLOOKUP(I939,'Mã NV'!$J:$K,2,0),"")</f>
        <v>7.1t</v>
      </c>
    </row>
    <row r="940" customHeight="1" spans="1:17">
      <c r="A940" s="63">
        <f t="shared" si="59"/>
        <v>937</v>
      </c>
      <c r="B940" s="64">
        <v>46166</v>
      </c>
      <c r="C940" s="87"/>
      <c r="D940" s="66" t="s">
        <v>30</v>
      </c>
      <c r="E940" s="66" t="s">
        <v>30</v>
      </c>
      <c r="F940" s="66" t="s">
        <v>744</v>
      </c>
      <c r="G940" s="66" t="s">
        <v>949</v>
      </c>
      <c r="H940" s="66" t="s">
        <v>780</v>
      </c>
      <c r="I940" s="66" t="s">
        <v>93</v>
      </c>
      <c r="J940" s="66" t="s">
        <v>310</v>
      </c>
      <c r="K940" s="66" t="s">
        <v>747</v>
      </c>
      <c r="L940" s="67">
        <v>8500000</v>
      </c>
      <c r="M940" s="67">
        <v>0</v>
      </c>
      <c r="N940" s="68">
        <f t="shared" si="58"/>
        <v>8500000</v>
      </c>
      <c r="O940" s="69">
        <f>N940/$P$1</f>
        <v>8500000</v>
      </c>
      <c r="P940" s="42" t="str">
        <f>IFERROR(VLOOKUP(J940,'Mã NV'!$B:$C,2,0),"")</f>
        <v>XE01549</v>
      </c>
      <c r="Q940" s="70" t="str">
        <f>IFERROR(VLOOKUP(I940,'Mã NV'!$J:$K,2,0),"")</f>
        <v>7.1t</v>
      </c>
    </row>
    <row r="941" customHeight="1" spans="1:17">
      <c r="A941" s="63">
        <f t="shared" si="59"/>
        <v>938</v>
      </c>
      <c r="B941" s="64">
        <v>46167</v>
      </c>
      <c r="C941" s="87"/>
      <c r="D941" s="66" t="s">
        <v>30</v>
      </c>
      <c r="E941" s="66" t="s">
        <v>30</v>
      </c>
      <c r="F941" s="66" t="s">
        <v>744</v>
      </c>
      <c r="G941" s="66" t="s">
        <v>957</v>
      </c>
      <c r="H941" s="66" t="s">
        <v>958</v>
      </c>
      <c r="I941" s="66" t="s">
        <v>124</v>
      </c>
      <c r="J941" s="66" t="s">
        <v>187</v>
      </c>
      <c r="K941" s="66" t="s">
        <v>747</v>
      </c>
      <c r="L941" s="67">
        <v>12500000</v>
      </c>
      <c r="M941" s="67">
        <v>0</v>
      </c>
      <c r="N941" s="68">
        <f t="shared" ref="N941:N945" si="60">L941-M941</f>
        <v>12500000</v>
      </c>
      <c r="O941" s="69">
        <f t="shared" ref="O941:O945" si="61">N941/$P$1</f>
        <v>12500000</v>
      </c>
      <c r="P941" s="42" t="str">
        <f>IFERROR(VLOOKUP(J941,'Mã NV'!$B:$C,2,0),"")</f>
        <v>XE01064</v>
      </c>
      <c r="Q941" s="70" t="str">
        <f>IFERROR(VLOOKUP(I941,'Mã NV'!$J:$K,2,0),"")</f>
        <v>Cont 50F</v>
      </c>
    </row>
    <row r="942" customHeight="1" spans="1:17">
      <c r="A942" s="63">
        <f t="shared" si="59"/>
        <v>939</v>
      </c>
      <c r="B942" s="64">
        <v>46167</v>
      </c>
      <c r="C942" s="87"/>
      <c r="D942" s="66" t="s">
        <v>30</v>
      </c>
      <c r="E942" s="66" t="s">
        <v>30</v>
      </c>
      <c r="F942" s="66" t="s">
        <v>744</v>
      </c>
      <c r="G942" s="66" t="s">
        <v>957</v>
      </c>
      <c r="H942" s="66" t="s">
        <v>958</v>
      </c>
      <c r="I942" s="66" t="s">
        <v>124</v>
      </c>
      <c r="J942" s="66" t="s">
        <v>122</v>
      </c>
      <c r="K942" s="66" t="s">
        <v>747</v>
      </c>
      <c r="L942" s="67">
        <v>12500000</v>
      </c>
      <c r="M942" s="67">
        <v>0</v>
      </c>
      <c r="N942" s="68">
        <f t="shared" si="60"/>
        <v>12500000</v>
      </c>
      <c r="O942" s="69">
        <f t="shared" si="61"/>
        <v>12500000</v>
      </c>
      <c r="P942" s="42" t="str">
        <f>IFERROR(VLOOKUP(J942,'Mã NV'!$B:$C,2,0),"")</f>
        <v>XE01034</v>
      </c>
      <c r="Q942" s="70" t="str">
        <f>IFERROR(VLOOKUP(I942,'Mã NV'!$J:$K,2,0),"")</f>
        <v>Cont 50F</v>
      </c>
    </row>
    <row r="943" customHeight="1" spans="1:17">
      <c r="A943" s="63"/>
      <c r="B943" s="64">
        <v>46171</v>
      </c>
      <c r="C943" s="87"/>
      <c r="D943" s="66" t="s">
        <v>30</v>
      </c>
      <c r="E943" s="66" t="s">
        <v>30</v>
      </c>
      <c r="F943" s="66" t="s">
        <v>744</v>
      </c>
      <c r="G943" s="66" t="s">
        <v>959</v>
      </c>
      <c r="H943" s="66" t="s">
        <v>768</v>
      </c>
      <c r="I943" s="66" t="s">
        <v>223</v>
      </c>
      <c r="J943" s="66" t="s">
        <v>221</v>
      </c>
      <c r="K943" s="66" t="s">
        <v>747</v>
      </c>
      <c r="L943" s="67">
        <v>12000000</v>
      </c>
      <c r="M943" s="67"/>
      <c r="N943" s="68">
        <f t="shared" si="60"/>
        <v>12000000</v>
      </c>
      <c r="O943" s="69">
        <f t="shared" si="61"/>
        <v>12000000</v>
      </c>
      <c r="P943" s="42" t="str">
        <f>IFERROR(VLOOKUP(J943,'Mã NV'!$B:$C,2,0),"")</f>
        <v>XE01283</v>
      </c>
      <c r="Q943" s="70" t="str">
        <f>IFERROR(VLOOKUP(I943,'Mã NV'!$J:$K,2,0),"")</f>
        <v>7.1t</v>
      </c>
    </row>
    <row r="944" customHeight="1" spans="1:17">
      <c r="A944" s="63"/>
      <c r="B944" s="64">
        <v>46171</v>
      </c>
      <c r="C944" s="87"/>
      <c r="D944" s="66" t="s">
        <v>30</v>
      </c>
      <c r="E944" s="66" t="s">
        <v>30</v>
      </c>
      <c r="F944" s="66" t="s">
        <v>744</v>
      </c>
      <c r="G944" s="66" t="s">
        <v>959</v>
      </c>
      <c r="H944" s="66" t="s">
        <v>768</v>
      </c>
      <c r="I944" s="66" t="s">
        <v>223</v>
      </c>
      <c r="J944" s="66" t="s">
        <v>296</v>
      </c>
      <c r="K944" s="66" t="s">
        <v>747</v>
      </c>
      <c r="L944" s="67">
        <v>12000000</v>
      </c>
      <c r="M944" s="67"/>
      <c r="N944" s="68">
        <f t="shared" si="60"/>
        <v>12000000</v>
      </c>
      <c r="O944" s="69">
        <f t="shared" si="61"/>
        <v>12000000</v>
      </c>
      <c r="P944" s="42" t="str">
        <f>IFERROR(VLOOKUP(J944,'Mã NV'!$B:$C,2,0),"")</f>
        <v>XE01541</v>
      </c>
      <c r="Q944" s="70" t="str">
        <f>IFERROR(VLOOKUP(I944,'Mã NV'!$J:$K,2,0),"")</f>
        <v>7.1t</v>
      </c>
    </row>
    <row r="945" customHeight="1" spans="1:17">
      <c r="A945" s="63"/>
      <c r="B945" s="64">
        <v>46169</v>
      </c>
      <c r="C945" s="87"/>
      <c r="D945" s="66" t="s">
        <v>30</v>
      </c>
      <c r="E945" s="66" t="s">
        <v>30</v>
      </c>
      <c r="F945" s="66" t="s">
        <v>744</v>
      </c>
      <c r="G945" s="66" t="s">
        <v>948</v>
      </c>
      <c r="H945" s="66" t="s">
        <v>772</v>
      </c>
      <c r="I945" s="66" t="s">
        <v>230</v>
      </c>
      <c r="J945" s="66" t="s">
        <v>228</v>
      </c>
      <c r="K945" s="66" t="s">
        <v>747</v>
      </c>
      <c r="L945" s="67">
        <v>26000000</v>
      </c>
      <c r="M945" s="67">
        <v>500000</v>
      </c>
      <c r="N945" s="68">
        <f t="shared" si="60"/>
        <v>25500000</v>
      </c>
      <c r="O945" s="69">
        <f t="shared" si="61"/>
        <v>25500000</v>
      </c>
      <c r="P945" s="42" t="str">
        <f>IFERROR(VLOOKUP(J945,'Mã NV'!$B:$C,2,0),"")</f>
        <v>XE01390</v>
      </c>
      <c r="Q945" s="70" t="str">
        <f>IFERROR(VLOOKUP(I945,'Mã NV'!$J:$K,2,0),"")</f>
        <v>15T</v>
      </c>
    </row>
    <row r="946" customHeight="1" spans="1:17">
      <c r="A946" s="63">
        <f>A942+1</f>
        <v>940</v>
      </c>
      <c r="B946" s="64">
        <v>46156</v>
      </c>
      <c r="C946" s="87"/>
      <c r="D946" s="66" t="s">
        <v>143</v>
      </c>
      <c r="E946" s="66" t="s">
        <v>143</v>
      </c>
      <c r="F946" s="66" t="s">
        <v>744</v>
      </c>
      <c r="G946" s="66" t="s">
        <v>745</v>
      </c>
      <c r="H946" s="66" t="s">
        <v>775</v>
      </c>
      <c r="I946" s="66" t="s">
        <v>103</v>
      </c>
      <c r="J946" s="66" t="s">
        <v>172</v>
      </c>
      <c r="K946" s="66" t="s">
        <v>747</v>
      </c>
      <c r="L946" s="67">
        <v>850000</v>
      </c>
      <c r="M946" s="67">
        <v>0</v>
      </c>
      <c r="N946" s="68">
        <f t="shared" ref="N946:N1009" si="62">L946-M946</f>
        <v>850000</v>
      </c>
      <c r="O946" s="69">
        <f t="shared" ref="O946:O1008" si="63">N946/$P$1</f>
        <v>850000</v>
      </c>
      <c r="P946" s="42" t="str">
        <f>IFERROR(VLOOKUP(J946,'Mã NV'!$B:$C,2,0),"")</f>
        <v>XE01433</v>
      </c>
      <c r="Q946" s="70" t="str">
        <f>IFERROR(VLOOKUP(I946,'Mã NV'!$J:$K,2,0),"")</f>
        <v>7.1t</v>
      </c>
    </row>
    <row r="947" customHeight="1" spans="1:17">
      <c r="A947" s="63">
        <f t="shared" ref="A947:A974" si="64">A946+1</f>
        <v>941</v>
      </c>
      <c r="B947" s="64">
        <v>46156</v>
      </c>
      <c r="C947" s="87"/>
      <c r="D947" s="66" t="s">
        <v>143</v>
      </c>
      <c r="E947" s="66" t="s">
        <v>143</v>
      </c>
      <c r="F947" s="66" t="s">
        <v>744</v>
      </c>
      <c r="G947" s="66" t="s">
        <v>745</v>
      </c>
      <c r="H947" s="66" t="s">
        <v>775</v>
      </c>
      <c r="I947" s="66" t="s">
        <v>103</v>
      </c>
      <c r="J947" s="66" t="s">
        <v>181</v>
      </c>
      <c r="K947" s="66" t="s">
        <v>747</v>
      </c>
      <c r="L947" s="67">
        <v>850000</v>
      </c>
      <c r="M947" s="67">
        <v>0</v>
      </c>
      <c r="N947" s="68">
        <f t="shared" si="62"/>
        <v>850000</v>
      </c>
      <c r="O947" s="69">
        <f t="shared" si="63"/>
        <v>850000</v>
      </c>
      <c r="P947" s="42" t="str">
        <f>IFERROR(VLOOKUP(J947,'Mã NV'!$B:$C,2,0),"")</f>
        <v>XE01281</v>
      </c>
      <c r="Q947" s="70" t="str">
        <f>IFERROR(VLOOKUP(I947,'Mã NV'!$J:$K,2,0),"")</f>
        <v>7.1t</v>
      </c>
    </row>
    <row r="948" customHeight="1" spans="1:17">
      <c r="A948" s="63">
        <f t="shared" si="64"/>
        <v>942</v>
      </c>
      <c r="B948" s="64">
        <v>46157</v>
      </c>
      <c r="C948" s="87"/>
      <c r="D948" s="66" t="s">
        <v>143</v>
      </c>
      <c r="E948" s="66" t="s">
        <v>143</v>
      </c>
      <c r="F948" s="66" t="s">
        <v>744</v>
      </c>
      <c r="G948" s="66" t="s">
        <v>960</v>
      </c>
      <c r="H948" s="66" t="s">
        <v>761</v>
      </c>
      <c r="I948" s="66" t="s">
        <v>205</v>
      </c>
      <c r="J948" s="66" t="s">
        <v>312</v>
      </c>
      <c r="K948" s="66" t="s">
        <v>747</v>
      </c>
      <c r="L948" s="67">
        <v>4500000</v>
      </c>
      <c r="M948" s="67">
        <v>0</v>
      </c>
      <c r="N948" s="68">
        <f t="shared" si="62"/>
        <v>4500000</v>
      </c>
      <c r="O948" s="69">
        <f t="shared" si="63"/>
        <v>4500000</v>
      </c>
      <c r="P948" s="42" t="str">
        <f>IFERROR(VLOOKUP(J948,'Mã NV'!$B:$C,2,0),"")</f>
        <v>XE01582</v>
      </c>
      <c r="Q948" s="70" t="str">
        <f>IFERROR(VLOOKUP(I948,'Mã NV'!$J:$K,2,0),"")</f>
        <v>8T</v>
      </c>
    </row>
    <row r="949" customHeight="1" spans="1:17">
      <c r="A949" s="63">
        <f t="shared" si="64"/>
        <v>943</v>
      </c>
      <c r="B949" s="64">
        <v>46157</v>
      </c>
      <c r="C949" s="87"/>
      <c r="D949" s="66" t="s">
        <v>143</v>
      </c>
      <c r="E949" s="66" t="s">
        <v>143</v>
      </c>
      <c r="F949" s="66" t="s">
        <v>744</v>
      </c>
      <c r="G949" s="66" t="s">
        <v>960</v>
      </c>
      <c r="H949" s="66" t="s">
        <v>761</v>
      </c>
      <c r="I949" s="66" t="s">
        <v>205</v>
      </c>
      <c r="J949" s="66" t="s">
        <v>314</v>
      </c>
      <c r="K949" s="66" t="s">
        <v>747</v>
      </c>
      <c r="L949" s="67">
        <v>4500000</v>
      </c>
      <c r="M949" s="67">
        <v>0</v>
      </c>
      <c r="N949" s="68">
        <f t="shared" si="62"/>
        <v>4500000</v>
      </c>
      <c r="O949" s="69">
        <f t="shared" si="63"/>
        <v>4500000</v>
      </c>
      <c r="P949" s="42" t="str">
        <f>IFERROR(VLOOKUP(J949,'Mã NV'!$B:$C,2,0),"")</f>
        <v>XE01583</v>
      </c>
      <c r="Q949" s="70" t="str">
        <f>IFERROR(VLOOKUP(I949,'Mã NV'!$J:$K,2,0),"")</f>
        <v>8T</v>
      </c>
    </row>
    <row r="950" customHeight="1" spans="1:17">
      <c r="A950" s="63">
        <f t="shared" si="64"/>
        <v>944</v>
      </c>
      <c r="B950" s="64">
        <v>46158</v>
      </c>
      <c r="C950" s="87"/>
      <c r="D950" s="66" t="s">
        <v>143</v>
      </c>
      <c r="E950" s="66" t="s">
        <v>143</v>
      </c>
      <c r="F950" s="66" t="s">
        <v>744</v>
      </c>
      <c r="G950" s="66" t="s">
        <v>772</v>
      </c>
      <c r="H950" s="66" t="s">
        <v>777</v>
      </c>
      <c r="I950" s="66" t="s">
        <v>230</v>
      </c>
      <c r="J950" s="66" t="s">
        <v>228</v>
      </c>
      <c r="K950" s="66" t="s">
        <v>747</v>
      </c>
      <c r="L950" s="67">
        <v>1100000</v>
      </c>
      <c r="M950" s="67">
        <v>0</v>
      </c>
      <c r="N950" s="68">
        <f t="shared" si="62"/>
        <v>1100000</v>
      </c>
      <c r="O950" s="69">
        <f t="shared" si="63"/>
        <v>1100000</v>
      </c>
      <c r="P950" s="42" t="str">
        <f>IFERROR(VLOOKUP(J950,'Mã NV'!$B:$C,2,0),"")</f>
        <v>XE01390</v>
      </c>
      <c r="Q950" s="70" t="str">
        <f>IFERROR(VLOOKUP(I950,'Mã NV'!$J:$K,2,0),"")</f>
        <v>15T</v>
      </c>
    </row>
    <row r="951" customHeight="1" spans="1:17">
      <c r="A951" s="63">
        <f t="shared" si="64"/>
        <v>945</v>
      </c>
      <c r="B951" s="64">
        <v>46158</v>
      </c>
      <c r="C951" s="87"/>
      <c r="D951" s="66" t="s">
        <v>143</v>
      </c>
      <c r="E951" s="66" t="s">
        <v>143</v>
      </c>
      <c r="F951" s="66" t="s">
        <v>744</v>
      </c>
      <c r="G951" s="66" t="s">
        <v>772</v>
      </c>
      <c r="H951" s="66" t="s">
        <v>777</v>
      </c>
      <c r="I951" s="66" t="s">
        <v>230</v>
      </c>
      <c r="J951" s="66" t="s">
        <v>364</v>
      </c>
      <c r="K951" s="66" t="s">
        <v>747</v>
      </c>
      <c r="L951" s="67">
        <v>1100000</v>
      </c>
      <c r="M951" s="67">
        <v>0</v>
      </c>
      <c r="N951" s="68">
        <f t="shared" si="62"/>
        <v>1100000</v>
      </c>
      <c r="O951" s="69">
        <f t="shared" si="63"/>
        <v>1100000</v>
      </c>
      <c r="P951" s="42" t="str">
        <f>IFERROR(VLOOKUP(J951,'Mã NV'!$B:$C,2,0),"")</f>
        <v>XE01690</v>
      </c>
      <c r="Q951" s="70" t="str">
        <f>IFERROR(VLOOKUP(I951,'Mã NV'!$J:$K,2,0),"")</f>
        <v>15T</v>
      </c>
    </row>
    <row r="952" customHeight="1" spans="1:17">
      <c r="A952" s="63">
        <f t="shared" si="64"/>
        <v>946</v>
      </c>
      <c r="B952" s="64">
        <v>46158</v>
      </c>
      <c r="C952" s="87"/>
      <c r="D952" s="66" t="s">
        <v>143</v>
      </c>
      <c r="E952" s="66" t="s">
        <v>143</v>
      </c>
      <c r="F952" s="66" t="s">
        <v>744</v>
      </c>
      <c r="G952" s="66" t="s">
        <v>961</v>
      </c>
      <c r="H952" s="66" t="s">
        <v>776</v>
      </c>
      <c r="I952" s="66" t="s">
        <v>141</v>
      </c>
      <c r="J952" s="66" t="s">
        <v>145</v>
      </c>
      <c r="K952" s="66" t="s">
        <v>747</v>
      </c>
      <c r="L952" s="67">
        <v>750000</v>
      </c>
      <c r="M952" s="67">
        <v>0</v>
      </c>
      <c r="N952" s="68">
        <f t="shared" si="62"/>
        <v>750000</v>
      </c>
      <c r="O952" s="69">
        <f t="shared" si="63"/>
        <v>750000</v>
      </c>
      <c r="P952" s="42" t="str">
        <f>IFERROR(VLOOKUP(J952,'Mã NV'!$B:$C,2,0),"")</f>
        <v>XE01326</v>
      </c>
      <c r="Q952" s="70" t="str">
        <f>IFERROR(VLOOKUP(I952,'Mã NV'!$J:$K,2,0),"")</f>
        <v>7.1t</v>
      </c>
    </row>
    <row r="953" customHeight="1" spans="1:17">
      <c r="A953" s="63">
        <f t="shared" si="64"/>
        <v>947</v>
      </c>
      <c r="B953" s="64">
        <v>46158</v>
      </c>
      <c r="C953" s="87"/>
      <c r="D953" s="66" t="s">
        <v>143</v>
      </c>
      <c r="E953" s="66" t="s">
        <v>143</v>
      </c>
      <c r="F953" s="66" t="s">
        <v>744</v>
      </c>
      <c r="G953" s="66" t="s">
        <v>961</v>
      </c>
      <c r="H953" s="66" t="s">
        <v>776</v>
      </c>
      <c r="I953" s="66" t="s">
        <v>141</v>
      </c>
      <c r="J953" s="66" t="s">
        <v>139</v>
      </c>
      <c r="K953" s="66" t="s">
        <v>747</v>
      </c>
      <c r="L953" s="67">
        <v>750000</v>
      </c>
      <c r="M953" s="67">
        <v>0</v>
      </c>
      <c r="N953" s="68">
        <f t="shared" si="62"/>
        <v>750000</v>
      </c>
      <c r="O953" s="69">
        <f t="shared" si="63"/>
        <v>750000</v>
      </c>
      <c r="P953" s="42" t="str">
        <f>IFERROR(VLOOKUP(J953,'Mã NV'!$B:$C,2,0),"")</f>
        <v>XE01325</v>
      </c>
      <c r="Q953" s="70" t="str">
        <f>IFERROR(VLOOKUP(I953,'Mã NV'!$J:$K,2,0),"")</f>
        <v>7.1t</v>
      </c>
    </row>
    <row r="954" customHeight="1" spans="1:17">
      <c r="A954" s="63">
        <f t="shared" si="64"/>
        <v>948</v>
      </c>
      <c r="B954" s="64">
        <v>46161</v>
      </c>
      <c r="C954" s="87"/>
      <c r="D954" s="66" t="s">
        <v>143</v>
      </c>
      <c r="E954" s="66" t="s">
        <v>143</v>
      </c>
      <c r="F954" s="66" t="s">
        <v>744</v>
      </c>
      <c r="G954" s="66" t="s">
        <v>772</v>
      </c>
      <c r="H954" s="66" t="s">
        <v>777</v>
      </c>
      <c r="I954" s="66" t="s">
        <v>176</v>
      </c>
      <c r="J954" s="66" t="s">
        <v>192</v>
      </c>
      <c r="K954" s="66" t="s">
        <v>747</v>
      </c>
      <c r="L954" s="67">
        <v>1000000</v>
      </c>
      <c r="M954" s="67">
        <v>0</v>
      </c>
      <c r="N954" s="68">
        <f t="shared" si="62"/>
        <v>1000000</v>
      </c>
      <c r="O954" s="69">
        <f t="shared" si="63"/>
        <v>1000000</v>
      </c>
      <c r="P954" s="42" t="str">
        <f>IFERROR(VLOOKUP(J954,'Mã NV'!$B:$C,2,0),"")</f>
        <v>XE01335</v>
      </c>
      <c r="Q954" s="70" t="str">
        <f>IFERROR(VLOOKUP(I954,'Mã NV'!$J:$K,2,0),"")</f>
        <v>8T</v>
      </c>
    </row>
    <row r="955" customHeight="1" spans="1:17">
      <c r="A955" s="63">
        <f t="shared" si="64"/>
        <v>949</v>
      </c>
      <c r="B955" s="64">
        <v>46161</v>
      </c>
      <c r="C955" s="87"/>
      <c r="D955" s="66" t="s">
        <v>143</v>
      </c>
      <c r="E955" s="66" t="s">
        <v>143</v>
      </c>
      <c r="F955" s="66" t="s">
        <v>744</v>
      </c>
      <c r="G955" s="66" t="s">
        <v>772</v>
      </c>
      <c r="H955" s="66" t="s">
        <v>777</v>
      </c>
      <c r="I955" s="66" t="s">
        <v>176</v>
      </c>
      <c r="J955" s="66" t="s">
        <v>354</v>
      </c>
      <c r="K955" s="66" t="s">
        <v>747</v>
      </c>
      <c r="L955" s="67">
        <v>1000000</v>
      </c>
      <c r="M955" s="67">
        <v>0</v>
      </c>
      <c r="N955" s="68">
        <f t="shared" si="62"/>
        <v>1000000</v>
      </c>
      <c r="O955" s="69">
        <f t="shared" si="63"/>
        <v>1000000</v>
      </c>
      <c r="P955" s="42" t="str">
        <f>IFERROR(VLOOKUP(J955,'Mã NV'!$B:$C,2,0),"")</f>
        <v>XE01644</v>
      </c>
      <c r="Q955" s="70" t="str">
        <f>IFERROR(VLOOKUP(I955,'Mã NV'!$J:$K,2,0),"")</f>
        <v>8T</v>
      </c>
    </row>
    <row r="956" customHeight="1" spans="1:17">
      <c r="A956" s="63">
        <f t="shared" si="64"/>
        <v>950</v>
      </c>
      <c r="B956" s="64">
        <v>46164</v>
      </c>
      <c r="C956" s="87"/>
      <c r="D956" s="66" t="s">
        <v>143</v>
      </c>
      <c r="E956" s="66" t="s">
        <v>143</v>
      </c>
      <c r="F956" s="66" t="s">
        <v>744</v>
      </c>
      <c r="G956" s="66" t="s">
        <v>801</v>
      </c>
      <c r="H956" s="66" t="s">
        <v>785</v>
      </c>
      <c r="I956" s="66" t="s">
        <v>293</v>
      </c>
      <c r="J956" s="66" t="s">
        <v>294</v>
      </c>
      <c r="K956" s="66" t="s">
        <v>747</v>
      </c>
      <c r="L956" s="67">
        <v>2000000</v>
      </c>
      <c r="M956" s="67">
        <v>0</v>
      </c>
      <c r="N956" s="68">
        <f t="shared" si="62"/>
        <v>2000000</v>
      </c>
      <c r="O956" s="69">
        <f t="shared" si="63"/>
        <v>2000000</v>
      </c>
      <c r="P956" s="42" t="str">
        <f>IFERROR(VLOOKUP(J956,'Mã NV'!$B:$C,2,0),"")</f>
        <v>XE01551</v>
      </c>
      <c r="Q956" s="70" t="str">
        <f>IFERROR(VLOOKUP(I956,'Mã NV'!$J:$K,2,0),"")</f>
        <v>8T</v>
      </c>
    </row>
    <row r="957" customHeight="1" spans="1:17">
      <c r="A957" s="63">
        <f t="shared" si="64"/>
        <v>951</v>
      </c>
      <c r="B957" s="64">
        <v>46164</v>
      </c>
      <c r="C957" s="87"/>
      <c r="D957" s="66" t="s">
        <v>143</v>
      </c>
      <c r="E957" s="66" t="s">
        <v>143</v>
      </c>
      <c r="F957" s="66" t="s">
        <v>744</v>
      </c>
      <c r="G957" s="66" t="s">
        <v>801</v>
      </c>
      <c r="H957" s="66" t="s">
        <v>785</v>
      </c>
      <c r="I957" s="66" t="s">
        <v>293</v>
      </c>
      <c r="J957" s="66" t="s">
        <v>291</v>
      </c>
      <c r="K957" s="66" t="s">
        <v>747</v>
      </c>
      <c r="L957" s="67">
        <v>2000000</v>
      </c>
      <c r="M957" s="67">
        <v>0</v>
      </c>
      <c r="N957" s="68">
        <f t="shared" si="62"/>
        <v>2000000</v>
      </c>
      <c r="O957" s="69">
        <f t="shared" si="63"/>
        <v>2000000</v>
      </c>
      <c r="P957" s="42" t="str">
        <f>IFERROR(VLOOKUP(J957,'Mã NV'!$B:$C,2,0),"")</f>
        <v>XE01552</v>
      </c>
      <c r="Q957" s="70" t="str">
        <f>IFERROR(VLOOKUP(I957,'Mã NV'!$J:$K,2,0),"")</f>
        <v>8T</v>
      </c>
    </row>
    <row r="958" customHeight="1" spans="1:17">
      <c r="A958" s="63">
        <f t="shared" si="64"/>
        <v>952</v>
      </c>
      <c r="B958" s="64">
        <v>46165</v>
      </c>
      <c r="C958" s="87"/>
      <c r="D958" s="66" t="s">
        <v>143</v>
      </c>
      <c r="E958" s="66" t="s">
        <v>143</v>
      </c>
      <c r="F958" s="66" t="s">
        <v>744</v>
      </c>
      <c r="G958" s="66" t="s">
        <v>850</v>
      </c>
      <c r="H958" s="66" t="s">
        <v>793</v>
      </c>
      <c r="I958" s="66" t="s">
        <v>8</v>
      </c>
      <c r="J958" s="66" t="s">
        <v>382</v>
      </c>
      <c r="K958" s="66" t="s">
        <v>747</v>
      </c>
      <c r="L958" s="67">
        <v>1000000</v>
      </c>
      <c r="M958" s="67">
        <v>0</v>
      </c>
      <c r="N958" s="68">
        <f t="shared" si="62"/>
        <v>1000000</v>
      </c>
      <c r="O958" s="69">
        <f t="shared" si="63"/>
        <v>1000000</v>
      </c>
      <c r="P958" s="42" t="str">
        <f>IFERROR(VLOOKUP(J958,'Mã NV'!$B:$C,2,0),"")</f>
        <v>XE01685</v>
      </c>
      <c r="Q958" s="70" t="str">
        <f>IFERROR(VLOOKUP(I958,'Mã NV'!$J:$K,2,0),"")</f>
        <v>5.5T</v>
      </c>
    </row>
    <row r="959" customHeight="1" spans="1:17">
      <c r="A959" s="63">
        <f t="shared" si="64"/>
        <v>953</v>
      </c>
      <c r="B959" s="64">
        <v>46165</v>
      </c>
      <c r="C959" s="87"/>
      <c r="D959" s="66" t="s">
        <v>143</v>
      </c>
      <c r="E959" s="66" t="s">
        <v>143</v>
      </c>
      <c r="F959" s="66" t="s">
        <v>744</v>
      </c>
      <c r="G959" s="66" t="s">
        <v>796</v>
      </c>
      <c r="H959" s="66" t="s">
        <v>962</v>
      </c>
      <c r="I959" s="66" t="s">
        <v>141</v>
      </c>
      <c r="J959" s="66" t="s">
        <v>145</v>
      </c>
      <c r="K959" s="66" t="s">
        <v>747</v>
      </c>
      <c r="L959" s="67">
        <v>3000000</v>
      </c>
      <c r="M959" s="67">
        <v>0</v>
      </c>
      <c r="N959" s="68">
        <f t="shared" si="62"/>
        <v>3000000</v>
      </c>
      <c r="O959" s="69">
        <f t="shared" si="63"/>
        <v>3000000</v>
      </c>
      <c r="P959" s="42" t="str">
        <f>IFERROR(VLOOKUP(J959,'Mã NV'!$B:$C,2,0),"")</f>
        <v>XE01326</v>
      </c>
      <c r="Q959" s="70" t="str">
        <f>IFERROR(VLOOKUP(I959,'Mã NV'!$J:$K,2,0),"")</f>
        <v>7.1t</v>
      </c>
    </row>
    <row r="960" customHeight="1" spans="1:17">
      <c r="A960" s="63">
        <f t="shared" si="64"/>
        <v>954</v>
      </c>
      <c r="B960" s="64">
        <v>46165</v>
      </c>
      <c r="C960" s="87"/>
      <c r="D960" s="66" t="s">
        <v>143</v>
      </c>
      <c r="E960" s="66" t="s">
        <v>143</v>
      </c>
      <c r="F960" s="66" t="s">
        <v>744</v>
      </c>
      <c r="G960" s="66" t="s">
        <v>796</v>
      </c>
      <c r="H960" s="66" t="s">
        <v>962</v>
      </c>
      <c r="I960" s="66" t="s">
        <v>141</v>
      </c>
      <c r="J960" s="66" t="s">
        <v>139</v>
      </c>
      <c r="K960" s="66" t="s">
        <v>747</v>
      </c>
      <c r="L960" s="67">
        <v>3000000</v>
      </c>
      <c r="M960" s="67">
        <v>0</v>
      </c>
      <c r="N960" s="68">
        <f t="shared" si="62"/>
        <v>3000000</v>
      </c>
      <c r="O960" s="69">
        <f t="shared" si="63"/>
        <v>3000000</v>
      </c>
      <c r="P960" s="42" t="str">
        <f>IFERROR(VLOOKUP(J960,'Mã NV'!$B:$C,2,0),"")</f>
        <v>XE01325</v>
      </c>
      <c r="Q960" s="70" t="str">
        <f>IFERROR(VLOOKUP(I960,'Mã NV'!$J:$K,2,0),"")</f>
        <v>7.1t</v>
      </c>
    </row>
    <row r="961" customHeight="1" spans="1:19">
      <c r="A961" s="63">
        <f t="shared" si="64"/>
        <v>955</v>
      </c>
      <c r="B961" s="64">
        <v>46167</v>
      </c>
      <c r="C961" s="87"/>
      <c r="D961" s="66" t="s">
        <v>143</v>
      </c>
      <c r="E961" s="66" t="s">
        <v>143</v>
      </c>
      <c r="F961" s="66" t="s">
        <v>744</v>
      </c>
      <c r="G961" s="66" t="s">
        <v>963</v>
      </c>
      <c r="H961" s="66" t="s">
        <v>892</v>
      </c>
      <c r="I961" s="66" t="s">
        <v>283</v>
      </c>
      <c r="J961" s="66" t="s">
        <v>281</v>
      </c>
      <c r="K961" s="66" t="s">
        <v>747</v>
      </c>
      <c r="L961" s="67">
        <v>1000000</v>
      </c>
      <c r="M961" s="67">
        <v>0</v>
      </c>
      <c r="N961" s="68">
        <f t="shared" si="62"/>
        <v>1000000</v>
      </c>
      <c r="O961" s="69">
        <f t="shared" si="63"/>
        <v>1000000</v>
      </c>
      <c r="P961" s="42" t="str">
        <f>IFERROR(VLOOKUP(J961,'Mã NV'!$B:$C,2,0),"")</f>
        <v>XE01532</v>
      </c>
      <c r="Q961" s="70" t="str">
        <f>IFERROR(VLOOKUP(I961,'Mã NV'!$J:$K,2,0),"")</f>
        <v>15T</v>
      </c>
    </row>
    <row r="962" customHeight="1" spans="1:19">
      <c r="A962" s="63">
        <f t="shared" si="64"/>
        <v>956</v>
      </c>
      <c r="B962" s="64">
        <v>46167</v>
      </c>
      <c r="C962" s="87"/>
      <c r="D962" s="66" t="s">
        <v>143</v>
      </c>
      <c r="E962" s="66" t="s">
        <v>143</v>
      </c>
      <c r="F962" s="66" t="s">
        <v>744</v>
      </c>
      <c r="G962" s="66" t="s">
        <v>963</v>
      </c>
      <c r="H962" s="66" t="s">
        <v>892</v>
      </c>
      <c r="I962" s="66" t="s">
        <v>283</v>
      </c>
      <c r="J962" s="66" t="s">
        <v>388</v>
      </c>
      <c r="K962" s="66" t="s">
        <v>747</v>
      </c>
      <c r="L962" s="67">
        <v>1000000</v>
      </c>
      <c r="M962" s="67">
        <v>0</v>
      </c>
      <c r="N962" s="68">
        <f t="shared" si="62"/>
        <v>1000000</v>
      </c>
      <c r="O962" s="69">
        <f t="shared" si="63"/>
        <v>1000000</v>
      </c>
      <c r="P962" s="42" t="str">
        <f>IFERROR(VLOOKUP(J962,'Mã NV'!$B:$C,2,0),"")</f>
        <v>XE01710</v>
      </c>
      <c r="Q962" s="70" t="str">
        <f>IFERROR(VLOOKUP(I962,'Mã NV'!$J:$K,2,0),"")</f>
        <v>15T</v>
      </c>
    </row>
    <row r="963" customHeight="1" spans="1:19">
      <c r="A963" s="63">
        <f t="shared" si="64"/>
        <v>957</v>
      </c>
      <c r="B963" s="64">
        <v>46146</v>
      </c>
      <c r="C963" s="87"/>
      <c r="D963" s="66" t="s">
        <v>49</v>
      </c>
      <c r="E963" s="66" t="s">
        <v>49</v>
      </c>
      <c r="F963" s="66" t="s">
        <v>744</v>
      </c>
      <c r="G963" s="66" t="s">
        <v>964</v>
      </c>
      <c r="H963" s="66" t="s">
        <v>750</v>
      </c>
      <c r="I963" s="66" t="s">
        <v>51</v>
      </c>
      <c r="J963" s="66" t="s">
        <v>46</v>
      </c>
      <c r="K963" s="66" t="s">
        <v>747</v>
      </c>
      <c r="L963" s="67">
        <v>1550000</v>
      </c>
      <c r="M963" s="67">
        <v>0</v>
      </c>
      <c r="N963" s="68">
        <f t="shared" si="62"/>
        <v>1550000</v>
      </c>
      <c r="O963" s="69">
        <f t="shared" si="63"/>
        <v>1550000</v>
      </c>
      <c r="P963" s="42" t="str">
        <f>IFERROR(VLOOKUP(J963,'Mã NV'!$B:$C,2,0),"")</f>
        <v>XE00900</v>
      </c>
      <c r="Q963" s="70" t="str">
        <f>IFERROR(VLOOKUP(I963,'Mã NV'!$J:$K,2,0),"")</f>
        <v>6.5T</v>
      </c>
      <c r="S963" s="44">
        <f>L963*5%</f>
        <v>77500</v>
      </c>
    </row>
    <row r="964" customHeight="1" spans="1:19">
      <c r="A964" s="63">
        <f t="shared" si="64"/>
        <v>958</v>
      </c>
      <c r="B964" s="64">
        <v>46148</v>
      </c>
      <c r="C964" s="87"/>
      <c r="D964" s="66" t="s">
        <v>49</v>
      </c>
      <c r="E964" s="66" t="s">
        <v>49</v>
      </c>
      <c r="F964" s="66" t="s">
        <v>744</v>
      </c>
      <c r="G964" s="66" t="s">
        <v>964</v>
      </c>
      <c r="H964" s="66" t="s">
        <v>965</v>
      </c>
      <c r="I964" s="66" t="s">
        <v>84</v>
      </c>
      <c r="J964" s="66" t="s">
        <v>82</v>
      </c>
      <c r="K964" s="66" t="s">
        <v>747</v>
      </c>
      <c r="L964" s="67">
        <v>3703849</v>
      </c>
      <c r="M964" s="67">
        <v>0</v>
      </c>
      <c r="N964" s="68">
        <f t="shared" si="62"/>
        <v>3703849</v>
      </c>
      <c r="O964" s="69">
        <f t="shared" si="63"/>
        <v>3703849</v>
      </c>
      <c r="P964" s="42" t="str">
        <f>IFERROR(VLOOKUP(J964,'Mã NV'!$B:$C,2,0),"")</f>
        <v>XE00832</v>
      </c>
      <c r="Q964" s="70" t="str">
        <f>IFERROR(VLOOKUP(I964,'Mã NV'!$J:$K,2,0),"")</f>
        <v>6.5T</v>
      </c>
      <c r="S964" s="44">
        <f t="shared" ref="S964:S1027" si="65">L964*5%</f>
        <v>185192.45</v>
      </c>
    </row>
    <row r="965" customHeight="1" spans="1:19">
      <c r="A965" s="63">
        <f t="shared" si="64"/>
        <v>959</v>
      </c>
      <c r="B965" s="64">
        <v>46148</v>
      </c>
      <c r="C965" s="87"/>
      <c r="D965" s="66" t="s">
        <v>49</v>
      </c>
      <c r="E965" s="66" t="s">
        <v>49</v>
      </c>
      <c r="F965" s="66" t="s">
        <v>744</v>
      </c>
      <c r="G965" s="66" t="s">
        <v>964</v>
      </c>
      <c r="H965" s="66" t="s">
        <v>966</v>
      </c>
      <c r="I965" s="66" t="s">
        <v>136</v>
      </c>
      <c r="J965" s="66" t="s">
        <v>361</v>
      </c>
      <c r="K965" s="66" t="s">
        <v>747</v>
      </c>
      <c r="L965" s="67">
        <v>2295023</v>
      </c>
      <c r="M965" s="67">
        <v>0</v>
      </c>
      <c r="N965" s="68">
        <f t="shared" si="62"/>
        <v>2295023</v>
      </c>
      <c r="O965" s="69">
        <f t="shared" si="63"/>
        <v>2295023</v>
      </c>
      <c r="P965" s="42" t="str">
        <f>IFERROR(VLOOKUP(J965,'Mã NV'!$B:$C,2,0),"")</f>
        <v>XE01641</v>
      </c>
      <c r="Q965" s="70" t="str">
        <f>IFERROR(VLOOKUP(I965,'Mã NV'!$J:$K,2,0),"")</f>
        <v>6.5T</v>
      </c>
      <c r="S965" s="44">
        <f t="shared" si="65"/>
        <v>114751.15</v>
      </c>
    </row>
    <row r="966" customHeight="1" spans="1:19">
      <c r="A966" s="63">
        <f t="shared" si="64"/>
        <v>960</v>
      </c>
      <c r="B966" s="64">
        <v>46148</v>
      </c>
      <c r="C966" s="87"/>
      <c r="D966" s="66" t="s">
        <v>49</v>
      </c>
      <c r="E966" s="66" t="s">
        <v>49</v>
      </c>
      <c r="F966" s="66" t="s">
        <v>744</v>
      </c>
      <c r="G966" s="66" t="s">
        <v>964</v>
      </c>
      <c r="H966" s="66" t="s">
        <v>777</v>
      </c>
      <c r="I966" s="66" t="s">
        <v>51</v>
      </c>
      <c r="J966" s="66" t="s">
        <v>128</v>
      </c>
      <c r="K966" s="66" t="s">
        <v>747</v>
      </c>
      <c r="L966" s="67">
        <v>5075694</v>
      </c>
      <c r="M966" s="67">
        <v>0</v>
      </c>
      <c r="N966" s="68">
        <f t="shared" si="62"/>
        <v>5075694</v>
      </c>
      <c r="O966" s="69">
        <f t="shared" si="63"/>
        <v>5075694</v>
      </c>
      <c r="P966" s="42" t="str">
        <f>IFERROR(VLOOKUP(J966,'Mã NV'!$B:$C,2,0),"")</f>
        <v>XE00953</v>
      </c>
      <c r="Q966" s="70" t="str">
        <f>IFERROR(VLOOKUP(I966,'Mã NV'!$J:$K,2,0),"")</f>
        <v>6.5T</v>
      </c>
      <c r="S966" s="44">
        <f t="shared" si="65"/>
        <v>253784.7</v>
      </c>
    </row>
    <row r="967" customHeight="1" spans="1:19">
      <c r="A967" s="63">
        <f t="shared" si="64"/>
        <v>961</v>
      </c>
      <c r="B967" s="64">
        <v>46149</v>
      </c>
      <c r="C967" s="87"/>
      <c r="D967" s="66" t="s">
        <v>49</v>
      </c>
      <c r="E967" s="66" t="s">
        <v>49</v>
      </c>
      <c r="F967" s="66" t="s">
        <v>744</v>
      </c>
      <c r="G967" s="66" t="s">
        <v>964</v>
      </c>
      <c r="H967" s="66" t="s">
        <v>754</v>
      </c>
      <c r="I967" s="66" t="s">
        <v>164</v>
      </c>
      <c r="J967" s="66" t="s">
        <v>217</v>
      </c>
      <c r="K967" s="66" t="s">
        <v>747</v>
      </c>
      <c r="L967" s="67">
        <v>1561752</v>
      </c>
      <c r="M967" s="67">
        <v>0</v>
      </c>
      <c r="N967" s="68">
        <f t="shared" si="62"/>
        <v>1561752</v>
      </c>
      <c r="O967" s="69">
        <f t="shared" si="63"/>
        <v>1561752</v>
      </c>
      <c r="P967" s="42" t="str">
        <f>IFERROR(VLOOKUP(J967,'Mã NV'!$B:$C,2,0),"")</f>
        <v>XE01004</v>
      </c>
      <c r="Q967" s="70" t="str">
        <f>IFERROR(VLOOKUP(I967,'Mã NV'!$J:$K,2,0),"")</f>
        <v>6.5T</v>
      </c>
      <c r="S967" s="44">
        <f t="shared" si="65"/>
        <v>78087.6</v>
      </c>
    </row>
    <row r="968" customHeight="1" spans="1:19">
      <c r="A968" s="63">
        <f t="shared" si="64"/>
        <v>962</v>
      </c>
      <c r="B968" s="64">
        <v>46149</v>
      </c>
      <c r="C968" s="87"/>
      <c r="D968" s="66" t="s">
        <v>49</v>
      </c>
      <c r="E968" s="66" t="s">
        <v>49</v>
      </c>
      <c r="F968" s="66" t="s">
        <v>744</v>
      </c>
      <c r="G968" s="66" t="s">
        <v>964</v>
      </c>
      <c r="H968" s="66" t="s">
        <v>967</v>
      </c>
      <c r="I968" s="66" t="s">
        <v>81</v>
      </c>
      <c r="J968" s="66" t="s">
        <v>343</v>
      </c>
      <c r="K968" s="66" t="s">
        <v>747</v>
      </c>
      <c r="L968" s="67">
        <v>4181032</v>
      </c>
      <c r="M968" s="67">
        <v>0</v>
      </c>
      <c r="N968" s="68">
        <f t="shared" si="62"/>
        <v>4181032</v>
      </c>
      <c r="O968" s="69">
        <f t="shared" si="63"/>
        <v>4181032</v>
      </c>
      <c r="P968" s="42" t="str">
        <f>IFERROR(VLOOKUP(J968,'Mã NV'!$B:$C,2,0),"")</f>
        <v>XE01615</v>
      </c>
      <c r="Q968" s="70" t="str">
        <f>IFERROR(VLOOKUP(I968,'Mã NV'!$J:$K,2,0),"")</f>
        <v>6.5T</v>
      </c>
      <c r="S968" s="44">
        <f t="shared" si="65"/>
        <v>209051.6</v>
      </c>
    </row>
    <row r="969" customHeight="1" spans="1:19">
      <c r="A969" s="63">
        <f t="shared" si="64"/>
        <v>963</v>
      </c>
      <c r="B969" s="64">
        <v>46149</v>
      </c>
      <c r="C969" s="87"/>
      <c r="D969" s="66" t="s">
        <v>49</v>
      </c>
      <c r="E969" s="66" t="s">
        <v>49</v>
      </c>
      <c r="F969" s="66" t="s">
        <v>744</v>
      </c>
      <c r="G969" s="66" t="s">
        <v>964</v>
      </c>
      <c r="H969" s="66" t="s">
        <v>820</v>
      </c>
      <c r="I969" s="66" t="s">
        <v>84</v>
      </c>
      <c r="J969" s="66" t="s">
        <v>82</v>
      </c>
      <c r="K969" s="66" t="s">
        <v>747</v>
      </c>
      <c r="L969" s="67">
        <v>2472774</v>
      </c>
      <c r="M969" s="67">
        <v>0</v>
      </c>
      <c r="N969" s="68">
        <f t="shared" si="62"/>
        <v>2472774</v>
      </c>
      <c r="O969" s="69">
        <f t="shared" si="63"/>
        <v>2472774</v>
      </c>
      <c r="P969" s="42" t="str">
        <f>IFERROR(VLOOKUP(J969,'Mã NV'!$B:$C,2,0),"")</f>
        <v>XE00832</v>
      </c>
      <c r="Q969" s="70" t="str">
        <f>IFERROR(VLOOKUP(I969,'Mã NV'!$J:$K,2,0),"")</f>
        <v>6.5T</v>
      </c>
      <c r="S969" s="44">
        <f t="shared" si="65"/>
        <v>123638.7</v>
      </c>
    </row>
    <row r="970" customHeight="1" spans="1:19">
      <c r="A970" s="63">
        <f t="shared" si="64"/>
        <v>964</v>
      </c>
      <c r="B970" s="64">
        <v>46149</v>
      </c>
      <c r="C970" s="87"/>
      <c r="D970" s="66" t="s">
        <v>49</v>
      </c>
      <c r="E970" s="66" t="s">
        <v>49</v>
      </c>
      <c r="F970" s="66" t="s">
        <v>744</v>
      </c>
      <c r="G970" s="66" t="s">
        <v>964</v>
      </c>
      <c r="H970" s="66" t="s">
        <v>968</v>
      </c>
      <c r="I970" s="66" t="s">
        <v>48</v>
      </c>
      <c r="J970" s="66" t="s">
        <v>324</v>
      </c>
      <c r="K970" s="66" t="s">
        <v>747</v>
      </c>
      <c r="L970" s="67">
        <v>3703849</v>
      </c>
      <c r="M970" s="67">
        <v>0</v>
      </c>
      <c r="N970" s="68">
        <f t="shared" si="62"/>
        <v>3703849</v>
      </c>
      <c r="O970" s="69">
        <f t="shared" si="63"/>
        <v>3703849</v>
      </c>
      <c r="P970" s="42" t="str">
        <f>IFERROR(VLOOKUP(J970,'Mã NV'!$B:$C,2,0),"")</f>
        <v>XE01620</v>
      </c>
      <c r="Q970" s="70" t="str">
        <f>IFERROR(VLOOKUP(I970,'Mã NV'!$J:$K,2,0),"")</f>
        <v>6.5T</v>
      </c>
      <c r="S970" s="44">
        <f t="shared" si="65"/>
        <v>185192.45</v>
      </c>
    </row>
    <row r="971" customHeight="1" spans="1:19">
      <c r="A971" s="63">
        <f t="shared" si="64"/>
        <v>965</v>
      </c>
      <c r="B971" s="64">
        <v>46150</v>
      </c>
      <c r="C971" s="87"/>
      <c r="D971" s="66" t="s">
        <v>49</v>
      </c>
      <c r="E971" s="66" t="s">
        <v>49</v>
      </c>
      <c r="F971" s="66" t="s">
        <v>744</v>
      </c>
      <c r="G971" s="66" t="s">
        <v>964</v>
      </c>
      <c r="H971" s="66" t="s">
        <v>969</v>
      </c>
      <c r="I971" s="66" t="s">
        <v>51</v>
      </c>
      <c r="J971" s="66" t="s">
        <v>46</v>
      </c>
      <c r="K971" s="66" t="s">
        <v>747</v>
      </c>
      <c r="L971" s="67">
        <v>2635868</v>
      </c>
      <c r="M971" s="67">
        <v>0</v>
      </c>
      <c r="N971" s="68">
        <f t="shared" si="62"/>
        <v>2635868</v>
      </c>
      <c r="O971" s="69">
        <f t="shared" si="63"/>
        <v>2635868</v>
      </c>
      <c r="P971" s="42" t="str">
        <f>IFERROR(VLOOKUP(J971,'Mã NV'!$B:$C,2,0),"")</f>
        <v>XE00900</v>
      </c>
      <c r="Q971" s="70" t="str">
        <f>IFERROR(VLOOKUP(I971,'Mã NV'!$J:$K,2,0),"")</f>
        <v>6.5T</v>
      </c>
      <c r="S971" s="44">
        <f t="shared" si="65"/>
        <v>131793.4</v>
      </c>
    </row>
    <row r="972" customHeight="1" spans="1:19">
      <c r="A972" s="63">
        <f t="shared" si="64"/>
        <v>966</v>
      </c>
      <c r="B972" s="64">
        <v>46150</v>
      </c>
      <c r="C972" s="87"/>
      <c r="D972" s="66" t="s">
        <v>49</v>
      </c>
      <c r="E972" s="66" t="s">
        <v>49</v>
      </c>
      <c r="F972" s="66" t="s">
        <v>744</v>
      </c>
      <c r="G972" s="66" t="s">
        <v>964</v>
      </c>
      <c r="H972" s="66" t="s">
        <v>970</v>
      </c>
      <c r="I972" s="66" t="s">
        <v>136</v>
      </c>
      <c r="J972" s="66" t="s">
        <v>361</v>
      </c>
      <c r="K972" s="66" t="s">
        <v>747</v>
      </c>
      <c r="L972" s="67">
        <v>3431173</v>
      </c>
      <c r="M972" s="67">
        <v>0</v>
      </c>
      <c r="N972" s="68">
        <f t="shared" si="62"/>
        <v>3431173</v>
      </c>
      <c r="O972" s="69">
        <f t="shared" si="63"/>
        <v>3431173</v>
      </c>
      <c r="P972" s="42" t="str">
        <f>IFERROR(VLOOKUP(J972,'Mã NV'!$B:$C,2,0),"")</f>
        <v>XE01641</v>
      </c>
      <c r="Q972" s="70" t="str">
        <f>IFERROR(VLOOKUP(I972,'Mã NV'!$J:$K,2,0),"")</f>
        <v>6.5T</v>
      </c>
      <c r="S972" s="44">
        <f t="shared" si="65"/>
        <v>171558.65</v>
      </c>
    </row>
    <row r="973" customHeight="1" spans="1:19">
      <c r="A973" s="63">
        <f t="shared" si="64"/>
        <v>967</v>
      </c>
      <c r="B973" s="64">
        <v>46151</v>
      </c>
      <c r="C973" s="87"/>
      <c r="D973" s="66" t="s">
        <v>49</v>
      </c>
      <c r="E973" s="66" t="s">
        <v>49</v>
      </c>
      <c r="F973" s="66" t="s">
        <v>744</v>
      </c>
      <c r="G973" s="66" t="s">
        <v>964</v>
      </c>
      <c r="H973" s="66" t="s">
        <v>971</v>
      </c>
      <c r="I973" s="66" t="s">
        <v>51</v>
      </c>
      <c r="J973" s="66" t="s">
        <v>128</v>
      </c>
      <c r="K973" s="66" t="s">
        <v>747</v>
      </c>
      <c r="L973" s="67">
        <v>3363004</v>
      </c>
      <c r="M973" s="67">
        <v>0</v>
      </c>
      <c r="N973" s="68">
        <f t="shared" si="62"/>
        <v>3363004</v>
      </c>
      <c r="O973" s="69">
        <f t="shared" si="63"/>
        <v>3363004</v>
      </c>
      <c r="P973" s="42" t="str">
        <f>IFERROR(VLOOKUP(J973,'Mã NV'!$B:$C,2,0),"")</f>
        <v>XE00953</v>
      </c>
      <c r="Q973" s="70" t="str">
        <f>IFERROR(VLOOKUP(I973,'Mã NV'!$J:$K,2,0),"")</f>
        <v>6.5T</v>
      </c>
      <c r="S973" s="44">
        <f t="shared" si="65"/>
        <v>168150.2</v>
      </c>
    </row>
    <row r="974" customHeight="1" spans="1:19">
      <c r="A974" s="63">
        <f t="shared" si="64"/>
        <v>968</v>
      </c>
      <c r="B974" s="64">
        <v>46151</v>
      </c>
      <c r="C974" s="87"/>
      <c r="D974" s="66" t="s">
        <v>49</v>
      </c>
      <c r="E974" s="66" t="s">
        <v>49</v>
      </c>
      <c r="F974" s="66" t="s">
        <v>744</v>
      </c>
      <c r="G974" s="66" t="s">
        <v>964</v>
      </c>
      <c r="H974" s="66" t="s">
        <v>805</v>
      </c>
      <c r="I974" s="66" t="s">
        <v>48</v>
      </c>
      <c r="J974" s="66" t="s">
        <v>324</v>
      </c>
      <c r="K974" s="66" t="s">
        <v>747</v>
      </c>
      <c r="L974" s="67">
        <v>3513942</v>
      </c>
      <c r="M974" s="67">
        <v>0</v>
      </c>
      <c r="N974" s="68">
        <f t="shared" si="62"/>
        <v>3513942</v>
      </c>
      <c r="O974" s="69">
        <f t="shared" si="63"/>
        <v>3513942</v>
      </c>
      <c r="P974" s="42" t="str">
        <f>IFERROR(VLOOKUP(J974,'Mã NV'!$B:$C,2,0),"")</f>
        <v>XE01620</v>
      </c>
      <c r="Q974" s="70" t="str">
        <f>IFERROR(VLOOKUP(I974,'Mã NV'!$J:$K,2,0),"")</f>
        <v>6.5T</v>
      </c>
      <c r="S974" s="44">
        <f t="shared" si="65"/>
        <v>175697.1</v>
      </c>
    </row>
    <row r="975" customHeight="1" spans="1:19">
      <c r="A975" s="63">
        <f t="shared" ref="A975:A1038" si="66">A974+1</f>
        <v>969</v>
      </c>
      <c r="B975" s="64">
        <v>46151</v>
      </c>
      <c r="C975" s="87"/>
      <c r="D975" s="66" t="s">
        <v>49</v>
      </c>
      <c r="E975" s="66" t="s">
        <v>49</v>
      </c>
      <c r="F975" s="66" t="s">
        <v>744</v>
      </c>
      <c r="G975" s="66" t="s">
        <v>964</v>
      </c>
      <c r="H975" s="66" t="s">
        <v>777</v>
      </c>
      <c r="I975" s="66" t="s">
        <v>164</v>
      </c>
      <c r="J975" s="66" t="s">
        <v>217</v>
      </c>
      <c r="K975" s="66" t="s">
        <v>747</v>
      </c>
      <c r="L975" s="67">
        <v>4837093</v>
      </c>
      <c r="M975" s="67">
        <v>0</v>
      </c>
      <c r="N975" s="68">
        <f t="shared" si="62"/>
        <v>4837093</v>
      </c>
      <c r="O975" s="69">
        <f t="shared" si="63"/>
        <v>4837093</v>
      </c>
      <c r="P975" s="42" t="str">
        <f>IFERROR(VLOOKUP(J975,'Mã NV'!$B:$C,2,0),"")</f>
        <v>XE01004</v>
      </c>
      <c r="Q975" s="70" t="str">
        <f>IFERROR(VLOOKUP(I975,'Mã NV'!$J:$K,2,0),"")</f>
        <v>6.5T</v>
      </c>
      <c r="S975" s="44">
        <f t="shared" si="65"/>
        <v>241854.65</v>
      </c>
    </row>
    <row r="976" customHeight="1" spans="1:19">
      <c r="A976" s="63">
        <f t="shared" si="66"/>
        <v>970</v>
      </c>
      <c r="B976" s="64">
        <v>46153</v>
      </c>
      <c r="C976" s="87"/>
      <c r="D976" s="66" t="s">
        <v>49</v>
      </c>
      <c r="E976" s="66" t="s">
        <v>49</v>
      </c>
      <c r="F976" s="66" t="s">
        <v>744</v>
      </c>
      <c r="G976" s="66" t="s">
        <v>964</v>
      </c>
      <c r="H976" s="66" t="s">
        <v>968</v>
      </c>
      <c r="I976" s="66" t="s">
        <v>81</v>
      </c>
      <c r="J976" s="66" t="s">
        <v>79</v>
      </c>
      <c r="K976" s="66" t="s">
        <v>747</v>
      </c>
      <c r="L976" s="67">
        <v>3544788</v>
      </c>
      <c r="M976" s="67">
        <v>0</v>
      </c>
      <c r="N976" s="68">
        <f t="shared" si="62"/>
        <v>3544788</v>
      </c>
      <c r="O976" s="69">
        <f t="shared" si="63"/>
        <v>3544788</v>
      </c>
      <c r="P976" s="42" t="str">
        <f>IFERROR(VLOOKUP(J976,'Mã NV'!$B:$C,2,0),"")</f>
        <v>XE00777</v>
      </c>
      <c r="Q976" s="70" t="str">
        <f>IFERROR(VLOOKUP(I976,'Mã NV'!$J:$K,2,0),"")</f>
        <v>6.5T</v>
      </c>
      <c r="S976" s="44">
        <f t="shared" si="65"/>
        <v>177239.4</v>
      </c>
    </row>
    <row r="977" customHeight="1" spans="1:19">
      <c r="A977" s="63">
        <f t="shared" si="66"/>
        <v>971</v>
      </c>
      <c r="B977" s="64">
        <v>46153</v>
      </c>
      <c r="C977" s="87"/>
      <c r="D977" s="66" t="s">
        <v>49</v>
      </c>
      <c r="E977" s="66" t="s">
        <v>49</v>
      </c>
      <c r="F977" s="66" t="s">
        <v>744</v>
      </c>
      <c r="G977" s="66" t="s">
        <v>964</v>
      </c>
      <c r="H977" s="66" t="s">
        <v>972</v>
      </c>
      <c r="I977" s="66" t="s">
        <v>84</v>
      </c>
      <c r="J977" s="66" t="s">
        <v>82</v>
      </c>
      <c r="K977" s="66" t="s">
        <v>747</v>
      </c>
      <c r="L977" s="67">
        <v>3231959</v>
      </c>
      <c r="M977" s="67">
        <v>0</v>
      </c>
      <c r="N977" s="68">
        <f t="shared" si="62"/>
        <v>3231959</v>
      </c>
      <c r="O977" s="69">
        <f t="shared" si="63"/>
        <v>3231959</v>
      </c>
      <c r="P977" s="42" t="str">
        <f>IFERROR(VLOOKUP(J977,'Mã NV'!$B:$C,2,0),"")</f>
        <v>XE00832</v>
      </c>
      <c r="Q977" s="70" t="str">
        <f>IFERROR(VLOOKUP(I977,'Mã NV'!$J:$K,2,0),"")</f>
        <v>6.5T</v>
      </c>
      <c r="S977" s="44">
        <f t="shared" si="65"/>
        <v>161597.95</v>
      </c>
    </row>
    <row r="978" customHeight="1" spans="1:19">
      <c r="A978" s="63">
        <f t="shared" si="66"/>
        <v>972</v>
      </c>
      <c r="B978" s="64">
        <v>46154</v>
      </c>
      <c r="C978" s="87"/>
      <c r="D978" s="66" t="s">
        <v>49</v>
      </c>
      <c r="E978" s="66" t="s">
        <v>49</v>
      </c>
      <c r="F978" s="66" t="s">
        <v>744</v>
      </c>
      <c r="G978" s="66" t="s">
        <v>964</v>
      </c>
      <c r="H978" s="66" t="s">
        <v>750</v>
      </c>
      <c r="I978" s="66" t="s">
        <v>134</v>
      </c>
      <c r="J978" s="66" t="s">
        <v>359</v>
      </c>
      <c r="K978" s="66" t="s">
        <v>747</v>
      </c>
      <c r="L978" s="67">
        <v>1650000</v>
      </c>
      <c r="M978" s="67"/>
      <c r="N978" s="68">
        <f t="shared" si="62"/>
        <v>1650000</v>
      </c>
      <c r="O978" s="69">
        <f t="shared" si="63"/>
        <v>1650000</v>
      </c>
      <c r="P978" s="42" t="str">
        <f>IFERROR(VLOOKUP(J978,'Mã NV'!$B:$C,2,0),"")</f>
        <v>XE01639</v>
      </c>
      <c r="Q978" s="70" t="str">
        <f>IFERROR(VLOOKUP(I978,'Mã NV'!$J:$K,2,0),"")</f>
        <v>2.5T Lạnh</v>
      </c>
      <c r="S978" s="44">
        <f t="shared" si="65"/>
        <v>82500</v>
      </c>
    </row>
    <row r="979" customHeight="1" spans="1:19">
      <c r="A979" s="63">
        <f t="shared" si="66"/>
        <v>973</v>
      </c>
      <c r="B979" s="64">
        <v>46154</v>
      </c>
      <c r="C979" s="87"/>
      <c r="D979" s="66" t="s">
        <v>49</v>
      </c>
      <c r="E979" s="66" t="s">
        <v>49</v>
      </c>
      <c r="F979" s="66" t="s">
        <v>744</v>
      </c>
      <c r="G979" s="66" t="s">
        <v>964</v>
      </c>
      <c r="H979" s="66" t="s">
        <v>750</v>
      </c>
      <c r="I979" s="66" t="s">
        <v>133</v>
      </c>
      <c r="J979" s="66" t="s">
        <v>347</v>
      </c>
      <c r="K979" s="66" t="s">
        <v>747</v>
      </c>
      <c r="L979" s="67">
        <v>1250000</v>
      </c>
      <c r="M979" s="67"/>
      <c r="N979" s="68">
        <f t="shared" si="62"/>
        <v>1250000</v>
      </c>
      <c r="O979" s="69">
        <f t="shared" si="63"/>
        <v>1250000</v>
      </c>
      <c r="P979" s="42" t="str">
        <f>IFERROR(VLOOKUP(J979,'Mã NV'!$B:$C,2,0),"")</f>
        <v>XE01653</v>
      </c>
      <c r="Q979" s="70" t="str">
        <f>IFERROR(VLOOKUP(I979,'Mã NV'!$J:$K,2,0),"")</f>
        <v>2.5T</v>
      </c>
      <c r="S979" s="44">
        <f t="shared" si="65"/>
        <v>62500</v>
      </c>
    </row>
    <row r="980" customHeight="1" spans="1:19">
      <c r="A980" s="63">
        <f t="shared" si="66"/>
        <v>974</v>
      </c>
      <c r="B980" s="64">
        <v>46154</v>
      </c>
      <c r="C980" s="87"/>
      <c r="D980" s="66" t="s">
        <v>49</v>
      </c>
      <c r="E980" s="66" t="s">
        <v>49</v>
      </c>
      <c r="F980" s="66" t="s">
        <v>744</v>
      </c>
      <c r="G980" s="66" t="s">
        <v>964</v>
      </c>
      <c r="H980" s="66" t="s">
        <v>767</v>
      </c>
      <c r="I980" s="66" t="s">
        <v>164</v>
      </c>
      <c r="J980" s="66" t="s">
        <v>217</v>
      </c>
      <c r="K980" s="66" t="s">
        <v>747</v>
      </c>
      <c r="L980" s="67">
        <v>2590422</v>
      </c>
      <c r="M980" s="67">
        <v>0</v>
      </c>
      <c r="N980" s="68">
        <f t="shared" si="62"/>
        <v>2590422</v>
      </c>
      <c r="O980" s="69">
        <f t="shared" si="63"/>
        <v>2590422</v>
      </c>
      <c r="P980" s="42" t="str">
        <f>IFERROR(VLOOKUP(J980,'Mã NV'!$B:$C,2,0),"")</f>
        <v>XE01004</v>
      </c>
      <c r="Q980" s="70" t="str">
        <f>IFERROR(VLOOKUP(I980,'Mã NV'!$J:$K,2,0),"")</f>
        <v>6.5T</v>
      </c>
      <c r="S980" s="44">
        <f t="shared" si="65"/>
        <v>129521.1</v>
      </c>
    </row>
    <row r="981" customHeight="1" spans="1:19">
      <c r="A981" s="63">
        <f t="shared" si="66"/>
        <v>975</v>
      </c>
      <c r="B981" s="64">
        <v>46154</v>
      </c>
      <c r="C981" s="87"/>
      <c r="D981" s="66" t="s">
        <v>49</v>
      </c>
      <c r="E981" s="66" t="s">
        <v>49</v>
      </c>
      <c r="F981" s="66" t="s">
        <v>744</v>
      </c>
      <c r="G981" s="66" t="s">
        <v>964</v>
      </c>
      <c r="H981" s="66" t="s">
        <v>973</v>
      </c>
      <c r="I981" s="66" t="s">
        <v>51</v>
      </c>
      <c r="J981" s="66" t="s">
        <v>46</v>
      </c>
      <c r="K981" s="66" t="s">
        <v>747</v>
      </c>
      <c r="L981" s="67">
        <v>3385727</v>
      </c>
      <c r="M981" s="67">
        <v>0</v>
      </c>
      <c r="N981" s="68">
        <f t="shared" si="62"/>
        <v>3385727</v>
      </c>
      <c r="O981" s="69">
        <f t="shared" si="63"/>
        <v>3385727</v>
      </c>
      <c r="P981" s="42" t="str">
        <f>IFERROR(VLOOKUP(J981,'Mã NV'!$B:$C,2,0),"")</f>
        <v>XE00900</v>
      </c>
      <c r="Q981" s="70" t="str">
        <f>IFERROR(VLOOKUP(I981,'Mã NV'!$J:$K,2,0),"")</f>
        <v>6.5T</v>
      </c>
      <c r="S981" s="44">
        <f t="shared" si="65"/>
        <v>169286.35</v>
      </c>
    </row>
    <row r="982" customHeight="1" spans="1:19">
      <c r="A982" s="63">
        <f t="shared" si="66"/>
        <v>976</v>
      </c>
      <c r="B982" s="64">
        <v>46154</v>
      </c>
      <c r="C982" s="87"/>
      <c r="D982" s="66" t="s">
        <v>49</v>
      </c>
      <c r="E982" s="66" t="s">
        <v>49</v>
      </c>
      <c r="F982" s="66" t="s">
        <v>744</v>
      </c>
      <c r="G982" s="66" t="s">
        <v>964</v>
      </c>
      <c r="H982" s="66" t="s">
        <v>777</v>
      </c>
      <c r="I982" s="66" t="s">
        <v>136</v>
      </c>
      <c r="J982" s="66" t="s">
        <v>361</v>
      </c>
      <c r="K982" s="66" t="s">
        <v>747</v>
      </c>
      <c r="L982" s="67">
        <v>4499154</v>
      </c>
      <c r="M982" s="67">
        <v>0</v>
      </c>
      <c r="N982" s="68">
        <f t="shared" si="62"/>
        <v>4499154</v>
      </c>
      <c r="O982" s="69">
        <f t="shared" si="63"/>
        <v>4499154</v>
      </c>
      <c r="P982" s="42" t="str">
        <f>IFERROR(VLOOKUP(J982,'Mã NV'!$B:$C,2,0),"")</f>
        <v>XE01641</v>
      </c>
      <c r="Q982" s="70" t="str">
        <f>IFERROR(VLOOKUP(I982,'Mã NV'!$J:$K,2,0),"")</f>
        <v>6.5T</v>
      </c>
      <c r="S982" s="44">
        <f t="shared" si="65"/>
        <v>224957.7</v>
      </c>
    </row>
    <row r="983" customHeight="1" spans="1:19">
      <c r="A983" s="63">
        <f t="shared" si="66"/>
        <v>977</v>
      </c>
      <c r="B983" s="64">
        <v>46155</v>
      </c>
      <c r="C983" s="87"/>
      <c r="D983" s="66" t="s">
        <v>49</v>
      </c>
      <c r="E983" s="66" t="s">
        <v>49</v>
      </c>
      <c r="F983" s="66" t="s">
        <v>744</v>
      </c>
      <c r="G983" s="66" t="s">
        <v>964</v>
      </c>
      <c r="H983" s="66" t="s">
        <v>774</v>
      </c>
      <c r="I983" s="66" t="s">
        <v>84</v>
      </c>
      <c r="J983" s="66" t="s">
        <v>82</v>
      </c>
      <c r="K983" s="66" t="s">
        <v>747</v>
      </c>
      <c r="L983" s="67">
        <v>3317558</v>
      </c>
      <c r="M983" s="67">
        <v>0</v>
      </c>
      <c r="N983" s="68">
        <f t="shared" si="62"/>
        <v>3317558</v>
      </c>
      <c r="O983" s="69">
        <f t="shared" si="63"/>
        <v>3317558</v>
      </c>
      <c r="P983" s="42" t="str">
        <f>IFERROR(VLOOKUP(J983,'Mã NV'!$B:$C,2,0),"")</f>
        <v>XE00832</v>
      </c>
      <c r="Q983" s="70" t="str">
        <f>IFERROR(VLOOKUP(I983,'Mã NV'!$J:$K,2,0),"")</f>
        <v>6.5T</v>
      </c>
      <c r="S983" s="44">
        <f t="shared" si="65"/>
        <v>165877.9</v>
      </c>
    </row>
    <row r="984" customHeight="1" spans="1:19">
      <c r="A984" s="63">
        <f t="shared" si="66"/>
        <v>978</v>
      </c>
      <c r="B984" s="64">
        <v>46155</v>
      </c>
      <c r="C984" s="87"/>
      <c r="D984" s="66" t="s">
        <v>49</v>
      </c>
      <c r="E984" s="66" t="s">
        <v>49</v>
      </c>
      <c r="F984" s="66" t="s">
        <v>744</v>
      </c>
      <c r="G984" s="66" t="s">
        <v>964</v>
      </c>
      <c r="H984" s="66" t="s">
        <v>754</v>
      </c>
      <c r="I984" s="66" t="s">
        <v>81</v>
      </c>
      <c r="J984" s="66" t="s">
        <v>79</v>
      </c>
      <c r="K984" s="66" t="s">
        <v>747</v>
      </c>
      <c r="L984" s="67">
        <v>1795117</v>
      </c>
      <c r="M984" s="67">
        <v>0</v>
      </c>
      <c r="N984" s="68">
        <f t="shared" si="62"/>
        <v>1795117</v>
      </c>
      <c r="O984" s="69">
        <f t="shared" si="63"/>
        <v>1795117</v>
      </c>
      <c r="P984" s="42" t="str">
        <f>IFERROR(VLOOKUP(J984,'Mã NV'!$B:$C,2,0),"")</f>
        <v>XE00777</v>
      </c>
      <c r="Q984" s="70" t="str">
        <f>IFERROR(VLOOKUP(I984,'Mã NV'!$J:$K,2,0),"")</f>
        <v>6.5T</v>
      </c>
      <c r="S984" s="44">
        <f t="shared" si="65"/>
        <v>89755.85</v>
      </c>
    </row>
    <row r="985" customHeight="1" spans="1:19">
      <c r="A985" s="63">
        <f t="shared" si="66"/>
        <v>979</v>
      </c>
      <c r="B985" s="64">
        <v>46155</v>
      </c>
      <c r="C985" s="87"/>
      <c r="D985" s="66" t="s">
        <v>49</v>
      </c>
      <c r="E985" s="66" t="s">
        <v>49</v>
      </c>
      <c r="F985" s="66" t="s">
        <v>744</v>
      </c>
      <c r="G985" s="66" t="s">
        <v>964</v>
      </c>
      <c r="H985" s="66" t="s">
        <v>968</v>
      </c>
      <c r="I985" s="66" t="s">
        <v>136</v>
      </c>
      <c r="J985" s="66" t="s">
        <v>361</v>
      </c>
      <c r="K985" s="66" t="s">
        <v>747</v>
      </c>
      <c r="L985" s="67">
        <v>3726572</v>
      </c>
      <c r="M985" s="67">
        <v>0</v>
      </c>
      <c r="N985" s="68">
        <f t="shared" si="62"/>
        <v>3726572</v>
      </c>
      <c r="O985" s="69">
        <f t="shared" si="63"/>
        <v>3726572</v>
      </c>
      <c r="P985" s="42" t="str">
        <f>IFERROR(VLOOKUP(J985,'Mã NV'!$B:$C,2,0),"")</f>
        <v>XE01641</v>
      </c>
      <c r="Q985" s="70" t="str">
        <f>IFERROR(VLOOKUP(I985,'Mã NV'!$J:$K,2,0),"")</f>
        <v>6.5T</v>
      </c>
      <c r="S985" s="44">
        <f t="shared" si="65"/>
        <v>186328.6</v>
      </c>
    </row>
    <row r="986" customHeight="1" spans="1:19">
      <c r="A986" s="63">
        <f t="shared" si="66"/>
        <v>980</v>
      </c>
      <c r="B986" s="64">
        <v>46155</v>
      </c>
      <c r="C986" s="87"/>
      <c r="D986" s="66" t="s">
        <v>49</v>
      </c>
      <c r="E986" s="66" t="s">
        <v>49</v>
      </c>
      <c r="F986" s="66" t="s">
        <v>744</v>
      </c>
      <c r="G986" s="66" t="s">
        <v>964</v>
      </c>
      <c r="H986" s="66" t="s">
        <v>969</v>
      </c>
      <c r="I986" s="66" t="s">
        <v>51</v>
      </c>
      <c r="J986" s="66" t="s">
        <v>162</v>
      </c>
      <c r="K986" s="66" t="s">
        <v>747</v>
      </c>
      <c r="L986" s="67">
        <v>2749483</v>
      </c>
      <c r="M986" s="67">
        <v>0</v>
      </c>
      <c r="N986" s="68">
        <f t="shared" si="62"/>
        <v>2749483</v>
      </c>
      <c r="O986" s="69">
        <f t="shared" si="63"/>
        <v>2749483</v>
      </c>
      <c r="P986" s="42" t="str">
        <f>IFERROR(VLOOKUP(J986,'Mã NV'!$B:$C,2,0),"")</f>
        <v>XE00779</v>
      </c>
      <c r="Q986" s="70" t="str">
        <f>IFERROR(VLOOKUP(I986,'Mã NV'!$J:$K,2,0),"")</f>
        <v>6.5T</v>
      </c>
      <c r="S986" s="44">
        <f t="shared" si="65"/>
        <v>137474.15</v>
      </c>
    </row>
    <row r="987" customHeight="1" spans="1:19">
      <c r="A987" s="63">
        <f t="shared" si="66"/>
        <v>981</v>
      </c>
      <c r="B987" s="64">
        <v>46156</v>
      </c>
      <c r="C987" s="87"/>
      <c r="D987" s="66" t="s">
        <v>49</v>
      </c>
      <c r="E987" s="66" t="s">
        <v>49</v>
      </c>
      <c r="F987" s="66" t="s">
        <v>744</v>
      </c>
      <c r="G987" s="66" t="s">
        <v>964</v>
      </c>
      <c r="H987" s="66" t="s">
        <v>754</v>
      </c>
      <c r="I987" s="66" t="s">
        <v>84</v>
      </c>
      <c r="J987" s="66" t="s">
        <v>82</v>
      </c>
      <c r="K987" s="66" t="s">
        <v>747</v>
      </c>
      <c r="L987" s="67">
        <v>2476807</v>
      </c>
      <c r="M987" s="67">
        <v>0</v>
      </c>
      <c r="N987" s="68">
        <f t="shared" si="62"/>
        <v>2476807</v>
      </c>
      <c r="O987" s="69">
        <f t="shared" si="63"/>
        <v>2476807</v>
      </c>
      <c r="P987" s="42" t="str">
        <f>IFERROR(VLOOKUP(J987,'Mã NV'!$B:$C,2,0),"")</f>
        <v>XE00832</v>
      </c>
      <c r="Q987" s="70" t="str">
        <f>IFERROR(VLOOKUP(I987,'Mã NV'!$J:$K,2,0),"")</f>
        <v>6.5T</v>
      </c>
      <c r="S987" s="44">
        <f t="shared" si="65"/>
        <v>123840.35</v>
      </c>
    </row>
    <row r="988" customHeight="1" spans="1:19">
      <c r="A988" s="63">
        <f t="shared" si="66"/>
        <v>982</v>
      </c>
      <c r="B988" s="64">
        <v>46156</v>
      </c>
      <c r="C988" s="87"/>
      <c r="D988" s="66" t="s">
        <v>49</v>
      </c>
      <c r="E988" s="66" t="s">
        <v>49</v>
      </c>
      <c r="F988" s="66" t="s">
        <v>744</v>
      </c>
      <c r="G988" s="66" t="s">
        <v>964</v>
      </c>
      <c r="H988" s="66" t="s">
        <v>969</v>
      </c>
      <c r="I988" s="66" t="s">
        <v>81</v>
      </c>
      <c r="J988" s="66" t="s">
        <v>361</v>
      </c>
      <c r="K988" s="66" t="s">
        <v>747</v>
      </c>
      <c r="L988" s="67">
        <v>3249389</v>
      </c>
      <c r="M988" s="67">
        <v>0</v>
      </c>
      <c r="N988" s="68">
        <f t="shared" si="62"/>
        <v>3249389</v>
      </c>
      <c r="O988" s="69">
        <f t="shared" si="63"/>
        <v>3249389</v>
      </c>
      <c r="P988" s="42" t="str">
        <f>IFERROR(VLOOKUP(J988,'Mã NV'!$B:$C,2,0),"")</f>
        <v>XE01641</v>
      </c>
      <c r="Q988" s="70" t="str">
        <f>IFERROR(VLOOKUP(I988,'Mã NV'!$J:$K,2,0),"")</f>
        <v>6.5T</v>
      </c>
      <c r="S988" s="44">
        <f t="shared" si="65"/>
        <v>162469.45</v>
      </c>
    </row>
    <row r="989" customHeight="1" spans="1:19">
      <c r="A989" s="63">
        <f t="shared" si="66"/>
        <v>983</v>
      </c>
      <c r="B989" s="64">
        <v>46156</v>
      </c>
      <c r="C989" s="87"/>
      <c r="D989" s="66" t="s">
        <v>49</v>
      </c>
      <c r="E989" s="66" t="s">
        <v>49</v>
      </c>
      <c r="F989" s="66" t="s">
        <v>744</v>
      </c>
      <c r="G989" s="66" t="s">
        <v>964</v>
      </c>
      <c r="H989" s="66" t="s">
        <v>974</v>
      </c>
      <c r="I989" s="66" t="s">
        <v>48</v>
      </c>
      <c r="J989" s="66" t="s">
        <v>324</v>
      </c>
      <c r="K989" s="66" t="s">
        <v>747</v>
      </c>
      <c r="L989" s="67">
        <v>3499342</v>
      </c>
      <c r="M989" s="67">
        <v>0</v>
      </c>
      <c r="N989" s="68">
        <f t="shared" si="62"/>
        <v>3499342</v>
      </c>
      <c r="O989" s="69">
        <f t="shared" si="63"/>
        <v>3499342</v>
      </c>
      <c r="P989" s="42" t="str">
        <f>IFERROR(VLOOKUP(J989,'Mã NV'!$B:$C,2,0),"")</f>
        <v>XE01620</v>
      </c>
      <c r="Q989" s="70" t="str">
        <f>IFERROR(VLOOKUP(I989,'Mã NV'!$J:$K,2,0),"")</f>
        <v>6.5T</v>
      </c>
      <c r="S989" s="44">
        <f t="shared" si="65"/>
        <v>174967.1</v>
      </c>
    </row>
    <row r="990" customHeight="1" spans="1:19">
      <c r="A990" s="63">
        <f t="shared" si="66"/>
        <v>984</v>
      </c>
      <c r="B990" s="64">
        <v>46156</v>
      </c>
      <c r="C990" s="87"/>
      <c r="D990" s="66" t="s">
        <v>49</v>
      </c>
      <c r="E990" s="66" t="s">
        <v>49</v>
      </c>
      <c r="F990" s="66" t="s">
        <v>744</v>
      </c>
      <c r="G990" s="66" t="s">
        <v>964</v>
      </c>
      <c r="H990" s="66" t="s">
        <v>975</v>
      </c>
      <c r="I990" s="66" t="s">
        <v>197</v>
      </c>
      <c r="J990" s="66" t="s">
        <v>195</v>
      </c>
      <c r="K990" s="66" t="s">
        <v>747</v>
      </c>
      <c r="L990" s="67">
        <v>2032698</v>
      </c>
      <c r="M990" s="67">
        <v>0</v>
      </c>
      <c r="N990" s="68">
        <f t="shared" si="62"/>
        <v>2032698</v>
      </c>
      <c r="O990" s="69">
        <f t="shared" si="63"/>
        <v>2032698</v>
      </c>
      <c r="P990" s="42" t="str">
        <f>IFERROR(VLOOKUP(J990,'Mã NV'!$B:$C,2,0),"")</f>
        <v>XE00449</v>
      </c>
      <c r="Q990" s="70" t="str">
        <f>IFERROR(VLOOKUP(I990,'Mã NV'!$J:$K,2,0),"")</f>
        <v>8T</v>
      </c>
      <c r="S990" s="44">
        <f t="shared" si="65"/>
        <v>101634.9</v>
      </c>
    </row>
    <row r="991" customHeight="1" spans="1:19">
      <c r="A991" s="63">
        <f t="shared" si="66"/>
        <v>985</v>
      </c>
      <c r="B991" s="64">
        <v>46157</v>
      </c>
      <c r="C991" s="87"/>
      <c r="D991" s="66" t="s">
        <v>49</v>
      </c>
      <c r="E991" s="66" t="s">
        <v>49</v>
      </c>
      <c r="F991" s="66" t="s">
        <v>744</v>
      </c>
      <c r="G991" s="66" t="s">
        <v>964</v>
      </c>
      <c r="H991" s="66" t="s">
        <v>805</v>
      </c>
      <c r="I991" s="66" t="s">
        <v>136</v>
      </c>
      <c r="J991" s="66" t="s">
        <v>361</v>
      </c>
      <c r="K991" s="66" t="s">
        <v>747</v>
      </c>
      <c r="L991" s="67">
        <v>3427178</v>
      </c>
      <c r="M991" s="67">
        <v>0</v>
      </c>
      <c r="N991" s="68">
        <f t="shared" si="62"/>
        <v>3427178</v>
      </c>
      <c r="O991" s="69">
        <f t="shared" si="63"/>
        <v>3427178</v>
      </c>
      <c r="P991" s="42" t="str">
        <f>IFERROR(VLOOKUP(J991,'Mã NV'!$B:$C,2,0),"")</f>
        <v>XE01641</v>
      </c>
      <c r="Q991" s="70" t="str">
        <f>IFERROR(VLOOKUP(I991,'Mã NV'!$J:$K,2,0),"")</f>
        <v>6.5T</v>
      </c>
      <c r="S991" s="44">
        <f t="shared" si="65"/>
        <v>171358.9</v>
      </c>
    </row>
    <row r="992" customHeight="1" spans="1:19">
      <c r="A992" s="63">
        <f t="shared" si="66"/>
        <v>986</v>
      </c>
      <c r="B992" s="64">
        <v>46158</v>
      </c>
      <c r="C992" s="87"/>
      <c r="D992" s="66" t="s">
        <v>49</v>
      </c>
      <c r="E992" s="66" t="s">
        <v>49</v>
      </c>
      <c r="F992" s="66" t="s">
        <v>744</v>
      </c>
      <c r="G992" s="66" t="s">
        <v>964</v>
      </c>
      <c r="H992" s="66" t="s">
        <v>754</v>
      </c>
      <c r="I992" s="66" t="s">
        <v>84</v>
      </c>
      <c r="J992" s="66" t="s">
        <v>82</v>
      </c>
      <c r="K992" s="66" t="s">
        <v>747</v>
      </c>
      <c r="L992" s="67">
        <v>2819830</v>
      </c>
      <c r="M992" s="67">
        <v>0</v>
      </c>
      <c r="N992" s="68">
        <f t="shared" si="62"/>
        <v>2819830</v>
      </c>
      <c r="O992" s="69">
        <f t="shared" si="63"/>
        <v>2819830</v>
      </c>
      <c r="P992" s="42" t="str">
        <f>IFERROR(VLOOKUP(J992,'Mã NV'!$B:$C,2,0),"")</f>
        <v>XE00832</v>
      </c>
      <c r="Q992" s="70" t="str">
        <f>IFERROR(VLOOKUP(I992,'Mã NV'!$J:$K,2,0),"")</f>
        <v>6.5T</v>
      </c>
      <c r="S992" s="44">
        <f t="shared" si="65"/>
        <v>140991.5</v>
      </c>
    </row>
    <row r="993" customHeight="1" spans="1:19">
      <c r="A993" s="63">
        <f t="shared" si="66"/>
        <v>987</v>
      </c>
      <c r="B993" s="64">
        <v>46158</v>
      </c>
      <c r="C993" s="87"/>
      <c r="D993" s="66" t="s">
        <v>49</v>
      </c>
      <c r="E993" s="66" t="s">
        <v>49</v>
      </c>
      <c r="F993" s="66" t="s">
        <v>744</v>
      </c>
      <c r="G993" s="66" t="s">
        <v>964</v>
      </c>
      <c r="H993" s="66" t="s">
        <v>969</v>
      </c>
      <c r="I993" s="66" t="s">
        <v>164</v>
      </c>
      <c r="J993" s="66" t="s">
        <v>217</v>
      </c>
      <c r="K993" s="66" t="s">
        <v>747</v>
      </c>
      <c r="L993" s="67">
        <v>2320937</v>
      </c>
      <c r="M993" s="67">
        <v>0</v>
      </c>
      <c r="N993" s="68">
        <f t="shared" si="62"/>
        <v>2320937</v>
      </c>
      <c r="O993" s="69">
        <f t="shared" si="63"/>
        <v>2320937</v>
      </c>
      <c r="P993" s="42" t="str">
        <f>IFERROR(VLOOKUP(J993,'Mã NV'!$B:$C,2,0),"")</f>
        <v>XE01004</v>
      </c>
      <c r="Q993" s="70" t="str">
        <f>IFERROR(VLOOKUP(I993,'Mã NV'!$J:$K,2,0),"")</f>
        <v>6.5T</v>
      </c>
      <c r="S993" s="44">
        <f t="shared" si="65"/>
        <v>116046.85</v>
      </c>
    </row>
    <row r="994" customHeight="1" spans="1:19">
      <c r="A994" s="63">
        <f t="shared" si="66"/>
        <v>988</v>
      </c>
      <c r="B994" s="64">
        <v>46158</v>
      </c>
      <c r="C994" s="87"/>
      <c r="D994" s="66" t="s">
        <v>49</v>
      </c>
      <c r="E994" s="66" t="s">
        <v>49</v>
      </c>
      <c r="F994" s="66" t="s">
        <v>744</v>
      </c>
      <c r="G994" s="66" t="s">
        <v>964</v>
      </c>
      <c r="H994" s="66" t="s">
        <v>976</v>
      </c>
      <c r="I994" s="66" t="s">
        <v>48</v>
      </c>
      <c r="J994" s="66" t="s">
        <v>46</v>
      </c>
      <c r="K994" s="66" t="s">
        <v>747</v>
      </c>
      <c r="L994" s="67">
        <v>2363192</v>
      </c>
      <c r="M994" s="67">
        <v>0</v>
      </c>
      <c r="N994" s="68">
        <f t="shared" si="62"/>
        <v>2363192</v>
      </c>
      <c r="O994" s="69">
        <f t="shared" si="63"/>
        <v>2363192</v>
      </c>
      <c r="P994" s="42" t="str">
        <f>IFERROR(VLOOKUP(J994,'Mã NV'!$B:$C,2,0),"")</f>
        <v>XE00900</v>
      </c>
      <c r="Q994" s="70" t="str">
        <f>IFERROR(VLOOKUP(I994,'Mã NV'!$J:$K,2,0),"")</f>
        <v>6.5T</v>
      </c>
      <c r="S994" s="44">
        <f t="shared" si="65"/>
        <v>118159.6</v>
      </c>
    </row>
    <row r="995" customHeight="1" spans="1:19">
      <c r="A995" s="63">
        <f t="shared" si="66"/>
        <v>989</v>
      </c>
      <c r="B995" s="64">
        <v>46160</v>
      </c>
      <c r="C995" s="87"/>
      <c r="D995" s="66" t="s">
        <v>49</v>
      </c>
      <c r="E995" s="66" t="s">
        <v>49</v>
      </c>
      <c r="F995" s="66" t="s">
        <v>744</v>
      </c>
      <c r="G995" s="66" t="s">
        <v>964</v>
      </c>
      <c r="H995" s="66" t="s">
        <v>750</v>
      </c>
      <c r="I995" s="66" t="s">
        <v>133</v>
      </c>
      <c r="J995" s="66" t="s">
        <v>347</v>
      </c>
      <c r="K995" s="66" t="s">
        <v>747</v>
      </c>
      <c r="L995" s="67">
        <v>1050000</v>
      </c>
      <c r="M995" s="67"/>
      <c r="N995" s="68">
        <f t="shared" si="62"/>
        <v>1050000</v>
      </c>
      <c r="O995" s="69">
        <f t="shared" si="63"/>
        <v>1050000</v>
      </c>
      <c r="P995" s="42" t="str">
        <f>IFERROR(VLOOKUP(J995,'Mã NV'!$B:$C,2,0),"")</f>
        <v>XE01653</v>
      </c>
      <c r="Q995" s="70" t="str">
        <f>IFERROR(VLOOKUP(I995,'Mã NV'!$J:$K,2,0),"")</f>
        <v>2.5T</v>
      </c>
      <c r="S995" s="44">
        <f t="shared" si="65"/>
        <v>52500</v>
      </c>
    </row>
    <row r="996" customHeight="1" spans="1:19">
      <c r="A996" s="63">
        <f t="shared" si="66"/>
        <v>990</v>
      </c>
      <c r="B996" s="64">
        <v>46160</v>
      </c>
      <c r="C996" s="87"/>
      <c r="D996" s="66" t="s">
        <v>49</v>
      </c>
      <c r="E996" s="66" t="s">
        <v>49</v>
      </c>
      <c r="F996" s="66" t="s">
        <v>744</v>
      </c>
      <c r="G996" s="66" t="s">
        <v>964</v>
      </c>
      <c r="H996" s="66" t="s">
        <v>754</v>
      </c>
      <c r="I996" s="66" t="s">
        <v>136</v>
      </c>
      <c r="J996" s="66" t="s">
        <v>361</v>
      </c>
      <c r="K996" s="66" t="s">
        <v>747</v>
      </c>
      <c r="L996" s="67">
        <v>2125718</v>
      </c>
      <c r="M996" s="67">
        <v>0</v>
      </c>
      <c r="N996" s="68">
        <f t="shared" si="62"/>
        <v>2125718</v>
      </c>
      <c r="O996" s="69">
        <f t="shared" si="63"/>
        <v>2125718</v>
      </c>
      <c r="P996" s="42" t="str">
        <f>IFERROR(VLOOKUP(J996,'Mã NV'!$B:$C,2,0),"")</f>
        <v>XE01641</v>
      </c>
      <c r="Q996" s="70" t="str">
        <f>IFERROR(VLOOKUP(I996,'Mã NV'!$J:$K,2,0),"")</f>
        <v>6.5T</v>
      </c>
      <c r="S996" s="44">
        <f t="shared" si="65"/>
        <v>106285.9</v>
      </c>
    </row>
    <row r="997" customHeight="1" spans="1:19">
      <c r="A997" s="63">
        <f t="shared" si="66"/>
        <v>991</v>
      </c>
      <c r="B997" s="64">
        <v>46160</v>
      </c>
      <c r="C997" s="87"/>
      <c r="D997" s="66" t="s">
        <v>49</v>
      </c>
      <c r="E997" s="66" t="s">
        <v>49</v>
      </c>
      <c r="F997" s="66" t="s">
        <v>744</v>
      </c>
      <c r="G997" s="66" t="s">
        <v>964</v>
      </c>
      <c r="H997" s="66" t="s">
        <v>972</v>
      </c>
      <c r="I997" s="66" t="s">
        <v>164</v>
      </c>
      <c r="J997" s="66" t="s">
        <v>217</v>
      </c>
      <c r="K997" s="66" t="s">
        <v>747</v>
      </c>
      <c r="L997" s="67">
        <v>3226666</v>
      </c>
      <c r="M997" s="67">
        <v>0</v>
      </c>
      <c r="N997" s="68">
        <f t="shared" si="62"/>
        <v>3226666</v>
      </c>
      <c r="O997" s="69">
        <f t="shared" si="63"/>
        <v>3226666</v>
      </c>
      <c r="P997" s="42" t="str">
        <f>IFERROR(VLOOKUP(J997,'Mã NV'!$B:$C,2,0),"")</f>
        <v>XE01004</v>
      </c>
      <c r="Q997" s="70" t="str">
        <f>IFERROR(VLOOKUP(I997,'Mã NV'!$J:$K,2,0),"")</f>
        <v>6.5T</v>
      </c>
      <c r="S997" s="44">
        <f t="shared" si="65"/>
        <v>161333.3</v>
      </c>
    </row>
    <row r="998" customHeight="1" spans="1:19">
      <c r="A998" s="63">
        <f t="shared" si="66"/>
        <v>992</v>
      </c>
      <c r="B998" s="64">
        <v>46160</v>
      </c>
      <c r="C998" s="87"/>
      <c r="D998" s="66" t="s">
        <v>49</v>
      </c>
      <c r="E998" s="66" t="s">
        <v>49</v>
      </c>
      <c r="F998" s="66" t="s">
        <v>744</v>
      </c>
      <c r="G998" s="66" t="s">
        <v>964</v>
      </c>
      <c r="H998" s="66" t="s">
        <v>976</v>
      </c>
      <c r="I998" s="66" t="s">
        <v>51</v>
      </c>
      <c r="J998" s="66" t="s">
        <v>46</v>
      </c>
      <c r="K998" s="66" t="s">
        <v>747</v>
      </c>
      <c r="L998" s="67">
        <v>2363192</v>
      </c>
      <c r="M998" s="67">
        <v>0</v>
      </c>
      <c r="N998" s="68">
        <f t="shared" si="62"/>
        <v>2363192</v>
      </c>
      <c r="O998" s="69">
        <f t="shared" si="63"/>
        <v>2363192</v>
      </c>
      <c r="P998" s="42" t="str">
        <f>IFERROR(VLOOKUP(J998,'Mã NV'!$B:$C,2,0),"")</f>
        <v>XE00900</v>
      </c>
      <c r="Q998" s="70" t="str">
        <f>IFERROR(VLOOKUP(I998,'Mã NV'!$J:$K,2,0),"")</f>
        <v>6.5T</v>
      </c>
      <c r="S998" s="44">
        <f t="shared" si="65"/>
        <v>118159.6</v>
      </c>
    </row>
    <row r="999" customHeight="1" spans="1:19">
      <c r="A999" s="63">
        <f t="shared" si="66"/>
        <v>993</v>
      </c>
      <c r="B999" s="64">
        <v>46161</v>
      </c>
      <c r="C999" s="87"/>
      <c r="D999" s="66" t="s">
        <v>49</v>
      </c>
      <c r="E999" s="66" t="s">
        <v>49</v>
      </c>
      <c r="F999" s="66" t="s">
        <v>744</v>
      </c>
      <c r="G999" s="66" t="s">
        <v>964</v>
      </c>
      <c r="H999" s="66" t="s">
        <v>774</v>
      </c>
      <c r="I999" s="66" t="s">
        <v>84</v>
      </c>
      <c r="J999" s="66" t="s">
        <v>82</v>
      </c>
      <c r="K999" s="66" t="s">
        <v>747</v>
      </c>
      <c r="L999" s="67">
        <v>3976525</v>
      </c>
      <c r="M999" s="67">
        <v>0</v>
      </c>
      <c r="N999" s="68">
        <f t="shared" si="62"/>
        <v>3976525</v>
      </c>
      <c r="O999" s="69">
        <f t="shared" si="63"/>
        <v>3976525</v>
      </c>
      <c r="P999" s="42" t="str">
        <f>IFERROR(VLOOKUP(J999,'Mã NV'!$B:$C,2,0),"")</f>
        <v>XE00832</v>
      </c>
      <c r="Q999" s="70" t="str">
        <f>IFERROR(VLOOKUP(I999,'Mã NV'!$J:$K,2,0),"")</f>
        <v>6.5T</v>
      </c>
      <c r="S999" s="44">
        <f t="shared" si="65"/>
        <v>198826.25</v>
      </c>
    </row>
    <row r="1000" customHeight="1" spans="1:19">
      <c r="A1000" s="63">
        <f t="shared" si="66"/>
        <v>994</v>
      </c>
      <c r="B1000" s="64">
        <v>46161</v>
      </c>
      <c r="C1000" s="87"/>
      <c r="D1000" s="66" t="s">
        <v>49</v>
      </c>
      <c r="E1000" s="66" t="s">
        <v>49</v>
      </c>
      <c r="F1000" s="66" t="s">
        <v>744</v>
      </c>
      <c r="G1000" s="66" t="s">
        <v>964</v>
      </c>
      <c r="H1000" s="66" t="s">
        <v>972</v>
      </c>
      <c r="I1000" s="66" t="s">
        <v>164</v>
      </c>
      <c r="J1000" s="66" t="s">
        <v>217</v>
      </c>
      <c r="K1000" s="66" t="s">
        <v>747</v>
      </c>
      <c r="L1000" s="67">
        <v>5521689</v>
      </c>
      <c r="M1000" s="67">
        <v>0</v>
      </c>
      <c r="N1000" s="68">
        <f t="shared" si="62"/>
        <v>5521689</v>
      </c>
      <c r="O1000" s="69">
        <f t="shared" si="63"/>
        <v>5521689</v>
      </c>
      <c r="P1000" s="42" t="str">
        <f>IFERROR(VLOOKUP(J1000,'Mã NV'!$B:$C,2,0),"")</f>
        <v>XE01004</v>
      </c>
      <c r="Q1000" s="70" t="str">
        <f>IFERROR(VLOOKUP(I1000,'Mã NV'!$J:$K,2,0),"")</f>
        <v>6.5T</v>
      </c>
      <c r="S1000" s="44">
        <f t="shared" si="65"/>
        <v>276084.45</v>
      </c>
    </row>
    <row r="1001" customHeight="1" spans="1:19">
      <c r="A1001" s="63">
        <f t="shared" si="66"/>
        <v>995</v>
      </c>
      <c r="B1001" s="64">
        <v>46162</v>
      </c>
      <c r="C1001" s="87"/>
      <c r="D1001" s="66" t="s">
        <v>49</v>
      </c>
      <c r="E1001" s="66" t="s">
        <v>49</v>
      </c>
      <c r="F1001" s="66" t="s">
        <v>744</v>
      </c>
      <c r="G1001" s="66" t="s">
        <v>964</v>
      </c>
      <c r="H1001" s="66" t="s">
        <v>777</v>
      </c>
      <c r="I1001" s="66" t="s">
        <v>51</v>
      </c>
      <c r="J1001" s="66" t="s">
        <v>128</v>
      </c>
      <c r="K1001" s="66" t="s">
        <v>747</v>
      </c>
      <c r="L1001" s="67">
        <v>4476431</v>
      </c>
      <c r="M1001" s="67">
        <v>0</v>
      </c>
      <c r="N1001" s="68">
        <f t="shared" si="62"/>
        <v>4476431</v>
      </c>
      <c r="O1001" s="69">
        <f t="shared" si="63"/>
        <v>4476431</v>
      </c>
      <c r="P1001" s="42" t="str">
        <f>IFERROR(VLOOKUP(J1001,'Mã NV'!$B:$C,2,0),"")</f>
        <v>XE00953</v>
      </c>
      <c r="Q1001" s="70" t="str">
        <f>IFERROR(VLOOKUP(I1001,'Mã NV'!$J:$K,2,0),"")</f>
        <v>6.5T</v>
      </c>
      <c r="S1001" s="44">
        <f t="shared" si="65"/>
        <v>223821.55</v>
      </c>
    </row>
    <row r="1002" customHeight="1" spans="1:19">
      <c r="A1002" s="63">
        <f t="shared" si="66"/>
        <v>996</v>
      </c>
      <c r="B1002" s="64">
        <v>46163</v>
      </c>
      <c r="C1002" s="87"/>
      <c r="D1002" s="66" t="s">
        <v>49</v>
      </c>
      <c r="E1002" s="66" t="s">
        <v>49</v>
      </c>
      <c r="F1002" s="66" t="s">
        <v>744</v>
      </c>
      <c r="G1002" s="66" t="s">
        <v>964</v>
      </c>
      <c r="H1002" s="66" t="s">
        <v>804</v>
      </c>
      <c r="I1002" s="66" t="s">
        <v>136</v>
      </c>
      <c r="J1002" s="66" t="s">
        <v>361</v>
      </c>
      <c r="K1002" s="66" t="s">
        <v>747</v>
      </c>
      <c r="L1002" s="67">
        <v>6294271</v>
      </c>
      <c r="M1002" s="67">
        <v>0</v>
      </c>
      <c r="N1002" s="68">
        <f t="shared" si="62"/>
        <v>6294271</v>
      </c>
      <c r="O1002" s="69">
        <f t="shared" si="63"/>
        <v>6294271</v>
      </c>
      <c r="P1002" s="42" t="str">
        <f>IFERROR(VLOOKUP(J1002,'Mã NV'!$B:$C,2,0),"")</f>
        <v>XE01641</v>
      </c>
      <c r="Q1002" s="70" t="str">
        <f>IFERROR(VLOOKUP(I1002,'Mã NV'!$J:$K,2,0),"")</f>
        <v>6.5T</v>
      </c>
      <c r="S1002" s="44">
        <f t="shared" si="65"/>
        <v>314713.55</v>
      </c>
    </row>
    <row r="1003" customHeight="1" spans="1:19">
      <c r="A1003" s="63">
        <f t="shared" si="66"/>
        <v>997</v>
      </c>
      <c r="B1003" s="64">
        <v>46163</v>
      </c>
      <c r="C1003" s="87"/>
      <c r="D1003" s="66" t="s">
        <v>49</v>
      </c>
      <c r="E1003" s="66" t="s">
        <v>49</v>
      </c>
      <c r="F1003" s="66" t="s">
        <v>744</v>
      </c>
      <c r="G1003" s="66" t="s">
        <v>964</v>
      </c>
      <c r="H1003" s="66" t="s">
        <v>750</v>
      </c>
      <c r="I1003" s="66" t="s">
        <v>133</v>
      </c>
      <c r="J1003" s="66" t="s">
        <v>347</v>
      </c>
      <c r="K1003" s="66" t="s">
        <v>747</v>
      </c>
      <c r="L1003" s="67">
        <v>1100000</v>
      </c>
      <c r="M1003" s="67">
        <v>50000</v>
      </c>
      <c r="N1003" s="68">
        <f t="shared" si="62"/>
        <v>1050000</v>
      </c>
      <c r="O1003" s="69">
        <f t="shared" si="63"/>
        <v>1050000</v>
      </c>
      <c r="P1003" s="42" t="str">
        <f>IFERROR(VLOOKUP(J1003,'Mã NV'!$B:$C,2,0),"")</f>
        <v>XE01653</v>
      </c>
      <c r="Q1003" s="70" t="str">
        <f>IFERROR(VLOOKUP(I1003,'Mã NV'!$J:$K,2,0),"")</f>
        <v>2.5T</v>
      </c>
      <c r="S1003" s="44">
        <f t="shared" si="65"/>
        <v>55000</v>
      </c>
    </row>
    <row r="1004" customHeight="1" spans="1:19">
      <c r="A1004" s="63">
        <f t="shared" si="66"/>
        <v>998</v>
      </c>
      <c r="B1004" s="64">
        <v>46164</v>
      </c>
      <c r="C1004" s="87"/>
      <c r="D1004" s="66" t="s">
        <v>49</v>
      </c>
      <c r="E1004" s="66" t="s">
        <v>49</v>
      </c>
      <c r="F1004" s="66" t="s">
        <v>744</v>
      </c>
      <c r="G1004" s="66" t="s">
        <v>964</v>
      </c>
      <c r="H1004" s="66" t="s">
        <v>750</v>
      </c>
      <c r="I1004" s="66" t="s">
        <v>133</v>
      </c>
      <c r="J1004" s="66" t="s">
        <v>347</v>
      </c>
      <c r="K1004" s="66" t="s">
        <v>747</v>
      </c>
      <c r="L1004" s="67">
        <v>1200000</v>
      </c>
      <c r="M1004" s="67"/>
      <c r="N1004" s="68">
        <f t="shared" si="62"/>
        <v>1200000</v>
      </c>
      <c r="O1004" s="69">
        <f t="shared" si="63"/>
        <v>1200000</v>
      </c>
      <c r="P1004" s="42" t="str">
        <f>IFERROR(VLOOKUP(J1004,'Mã NV'!$B:$C,2,0),"")</f>
        <v>XE01653</v>
      </c>
      <c r="Q1004" s="70" t="str">
        <f>IFERROR(VLOOKUP(I1004,'Mã NV'!$J:$K,2,0),"")</f>
        <v>2.5T</v>
      </c>
      <c r="S1004" s="44">
        <f t="shared" si="65"/>
        <v>60000</v>
      </c>
    </row>
    <row r="1005" customHeight="1" spans="1:19">
      <c r="A1005" s="63">
        <f t="shared" si="66"/>
        <v>999</v>
      </c>
      <c r="B1005" s="64">
        <v>46165</v>
      </c>
      <c r="C1005" s="87"/>
      <c r="D1005" s="66" t="s">
        <v>49</v>
      </c>
      <c r="E1005" s="66" t="s">
        <v>49</v>
      </c>
      <c r="F1005" s="66" t="s">
        <v>744</v>
      </c>
      <c r="G1005" s="66" t="s">
        <v>964</v>
      </c>
      <c r="H1005" s="66" t="s">
        <v>754</v>
      </c>
      <c r="I1005" s="66" t="s">
        <v>164</v>
      </c>
      <c r="J1005" s="66" t="s">
        <v>217</v>
      </c>
      <c r="K1005" s="66" t="s">
        <v>747</v>
      </c>
      <c r="L1005" s="67">
        <v>1496679</v>
      </c>
      <c r="M1005" s="67">
        <v>0</v>
      </c>
      <c r="N1005" s="68">
        <f t="shared" si="62"/>
        <v>1496679</v>
      </c>
      <c r="O1005" s="69">
        <f t="shared" si="63"/>
        <v>1496679</v>
      </c>
      <c r="P1005" s="42" t="str">
        <f>IFERROR(VLOOKUP(J1005,'Mã NV'!$B:$C,2,0),"")</f>
        <v>XE01004</v>
      </c>
      <c r="Q1005" s="70" t="str">
        <f>IFERROR(VLOOKUP(I1005,'Mã NV'!$J:$K,2,0),"")</f>
        <v>6.5T</v>
      </c>
      <c r="S1005" s="44">
        <f t="shared" si="65"/>
        <v>74833.95</v>
      </c>
    </row>
    <row r="1006" customHeight="1" spans="1:19">
      <c r="A1006" s="63">
        <f t="shared" si="66"/>
        <v>1000</v>
      </c>
      <c r="B1006" s="64">
        <v>46165</v>
      </c>
      <c r="C1006" s="87"/>
      <c r="D1006" s="66" t="s">
        <v>49</v>
      </c>
      <c r="E1006" s="66" t="s">
        <v>49</v>
      </c>
      <c r="F1006" s="66" t="s">
        <v>744</v>
      </c>
      <c r="G1006" s="66" t="s">
        <v>964</v>
      </c>
      <c r="H1006" s="66" t="s">
        <v>750</v>
      </c>
      <c r="I1006" s="66" t="s">
        <v>84</v>
      </c>
      <c r="J1006" s="66" t="s">
        <v>82</v>
      </c>
      <c r="K1006" s="66" t="s">
        <v>747</v>
      </c>
      <c r="L1006" s="67">
        <v>2150000</v>
      </c>
      <c r="M1006" s="67"/>
      <c r="N1006" s="68">
        <f t="shared" si="62"/>
        <v>2150000</v>
      </c>
      <c r="O1006" s="69">
        <f t="shared" si="63"/>
        <v>2150000</v>
      </c>
      <c r="P1006" s="42" t="str">
        <f>IFERROR(VLOOKUP(J1006,'Mã NV'!$B:$C,2,0),"")</f>
        <v>XE00832</v>
      </c>
      <c r="Q1006" s="70" t="str">
        <f>IFERROR(VLOOKUP(I1006,'Mã NV'!$J:$K,2,0),"")</f>
        <v>6.5T</v>
      </c>
      <c r="S1006" s="44">
        <f t="shared" si="65"/>
        <v>107500</v>
      </c>
    </row>
    <row r="1007" customHeight="1" spans="1:19">
      <c r="A1007" s="63">
        <f t="shared" si="66"/>
        <v>1001</v>
      </c>
      <c r="B1007" s="64">
        <v>46165</v>
      </c>
      <c r="C1007" s="87"/>
      <c r="D1007" s="66" t="s">
        <v>49</v>
      </c>
      <c r="E1007" s="66" t="s">
        <v>49</v>
      </c>
      <c r="F1007" s="66" t="s">
        <v>744</v>
      </c>
      <c r="G1007" s="66" t="s">
        <v>964</v>
      </c>
      <c r="H1007" s="66" t="s">
        <v>976</v>
      </c>
      <c r="I1007" s="66" t="s">
        <v>48</v>
      </c>
      <c r="J1007" s="66" t="s">
        <v>324</v>
      </c>
      <c r="K1007" s="66" t="s">
        <v>747</v>
      </c>
      <c r="L1007" s="67">
        <v>2408638</v>
      </c>
      <c r="M1007" s="67">
        <v>0</v>
      </c>
      <c r="N1007" s="68">
        <f t="shared" si="62"/>
        <v>2408638</v>
      </c>
      <c r="O1007" s="69">
        <f t="shared" si="63"/>
        <v>2408638</v>
      </c>
      <c r="P1007" s="42" t="str">
        <f>IFERROR(VLOOKUP(J1007,'Mã NV'!$B:$C,2,0),"")</f>
        <v>XE01620</v>
      </c>
      <c r="Q1007" s="70" t="str">
        <f>IFERROR(VLOOKUP(I1007,'Mã NV'!$J:$K,2,0),"")</f>
        <v>6.5T</v>
      </c>
      <c r="S1007" s="44">
        <f t="shared" si="65"/>
        <v>120431.9</v>
      </c>
    </row>
    <row r="1008" customHeight="1" spans="1:19">
      <c r="A1008" s="63">
        <f t="shared" si="66"/>
        <v>1002</v>
      </c>
      <c r="B1008" s="64">
        <v>46165</v>
      </c>
      <c r="C1008" s="87"/>
      <c r="D1008" s="66" t="s">
        <v>49</v>
      </c>
      <c r="E1008" s="66" t="s">
        <v>49</v>
      </c>
      <c r="F1008" s="66" t="s">
        <v>744</v>
      </c>
      <c r="G1008" s="66" t="s">
        <v>964</v>
      </c>
      <c r="H1008" s="66" t="s">
        <v>777</v>
      </c>
      <c r="I1008" s="66" t="s">
        <v>51</v>
      </c>
      <c r="J1008" s="66" t="s">
        <v>128</v>
      </c>
      <c r="K1008" s="66" t="s">
        <v>747</v>
      </c>
      <c r="L1008" s="67">
        <v>4186363</v>
      </c>
      <c r="M1008" s="67">
        <v>0</v>
      </c>
      <c r="N1008" s="68">
        <f t="shared" si="62"/>
        <v>4186363</v>
      </c>
      <c r="O1008" s="69">
        <f t="shared" si="63"/>
        <v>4186363</v>
      </c>
      <c r="P1008" s="42" t="str">
        <f>IFERROR(VLOOKUP(J1008,'Mã NV'!$B:$C,2,0),"")</f>
        <v>XE00953</v>
      </c>
      <c r="Q1008" s="70" t="str">
        <f>IFERROR(VLOOKUP(I1008,'Mã NV'!$J:$K,2,0),"")</f>
        <v>6.5T</v>
      </c>
      <c r="S1008" s="44">
        <f t="shared" si="65"/>
        <v>209318.15</v>
      </c>
    </row>
    <row r="1009" customHeight="1" spans="1:19">
      <c r="A1009" s="63">
        <f t="shared" si="66"/>
        <v>1003</v>
      </c>
      <c r="B1009" s="64">
        <v>46167</v>
      </c>
      <c r="C1009" s="87"/>
      <c r="D1009" s="66" t="s">
        <v>49</v>
      </c>
      <c r="E1009" s="66" t="s">
        <v>49</v>
      </c>
      <c r="F1009" s="66" t="s">
        <v>744</v>
      </c>
      <c r="G1009" s="66" t="s">
        <v>964</v>
      </c>
      <c r="H1009" s="66" t="s">
        <v>759</v>
      </c>
      <c r="I1009" s="66" t="s">
        <v>81</v>
      </c>
      <c r="J1009" s="66" t="s">
        <v>79</v>
      </c>
      <c r="K1009" s="66" t="s">
        <v>747</v>
      </c>
      <c r="L1009" s="67">
        <v>3513942</v>
      </c>
      <c r="M1009" s="67">
        <v>0</v>
      </c>
      <c r="N1009" s="68">
        <f t="shared" si="62"/>
        <v>3513942</v>
      </c>
      <c r="O1009" s="69">
        <f t="shared" ref="O1009:O1072" si="67">N1009/$P$1</f>
        <v>3513942</v>
      </c>
      <c r="P1009" s="42" t="str">
        <f>IFERROR(VLOOKUP(J1009,'Mã NV'!$B:$C,2,0),"")</f>
        <v>XE00777</v>
      </c>
      <c r="Q1009" s="70" t="str">
        <f>IFERROR(VLOOKUP(I1009,'Mã NV'!$J:$K,2,0),"")</f>
        <v>6.5T</v>
      </c>
      <c r="S1009" s="44">
        <f t="shared" si="65"/>
        <v>175697.1</v>
      </c>
    </row>
    <row r="1010" customHeight="1" spans="1:19">
      <c r="A1010" s="63">
        <f t="shared" si="66"/>
        <v>1004</v>
      </c>
      <c r="B1010" s="64">
        <v>46167</v>
      </c>
      <c r="C1010" s="87"/>
      <c r="D1010" s="66" t="s">
        <v>49</v>
      </c>
      <c r="E1010" s="66" t="s">
        <v>49</v>
      </c>
      <c r="F1010" s="66" t="s">
        <v>744</v>
      </c>
      <c r="G1010" s="66" t="s">
        <v>964</v>
      </c>
      <c r="H1010" s="66" t="s">
        <v>777</v>
      </c>
      <c r="I1010" s="66" t="s">
        <v>84</v>
      </c>
      <c r="J1010" s="66" t="s">
        <v>82</v>
      </c>
      <c r="K1010" s="66" t="s">
        <v>747</v>
      </c>
      <c r="L1010" s="67">
        <v>4403273</v>
      </c>
      <c r="M1010" s="67">
        <v>0</v>
      </c>
      <c r="N1010" s="68">
        <f t="shared" ref="N1010:N1073" si="68">L1010-M1010</f>
        <v>4403273</v>
      </c>
      <c r="O1010" s="69">
        <f t="shared" si="67"/>
        <v>4403273</v>
      </c>
      <c r="P1010" s="42" t="str">
        <f>IFERROR(VLOOKUP(J1010,'Mã NV'!$B:$C,2,0),"")</f>
        <v>XE00832</v>
      </c>
      <c r="Q1010" s="70" t="str">
        <f>IFERROR(VLOOKUP(I1010,'Mã NV'!$J:$K,2,0),"")</f>
        <v>6.5T</v>
      </c>
      <c r="S1010" s="44">
        <f t="shared" si="65"/>
        <v>220163.65</v>
      </c>
    </row>
    <row r="1011" customHeight="1" spans="1:19">
      <c r="A1011" s="63">
        <f t="shared" si="66"/>
        <v>1005</v>
      </c>
      <c r="B1011" s="64">
        <v>46168</v>
      </c>
      <c r="C1011" s="87"/>
      <c r="D1011" s="66" t="s">
        <v>49</v>
      </c>
      <c r="E1011" s="66" t="s">
        <v>49</v>
      </c>
      <c r="F1011" s="66" t="s">
        <v>744</v>
      </c>
      <c r="G1011" s="66" t="s">
        <v>964</v>
      </c>
      <c r="H1011" s="66" t="s">
        <v>972</v>
      </c>
      <c r="I1011" s="66" t="s">
        <v>81</v>
      </c>
      <c r="J1011" s="66" t="s">
        <v>79</v>
      </c>
      <c r="K1011" s="66" t="s">
        <v>747</v>
      </c>
      <c r="L1011" s="67">
        <v>3427178</v>
      </c>
      <c r="M1011" s="67">
        <v>0</v>
      </c>
      <c r="N1011" s="68">
        <f t="shared" si="68"/>
        <v>3427178</v>
      </c>
      <c r="O1011" s="69">
        <f t="shared" si="67"/>
        <v>3427178</v>
      </c>
      <c r="P1011" s="42" t="str">
        <f>IFERROR(VLOOKUP(J1011,'Mã NV'!$B:$C,2,0),"")</f>
        <v>XE00777</v>
      </c>
      <c r="Q1011" s="70" t="str">
        <f>IFERROR(VLOOKUP(I1011,'Mã NV'!$J:$K,2,0),"")</f>
        <v>6.5T</v>
      </c>
      <c r="S1011" s="44">
        <f t="shared" si="65"/>
        <v>171358.9</v>
      </c>
    </row>
    <row r="1012" customHeight="1" spans="1:19">
      <c r="A1012" s="63">
        <f t="shared" si="66"/>
        <v>1006</v>
      </c>
      <c r="B1012" s="64">
        <v>46168</v>
      </c>
      <c r="C1012" s="87"/>
      <c r="D1012" s="66" t="s">
        <v>49</v>
      </c>
      <c r="E1012" s="66" t="s">
        <v>49</v>
      </c>
      <c r="F1012" s="66" t="s">
        <v>744</v>
      </c>
      <c r="G1012" s="66" t="s">
        <v>964</v>
      </c>
      <c r="H1012" s="66" t="s">
        <v>977</v>
      </c>
      <c r="I1012" s="66" t="s">
        <v>51</v>
      </c>
      <c r="J1012" s="66" t="s">
        <v>128</v>
      </c>
      <c r="K1012" s="66" t="s">
        <v>747</v>
      </c>
      <c r="L1012" s="67">
        <v>3999248</v>
      </c>
      <c r="M1012" s="67">
        <v>0</v>
      </c>
      <c r="N1012" s="68">
        <f t="shared" si="68"/>
        <v>3999248</v>
      </c>
      <c r="O1012" s="69">
        <f t="shared" si="67"/>
        <v>3999248</v>
      </c>
      <c r="P1012" s="42" t="str">
        <f>IFERROR(VLOOKUP(J1012,'Mã NV'!$B:$C,2,0),"")</f>
        <v>XE00953</v>
      </c>
      <c r="Q1012" s="70" t="str">
        <f>IFERROR(VLOOKUP(I1012,'Mã NV'!$J:$K,2,0),"")</f>
        <v>6.5T</v>
      </c>
      <c r="S1012" s="44">
        <f t="shared" si="65"/>
        <v>199962.4</v>
      </c>
    </row>
    <row r="1013" customHeight="1" spans="1:19">
      <c r="A1013" s="63">
        <f t="shared" si="66"/>
        <v>1007</v>
      </c>
      <c r="B1013" s="64">
        <v>46168</v>
      </c>
      <c r="C1013" s="87"/>
      <c r="D1013" s="66" t="s">
        <v>49</v>
      </c>
      <c r="E1013" s="66" t="s">
        <v>49</v>
      </c>
      <c r="F1013" s="66" t="s">
        <v>744</v>
      </c>
      <c r="G1013" s="66" t="s">
        <v>964</v>
      </c>
      <c r="H1013" s="66" t="s">
        <v>750</v>
      </c>
      <c r="I1013" s="66" t="s">
        <v>133</v>
      </c>
      <c r="J1013" s="66" t="s">
        <v>347</v>
      </c>
      <c r="K1013" s="66" t="s">
        <v>747</v>
      </c>
      <c r="L1013" s="67">
        <v>1060000</v>
      </c>
      <c r="M1013" s="67"/>
      <c r="N1013" s="68">
        <f t="shared" si="68"/>
        <v>1060000</v>
      </c>
      <c r="O1013" s="69">
        <f t="shared" si="67"/>
        <v>1060000</v>
      </c>
      <c r="P1013" s="42" t="str">
        <f>IFERROR(VLOOKUP(J1013,'Mã NV'!$B:$C,2,0),"")</f>
        <v>XE01653</v>
      </c>
      <c r="Q1013" s="70" t="str">
        <f>IFERROR(VLOOKUP(I1013,'Mã NV'!$J:$K,2,0),"")</f>
        <v>2.5T</v>
      </c>
      <c r="S1013" s="44">
        <f t="shared" si="65"/>
        <v>53000</v>
      </c>
    </row>
    <row r="1014" customHeight="1" spans="1:19">
      <c r="A1014" s="63">
        <f t="shared" si="66"/>
        <v>1008</v>
      </c>
      <c r="B1014" s="64">
        <v>46168</v>
      </c>
      <c r="C1014" s="87"/>
      <c r="D1014" s="66" t="s">
        <v>49</v>
      </c>
      <c r="E1014" s="66" t="s">
        <v>49</v>
      </c>
      <c r="F1014" s="66" t="s">
        <v>744</v>
      </c>
      <c r="G1014" s="66" t="s">
        <v>964</v>
      </c>
      <c r="H1014" s="66" t="s">
        <v>750</v>
      </c>
      <c r="I1014" s="66" t="s">
        <v>134</v>
      </c>
      <c r="J1014" s="66" t="s">
        <v>359</v>
      </c>
      <c r="K1014" s="66" t="s">
        <v>747</v>
      </c>
      <c r="L1014" s="67">
        <v>1050000</v>
      </c>
      <c r="M1014" s="67"/>
      <c r="N1014" s="68">
        <f t="shared" si="68"/>
        <v>1050000</v>
      </c>
      <c r="O1014" s="69">
        <f t="shared" si="67"/>
        <v>1050000</v>
      </c>
      <c r="P1014" s="42" t="str">
        <f>IFERROR(VLOOKUP(J1014,'Mã NV'!$B:$C,2,0),"")</f>
        <v>XE01639</v>
      </c>
      <c r="Q1014" s="70" t="str">
        <f>IFERROR(VLOOKUP(I1014,'Mã NV'!$J:$K,2,0),"")</f>
        <v>2.5T Lạnh</v>
      </c>
      <c r="S1014" s="44">
        <f t="shared" si="65"/>
        <v>52500</v>
      </c>
    </row>
    <row r="1015" customHeight="1" spans="1:19">
      <c r="A1015" s="63">
        <f t="shared" si="66"/>
        <v>1009</v>
      </c>
      <c r="B1015" s="64">
        <v>46168</v>
      </c>
      <c r="C1015" s="87"/>
      <c r="D1015" s="66" t="s">
        <v>49</v>
      </c>
      <c r="E1015" s="66" t="s">
        <v>49</v>
      </c>
      <c r="F1015" s="66" t="s">
        <v>744</v>
      </c>
      <c r="G1015" s="66" t="s">
        <v>964</v>
      </c>
      <c r="H1015" s="66" t="s">
        <v>750</v>
      </c>
      <c r="I1015" s="66" t="s">
        <v>133</v>
      </c>
      <c r="J1015" s="66" t="s">
        <v>347</v>
      </c>
      <c r="K1015" s="66" t="s">
        <v>747</v>
      </c>
      <c r="L1015" s="67">
        <v>960000</v>
      </c>
      <c r="M1015" s="67">
        <v>50000</v>
      </c>
      <c r="N1015" s="68">
        <f t="shared" si="68"/>
        <v>910000</v>
      </c>
      <c r="O1015" s="69">
        <f t="shared" si="67"/>
        <v>910000</v>
      </c>
      <c r="P1015" s="42" t="str">
        <f>IFERROR(VLOOKUP(J1015,'Mã NV'!$B:$C,2,0),"")</f>
        <v>XE01653</v>
      </c>
      <c r="Q1015" s="70" t="str">
        <f>IFERROR(VLOOKUP(I1015,'Mã NV'!$J:$K,2,0),"")</f>
        <v>2.5T</v>
      </c>
      <c r="S1015" s="44">
        <f t="shared" si="65"/>
        <v>48000</v>
      </c>
    </row>
    <row r="1016" customHeight="1" spans="1:19">
      <c r="A1016" s="63">
        <f t="shared" si="66"/>
        <v>1010</v>
      </c>
      <c r="B1016" s="64">
        <v>46169</v>
      </c>
      <c r="C1016" s="87"/>
      <c r="D1016" s="66" t="s">
        <v>49</v>
      </c>
      <c r="E1016" s="66" t="s">
        <v>49</v>
      </c>
      <c r="F1016" s="66" t="s">
        <v>744</v>
      </c>
      <c r="G1016" s="66" t="s">
        <v>964</v>
      </c>
      <c r="H1016" s="66" t="s">
        <v>978</v>
      </c>
      <c r="I1016" s="66" t="s">
        <v>51</v>
      </c>
      <c r="J1016" s="66" t="s">
        <v>128</v>
      </c>
      <c r="K1016" s="66" t="s">
        <v>747</v>
      </c>
      <c r="L1016" s="67">
        <v>3135774</v>
      </c>
      <c r="M1016" s="67">
        <v>0</v>
      </c>
      <c r="N1016" s="68">
        <f t="shared" si="68"/>
        <v>3135774</v>
      </c>
      <c r="O1016" s="69">
        <f t="shared" si="67"/>
        <v>3135774</v>
      </c>
      <c r="P1016" s="42" t="str">
        <f>IFERROR(VLOOKUP(J1016,'Mã NV'!$B:$C,2,0),"")</f>
        <v>XE00953</v>
      </c>
      <c r="Q1016" s="70" t="str">
        <f>IFERROR(VLOOKUP(I1016,'Mã NV'!$J:$K,2,0),"")</f>
        <v>6.5T</v>
      </c>
      <c r="S1016" s="44">
        <f t="shared" si="65"/>
        <v>156788.7</v>
      </c>
    </row>
    <row r="1017" customHeight="1" spans="1:19">
      <c r="A1017" s="63">
        <f t="shared" si="66"/>
        <v>1011</v>
      </c>
      <c r="B1017" s="64">
        <v>46169</v>
      </c>
      <c r="C1017" s="87"/>
      <c r="D1017" s="66" t="s">
        <v>49</v>
      </c>
      <c r="E1017" s="66" t="s">
        <v>49</v>
      </c>
      <c r="F1017" s="66" t="s">
        <v>744</v>
      </c>
      <c r="G1017" s="66" t="s">
        <v>964</v>
      </c>
      <c r="H1017" s="66" t="s">
        <v>979</v>
      </c>
      <c r="I1017" s="66" t="s">
        <v>52</v>
      </c>
      <c r="J1017" s="66" t="s">
        <v>46</v>
      </c>
      <c r="K1017" s="66" t="s">
        <v>747</v>
      </c>
      <c r="L1017" s="67">
        <v>3396093</v>
      </c>
      <c r="M1017" s="67">
        <v>0</v>
      </c>
      <c r="N1017" s="68">
        <f t="shared" si="68"/>
        <v>3396093</v>
      </c>
      <c r="O1017" s="69">
        <f t="shared" si="67"/>
        <v>3396093</v>
      </c>
      <c r="P1017" s="42" t="str">
        <f>IFERROR(VLOOKUP(J1017,'Mã NV'!$B:$C,2,0),"")</f>
        <v>XE00900</v>
      </c>
      <c r="Q1017" s="70" t="str">
        <f>IFERROR(VLOOKUP(I1017,'Mã NV'!$J:$K,2,0),"")</f>
        <v>8T</v>
      </c>
      <c r="S1017" s="44">
        <f t="shared" si="65"/>
        <v>169804.65</v>
      </c>
    </row>
    <row r="1018" customHeight="1" spans="1:19">
      <c r="A1018" s="63">
        <f t="shared" si="66"/>
        <v>1012</v>
      </c>
      <c r="B1018" s="64">
        <v>46169</v>
      </c>
      <c r="C1018" s="87"/>
      <c r="D1018" s="66" t="s">
        <v>49</v>
      </c>
      <c r="E1018" s="66" t="s">
        <v>49</v>
      </c>
      <c r="F1018" s="66" t="s">
        <v>744</v>
      </c>
      <c r="G1018" s="66" t="s">
        <v>964</v>
      </c>
      <c r="H1018" s="66" t="s">
        <v>980</v>
      </c>
      <c r="I1018" s="66" t="s">
        <v>133</v>
      </c>
      <c r="J1018" s="66" t="s">
        <v>347</v>
      </c>
      <c r="K1018" s="66" t="s">
        <v>747</v>
      </c>
      <c r="L1018" s="67">
        <v>1050000</v>
      </c>
      <c r="M1018" s="67"/>
      <c r="N1018" s="68">
        <f t="shared" si="68"/>
        <v>1050000</v>
      </c>
      <c r="O1018" s="69">
        <f t="shared" si="67"/>
        <v>1050000</v>
      </c>
      <c r="P1018" s="42" t="str">
        <f>IFERROR(VLOOKUP(J1018,'Mã NV'!$B:$C,2,0),"")</f>
        <v>XE01653</v>
      </c>
      <c r="Q1018" s="70" t="str">
        <f>IFERROR(VLOOKUP(I1018,'Mã NV'!$J:$K,2,0),"")</f>
        <v>2.5T</v>
      </c>
      <c r="S1018" s="44">
        <f t="shared" si="65"/>
        <v>52500</v>
      </c>
    </row>
    <row r="1019" customHeight="1" spans="1:19">
      <c r="A1019" s="63">
        <f t="shared" si="66"/>
        <v>1013</v>
      </c>
      <c r="B1019" s="64">
        <v>46170</v>
      </c>
      <c r="C1019" s="87"/>
      <c r="D1019" s="66" t="s">
        <v>49</v>
      </c>
      <c r="E1019" s="66" t="s">
        <v>49</v>
      </c>
      <c r="F1019" s="66" t="s">
        <v>744</v>
      </c>
      <c r="G1019" s="66" t="s">
        <v>964</v>
      </c>
      <c r="H1019" s="66" t="s">
        <v>750</v>
      </c>
      <c r="I1019" s="66" t="s">
        <v>133</v>
      </c>
      <c r="J1019" s="66" t="s">
        <v>347</v>
      </c>
      <c r="K1019" s="66" t="s">
        <v>747</v>
      </c>
      <c r="L1019" s="67">
        <v>900000</v>
      </c>
      <c r="M1019" s="67">
        <v>0</v>
      </c>
      <c r="N1019" s="68">
        <f t="shared" si="68"/>
        <v>900000</v>
      </c>
      <c r="O1019" s="69">
        <f t="shared" si="67"/>
        <v>900000</v>
      </c>
      <c r="P1019" s="42" t="str">
        <f>IFERROR(VLOOKUP(J1019,'Mã NV'!$B:$C,2,0),"")</f>
        <v>XE01653</v>
      </c>
      <c r="Q1019" s="70" t="str">
        <f>IFERROR(VLOOKUP(I1019,'Mã NV'!$J:$K,2,0),"")</f>
        <v>2.5T</v>
      </c>
      <c r="S1019" s="44">
        <f t="shared" si="65"/>
        <v>45000</v>
      </c>
    </row>
    <row r="1020" customHeight="1" spans="1:19">
      <c r="A1020" s="63">
        <f t="shared" si="66"/>
        <v>1014</v>
      </c>
      <c r="B1020" s="64">
        <v>46170</v>
      </c>
      <c r="C1020" s="87"/>
      <c r="D1020" s="66" t="s">
        <v>49</v>
      </c>
      <c r="E1020" s="66" t="s">
        <v>49</v>
      </c>
      <c r="F1020" s="66" t="s">
        <v>744</v>
      </c>
      <c r="G1020" s="66" t="s">
        <v>964</v>
      </c>
      <c r="H1020" s="66" t="s">
        <v>754</v>
      </c>
      <c r="I1020" s="66" t="s">
        <v>48</v>
      </c>
      <c r="J1020" s="66" t="s">
        <v>324</v>
      </c>
      <c r="K1020" s="66" t="s">
        <v>747</v>
      </c>
      <c r="L1020" s="67">
        <v>3067605</v>
      </c>
      <c r="M1020" s="67">
        <v>0</v>
      </c>
      <c r="N1020" s="68">
        <f t="shared" si="68"/>
        <v>3067605</v>
      </c>
      <c r="O1020" s="69">
        <f t="shared" si="67"/>
        <v>3067605</v>
      </c>
      <c r="P1020" s="42" t="str">
        <f>IFERROR(VLOOKUP(J1020,'Mã NV'!$B:$C,2,0),"")</f>
        <v>XE01620</v>
      </c>
      <c r="Q1020" s="70" t="str">
        <f>IFERROR(VLOOKUP(I1020,'Mã NV'!$J:$K,2,0),"")</f>
        <v>6.5T</v>
      </c>
      <c r="S1020" s="44">
        <f t="shared" si="65"/>
        <v>153380.25</v>
      </c>
    </row>
    <row r="1021" customHeight="1" spans="1:19">
      <c r="A1021" s="63">
        <f t="shared" si="66"/>
        <v>1015</v>
      </c>
      <c r="B1021" s="64">
        <v>46170</v>
      </c>
      <c r="C1021" s="87"/>
      <c r="D1021" s="66" t="s">
        <v>49</v>
      </c>
      <c r="E1021" s="66" t="s">
        <v>49</v>
      </c>
      <c r="F1021" s="66" t="s">
        <v>744</v>
      </c>
      <c r="G1021" s="66" t="s">
        <v>964</v>
      </c>
      <c r="H1021" s="66" t="s">
        <v>804</v>
      </c>
      <c r="I1021" s="66" t="s">
        <v>164</v>
      </c>
      <c r="J1021" s="66" t="s">
        <v>217</v>
      </c>
      <c r="K1021" s="66" t="s">
        <v>747</v>
      </c>
      <c r="L1021" s="67">
        <v>8861970</v>
      </c>
      <c r="M1021" s="67">
        <v>0</v>
      </c>
      <c r="N1021" s="68">
        <f t="shared" si="68"/>
        <v>8861970</v>
      </c>
      <c r="O1021" s="69">
        <f t="shared" si="67"/>
        <v>8861970</v>
      </c>
      <c r="P1021" s="42" t="str">
        <f>IFERROR(VLOOKUP(J1021,'Mã NV'!$B:$C,2,0),"")</f>
        <v>XE01004</v>
      </c>
      <c r="Q1021" s="70" t="str">
        <f>IFERROR(VLOOKUP(I1021,'Mã NV'!$J:$K,2,0),"")</f>
        <v>6.5T</v>
      </c>
      <c r="S1021" s="44">
        <f t="shared" si="65"/>
        <v>443098.5</v>
      </c>
    </row>
    <row r="1022" customHeight="1" spans="1:19">
      <c r="A1022" s="63">
        <f t="shared" si="66"/>
        <v>1016</v>
      </c>
      <c r="B1022" s="64">
        <v>46170</v>
      </c>
      <c r="C1022" s="87"/>
      <c r="D1022" s="66" t="s">
        <v>49</v>
      </c>
      <c r="E1022" s="66" t="s">
        <v>49</v>
      </c>
      <c r="F1022" s="66" t="s">
        <v>744</v>
      </c>
      <c r="G1022" s="66" t="s">
        <v>964</v>
      </c>
      <c r="H1022" s="66" t="s">
        <v>777</v>
      </c>
      <c r="I1022" s="66" t="s">
        <v>51</v>
      </c>
      <c r="J1022" s="66" t="s">
        <v>128</v>
      </c>
      <c r="K1022" s="66" t="s">
        <v>747</v>
      </c>
      <c r="L1022" s="67">
        <v>5544412</v>
      </c>
      <c r="M1022" s="67">
        <v>0</v>
      </c>
      <c r="N1022" s="68">
        <f t="shared" si="68"/>
        <v>5544412</v>
      </c>
      <c r="O1022" s="69">
        <f t="shared" si="67"/>
        <v>5544412</v>
      </c>
      <c r="P1022" s="42" t="str">
        <f>IFERROR(VLOOKUP(J1022,'Mã NV'!$B:$C,2,0),"")</f>
        <v>XE00953</v>
      </c>
      <c r="Q1022" s="70" t="str">
        <f>IFERROR(VLOOKUP(I1022,'Mã NV'!$J:$K,2,0),"")</f>
        <v>6.5T</v>
      </c>
      <c r="S1022" s="44">
        <f t="shared" si="65"/>
        <v>277220.6</v>
      </c>
    </row>
    <row r="1023" customHeight="1" spans="1:19">
      <c r="A1023" s="63">
        <f t="shared" si="66"/>
        <v>1017</v>
      </c>
      <c r="B1023" s="64">
        <v>46171</v>
      </c>
      <c r="C1023" s="87"/>
      <c r="D1023" s="66" t="s">
        <v>49</v>
      </c>
      <c r="E1023" s="66" t="s">
        <v>49</v>
      </c>
      <c r="F1023" s="66" t="s">
        <v>744</v>
      </c>
      <c r="G1023" s="66" t="s">
        <v>964</v>
      </c>
      <c r="H1023" s="66" t="s">
        <v>750</v>
      </c>
      <c r="I1023" s="66" t="s">
        <v>127</v>
      </c>
      <c r="J1023" s="66" t="s">
        <v>125</v>
      </c>
      <c r="K1023" s="66" t="s">
        <v>747</v>
      </c>
      <c r="L1023" s="67">
        <v>2000000</v>
      </c>
      <c r="M1023" s="67">
        <v>0</v>
      </c>
      <c r="N1023" s="68">
        <f t="shared" si="68"/>
        <v>2000000</v>
      </c>
      <c r="O1023" s="69">
        <f t="shared" si="67"/>
        <v>2000000</v>
      </c>
      <c r="P1023" s="42" t="str">
        <f>IFERROR(VLOOKUP(J1023,'Mã NV'!$B:$C,2,0),"")</f>
        <v>XE00547</v>
      </c>
      <c r="Q1023" s="70" t="str">
        <f>IFERROR(VLOOKUP(I1023,'Mã NV'!$J:$K,2,0),"")</f>
        <v>8T</v>
      </c>
      <c r="S1023" s="44">
        <f t="shared" si="65"/>
        <v>100000</v>
      </c>
    </row>
    <row r="1024" customHeight="1" spans="1:19">
      <c r="A1024" s="63">
        <f t="shared" si="66"/>
        <v>1018</v>
      </c>
      <c r="B1024" s="64">
        <v>46171</v>
      </c>
      <c r="C1024" s="87"/>
      <c r="D1024" s="66" t="s">
        <v>49</v>
      </c>
      <c r="E1024" s="66" t="s">
        <v>49</v>
      </c>
      <c r="F1024" s="66" t="s">
        <v>744</v>
      </c>
      <c r="G1024" s="66" t="s">
        <v>964</v>
      </c>
      <c r="H1024" s="66" t="s">
        <v>968</v>
      </c>
      <c r="I1024" s="66" t="s">
        <v>48</v>
      </c>
      <c r="J1024" s="66" t="s">
        <v>324</v>
      </c>
      <c r="K1024" s="66" t="s">
        <v>747</v>
      </c>
      <c r="L1024" s="67">
        <v>4090140</v>
      </c>
      <c r="M1024" s="67">
        <v>0</v>
      </c>
      <c r="N1024" s="68">
        <f t="shared" si="68"/>
        <v>4090140</v>
      </c>
      <c r="O1024" s="69">
        <f t="shared" si="67"/>
        <v>4090140</v>
      </c>
      <c r="P1024" s="42" t="str">
        <f>IFERROR(VLOOKUP(J1024,'Mã NV'!$B:$C,2,0),"")</f>
        <v>XE01620</v>
      </c>
      <c r="Q1024" s="70" t="str">
        <f>IFERROR(VLOOKUP(I1024,'Mã NV'!$J:$K,2,0),"")</f>
        <v>6.5T</v>
      </c>
      <c r="S1024" s="44">
        <f t="shared" si="65"/>
        <v>204507</v>
      </c>
    </row>
    <row r="1025" customHeight="1" spans="1:19">
      <c r="A1025" s="63">
        <f t="shared" si="66"/>
        <v>1019</v>
      </c>
      <c r="B1025" s="64">
        <v>46171</v>
      </c>
      <c r="C1025" s="87"/>
      <c r="D1025" s="66" t="s">
        <v>49</v>
      </c>
      <c r="E1025" s="66" t="s">
        <v>49</v>
      </c>
      <c r="F1025" s="66" t="s">
        <v>744</v>
      </c>
      <c r="G1025" s="66" t="s">
        <v>964</v>
      </c>
      <c r="H1025" s="66" t="s">
        <v>750</v>
      </c>
      <c r="I1025" s="66" t="s">
        <v>133</v>
      </c>
      <c r="J1025" s="66" t="s">
        <v>347</v>
      </c>
      <c r="K1025" s="66" t="s">
        <v>747</v>
      </c>
      <c r="L1025" s="67">
        <v>760000</v>
      </c>
      <c r="M1025" s="67">
        <v>0</v>
      </c>
      <c r="N1025" s="68">
        <f t="shared" si="68"/>
        <v>760000</v>
      </c>
      <c r="O1025" s="69">
        <f t="shared" si="67"/>
        <v>760000</v>
      </c>
      <c r="P1025" s="42" t="str">
        <f>IFERROR(VLOOKUP(J1025,'Mã NV'!$B:$C,2,0),"")</f>
        <v>XE01653</v>
      </c>
      <c r="Q1025" s="70" t="str">
        <f>IFERROR(VLOOKUP(I1025,'Mã NV'!$J:$K,2,0),"")</f>
        <v>2.5T</v>
      </c>
      <c r="S1025" s="44">
        <f t="shared" si="65"/>
        <v>38000</v>
      </c>
    </row>
    <row r="1026" customHeight="1" spans="1:19">
      <c r="A1026" s="63">
        <f t="shared" si="66"/>
        <v>1020</v>
      </c>
      <c r="B1026" s="64">
        <v>46171</v>
      </c>
      <c r="C1026" s="87"/>
      <c r="D1026" s="66" t="s">
        <v>49</v>
      </c>
      <c r="E1026" s="66" t="s">
        <v>49</v>
      </c>
      <c r="F1026" s="66" t="s">
        <v>744</v>
      </c>
      <c r="G1026" s="66" t="s">
        <v>964</v>
      </c>
      <c r="H1026" s="66" t="s">
        <v>981</v>
      </c>
      <c r="I1026" s="66" t="s">
        <v>134</v>
      </c>
      <c r="J1026" s="66" t="s">
        <v>359</v>
      </c>
      <c r="K1026" s="66" t="s">
        <v>747</v>
      </c>
      <c r="L1026" s="67">
        <v>1060000</v>
      </c>
      <c r="M1026" s="67"/>
      <c r="N1026" s="68">
        <f t="shared" si="68"/>
        <v>1060000</v>
      </c>
      <c r="O1026" s="69">
        <f t="shared" si="67"/>
        <v>1060000</v>
      </c>
      <c r="P1026" s="42" t="str">
        <f>IFERROR(VLOOKUP(J1026,'Mã NV'!$B:$C,2,0),"")</f>
        <v>XE01639</v>
      </c>
      <c r="Q1026" s="70" t="str">
        <f>IFERROR(VLOOKUP(I1026,'Mã NV'!$J:$K,2,0),"")</f>
        <v>2.5T Lạnh</v>
      </c>
      <c r="S1026" s="44">
        <f t="shared" si="65"/>
        <v>53000</v>
      </c>
    </row>
    <row r="1027" customHeight="1" spans="1:19">
      <c r="A1027" s="63">
        <f t="shared" si="66"/>
        <v>1021</v>
      </c>
      <c r="B1027" s="64">
        <v>46171</v>
      </c>
      <c r="C1027" s="87"/>
      <c r="D1027" s="66" t="s">
        <v>49</v>
      </c>
      <c r="E1027" s="66" t="s">
        <v>49</v>
      </c>
      <c r="F1027" s="66" t="s">
        <v>744</v>
      </c>
      <c r="G1027" s="66" t="s">
        <v>964</v>
      </c>
      <c r="H1027" s="66" t="s">
        <v>804</v>
      </c>
      <c r="I1027" s="66" t="s">
        <v>81</v>
      </c>
      <c r="J1027" s="66" t="s">
        <v>79</v>
      </c>
      <c r="K1027" s="66" t="s">
        <v>747</v>
      </c>
      <c r="L1027" s="67">
        <v>7839435</v>
      </c>
      <c r="M1027" s="67">
        <v>0</v>
      </c>
      <c r="N1027" s="68">
        <f t="shared" si="68"/>
        <v>7839435</v>
      </c>
      <c r="O1027" s="69">
        <f t="shared" si="67"/>
        <v>7839435</v>
      </c>
      <c r="P1027" s="42" t="str">
        <f>IFERROR(VLOOKUP(J1027,'Mã NV'!$B:$C,2,0),"")</f>
        <v>XE00777</v>
      </c>
      <c r="Q1027" s="70" t="str">
        <f>IFERROR(VLOOKUP(I1027,'Mã NV'!$J:$K,2,0),"")</f>
        <v>6.5T</v>
      </c>
      <c r="S1027" s="44">
        <f t="shared" si="65"/>
        <v>391971.75</v>
      </c>
    </row>
    <row r="1028" customHeight="1" spans="1:19">
      <c r="A1028" s="63">
        <f t="shared" si="66"/>
        <v>1022</v>
      </c>
      <c r="B1028" s="64">
        <v>46171</v>
      </c>
      <c r="C1028" s="87"/>
      <c r="D1028" s="66" t="s">
        <v>49</v>
      </c>
      <c r="E1028" s="66" t="s">
        <v>49</v>
      </c>
      <c r="F1028" s="66" t="s">
        <v>744</v>
      </c>
      <c r="G1028" s="66" t="s">
        <v>964</v>
      </c>
      <c r="H1028" s="66" t="s">
        <v>759</v>
      </c>
      <c r="I1028" s="66" t="s">
        <v>84</v>
      </c>
      <c r="J1028" s="66" t="s">
        <v>82</v>
      </c>
      <c r="K1028" s="66" t="s">
        <v>747</v>
      </c>
      <c r="L1028" s="67">
        <v>3453896</v>
      </c>
      <c r="M1028" s="67">
        <v>0</v>
      </c>
      <c r="N1028" s="68">
        <f t="shared" si="68"/>
        <v>3453896</v>
      </c>
      <c r="O1028" s="69">
        <f t="shared" si="67"/>
        <v>3453896</v>
      </c>
      <c r="P1028" s="42" t="str">
        <f>IFERROR(VLOOKUP(J1028,'Mã NV'!$B:$C,2,0),"")</f>
        <v>XE00832</v>
      </c>
      <c r="Q1028" s="70" t="str">
        <f>IFERROR(VLOOKUP(I1028,'Mã NV'!$J:$K,2,0),"")</f>
        <v>6.5T</v>
      </c>
      <c r="S1028" s="44">
        <f t="shared" ref="S1028:S1038" si="69">L1028*5%</f>
        <v>172694.8</v>
      </c>
    </row>
    <row r="1029" customHeight="1" spans="1:19">
      <c r="A1029" s="63">
        <f t="shared" si="66"/>
        <v>1023</v>
      </c>
      <c r="B1029" s="64">
        <v>46172</v>
      </c>
      <c r="C1029" s="87"/>
      <c r="D1029" s="66" t="s">
        <v>49</v>
      </c>
      <c r="E1029" s="66" t="s">
        <v>49</v>
      </c>
      <c r="F1029" s="66" t="s">
        <v>744</v>
      </c>
      <c r="G1029" s="66" t="s">
        <v>964</v>
      </c>
      <c r="H1029" s="66" t="s">
        <v>967</v>
      </c>
      <c r="I1029" s="66" t="s">
        <v>48</v>
      </c>
      <c r="J1029" s="66" t="s">
        <v>162</v>
      </c>
      <c r="K1029" s="66" t="s">
        <v>747</v>
      </c>
      <c r="L1029" s="67">
        <v>4476431</v>
      </c>
      <c r="M1029" s="67">
        <v>0</v>
      </c>
      <c r="N1029" s="68">
        <f t="shared" si="68"/>
        <v>4476431</v>
      </c>
      <c r="O1029" s="69">
        <f t="shared" si="67"/>
        <v>4476431</v>
      </c>
      <c r="P1029" s="42" t="str">
        <f>IFERROR(VLOOKUP(J1029,'Mã NV'!$B:$C,2,0),"")</f>
        <v>XE00779</v>
      </c>
      <c r="Q1029" s="70" t="str">
        <f>IFERROR(VLOOKUP(I1029,'Mã NV'!$J:$K,2,0),"")</f>
        <v>6.5T</v>
      </c>
      <c r="S1029" s="44">
        <f t="shared" si="69"/>
        <v>223821.55</v>
      </c>
    </row>
    <row r="1030" customHeight="1" spans="1:19">
      <c r="A1030" s="63">
        <f t="shared" si="66"/>
        <v>1024</v>
      </c>
      <c r="B1030" s="64">
        <v>46172</v>
      </c>
      <c r="C1030" s="87"/>
      <c r="D1030" s="66" t="s">
        <v>49</v>
      </c>
      <c r="E1030" s="66" t="s">
        <v>49</v>
      </c>
      <c r="F1030" s="66" t="s">
        <v>744</v>
      </c>
      <c r="G1030" s="66" t="s">
        <v>964</v>
      </c>
      <c r="H1030" s="66" t="s">
        <v>774</v>
      </c>
      <c r="I1030" s="66" t="s">
        <v>51</v>
      </c>
      <c r="J1030" s="66" t="s">
        <v>128</v>
      </c>
      <c r="K1030" s="66" t="s">
        <v>747</v>
      </c>
      <c r="L1030" s="67">
        <v>3272112</v>
      </c>
      <c r="M1030" s="67">
        <v>0</v>
      </c>
      <c r="N1030" s="68">
        <f t="shared" si="68"/>
        <v>3272112</v>
      </c>
      <c r="O1030" s="69">
        <f t="shared" si="67"/>
        <v>3272112</v>
      </c>
      <c r="P1030" s="42" t="str">
        <f>IFERROR(VLOOKUP(J1030,'Mã NV'!$B:$C,2,0),"")</f>
        <v>XE00953</v>
      </c>
      <c r="Q1030" s="70" t="str">
        <f>IFERROR(VLOOKUP(I1030,'Mã NV'!$J:$K,2,0),"")</f>
        <v>6.5T</v>
      </c>
      <c r="S1030" s="44">
        <f t="shared" si="69"/>
        <v>163605.6</v>
      </c>
    </row>
    <row r="1031" customHeight="1" spans="1:19">
      <c r="A1031" s="63">
        <f t="shared" si="66"/>
        <v>1025</v>
      </c>
      <c r="B1031" s="64">
        <v>46172</v>
      </c>
      <c r="C1031" s="87"/>
      <c r="D1031" s="66" t="s">
        <v>49</v>
      </c>
      <c r="E1031" s="66" t="s">
        <v>49</v>
      </c>
      <c r="F1031" s="66" t="s">
        <v>744</v>
      </c>
      <c r="G1031" s="66" t="s">
        <v>964</v>
      </c>
      <c r="H1031" s="66" t="s">
        <v>981</v>
      </c>
      <c r="I1031" s="66" t="s">
        <v>133</v>
      </c>
      <c r="J1031" s="66" t="s">
        <v>347</v>
      </c>
      <c r="K1031" s="66" t="s">
        <v>747</v>
      </c>
      <c r="L1031" s="67">
        <v>1250000</v>
      </c>
      <c r="M1031" s="67"/>
      <c r="N1031" s="68">
        <f t="shared" si="68"/>
        <v>1250000</v>
      </c>
      <c r="O1031" s="69">
        <f t="shared" si="67"/>
        <v>1250000</v>
      </c>
      <c r="P1031" s="42" t="str">
        <f>IFERROR(VLOOKUP(J1031,'Mã NV'!$B:$C,2,0),"")</f>
        <v>XE01653</v>
      </c>
      <c r="Q1031" s="70" t="str">
        <f>IFERROR(VLOOKUP(I1031,'Mã NV'!$J:$K,2,0),"")</f>
        <v>2.5T</v>
      </c>
      <c r="S1031" s="44">
        <f t="shared" si="69"/>
        <v>62500</v>
      </c>
    </row>
    <row r="1032" customHeight="1" spans="1:19">
      <c r="A1032" s="63">
        <f t="shared" si="66"/>
        <v>1026</v>
      </c>
      <c r="B1032" s="64">
        <v>46172</v>
      </c>
      <c r="C1032" s="87"/>
      <c r="D1032" s="66" t="s">
        <v>49</v>
      </c>
      <c r="E1032" s="66" t="s">
        <v>49</v>
      </c>
      <c r="F1032" s="66" t="s">
        <v>744</v>
      </c>
      <c r="G1032" s="66" t="s">
        <v>964</v>
      </c>
      <c r="H1032" s="66" t="s">
        <v>982</v>
      </c>
      <c r="I1032" s="66" t="s">
        <v>130</v>
      </c>
      <c r="J1032" s="66" t="s">
        <v>131</v>
      </c>
      <c r="K1032" s="66" t="s">
        <v>747</v>
      </c>
      <c r="L1032" s="67">
        <v>1550000</v>
      </c>
      <c r="M1032" s="67">
        <v>0</v>
      </c>
      <c r="N1032" s="68">
        <f t="shared" si="68"/>
        <v>1550000</v>
      </c>
      <c r="O1032" s="69">
        <f t="shared" si="67"/>
        <v>1550000</v>
      </c>
      <c r="P1032" s="42" t="str">
        <f>IFERROR(VLOOKUP(J1032,'Mã NV'!$B:$C,2,0),"")</f>
        <v>XE00847</v>
      </c>
      <c r="Q1032" s="70" t="str">
        <f>IFERROR(VLOOKUP(I1032,'Mã NV'!$J:$K,2,0),"")</f>
        <v>8T</v>
      </c>
      <c r="S1032" s="44">
        <f t="shared" si="69"/>
        <v>77500</v>
      </c>
    </row>
    <row r="1033" customHeight="1" spans="1:19">
      <c r="A1033" s="63">
        <f t="shared" si="66"/>
        <v>1027</v>
      </c>
      <c r="B1033" s="64">
        <v>46172</v>
      </c>
      <c r="C1033" s="87"/>
      <c r="D1033" s="66" t="s">
        <v>49</v>
      </c>
      <c r="E1033" s="66" t="s">
        <v>49</v>
      </c>
      <c r="F1033" s="66" t="s">
        <v>744</v>
      </c>
      <c r="G1033" s="66" t="s">
        <v>964</v>
      </c>
      <c r="H1033" s="66" t="s">
        <v>972</v>
      </c>
      <c r="I1033" s="66" t="s">
        <v>164</v>
      </c>
      <c r="J1033" s="66" t="s">
        <v>217</v>
      </c>
      <c r="K1033" s="66" t="s">
        <v>747</v>
      </c>
      <c r="L1033" s="67">
        <v>2885821</v>
      </c>
      <c r="M1033" s="67">
        <v>0</v>
      </c>
      <c r="N1033" s="68">
        <f t="shared" si="68"/>
        <v>2885821</v>
      </c>
      <c r="O1033" s="69">
        <f t="shared" si="67"/>
        <v>2885821</v>
      </c>
      <c r="P1033" s="42" t="str">
        <f>IFERROR(VLOOKUP(J1033,'Mã NV'!$B:$C,2,0),"")</f>
        <v>XE01004</v>
      </c>
      <c r="Q1033" s="70" t="str">
        <f>IFERROR(VLOOKUP(I1033,'Mã NV'!$J:$K,2,0),"")</f>
        <v>6.5T</v>
      </c>
      <c r="S1033" s="44">
        <f t="shared" si="69"/>
        <v>144291.05</v>
      </c>
    </row>
    <row r="1034" customHeight="1" spans="1:19">
      <c r="A1034" s="63">
        <f t="shared" si="66"/>
        <v>1028</v>
      </c>
      <c r="B1034" s="64">
        <v>46173</v>
      </c>
      <c r="C1034" s="87"/>
      <c r="D1034" s="66" t="s">
        <v>49</v>
      </c>
      <c r="E1034" s="66" t="s">
        <v>49</v>
      </c>
      <c r="F1034" s="66" t="s">
        <v>744</v>
      </c>
      <c r="G1034" s="66" t="s">
        <v>964</v>
      </c>
      <c r="H1034" s="66" t="s">
        <v>970</v>
      </c>
      <c r="I1034" s="66" t="s">
        <v>48</v>
      </c>
      <c r="J1034" s="66" t="s">
        <v>324</v>
      </c>
      <c r="K1034" s="66" t="s">
        <v>747</v>
      </c>
      <c r="L1034" s="67">
        <v>5089952</v>
      </c>
      <c r="M1034" s="67">
        <v>0</v>
      </c>
      <c r="N1034" s="68">
        <f t="shared" si="68"/>
        <v>5089952</v>
      </c>
      <c r="O1034" s="69">
        <f t="shared" si="67"/>
        <v>5089952</v>
      </c>
      <c r="P1034" s="42" t="str">
        <f>IFERROR(VLOOKUP(J1034,'Mã NV'!$B:$C,2,0),"")</f>
        <v>XE01620</v>
      </c>
      <c r="Q1034" s="70" t="str">
        <f>IFERROR(VLOOKUP(I1034,'Mã NV'!$J:$K,2,0),"")</f>
        <v>6.5T</v>
      </c>
      <c r="S1034" s="44">
        <f t="shared" si="69"/>
        <v>254497.6</v>
      </c>
    </row>
    <row r="1035" customHeight="1" spans="1:19">
      <c r="A1035" s="63">
        <f t="shared" si="66"/>
        <v>1029</v>
      </c>
      <c r="B1035" s="64">
        <v>46173</v>
      </c>
      <c r="C1035" s="87"/>
      <c r="D1035" s="66" t="s">
        <v>49</v>
      </c>
      <c r="E1035" s="66" t="s">
        <v>49</v>
      </c>
      <c r="F1035" s="66" t="s">
        <v>744</v>
      </c>
      <c r="G1035" s="66" t="s">
        <v>964</v>
      </c>
      <c r="H1035" s="66" t="s">
        <v>979</v>
      </c>
      <c r="I1035" s="66" t="s">
        <v>84</v>
      </c>
      <c r="J1035" s="66" t="s">
        <v>82</v>
      </c>
      <c r="K1035" s="66" t="s">
        <v>747</v>
      </c>
      <c r="L1035" s="67">
        <v>3976525</v>
      </c>
      <c r="M1035" s="67">
        <v>0</v>
      </c>
      <c r="N1035" s="68">
        <f t="shared" si="68"/>
        <v>3976525</v>
      </c>
      <c r="O1035" s="69">
        <f t="shared" si="67"/>
        <v>3976525</v>
      </c>
      <c r="P1035" s="42" t="str">
        <f>IFERROR(VLOOKUP(J1035,'Mã NV'!$B:$C,2,0),"")</f>
        <v>XE00832</v>
      </c>
      <c r="Q1035" s="70" t="str">
        <f>IFERROR(VLOOKUP(I1035,'Mã NV'!$J:$K,2,0),"")</f>
        <v>6.5T</v>
      </c>
      <c r="S1035" s="44">
        <f t="shared" si="69"/>
        <v>198826.25</v>
      </c>
    </row>
    <row r="1036" customHeight="1" spans="1:19">
      <c r="A1036" s="63">
        <f t="shared" si="66"/>
        <v>1030</v>
      </c>
      <c r="B1036" s="64">
        <v>46173</v>
      </c>
      <c r="C1036" s="87"/>
      <c r="D1036" s="66" t="s">
        <v>49</v>
      </c>
      <c r="E1036" s="66" t="s">
        <v>49</v>
      </c>
      <c r="F1036" s="66" t="s">
        <v>744</v>
      </c>
      <c r="G1036" s="66" t="s">
        <v>964</v>
      </c>
      <c r="H1036" s="66" t="s">
        <v>759</v>
      </c>
      <c r="I1036" s="66" t="s">
        <v>81</v>
      </c>
      <c r="J1036" s="66" t="s">
        <v>79</v>
      </c>
      <c r="K1036" s="66" t="s">
        <v>747</v>
      </c>
      <c r="L1036" s="67">
        <v>3499342</v>
      </c>
      <c r="M1036" s="67">
        <v>0</v>
      </c>
      <c r="N1036" s="68">
        <f t="shared" si="68"/>
        <v>3499342</v>
      </c>
      <c r="O1036" s="69">
        <f t="shared" si="67"/>
        <v>3499342</v>
      </c>
      <c r="P1036" s="42" t="str">
        <f>IFERROR(VLOOKUP(J1036,'Mã NV'!$B:$C,2,0),"")</f>
        <v>XE00777</v>
      </c>
      <c r="Q1036" s="70" t="str">
        <f>IFERROR(VLOOKUP(I1036,'Mã NV'!$J:$K,2,0),"")</f>
        <v>6.5T</v>
      </c>
      <c r="S1036" s="44">
        <f t="shared" si="69"/>
        <v>174967.1</v>
      </c>
    </row>
    <row r="1037" customHeight="1" spans="1:19">
      <c r="A1037" s="63">
        <f t="shared" si="66"/>
        <v>1031</v>
      </c>
      <c r="B1037" s="64">
        <v>46173</v>
      </c>
      <c r="C1037" s="87"/>
      <c r="D1037" s="66" t="s">
        <v>49</v>
      </c>
      <c r="E1037" s="66" t="s">
        <v>49</v>
      </c>
      <c r="F1037" s="66" t="s">
        <v>744</v>
      </c>
      <c r="G1037" s="66" t="s">
        <v>964</v>
      </c>
      <c r="H1037" s="66" t="s">
        <v>983</v>
      </c>
      <c r="I1037" s="66" t="s">
        <v>136</v>
      </c>
      <c r="J1037" s="66" t="s">
        <v>361</v>
      </c>
      <c r="K1037" s="66" t="s">
        <v>747</v>
      </c>
      <c r="L1037" s="67">
        <v>2472774</v>
      </c>
      <c r="M1037" s="67">
        <v>0</v>
      </c>
      <c r="N1037" s="68">
        <f t="shared" si="68"/>
        <v>2472774</v>
      </c>
      <c r="O1037" s="69">
        <f t="shared" si="67"/>
        <v>2472774</v>
      </c>
      <c r="P1037" s="42" t="str">
        <f>IFERROR(VLOOKUP(J1037,'Mã NV'!$B:$C,2,0),"")</f>
        <v>XE01641</v>
      </c>
      <c r="Q1037" s="70" t="str">
        <f>IFERROR(VLOOKUP(I1037,'Mã NV'!$J:$K,2,0),"")</f>
        <v>6.5T</v>
      </c>
      <c r="S1037" s="44">
        <f t="shared" si="69"/>
        <v>123638.7</v>
      </c>
    </row>
    <row r="1038" customHeight="1" spans="1:19">
      <c r="A1038" s="63">
        <f t="shared" si="66"/>
        <v>1032</v>
      </c>
      <c r="B1038" s="64">
        <v>46173</v>
      </c>
      <c r="C1038" s="87"/>
      <c r="D1038" s="66" t="s">
        <v>49</v>
      </c>
      <c r="E1038" s="66" t="s">
        <v>49</v>
      </c>
      <c r="F1038" s="66" t="s">
        <v>744</v>
      </c>
      <c r="G1038" s="66" t="s">
        <v>964</v>
      </c>
      <c r="H1038" s="66" t="s">
        <v>804</v>
      </c>
      <c r="I1038" s="66" t="s">
        <v>51</v>
      </c>
      <c r="J1038" s="66" t="s">
        <v>46</v>
      </c>
      <c r="K1038" s="66" t="s">
        <v>747</v>
      </c>
      <c r="L1038" s="67">
        <v>7248637</v>
      </c>
      <c r="M1038" s="67">
        <v>0</v>
      </c>
      <c r="N1038" s="68">
        <f t="shared" si="68"/>
        <v>7248637</v>
      </c>
      <c r="O1038" s="69">
        <f t="shared" si="67"/>
        <v>7248637</v>
      </c>
      <c r="P1038" s="42" t="str">
        <f>IFERROR(VLOOKUP(J1038,'Mã NV'!$B:$C,2,0),"")</f>
        <v>XE00900</v>
      </c>
      <c r="Q1038" s="70" t="str">
        <f>IFERROR(VLOOKUP(I1038,'Mã NV'!$J:$K,2,0),"")</f>
        <v>6.5T</v>
      </c>
      <c r="S1038" s="44">
        <f t="shared" si="69"/>
        <v>362431.85</v>
      </c>
    </row>
    <row r="1039" customHeight="1" spans="1:19">
      <c r="A1039" s="63">
        <f t="shared" ref="A1039:A1102" si="70">A1038+1</f>
        <v>1033</v>
      </c>
      <c r="B1039" s="64">
        <v>46148</v>
      </c>
      <c r="C1039" s="87"/>
      <c r="D1039" s="66" t="s">
        <v>9</v>
      </c>
      <c r="E1039" s="66" t="s">
        <v>9</v>
      </c>
      <c r="F1039" s="66" t="s">
        <v>744</v>
      </c>
      <c r="G1039" s="66" t="s">
        <v>745</v>
      </c>
      <c r="H1039" s="66" t="s">
        <v>984</v>
      </c>
      <c r="I1039" s="66" t="s">
        <v>161</v>
      </c>
      <c r="J1039" s="66" t="s">
        <v>159</v>
      </c>
      <c r="K1039" s="66" t="s">
        <v>747</v>
      </c>
      <c r="L1039" s="67">
        <v>6642000</v>
      </c>
      <c r="M1039" s="67">
        <v>0</v>
      </c>
      <c r="N1039" s="68">
        <f t="shared" si="68"/>
        <v>6642000</v>
      </c>
      <c r="O1039" s="69">
        <f t="shared" si="67"/>
        <v>6642000</v>
      </c>
      <c r="P1039" s="42" t="str">
        <f>IFERROR(VLOOKUP(J1039,'Mã NV'!$B:$C,2,0),"")</f>
        <v>XE01005</v>
      </c>
      <c r="Q1039" s="70" t="str">
        <f>IFERROR(VLOOKUP(I1039,'Mã NV'!$J:$K,2,0),"")</f>
        <v>8T</v>
      </c>
    </row>
    <row r="1040" customHeight="1" spans="1:19">
      <c r="A1040" s="63">
        <f t="shared" si="70"/>
        <v>1034</v>
      </c>
      <c r="B1040" s="64">
        <v>46148</v>
      </c>
      <c r="C1040" s="87"/>
      <c r="D1040" s="66" t="s">
        <v>9</v>
      </c>
      <c r="E1040" s="66" t="s">
        <v>9</v>
      </c>
      <c r="F1040" s="66" t="s">
        <v>744</v>
      </c>
      <c r="G1040" s="66" t="s">
        <v>745</v>
      </c>
      <c r="H1040" s="66" t="s">
        <v>984</v>
      </c>
      <c r="I1040" s="66" t="s">
        <v>161</v>
      </c>
      <c r="J1040" s="66" t="s">
        <v>225</v>
      </c>
      <c r="K1040" s="66" t="s">
        <v>747</v>
      </c>
      <c r="L1040" s="67">
        <v>6642000</v>
      </c>
      <c r="M1040" s="67">
        <v>0</v>
      </c>
      <c r="N1040" s="68">
        <f t="shared" si="68"/>
        <v>6642000</v>
      </c>
      <c r="O1040" s="69">
        <f t="shared" si="67"/>
        <v>6642000</v>
      </c>
      <c r="P1040" s="42" t="str">
        <f>IFERROR(VLOOKUP(J1040,'Mã NV'!$B:$C,2,0),"")</f>
        <v>XE01164</v>
      </c>
      <c r="Q1040" s="70" t="str">
        <f>IFERROR(VLOOKUP(I1040,'Mã NV'!$J:$K,2,0),"")</f>
        <v>8T</v>
      </c>
    </row>
    <row r="1041" customHeight="1" spans="1:19">
      <c r="A1041" s="63">
        <f t="shared" si="70"/>
        <v>1035</v>
      </c>
      <c r="B1041" s="64">
        <v>46153</v>
      </c>
      <c r="C1041" s="87"/>
      <c r="D1041" s="66" t="s">
        <v>9</v>
      </c>
      <c r="E1041" s="66" t="s">
        <v>9</v>
      </c>
      <c r="F1041" s="66" t="s">
        <v>744</v>
      </c>
      <c r="G1041" s="66" t="s">
        <v>745</v>
      </c>
      <c r="H1041" s="66" t="s">
        <v>822</v>
      </c>
      <c r="I1041" s="66" t="s">
        <v>8</v>
      </c>
      <c r="J1041" s="66" t="s">
        <v>6</v>
      </c>
      <c r="K1041" s="66" t="s">
        <v>747</v>
      </c>
      <c r="L1041" s="67">
        <v>5184000</v>
      </c>
      <c r="M1041" s="67">
        <v>540000</v>
      </c>
      <c r="N1041" s="68">
        <f t="shared" si="68"/>
        <v>4644000</v>
      </c>
      <c r="O1041" s="69">
        <f t="shared" si="67"/>
        <v>4644000</v>
      </c>
      <c r="P1041" s="42" t="str">
        <f>IFERROR(VLOOKUP(J1041,'Mã NV'!$B:$C,2,0),"")</f>
        <v>XE01420</v>
      </c>
      <c r="Q1041" s="70" t="str">
        <f>IFERROR(VLOOKUP(I1041,'Mã NV'!$J:$K,2,0),"")</f>
        <v>5.5T</v>
      </c>
    </row>
    <row r="1042" customHeight="1" spans="1:19">
      <c r="A1042" s="63">
        <f t="shared" si="70"/>
        <v>1036</v>
      </c>
      <c r="B1042" s="64">
        <v>46144</v>
      </c>
      <c r="C1042" s="87"/>
      <c r="D1042" s="66" t="s">
        <v>155</v>
      </c>
      <c r="E1042" s="66" t="s">
        <v>155</v>
      </c>
      <c r="F1042" s="66" t="s">
        <v>985</v>
      </c>
      <c r="G1042" s="66" t="s">
        <v>754</v>
      </c>
      <c r="H1042" s="66" t="s">
        <v>986</v>
      </c>
      <c r="I1042" s="66" t="s">
        <v>154</v>
      </c>
      <c r="J1042" s="66" t="s">
        <v>152</v>
      </c>
      <c r="K1042" s="66" t="s">
        <v>747</v>
      </c>
      <c r="L1042" s="67">
        <v>2788000</v>
      </c>
      <c r="M1042" s="67">
        <v>0</v>
      </c>
      <c r="N1042" s="68">
        <f t="shared" si="68"/>
        <v>2788000</v>
      </c>
      <c r="O1042" s="69">
        <f t="shared" si="67"/>
        <v>2788000</v>
      </c>
      <c r="P1042" s="42" t="str">
        <f>IFERROR(VLOOKUP(J1042,'Mã NV'!$B:$C,2,0),"")</f>
        <v>XE00730</v>
      </c>
      <c r="Q1042" s="70" t="str">
        <f>IFERROR(VLOOKUP(I1042,'Mã NV'!$J:$K,2,0),"")</f>
        <v> 3T5 Lạnh </v>
      </c>
      <c r="S1042" s="44">
        <f>L1042*3%</f>
        <v>83640</v>
      </c>
    </row>
    <row r="1043" customHeight="1" spans="1:19">
      <c r="A1043" s="63">
        <f t="shared" si="70"/>
        <v>1037</v>
      </c>
      <c r="B1043" s="64">
        <v>46144</v>
      </c>
      <c r="C1043" s="87"/>
      <c r="D1043" s="66" t="s">
        <v>155</v>
      </c>
      <c r="E1043" s="66" t="s">
        <v>155</v>
      </c>
      <c r="F1043" s="66" t="s">
        <v>985</v>
      </c>
      <c r="G1043" s="66" t="s">
        <v>754</v>
      </c>
      <c r="H1043" s="66" t="s">
        <v>987</v>
      </c>
      <c r="I1043" s="66" t="s">
        <v>358</v>
      </c>
      <c r="J1043" s="66" t="s">
        <v>356</v>
      </c>
      <c r="K1043" s="66" t="s">
        <v>747</v>
      </c>
      <c r="L1043" s="67">
        <v>2490000</v>
      </c>
      <c r="M1043" s="67">
        <v>0</v>
      </c>
      <c r="N1043" s="68">
        <f t="shared" si="68"/>
        <v>2490000</v>
      </c>
      <c r="O1043" s="69">
        <f t="shared" si="67"/>
        <v>2490000</v>
      </c>
      <c r="P1043" s="42" t="str">
        <f>IFERROR(VLOOKUP(J1043,'Mã NV'!$B:$C,2,0),"")</f>
        <v>XE01616</v>
      </c>
      <c r="Q1043" s="70" t="str">
        <f>IFERROR(VLOOKUP(I1043,'Mã NV'!$J:$K,2,0),"")</f>
        <v>2.5T Lạnh</v>
      </c>
      <c r="S1043" s="44">
        <f t="shared" ref="S1043:S1106" si="71">L1043*3%</f>
        <v>74700</v>
      </c>
    </row>
    <row r="1044" customHeight="1" spans="1:19">
      <c r="A1044" s="63">
        <f t="shared" si="70"/>
        <v>1038</v>
      </c>
      <c r="B1044" s="64">
        <v>46144</v>
      </c>
      <c r="C1044" s="87"/>
      <c r="D1044" s="66" t="s">
        <v>155</v>
      </c>
      <c r="E1044" s="66" t="s">
        <v>155</v>
      </c>
      <c r="F1044" s="66" t="s">
        <v>985</v>
      </c>
      <c r="G1044" s="66" t="s">
        <v>754</v>
      </c>
      <c r="H1044" s="66" t="s">
        <v>820</v>
      </c>
      <c r="I1044" s="66" t="s">
        <v>214</v>
      </c>
      <c r="J1044" s="66" t="s">
        <v>212</v>
      </c>
      <c r="K1044" s="66" t="s">
        <v>747</v>
      </c>
      <c r="L1044" s="67">
        <v>2123000</v>
      </c>
      <c r="M1044" s="67">
        <v>0</v>
      </c>
      <c r="N1044" s="68">
        <f t="shared" si="68"/>
        <v>2123000</v>
      </c>
      <c r="O1044" s="69">
        <f t="shared" si="67"/>
        <v>2123000</v>
      </c>
      <c r="P1044" s="42" t="str">
        <f>IFERROR(VLOOKUP(J1044,'Mã NV'!$B:$C,2,0),"")</f>
        <v>XE00977</v>
      </c>
      <c r="Q1044" s="70" t="str">
        <f>IFERROR(VLOOKUP(I1044,'Mã NV'!$J:$K,2,0),"")</f>
        <v>2T5 Lạnh </v>
      </c>
      <c r="S1044" s="44">
        <f t="shared" si="71"/>
        <v>63690</v>
      </c>
    </row>
    <row r="1045" customHeight="1" spans="1:19">
      <c r="A1045" s="63">
        <f t="shared" si="70"/>
        <v>1039</v>
      </c>
      <c r="B1045" s="64">
        <v>46146</v>
      </c>
      <c r="C1045" s="87"/>
      <c r="D1045" s="66" t="s">
        <v>155</v>
      </c>
      <c r="E1045" s="66" t="s">
        <v>155</v>
      </c>
      <c r="F1045" s="66" t="s">
        <v>985</v>
      </c>
      <c r="G1045" s="66" t="s">
        <v>754</v>
      </c>
      <c r="H1045" s="66" t="s">
        <v>988</v>
      </c>
      <c r="I1045" s="66" t="s">
        <v>214</v>
      </c>
      <c r="J1045" s="66" t="s">
        <v>212</v>
      </c>
      <c r="K1045" s="66" t="s">
        <v>747</v>
      </c>
      <c r="L1045" s="67">
        <v>1898000</v>
      </c>
      <c r="M1045" s="67">
        <v>0</v>
      </c>
      <c r="N1045" s="68">
        <f t="shared" si="68"/>
        <v>1898000</v>
      </c>
      <c r="O1045" s="69">
        <f t="shared" si="67"/>
        <v>1898000</v>
      </c>
      <c r="P1045" s="42" t="str">
        <f>IFERROR(VLOOKUP(J1045,'Mã NV'!$B:$C,2,0),"")</f>
        <v>XE00977</v>
      </c>
      <c r="Q1045" s="70" t="str">
        <f>IFERROR(VLOOKUP(I1045,'Mã NV'!$J:$K,2,0),"")</f>
        <v>2T5 Lạnh </v>
      </c>
      <c r="S1045" s="44">
        <f t="shared" si="71"/>
        <v>56940</v>
      </c>
    </row>
    <row r="1046" customHeight="1" spans="1:19">
      <c r="A1046" s="63">
        <f t="shared" si="70"/>
        <v>1040</v>
      </c>
      <c r="B1046" s="64">
        <v>46146</v>
      </c>
      <c r="C1046" s="87"/>
      <c r="D1046" s="66" t="s">
        <v>155</v>
      </c>
      <c r="E1046" s="66" t="s">
        <v>155</v>
      </c>
      <c r="F1046" s="66" t="s">
        <v>985</v>
      </c>
      <c r="G1046" s="66" t="s">
        <v>754</v>
      </c>
      <c r="H1046" s="66" t="s">
        <v>989</v>
      </c>
      <c r="I1046" s="66" t="s">
        <v>177</v>
      </c>
      <c r="J1046" s="66" t="s">
        <v>174</v>
      </c>
      <c r="K1046" s="66" t="s">
        <v>747</v>
      </c>
      <c r="L1046" s="67">
        <v>1482000</v>
      </c>
      <c r="M1046" s="67">
        <v>0</v>
      </c>
      <c r="N1046" s="68">
        <f t="shared" si="68"/>
        <v>1482000</v>
      </c>
      <c r="O1046" s="69">
        <f t="shared" si="67"/>
        <v>1482000</v>
      </c>
      <c r="P1046" s="42" t="str">
        <f>IFERROR(VLOOKUP(J1046,'Mã NV'!$B:$C,2,0),"")</f>
        <v>XE00975</v>
      </c>
      <c r="Q1046" s="70" t="str">
        <f>IFERROR(VLOOKUP(I1046,'Mã NV'!$J:$K,2,0),"")</f>
        <v>2.5T Lạnh</v>
      </c>
      <c r="S1046" s="44">
        <f t="shared" si="71"/>
        <v>44460</v>
      </c>
    </row>
    <row r="1047" customHeight="1" spans="1:19">
      <c r="A1047" s="63">
        <f t="shared" si="70"/>
        <v>1041</v>
      </c>
      <c r="B1047" s="64">
        <v>46146</v>
      </c>
      <c r="C1047" s="87"/>
      <c r="D1047" s="66" t="s">
        <v>155</v>
      </c>
      <c r="E1047" s="66" t="s">
        <v>155</v>
      </c>
      <c r="F1047" s="66" t="s">
        <v>985</v>
      </c>
      <c r="G1047" s="66" t="s">
        <v>754</v>
      </c>
      <c r="H1047" s="66" t="s">
        <v>761</v>
      </c>
      <c r="I1047" s="66" t="s">
        <v>358</v>
      </c>
      <c r="J1047" s="66" t="s">
        <v>356</v>
      </c>
      <c r="K1047" s="66" t="s">
        <v>747</v>
      </c>
      <c r="L1047" s="67">
        <v>1365000</v>
      </c>
      <c r="M1047" s="67">
        <v>0</v>
      </c>
      <c r="N1047" s="68">
        <f t="shared" si="68"/>
        <v>1365000</v>
      </c>
      <c r="O1047" s="69">
        <f t="shared" si="67"/>
        <v>1365000</v>
      </c>
      <c r="P1047" s="42" t="str">
        <f>IFERROR(VLOOKUP(J1047,'Mã NV'!$B:$C,2,0),"")</f>
        <v>XE01616</v>
      </c>
      <c r="Q1047" s="70" t="str">
        <f>IFERROR(VLOOKUP(I1047,'Mã NV'!$J:$K,2,0),"")</f>
        <v>2.5T Lạnh</v>
      </c>
      <c r="S1047" s="44">
        <f t="shared" si="71"/>
        <v>40950</v>
      </c>
    </row>
    <row r="1048" customHeight="1" spans="1:19">
      <c r="A1048" s="63">
        <f t="shared" si="70"/>
        <v>1042</v>
      </c>
      <c r="B1048" s="64">
        <v>46146</v>
      </c>
      <c r="C1048" s="87"/>
      <c r="D1048" s="66" t="s">
        <v>155</v>
      </c>
      <c r="E1048" s="66" t="s">
        <v>155</v>
      </c>
      <c r="F1048" s="66" t="s">
        <v>985</v>
      </c>
      <c r="G1048" s="66" t="s">
        <v>754</v>
      </c>
      <c r="H1048" s="66" t="s">
        <v>774</v>
      </c>
      <c r="I1048" s="66" t="s">
        <v>214</v>
      </c>
      <c r="J1048" s="66" t="s">
        <v>212</v>
      </c>
      <c r="K1048" s="66" t="s">
        <v>747</v>
      </c>
      <c r="L1048" s="67">
        <v>1873000</v>
      </c>
      <c r="M1048" s="67">
        <v>0</v>
      </c>
      <c r="N1048" s="68">
        <f t="shared" si="68"/>
        <v>1873000</v>
      </c>
      <c r="O1048" s="69">
        <f t="shared" si="67"/>
        <v>1873000</v>
      </c>
      <c r="P1048" s="42" t="str">
        <f>IFERROR(VLOOKUP(J1048,'Mã NV'!$B:$C,2,0),"")</f>
        <v>XE00977</v>
      </c>
      <c r="Q1048" s="70" t="str">
        <f>IFERROR(VLOOKUP(I1048,'Mã NV'!$J:$K,2,0),"")</f>
        <v>2T5 Lạnh </v>
      </c>
      <c r="S1048" s="44">
        <f t="shared" si="71"/>
        <v>56190</v>
      </c>
    </row>
    <row r="1049" customHeight="1" spans="1:19">
      <c r="A1049" s="63">
        <f t="shared" si="70"/>
        <v>1043</v>
      </c>
      <c r="B1049" s="64">
        <v>46147</v>
      </c>
      <c r="C1049" s="87"/>
      <c r="D1049" s="66" t="s">
        <v>155</v>
      </c>
      <c r="E1049" s="66" t="s">
        <v>155</v>
      </c>
      <c r="F1049" s="66" t="s">
        <v>985</v>
      </c>
      <c r="G1049" s="66" t="s">
        <v>754</v>
      </c>
      <c r="H1049" s="66" t="s">
        <v>989</v>
      </c>
      <c r="I1049" s="66" t="s">
        <v>358</v>
      </c>
      <c r="J1049" s="66" t="s">
        <v>356</v>
      </c>
      <c r="K1049" s="66" t="s">
        <v>747</v>
      </c>
      <c r="L1049" s="67">
        <v>1720000</v>
      </c>
      <c r="M1049" s="67">
        <v>0</v>
      </c>
      <c r="N1049" s="68">
        <f t="shared" si="68"/>
        <v>1720000</v>
      </c>
      <c r="O1049" s="69">
        <f t="shared" si="67"/>
        <v>1720000</v>
      </c>
      <c r="P1049" s="42" t="str">
        <f>IFERROR(VLOOKUP(J1049,'Mã NV'!$B:$C,2,0),"")</f>
        <v>XE01616</v>
      </c>
      <c r="Q1049" s="70" t="str">
        <f>IFERROR(VLOOKUP(I1049,'Mã NV'!$J:$K,2,0),"")</f>
        <v>2.5T Lạnh</v>
      </c>
      <c r="S1049" s="44">
        <f t="shared" si="71"/>
        <v>51600</v>
      </c>
    </row>
    <row r="1050" customHeight="1" spans="1:19">
      <c r="A1050" s="63">
        <f t="shared" si="70"/>
        <v>1044</v>
      </c>
      <c r="B1050" s="64">
        <v>46147</v>
      </c>
      <c r="C1050" s="87"/>
      <c r="D1050" s="66" t="s">
        <v>155</v>
      </c>
      <c r="E1050" s="66" t="s">
        <v>155</v>
      </c>
      <c r="F1050" s="66" t="s">
        <v>985</v>
      </c>
      <c r="G1050" s="66" t="s">
        <v>754</v>
      </c>
      <c r="H1050" s="66" t="s">
        <v>987</v>
      </c>
      <c r="I1050" s="66" t="s">
        <v>214</v>
      </c>
      <c r="J1050" s="66" t="s">
        <v>212</v>
      </c>
      <c r="K1050" s="66" t="s">
        <v>747</v>
      </c>
      <c r="L1050" s="67">
        <v>2490000</v>
      </c>
      <c r="M1050" s="67">
        <v>0</v>
      </c>
      <c r="N1050" s="68">
        <f t="shared" si="68"/>
        <v>2490000</v>
      </c>
      <c r="O1050" s="69">
        <f t="shared" si="67"/>
        <v>2490000</v>
      </c>
      <c r="P1050" s="42" t="str">
        <f>IFERROR(VLOOKUP(J1050,'Mã NV'!$B:$C,2,0),"")</f>
        <v>XE00977</v>
      </c>
      <c r="Q1050" s="70" t="str">
        <f>IFERROR(VLOOKUP(I1050,'Mã NV'!$J:$K,2,0),"")</f>
        <v>2T5 Lạnh </v>
      </c>
      <c r="S1050" s="44">
        <f t="shared" si="71"/>
        <v>74700</v>
      </c>
    </row>
    <row r="1051" customHeight="1" spans="1:19">
      <c r="A1051" s="63">
        <f t="shared" si="70"/>
        <v>1045</v>
      </c>
      <c r="B1051" s="64">
        <v>46147</v>
      </c>
      <c r="C1051" s="87"/>
      <c r="D1051" s="66" t="s">
        <v>155</v>
      </c>
      <c r="E1051" s="66" t="s">
        <v>155</v>
      </c>
      <c r="F1051" s="66" t="s">
        <v>985</v>
      </c>
      <c r="G1051" s="66" t="s">
        <v>754</v>
      </c>
      <c r="H1051" s="66" t="s">
        <v>986</v>
      </c>
      <c r="I1051" s="66" t="s">
        <v>154</v>
      </c>
      <c r="J1051" s="66" t="s">
        <v>152</v>
      </c>
      <c r="K1051" s="66" t="s">
        <v>747</v>
      </c>
      <c r="L1051" s="67">
        <v>2490000</v>
      </c>
      <c r="M1051" s="67">
        <v>0</v>
      </c>
      <c r="N1051" s="68">
        <f t="shared" si="68"/>
        <v>2490000</v>
      </c>
      <c r="O1051" s="69">
        <f t="shared" si="67"/>
        <v>2490000</v>
      </c>
      <c r="P1051" s="42" t="str">
        <f>IFERROR(VLOOKUP(J1051,'Mã NV'!$B:$C,2,0),"")</f>
        <v>XE00730</v>
      </c>
      <c r="Q1051" s="70" t="str">
        <f>IFERROR(VLOOKUP(I1051,'Mã NV'!$J:$K,2,0),"")</f>
        <v> 3T5 Lạnh </v>
      </c>
      <c r="S1051" s="44">
        <f t="shared" si="71"/>
        <v>74700</v>
      </c>
    </row>
    <row r="1052" customHeight="1" spans="1:19">
      <c r="A1052" s="63">
        <f t="shared" si="70"/>
        <v>1046</v>
      </c>
      <c r="B1052" s="64">
        <v>46147</v>
      </c>
      <c r="C1052" s="87"/>
      <c r="D1052" s="66" t="s">
        <v>155</v>
      </c>
      <c r="E1052" s="66" t="s">
        <v>155</v>
      </c>
      <c r="F1052" s="66" t="s">
        <v>985</v>
      </c>
      <c r="G1052" s="66" t="s">
        <v>754</v>
      </c>
      <c r="H1052" s="66" t="s">
        <v>767</v>
      </c>
      <c r="I1052" s="66" t="s">
        <v>177</v>
      </c>
      <c r="J1052" s="66" t="s">
        <v>174</v>
      </c>
      <c r="K1052" s="66" t="s">
        <v>747</v>
      </c>
      <c r="L1052" s="67">
        <v>1423000</v>
      </c>
      <c r="M1052" s="67">
        <v>0</v>
      </c>
      <c r="N1052" s="68">
        <f t="shared" si="68"/>
        <v>1423000</v>
      </c>
      <c r="O1052" s="69">
        <f t="shared" si="67"/>
        <v>1423000</v>
      </c>
      <c r="P1052" s="42" t="str">
        <f>IFERROR(VLOOKUP(J1052,'Mã NV'!$B:$C,2,0),"")</f>
        <v>XE00975</v>
      </c>
      <c r="Q1052" s="70" t="str">
        <f>IFERROR(VLOOKUP(I1052,'Mã NV'!$J:$K,2,0),"")</f>
        <v>2.5T Lạnh</v>
      </c>
      <c r="S1052" s="44">
        <f t="shared" si="71"/>
        <v>42690</v>
      </c>
    </row>
    <row r="1053" customHeight="1" spans="1:19">
      <c r="A1053" s="63">
        <f t="shared" si="70"/>
        <v>1047</v>
      </c>
      <c r="B1053" s="64">
        <v>46148</v>
      </c>
      <c r="C1053" s="87"/>
      <c r="D1053" s="66" t="s">
        <v>155</v>
      </c>
      <c r="E1053" s="66" t="s">
        <v>155</v>
      </c>
      <c r="F1053" s="66" t="s">
        <v>985</v>
      </c>
      <c r="G1053" s="66" t="s">
        <v>754</v>
      </c>
      <c r="H1053" s="66" t="s">
        <v>986</v>
      </c>
      <c r="I1053" s="66" t="s">
        <v>154</v>
      </c>
      <c r="J1053" s="66" t="s">
        <v>152</v>
      </c>
      <c r="K1053" s="66" t="s">
        <v>747</v>
      </c>
      <c r="L1053" s="67">
        <v>3380000</v>
      </c>
      <c r="M1053" s="67">
        <v>0</v>
      </c>
      <c r="N1053" s="68">
        <f t="shared" si="68"/>
        <v>3380000</v>
      </c>
      <c r="O1053" s="69">
        <f t="shared" si="67"/>
        <v>3380000</v>
      </c>
      <c r="P1053" s="42" t="str">
        <f>IFERROR(VLOOKUP(J1053,'Mã NV'!$B:$C,2,0),"")</f>
        <v>XE00730</v>
      </c>
      <c r="Q1053" s="70" t="str">
        <f>IFERROR(VLOOKUP(I1053,'Mã NV'!$J:$K,2,0),"")</f>
        <v> 3T5 Lạnh </v>
      </c>
      <c r="S1053" s="44">
        <f t="shared" si="71"/>
        <v>101400</v>
      </c>
    </row>
    <row r="1054" customHeight="1" spans="1:19">
      <c r="A1054" s="63">
        <f t="shared" si="70"/>
        <v>1048</v>
      </c>
      <c r="B1054" s="64">
        <v>46148</v>
      </c>
      <c r="C1054" s="87"/>
      <c r="D1054" s="66" t="s">
        <v>155</v>
      </c>
      <c r="E1054" s="66" t="s">
        <v>155</v>
      </c>
      <c r="F1054" s="66" t="s">
        <v>985</v>
      </c>
      <c r="G1054" s="66" t="s">
        <v>754</v>
      </c>
      <c r="H1054" s="66" t="s">
        <v>987</v>
      </c>
      <c r="I1054" s="66" t="s">
        <v>214</v>
      </c>
      <c r="J1054" s="66" t="s">
        <v>212</v>
      </c>
      <c r="K1054" s="66" t="s">
        <v>747</v>
      </c>
      <c r="L1054" s="67">
        <v>2788000</v>
      </c>
      <c r="M1054" s="67">
        <v>0</v>
      </c>
      <c r="N1054" s="68">
        <f t="shared" si="68"/>
        <v>2788000</v>
      </c>
      <c r="O1054" s="69">
        <f t="shared" si="67"/>
        <v>2788000</v>
      </c>
      <c r="P1054" s="42" t="str">
        <f>IFERROR(VLOOKUP(J1054,'Mã NV'!$B:$C,2,0),"")</f>
        <v>XE00977</v>
      </c>
      <c r="Q1054" s="70" t="str">
        <f>IFERROR(VLOOKUP(I1054,'Mã NV'!$J:$K,2,0),"")</f>
        <v>2T5 Lạnh </v>
      </c>
      <c r="S1054" s="44">
        <f t="shared" si="71"/>
        <v>83640</v>
      </c>
    </row>
    <row r="1055" customHeight="1" spans="1:19">
      <c r="A1055" s="63">
        <f t="shared" si="70"/>
        <v>1049</v>
      </c>
      <c r="B1055" s="64">
        <v>46148</v>
      </c>
      <c r="C1055" s="87"/>
      <c r="D1055" s="66" t="s">
        <v>155</v>
      </c>
      <c r="E1055" s="66" t="s">
        <v>155</v>
      </c>
      <c r="F1055" s="66" t="s">
        <v>985</v>
      </c>
      <c r="G1055" s="66" t="s">
        <v>754</v>
      </c>
      <c r="H1055" s="66" t="s">
        <v>820</v>
      </c>
      <c r="I1055" s="66" t="s">
        <v>358</v>
      </c>
      <c r="J1055" s="66" t="s">
        <v>356</v>
      </c>
      <c r="K1055" s="66" t="s">
        <v>747</v>
      </c>
      <c r="L1055" s="67">
        <v>1957000</v>
      </c>
      <c r="M1055" s="67">
        <v>0</v>
      </c>
      <c r="N1055" s="68">
        <f t="shared" si="68"/>
        <v>1957000</v>
      </c>
      <c r="O1055" s="69">
        <f t="shared" si="67"/>
        <v>1957000</v>
      </c>
      <c r="P1055" s="42" t="str">
        <f>IFERROR(VLOOKUP(J1055,'Mã NV'!$B:$C,2,0),"")</f>
        <v>XE01616</v>
      </c>
      <c r="Q1055" s="70" t="str">
        <f>IFERROR(VLOOKUP(I1055,'Mã NV'!$J:$K,2,0),"")</f>
        <v>2.5T Lạnh</v>
      </c>
      <c r="S1055" s="44">
        <f t="shared" si="71"/>
        <v>58710</v>
      </c>
    </row>
    <row r="1056" customHeight="1" spans="1:19">
      <c r="A1056" s="63">
        <f t="shared" si="70"/>
        <v>1050</v>
      </c>
      <c r="B1056" s="64">
        <v>46148</v>
      </c>
      <c r="C1056" s="87"/>
      <c r="D1056" s="66" t="s">
        <v>155</v>
      </c>
      <c r="E1056" s="66" t="s">
        <v>155</v>
      </c>
      <c r="F1056" s="66" t="s">
        <v>985</v>
      </c>
      <c r="G1056" s="66" t="s">
        <v>754</v>
      </c>
      <c r="H1056" s="66" t="s">
        <v>989</v>
      </c>
      <c r="I1056" s="66" t="s">
        <v>345</v>
      </c>
      <c r="J1056" s="66" t="s">
        <v>343</v>
      </c>
      <c r="K1056" s="66" t="s">
        <v>747</v>
      </c>
      <c r="L1056" s="67">
        <v>1245000</v>
      </c>
      <c r="M1056" s="67">
        <v>0</v>
      </c>
      <c r="N1056" s="68">
        <f t="shared" si="68"/>
        <v>1245000</v>
      </c>
      <c r="O1056" s="69">
        <f t="shared" si="67"/>
        <v>1245000</v>
      </c>
      <c r="P1056" s="42" t="str">
        <f>IFERROR(VLOOKUP(J1056,'Mã NV'!$B:$C,2,0),"")</f>
        <v>XE01615</v>
      </c>
      <c r="Q1056" s="70" t="str">
        <f>IFERROR(VLOOKUP(I1056,'Mã NV'!$J:$K,2,0),"")</f>
        <v>2T5</v>
      </c>
      <c r="S1056" s="44">
        <f t="shared" si="71"/>
        <v>37350</v>
      </c>
    </row>
    <row r="1057" customHeight="1" spans="1:19">
      <c r="A1057" s="63">
        <f t="shared" si="70"/>
        <v>1051</v>
      </c>
      <c r="B1057" s="64">
        <v>46149</v>
      </c>
      <c r="C1057" s="87"/>
      <c r="D1057" s="66" t="s">
        <v>155</v>
      </c>
      <c r="E1057" s="66" t="s">
        <v>155</v>
      </c>
      <c r="F1057" s="66" t="s">
        <v>985</v>
      </c>
      <c r="G1057" s="66" t="s">
        <v>754</v>
      </c>
      <c r="H1057" s="66" t="s">
        <v>820</v>
      </c>
      <c r="I1057" s="66" t="s">
        <v>345</v>
      </c>
      <c r="J1057" s="66" t="s">
        <v>343</v>
      </c>
      <c r="K1057" s="66" t="s">
        <v>747</v>
      </c>
      <c r="L1057" s="67">
        <v>1957000</v>
      </c>
      <c r="M1057" s="67">
        <v>0</v>
      </c>
      <c r="N1057" s="68">
        <f t="shared" si="68"/>
        <v>1957000</v>
      </c>
      <c r="O1057" s="69">
        <f t="shared" si="67"/>
        <v>1957000</v>
      </c>
      <c r="P1057" s="42" t="str">
        <f>IFERROR(VLOOKUP(J1057,'Mã NV'!$B:$C,2,0),"")</f>
        <v>XE01615</v>
      </c>
      <c r="Q1057" s="70" t="str">
        <f>IFERROR(VLOOKUP(I1057,'Mã NV'!$J:$K,2,0),"")</f>
        <v>2T5</v>
      </c>
      <c r="S1057" s="44">
        <f t="shared" si="71"/>
        <v>58710</v>
      </c>
    </row>
    <row r="1058" customHeight="1" spans="1:19">
      <c r="A1058" s="63">
        <f t="shared" si="70"/>
        <v>1052</v>
      </c>
      <c r="B1058" s="64">
        <v>46149</v>
      </c>
      <c r="C1058" s="87"/>
      <c r="D1058" s="66" t="s">
        <v>155</v>
      </c>
      <c r="E1058" s="66" t="s">
        <v>155</v>
      </c>
      <c r="F1058" s="66" t="s">
        <v>985</v>
      </c>
      <c r="G1058" s="66" t="s">
        <v>754</v>
      </c>
      <c r="H1058" s="66" t="s">
        <v>990</v>
      </c>
      <c r="I1058" s="66" t="s">
        <v>154</v>
      </c>
      <c r="J1058" s="66" t="s">
        <v>152</v>
      </c>
      <c r="K1058" s="66" t="s">
        <v>747</v>
      </c>
      <c r="L1058" s="67">
        <v>2490000</v>
      </c>
      <c r="M1058" s="67">
        <v>0</v>
      </c>
      <c r="N1058" s="68">
        <f t="shared" si="68"/>
        <v>2490000</v>
      </c>
      <c r="O1058" s="69">
        <f t="shared" si="67"/>
        <v>2490000</v>
      </c>
      <c r="P1058" s="42" t="str">
        <f>IFERROR(VLOOKUP(J1058,'Mã NV'!$B:$C,2,0),"")</f>
        <v>XE00730</v>
      </c>
      <c r="Q1058" s="70" t="str">
        <f>IFERROR(VLOOKUP(I1058,'Mã NV'!$J:$K,2,0),"")</f>
        <v> 3T5 Lạnh </v>
      </c>
      <c r="S1058" s="44">
        <f t="shared" si="71"/>
        <v>74700</v>
      </c>
    </row>
    <row r="1059" customHeight="1" spans="1:19">
      <c r="A1059" s="63">
        <f t="shared" si="70"/>
        <v>1053</v>
      </c>
      <c r="B1059" s="64">
        <v>46149</v>
      </c>
      <c r="C1059" s="87"/>
      <c r="D1059" s="66" t="s">
        <v>155</v>
      </c>
      <c r="E1059" s="66" t="s">
        <v>155</v>
      </c>
      <c r="F1059" s="66" t="s">
        <v>985</v>
      </c>
      <c r="G1059" s="66" t="s">
        <v>754</v>
      </c>
      <c r="H1059" s="66" t="s">
        <v>987</v>
      </c>
      <c r="I1059" s="66" t="s">
        <v>214</v>
      </c>
      <c r="J1059" s="66" t="s">
        <v>212</v>
      </c>
      <c r="K1059" s="66" t="s">
        <v>747</v>
      </c>
      <c r="L1059" s="67">
        <v>2788000</v>
      </c>
      <c r="M1059" s="67">
        <v>0</v>
      </c>
      <c r="N1059" s="68">
        <f t="shared" si="68"/>
        <v>2788000</v>
      </c>
      <c r="O1059" s="69">
        <f t="shared" si="67"/>
        <v>2788000</v>
      </c>
      <c r="P1059" s="42" t="str">
        <f>IFERROR(VLOOKUP(J1059,'Mã NV'!$B:$C,2,0),"")</f>
        <v>XE00977</v>
      </c>
      <c r="Q1059" s="70" t="str">
        <f>IFERROR(VLOOKUP(I1059,'Mã NV'!$J:$K,2,0),"")</f>
        <v>2T5 Lạnh </v>
      </c>
      <c r="S1059" s="44">
        <f t="shared" si="71"/>
        <v>83640</v>
      </c>
    </row>
    <row r="1060" customHeight="1" spans="1:19">
      <c r="A1060" s="63">
        <f t="shared" si="70"/>
        <v>1054</v>
      </c>
      <c r="B1060" s="64">
        <v>46149</v>
      </c>
      <c r="C1060" s="87"/>
      <c r="D1060" s="66" t="s">
        <v>155</v>
      </c>
      <c r="E1060" s="66" t="s">
        <v>155</v>
      </c>
      <c r="F1060" s="66" t="s">
        <v>985</v>
      </c>
      <c r="G1060" s="66" t="s">
        <v>754</v>
      </c>
      <c r="H1060" s="66" t="s">
        <v>989</v>
      </c>
      <c r="I1060" s="66" t="s">
        <v>358</v>
      </c>
      <c r="J1060" s="66" t="s">
        <v>356</v>
      </c>
      <c r="K1060" s="66" t="s">
        <v>747</v>
      </c>
      <c r="L1060" s="67">
        <v>1482000</v>
      </c>
      <c r="M1060" s="67">
        <v>0</v>
      </c>
      <c r="N1060" s="68">
        <f t="shared" si="68"/>
        <v>1482000</v>
      </c>
      <c r="O1060" s="69">
        <f t="shared" si="67"/>
        <v>1482000</v>
      </c>
      <c r="P1060" s="42" t="str">
        <f>IFERROR(VLOOKUP(J1060,'Mã NV'!$B:$C,2,0),"")</f>
        <v>XE01616</v>
      </c>
      <c r="Q1060" s="70" t="str">
        <f>IFERROR(VLOOKUP(I1060,'Mã NV'!$J:$K,2,0),"")</f>
        <v>2.5T Lạnh</v>
      </c>
      <c r="S1060" s="44">
        <f t="shared" si="71"/>
        <v>44460</v>
      </c>
    </row>
    <row r="1061" customHeight="1" spans="1:19">
      <c r="A1061" s="63">
        <f t="shared" si="70"/>
        <v>1055</v>
      </c>
      <c r="B1061" s="64">
        <v>46150</v>
      </c>
      <c r="C1061" s="87"/>
      <c r="D1061" s="66" t="s">
        <v>155</v>
      </c>
      <c r="E1061" s="66" t="s">
        <v>155</v>
      </c>
      <c r="F1061" s="66" t="s">
        <v>985</v>
      </c>
      <c r="G1061" s="66" t="s">
        <v>754</v>
      </c>
      <c r="H1061" s="66" t="s">
        <v>986</v>
      </c>
      <c r="I1061" s="66" t="s">
        <v>154</v>
      </c>
      <c r="J1061" s="66" t="s">
        <v>152</v>
      </c>
      <c r="K1061" s="66" t="s">
        <v>747</v>
      </c>
      <c r="L1061" s="67">
        <v>2490000</v>
      </c>
      <c r="M1061" s="67">
        <v>0</v>
      </c>
      <c r="N1061" s="68">
        <f t="shared" si="68"/>
        <v>2490000</v>
      </c>
      <c r="O1061" s="69">
        <f t="shared" si="67"/>
        <v>2490000</v>
      </c>
      <c r="P1061" s="42" t="str">
        <f>IFERROR(VLOOKUP(J1061,'Mã NV'!$B:$C,2,0),"")</f>
        <v>XE00730</v>
      </c>
      <c r="Q1061" s="70" t="str">
        <f>IFERROR(VLOOKUP(I1061,'Mã NV'!$J:$K,2,0),"")</f>
        <v> 3T5 Lạnh </v>
      </c>
      <c r="S1061" s="44">
        <f t="shared" si="71"/>
        <v>74700</v>
      </c>
    </row>
    <row r="1062" customHeight="1" spans="1:19">
      <c r="A1062" s="63">
        <f t="shared" si="70"/>
        <v>1056</v>
      </c>
      <c r="B1062" s="64">
        <v>46150</v>
      </c>
      <c r="C1062" s="87"/>
      <c r="D1062" s="66" t="s">
        <v>155</v>
      </c>
      <c r="E1062" s="66" t="s">
        <v>155</v>
      </c>
      <c r="F1062" s="66" t="s">
        <v>985</v>
      </c>
      <c r="G1062" s="66" t="s">
        <v>754</v>
      </c>
      <c r="H1062" s="66" t="s">
        <v>987</v>
      </c>
      <c r="I1062" s="66" t="s">
        <v>358</v>
      </c>
      <c r="J1062" s="66" t="s">
        <v>356</v>
      </c>
      <c r="K1062" s="66" t="s">
        <v>747</v>
      </c>
      <c r="L1062" s="67">
        <v>2490000</v>
      </c>
      <c r="M1062" s="67">
        <v>0</v>
      </c>
      <c r="N1062" s="68">
        <f t="shared" si="68"/>
        <v>2490000</v>
      </c>
      <c r="O1062" s="69">
        <f t="shared" si="67"/>
        <v>2490000</v>
      </c>
      <c r="P1062" s="42" t="str">
        <f>IFERROR(VLOOKUP(J1062,'Mã NV'!$B:$C,2,0),"")</f>
        <v>XE01616</v>
      </c>
      <c r="Q1062" s="70" t="str">
        <f>IFERROR(VLOOKUP(I1062,'Mã NV'!$J:$K,2,0),"")</f>
        <v>2.5T Lạnh</v>
      </c>
      <c r="S1062" s="44">
        <f t="shared" si="71"/>
        <v>74700</v>
      </c>
    </row>
    <row r="1063" customHeight="1" spans="1:19">
      <c r="A1063" s="63">
        <f t="shared" si="70"/>
        <v>1057</v>
      </c>
      <c r="B1063" s="64">
        <v>46150</v>
      </c>
      <c r="C1063" s="87"/>
      <c r="D1063" s="66" t="s">
        <v>155</v>
      </c>
      <c r="E1063" s="66" t="s">
        <v>155</v>
      </c>
      <c r="F1063" s="66" t="s">
        <v>985</v>
      </c>
      <c r="G1063" s="66" t="s">
        <v>754</v>
      </c>
      <c r="H1063" s="66" t="s">
        <v>820</v>
      </c>
      <c r="I1063" s="66" t="s">
        <v>214</v>
      </c>
      <c r="J1063" s="66" t="s">
        <v>212</v>
      </c>
      <c r="K1063" s="66" t="s">
        <v>747</v>
      </c>
      <c r="L1063" s="67">
        <v>1957000</v>
      </c>
      <c r="M1063" s="67">
        <v>0</v>
      </c>
      <c r="N1063" s="68">
        <f t="shared" si="68"/>
        <v>1957000</v>
      </c>
      <c r="O1063" s="69">
        <f t="shared" si="67"/>
        <v>1957000</v>
      </c>
      <c r="P1063" s="42" t="str">
        <f>IFERROR(VLOOKUP(J1063,'Mã NV'!$B:$C,2,0),"")</f>
        <v>XE00977</v>
      </c>
      <c r="Q1063" s="70" t="str">
        <f>IFERROR(VLOOKUP(I1063,'Mã NV'!$J:$K,2,0),"")</f>
        <v>2T5 Lạnh </v>
      </c>
      <c r="S1063" s="44">
        <f t="shared" si="71"/>
        <v>58710</v>
      </c>
    </row>
    <row r="1064" customHeight="1" spans="1:19">
      <c r="A1064" s="63">
        <f t="shared" si="70"/>
        <v>1058</v>
      </c>
      <c r="B1064" s="64">
        <v>46151</v>
      </c>
      <c r="C1064" s="87"/>
      <c r="D1064" s="66" t="s">
        <v>155</v>
      </c>
      <c r="E1064" s="66" t="s">
        <v>155</v>
      </c>
      <c r="F1064" s="66" t="s">
        <v>985</v>
      </c>
      <c r="G1064" s="66" t="s">
        <v>754</v>
      </c>
      <c r="H1064" s="66" t="s">
        <v>989</v>
      </c>
      <c r="I1064" s="66" t="s">
        <v>154</v>
      </c>
      <c r="J1064" s="66" t="s">
        <v>152</v>
      </c>
      <c r="K1064" s="66" t="s">
        <v>747</v>
      </c>
      <c r="L1064" s="67">
        <v>1720000</v>
      </c>
      <c r="M1064" s="67">
        <v>0</v>
      </c>
      <c r="N1064" s="68">
        <f t="shared" si="68"/>
        <v>1720000</v>
      </c>
      <c r="O1064" s="69">
        <f t="shared" si="67"/>
        <v>1720000</v>
      </c>
      <c r="P1064" s="42" t="str">
        <f>IFERROR(VLOOKUP(J1064,'Mã NV'!$B:$C,2,0),"")</f>
        <v>XE00730</v>
      </c>
      <c r="Q1064" s="70" t="str">
        <f>IFERROR(VLOOKUP(I1064,'Mã NV'!$J:$K,2,0),"")</f>
        <v> 3T5 Lạnh </v>
      </c>
      <c r="S1064" s="44">
        <f t="shared" si="71"/>
        <v>51600</v>
      </c>
    </row>
    <row r="1065" customHeight="1" spans="1:19">
      <c r="A1065" s="63">
        <f t="shared" si="70"/>
        <v>1059</v>
      </c>
      <c r="B1065" s="64">
        <v>46151</v>
      </c>
      <c r="C1065" s="87"/>
      <c r="D1065" s="66" t="s">
        <v>155</v>
      </c>
      <c r="E1065" s="66" t="s">
        <v>155</v>
      </c>
      <c r="F1065" s="66" t="s">
        <v>985</v>
      </c>
      <c r="G1065" s="66" t="s">
        <v>754</v>
      </c>
      <c r="H1065" s="66" t="s">
        <v>986</v>
      </c>
      <c r="I1065" s="66" t="s">
        <v>154</v>
      </c>
      <c r="J1065" s="66" t="s">
        <v>152</v>
      </c>
      <c r="K1065" s="66" t="s">
        <v>747</v>
      </c>
      <c r="L1065" s="67">
        <v>3380000</v>
      </c>
      <c r="M1065" s="67">
        <v>0</v>
      </c>
      <c r="N1065" s="68">
        <f t="shared" si="68"/>
        <v>3380000</v>
      </c>
      <c r="O1065" s="69">
        <f t="shared" si="67"/>
        <v>3380000</v>
      </c>
      <c r="P1065" s="42" t="str">
        <f>IFERROR(VLOOKUP(J1065,'Mã NV'!$B:$C,2,0),"")</f>
        <v>XE00730</v>
      </c>
      <c r="Q1065" s="70" t="str">
        <f>IFERROR(VLOOKUP(I1065,'Mã NV'!$J:$K,2,0),"")</f>
        <v> 3T5 Lạnh </v>
      </c>
      <c r="S1065" s="44">
        <f t="shared" si="71"/>
        <v>101400</v>
      </c>
    </row>
    <row r="1066" customHeight="1" spans="1:19">
      <c r="A1066" s="63">
        <f t="shared" si="70"/>
        <v>1060</v>
      </c>
      <c r="B1066" s="64">
        <v>46151</v>
      </c>
      <c r="C1066" s="87"/>
      <c r="D1066" s="66" t="s">
        <v>155</v>
      </c>
      <c r="E1066" s="66" t="s">
        <v>155</v>
      </c>
      <c r="F1066" s="66" t="s">
        <v>985</v>
      </c>
      <c r="G1066" s="66" t="s">
        <v>754</v>
      </c>
      <c r="H1066" s="66" t="s">
        <v>987</v>
      </c>
      <c r="I1066" s="66" t="s">
        <v>358</v>
      </c>
      <c r="J1066" s="66" t="s">
        <v>356</v>
      </c>
      <c r="K1066" s="66" t="s">
        <v>747</v>
      </c>
      <c r="L1066" s="67">
        <v>2788000</v>
      </c>
      <c r="M1066" s="67">
        <v>0</v>
      </c>
      <c r="N1066" s="68">
        <f t="shared" si="68"/>
        <v>2788000</v>
      </c>
      <c r="O1066" s="69">
        <f t="shared" si="67"/>
        <v>2788000</v>
      </c>
      <c r="P1066" s="42" t="str">
        <f>IFERROR(VLOOKUP(J1066,'Mã NV'!$B:$C,2,0),"")</f>
        <v>XE01616</v>
      </c>
      <c r="Q1066" s="70" t="str">
        <f>IFERROR(VLOOKUP(I1066,'Mã NV'!$J:$K,2,0),"")</f>
        <v>2.5T Lạnh</v>
      </c>
      <c r="S1066" s="44">
        <f t="shared" si="71"/>
        <v>83640</v>
      </c>
    </row>
    <row r="1067" customHeight="1" spans="1:19">
      <c r="A1067" s="63">
        <f t="shared" si="70"/>
        <v>1061</v>
      </c>
      <c r="B1067" s="64">
        <v>46151</v>
      </c>
      <c r="C1067" s="87"/>
      <c r="D1067" s="66" t="s">
        <v>155</v>
      </c>
      <c r="E1067" s="66" t="s">
        <v>155</v>
      </c>
      <c r="F1067" s="66" t="s">
        <v>985</v>
      </c>
      <c r="G1067" s="66" t="s">
        <v>754</v>
      </c>
      <c r="H1067" s="66" t="s">
        <v>820</v>
      </c>
      <c r="I1067" s="66" t="s">
        <v>214</v>
      </c>
      <c r="J1067" s="66" t="s">
        <v>212</v>
      </c>
      <c r="K1067" s="66" t="s">
        <v>747</v>
      </c>
      <c r="L1067" s="67">
        <v>1957000</v>
      </c>
      <c r="M1067" s="67">
        <v>0</v>
      </c>
      <c r="N1067" s="68">
        <f t="shared" si="68"/>
        <v>1957000</v>
      </c>
      <c r="O1067" s="69">
        <f t="shared" si="67"/>
        <v>1957000</v>
      </c>
      <c r="P1067" s="42" t="str">
        <f>IFERROR(VLOOKUP(J1067,'Mã NV'!$B:$C,2,0),"")</f>
        <v>XE00977</v>
      </c>
      <c r="Q1067" s="70" t="str">
        <f>IFERROR(VLOOKUP(I1067,'Mã NV'!$J:$K,2,0),"")</f>
        <v>2T5 Lạnh </v>
      </c>
      <c r="S1067" s="44">
        <f t="shared" si="71"/>
        <v>58710</v>
      </c>
    </row>
    <row r="1068" customHeight="1" spans="1:19">
      <c r="A1068" s="63">
        <f t="shared" si="70"/>
        <v>1062</v>
      </c>
      <c r="B1068" s="64">
        <v>46151</v>
      </c>
      <c r="C1068" s="87"/>
      <c r="D1068" s="66" t="s">
        <v>155</v>
      </c>
      <c r="E1068" s="66" t="s">
        <v>155</v>
      </c>
      <c r="F1068" s="66" t="s">
        <v>985</v>
      </c>
      <c r="G1068" s="66" t="s">
        <v>754</v>
      </c>
      <c r="H1068" s="66" t="s">
        <v>761</v>
      </c>
      <c r="I1068" s="66" t="s">
        <v>177</v>
      </c>
      <c r="J1068" s="66" t="s">
        <v>174</v>
      </c>
      <c r="K1068" s="66" t="s">
        <v>747</v>
      </c>
      <c r="L1068" s="67">
        <v>1365000</v>
      </c>
      <c r="M1068" s="67">
        <v>0</v>
      </c>
      <c r="N1068" s="68">
        <f t="shared" si="68"/>
        <v>1365000</v>
      </c>
      <c r="O1068" s="69">
        <f t="shared" si="67"/>
        <v>1365000</v>
      </c>
      <c r="P1068" s="42" t="str">
        <f>IFERROR(VLOOKUP(J1068,'Mã NV'!$B:$C,2,0),"")</f>
        <v>XE00975</v>
      </c>
      <c r="Q1068" s="70" t="str">
        <f>IFERROR(VLOOKUP(I1068,'Mã NV'!$J:$K,2,0),"")</f>
        <v>2.5T Lạnh</v>
      </c>
      <c r="S1068" s="44">
        <f t="shared" si="71"/>
        <v>40950</v>
      </c>
    </row>
    <row r="1069" customHeight="1" spans="1:19">
      <c r="A1069" s="63">
        <f t="shared" si="70"/>
        <v>1063</v>
      </c>
      <c r="B1069" s="64">
        <v>46153</v>
      </c>
      <c r="C1069" s="87"/>
      <c r="D1069" s="66" t="s">
        <v>155</v>
      </c>
      <c r="E1069" s="66" t="s">
        <v>155</v>
      </c>
      <c r="F1069" s="66" t="s">
        <v>985</v>
      </c>
      <c r="G1069" s="66" t="s">
        <v>754</v>
      </c>
      <c r="H1069" s="66" t="s">
        <v>986</v>
      </c>
      <c r="I1069" s="66" t="s">
        <v>154</v>
      </c>
      <c r="J1069" s="66" t="s">
        <v>152</v>
      </c>
      <c r="K1069" s="66" t="s">
        <v>747</v>
      </c>
      <c r="L1069" s="67">
        <v>2313000</v>
      </c>
      <c r="M1069" s="67">
        <v>0</v>
      </c>
      <c r="N1069" s="68">
        <f t="shared" si="68"/>
        <v>2313000</v>
      </c>
      <c r="O1069" s="69">
        <f t="shared" si="67"/>
        <v>2313000</v>
      </c>
      <c r="P1069" s="42" t="str">
        <f>IFERROR(VLOOKUP(J1069,'Mã NV'!$B:$C,2,0),"")</f>
        <v>XE00730</v>
      </c>
      <c r="Q1069" s="70" t="str">
        <f>IFERROR(VLOOKUP(I1069,'Mã NV'!$J:$K,2,0),"")</f>
        <v> 3T5 Lạnh </v>
      </c>
      <c r="S1069" s="44">
        <f t="shared" si="71"/>
        <v>69390</v>
      </c>
    </row>
    <row r="1070" customHeight="1" spans="1:19">
      <c r="A1070" s="63">
        <f t="shared" si="70"/>
        <v>1064</v>
      </c>
      <c r="B1070" s="64">
        <v>46153</v>
      </c>
      <c r="C1070" s="87"/>
      <c r="D1070" s="66" t="s">
        <v>155</v>
      </c>
      <c r="E1070" s="66" t="s">
        <v>155</v>
      </c>
      <c r="F1070" s="66" t="s">
        <v>985</v>
      </c>
      <c r="G1070" s="66" t="s">
        <v>754</v>
      </c>
      <c r="H1070" s="66" t="s">
        <v>987</v>
      </c>
      <c r="I1070" s="66" t="s">
        <v>358</v>
      </c>
      <c r="J1070" s="66" t="s">
        <v>356</v>
      </c>
      <c r="K1070" s="66" t="s">
        <v>747</v>
      </c>
      <c r="L1070" s="67">
        <v>2490000</v>
      </c>
      <c r="M1070" s="67">
        <v>0</v>
      </c>
      <c r="N1070" s="68">
        <f t="shared" si="68"/>
        <v>2490000</v>
      </c>
      <c r="O1070" s="69">
        <f t="shared" si="67"/>
        <v>2490000</v>
      </c>
      <c r="P1070" s="42" t="str">
        <f>IFERROR(VLOOKUP(J1070,'Mã NV'!$B:$C,2,0),"")</f>
        <v>XE01616</v>
      </c>
      <c r="Q1070" s="70" t="str">
        <f>IFERROR(VLOOKUP(I1070,'Mã NV'!$J:$K,2,0),"")</f>
        <v>2.5T Lạnh</v>
      </c>
      <c r="S1070" s="44">
        <f t="shared" si="71"/>
        <v>74700</v>
      </c>
    </row>
    <row r="1071" customHeight="1" spans="1:19">
      <c r="A1071" s="63">
        <f t="shared" si="70"/>
        <v>1065</v>
      </c>
      <c r="B1071" s="64">
        <v>46153</v>
      </c>
      <c r="C1071" s="87"/>
      <c r="D1071" s="66" t="s">
        <v>155</v>
      </c>
      <c r="E1071" s="66" t="s">
        <v>155</v>
      </c>
      <c r="F1071" s="66" t="s">
        <v>985</v>
      </c>
      <c r="G1071" s="66" t="s">
        <v>754</v>
      </c>
      <c r="H1071" s="66" t="s">
        <v>991</v>
      </c>
      <c r="I1071" s="66" t="s">
        <v>214</v>
      </c>
      <c r="J1071" s="66" t="s">
        <v>212</v>
      </c>
      <c r="K1071" s="66" t="s">
        <v>747</v>
      </c>
      <c r="L1071" s="67">
        <v>3024000</v>
      </c>
      <c r="M1071" s="67">
        <v>0</v>
      </c>
      <c r="N1071" s="68">
        <f t="shared" si="68"/>
        <v>3024000</v>
      </c>
      <c r="O1071" s="69">
        <f t="shared" si="67"/>
        <v>3024000</v>
      </c>
      <c r="P1071" s="42" t="str">
        <f>IFERROR(VLOOKUP(J1071,'Mã NV'!$B:$C,2,0),"")</f>
        <v>XE00977</v>
      </c>
      <c r="Q1071" s="70" t="str">
        <f>IFERROR(VLOOKUP(I1071,'Mã NV'!$J:$K,2,0),"")</f>
        <v>2T5 Lạnh </v>
      </c>
      <c r="S1071" s="44">
        <f t="shared" si="71"/>
        <v>90720</v>
      </c>
    </row>
    <row r="1072" customHeight="1" spans="1:19">
      <c r="A1072" s="63">
        <f t="shared" si="70"/>
        <v>1066</v>
      </c>
      <c r="B1072" s="64">
        <v>46153</v>
      </c>
      <c r="C1072" s="87"/>
      <c r="D1072" s="66" t="s">
        <v>155</v>
      </c>
      <c r="E1072" s="66" t="s">
        <v>155</v>
      </c>
      <c r="F1072" s="66" t="s">
        <v>985</v>
      </c>
      <c r="G1072" s="66" t="s">
        <v>754</v>
      </c>
      <c r="H1072" s="66" t="s">
        <v>989</v>
      </c>
      <c r="I1072" s="66" t="s">
        <v>214</v>
      </c>
      <c r="J1072" s="66" t="s">
        <v>212</v>
      </c>
      <c r="K1072" s="66" t="s">
        <v>747</v>
      </c>
      <c r="L1072" s="67">
        <v>1482000</v>
      </c>
      <c r="M1072" s="67">
        <v>0</v>
      </c>
      <c r="N1072" s="68">
        <f t="shared" si="68"/>
        <v>1482000</v>
      </c>
      <c r="O1072" s="69">
        <f t="shared" si="67"/>
        <v>1482000</v>
      </c>
      <c r="P1072" s="42" t="str">
        <f>IFERROR(VLOOKUP(J1072,'Mã NV'!$B:$C,2,0),"")</f>
        <v>XE00977</v>
      </c>
      <c r="Q1072" s="70" t="str">
        <f>IFERROR(VLOOKUP(I1072,'Mã NV'!$J:$K,2,0),"")</f>
        <v>2T5 Lạnh </v>
      </c>
      <c r="S1072" s="44">
        <f t="shared" si="71"/>
        <v>44460</v>
      </c>
    </row>
    <row r="1073" customHeight="1" spans="1:19">
      <c r="A1073" s="63">
        <f t="shared" si="70"/>
        <v>1067</v>
      </c>
      <c r="B1073" s="64">
        <v>46154</v>
      </c>
      <c r="C1073" s="87"/>
      <c r="D1073" s="66" t="s">
        <v>155</v>
      </c>
      <c r="E1073" s="66" t="s">
        <v>155</v>
      </c>
      <c r="F1073" s="66" t="s">
        <v>985</v>
      </c>
      <c r="G1073" s="66" t="s">
        <v>754</v>
      </c>
      <c r="H1073" s="66" t="s">
        <v>986</v>
      </c>
      <c r="I1073" s="66" t="s">
        <v>154</v>
      </c>
      <c r="J1073" s="66" t="s">
        <v>152</v>
      </c>
      <c r="K1073" s="66" t="s">
        <v>747</v>
      </c>
      <c r="L1073" s="67">
        <v>2788000</v>
      </c>
      <c r="M1073" s="67">
        <v>0</v>
      </c>
      <c r="N1073" s="68">
        <f t="shared" si="68"/>
        <v>2788000</v>
      </c>
      <c r="O1073" s="69">
        <f t="shared" ref="O1073:O1136" si="72">N1073/$P$1</f>
        <v>2788000</v>
      </c>
      <c r="P1073" s="42" t="str">
        <f>IFERROR(VLOOKUP(J1073,'Mã NV'!$B:$C,2,0),"")</f>
        <v>XE00730</v>
      </c>
      <c r="Q1073" s="70" t="str">
        <f>IFERROR(VLOOKUP(I1073,'Mã NV'!$J:$K,2,0),"")</f>
        <v> 3T5 Lạnh </v>
      </c>
      <c r="S1073" s="44">
        <f t="shared" si="71"/>
        <v>83640</v>
      </c>
    </row>
    <row r="1074" customHeight="1" spans="1:19">
      <c r="A1074" s="63">
        <f t="shared" si="70"/>
        <v>1068</v>
      </c>
      <c r="B1074" s="64">
        <v>46154</v>
      </c>
      <c r="C1074" s="87"/>
      <c r="D1074" s="66" t="s">
        <v>155</v>
      </c>
      <c r="E1074" s="66" t="s">
        <v>155</v>
      </c>
      <c r="F1074" s="66" t="s">
        <v>985</v>
      </c>
      <c r="G1074" s="66" t="s">
        <v>754</v>
      </c>
      <c r="H1074" s="66" t="s">
        <v>987</v>
      </c>
      <c r="I1074" s="66" t="s">
        <v>214</v>
      </c>
      <c r="J1074" s="66" t="s">
        <v>212</v>
      </c>
      <c r="K1074" s="66" t="s">
        <v>747</v>
      </c>
      <c r="L1074" s="67">
        <v>2490000</v>
      </c>
      <c r="M1074" s="67">
        <v>0</v>
      </c>
      <c r="N1074" s="68">
        <f t="shared" ref="N1074:N1137" si="73">L1074-M1074</f>
        <v>2490000</v>
      </c>
      <c r="O1074" s="69">
        <f t="shared" si="72"/>
        <v>2490000</v>
      </c>
      <c r="P1074" s="42" t="str">
        <f>IFERROR(VLOOKUP(J1074,'Mã NV'!$B:$C,2,0),"")</f>
        <v>XE00977</v>
      </c>
      <c r="Q1074" s="70" t="str">
        <f>IFERROR(VLOOKUP(I1074,'Mã NV'!$J:$K,2,0),"")</f>
        <v>2T5 Lạnh </v>
      </c>
      <c r="S1074" s="44">
        <f t="shared" si="71"/>
        <v>74700</v>
      </c>
    </row>
    <row r="1075" customHeight="1" spans="1:19">
      <c r="A1075" s="63">
        <f t="shared" si="70"/>
        <v>1069</v>
      </c>
      <c r="B1075" s="64">
        <v>46154</v>
      </c>
      <c r="C1075" s="87"/>
      <c r="D1075" s="66" t="s">
        <v>155</v>
      </c>
      <c r="E1075" s="66" t="s">
        <v>155</v>
      </c>
      <c r="F1075" s="66" t="s">
        <v>985</v>
      </c>
      <c r="G1075" s="66" t="s">
        <v>754</v>
      </c>
      <c r="H1075" s="66" t="s">
        <v>820</v>
      </c>
      <c r="I1075" s="66" t="s">
        <v>358</v>
      </c>
      <c r="J1075" s="66" t="s">
        <v>356</v>
      </c>
      <c r="K1075" s="66" t="s">
        <v>747</v>
      </c>
      <c r="L1075" s="67">
        <v>1957000</v>
      </c>
      <c r="M1075" s="67">
        <v>0</v>
      </c>
      <c r="N1075" s="68">
        <f t="shared" si="73"/>
        <v>1957000</v>
      </c>
      <c r="O1075" s="69">
        <f t="shared" si="72"/>
        <v>1957000</v>
      </c>
      <c r="P1075" s="42" t="str">
        <f>IFERROR(VLOOKUP(J1075,'Mã NV'!$B:$C,2,0),"")</f>
        <v>XE01616</v>
      </c>
      <c r="Q1075" s="70" t="str">
        <f>IFERROR(VLOOKUP(I1075,'Mã NV'!$J:$K,2,0),"")</f>
        <v>2.5T Lạnh</v>
      </c>
      <c r="S1075" s="44">
        <f t="shared" si="71"/>
        <v>58710</v>
      </c>
    </row>
    <row r="1076" customHeight="1" spans="1:19">
      <c r="A1076" s="63">
        <f t="shared" si="70"/>
        <v>1070</v>
      </c>
      <c r="B1076" s="64">
        <v>46155</v>
      </c>
      <c r="C1076" s="87"/>
      <c r="D1076" s="66" t="s">
        <v>155</v>
      </c>
      <c r="E1076" s="66" t="s">
        <v>155</v>
      </c>
      <c r="F1076" s="66" t="s">
        <v>985</v>
      </c>
      <c r="G1076" s="66" t="s">
        <v>754</v>
      </c>
      <c r="H1076" s="66" t="s">
        <v>986</v>
      </c>
      <c r="I1076" s="66" t="s">
        <v>154</v>
      </c>
      <c r="J1076" s="66" t="s">
        <v>152</v>
      </c>
      <c r="K1076" s="66" t="s">
        <v>747</v>
      </c>
      <c r="L1076" s="67">
        <v>2788000</v>
      </c>
      <c r="M1076" s="67">
        <v>0</v>
      </c>
      <c r="N1076" s="68">
        <f t="shared" si="73"/>
        <v>2788000</v>
      </c>
      <c r="O1076" s="69">
        <f t="shared" si="72"/>
        <v>2788000</v>
      </c>
      <c r="P1076" s="42" t="str">
        <f>IFERROR(VLOOKUP(J1076,'Mã NV'!$B:$C,2,0),"")</f>
        <v>XE00730</v>
      </c>
      <c r="Q1076" s="70" t="str">
        <f>IFERROR(VLOOKUP(I1076,'Mã NV'!$J:$K,2,0),"")</f>
        <v> 3T5 Lạnh </v>
      </c>
      <c r="S1076" s="44">
        <f t="shared" si="71"/>
        <v>83640</v>
      </c>
    </row>
    <row r="1077" customHeight="1" spans="1:19">
      <c r="A1077" s="63">
        <f t="shared" si="70"/>
        <v>1071</v>
      </c>
      <c r="B1077" s="64">
        <v>46155</v>
      </c>
      <c r="C1077" s="87"/>
      <c r="D1077" s="66" t="s">
        <v>155</v>
      </c>
      <c r="E1077" s="66" t="s">
        <v>155</v>
      </c>
      <c r="F1077" s="66" t="s">
        <v>985</v>
      </c>
      <c r="G1077" s="66" t="s">
        <v>754</v>
      </c>
      <c r="H1077" s="66" t="s">
        <v>987</v>
      </c>
      <c r="I1077" s="66" t="s">
        <v>214</v>
      </c>
      <c r="J1077" s="66" t="s">
        <v>212</v>
      </c>
      <c r="K1077" s="66" t="s">
        <v>747</v>
      </c>
      <c r="L1077" s="67">
        <v>2490000</v>
      </c>
      <c r="M1077" s="67">
        <v>0</v>
      </c>
      <c r="N1077" s="68">
        <f t="shared" si="73"/>
        <v>2490000</v>
      </c>
      <c r="O1077" s="69">
        <f t="shared" si="72"/>
        <v>2490000</v>
      </c>
      <c r="P1077" s="42" t="str">
        <f>IFERROR(VLOOKUP(J1077,'Mã NV'!$B:$C,2,0),"")</f>
        <v>XE00977</v>
      </c>
      <c r="Q1077" s="70" t="str">
        <f>IFERROR(VLOOKUP(I1077,'Mã NV'!$J:$K,2,0),"")</f>
        <v>2T5 Lạnh </v>
      </c>
      <c r="S1077" s="44">
        <f t="shared" si="71"/>
        <v>74700</v>
      </c>
    </row>
    <row r="1078" customHeight="1" spans="1:19">
      <c r="A1078" s="63">
        <f t="shared" si="70"/>
        <v>1072</v>
      </c>
      <c r="B1078" s="64">
        <v>46155</v>
      </c>
      <c r="C1078" s="87"/>
      <c r="D1078" s="66" t="s">
        <v>155</v>
      </c>
      <c r="E1078" s="66" t="s">
        <v>155</v>
      </c>
      <c r="F1078" s="66" t="s">
        <v>985</v>
      </c>
      <c r="G1078" s="66" t="s">
        <v>754</v>
      </c>
      <c r="H1078" s="66" t="s">
        <v>820</v>
      </c>
      <c r="I1078" s="66" t="s">
        <v>358</v>
      </c>
      <c r="J1078" s="66" t="s">
        <v>356</v>
      </c>
      <c r="K1078" s="66" t="s">
        <v>747</v>
      </c>
      <c r="L1078" s="67">
        <v>1957000</v>
      </c>
      <c r="M1078" s="67">
        <v>0</v>
      </c>
      <c r="N1078" s="68">
        <f t="shared" si="73"/>
        <v>1957000</v>
      </c>
      <c r="O1078" s="69">
        <f t="shared" si="72"/>
        <v>1957000</v>
      </c>
      <c r="P1078" s="42" t="str">
        <f>IFERROR(VLOOKUP(J1078,'Mã NV'!$B:$C,2,0),"")</f>
        <v>XE01616</v>
      </c>
      <c r="Q1078" s="70" t="str">
        <f>IFERROR(VLOOKUP(I1078,'Mã NV'!$J:$K,2,0),"")</f>
        <v>2.5T Lạnh</v>
      </c>
      <c r="S1078" s="44">
        <f t="shared" si="71"/>
        <v>58710</v>
      </c>
    </row>
    <row r="1079" customHeight="1" spans="1:19">
      <c r="A1079" s="63">
        <f t="shared" si="70"/>
        <v>1073</v>
      </c>
      <c r="B1079" s="64">
        <v>46156</v>
      </c>
      <c r="C1079" s="87"/>
      <c r="D1079" s="66" t="s">
        <v>155</v>
      </c>
      <c r="E1079" s="66" t="s">
        <v>155</v>
      </c>
      <c r="F1079" s="66" t="s">
        <v>985</v>
      </c>
      <c r="G1079" s="66" t="s">
        <v>754</v>
      </c>
      <c r="H1079" s="66" t="s">
        <v>986</v>
      </c>
      <c r="I1079" s="66" t="s">
        <v>154</v>
      </c>
      <c r="J1079" s="66" t="s">
        <v>152</v>
      </c>
      <c r="K1079" s="66" t="s">
        <v>747</v>
      </c>
      <c r="L1079" s="67">
        <v>2490000</v>
      </c>
      <c r="M1079" s="67">
        <v>0</v>
      </c>
      <c r="N1079" s="68">
        <f t="shared" si="73"/>
        <v>2490000</v>
      </c>
      <c r="O1079" s="69">
        <f t="shared" si="72"/>
        <v>2490000</v>
      </c>
      <c r="P1079" s="42" t="str">
        <f>IFERROR(VLOOKUP(J1079,'Mã NV'!$B:$C,2,0),"")</f>
        <v>XE00730</v>
      </c>
      <c r="Q1079" s="70" t="str">
        <f>IFERROR(VLOOKUP(I1079,'Mã NV'!$J:$K,2,0),"")</f>
        <v> 3T5 Lạnh </v>
      </c>
      <c r="S1079" s="44">
        <f t="shared" si="71"/>
        <v>74700</v>
      </c>
    </row>
    <row r="1080" customHeight="1" spans="1:19">
      <c r="A1080" s="63">
        <f t="shared" si="70"/>
        <v>1074</v>
      </c>
      <c r="B1080" s="64">
        <v>46156</v>
      </c>
      <c r="C1080" s="87"/>
      <c r="D1080" s="66" t="s">
        <v>155</v>
      </c>
      <c r="E1080" s="66" t="s">
        <v>155</v>
      </c>
      <c r="F1080" s="66" t="s">
        <v>985</v>
      </c>
      <c r="G1080" s="66" t="s">
        <v>754</v>
      </c>
      <c r="H1080" s="66" t="s">
        <v>987</v>
      </c>
      <c r="I1080" s="66" t="s">
        <v>214</v>
      </c>
      <c r="J1080" s="66" t="s">
        <v>212</v>
      </c>
      <c r="K1080" s="66" t="s">
        <v>747</v>
      </c>
      <c r="L1080" s="67">
        <v>2490000</v>
      </c>
      <c r="M1080" s="67">
        <v>0</v>
      </c>
      <c r="N1080" s="68">
        <f t="shared" si="73"/>
        <v>2490000</v>
      </c>
      <c r="O1080" s="69">
        <f t="shared" si="72"/>
        <v>2490000</v>
      </c>
      <c r="P1080" s="42" t="str">
        <f>IFERROR(VLOOKUP(J1080,'Mã NV'!$B:$C,2,0),"")</f>
        <v>XE00977</v>
      </c>
      <c r="Q1080" s="70" t="str">
        <f>IFERROR(VLOOKUP(I1080,'Mã NV'!$J:$K,2,0),"")</f>
        <v>2T5 Lạnh </v>
      </c>
      <c r="S1080" s="44">
        <f t="shared" si="71"/>
        <v>74700</v>
      </c>
    </row>
    <row r="1081" customHeight="1" spans="1:19">
      <c r="A1081" s="63">
        <f t="shared" si="70"/>
        <v>1075</v>
      </c>
      <c r="B1081" s="64">
        <v>46156</v>
      </c>
      <c r="C1081" s="87"/>
      <c r="D1081" s="66" t="s">
        <v>155</v>
      </c>
      <c r="E1081" s="66" t="s">
        <v>155</v>
      </c>
      <c r="F1081" s="66" t="s">
        <v>985</v>
      </c>
      <c r="G1081" s="66" t="s">
        <v>754</v>
      </c>
      <c r="H1081" s="66" t="s">
        <v>820</v>
      </c>
      <c r="I1081" s="66" t="s">
        <v>358</v>
      </c>
      <c r="J1081" s="66" t="s">
        <v>356</v>
      </c>
      <c r="K1081" s="66" t="s">
        <v>747</v>
      </c>
      <c r="L1081" s="67">
        <v>1957000</v>
      </c>
      <c r="M1081" s="67">
        <v>0</v>
      </c>
      <c r="N1081" s="68">
        <f t="shared" si="73"/>
        <v>1957000</v>
      </c>
      <c r="O1081" s="69">
        <f t="shared" si="72"/>
        <v>1957000</v>
      </c>
      <c r="P1081" s="42" t="str">
        <f>IFERROR(VLOOKUP(J1081,'Mã NV'!$B:$C,2,0),"")</f>
        <v>XE01616</v>
      </c>
      <c r="Q1081" s="70" t="str">
        <f>IFERROR(VLOOKUP(I1081,'Mã NV'!$J:$K,2,0),"")</f>
        <v>2.5T Lạnh</v>
      </c>
      <c r="S1081" s="44">
        <f t="shared" si="71"/>
        <v>58710</v>
      </c>
    </row>
    <row r="1082" customHeight="1" spans="1:19">
      <c r="A1082" s="63">
        <f t="shared" si="70"/>
        <v>1076</v>
      </c>
      <c r="B1082" s="64">
        <v>46156</v>
      </c>
      <c r="C1082" s="87"/>
      <c r="D1082" s="66" t="s">
        <v>155</v>
      </c>
      <c r="E1082" s="66" t="s">
        <v>155</v>
      </c>
      <c r="F1082" s="66" t="s">
        <v>985</v>
      </c>
      <c r="G1082" s="66" t="s">
        <v>754</v>
      </c>
      <c r="H1082" s="66" t="s">
        <v>989</v>
      </c>
      <c r="I1082" s="66" t="s">
        <v>154</v>
      </c>
      <c r="J1082" s="66" t="s">
        <v>152</v>
      </c>
      <c r="K1082" s="66" t="s">
        <v>747</v>
      </c>
      <c r="L1082" s="67">
        <v>2253000</v>
      </c>
      <c r="M1082" s="67">
        <v>0</v>
      </c>
      <c r="N1082" s="68">
        <f t="shared" si="73"/>
        <v>2253000</v>
      </c>
      <c r="O1082" s="69">
        <f t="shared" si="72"/>
        <v>2253000</v>
      </c>
      <c r="P1082" s="42" t="str">
        <f>IFERROR(VLOOKUP(J1082,'Mã NV'!$B:$C,2,0),"")</f>
        <v>XE00730</v>
      </c>
      <c r="Q1082" s="70" t="str">
        <f>IFERROR(VLOOKUP(I1082,'Mã NV'!$J:$K,2,0),"")</f>
        <v> 3T5 Lạnh </v>
      </c>
      <c r="S1082" s="44">
        <f t="shared" si="71"/>
        <v>67590</v>
      </c>
    </row>
    <row r="1083" customHeight="1" spans="1:19">
      <c r="A1083" s="63">
        <f t="shared" si="70"/>
        <v>1077</v>
      </c>
      <c r="B1083" s="64">
        <v>46157</v>
      </c>
      <c r="C1083" s="87"/>
      <c r="D1083" s="66" t="s">
        <v>155</v>
      </c>
      <c r="E1083" s="66" t="s">
        <v>155</v>
      </c>
      <c r="F1083" s="66" t="s">
        <v>985</v>
      </c>
      <c r="G1083" s="66" t="s">
        <v>754</v>
      </c>
      <c r="H1083" s="66" t="s">
        <v>986</v>
      </c>
      <c r="I1083" s="66" t="s">
        <v>154</v>
      </c>
      <c r="J1083" s="66" t="s">
        <v>152</v>
      </c>
      <c r="K1083" s="66" t="s">
        <v>747</v>
      </c>
      <c r="L1083" s="67">
        <v>3380000</v>
      </c>
      <c r="M1083" s="67">
        <v>0</v>
      </c>
      <c r="N1083" s="68">
        <f t="shared" si="73"/>
        <v>3380000</v>
      </c>
      <c r="O1083" s="69">
        <f t="shared" si="72"/>
        <v>3380000</v>
      </c>
      <c r="P1083" s="42" t="str">
        <f>IFERROR(VLOOKUP(J1083,'Mã NV'!$B:$C,2,0),"")</f>
        <v>XE00730</v>
      </c>
      <c r="Q1083" s="70" t="str">
        <f>IFERROR(VLOOKUP(I1083,'Mã NV'!$J:$K,2,0),"")</f>
        <v> 3T5 Lạnh </v>
      </c>
      <c r="S1083" s="44">
        <f t="shared" si="71"/>
        <v>101400</v>
      </c>
    </row>
    <row r="1084" customHeight="1" spans="1:19">
      <c r="A1084" s="63">
        <f t="shared" si="70"/>
        <v>1078</v>
      </c>
      <c r="B1084" s="64">
        <v>46157</v>
      </c>
      <c r="C1084" s="87"/>
      <c r="D1084" s="66" t="s">
        <v>155</v>
      </c>
      <c r="E1084" s="66" t="s">
        <v>155</v>
      </c>
      <c r="F1084" s="66" t="s">
        <v>985</v>
      </c>
      <c r="G1084" s="66" t="s">
        <v>754</v>
      </c>
      <c r="H1084" s="66" t="s">
        <v>987</v>
      </c>
      <c r="I1084" s="66" t="s">
        <v>214</v>
      </c>
      <c r="J1084" s="66" t="s">
        <v>212</v>
      </c>
      <c r="K1084" s="66" t="s">
        <v>747</v>
      </c>
      <c r="L1084" s="67">
        <v>2788000</v>
      </c>
      <c r="M1084" s="67">
        <v>0</v>
      </c>
      <c r="N1084" s="68">
        <f t="shared" si="73"/>
        <v>2788000</v>
      </c>
      <c r="O1084" s="69">
        <f t="shared" si="72"/>
        <v>2788000</v>
      </c>
      <c r="P1084" s="42" t="str">
        <f>IFERROR(VLOOKUP(J1084,'Mã NV'!$B:$C,2,0),"")</f>
        <v>XE00977</v>
      </c>
      <c r="Q1084" s="70" t="str">
        <f>IFERROR(VLOOKUP(I1084,'Mã NV'!$J:$K,2,0),"")</f>
        <v>2T5 Lạnh </v>
      </c>
      <c r="S1084" s="44">
        <f t="shared" si="71"/>
        <v>83640</v>
      </c>
    </row>
    <row r="1085" customHeight="1" spans="1:19">
      <c r="A1085" s="63">
        <f t="shared" si="70"/>
        <v>1079</v>
      </c>
      <c r="B1085" s="64">
        <v>46157</v>
      </c>
      <c r="C1085" s="87"/>
      <c r="D1085" s="66" t="s">
        <v>155</v>
      </c>
      <c r="E1085" s="66" t="s">
        <v>155</v>
      </c>
      <c r="F1085" s="66" t="s">
        <v>985</v>
      </c>
      <c r="G1085" s="66" t="s">
        <v>754</v>
      </c>
      <c r="H1085" s="66" t="s">
        <v>820</v>
      </c>
      <c r="I1085" s="66" t="s">
        <v>358</v>
      </c>
      <c r="J1085" s="66" t="s">
        <v>356</v>
      </c>
      <c r="K1085" s="66" t="s">
        <v>747</v>
      </c>
      <c r="L1085" s="67">
        <v>2076000</v>
      </c>
      <c r="M1085" s="67">
        <v>0</v>
      </c>
      <c r="N1085" s="68">
        <f t="shared" si="73"/>
        <v>2076000</v>
      </c>
      <c r="O1085" s="69">
        <f t="shared" si="72"/>
        <v>2076000</v>
      </c>
      <c r="P1085" s="42" t="str">
        <f>IFERROR(VLOOKUP(J1085,'Mã NV'!$B:$C,2,0),"")</f>
        <v>XE01616</v>
      </c>
      <c r="Q1085" s="70" t="str">
        <f>IFERROR(VLOOKUP(I1085,'Mã NV'!$J:$K,2,0),"")</f>
        <v>2.5T Lạnh</v>
      </c>
      <c r="S1085" s="44">
        <f t="shared" si="71"/>
        <v>62280</v>
      </c>
    </row>
    <row r="1086" customHeight="1" spans="1:19">
      <c r="A1086" s="63">
        <f t="shared" si="70"/>
        <v>1080</v>
      </c>
      <c r="B1086" s="64">
        <v>46157</v>
      </c>
      <c r="C1086" s="87"/>
      <c r="D1086" s="66" t="s">
        <v>155</v>
      </c>
      <c r="E1086" s="66" t="s">
        <v>155</v>
      </c>
      <c r="F1086" s="66" t="s">
        <v>985</v>
      </c>
      <c r="G1086" s="66" t="s">
        <v>754</v>
      </c>
      <c r="H1086" s="66" t="s">
        <v>989</v>
      </c>
      <c r="I1086" s="66" t="s">
        <v>214</v>
      </c>
      <c r="J1086" s="66" t="s">
        <v>212</v>
      </c>
      <c r="K1086" s="66" t="s">
        <v>747</v>
      </c>
      <c r="L1086" s="67">
        <v>1720000</v>
      </c>
      <c r="M1086" s="67">
        <v>0</v>
      </c>
      <c r="N1086" s="68">
        <f t="shared" si="73"/>
        <v>1720000</v>
      </c>
      <c r="O1086" s="69">
        <f t="shared" si="72"/>
        <v>1720000</v>
      </c>
      <c r="P1086" s="42" t="str">
        <f>IFERROR(VLOOKUP(J1086,'Mã NV'!$B:$C,2,0),"")</f>
        <v>XE00977</v>
      </c>
      <c r="Q1086" s="70" t="str">
        <f>IFERROR(VLOOKUP(I1086,'Mã NV'!$J:$K,2,0),"")</f>
        <v>2T5 Lạnh </v>
      </c>
      <c r="S1086" s="44">
        <f t="shared" si="71"/>
        <v>51600</v>
      </c>
    </row>
    <row r="1087" customHeight="1" spans="1:19">
      <c r="A1087" s="63">
        <f t="shared" si="70"/>
        <v>1081</v>
      </c>
      <c r="B1087" s="64">
        <v>46158</v>
      </c>
      <c r="C1087" s="87"/>
      <c r="D1087" s="66" t="s">
        <v>155</v>
      </c>
      <c r="E1087" s="66" t="s">
        <v>155</v>
      </c>
      <c r="F1087" s="66" t="s">
        <v>985</v>
      </c>
      <c r="G1087" s="66" t="s">
        <v>754</v>
      </c>
      <c r="H1087" s="66" t="s">
        <v>986</v>
      </c>
      <c r="I1087" s="66" t="s">
        <v>154</v>
      </c>
      <c r="J1087" s="66" t="s">
        <v>152</v>
      </c>
      <c r="K1087" s="66" t="s">
        <v>747</v>
      </c>
      <c r="L1087" s="67">
        <v>3380000</v>
      </c>
      <c r="M1087" s="67">
        <v>0</v>
      </c>
      <c r="N1087" s="68">
        <f t="shared" si="73"/>
        <v>3380000</v>
      </c>
      <c r="O1087" s="69">
        <f t="shared" si="72"/>
        <v>3380000</v>
      </c>
      <c r="P1087" s="42" t="str">
        <f>IFERROR(VLOOKUP(J1087,'Mã NV'!$B:$C,2,0),"")</f>
        <v>XE00730</v>
      </c>
      <c r="Q1087" s="70" t="str">
        <f>IFERROR(VLOOKUP(I1087,'Mã NV'!$J:$K,2,0),"")</f>
        <v> 3T5 Lạnh </v>
      </c>
      <c r="S1087" s="44">
        <f t="shared" si="71"/>
        <v>101400</v>
      </c>
    </row>
    <row r="1088" customHeight="1" spans="1:19">
      <c r="A1088" s="63">
        <f t="shared" si="70"/>
        <v>1082</v>
      </c>
      <c r="B1088" s="64">
        <v>46158</v>
      </c>
      <c r="C1088" s="87"/>
      <c r="D1088" s="66" t="s">
        <v>155</v>
      </c>
      <c r="E1088" s="66" t="s">
        <v>155</v>
      </c>
      <c r="F1088" s="66" t="s">
        <v>985</v>
      </c>
      <c r="G1088" s="66" t="s">
        <v>754</v>
      </c>
      <c r="H1088" s="66" t="s">
        <v>761</v>
      </c>
      <c r="I1088" s="66" t="s">
        <v>214</v>
      </c>
      <c r="J1088" s="66" t="s">
        <v>212</v>
      </c>
      <c r="K1088" s="66" t="s">
        <v>747</v>
      </c>
      <c r="L1088" s="67">
        <v>1779000</v>
      </c>
      <c r="M1088" s="67">
        <v>0</v>
      </c>
      <c r="N1088" s="68">
        <f t="shared" si="73"/>
        <v>1779000</v>
      </c>
      <c r="O1088" s="69">
        <f t="shared" si="72"/>
        <v>1779000</v>
      </c>
      <c r="P1088" s="42" t="str">
        <f>IFERROR(VLOOKUP(J1088,'Mã NV'!$B:$C,2,0),"")</f>
        <v>XE00977</v>
      </c>
      <c r="Q1088" s="70" t="str">
        <f>IFERROR(VLOOKUP(I1088,'Mã NV'!$J:$K,2,0),"")</f>
        <v>2T5 Lạnh </v>
      </c>
      <c r="S1088" s="44">
        <f t="shared" si="71"/>
        <v>53370</v>
      </c>
    </row>
    <row r="1089" customHeight="1" spans="1:19">
      <c r="A1089" s="63">
        <f t="shared" si="70"/>
        <v>1083</v>
      </c>
      <c r="B1089" s="64">
        <v>46158</v>
      </c>
      <c r="C1089" s="87"/>
      <c r="D1089" s="66" t="s">
        <v>155</v>
      </c>
      <c r="E1089" s="66" t="s">
        <v>155</v>
      </c>
      <c r="F1089" s="66" t="s">
        <v>985</v>
      </c>
      <c r="G1089" s="66" t="s">
        <v>754</v>
      </c>
      <c r="H1089" s="66" t="s">
        <v>759</v>
      </c>
      <c r="I1089" s="66" t="s">
        <v>358</v>
      </c>
      <c r="J1089" s="66" t="s">
        <v>356</v>
      </c>
      <c r="K1089" s="66" t="s">
        <v>747</v>
      </c>
      <c r="L1089" s="67">
        <v>2016000</v>
      </c>
      <c r="M1089" s="67">
        <v>0</v>
      </c>
      <c r="N1089" s="68">
        <f t="shared" si="73"/>
        <v>2016000</v>
      </c>
      <c r="O1089" s="69">
        <f t="shared" si="72"/>
        <v>2016000</v>
      </c>
      <c r="P1089" s="42" t="str">
        <f>IFERROR(VLOOKUP(J1089,'Mã NV'!$B:$C,2,0),"")</f>
        <v>XE01616</v>
      </c>
      <c r="Q1089" s="70" t="str">
        <f>IFERROR(VLOOKUP(I1089,'Mã NV'!$J:$K,2,0),"")</f>
        <v>2.5T Lạnh</v>
      </c>
      <c r="S1089" s="44">
        <f t="shared" si="71"/>
        <v>60480</v>
      </c>
    </row>
    <row r="1090" customHeight="1" spans="1:19">
      <c r="A1090" s="63">
        <f t="shared" si="70"/>
        <v>1084</v>
      </c>
      <c r="B1090" s="64">
        <v>46158</v>
      </c>
      <c r="C1090" s="87"/>
      <c r="D1090" s="66" t="s">
        <v>155</v>
      </c>
      <c r="E1090" s="66" t="s">
        <v>155</v>
      </c>
      <c r="F1090" s="66" t="s">
        <v>985</v>
      </c>
      <c r="G1090" s="66" t="s">
        <v>754</v>
      </c>
      <c r="H1090" s="66" t="s">
        <v>820</v>
      </c>
      <c r="I1090" s="66" t="s">
        <v>177</v>
      </c>
      <c r="J1090" s="66" t="s">
        <v>174</v>
      </c>
      <c r="K1090" s="66" t="s">
        <v>747</v>
      </c>
      <c r="L1090" s="67">
        <v>1957000</v>
      </c>
      <c r="M1090" s="67">
        <v>0</v>
      </c>
      <c r="N1090" s="68">
        <f t="shared" si="73"/>
        <v>1957000</v>
      </c>
      <c r="O1090" s="69">
        <f t="shared" si="72"/>
        <v>1957000</v>
      </c>
      <c r="P1090" s="42" t="str">
        <f>IFERROR(VLOOKUP(J1090,'Mã NV'!$B:$C,2,0),"")</f>
        <v>XE00975</v>
      </c>
      <c r="Q1090" s="70" t="str">
        <f>IFERROR(VLOOKUP(I1090,'Mã NV'!$J:$K,2,0),"")</f>
        <v>2.5T Lạnh</v>
      </c>
      <c r="S1090" s="44">
        <f t="shared" si="71"/>
        <v>58710</v>
      </c>
    </row>
    <row r="1091" customHeight="1" spans="1:19">
      <c r="A1091" s="63">
        <f t="shared" si="70"/>
        <v>1085</v>
      </c>
      <c r="B1091" s="64">
        <v>46160</v>
      </c>
      <c r="C1091" s="87"/>
      <c r="D1091" s="66" t="s">
        <v>155</v>
      </c>
      <c r="E1091" s="66" t="s">
        <v>155</v>
      </c>
      <c r="F1091" s="66" t="s">
        <v>985</v>
      </c>
      <c r="G1091" s="66" t="s">
        <v>754</v>
      </c>
      <c r="H1091" s="66" t="s">
        <v>986</v>
      </c>
      <c r="I1091" s="66" t="s">
        <v>154</v>
      </c>
      <c r="J1091" s="66" t="s">
        <v>152</v>
      </c>
      <c r="K1091" s="66" t="s">
        <v>747</v>
      </c>
      <c r="L1091" s="67">
        <v>2788000</v>
      </c>
      <c r="M1091" s="67">
        <v>0</v>
      </c>
      <c r="N1091" s="68">
        <f t="shared" si="73"/>
        <v>2788000</v>
      </c>
      <c r="O1091" s="69">
        <f t="shared" si="72"/>
        <v>2788000</v>
      </c>
      <c r="P1091" s="42" t="str">
        <f>IFERROR(VLOOKUP(J1091,'Mã NV'!$B:$C,2,0),"")</f>
        <v>XE00730</v>
      </c>
      <c r="Q1091" s="70" t="str">
        <f>IFERROR(VLOOKUP(I1091,'Mã NV'!$J:$K,2,0),"")</f>
        <v> 3T5 Lạnh </v>
      </c>
      <c r="S1091" s="44">
        <f t="shared" si="71"/>
        <v>83640</v>
      </c>
    </row>
    <row r="1092" customHeight="1" spans="1:19">
      <c r="A1092" s="63">
        <f t="shared" si="70"/>
        <v>1086</v>
      </c>
      <c r="B1092" s="64">
        <v>46160</v>
      </c>
      <c r="C1092" s="87"/>
      <c r="D1092" s="66" t="s">
        <v>155</v>
      </c>
      <c r="E1092" s="66" t="s">
        <v>155</v>
      </c>
      <c r="F1092" s="66" t="s">
        <v>985</v>
      </c>
      <c r="G1092" s="66" t="s">
        <v>754</v>
      </c>
      <c r="H1092" s="66" t="s">
        <v>987</v>
      </c>
      <c r="I1092" s="66" t="s">
        <v>358</v>
      </c>
      <c r="J1092" s="66" t="s">
        <v>356</v>
      </c>
      <c r="K1092" s="66" t="s">
        <v>747</v>
      </c>
      <c r="L1092" s="67">
        <v>2788000</v>
      </c>
      <c r="M1092" s="67">
        <v>0</v>
      </c>
      <c r="N1092" s="68">
        <f t="shared" si="73"/>
        <v>2788000</v>
      </c>
      <c r="O1092" s="69">
        <f t="shared" si="72"/>
        <v>2788000</v>
      </c>
      <c r="P1092" s="42" t="str">
        <f>IFERROR(VLOOKUP(J1092,'Mã NV'!$B:$C,2,0),"")</f>
        <v>XE01616</v>
      </c>
      <c r="Q1092" s="70" t="str">
        <f>IFERROR(VLOOKUP(I1092,'Mã NV'!$J:$K,2,0),"")</f>
        <v>2.5T Lạnh</v>
      </c>
      <c r="S1092" s="44">
        <f t="shared" si="71"/>
        <v>83640</v>
      </c>
    </row>
    <row r="1093" customHeight="1" spans="1:19">
      <c r="A1093" s="63">
        <f t="shared" si="70"/>
        <v>1087</v>
      </c>
      <c r="B1093" s="64">
        <v>46160</v>
      </c>
      <c r="C1093" s="87"/>
      <c r="D1093" s="66" t="s">
        <v>155</v>
      </c>
      <c r="E1093" s="66" t="s">
        <v>155</v>
      </c>
      <c r="F1093" s="66" t="s">
        <v>985</v>
      </c>
      <c r="G1093" s="66" t="s">
        <v>754</v>
      </c>
      <c r="H1093" s="66" t="s">
        <v>991</v>
      </c>
      <c r="I1093" s="66" t="s">
        <v>214</v>
      </c>
      <c r="J1093" s="66" t="s">
        <v>212</v>
      </c>
      <c r="K1093" s="66" t="s">
        <v>747</v>
      </c>
      <c r="L1093" s="67">
        <v>3024000</v>
      </c>
      <c r="M1093" s="67">
        <v>0</v>
      </c>
      <c r="N1093" s="68">
        <f t="shared" si="73"/>
        <v>3024000</v>
      </c>
      <c r="O1093" s="69">
        <f t="shared" si="72"/>
        <v>3024000</v>
      </c>
      <c r="P1093" s="42" t="str">
        <f>IFERROR(VLOOKUP(J1093,'Mã NV'!$B:$C,2,0),"")</f>
        <v>XE00977</v>
      </c>
      <c r="Q1093" s="70" t="str">
        <f>IFERROR(VLOOKUP(I1093,'Mã NV'!$J:$K,2,0),"")</f>
        <v>2T5 Lạnh </v>
      </c>
      <c r="S1093" s="44">
        <f t="shared" si="71"/>
        <v>90720</v>
      </c>
    </row>
    <row r="1094" customHeight="1" spans="1:19">
      <c r="A1094" s="63">
        <f t="shared" si="70"/>
        <v>1088</v>
      </c>
      <c r="B1094" s="64">
        <v>46160</v>
      </c>
      <c r="C1094" s="87"/>
      <c r="D1094" s="66" t="s">
        <v>155</v>
      </c>
      <c r="E1094" s="66" t="s">
        <v>155</v>
      </c>
      <c r="F1094" s="66" t="s">
        <v>985</v>
      </c>
      <c r="G1094" s="66" t="s">
        <v>754</v>
      </c>
      <c r="H1094" s="66" t="s">
        <v>820</v>
      </c>
      <c r="I1094" s="66" t="s">
        <v>214</v>
      </c>
      <c r="J1094" s="66" t="s">
        <v>212</v>
      </c>
      <c r="K1094" s="66" t="s">
        <v>747</v>
      </c>
      <c r="L1094" s="67">
        <v>1957000</v>
      </c>
      <c r="M1094" s="67">
        <v>0</v>
      </c>
      <c r="N1094" s="68">
        <f t="shared" si="73"/>
        <v>1957000</v>
      </c>
      <c r="O1094" s="69">
        <f t="shared" si="72"/>
        <v>1957000</v>
      </c>
      <c r="P1094" s="42" t="str">
        <f>IFERROR(VLOOKUP(J1094,'Mã NV'!$B:$C,2,0),"")</f>
        <v>XE00977</v>
      </c>
      <c r="Q1094" s="70" t="str">
        <f>IFERROR(VLOOKUP(I1094,'Mã NV'!$J:$K,2,0),"")</f>
        <v>2T5 Lạnh </v>
      </c>
      <c r="S1094" s="44">
        <f t="shared" si="71"/>
        <v>58710</v>
      </c>
    </row>
    <row r="1095" customHeight="1" spans="1:19">
      <c r="A1095" s="63">
        <f t="shared" si="70"/>
        <v>1089</v>
      </c>
      <c r="B1095" s="64">
        <v>46161</v>
      </c>
      <c r="C1095" s="87"/>
      <c r="D1095" s="66" t="s">
        <v>155</v>
      </c>
      <c r="E1095" s="66" t="s">
        <v>155</v>
      </c>
      <c r="F1095" s="66" t="s">
        <v>985</v>
      </c>
      <c r="G1095" s="66" t="s">
        <v>754</v>
      </c>
      <c r="H1095" s="66" t="s">
        <v>986</v>
      </c>
      <c r="I1095" s="66" t="s">
        <v>154</v>
      </c>
      <c r="J1095" s="66" t="s">
        <v>152</v>
      </c>
      <c r="K1095" s="66" t="s">
        <v>747</v>
      </c>
      <c r="L1095" s="67">
        <v>2788000</v>
      </c>
      <c r="M1095" s="67">
        <v>0</v>
      </c>
      <c r="N1095" s="68">
        <f t="shared" si="73"/>
        <v>2788000</v>
      </c>
      <c r="O1095" s="69">
        <f t="shared" si="72"/>
        <v>2788000</v>
      </c>
      <c r="P1095" s="42" t="str">
        <f>IFERROR(VLOOKUP(J1095,'Mã NV'!$B:$C,2,0),"")</f>
        <v>XE00730</v>
      </c>
      <c r="Q1095" s="70" t="str">
        <f>IFERROR(VLOOKUP(I1095,'Mã NV'!$J:$K,2,0),"")</f>
        <v> 3T5 Lạnh </v>
      </c>
      <c r="S1095" s="44">
        <f t="shared" si="71"/>
        <v>83640</v>
      </c>
    </row>
    <row r="1096" customHeight="1" spans="1:19">
      <c r="A1096" s="63">
        <f t="shared" si="70"/>
        <v>1090</v>
      </c>
      <c r="B1096" s="64">
        <v>46161</v>
      </c>
      <c r="C1096" s="87"/>
      <c r="D1096" s="66" t="s">
        <v>155</v>
      </c>
      <c r="E1096" s="66" t="s">
        <v>155</v>
      </c>
      <c r="F1096" s="66" t="s">
        <v>985</v>
      </c>
      <c r="G1096" s="66" t="s">
        <v>754</v>
      </c>
      <c r="H1096" s="66" t="s">
        <v>987</v>
      </c>
      <c r="I1096" s="66" t="s">
        <v>358</v>
      </c>
      <c r="J1096" s="66" t="s">
        <v>356</v>
      </c>
      <c r="K1096" s="66" t="s">
        <v>747</v>
      </c>
      <c r="L1096" s="67">
        <v>2788000</v>
      </c>
      <c r="M1096" s="67">
        <v>0</v>
      </c>
      <c r="N1096" s="68">
        <f t="shared" si="73"/>
        <v>2788000</v>
      </c>
      <c r="O1096" s="69">
        <f t="shared" si="72"/>
        <v>2788000</v>
      </c>
      <c r="P1096" s="42" t="str">
        <f>IFERROR(VLOOKUP(J1096,'Mã NV'!$B:$C,2,0),"")</f>
        <v>XE01616</v>
      </c>
      <c r="Q1096" s="70" t="str">
        <f>IFERROR(VLOOKUP(I1096,'Mã NV'!$J:$K,2,0),"")</f>
        <v>2.5T Lạnh</v>
      </c>
      <c r="S1096" s="44">
        <f t="shared" si="71"/>
        <v>83640</v>
      </c>
    </row>
    <row r="1097" customHeight="1" spans="1:19">
      <c r="A1097" s="63">
        <f t="shared" si="70"/>
        <v>1091</v>
      </c>
      <c r="B1097" s="64">
        <v>46162</v>
      </c>
      <c r="C1097" s="87"/>
      <c r="D1097" s="66" t="s">
        <v>155</v>
      </c>
      <c r="E1097" s="66" t="s">
        <v>155</v>
      </c>
      <c r="F1097" s="66" t="s">
        <v>985</v>
      </c>
      <c r="G1097" s="66" t="s">
        <v>754</v>
      </c>
      <c r="H1097" s="66" t="s">
        <v>986</v>
      </c>
      <c r="I1097" s="66" t="s">
        <v>154</v>
      </c>
      <c r="J1097" s="66" t="s">
        <v>152</v>
      </c>
      <c r="K1097" s="66" t="s">
        <v>747</v>
      </c>
      <c r="L1097" s="67">
        <v>2490000</v>
      </c>
      <c r="M1097" s="67">
        <v>0</v>
      </c>
      <c r="N1097" s="68">
        <f t="shared" si="73"/>
        <v>2490000</v>
      </c>
      <c r="O1097" s="69">
        <f t="shared" si="72"/>
        <v>2490000</v>
      </c>
      <c r="P1097" s="42" t="str">
        <f>IFERROR(VLOOKUP(J1097,'Mã NV'!$B:$C,2,0),"")</f>
        <v>XE00730</v>
      </c>
      <c r="Q1097" s="70" t="str">
        <f>IFERROR(VLOOKUP(I1097,'Mã NV'!$J:$K,2,0),"")</f>
        <v> 3T5 Lạnh </v>
      </c>
      <c r="S1097" s="44">
        <f t="shared" si="71"/>
        <v>74700</v>
      </c>
    </row>
    <row r="1098" customHeight="1" spans="1:19">
      <c r="A1098" s="63">
        <f t="shared" si="70"/>
        <v>1092</v>
      </c>
      <c r="B1098" s="64">
        <v>46162</v>
      </c>
      <c r="C1098" s="87"/>
      <c r="D1098" s="66" t="s">
        <v>155</v>
      </c>
      <c r="E1098" s="66" t="s">
        <v>155</v>
      </c>
      <c r="F1098" s="66" t="s">
        <v>985</v>
      </c>
      <c r="G1098" s="66" t="s">
        <v>754</v>
      </c>
      <c r="H1098" s="66" t="s">
        <v>987</v>
      </c>
      <c r="I1098" s="66" t="s">
        <v>358</v>
      </c>
      <c r="J1098" s="66" t="s">
        <v>356</v>
      </c>
      <c r="K1098" s="66" t="s">
        <v>747</v>
      </c>
      <c r="L1098" s="67">
        <v>2490000</v>
      </c>
      <c r="M1098" s="67">
        <v>0</v>
      </c>
      <c r="N1098" s="68">
        <f t="shared" si="73"/>
        <v>2490000</v>
      </c>
      <c r="O1098" s="69">
        <f t="shared" si="72"/>
        <v>2490000</v>
      </c>
      <c r="P1098" s="42" t="str">
        <f>IFERROR(VLOOKUP(J1098,'Mã NV'!$B:$C,2,0),"")</f>
        <v>XE01616</v>
      </c>
      <c r="Q1098" s="70" t="str">
        <f>IFERROR(VLOOKUP(I1098,'Mã NV'!$J:$K,2,0),"")</f>
        <v>2.5T Lạnh</v>
      </c>
      <c r="S1098" s="44">
        <f t="shared" si="71"/>
        <v>74700</v>
      </c>
    </row>
    <row r="1099" customHeight="1" spans="1:19">
      <c r="A1099" s="63">
        <f t="shared" si="70"/>
        <v>1093</v>
      </c>
      <c r="B1099" s="64">
        <v>46162</v>
      </c>
      <c r="C1099" s="87"/>
      <c r="D1099" s="66" t="s">
        <v>155</v>
      </c>
      <c r="E1099" s="66" t="s">
        <v>155</v>
      </c>
      <c r="F1099" s="66" t="s">
        <v>985</v>
      </c>
      <c r="G1099" s="66" t="s">
        <v>754</v>
      </c>
      <c r="H1099" s="66" t="s">
        <v>820</v>
      </c>
      <c r="I1099" s="66" t="s">
        <v>214</v>
      </c>
      <c r="J1099" s="66" t="s">
        <v>212</v>
      </c>
      <c r="K1099" s="66" t="s">
        <v>747</v>
      </c>
      <c r="L1099" s="67">
        <v>1957000</v>
      </c>
      <c r="M1099" s="67">
        <v>0</v>
      </c>
      <c r="N1099" s="68">
        <f t="shared" si="73"/>
        <v>1957000</v>
      </c>
      <c r="O1099" s="69">
        <f t="shared" si="72"/>
        <v>1957000</v>
      </c>
      <c r="P1099" s="42" t="str">
        <f>IFERROR(VLOOKUP(J1099,'Mã NV'!$B:$C,2,0),"")</f>
        <v>XE00977</v>
      </c>
      <c r="Q1099" s="70" t="str">
        <f>IFERROR(VLOOKUP(I1099,'Mã NV'!$J:$K,2,0),"")</f>
        <v>2T5 Lạnh </v>
      </c>
      <c r="S1099" s="44">
        <f t="shared" si="71"/>
        <v>58710</v>
      </c>
    </row>
    <row r="1100" customHeight="1" spans="1:19">
      <c r="A1100" s="63">
        <f t="shared" si="70"/>
        <v>1094</v>
      </c>
      <c r="B1100" s="64">
        <v>46163</v>
      </c>
      <c r="C1100" s="87"/>
      <c r="D1100" s="66" t="s">
        <v>155</v>
      </c>
      <c r="E1100" s="66" t="s">
        <v>155</v>
      </c>
      <c r="F1100" s="66" t="s">
        <v>985</v>
      </c>
      <c r="G1100" s="66" t="s">
        <v>754</v>
      </c>
      <c r="H1100" s="66" t="s">
        <v>986</v>
      </c>
      <c r="I1100" s="66" t="s">
        <v>154</v>
      </c>
      <c r="J1100" s="66" t="s">
        <v>152</v>
      </c>
      <c r="K1100" s="66" t="s">
        <v>747</v>
      </c>
      <c r="L1100" s="67">
        <v>2490000</v>
      </c>
      <c r="M1100" s="67">
        <v>0</v>
      </c>
      <c r="N1100" s="68">
        <f t="shared" si="73"/>
        <v>2490000</v>
      </c>
      <c r="O1100" s="69">
        <f t="shared" si="72"/>
        <v>2490000</v>
      </c>
      <c r="P1100" s="42" t="str">
        <f>IFERROR(VLOOKUP(J1100,'Mã NV'!$B:$C,2,0),"")</f>
        <v>XE00730</v>
      </c>
      <c r="Q1100" s="70" t="str">
        <f>IFERROR(VLOOKUP(I1100,'Mã NV'!$J:$K,2,0),"")</f>
        <v> 3T5 Lạnh </v>
      </c>
      <c r="S1100" s="44">
        <f t="shared" si="71"/>
        <v>74700</v>
      </c>
    </row>
    <row r="1101" customHeight="1" spans="1:19">
      <c r="A1101" s="63">
        <f t="shared" si="70"/>
        <v>1095</v>
      </c>
      <c r="B1101" s="64">
        <v>46163</v>
      </c>
      <c r="C1101" s="87"/>
      <c r="D1101" s="66" t="s">
        <v>155</v>
      </c>
      <c r="E1101" s="66" t="s">
        <v>155</v>
      </c>
      <c r="F1101" s="66" t="s">
        <v>985</v>
      </c>
      <c r="G1101" s="66" t="s">
        <v>754</v>
      </c>
      <c r="H1101" s="66" t="s">
        <v>987</v>
      </c>
      <c r="I1101" s="66" t="s">
        <v>214</v>
      </c>
      <c r="J1101" s="66" t="s">
        <v>212</v>
      </c>
      <c r="K1101" s="66" t="s">
        <v>747</v>
      </c>
      <c r="L1101" s="67">
        <v>2490000</v>
      </c>
      <c r="M1101" s="67">
        <v>0</v>
      </c>
      <c r="N1101" s="68">
        <f t="shared" si="73"/>
        <v>2490000</v>
      </c>
      <c r="O1101" s="69">
        <f t="shared" si="72"/>
        <v>2490000</v>
      </c>
      <c r="P1101" s="42" t="str">
        <f>IFERROR(VLOOKUP(J1101,'Mã NV'!$B:$C,2,0),"")</f>
        <v>XE00977</v>
      </c>
      <c r="Q1101" s="70" t="str">
        <f>IFERROR(VLOOKUP(I1101,'Mã NV'!$J:$K,2,0),"")</f>
        <v>2T5 Lạnh </v>
      </c>
      <c r="S1101" s="44">
        <f t="shared" si="71"/>
        <v>74700</v>
      </c>
    </row>
    <row r="1102" customHeight="1" spans="1:19">
      <c r="A1102" s="63">
        <f t="shared" si="70"/>
        <v>1096</v>
      </c>
      <c r="B1102" s="64">
        <v>46163</v>
      </c>
      <c r="C1102" s="87"/>
      <c r="D1102" s="66" t="s">
        <v>155</v>
      </c>
      <c r="E1102" s="66" t="s">
        <v>155</v>
      </c>
      <c r="F1102" s="66" t="s">
        <v>985</v>
      </c>
      <c r="G1102" s="66" t="s">
        <v>754</v>
      </c>
      <c r="H1102" s="66" t="s">
        <v>820</v>
      </c>
      <c r="I1102" s="66" t="s">
        <v>358</v>
      </c>
      <c r="J1102" s="66" t="s">
        <v>356</v>
      </c>
      <c r="K1102" s="66" t="s">
        <v>747</v>
      </c>
      <c r="L1102" s="67">
        <v>1957000</v>
      </c>
      <c r="M1102" s="67">
        <v>0</v>
      </c>
      <c r="N1102" s="68">
        <f t="shared" si="73"/>
        <v>1957000</v>
      </c>
      <c r="O1102" s="69">
        <f t="shared" si="72"/>
        <v>1957000</v>
      </c>
      <c r="P1102" s="42" t="str">
        <f>IFERROR(VLOOKUP(J1102,'Mã NV'!$B:$C,2,0),"")</f>
        <v>XE01616</v>
      </c>
      <c r="Q1102" s="70" t="str">
        <f>IFERROR(VLOOKUP(I1102,'Mã NV'!$J:$K,2,0),"")</f>
        <v>2.5T Lạnh</v>
      </c>
      <c r="S1102" s="44">
        <f t="shared" si="71"/>
        <v>58710</v>
      </c>
    </row>
    <row r="1103" customHeight="1" spans="1:19">
      <c r="A1103" s="63">
        <f t="shared" ref="A1103:A1166" si="74">A1102+1</f>
        <v>1097</v>
      </c>
      <c r="B1103" s="64">
        <v>46163</v>
      </c>
      <c r="C1103" s="87"/>
      <c r="D1103" s="66" t="s">
        <v>155</v>
      </c>
      <c r="E1103" s="66" t="s">
        <v>155</v>
      </c>
      <c r="F1103" s="66" t="s">
        <v>985</v>
      </c>
      <c r="G1103" s="66" t="s">
        <v>754</v>
      </c>
      <c r="H1103" s="66" t="s">
        <v>767</v>
      </c>
      <c r="I1103" s="66" t="s">
        <v>177</v>
      </c>
      <c r="J1103" s="66" t="s">
        <v>174</v>
      </c>
      <c r="K1103" s="66" t="s">
        <v>747</v>
      </c>
      <c r="L1103" s="67">
        <v>1423000</v>
      </c>
      <c r="M1103" s="67">
        <v>0</v>
      </c>
      <c r="N1103" s="68">
        <f t="shared" si="73"/>
        <v>1423000</v>
      </c>
      <c r="O1103" s="69">
        <f t="shared" si="72"/>
        <v>1423000</v>
      </c>
      <c r="P1103" s="42" t="str">
        <f>IFERROR(VLOOKUP(J1103,'Mã NV'!$B:$C,2,0),"")</f>
        <v>XE00975</v>
      </c>
      <c r="Q1103" s="70" t="str">
        <f>IFERROR(VLOOKUP(I1103,'Mã NV'!$J:$K,2,0),"")</f>
        <v>2.5T Lạnh</v>
      </c>
      <c r="S1103" s="44">
        <f t="shared" si="71"/>
        <v>42690</v>
      </c>
    </row>
    <row r="1104" customHeight="1" spans="1:19">
      <c r="A1104" s="63">
        <f t="shared" si="74"/>
        <v>1098</v>
      </c>
      <c r="B1104" s="64">
        <v>46164</v>
      </c>
      <c r="C1104" s="87"/>
      <c r="D1104" s="66" t="s">
        <v>155</v>
      </c>
      <c r="E1104" s="66" t="s">
        <v>155</v>
      </c>
      <c r="F1104" s="66" t="s">
        <v>985</v>
      </c>
      <c r="G1104" s="66" t="s">
        <v>754</v>
      </c>
      <c r="H1104" s="66" t="s">
        <v>986</v>
      </c>
      <c r="I1104" s="66" t="s">
        <v>154</v>
      </c>
      <c r="J1104" s="66" t="s">
        <v>152</v>
      </c>
      <c r="K1104" s="66" t="s">
        <v>747</v>
      </c>
      <c r="L1104" s="67">
        <v>3380000</v>
      </c>
      <c r="M1104" s="67">
        <v>0</v>
      </c>
      <c r="N1104" s="68">
        <f t="shared" si="73"/>
        <v>3380000</v>
      </c>
      <c r="O1104" s="69">
        <f t="shared" si="72"/>
        <v>3380000</v>
      </c>
      <c r="P1104" s="42" t="str">
        <f>IFERROR(VLOOKUP(J1104,'Mã NV'!$B:$C,2,0),"")</f>
        <v>XE00730</v>
      </c>
      <c r="Q1104" s="70" t="str">
        <f>IFERROR(VLOOKUP(I1104,'Mã NV'!$J:$K,2,0),"")</f>
        <v> 3T5 Lạnh </v>
      </c>
      <c r="S1104" s="44">
        <f t="shared" si="71"/>
        <v>101400</v>
      </c>
    </row>
    <row r="1105" customHeight="1" spans="1:19">
      <c r="A1105" s="63">
        <f t="shared" si="74"/>
        <v>1099</v>
      </c>
      <c r="B1105" s="64">
        <v>46164</v>
      </c>
      <c r="C1105" s="87"/>
      <c r="D1105" s="66" t="s">
        <v>155</v>
      </c>
      <c r="E1105" s="66" t="s">
        <v>155</v>
      </c>
      <c r="F1105" s="66" t="s">
        <v>985</v>
      </c>
      <c r="G1105" s="66" t="s">
        <v>754</v>
      </c>
      <c r="H1105" s="66" t="s">
        <v>987</v>
      </c>
      <c r="I1105" s="66" t="s">
        <v>214</v>
      </c>
      <c r="J1105" s="66" t="s">
        <v>212</v>
      </c>
      <c r="K1105" s="66" t="s">
        <v>747</v>
      </c>
      <c r="L1105" s="67">
        <v>2788000</v>
      </c>
      <c r="M1105" s="67">
        <v>0</v>
      </c>
      <c r="N1105" s="68">
        <f t="shared" si="73"/>
        <v>2788000</v>
      </c>
      <c r="O1105" s="69">
        <f t="shared" si="72"/>
        <v>2788000</v>
      </c>
      <c r="P1105" s="42" t="str">
        <f>IFERROR(VLOOKUP(J1105,'Mã NV'!$B:$C,2,0),"")</f>
        <v>XE00977</v>
      </c>
      <c r="Q1105" s="70" t="str">
        <f>IFERROR(VLOOKUP(I1105,'Mã NV'!$J:$K,2,0),"")</f>
        <v>2T5 Lạnh </v>
      </c>
      <c r="S1105" s="44">
        <f t="shared" si="71"/>
        <v>83640</v>
      </c>
    </row>
    <row r="1106" customHeight="1" spans="1:19">
      <c r="A1106" s="63">
        <f t="shared" si="74"/>
        <v>1100</v>
      </c>
      <c r="B1106" s="64">
        <v>46164</v>
      </c>
      <c r="C1106" s="87"/>
      <c r="D1106" s="66" t="s">
        <v>155</v>
      </c>
      <c r="E1106" s="66" t="s">
        <v>155</v>
      </c>
      <c r="F1106" s="66" t="s">
        <v>985</v>
      </c>
      <c r="G1106" s="66" t="s">
        <v>754</v>
      </c>
      <c r="H1106" s="66" t="s">
        <v>820</v>
      </c>
      <c r="I1106" s="66" t="s">
        <v>358</v>
      </c>
      <c r="J1106" s="66" t="s">
        <v>356</v>
      </c>
      <c r="K1106" s="66" t="s">
        <v>747</v>
      </c>
      <c r="L1106" s="67">
        <v>1957000</v>
      </c>
      <c r="M1106" s="67">
        <v>0</v>
      </c>
      <c r="N1106" s="68">
        <f t="shared" si="73"/>
        <v>1957000</v>
      </c>
      <c r="O1106" s="69">
        <f t="shared" si="72"/>
        <v>1957000</v>
      </c>
      <c r="P1106" s="42" t="str">
        <f>IFERROR(VLOOKUP(J1106,'Mã NV'!$B:$C,2,0),"")</f>
        <v>XE01616</v>
      </c>
      <c r="Q1106" s="70" t="str">
        <f>IFERROR(VLOOKUP(I1106,'Mã NV'!$J:$K,2,0),"")</f>
        <v>2.5T Lạnh</v>
      </c>
      <c r="S1106" s="44">
        <f t="shared" si="71"/>
        <v>58710</v>
      </c>
    </row>
    <row r="1107" customHeight="1" spans="1:19">
      <c r="A1107" s="63">
        <f t="shared" si="74"/>
        <v>1101</v>
      </c>
      <c r="B1107" s="64">
        <v>46164</v>
      </c>
      <c r="C1107" s="87"/>
      <c r="D1107" s="66" t="s">
        <v>155</v>
      </c>
      <c r="E1107" s="66" t="s">
        <v>155</v>
      </c>
      <c r="F1107" s="66" t="s">
        <v>985</v>
      </c>
      <c r="G1107" s="66" t="s">
        <v>754</v>
      </c>
      <c r="H1107" s="66" t="s">
        <v>767</v>
      </c>
      <c r="I1107" s="66" t="s">
        <v>177</v>
      </c>
      <c r="J1107" s="66" t="s">
        <v>174</v>
      </c>
      <c r="K1107" s="66" t="s">
        <v>747</v>
      </c>
      <c r="L1107" s="67">
        <v>1423000</v>
      </c>
      <c r="M1107" s="67">
        <v>0</v>
      </c>
      <c r="N1107" s="68">
        <f t="shared" si="73"/>
        <v>1423000</v>
      </c>
      <c r="O1107" s="69">
        <f t="shared" si="72"/>
        <v>1423000</v>
      </c>
      <c r="P1107" s="42" t="str">
        <f>IFERROR(VLOOKUP(J1107,'Mã NV'!$B:$C,2,0),"")</f>
        <v>XE00975</v>
      </c>
      <c r="Q1107" s="70" t="str">
        <f>IFERROR(VLOOKUP(I1107,'Mã NV'!$J:$K,2,0),"")</f>
        <v>2.5T Lạnh</v>
      </c>
      <c r="S1107" s="44">
        <f t="shared" ref="S1107:S1133" si="75">L1107*3%</f>
        <v>42690</v>
      </c>
    </row>
    <row r="1108" customHeight="1" spans="1:19">
      <c r="A1108" s="63">
        <f t="shared" si="74"/>
        <v>1102</v>
      </c>
      <c r="B1108" s="64">
        <v>46165</v>
      </c>
      <c r="C1108" s="87"/>
      <c r="D1108" s="66" t="s">
        <v>155</v>
      </c>
      <c r="E1108" s="66" t="s">
        <v>155</v>
      </c>
      <c r="F1108" s="66" t="s">
        <v>985</v>
      </c>
      <c r="G1108" s="66" t="s">
        <v>754</v>
      </c>
      <c r="H1108" s="66" t="s">
        <v>986</v>
      </c>
      <c r="I1108" s="66" t="s">
        <v>154</v>
      </c>
      <c r="J1108" s="66" t="s">
        <v>152</v>
      </c>
      <c r="K1108" s="66" t="s">
        <v>747</v>
      </c>
      <c r="L1108" s="67">
        <v>3380000</v>
      </c>
      <c r="M1108" s="67">
        <v>0</v>
      </c>
      <c r="N1108" s="68">
        <f t="shared" si="73"/>
        <v>3380000</v>
      </c>
      <c r="O1108" s="69">
        <f t="shared" si="72"/>
        <v>3380000</v>
      </c>
      <c r="P1108" s="42" t="str">
        <f>IFERROR(VLOOKUP(J1108,'Mã NV'!$B:$C,2,0),"")</f>
        <v>XE00730</v>
      </c>
      <c r="Q1108" s="70" t="str">
        <f>IFERROR(VLOOKUP(I1108,'Mã NV'!$J:$K,2,0),"")</f>
        <v> 3T5 Lạnh </v>
      </c>
      <c r="S1108" s="44">
        <f t="shared" si="75"/>
        <v>101400</v>
      </c>
    </row>
    <row r="1109" customHeight="1" spans="1:19">
      <c r="A1109" s="63">
        <f t="shared" si="74"/>
        <v>1103</v>
      </c>
      <c r="B1109" s="64">
        <v>46165</v>
      </c>
      <c r="C1109" s="87"/>
      <c r="D1109" s="66" t="s">
        <v>155</v>
      </c>
      <c r="E1109" s="66" t="s">
        <v>155</v>
      </c>
      <c r="F1109" s="66" t="s">
        <v>985</v>
      </c>
      <c r="G1109" s="66" t="s">
        <v>754</v>
      </c>
      <c r="H1109" s="66" t="s">
        <v>759</v>
      </c>
      <c r="I1109" s="66" t="s">
        <v>214</v>
      </c>
      <c r="J1109" s="66" t="s">
        <v>212</v>
      </c>
      <c r="K1109" s="66" t="s">
        <v>747</v>
      </c>
      <c r="L1109" s="67">
        <v>2253000</v>
      </c>
      <c r="M1109" s="67">
        <v>0</v>
      </c>
      <c r="N1109" s="68">
        <f t="shared" si="73"/>
        <v>2253000</v>
      </c>
      <c r="O1109" s="69">
        <f t="shared" si="72"/>
        <v>2253000</v>
      </c>
      <c r="P1109" s="42" t="str">
        <f>IFERROR(VLOOKUP(J1109,'Mã NV'!$B:$C,2,0),"")</f>
        <v>XE00977</v>
      </c>
      <c r="Q1109" s="70" t="str">
        <f>IFERROR(VLOOKUP(I1109,'Mã NV'!$J:$K,2,0),"")</f>
        <v>2T5 Lạnh </v>
      </c>
      <c r="S1109" s="44">
        <f t="shared" si="75"/>
        <v>67590</v>
      </c>
    </row>
    <row r="1110" customHeight="1" spans="1:19">
      <c r="A1110" s="63">
        <f t="shared" si="74"/>
        <v>1104</v>
      </c>
      <c r="B1110" s="64">
        <v>46165</v>
      </c>
      <c r="C1110" s="87"/>
      <c r="D1110" s="66" t="s">
        <v>155</v>
      </c>
      <c r="E1110" s="66" t="s">
        <v>155</v>
      </c>
      <c r="F1110" s="66" t="s">
        <v>985</v>
      </c>
      <c r="G1110" s="66" t="s">
        <v>754</v>
      </c>
      <c r="H1110" s="66" t="s">
        <v>820</v>
      </c>
      <c r="I1110" s="66" t="s">
        <v>177</v>
      </c>
      <c r="J1110" s="66" t="s">
        <v>174</v>
      </c>
      <c r="K1110" s="66" t="s">
        <v>747</v>
      </c>
      <c r="L1110" s="67">
        <v>1957000</v>
      </c>
      <c r="M1110" s="67">
        <v>0</v>
      </c>
      <c r="N1110" s="68">
        <f t="shared" si="73"/>
        <v>1957000</v>
      </c>
      <c r="O1110" s="69">
        <f t="shared" si="72"/>
        <v>1957000</v>
      </c>
      <c r="P1110" s="42" t="str">
        <f>IFERROR(VLOOKUP(J1110,'Mã NV'!$B:$C,2,0),"")</f>
        <v>XE00975</v>
      </c>
      <c r="Q1110" s="70" t="str">
        <f>IFERROR(VLOOKUP(I1110,'Mã NV'!$J:$K,2,0),"")</f>
        <v>2.5T Lạnh</v>
      </c>
      <c r="S1110" s="44">
        <f t="shared" si="75"/>
        <v>58710</v>
      </c>
    </row>
    <row r="1111" customHeight="1" spans="1:19">
      <c r="A1111" s="63">
        <f t="shared" si="74"/>
        <v>1105</v>
      </c>
      <c r="B1111" s="64">
        <v>46165</v>
      </c>
      <c r="C1111" s="87"/>
      <c r="D1111" s="66" t="s">
        <v>155</v>
      </c>
      <c r="E1111" s="66" t="s">
        <v>155</v>
      </c>
      <c r="F1111" s="66" t="s">
        <v>985</v>
      </c>
      <c r="G1111" s="66" t="s">
        <v>754</v>
      </c>
      <c r="H1111" s="66" t="s">
        <v>761</v>
      </c>
      <c r="I1111" s="66" t="s">
        <v>358</v>
      </c>
      <c r="J1111" s="66" t="s">
        <v>356</v>
      </c>
      <c r="K1111" s="66" t="s">
        <v>747</v>
      </c>
      <c r="L1111" s="67">
        <v>1482000</v>
      </c>
      <c r="M1111" s="67">
        <v>0</v>
      </c>
      <c r="N1111" s="68">
        <f t="shared" si="73"/>
        <v>1482000</v>
      </c>
      <c r="O1111" s="69">
        <f t="shared" si="72"/>
        <v>1482000</v>
      </c>
      <c r="P1111" s="42" t="str">
        <f>IFERROR(VLOOKUP(J1111,'Mã NV'!$B:$C,2,0),"")</f>
        <v>XE01616</v>
      </c>
      <c r="Q1111" s="70" t="str">
        <f>IFERROR(VLOOKUP(I1111,'Mã NV'!$J:$K,2,0),"")</f>
        <v>2.5T Lạnh</v>
      </c>
      <c r="S1111" s="44">
        <f t="shared" si="75"/>
        <v>44460</v>
      </c>
    </row>
    <row r="1112" customHeight="1" spans="1:19">
      <c r="A1112" s="63">
        <f t="shared" si="74"/>
        <v>1106</v>
      </c>
      <c r="B1112" s="64">
        <v>46167</v>
      </c>
      <c r="C1112" s="87"/>
      <c r="D1112" s="66" t="s">
        <v>155</v>
      </c>
      <c r="E1112" s="66" t="s">
        <v>155</v>
      </c>
      <c r="F1112" s="66" t="s">
        <v>985</v>
      </c>
      <c r="G1112" s="66" t="s">
        <v>754</v>
      </c>
      <c r="H1112" s="66" t="s">
        <v>986</v>
      </c>
      <c r="I1112" s="66" t="s">
        <v>154</v>
      </c>
      <c r="J1112" s="66" t="s">
        <v>152</v>
      </c>
      <c r="K1112" s="66" t="s">
        <v>747</v>
      </c>
      <c r="L1112" s="67">
        <v>2490000</v>
      </c>
      <c r="M1112" s="67">
        <v>0</v>
      </c>
      <c r="N1112" s="68">
        <f t="shared" si="73"/>
        <v>2490000</v>
      </c>
      <c r="O1112" s="69">
        <f t="shared" si="72"/>
        <v>2490000</v>
      </c>
      <c r="P1112" s="42" t="str">
        <f>IFERROR(VLOOKUP(J1112,'Mã NV'!$B:$C,2,0),"")</f>
        <v>XE00730</v>
      </c>
      <c r="Q1112" s="70" t="str">
        <f>IFERROR(VLOOKUP(I1112,'Mã NV'!$J:$K,2,0),"")</f>
        <v> 3T5 Lạnh </v>
      </c>
      <c r="S1112" s="44">
        <f t="shared" si="75"/>
        <v>74700</v>
      </c>
    </row>
    <row r="1113" customHeight="1" spans="1:19">
      <c r="A1113" s="63">
        <f t="shared" si="74"/>
        <v>1107</v>
      </c>
      <c r="B1113" s="64">
        <v>46167</v>
      </c>
      <c r="C1113" s="87"/>
      <c r="D1113" s="66" t="s">
        <v>155</v>
      </c>
      <c r="E1113" s="66" t="s">
        <v>155</v>
      </c>
      <c r="F1113" s="66" t="s">
        <v>985</v>
      </c>
      <c r="G1113" s="66" t="s">
        <v>754</v>
      </c>
      <c r="H1113" s="66" t="s">
        <v>991</v>
      </c>
      <c r="I1113" s="66" t="s">
        <v>214</v>
      </c>
      <c r="J1113" s="66" t="s">
        <v>212</v>
      </c>
      <c r="K1113" s="66" t="s">
        <v>747</v>
      </c>
      <c r="L1113" s="67">
        <v>3024000</v>
      </c>
      <c r="M1113" s="67">
        <v>0</v>
      </c>
      <c r="N1113" s="68">
        <f t="shared" si="73"/>
        <v>3024000</v>
      </c>
      <c r="O1113" s="69">
        <f t="shared" si="72"/>
        <v>3024000</v>
      </c>
      <c r="P1113" s="42" t="str">
        <f>IFERROR(VLOOKUP(J1113,'Mã NV'!$B:$C,2,0),"")</f>
        <v>XE00977</v>
      </c>
      <c r="Q1113" s="70" t="str">
        <f>IFERROR(VLOOKUP(I1113,'Mã NV'!$J:$K,2,0),"")</f>
        <v>2T5 Lạnh </v>
      </c>
      <c r="S1113" s="44">
        <f t="shared" si="75"/>
        <v>90720</v>
      </c>
    </row>
    <row r="1114" customHeight="1" spans="1:19">
      <c r="A1114" s="63">
        <f t="shared" si="74"/>
        <v>1108</v>
      </c>
      <c r="B1114" s="64">
        <v>46167</v>
      </c>
      <c r="C1114" s="87"/>
      <c r="D1114" s="66" t="s">
        <v>155</v>
      </c>
      <c r="E1114" s="66" t="s">
        <v>155</v>
      </c>
      <c r="F1114" s="66" t="s">
        <v>985</v>
      </c>
      <c r="G1114" s="66" t="s">
        <v>754</v>
      </c>
      <c r="H1114" s="66" t="s">
        <v>989</v>
      </c>
      <c r="I1114" s="66" t="s">
        <v>214</v>
      </c>
      <c r="J1114" s="66" t="s">
        <v>212</v>
      </c>
      <c r="K1114" s="66" t="s">
        <v>747</v>
      </c>
      <c r="L1114" s="67">
        <v>1482000</v>
      </c>
      <c r="M1114" s="67">
        <v>0</v>
      </c>
      <c r="N1114" s="68">
        <f t="shared" si="73"/>
        <v>1482000</v>
      </c>
      <c r="O1114" s="69">
        <f t="shared" si="72"/>
        <v>1482000</v>
      </c>
      <c r="P1114" s="42" t="str">
        <f>IFERROR(VLOOKUP(J1114,'Mã NV'!$B:$C,2,0),"")</f>
        <v>XE00977</v>
      </c>
      <c r="Q1114" s="70" t="str">
        <f>IFERROR(VLOOKUP(I1114,'Mã NV'!$J:$K,2,0),"")</f>
        <v>2T5 Lạnh </v>
      </c>
      <c r="S1114" s="44">
        <f t="shared" si="75"/>
        <v>44460</v>
      </c>
    </row>
    <row r="1115" customHeight="1" spans="1:19">
      <c r="A1115" s="63">
        <f t="shared" si="74"/>
        <v>1109</v>
      </c>
      <c r="B1115" s="64">
        <v>46168</v>
      </c>
      <c r="C1115" s="87"/>
      <c r="D1115" s="66" t="s">
        <v>155</v>
      </c>
      <c r="E1115" s="66" t="s">
        <v>155</v>
      </c>
      <c r="F1115" s="66" t="s">
        <v>985</v>
      </c>
      <c r="G1115" s="66" t="s">
        <v>754</v>
      </c>
      <c r="H1115" s="66" t="s">
        <v>986</v>
      </c>
      <c r="I1115" s="66" t="s">
        <v>154</v>
      </c>
      <c r="J1115" s="66" t="s">
        <v>152</v>
      </c>
      <c r="K1115" s="66" t="s">
        <v>747</v>
      </c>
      <c r="L1115" s="67">
        <v>2490000</v>
      </c>
      <c r="M1115" s="67">
        <v>0</v>
      </c>
      <c r="N1115" s="68">
        <f t="shared" si="73"/>
        <v>2490000</v>
      </c>
      <c r="O1115" s="69">
        <f t="shared" si="72"/>
        <v>2490000</v>
      </c>
      <c r="P1115" s="42" t="str">
        <f>IFERROR(VLOOKUP(J1115,'Mã NV'!$B:$C,2,0),"")</f>
        <v>XE00730</v>
      </c>
      <c r="Q1115" s="70" t="str">
        <f>IFERROR(VLOOKUP(I1115,'Mã NV'!$J:$K,2,0),"")</f>
        <v> 3T5 Lạnh </v>
      </c>
      <c r="S1115" s="44">
        <f t="shared" si="75"/>
        <v>74700</v>
      </c>
    </row>
    <row r="1116" customHeight="1" spans="1:19">
      <c r="A1116" s="63">
        <f t="shared" si="74"/>
        <v>1110</v>
      </c>
      <c r="B1116" s="64">
        <v>46168</v>
      </c>
      <c r="C1116" s="87"/>
      <c r="D1116" s="66" t="s">
        <v>155</v>
      </c>
      <c r="E1116" s="66" t="s">
        <v>155</v>
      </c>
      <c r="F1116" s="66" t="s">
        <v>985</v>
      </c>
      <c r="G1116" s="66" t="s">
        <v>754</v>
      </c>
      <c r="H1116" s="66" t="s">
        <v>987</v>
      </c>
      <c r="I1116" s="66" t="s">
        <v>214</v>
      </c>
      <c r="J1116" s="66" t="s">
        <v>212</v>
      </c>
      <c r="K1116" s="66" t="s">
        <v>747</v>
      </c>
      <c r="L1116" s="67">
        <v>2490000</v>
      </c>
      <c r="M1116" s="67">
        <v>0</v>
      </c>
      <c r="N1116" s="68">
        <f t="shared" si="73"/>
        <v>2490000</v>
      </c>
      <c r="O1116" s="69">
        <f t="shared" si="72"/>
        <v>2490000</v>
      </c>
      <c r="P1116" s="42" t="str">
        <f>IFERROR(VLOOKUP(J1116,'Mã NV'!$B:$C,2,0),"")</f>
        <v>XE00977</v>
      </c>
      <c r="Q1116" s="70" t="str">
        <f>IFERROR(VLOOKUP(I1116,'Mã NV'!$J:$K,2,0),"")</f>
        <v>2T5 Lạnh </v>
      </c>
      <c r="S1116" s="44">
        <f t="shared" si="75"/>
        <v>74700</v>
      </c>
    </row>
    <row r="1117" customHeight="1" spans="1:19">
      <c r="A1117" s="63">
        <f t="shared" si="74"/>
        <v>1111</v>
      </c>
      <c r="B1117" s="64">
        <v>46168</v>
      </c>
      <c r="C1117" s="87"/>
      <c r="D1117" s="66" t="s">
        <v>155</v>
      </c>
      <c r="E1117" s="66" t="s">
        <v>155</v>
      </c>
      <c r="F1117" s="66" t="s">
        <v>985</v>
      </c>
      <c r="G1117" s="66" t="s">
        <v>754</v>
      </c>
      <c r="H1117" s="66" t="s">
        <v>820</v>
      </c>
      <c r="I1117" s="66" t="s">
        <v>358</v>
      </c>
      <c r="J1117" s="66" t="s">
        <v>356</v>
      </c>
      <c r="K1117" s="66" t="s">
        <v>747</v>
      </c>
      <c r="L1117" s="67">
        <v>1957000</v>
      </c>
      <c r="M1117" s="67">
        <v>0</v>
      </c>
      <c r="N1117" s="68">
        <f t="shared" si="73"/>
        <v>1957000</v>
      </c>
      <c r="O1117" s="69">
        <f t="shared" si="72"/>
        <v>1957000</v>
      </c>
      <c r="P1117" s="42" t="str">
        <f>IFERROR(VLOOKUP(J1117,'Mã NV'!$B:$C,2,0),"")</f>
        <v>XE01616</v>
      </c>
      <c r="Q1117" s="70" t="str">
        <f>IFERROR(VLOOKUP(I1117,'Mã NV'!$J:$K,2,0),"")</f>
        <v>2.5T Lạnh</v>
      </c>
      <c r="S1117" s="44">
        <f t="shared" si="75"/>
        <v>58710</v>
      </c>
    </row>
    <row r="1118" customHeight="1" spans="1:19">
      <c r="A1118" s="63">
        <f t="shared" si="74"/>
        <v>1112</v>
      </c>
      <c r="B1118" s="64">
        <v>46168</v>
      </c>
      <c r="C1118" s="87"/>
      <c r="D1118" s="66" t="s">
        <v>155</v>
      </c>
      <c r="E1118" s="66" t="s">
        <v>155</v>
      </c>
      <c r="F1118" s="66" t="s">
        <v>985</v>
      </c>
      <c r="G1118" s="66" t="s">
        <v>754</v>
      </c>
      <c r="H1118" s="66" t="s">
        <v>992</v>
      </c>
      <c r="I1118" s="66" t="s">
        <v>358</v>
      </c>
      <c r="J1118" s="66" t="s">
        <v>356</v>
      </c>
      <c r="K1118" s="66" t="s">
        <v>747</v>
      </c>
      <c r="L1118" s="67">
        <v>1245000</v>
      </c>
      <c r="M1118" s="67">
        <v>0</v>
      </c>
      <c r="N1118" s="68">
        <f t="shared" si="73"/>
        <v>1245000</v>
      </c>
      <c r="O1118" s="69">
        <f t="shared" si="72"/>
        <v>1245000</v>
      </c>
      <c r="P1118" s="42" t="str">
        <f>IFERROR(VLOOKUP(J1118,'Mã NV'!$B:$C,2,0),"")</f>
        <v>XE01616</v>
      </c>
      <c r="Q1118" s="70" t="str">
        <f>IFERROR(VLOOKUP(I1118,'Mã NV'!$J:$K,2,0),"")</f>
        <v>2.5T Lạnh</v>
      </c>
      <c r="S1118" s="44">
        <f t="shared" si="75"/>
        <v>37350</v>
      </c>
    </row>
    <row r="1119" customHeight="1" spans="1:19">
      <c r="A1119" s="63">
        <f t="shared" si="74"/>
        <v>1113</v>
      </c>
      <c r="B1119" s="64">
        <v>46169</v>
      </c>
      <c r="C1119" s="87"/>
      <c r="D1119" s="66" t="s">
        <v>155</v>
      </c>
      <c r="E1119" s="66" t="s">
        <v>155</v>
      </c>
      <c r="F1119" s="66" t="s">
        <v>985</v>
      </c>
      <c r="G1119" s="66" t="s">
        <v>754</v>
      </c>
      <c r="H1119" s="66" t="s">
        <v>987</v>
      </c>
      <c r="I1119" s="66" t="s">
        <v>214</v>
      </c>
      <c r="J1119" s="66" t="s">
        <v>212</v>
      </c>
      <c r="K1119" s="66" t="s">
        <v>747</v>
      </c>
      <c r="L1119" s="67">
        <v>2490000</v>
      </c>
      <c r="M1119" s="67">
        <v>0</v>
      </c>
      <c r="N1119" s="68">
        <f t="shared" si="73"/>
        <v>2490000</v>
      </c>
      <c r="O1119" s="69">
        <f t="shared" si="72"/>
        <v>2490000</v>
      </c>
      <c r="P1119" s="42" t="str">
        <f>IFERROR(VLOOKUP(J1119,'Mã NV'!$B:$C,2,0),"")</f>
        <v>XE00977</v>
      </c>
      <c r="Q1119" s="70" t="str">
        <f>IFERROR(VLOOKUP(I1119,'Mã NV'!$J:$K,2,0),"")</f>
        <v>2T5 Lạnh </v>
      </c>
      <c r="S1119" s="44">
        <f t="shared" si="75"/>
        <v>74700</v>
      </c>
    </row>
    <row r="1120" customHeight="1" spans="1:19">
      <c r="A1120" s="63">
        <f t="shared" si="74"/>
        <v>1114</v>
      </c>
      <c r="B1120" s="64">
        <v>46169</v>
      </c>
      <c r="C1120" s="87"/>
      <c r="D1120" s="66" t="s">
        <v>155</v>
      </c>
      <c r="E1120" s="66" t="s">
        <v>155</v>
      </c>
      <c r="F1120" s="66" t="s">
        <v>985</v>
      </c>
      <c r="G1120" s="66" t="s">
        <v>754</v>
      </c>
      <c r="H1120" s="66" t="s">
        <v>986</v>
      </c>
      <c r="I1120" s="66" t="s">
        <v>154</v>
      </c>
      <c r="J1120" s="66" t="s">
        <v>152</v>
      </c>
      <c r="K1120" s="66" t="s">
        <v>747</v>
      </c>
      <c r="L1120" s="67">
        <v>2788000</v>
      </c>
      <c r="M1120" s="67">
        <v>0</v>
      </c>
      <c r="N1120" s="68">
        <f t="shared" si="73"/>
        <v>2788000</v>
      </c>
      <c r="O1120" s="69">
        <f t="shared" si="72"/>
        <v>2788000</v>
      </c>
      <c r="P1120" s="42" t="str">
        <f>IFERROR(VLOOKUP(J1120,'Mã NV'!$B:$C,2,0),"")</f>
        <v>XE00730</v>
      </c>
      <c r="Q1120" s="70" t="str">
        <f>IFERROR(VLOOKUP(I1120,'Mã NV'!$J:$K,2,0),"")</f>
        <v> 3T5 Lạnh </v>
      </c>
      <c r="S1120" s="44">
        <f t="shared" si="75"/>
        <v>83640</v>
      </c>
    </row>
    <row r="1121" customHeight="1" spans="1:19">
      <c r="A1121" s="63">
        <f t="shared" si="74"/>
        <v>1115</v>
      </c>
      <c r="B1121" s="64">
        <v>46169</v>
      </c>
      <c r="C1121" s="87"/>
      <c r="D1121" s="66" t="s">
        <v>155</v>
      </c>
      <c r="E1121" s="66" t="s">
        <v>155</v>
      </c>
      <c r="F1121" s="66" t="s">
        <v>985</v>
      </c>
      <c r="G1121" s="66" t="s">
        <v>754</v>
      </c>
      <c r="H1121" s="66" t="s">
        <v>820</v>
      </c>
      <c r="I1121" s="66" t="s">
        <v>358</v>
      </c>
      <c r="J1121" s="66" t="s">
        <v>356</v>
      </c>
      <c r="K1121" s="66" t="s">
        <v>747</v>
      </c>
      <c r="L1121" s="67">
        <v>1957000</v>
      </c>
      <c r="M1121" s="67">
        <v>0</v>
      </c>
      <c r="N1121" s="68">
        <f t="shared" si="73"/>
        <v>1957000</v>
      </c>
      <c r="O1121" s="69">
        <f t="shared" si="72"/>
        <v>1957000</v>
      </c>
      <c r="P1121" s="42" t="str">
        <f>IFERROR(VLOOKUP(J1121,'Mã NV'!$B:$C,2,0),"")</f>
        <v>XE01616</v>
      </c>
      <c r="Q1121" s="70" t="str">
        <f>IFERROR(VLOOKUP(I1121,'Mã NV'!$J:$K,2,0),"")</f>
        <v>2.5T Lạnh</v>
      </c>
      <c r="S1121" s="44">
        <f t="shared" si="75"/>
        <v>58710</v>
      </c>
    </row>
    <row r="1122" customHeight="1" spans="1:19">
      <c r="A1122" s="63">
        <f t="shared" si="74"/>
        <v>1116</v>
      </c>
      <c r="B1122" s="64">
        <v>46169</v>
      </c>
      <c r="C1122" s="87"/>
      <c r="D1122" s="66" t="s">
        <v>155</v>
      </c>
      <c r="E1122" s="66" t="s">
        <v>155</v>
      </c>
      <c r="F1122" s="66" t="s">
        <v>985</v>
      </c>
      <c r="G1122" s="66" t="s">
        <v>754</v>
      </c>
      <c r="H1122" s="66" t="s">
        <v>992</v>
      </c>
      <c r="I1122" s="66" t="s">
        <v>358</v>
      </c>
      <c r="J1122" s="66" t="s">
        <v>356</v>
      </c>
      <c r="K1122" s="66" t="s">
        <v>747</v>
      </c>
      <c r="L1122" s="67">
        <v>1365000</v>
      </c>
      <c r="M1122" s="67">
        <v>0</v>
      </c>
      <c r="N1122" s="68">
        <f t="shared" si="73"/>
        <v>1365000</v>
      </c>
      <c r="O1122" s="69">
        <f t="shared" si="72"/>
        <v>1365000</v>
      </c>
      <c r="P1122" s="42" t="str">
        <f>IFERROR(VLOOKUP(J1122,'Mã NV'!$B:$C,2,0),"")</f>
        <v>XE01616</v>
      </c>
      <c r="Q1122" s="70" t="str">
        <f>IFERROR(VLOOKUP(I1122,'Mã NV'!$J:$K,2,0),"")</f>
        <v>2.5T Lạnh</v>
      </c>
      <c r="S1122" s="44">
        <f t="shared" si="75"/>
        <v>40950</v>
      </c>
    </row>
    <row r="1123" customHeight="1" spans="1:19">
      <c r="A1123" s="63">
        <f t="shared" si="74"/>
        <v>1117</v>
      </c>
      <c r="B1123" s="64">
        <v>46170</v>
      </c>
      <c r="C1123" s="87"/>
      <c r="D1123" s="66" t="s">
        <v>155</v>
      </c>
      <c r="E1123" s="66" t="s">
        <v>155</v>
      </c>
      <c r="F1123" s="66" t="s">
        <v>985</v>
      </c>
      <c r="G1123" s="66" t="s">
        <v>754</v>
      </c>
      <c r="H1123" s="66" t="s">
        <v>987</v>
      </c>
      <c r="I1123" s="66" t="s">
        <v>214</v>
      </c>
      <c r="J1123" s="66" t="s">
        <v>212</v>
      </c>
      <c r="K1123" s="66" t="s">
        <v>747</v>
      </c>
      <c r="L1123" s="67">
        <v>2788000</v>
      </c>
      <c r="M1123" s="67">
        <v>0</v>
      </c>
      <c r="N1123" s="68">
        <f t="shared" si="73"/>
        <v>2788000</v>
      </c>
      <c r="O1123" s="69">
        <f t="shared" si="72"/>
        <v>2788000</v>
      </c>
      <c r="P1123" s="42" t="str">
        <f>IFERROR(VLOOKUP(J1123,'Mã NV'!$B:$C,2,0),"")</f>
        <v>XE00977</v>
      </c>
      <c r="Q1123" s="70" t="str">
        <f>IFERROR(VLOOKUP(I1123,'Mã NV'!$J:$K,2,0),"")</f>
        <v>2T5 Lạnh </v>
      </c>
      <c r="S1123" s="44">
        <f t="shared" si="75"/>
        <v>83640</v>
      </c>
    </row>
    <row r="1124" customHeight="1" spans="1:19">
      <c r="A1124" s="63">
        <f t="shared" si="74"/>
        <v>1118</v>
      </c>
      <c r="B1124" s="64">
        <v>46170</v>
      </c>
      <c r="C1124" s="87"/>
      <c r="D1124" s="66" t="s">
        <v>155</v>
      </c>
      <c r="E1124" s="66" t="s">
        <v>155</v>
      </c>
      <c r="F1124" s="66" t="s">
        <v>985</v>
      </c>
      <c r="G1124" s="66" t="s">
        <v>754</v>
      </c>
      <c r="H1124" s="66" t="s">
        <v>986</v>
      </c>
      <c r="I1124" s="66" t="s">
        <v>154</v>
      </c>
      <c r="J1124" s="66" t="s">
        <v>152</v>
      </c>
      <c r="K1124" s="66" t="s">
        <v>747</v>
      </c>
      <c r="L1124" s="67">
        <v>2788000</v>
      </c>
      <c r="M1124" s="67">
        <v>0</v>
      </c>
      <c r="N1124" s="68">
        <f t="shared" si="73"/>
        <v>2788000</v>
      </c>
      <c r="O1124" s="69">
        <f t="shared" si="72"/>
        <v>2788000</v>
      </c>
      <c r="P1124" s="42" t="str">
        <f>IFERROR(VLOOKUP(J1124,'Mã NV'!$B:$C,2,0),"")</f>
        <v>XE00730</v>
      </c>
      <c r="Q1124" s="70" t="str">
        <f>IFERROR(VLOOKUP(I1124,'Mã NV'!$J:$K,2,0),"")</f>
        <v> 3T5 Lạnh </v>
      </c>
      <c r="S1124" s="44">
        <f t="shared" si="75"/>
        <v>83640</v>
      </c>
    </row>
    <row r="1125" customHeight="1" spans="1:19">
      <c r="A1125" s="63">
        <f t="shared" si="74"/>
        <v>1119</v>
      </c>
      <c r="B1125" s="64">
        <v>46170</v>
      </c>
      <c r="C1125" s="87"/>
      <c r="D1125" s="66" t="s">
        <v>155</v>
      </c>
      <c r="E1125" s="66" t="s">
        <v>155</v>
      </c>
      <c r="F1125" s="66" t="s">
        <v>985</v>
      </c>
      <c r="G1125" s="66" t="s">
        <v>754</v>
      </c>
      <c r="H1125" s="66" t="s">
        <v>820</v>
      </c>
      <c r="I1125" s="66" t="s">
        <v>358</v>
      </c>
      <c r="J1125" s="66" t="s">
        <v>356</v>
      </c>
      <c r="K1125" s="66" t="s">
        <v>747</v>
      </c>
      <c r="L1125" s="67">
        <v>2076000</v>
      </c>
      <c r="M1125" s="67">
        <v>0</v>
      </c>
      <c r="N1125" s="68">
        <f t="shared" si="73"/>
        <v>2076000</v>
      </c>
      <c r="O1125" s="69">
        <f t="shared" si="72"/>
        <v>2076000</v>
      </c>
      <c r="P1125" s="42" t="str">
        <f>IFERROR(VLOOKUP(J1125,'Mã NV'!$B:$C,2,0),"")</f>
        <v>XE01616</v>
      </c>
      <c r="Q1125" s="70" t="str">
        <f>IFERROR(VLOOKUP(I1125,'Mã NV'!$J:$K,2,0),"")</f>
        <v>2.5T Lạnh</v>
      </c>
      <c r="S1125" s="44">
        <f t="shared" si="75"/>
        <v>62280</v>
      </c>
    </row>
    <row r="1126" customHeight="1" spans="1:19">
      <c r="A1126" s="63">
        <f t="shared" si="74"/>
        <v>1120</v>
      </c>
      <c r="B1126" s="64">
        <v>46171</v>
      </c>
      <c r="C1126" s="87"/>
      <c r="D1126" s="66" t="s">
        <v>155</v>
      </c>
      <c r="E1126" s="66" t="s">
        <v>155</v>
      </c>
      <c r="F1126" s="66" t="s">
        <v>985</v>
      </c>
      <c r="G1126" s="66" t="s">
        <v>754</v>
      </c>
      <c r="H1126" s="66" t="s">
        <v>992</v>
      </c>
      <c r="I1126" s="66" t="s">
        <v>214</v>
      </c>
      <c r="J1126" s="66" t="s">
        <v>212</v>
      </c>
      <c r="K1126" s="66" t="s">
        <v>747</v>
      </c>
      <c r="L1126" s="67">
        <v>1482000</v>
      </c>
      <c r="M1126" s="67">
        <v>0</v>
      </c>
      <c r="N1126" s="68">
        <f t="shared" si="73"/>
        <v>1482000</v>
      </c>
      <c r="O1126" s="69">
        <f t="shared" si="72"/>
        <v>1482000</v>
      </c>
      <c r="P1126" s="42" t="str">
        <f>IFERROR(VLOOKUP(J1126,'Mã NV'!$B:$C,2,0),"")</f>
        <v>XE00977</v>
      </c>
      <c r="Q1126" s="70" t="str">
        <f>IFERROR(VLOOKUP(I1126,'Mã NV'!$J:$K,2,0),"")</f>
        <v>2T5 Lạnh </v>
      </c>
      <c r="S1126" s="44">
        <f t="shared" si="75"/>
        <v>44460</v>
      </c>
    </row>
    <row r="1127" customHeight="1" spans="1:19">
      <c r="A1127" s="63">
        <f t="shared" si="74"/>
        <v>1121</v>
      </c>
      <c r="B1127" s="64">
        <v>46171</v>
      </c>
      <c r="C1127" s="87"/>
      <c r="D1127" s="66" t="s">
        <v>155</v>
      </c>
      <c r="E1127" s="66" t="s">
        <v>155</v>
      </c>
      <c r="F1127" s="66" t="s">
        <v>985</v>
      </c>
      <c r="G1127" s="66" t="s">
        <v>754</v>
      </c>
      <c r="H1127" s="66" t="s">
        <v>820</v>
      </c>
      <c r="I1127" s="66" t="s">
        <v>214</v>
      </c>
      <c r="J1127" s="66" t="s">
        <v>212</v>
      </c>
      <c r="K1127" s="66" t="s">
        <v>747</v>
      </c>
      <c r="L1127" s="67">
        <v>1957000</v>
      </c>
      <c r="M1127" s="67">
        <v>0</v>
      </c>
      <c r="N1127" s="68">
        <f t="shared" si="73"/>
        <v>1957000</v>
      </c>
      <c r="O1127" s="69">
        <f t="shared" si="72"/>
        <v>1957000</v>
      </c>
      <c r="P1127" s="42" t="str">
        <f>IFERROR(VLOOKUP(J1127,'Mã NV'!$B:$C,2,0),"")</f>
        <v>XE00977</v>
      </c>
      <c r="Q1127" s="70" t="str">
        <f>IFERROR(VLOOKUP(I1127,'Mã NV'!$J:$K,2,0),"")</f>
        <v>2T5 Lạnh </v>
      </c>
      <c r="S1127" s="44">
        <f t="shared" si="75"/>
        <v>58710</v>
      </c>
    </row>
    <row r="1128" customHeight="1" spans="1:19">
      <c r="A1128" s="63">
        <f t="shared" si="74"/>
        <v>1122</v>
      </c>
      <c r="B1128" s="64">
        <v>46171</v>
      </c>
      <c r="C1128" s="87"/>
      <c r="D1128" s="66" t="s">
        <v>155</v>
      </c>
      <c r="E1128" s="66" t="s">
        <v>155</v>
      </c>
      <c r="F1128" s="66" t="s">
        <v>985</v>
      </c>
      <c r="G1128" s="66" t="s">
        <v>754</v>
      </c>
      <c r="H1128" s="66" t="s">
        <v>987</v>
      </c>
      <c r="I1128" s="66" t="s">
        <v>154</v>
      </c>
      <c r="J1128" s="66" t="s">
        <v>152</v>
      </c>
      <c r="K1128" s="66" t="s">
        <v>747</v>
      </c>
      <c r="L1128" s="67">
        <v>3498000</v>
      </c>
      <c r="M1128" s="67">
        <v>0</v>
      </c>
      <c r="N1128" s="68">
        <f t="shared" si="73"/>
        <v>3498000</v>
      </c>
      <c r="O1128" s="69">
        <f t="shared" si="72"/>
        <v>3498000</v>
      </c>
      <c r="P1128" s="42" t="str">
        <f>IFERROR(VLOOKUP(J1128,'Mã NV'!$B:$C,2,0),"")</f>
        <v>XE00730</v>
      </c>
      <c r="Q1128" s="70" t="str">
        <f>IFERROR(VLOOKUP(I1128,'Mã NV'!$J:$K,2,0),"")</f>
        <v> 3T5 Lạnh </v>
      </c>
      <c r="S1128" s="44">
        <f t="shared" si="75"/>
        <v>104940</v>
      </c>
    </row>
    <row r="1129" customHeight="1" spans="1:19">
      <c r="A1129" s="63">
        <f t="shared" si="74"/>
        <v>1123</v>
      </c>
      <c r="B1129" s="64">
        <v>46171</v>
      </c>
      <c r="C1129" s="87"/>
      <c r="D1129" s="66" t="s">
        <v>155</v>
      </c>
      <c r="E1129" s="66" t="s">
        <v>155</v>
      </c>
      <c r="F1129" s="66" t="s">
        <v>985</v>
      </c>
      <c r="G1129" s="66" t="s">
        <v>754</v>
      </c>
      <c r="H1129" s="66" t="s">
        <v>993</v>
      </c>
      <c r="I1129" s="66" t="s">
        <v>358</v>
      </c>
      <c r="J1129" s="66" t="s">
        <v>356</v>
      </c>
      <c r="K1129" s="66" t="s">
        <v>747</v>
      </c>
      <c r="L1129" s="67">
        <v>2490000</v>
      </c>
      <c r="M1129" s="67">
        <v>0</v>
      </c>
      <c r="N1129" s="68">
        <f t="shared" si="73"/>
        <v>2490000</v>
      </c>
      <c r="O1129" s="69">
        <f t="shared" si="72"/>
        <v>2490000</v>
      </c>
      <c r="P1129" s="42" t="str">
        <f>IFERROR(VLOOKUP(J1129,'Mã NV'!$B:$C,2,0),"")</f>
        <v>XE01616</v>
      </c>
      <c r="Q1129" s="70" t="str">
        <f>IFERROR(VLOOKUP(I1129,'Mã NV'!$J:$K,2,0),"")</f>
        <v>2.5T Lạnh</v>
      </c>
      <c r="S1129" s="44">
        <f t="shared" si="75"/>
        <v>74700</v>
      </c>
    </row>
    <row r="1130" customHeight="1" spans="1:19">
      <c r="A1130" s="63">
        <f t="shared" si="74"/>
        <v>1124</v>
      </c>
      <c r="B1130" s="64">
        <v>46172</v>
      </c>
      <c r="C1130" s="87"/>
      <c r="D1130" s="66" t="s">
        <v>155</v>
      </c>
      <c r="E1130" s="66" t="s">
        <v>155</v>
      </c>
      <c r="F1130" s="66" t="s">
        <v>985</v>
      </c>
      <c r="G1130" s="66" t="s">
        <v>754</v>
      </c>
      <c r="H1130" s="66" t="s">
        <v>987</v>
      </c>
      <c r="I1130" s="66" t="s">
        <v>214</v>
      </c>
      <c r="J1130" s="66" t="s">
        <v>212</v>
      </c>
      <c r="K1130" s="66" t="s">
        <v>747</v>
      </c>
      <c r="L1130" s="67">
        <v>2490000</v>
      </c>
      <c r="M1130" s="67">
        <v>0</v>
      </c>
      <c r="N1130" s="68">
        <f t="shared" si="73"/>
        <v>2490000</v>
      </c>
      <c r="O1130" s="69">
        <f t="shared" si="72"/>
        <v>2490000</v>
      </c>
      <c r="P1130" s="42" t="str">
        <f>IFERROR(VLOOKUP(J1130,'Mã NV'!$B:$C,2,0),"")</f>
        <v>XE00977</v>
      </c>
      <c r="Q1130" s="70" t="str">
        <f>IFERROR(VLOOKUP(I1130,'Mã NV'!$J:$K,2,0),"")</f>
        <v>2T5 Lạnh </v>
      </c>
      <c r="S1130" s="44">
        <f t="shared" si="75"/>
        <v>74700</v>
      </c>
    </row>
    <row r="1131" customHeight="1" spans="1:19">
      <c r="A1131" s="63">
        <f t="shared" si="74"/>
        <v>1125</v>
      </c>
      <c r="B1131" s="64">
        <v>46172</v>
      </c>
      <c r="C1131" s="87"/>
      <c r="D1131" s="66" t="s">
        <v>155</v>
      </c>
      <c r="E1131" s="66" t="s">
        <v>155</v>
      </c>
      <c r="F1131" s="66" t="s">
        <v>985</v>
      </c>
      <c r="G1131" s="66" t="s">
        <v>754</v>
      </c>
      <c r="H1131" s="66" t="s">
        <v>986</v>
      </c>
      <c r="I1131" s="66" t="s">
        <v>154</v>
      </c>
      <c r="J1131" s="66" t="s">
        <v>152</v>
      </c>
      <c r="K1131" s="66" t="s">
        <v>747</v>
      </c>
      <c r="L1131" s="67">
        <v>2490000</v>
      </c>
      <c r="M1131" s="67">
        <v>0</v>
      </c>
      <c r="N1131" s="68">
        <f t="shared" si="73"/>
        <v>2490000</v>
      </c>
      <c r="O1131" s="69">
        <f t="shared" si="72"/>
        <v>2490000</v>
      </c>
      <c r="P1131" s="42" t="str">
        <f>IFERROR(VLOOKUP(J1131,'Mã NV'!$B:$C,2,0),"")</f>
        <v>XE00730</v>
      </c>
      <c r="Q1131" s="70" t="str">
        <f>IFERROR(VLOOKUP(I1131,'Mã NV'!$J:$K,2,0),"")</f>
        <v> 3T5 Lạnh </v>
      </c>
      <c r="S1131" s="44">
        <f t="shared" si="75"/>
        <v>74700</v>
      </c>
    </row>
    <row r="1132" customHeight="1" spans="1:19">
      <c r="A1132" s="63">
        <f t="shared" si="74"/>
        <v>1126</v>
      </c>
      <c r="B1132" s="64">
        <v>46172</v>
      </c>
      <c r="C1132" s="87"/>
      <c r="D1132" s="66" t="s">
        <v>155</v>
      </c>
      <c r="E1132" s="66" t="s">
        <v>155</v>
      </c>
      <c r="F1132" s="66" t="s">
        <v>985</v>
      </c>
      <c r="G1132" s="66" t="s">
        <v>754</v>
      </c>
      <c r="H1132" s="66" t="s">
        <v>820</v>
      </c>
      <c r="I1132" s="66" t="s">
        <v>358</v>
      </c>
      <c r="J1132" s="66" t="s">
        <v>356</v>
      </c>
      <c r="K1132" s="66" t="s">
        <v>747</v>
      </c>
      <c r="L1132" s="67">
        <v>1957000</v>
      </c>
      <c r="M1132" s="67">
        <v>0</v>
      </c>
      <c r="N1132" s="68">
        <f t="shared" si="73"/>
        <v>1957000</v>
      </c>
      <c r="O1132" s="69">
        <f t="shared" si="72"/>
        <v>1957000</v>
      </c>
      <c r="P1132" s="42" t="str">
        <f>IFERROR(VLOOKUP(J1132,'Mã NV'!$B:$C,2,0),"")</f>
        <v>XE01616</v>
      </c>
      <c r="Q1132" s="70" t="str">
        <f>IFERROR(VLOOKUP(I1132,'Mã NV'!$J:$K,2,0),"")</f>
        <v>2.5T Lạnh</v>
      </c>
      <c r="S1132" s="44">
        <f t="shared" si="75"/>
        <v>58710</v>
      </c>
    </row>
    <row r="1133" customHeight="1" spans="1:19">
      <c r="A1133" s="63">
        <f t="shared" si="74"/>
        <v>1127</v>
      </c>
      <c r="B1133" s="64">
        <v>45788</v>
      </c>
      <c r="C1133" s="87"/>
      <c r="D1133" s="66" t="s">
        <v>100</v>
      </c>
      <c r="E1133" s="66" t="s">
        <v>100</v>
      </c>
      <c r="F1133" s="66" t="s">
        <v>744</v>
      </c>
      <c r="G1133" s="66" t="s">
        <v>994</v>
      </c>
      <c r="H1133" s="66" t="s">
        <v>995</v>
      </c>
      <c r="I1133" s="66" t="s">
        <v>320</v>
      </c>
      <c r="J1133" s="66" t="s">
        <v>318</v>
      </c>
      <c r="K1133" s="66" t="s">
        <v>747</v>
      </c>
      <c r="L1133" s="67">
        <v>2765000</v>
      </c>
      <c r="M1133" s="67">
        <v>0</v>
      </c>
      <c r="N1133" s="68">
        <f t="shared" si="73"/>
        <v>2765000</v>
      </c>
      <c r="O1133" s="69">
        <f t="shared" si="72"/>
        <v>2765000</v>
      </c>
      <c r="P1133" s="42" t="str">
        <f>IFERROR(VLOOKUP(J1133,'Mã NV'!$B:$C,2,0),"")</f>
        <v>XE01597</v>
      </c>
      <c r="Q1133" s="70" t="str">
        <f>IFERROR(VLOOKUP(I1133,'Mã NV'!$J:$K,2,0),"")</f>
        <v>2T5 Lạnh </v>
      </c>
      <c r="S1133" s="44">
        <f t="shared" si="75"/>
        <v>82950</v>
      </c>
    </row>
    <row r="1134" customHeight="1" spans="1:19">
      <c r="A1134" s="63">
        <f t="shared" si="74"/>
        <v>1128</v>
      </c>
      <c r="B1134" s="64">
        <v>45788</v>
      </c>
      <c r="C1134" s="87"/>
      <c r="D1134" s="66" t="s">
        <v>100</v>
      </c>
      <c r="E1134" s="66" t="s">
        <v>100</v>
      </c>
      <c r="F1134" s="66" t="s">
        <v>744</v>
      </c>
      <c r="G1134" s="66" t="s">
        <v>994</v>
      </c>
      <c r="H1134" s="66" t="s">
        <v>996</v>
      </c>
      <c r="I1134" s="66" t="s">
        <v>353</v>
      </c>
      <c r="J1134" s="66" t="s">
        <v>351</v>
      </c>
      <c r="K1134" s="66" t="s">
        <v>747</v>
      </c>
      <c r="L1134" s="67">
        <v>3074000</v>
      </c>
      <c r="M1134" s="67">
        <v>0</v>
      </c>
      <c r="N1134" s="68">
        <f t="shared" si="73"/>
        <v>3074000</v>
      </c>
      <c r="O1134" s="69">
        <f t="shared" si="72"/>
        <v>3074000</v>
      </c>
      <c r="P1134" s="42" t="str">
        <f>IFERROR(VLOOKUP(J1134,'Mã NV'!$B:$C,2,0),"")</f>
        <v>XE01642</v>
      </c>
      <c r="Q1134" s="70" t="str">
        <f>IFERROR(VLOOKUP(I1134,'Mã NV'!$J:$K,2,0),"")</f>
        <v>2T5 Lạnh </v>
      </c>
      <c r="S1134" s="44">
        <f t="shared" ref="S1134:S1186" si="76">L1134*3%</f>
        <v>92220</v>
      </c>
    </row>
    <row r="1135" customHeight="1" spans="1:19">
      <c r="A1135" s="63">
        <f t="shared" si="74"/>
        <v>1129</v>
      </c>
      <c r="B1135" s="64">
        <v>45788</v>
      </c>
      <c r="C1135" s="87"/>
      <c r="D1135" s="66" t="s">
        <v>100</v>
      </c>
      <c r="E1135" s="66" t="s">
        <v>100</v>
      </c>
      <c r="F1135" s="66" t="s">
        <v>744</v>
      </c>
      <c r="G1135" s="66" t="s">
        <v>994</v>
      </c>
      <c r="H1135" s="66" t="s">
        <v>997</v>
      </c>
      <c r="I1135" s="66" t="s">
        <v>97</v>
      </c>
      <c r="J1135" s="66" t="s">
        <v>95</v>
      </c>
      <c r="K1135" s="66" t="s">
        <v>747</v>
      </c>
      <c r="L1135" s="67">
        <v>7711000</v>
      </c>
      <c r="M1135" s="67">
        <v>0</v>
      </c>
      <c r="N1135" s="68">
        <f t="shared" si="73"/>
        <v>7711000</v>
      </c>
      <c r="O1135" s="69">
        <f t="shared" si="72"/>
        <v>7711000</v>
      </c>
      <c r="P1135" s="42" t="str">
        <f>IFERROR(VLOOKUP(J1135,'Mã NV'!$B:$C,2,0),"")</f>
        <v>XE01379</v>
      </c>
      <c r="Q1135" s="70" t="str">
        <f>IFERROR(VLOOKUP(I1135,'Mã NV'!$J:$K,2,0),"")</f>
        <v> 3T5 Lạnh </v>
      </c>
      <c r="S1135" s="44">
        <f t="shared" si="76"/>
        <v>231330</v>
      </c>
    </row>
    <row r="1136" customHeight="1" spans="1:19">
      <c r="A1136" s="63">
        <f t="shared" si="74"/>
        <v>1130</v>
      </c>
      <c r="B1136" s="64">
        <v>45788</v>
      </c>
      <c r="C1136" s="87"/>
      <c r="D1136" s="66" t="s">
        <v>100</v>
      </c>
      <c r="E1136" s="66" t="s">
        <v>100</v>
      </c>
      <c r="F1136" s="66" t="s">
        <v>744</v>
      </c>
      <c r="G1136" s="66" t="s">
        <v>994</v>
      </c>
      <c r="H1136" s="66" t="s">
        <v>998</v>
      </c>
      <c r="I1136" s="66" t="s">
        <v>392</v>
      </c>
      <c r="J1136" s="66" t="s">
        <v>390</v>
      </c>
      <c r="K1136" s="66" t="s">
        <v>747</v>
      </c>
      <c r="L1136" s="67">
        <v>6009000</v>
      </c>
      <c r="M1136" s="67">
        <v>0</v>
      </c>
      <c r="N1136" s="68">
        <f t="shared" si="73"/>
        <v>6009000</v>
      </c>
      <c r="O1136" s="69">
        <f t="shared" si="72"/>
        <v>6009000</v>
      </c>
      <c r="P1136" s="42" t="str">
        <f>IFERROR(VLOOKUP(J1136,'Mã NV'!$B:$C,2,0),"")</f>
        <v>XE01665</v>
      </c>
      <c r="Q1136" s="70" t="str">
        <f>IFERROR(VLOOKUP(I1136,'Mã NV'!$J:$K,2,0),"")</f>
        <v>2T5 Lạnh </v>
      </c>
      <c r="S1136" s="44">
        <f t="shared" si="76"/>
        <v>180270</v>
      </c>
    </row>
    <row r="1137" customHeight="1" spans="1:19">
      <c r="A1137" s="63">
        <f t="shared" si="74"/>
        <v>1131</v>
      </c>
      <c r="B1137" s="64">
        <v>46146</v>
      </c>
      <c r="C1137" s="87"/>
      <c r="D1137" s="66" t="s">
        <v>100</v>
      </c>
      <c r="E1137" s="66" t="s">
        <v>100</v>
      </c>
      <c r="F1137" s="66" t="s">
        <v>744</v>
      </c>
      <c r="G1137" s="66" t="s">
        <v>994</v>
      </c>
      <c r="H1137" s="66" t="s">
        <v>998</v>
      </c>
      <c r="I1137" s="66" t="s">
        <v>97</v>
      </c>
      <c r="J1137" s="66" t="s">
        <v>95</v>
      </c>
      <c r="K1137" s="66" t="s">
        <v>747</v>
      </c>
      <c r="L1137" s="67">
        <v>6009000</v>
      </c>
      <c r="M1137" s="67">
        <v>0</v>
      </c>
      <c r="N1137" s="68">
        <f t="shared" si="73"/>
        <v>6009000</v>
      </c>
      <c r="O1137" s="69">
        <f t="shared" ref="O1137:O1200" si="77">N1137/$P$1</f>
        <v>6009000</v>
      </c>
      <c r="P1137" s="42" t="str">
        <f>IFERROR(VLOOKUP(J1137,'Mã NV'!$B:$C,2,0),"")</f>
        <v>XE01379</v>
      </c>
      <c r="Q1137" s="70" t="str">
        <f>IFERROR(VLOOKUP(I1137,'Mã NV'!$J:$K,2,0),"")</f>
        <v> 3T5 Lạnh </v>
      </c>
      <c r="S1137" s="44">
        <f t="shared" si="76"/>
        <v>180270</v>
      </c>
    </row>
    <row r="1138" customHeight="1" spans="1:19">
      <c r="A1138" s="63">
        <f t="shared" si="74"/>
        <v>1132</v>
      </c>
      <c r="B1138" s="64">
        <v>46146</v>
      </c>
      <c r="C1138" s="87"/>
      <c r="D1138" s="66" t="s">
        <v>100</v>
      </c>
      <c r="E1138" s="66" t="s">
        <v>100</v>
      </c>
      <c r="F1138" s="66" t="s">
        <v>744</v>
      </c>
      <c r="G1138" s="66" t="s">
        <v>994</v>
      </c>
      <c r="H1138" s="66" t="s">
        <v>997</v>
      </c>
      <c r="I1138" s="66" t="s">
        <v>353</v>
      </c>
      <c r="J1138" s="66" t="s">
        <v>351</v>
      </c>
      <c r="K1138" s="66" t="s">
        <v>747</v>
      </c>
      <c r="L1138" s="67">
        <v>7711000</v>
      </c>
      <c r="M1138" s="67">
        <v>0</v>
      </c>
      <c r="N1138" s="68">
        <f t="shared" ref="N1138:N1201" si="78">L1138-M1138</f>
        <v>7711000</v>
      </c>
      <c r="O1138" s="69">
        <f t="shared" si="77"/>
        <v>7711000</v>
      </c>
      <c r="P1138" s="42" t="str">
        <f>IFERROR(VLOOKUP(J1138,'Mã NV'!$B:$C,2,0),"")</f>
        <v>XE01642</v>
      </c>
      <c r="Q1138" s="70" t="str">
        <f>IFERROR(VLOOKUP(I1138,'Mã NV'!$J:$K,2,0),"")</f>
        <v>2T5 Lạnh </v>
      </c>
      <c r="S1138" s="44">
        <f t="shared" si="76"/>
        <v>231330</v>
      </c>
    </row>
    <row r="1139" customHeight="1" spans="1:19">
      <c r="A1139" s="63">
        <f t="shared" si="74"/>
        <v>1133</v>
      </c>
      <c r="B1139" s="64">
        <v>46146</v>
      </c>
      <c r="C1139" s="87"/>
      <c r="D1139" s="66" t="s">
        <v>100</v>
      </c>
      <c r="E1139" s="66" t="s">
        <v>100</v>
      </c>
      <c r="F1139" s="66" t="s">
        <v>744</v>
      </c>
      <c r="G1139" s="66" t="s">
        <v>994</v>
      </c>
      <c r="H1139" s="66" t="s">
        <v>996</v>
      </c>
      <c r="I1139" s="66" t="s">
        <v>320</v>
      </c>
      <c r="J1139" s="66" t="s">
        <v>318</v>
      </c>
      <c r="K1139" s="66" t="s">
        <v>747</v>
      </c>
      <c r="L1139" s="67">
        <v>3074000</v>
      </c>
      <c r="M1139" s="67">
        <v>0</v>
      </c>
      <c r="N1139" s="68">
        <f t="shared" si="78"/>
        <v>3074000</v>
      </c>
      <c r="O1139" s="69">
        <f t="shared" si="77"/>
        <v>3074000</v>
      </c>
      <c r="P1139" s="42" t="str">
        <f>IFERROR(VLOOKUP(J1139,'Mã NV'!$B:$C,2,0),"")</f>
        <v>XE01597</v>
      </c>
      <c r="Q1139" s="70" t="str">
        <f>IFERROR(VLOOKUP(I1139,'Mã NV'!$J:$K,2,0),"")</f>
        <v>2T5 Lạnh </v>
      </c>
      <c r="S1139" s="44">
        <f t="shared" si="76"/>
        <v>92220</v>
      </c>
    </row>
    <row r="1140" customHeight="1" spans="1:19">
      <c r="A1140" s="63">
        <f t="shared" si="74"/>
        <v>1134</v>
      </c>
      <c r="B1140" s="64">
        <v>46147</v>
      </c>
      <c r="C1140" s="87"/>
      <c r="D1140" s="66" t="s">
        <v>100</v>
      </c>
      <c r="E1140" s="66" t="s">
        <v>100</v>
      </c>
      <c r="F1140" s="66" t="s">
        <v>744</v>
      </c>
      <c r="G1140" s="66" t="s">
        <v>994</v>
      </c>
      <c r="H1140" s="66" t="s">
        <v>768</v>
      </c>
      <c r="I1140" s="66" t="s">
        <v>392</v>
      </c>
      <c r="J1140" s="66" t="s">
        <v>390</v>
      </c>
      <c r="K1140" s="66" t="s">
        <v>747</v>
      </c>
      <c r="L1140" s="67">
        <v>1947000</v>
      </c>
      <c r="M1140" s="67">
        <v>0</v>
      </c>
      <c r="N1140" s="68">
        <f t="shared" si="78"/>
        <v>1947000</v>
      </c>
      <c r="O1140" s="69">
        <f t="shared" si="77"/>
        <v>1947000</v>
      </c>
      <c r="P1140" s="42" t="str">
        <f>IFERROR(VLOOKUP(J1140,'Mã NV'!$B:$C,2,0),"")</f>
        <v>XE01665</v>
      </c>
      <c r="Q1140" s="70" t="str">
        <f>IFERROR(VLOOKUP(I1140,'Mã NV'!$J:$K,2,0),"")</f>
        <v>2T5 Lạnh </v>
      </c>
      <c r="S1140" s="44">
        <f t="shared" si="76"/>
        <v>58410</v>
      </c>
    </row>
    <row r="1141" customHeight="1" spans="1:19">
      <c r="A1141" s="63">
        <f t="shared" si="74"/>
        <v>1135</v>
      </c>
      <c r="B1141" s="64">
        <v>46147</v>
      </c>
      <c r="C1141" s="87"/>
      <c r="D1141" s="66" t="s">
        <v>100</v>
      </c>
      <c r="E1141" s="66" t="s">
        <v>100</v>
      </c>
      <c r="F1141" s="66" t="s">
        <v>744</v>
      </c>
      <c r="G1141" s="66" t="s">
        <v>994</v>
      </c>
      <c r="H1141" s="66" t="s">
        <v>768</v>
      </c>
      <c r="I1141" s="66" t="s">
        <v>320</v>
      </c>
      <c r="J1141" s="66" t="s">
        <v>318</v>
      </c>
      <c r="K1141" s="66" t="s">
        <v>747</v>
      </c>
      <c r="L1141" s="67">
        <v>1947000</v>
      </c>
      <c r="M1141" s="67">
        <v>0</v>
      </c>
      <c r="N1141" s="68">
        <f t="shared" si="78"/>
        <v>1947000</v>
      </c>
      <c r="O1141" s="69">
        <f t="shared" si="77"/>
        <v>1947000</v>
      </c>
      <c r="P1141" s="42" t="str">
        <f>IFERROR(VLOOKUP(J1141,'Mã NV'!$B:$C,2,0),"")</f>
        <v>XE01597</v>
      </c>
      <c r="Q1141" s="70" t="str">
        <f>IFERROR(VLOOKUP(I1141,'Mã NV'!$J:$K,2,0),"")</f>
        <v>2T5 Lạnh </v>
      </c>
      <c r="S1141" s="44">
        <f t="shared" si="76"/>
        <v>58410</v>
      </c>
    </row>
    <row r="1142" customHeight="1" spans="1:19">
      <c r="A1142" s="63">
        <f t="shared" si="74"/>
        <v>1136</v>
      </c>
      <c r="B1142" s="64">
        <v>46147</v>
      </c>
      <c r="C1142" s="87"/>
      <c r="D1142" s="66" t="s">
        <v>100</v>
      </c>
      <c r="E1142" s="66" t="s">
        <v>100</v>
      </c>
      <c r="F1142" s="66" t="s">
        <v>744</v>
      </c>
      <c r="G1142" s="66" t="s">
        <v>994</v>
      </c>
      <c r="H1142" s="66" t="s">
        <v>996</v>
      </c>
      <c r="I1142" s="66" t="s">
        <v>320</v>
      </c>
      <c r="J1142" s="66" t="s">
        <v>318</v>
      </c>
      <c r="K1142" s="66" t="s">
        <v>747</v>
      </c>
      <c r="L1142" s="67">
        <v>3074000</v>
      </c>
      <c r="M1142" s="67">
        <v>0</v>
      </c>
      <c r="N1142" s="68">
        <f t="shared" si="78"/>
        <v>3074000</v>
      </c>
      <c r="O1142" s="69">
        <f t="shared" si="77"/>
        <v>3074000</v>
      </c>
      <c r="P1142" s="42" t="str">
        <f>IFERROR(VLOOKUP(J1142,'Mã NV'!$B:$C,2,0),"")</f>
        <v>XE01597</v>
      </c>
      <c r="Q1142" s="70" t="str">
        <f>IFERROR(VLOOKUP(I1142,'Mã NV'!$J:$K,2,0),"")</f>
        <v>2T5 Lạnh </v>
      </c>
      <c r="S1142" s="44">
        <f t="shared" si="76"/>
        <v>92220</v>
      </c>
    </row>
    <row r="1143" customHeight="1" spans="1:19">
      <c r="A1143" s="63">
        <f t="shared" si="74"/>
        <v>1137</v>
      </c>
      <c r="B1143" s="64">
        <v>46147</v>
      </c>
      <c r="C1143" s="87"/>
      <c r="D1143" s="66" t="s">
        <v>100</v>
      </c>
      <c r="E1143" s="66" t="s">
        <v>100</v>
      </c>
      <c r="F1143" s="66" t="s">
        <v>744</v>
      </c>
      <c r="G1143" s="66" t="s">
        <v>994</v>
      </c>
      <c r="H1143" s="66" t="s">
        <v>997</v>
      </c>
      <c r="I1143" s="66" t="s">
        <v>392</v>
      </c>
      <c r="J1143" s="66" t="s">
        <v>390</v>
      </c>
      <c r="K1143" s="66" t="s">
        <v>747</v>
      </c>
      <c r="L1143" s="67">
        <v>7711000</v>
      </c>
      <c r="M1143" s="67">
        <v>0</v>
      </c>
      <c r="N1143" s="68">
        <f t="shared" si="78"/>
        <v>7711000</v>
      </c>
      <c r="O1143" s="69">
        <f t="shared" si="77"/>
        <v>7711000</v>
      </c>
      <c r="P1143" s="42" t="str">
        <f>IFERROR(VLOOKUP(J1143,'Mã NV'!$B:$C,2,0),"")</f>
        <v>XE01665</v>
      </c>
      <c r="Q1143" s="70" t="str">
        <f>IFERROR(VLOOKUP(I1143,'Mã NV'!$J:$K,2,0),"")</f>
        <v>2T5 Lạnh </v>
      </c>
      <c r="S1143" s="44">
        <f t="shared" si="76"/>
        <v>231330</v>
      </c>
    </row>
    <row r="1144" customHeight="1" spans="1:19">
      <c r="A1144" s="63">
        <f t="shared" si="74"/>
        <v>1138</v>
      </c>
      <c r="B1144" s="64">
        <v>46149</v>
      </c>
      <c r="C1144" s="87"/>
      <c r="D1144" s="66" t="s">
        <v>100</v>
      </c>
      <c r="E1144" s="66" t="s">
        <v>100</v>
      </c>
      <c r="F1144" s="66" t="s">
        <v>744</v>
      </c>
      <c r="G1144" s="66" t="s">
        <v>994</v>
      </c>
      <c r="H1144" s="66" t="s">
        <v>999</v>
      </c>
      <c r="I1144" s="66" t="s">
        <v>392</v>
      </c>
      <c r="J1144" s="66" t="s">
        <v>390</v>
      </c>
      <c r="K1144" s="66" t="s">
        <v>747</v>
      </c>
      <c r="L1144" s="67">
        <v>1299000</v>
      </c>
      <c r="M1144" s="67">
        <v>0</v>
      </c>
      <c r="N1144" s="68">
        <f t="shared" si="78"/>
        <v>1299000</v>
      </c>
      <c r="O1144" s="69">
        <f t="shared" si="77"/>
        <v>1299000</v>
      </c>
      <c r="P1144" s="42" t="str">
        <f>IFERROR(VLOOKUP(J1144,'Mã NV'!$B:$C,2,0),"")</f>
        <v>XE01665</v>
      </c>
      <c r="Q1144" s="70" t="str">
        <f>IFERROR(VLOOKUP(I1144,'Mã NV'!$J:$K,2,0),"")</f>
        <v>2T5 Lạnh </v>
      </c>
      <c r="S1144" s="44">
        <f t="shared" si="76"/>
        <v>38970</v>
      </c>
    </row>
    <row r="1145" customHeight="1" spans="1:19">
      <c r="A1145" s="63">
        <f t="shared" si="74"/>
        <v>1139</v>
      </c>
      <c r="B1145" s="64">
        <v>46149</v>
      </c>
      <c r="C1145" s="87"/>
      <c r="D1145" s="66" t="s">
        <v>100</v>
      </c>
      <c r="E1145" s="66" t="s">
        <v>100</v>
      </c>
      <c r="F1145" s="66" t="s">
        <v>744</v>
      </c>
      <c r="G1145" s="66" t="s">
        <v>994</v>
      </c>
      <c r="H1145" s="66" t="s">
        <v>996</v>
      </c>
      <c r="I1145" s="66" t="s">
        <v>392</v>
      </c>
      <c r="J1145" s="66" t="s">
        <v>390</v>
      </c>
      <c r="K1145" s="66" t="s">
        <v>747</v>
      </c>
      <c r="L1145" s="67">
        <v>3074000</v>
      </c>
      <c r="M1145" s="67">
        <v>0</v>
      </c>
      <c r="N1145" s="68">
        <f t="shared" si="78"/>
        <v>3074000</v>
      </c>
      <c r="O1145" s="69">
        <f t="shared" si="77"/>
        <v>3074000</v>
      </c>
      <c r="P1145" s="42" t="str">
        <f>IFERROR(VLOOKUP(J1145,'Mã NV'!$B:$C,2,0),"")</f>
        <v>XE01665</v>
      </c>
      <c r="Q1145" s="70" t="str">
        <f>IFERROR(VLOOKUP(I1145,'Mã NV'!$J:$K,2,0),"")</f>
        <v>2T5 Lạnh </v>
      </c>
      <c r="S1145" s="44">
        <f t="shared" si="76"/>
        <v>92220</v>
      </c>
    </row>
    <row r="1146" customHeight="1" spans="1:19">
      <c r="A1146" s="63">
        <f t="shared" si="74"/>
        <v>1140</v>
      </c>
      <c r="B1146" s="64">
        <v>46150</v>
      </c>
      <c r="C1146" s="87"/>
      <c r="D1146" s="66" t="s">
        <v>100</v>
      </c>
      <c r="E1146" s="66" t="s">
        <v>100</v>
      </c>
      <c r="F1146" s="66" t="s">
        <v>744</v>
      </c>
      <c r="G1146" s="66" t="s">
        <v>994</v>
      </c>
      <c r="H1146" s="66" t="s">
        <v>1000</v>
      </c>
      <c r="I1146" s="66" t="s">
        <v>353</v>
      </c>
      <c r="J1146" s="66" t="s">
        <v>351</v>
      </c>
      <c r="K1146" s="66" t="s">
        <v>747</v>
      </c>
      <c r="L1146" s="67">
        <v>1299000</v>
      </c>
      <c r="M1146" s="67">
        <v>0</v>
      </c>
      <c r="N1146" s="68">
        <f t="shared" si="78"/>
        <v>1299000</v>
      </c>
      <c r="O1146" s="69">
        <f t="shared" si="77"/>
        <v>1299000</v>
      </c>
      <c r="P1146" s="42" t="str">
        <f>IFERROR(VLOOKUP(J1146,'Mã NV'!$B:$C,2,0),"")</f>
        <v>XE01642</v>
      </c>
      <c r="Q1146" s="70" t="str">
        <f>IFERROR(VLOOKUP(I1146,'Mã NV'!$J:$K,2,0),"")</f>
        <v>2T5 Lạnh </v>
      </c>
      <c r="S1146" s="44">
        <f t="shared" si="76"/>
        <v>38970</v>
      </c>
    </row>
    <row r="1147" customHeight="1" spans="1:19">
      <c r="A1147" s="63">
        <f t="shared" si="74"/>
        <v>1141</v>
      </c>
      <c r="B1147" s="64">
        <v>46150</v>
      </c>
      <c r="C1147" s="87"/>
      <c r="D1147" s="66" t="s">
        <v>100</v>
      </c>
      <c r="E1147" s="66" t="s">
        <v>100</v>
      </c>
      <c r="F1147" s="66" t="s">
        <v>744</v>
      </c>
      <c r="G1147" s="66" t="s">
        <v>994</v>
      </c>
      <c r="H1147" s="66" t="s">
        <v>1000</v>
      </c>
      <c r="I1147" s="66" t="s">
        <v>97</v>
      </c>
      <c r="J1147" s="66" t="s">
        <v>95</v>
      </c>
      <c r="K1147" s="66" t="s">
        <v>747</v>
      </c>
      <c r="L1147" s="67">
        <v>1649000</v>
      </c>
      <c r="M1147" s="67">
        <v>0</v>
      </c>
      <c r="N1147" s="68">
        <f t="shared" si="78"/>
        <v>1649000</v>
      </c>
      <c r="O1147" s="69">
        <f t="shared" si="77"/>
        <v>1649000</v>
      </c>
      <c r="P1147" s="42" t="str">
        <f>IFERROR(VLOOKUP(J1147,'Mã NV'!$B:$C,2,0),"")</f>
        <v>XE01379</v>
      </c>
      <c r="Q1147" s="70" t="str">
        <f>IFERROR(VLOOKUP(I1147,'Mã NV'!$J:$K,2,0),"")</f>
        <v> 3T5 Lạnh </v>
      </c>
      <c r="S1147" s="44">
        <f t="shared" si="76"/>
        <v>49470</v>
      </c>
    </row>
    <row r="1148" customHeight="1" spans="1:19">
      <c r="A1148" s="63">
        <f t="shared" si="74"/>
        <v>1142</v>
      </c>
      <c r="B1148" s="64">
        <v>46150</v>
      </c>
      <c r="C1148" s="87"/>
      <c r="D1148" s="66" t="s">
        <v>100</v>
      </c>
      <c r="E1148" s="66" t="s">
        <v>100</v>
      </c>
      <c r="F1148" s="66" t="s">
        <v>744</v>
      </c>
      <c r="G1148" s="66" t="s">
        <v>994</v>
      </c>
      <c r="H1148" s="66" t="s">
        <v>998</v>
      </c>
      <c r="I1148" s="66" t="s">
        <v>353</v>
      </c>
      <c r="J1148" s="66" t="s">
        <v>351</v>
      </c>
      <c r="K1148" s="66" t="s">
        <v>747</v>
      </c>
      <c r="L1148" s="67">
        <v>6009000</v>
      </c>
      <c r="M1148" s="67">
        <v>0</v>
      </c>
      <c r="N1148" s="68">
        <f t="shared" si="78"/>
        <v>6009000</v>
      </c>
      <c r="O1148" s="69">
        <f t="shared" si="77"/>
        <v>6009000</v>
      </c>
      <c r="P1148" s="42" t="str">
        <f>IFERROR(VLOOKUP(J1148,'Mã NV'!$B:$C,2,0),"")</f>
        <v>XE01642</v>
      </c>
      <c r="Q1148" s="70" t="str">
        <f>IFERROR(VLOOKUP(I1148,'Mã NV'!$J:$K,2,0),"")</f>
        <v>2T5 Lạnh </v>
      </c>
      <c r="S1148" s="44">
        <f t="shared" si="76"/>
        <v>180270</v>
      </c>
    </row>
    <row r="1149" customHeight="1" spans="1:19">
      <c r="A1149" s="63">
        <f t="shared" si="74"/>
        <v>1143</v>
      </c>
      <c r="B1149" s="64">
        <v>46150</v>
      </c>
      <c r="C1149" s="87"/>
      <c r="D1149" s="66" t="s">
        <v>100</v>
      </c>
      <c r="E1149" s="66" t="s">
        <v>100</v>
      </c>
      <c r="F1149" s="66" t="s">
        <v>744</v>
      </c>
      <c r="G1149" s="66" t="s">
        <v>994</v>
      </c>
      <c r="H1149" s="66" t="s">
        <v>997</v>
      </c>
      <c r="I1149" s="66" t="s">
        <v>392</v>
      </c>
      <c r="J1149" s="66" t="s">
        <v>390</v>
      </c>
      <c r="K1149" s="66" t="s">
        <v>747</v>
      </c>
      <c r="L1149" s="67">
        <v>7711000</v>
      </c>
      <c r="M1149" s="67">
        <v>0</v>
      </c>
      <c r="N1149" s="68">
        <f t="shared" si="78"/>
        <v>7711000</v>
      </c>
      <c r="O1149" s="69">
        <f t="shared" si="77"/>
        <v>7711000</v>
      </c>
      <c r="P1149" s="42" t="str">
        <f>IFERROR(VLOOKUP(J1149,'Mã NV'!$B:$C,2,0),"")</f>
        <v>XE01665</v>
      </c>
      <c r="Q1149" s="70" t="str">
        <f>IFERROR(VLOOKUP(I1149,'Mã NV'!$J:$K,2,0),"")</f>
        <v>2T5 Lạnh </v>
      </c>
      <c r="S1149" s="44">
        <f t="shared" si="76"/>
        <v>231330</v>
      </c>
    </row>
    <row r="1150" customHeight="1" spans="1:19">
      <c r="A1150" s="63">
        <f t="shared" si="74"/>
        <v>1144</v>
      </c>
      <c r="B1150" s="64">
        <v>46150</v>
      </c>
      <c r="C1150" s="87"/>
      <c r="D1150" s="66" t="s">
        <v>100</v>
      </c>
      <c r="E1150" s="66" t="s">
        <v>100</v>
      </c>
      <c r="F1150" s="66" t="s">
        <v>744</v>
      </c>
      <c r="G1150" s="66" t="s">
        <v>994</v>
      </c>
      <c r="H1150" s="66" t="s">
        <v>996</v>
      </c>
      <c r="I1150" s="66" t="s">
        <v>97</v>
      </c>
      <c r="J1150" s="66" t="s">
        <v>95</v>
      </c>
      <c r="K1150" s="66" t="s">
        <v>747</v>
      </c>
      <c r="L1150" s="67">
        <v>3883000</v>
      </c>
      <c r="M1150" s="67">
        <v>0</v>
      </c>
      <c r="N1150" s="68">
        <f t="shared" si="78"/>
        <v>3883000</v>
      </c>
      <c r="O1150" s="69">
        <f t="shared" si="77"/>
        <v>3883000</v>
      </c>
      <c r="P1150" s="42" t="str">
        <f>IFERROR(VLOOKUP(J1150,'Mã NV'!$B:$C,2,0),"")</f>
        <v>XE01379</v>
      </c>
      <c r="Q1150" s="70" t="str">
        <f>IFERROR(VLOOKUP(I1150,'Mã NV'!$J:$K,2,0),"")</f>
        <v> 3T5 Lạnh </v>
      </c>
      <c r="S1150" s="44">
        <f t="shared" si="76"/>
        <v>116490</v>
      </c>
    </row>
    <row r="1151" customHeight="1" spans="1:19">
      <c r="A1151" s="63">
        <f t="shared" si="74"/>
        <v>1145</v>
      </c>
      <c r="B1151" s="64">
        <v>46150</v>
      </c>
      <c r="C1151" s="87"/>
      <c r="D1151" s="66" t="s">
        <v>100</v>
      </c>
      <c r="E1151" s="66" t="s">
        <v>100</v>
      </c>
      <c r="F1151" s="66" t="s">
        <v>744</v>
      </c>
      <c r="G1151" s="66" t="s">
        <v>994</v>
      </c>
      <c r="H1151" s="66" t="s">
        <v>995</v>
      </c>
      <c r="I1151" s="66" t="s">
        <v>320</v>
      </c>
      <c r="J1151" s="66" t="s">
        <v>318</v>
      </c>
      <c r="K1151" s="66" t="s">
        <v>747</v>
      </c>
      <c r="L1151" s="67">
        <v>2765000</v>
      </c>
      <c r="M1151" s="67">
        <v>0</v>
      </c>
      <c r="N1151" s="68">
        <f t="shared" si="78"/>
        <v>2765000</v>
      </c>
      <c r="O1151" s="69">
        <f t="shared" si="77"/>
        <v>2765000</v>
      </c>
      <c r="P1151" s="42" t="str">
        <f>IFERROR(VLOOKUP(J1151,'Mã NV'!$B:$C,2,0),"")</f>
        <v>XE01597</v>
      </c>
      <c r="Q1151" s="70" t="str">
        <f>IFERROR(VLOOKUP(I1151,'Mã NV'!$J:$K,2,0),"")</f>
        <v>2T5 Lạnh </v>
      </c>
      <c r="S1151" s="44">
        <f t="shared" si="76"/>
        <v>82950</v>
      </c>
    </row>
    <row r="1152" customHeight="1" spans="1:19">
      <c r="A1152" s="63">
        <f t="shared" si="74"/>
        <v>1146</v>
      </c>
      <c r="B1152" s="64">
        <v>46151</v>
      </c>
      <c r="C1152" s="87"/>
      <c r="D1152" s="66" t="s">
        <v>100</v>
      </c>
      <c r="E1152" s="66" t="s">
        <v>100</v>
      </c>
      <c r="F1152" s="66" t="s">
        <v>744</v>
      </c>
      <c r="G1152" s="66" t="s">
        <v>994</v>
      </c>
      <c r="H1152" s="66" t="s">
        <v>768</v>
      </c>
      <c r="I1152" s="66" t="s">
        <v>97</v>
      </c>
      <c r="J1152" s="66" t="s">
        <v>95</v>
      </c>
      <c r="K1152" s="66" t="s">
        <v>747</v>
      </c>
      <c r="L1152" s="67">
        <v>2468000</v>
      </c>
      <c r="M1152" s="67">
        <v>0</v>
      </c>
      <c r="N1152" s="68">
        <f t="shared" si="78"/>
        <v>2468000</v>
      </c>
      <c r="O1152" s="69">
        <f t="shared" si="77"/>
        <v>2468000</v>
      </c>
      <c r="P1152" s="42" t="str">
        <f>IFERROR(VLOOKUP(J1152,'Mã NV'!$B:$C,2,0),"")</f>
        <v>XE01379</v>
      </c>
      <c r="Q1152" s="70" t="str">
        <f>IFERROR(VLOOKUP(I1152,'Mã NV'!$J:$K,2,0),"")</f>
        <v> 3T5 Lạnh </v>
      </c>
      <c r="S1152" s="44">
        <f t="shared" si="76"/>
        <v>74040</v>
      </c>
    </row>
    <row r="1153" customHeight="1" spans="1:19">
      <c r="A1153" s="63">
        <f t="shared" si="74"/>
        <v>1147</v>
      </c>
      <c r="B1153" s="64">
        <v>46151</v>
      </c>
      <c r="C1153" s="87"/>
      <c r="D1153" s="66" t="s">
        <v>100</v>
      </c>
      <c r="E1153" s="66" t="s">
        <v>100</v>
      </c>
      <c r="F1153" s="66" t="s">
        <v>744</v>
      </c>
      <c r="G1153" s="66" t="s">
        <v>994</v>
      </c>
      <c r="H1153" s="66" t="s">
        <v>768</v>
      </c>
      <c r="I1153" s="66" t="s">
        <v>320</v>
      </c>
      <c r="J1153" s="66" t="s">
        <v>318</v>
      </c>
      <c r="K1153" s="66" t="s">
        <v>747</v>
      </c>
      <c r="L1153" s="67">
        <v>1947000</v>
      </c>
      <c r="M1153" s="67">
        <v>0</v>
      </c>
      <c r="N1153" s="68">
        <f t="shared" si="78"/>
        <v>1947000</v>
      </c>
      <c r="O1153" s="69">
        <f t="shared" si="77"/>
        <v>1947000</v>
      </c>
      <c r="P1153" s="42" t="str">
        <f>IFERROR(VLOOKUP(J1153,'Mã NV'!$B:$C,2,0),"")</f>
        <v>XE01597</v>
      </c>
      <c r="Q1153" s="70" t="str">
        <f>IFERROR(VLOOKUP(I1153,'Mã NV'!$J:$K,2,0),"")</f>
        <v>2T5 Lạnh </v>
      </c>
      <c r="S1153" s="44">
        <f t="shared" si="76"/>
        <v>58410</v>
      </c>
    </row>
    <row r="1154" customHeight="1" spans="1:19">
      <c r="A1154" s="63">
        <f t="shared" si="74"/>
        <v>1148</v>
      </c>
      <c r="B1154" s="64">
        <v>46154</v>
      </c>
      <c r="C1154" s="87"/>
      <c r="D1154" s="66" t="s">
        <v>100</v>
      </c>
      <c r="E1154" s="66" t="s">
        <v>100</v>
      </c>
      <c r="F1154" s="66" t="s">
        <v>744</v>
      </c>
      <c r="G1154" s="66" t="s">
        <v>994</v>
      </c>
      <c r="H1154" s="66" t="s">
        <v>996</v>
      </c>
      <c r="I1154" s="66" t="s">
        <v>320</v>
      </c>
      <c r="J1154" s="66" t="s">
        <v>318</v>
      </c>
      <c r="K1154" s="66" t="s">
        <v>747</v>
      </c>
      <c r="L1154" s="67">
        <v>3074000</v>
      </c>
      <c r="M1154" s="67">
        <v>0</v>
      </c>
      <c r="N1154" s="68">
        <f t="shared" si="78"/>
        <v>3074000</v>
      </c>
      <c r="O1154" s="69">
        <f t="shared" si="77"/>
        <v>3074000</v>
      </c>
      <c r="P1154" s="42" t="str">
        <f>IFERROR(VLOOKUP(J1154,'Mã NV'!$B:$C,2,0),"")</f>
        <v>XE01597</v>
      </c>
      <c r="Q1154" s="70" t="str">
        <f>IFERROR(VLOOKUP(I1154,'Mã NV'!$J:$K,2,0),"")</f>
        <v>2T5 Lạnh </v>
      </c>
      <c r="S1154" s="44">
        <f t="shared" si="76"/>
        <v>92220</v>
      </c>
    </row>
    <row r="1155" customHeight="1" spans="1:19">
      <c r="A1155" s="63">
        <f t="shared" si="74"/>
        <v>1149</v>
      </c>
      <c r="B1155" s="64">
        <v>46154</v>
      </c>
      <c r="C1155" s="87"/>
      <c r="D1155" s="66" t="s">
        <v>100</v>
      </c>
      <c r="E1155" s="66" t="s">
        <v>100</v>
      </c>
      <c r="F1155" s="66" t="s">
        <v>744</v>
      </c>
      <c r="G1155" s="66" t="s">
        <v>994</v>
      </c>
      <c r="H1155" s="66" t="s">
        <v>997</v>
      </c>
      <c r="I1155" s="66" t="s">
        <v>353</v>
      </c>
      <c r="J1155" s="66" t="s">
        <v>351</v>
      </c>
      <c r="K1155" s="66" t="s">
        <v>747</v>
      </c>
      <c r="L1155" s="67">
        <v>7711000</v>
      </c>
      <c r="M1155" s="67">
        <v>0</v>
      </c>
      <c r="N1155" s="68">
        <f t="shared" si="78"/>
        <v>7711000</v>
      </c>
      <c r="O1155" s="69">
        <f t="shared" si="77"/>
        <v>7711000</v>
      </c>
      <c r="P1155" s="42" t="str">
        <f>IFERROR(VLOOKUP(J1155,'Mã NV'!$B:$C,2,0),"")</f>
        <v>XE01642</v>
      </c>
      <c r="Q1155" s="70" t="str">
        <f>IFERROR(VLOOKUP(I1155,'Mã NV'!$J:$K,2,0),"")</f>
        <v>2T5 Lạnh </v>
      </c>
      <c r="S1155" s="44">
        <f t="shared" si="76"/>
        <v>231330</v>
      </c>
    </row>
    <row r="1156" customHeight="1" spans="1:19">
      <c r="A1156" s="63">
        <f t="shared" si="74"/>
        <v>1150</v>
      </c>
      <c r="B1156" s="64">
        <v>46155</v>
      </c>
      <c r="C1156" s="87"/>
      <c r="D1156" s="66" t="s">
        <v>100</v>
      </c>
      <c r="E1156" s="66" t="s">
        <v>100</v>
      </c>
      <c r="F1156" s="66" t="s">
        <v>744</v>
      </c>
      <c r="G1156" s="66" t="s">
        <v>994</v>
      </c>
      <c r="H1156" s="66" t="s">
        <v>996</v>
      </c>
      <c r="I1156" s="66" t="s">
        <v>353</v>
      </c>
      <c r="J1156" s="66" t="s">
        <v>351</v>
      </c>
      <c r="K1156" s="66" t="s">
        <v>747</v>
      </c>
      <c r="L1156" s="67">
        <v>3074000</v>
      </c>
      <c r="M1156" s="67">
        <v>0</v>
      </c>
      <c r="N1156" s="68">
        <f t="shared" si="78"/>
        <v>3074000</v>
      </c>
      <c r="O1156" s="69">
        <f t="shared" si="77"/>
        <v>3074000</v>
      </c>
      <c r="P1156" s="42" t="str">
        <f>IFERROR(VLOOKUP(J1156,'Mã NV'!$B:$C,2,0),"")</f>
        <v>XE01642</v>
      </c>
      <c r="Q1156" s="70" t="str">
        <f>IFERROR(VLOOKUP(I1156,'Mã NV'!$J:$K,2,0),"")</f>
        <v>2T5 Lạnh </v>
      </c>
      <c r="S1156" s="44">
        <f t="shared" si="76"/>
        <v>92220</v>
      </c>
    </row>
    <row r="1157" customHeight="1" spans="1:19">
      <c r="A1157" s="63">
        <f t="shared" si="74"/>
        <v>1151</v>
      </c>
      <c r="B1157" s="64">
        <v>46155</v>
      </c>
      <c r="C1157" s="87"/>
      <c r="D1157" s="66" t="s">
        <v>100</v>
      </c>
      <c r="E1157" s="66" t="s">
        <v>100</v>
      </c>
      <c r="F1157" s="66" t="s">
        <v>744</v>
      </c>
      <c r="G1157" s="66" t="s">
        <v>994</v>
      </c>
      <c r="H1157" s="66" t="s">
        <v>997</v>
      </c>
      <c r="I1157" s="66" t="s">
        <v>392</v>
      </c>
      <c r="J1157" s="66" t="s">
        <v>390</v>
      </c>
      <c r="K1157" s="66" t="s">
        <v>747</v>
      </c>
      <c r="L1157" s="67">
        <v>7711000</v>
      </c>
      <c r="M1157" s="67">
        <v>0</v>
      </c>
      <c r="N1157" s="68">
        <f t="shared" si="78"/>
        <v>7711000</v>
      </c>
      <c r="O1157" s="69">
        <f t="shared" si="77"/>
        <v>7711000</v>
      </c>
      <c r="P1157" s="42" t="str">
        <f>IFERROR(VLOOKUP(J1157,'Mã NV'!$B:$C,2,0),"")</f>
        <v>XE01665</v>
      </c>
      <c r="Q1157" s="70" t="str">
        <f>IFERROR(VLOOKUP(I1157,'Mã NV'!$J:$K,2,0),"")</f>
        <v>2T5 Lạnh </v>
      </c>
      <c r="S1157" s="44">
        <f t="shared" si="76"/>
        <v>231330</v>
      </c>
    </row>
    <row r="1158" customHeight="1" spans="1:19">
      <c r="A1158" s="63">
        <f t="shared" si="74"/>
        <v>1152</v>
      </c>
      <c r="B1158" s="64">
        <v>46155</v>
      </c>
      <c r="C1158" s="87"/>
      <c r="D1158" s="66" t="s">
        <v>100</v>
      </c>
      <c r="E1158" s="66" t="s">
        <v>100</v>
      </c>
      <c r="F1158" s="66" t="s">
        <v>744</v>
      </c>
      <c r="G1158" s="66" t="s">
        <v>994</v>
      </c>
      <c r="H1158" s="66" t="s">
        <v>998</v>
      </c>
      <c r="I1158" s="66" t="s">
        <v>97</v>
      </c>
      <c r="J1158" s="66" t="s">
        <v>95</v>
      </c>
      <c r="K1158" s="66" t="s">
        <v>747</v>
      </c>
      <c r="L1158" s="67">
        <v>6009000</v>
      </c>
      <c r="M1158" s="67">
        <v>0</v>
      </c>
      <c r="N1158" s="68">
        <f t="shared" si="78"/>
        <v>6009000</v>
      </c>
      <c r="O1158" s="69">
        <f t="shared" si="77"/>
        <v>6009000</v>
      </c>
      <c r="P1158" s="42" t="str">
        <f>IFERROR(VLOOKUP(J1158,'Mã NV'!$B:$C,2,0),"")</f>
        <v>XE01379</v>
      </c>
      <c r="Q1158" s="70" t="str">
        <f>IFERROR(VLOOKUP(I1158,'Mã NV'!$J:$K,2,0),"")</f>
        <v> 3T5 Lạnh </v>
      </c>
      <c r="S1158" s="44">
        <f t="shared" si="76"/>
        <v>180270</v>
      </c>
    </row>
    <row r="1159" customHeight="1" spans="1:19">
      <c r="A1159" s="63">
        <f t="shared" si="74"/>
        <v>1153</v>
      </c>
      <c r="B1159" s="64">
        <v>46156</v>
      </c>
      <c r="C1159" s="87"/>
      <c r="D1159" s="66" t="s">
        <v>100</v>
      </c>
      <c r="E1159" s="66" t="s">
        <v>100</v>
      </c>
      <c r="F1159" s="66" t="s">
        <v>744</v>
      </c>
      <c r="G1159" s="66" t="s">
        <v>994</v>
      </c>
      <c r="H1159" s="66" t="s">
        <v>768</v>
      </c>
      <c r="I1159" s="66" t="s">
        <v>320</v>
      </c>
      <c r="J1159" s="66" t="s">
        <v>318</v>
      </c>
      <c r="K1159" s="66" t="s">
        <v>747</v>
      </c>
      <c r="L1159" s="67">
        <v>1947000</v>
      </c>
      <c r="M1159" s="67">
        <v>0</v>
      </c>
      <c r="N1159" s="68">
        <f t="shared" si="78"/>
        <v>1947000</v>
      </c>
      <c r="O1159" s="69">
        <f t="shared" si="77"/>
        <v>1947000</v>
      </c>
      <c r="P1159" s="42" t="str">
        <f>IFERROR(VLOOKUP(J1159,'Mã NV'!$B:$C,2,0),"")</f>
        <v>XE01597</v>
      </c>
      <c r="Q1159" s="70" t="str">
        <f>IFERROR(VLOOKUP(I1159,'Mã NV'!$J:$K,2,0),"")</f>
        <v>2T5 Lạnh </v>
      </c>
      <c r="S1159" s="44">
        <f t="shared" si="76"/>
        <v>58410</v>
      </c>
    </row>
    <row r="1160" customHeight="1" spans="1:19">
      <c r="A1160" s="63">
        <f t="shared" si="74"/>
        <v>1154</v>
      </c>
      <c r="B1160" s="64">
        <v>46156</v>
      </c>
      <c r="C1160" s="87"/>
      <c r="D1160" s="66" t="s">
        <v>100</v>
      </c>
      <c r="E1160" s="66" t="s">
        <v>100</v>
      </c>
      <c r="F1160" s="66" t="s">
        <v>744</v>
      </c>
      <c r="G1160" s="66" t="s">
        <v>994</v>
      </c>
      <c r="H1160" s="66" t="s">
        <v>996</v>
      </c>
      <c r="I1160" s="66" t="s">
        <v>320</v>
      </c>
      <c r="J1160" s="66" t="s">
        <v>318</v>
      </c>
      <c r="K1160" s="66" t="s">
        <v>747</v>
      </c>
      <c r="L1160" s="67">
        <v>3074000</v>
      </c>
      <c r="M1160" s="67">
        <v>0</v>
      </c>
      <c r="N1160" s="68">
        <f t="shared" si="78"/>
        <v>3074000</v>
      </c>
      <c r="O1160" s="69">
        <f t="shared" si="77"/>
        <v>3074000</v>
      </c>
      <c r="P1160" s="42" t="str">
        <f>IFERROR(VLOOKUP(J1160,'Mã NV'!$B:$C,2,0),"")</f>
        <v>XE01597</v>
      </c>
      <c r="Q1160" s="70" t="str">
        <f>IFERROR(VLOOKUP(I1160,'Mã NV'!$J:$K,2,0),"")</f>
        <v>2T5 Lạnh </v>
      </c>
      <c r="S1160" s="44">
        <f t="shared" si="76"/>
        <v>92220</v>
      </c>
    </row>
    <row r="1161" customHeight="1" spans="1:19">
      <c r="A1161" s="63">
        <f t="shared" si="74"/>
        <v>1155</v>
      </c>
      <c r="B1161" s="64">
        <v>46157</v>
      </c>
      <c r="C1161" s="87"/>
      <c r="D1161" s="66" t="s">
        <v>100</v>
      </c>
      <c r="E1161" s="66" t="s">
        <v>100</v>
      </c>
      <c r="F1161" s="66" t="s">
        <v>744</v>
      </c>
      <c r="G1161" s="66" t="s">
        <v>994</v>
      </c>
      <c r="H1161" s="66" t="s">
        <v>996</v>
      </c>
      <c r="I1161" s="66" t="s">
        <v>320</v>
      </c>
      <c r="J1161" s="66" t="s">
        <v>318</v>
      </c>
      <c r="K1161" s="66" t="s">
        <v>747</v>
      </c>
      <c r="L1161" s="67">
        <v>3074000</v>
      </c>
      <c r="M1161" s="67">
        <v>0</v>
      </c>
      <c r="N1161" s="68">
        <f t="shared" si="78"/>
        <v>3074000</v>
      </c>
      <c r="O1161" s="69">
        <f t="shared" si="77"/>
        <v>3074000</v>
      </c>
      <c r="P1161" s="42" t="str">
        <f>IFERROR(VLOOKUP(J1161,'Mã NV'!$B:$C,2,0),"")</f>
        <v>XE01597</v>
      </c>
      <c r="Q1161" s="70" t="str">
        <f>IFERROR(VLOOKUP(I1161,'Mã NV'!$J:$K,2,0),"")</f>
        <v>2T5 Lạnh </v>
      </c>
      <c r="S1161" s="44">
        <f t="shared" si="76"/>
        <v>92220</v>
      </c>
    </row>
    <row r="1162" customHeight="1" spans="1:19">
      <c r="A1162" s="63">
        <f t="shared" si="74"/>
        <v>1156</v>
      </c>
      <c r="B1162" s="64">
        <v>46157</v>
      </c>
      <c r="C1162" s="87"/>
      <c r="D1162" s="66" t="s">
        <v>100</v>
      </c>
      <c r="E1162" s="66" t="s">
        <v>100</v>
      </c>
      <c r="F1162" s="66" t="s">
        <v>744</v>
      </c>
      <c r="G1162" s="66" t="s">
        <v>994</v>
      </c>
      <c r="H1162" s="66" t="s">
        <v>995</v>
      </c>
      <c r="I1162" s="66" t="s">
        <v>392</v>
      </c>
      <c r="J1162" s="66" t="s">
        <v>390</v>
      </c>
      <c r="K1162" s="66" t="s">
        <v>747</v>
      </c>
      <c r="L1162" s="67">
        <v>2765000</v>
      </c>
      <c r="M1162" s="67">
        <v>0</v>
      </c>
      <c r="N1162" s="68">
        <f t="shared" si="78"/>
        <v>2765000</v>
      </c>
      <c r="O1162" s="69">
        <f t="shared" si="77"/>
        <v>2765000</v>
      </c>
      <c r="P1162" s="42" t="str">
        <f>IFERROR(VLOOKUP(J1162,'Mã NV'!$B:$C,2,0),"")</f>
        <v>XE01665</v>
      </c>
      <c r="Q1162" s="70" t="str">
        <f>IFERROR(VLOOKUP(I1162,'Mã NV'!$J:$K,2,0),"")</f>
        <v>2T5 Lạnh </v>
      </c>
      <c r="S1162" s="44">
        <f t="shared" si="76"/>
        <v>82950</v>
      </c>
    </row>
    <row r="1163" customHeight="1" spans="1:19">
      <c r="A1163" s="63">
        <f t="shared" si="74"/>
        <v>1157</v>
      </c>
      <c r="B1163" s="64">
        <v>46157</v>
      </c>
      <c r="C1163" s="87"/>
      <c r="D1163" s="66" t="s">
        <v>100</v>
      </c>
      <c r="E1163" s="66" t="s">
        <v>100</v>
      </c>
      <c r="F1163" s="66" t="s">
        <v>744</v>
      </c>
      <c r="G1163" s="66" t="s">
        <v>994</v>
      </c>
      <c r="H1163" s="66" t="s">
        <v>998</v>
      </c>
      <c r="I1163" s="66" t="s">
        <v>353</v>
      </c>
      <c r="J1163" s="66" t="s">
        <v>351</v>
      </c>
      <c r="K1163" s="66" t="s">
        <v>747</v>
      </c>
      <c r="L1163" s="67">
        <v>6009000</v>
      </c>
      <c r="M1163" s="67">
        <v>0</v>
      </c>
      <c r="N1163" s="68">
        <f t="shared" si="78"/>
        <v>6009000</v>
      </c>
      <c r="O1163" s="69">
        <f t="shared" si="77"/>
        <v>6009000</v>
      </c>
      <c r="P1163" s="42" t="str">
        <f>IFERROR(VLOOKUP(J1163,'Mã NV'!$B:$C,2,0),"")</f>
        <v>XE01642</v>
      </c>
      <c r="Q1163" s="70" t="str">
        <f>IFERROR(VLOOKUP(I1163,'Mã NV'!$J:$K,2,0),"")</f>
        <v>2T5 Lạnh </v>
      </c>
      <c r="S1163" s="44">
        <f t="shared" si="76"/>
        <v>180270</v>
      </c>
    </row>
    <row r="1164" customHeight="1" spans="1:19">
      <c r="A1164" s="63">
        <f t="shared" si="74"/>
        <v>1158</v>
      </c>
      <c r="B1164" s="64">
        <v>46157</v>
      </c>
      <c r="C1164" s="87"/>
      <c r="D1164" s="66" t="s">
        <v>100</v>
      </c>
      <c r="E1164" s="66" t="s">
        <v>100</v>
      </c>
      <c r="F1164" s="66" t="s">
        <v>744</v>
      </c>
      <c r="G1164" s="66" t="s">
        <v>994</v>
      </c>
      <c r="H1164" s="66" t="s">
        <v>997</v>
      </c>
      <c r="I1164" s="66" t="s">
        <v>97</v>
      </c>
      <c r="J1164" s="66" t="s">
        <v>95</v>
      </c>
      <c r="K1164" s="66" t="s">
        <v>747</v>
      </c>
      <c r="L1164" s="67">
        <v>7711000</v>
      </c>
      <c r="M1164" s="67">
        <v>0</v>
      </c>
      <c r="N1164" s="68">
        <f t="shared" si="78"/>
        <v>7711000</v>
      </c>
      <c r="O1164" s="69">
        <f t="shared" si="77"/>
        <v>7711000</v>
      </c>
      <c r="P1164" s="42" t="str">
        <f>IFERROR(VLOOKUP(J1164,'Mã NV'!$B:$C,2,0),"")</f>
        <v>XE01379</v>
      </c>
      <c r="Q1164" s="70" t="str">
        <f>IFERROR(VLOOKUP(I1164,'Mã NV'!$J:$K,2,0),"")</f>
        <v> 3T5 Lạnh </v>
      </c>
      <c r="S1164" s="44">
        <f t="shared" si="76"/>
        <v>231330</v>
      </c>
    </row>
    <row r="1165" customHeight="1" spans="1:19">
      <c r="A1165" s="63">
        <f t="shared" si="74"/>
        <v>1159</v>
      </c>
      <c r="B1165" s="64">
        <v>46160</v>
      </c>
      <c r="C1165" s="87"/>
      <c r="D1165" s="66" t="s">
        <v>100</v>
      </c>
      <c r="E1165" s="66" t="s">
        <v>100</v>
      </c>
      <c r="F1165" s="66" t="s">
        <v>744</v>
      </c>
      <c r="G1165" s="66" t="s">
        <v>994</v>
      </c>
      <c r="H1165" s="66" t="s">
        <v>996</v>
      </c>
      <c r="I1165" s="66" t="s">
        <v>320</v>
      </c>
      <c r="J1165" s="66" t="s">
        <v>318</v>
      </c>
      <c r="K1165" s="66" t="s">
        <v>747</v>
      </c>
      <c r="L1165" s="67">
        <v>3074000</v>
      </c>
      <c r="M1165" s="67">
        <v>0</v>
      </c>
      <c r="N1165" s="68">
        <f t="shared" si="78"/>
        <v>3074000</v>
      </c>
      <c r="O1165" s="69">
        <f t="shared" si="77"/>
        <v>3074000</v>
      </c>
      <c r="P1165" s="42" t="str">
        <f>IFERROR(VLOOKUP(J1165,'Mã NV'!$B:$C,2,0),"")</f>
        <v>XE01597</v>
      </c>
      <c r="Q1165" s="70" t="str">
        <f>IFERROR(VLOOKUP(I1165,'Mã NV'!$J:$K,2,0),"")</f>
        <v>2T5 Lạnh </v>
      </c>
      <c r="S1165" s="44">
        <f t="shared" si="76"/>
        <v>92220</v>
      </c>
    </row>
    <row r="1166" customHeight="1" spans="1:19">
      <c r="A1166" s="63">
        <f t="shared" si="74"/>
        <v>1160</v>
      </c>
      <c r="B1166" s="64">
        <v>46160</v>
      </c>
      <c r="C1166" s="87"/>
      <c r="D1166" s="66" t="s">
        <v>100</v>
      </c>
      <c r="E1166" s="66" t="s">
        <v>100</v>
      </c>
      <c r="F1166" s="66" t="s">
        <v>744</v>
      </c>
      <c r="G1166" s="66" t="s">
        <v>994</v>
      </c>
      <c r="H1166" s="66" t="s">
        <v>997</v>
      </c>
      <c r="I1166" s="66" t="s">
        <v>97</v>
      </c>
      <c r="J1166" s="66" t="s">
        <v>95</v>
      </c>
      <c r="K1166" s="66" t="s">
        <v>747</v>
      </c>
      <c r="L1166" s="67">
        <v>7711000</v>
      </c>
      <c r="M1166" s="67">
        <v>0</v>
      </c>
      <c r="N1166" s="68">
        <f t="shared" si="78"/>
        <v>7711000</v>
      </c>
      <c r="O1166" s="69">
        <f t="shared" si="77"/>
        <v>7711000</v>
      </c>
      <c r="P1166" s="42" t="str">
        <f>IFERROR(VLOOKUP(J1166,'Mã NV'!$B:$C,2,0),"")</f>
        <v>XE01379</v>
      </c>
      <c r="Q1166" s="70" t="str">
        <f>IFERROR(VLOOKUP(I1166,'Mã NV'!$J:$K,2,0),"")</f>
        <v> 3T5 Lạnh </v>
      </c>
      <c r="S1166" s="44">
        <f t="shared" si="76"/>
        <v>231330</v>
      </c>
    </row>
    <row r="1167" customHeight="1" spans="1:19">
      <c r="A1167" s="63">
        <f t="shared" ref="A1167:A1230" si="79">A1166+1</f>
        <v>1161</v>
      </c>
      <c r="B1167" s="64">
        <v>46160</v>
      </c>
      <c r="C1167" s="87"/>
      <c r="D1167" s="66" t="s">
        <v>100</v>
      </c>
      <c r="E1167" s="66" t="s">
        <v>100</v>
      </c>
      <c r="F1167" s="66" t="s">
        <v>744</v>
      </c>
      <c r="G1167" s="66" t="s">
        <v>994</v>
      </c>
      <c r="H1167" s="66" t="s">
        <v>998</v>
      </c>
      <c r="I1167" s="66" t="s">
        <v>353</v>
      </c>
      <c r="J1167" s="66" t="s">
        <v>351</v>
      </c>
      <c r="K1167" s="66" t="s">
        <v>747</v>
      </c>
      <c r="L1167" s="67">
        <v>6009000</v>
      </c>
      <c r="M1167" s="67">
        <v>0</v>
      </c>
      <c r="N1167" s="68">
        <f t="shared" si="78"/>
        <v>6009000</v>
      </c>
      <c r="O1167" s="69">
        <f t="shared" si="77"/>
        <v>6009000</v>
      </c>
      <c r="P1167" s="42" t="str">
        <f>IFERROR(VLOOKUP(J1167,'Mã NV'!$B:$C,2,0),"")</f>
        <v>XE01642</v>
      </c>
      <c r="Q1167" s="70" t="str">
        <f>IFERROR(VLOOKUP(I1167,'Mã NV'!$J:$K,2,0),"")</f>
        <v>2T5 Lạnh </v>
      </c>
      <c r="S1167" s="44">
        <f t="shared" si="76"/>
        <v>180270</v>
      </c>
    </row>
    <row r="1168" customHeight="1" spans="1:19">
      <c r="A1168" s="63">
        <f t="shared" si="79"/>
        <v>1162</v>
      </c>
      <c r="B1168" s="64">
        <v>46161</v>
      </c>
      <c r="C1168" s="87"/>
      <c r="D1168" s="66" t="s">
        <v>100</v>
      </c>
      <c r="E1168" s="66" t="s">
        <v>100</v>
      </c>
      <c r="F1168" s="66" t="s">
        <v>744</v>
      </c>
      <c r="G1168" s="66" t="s">
        <v>994</v>
      </c>
      <c r="H1168" s="66" t="s">
        <v>768</v>
      </c>
      <c r="I1168" s="66" t="s">
        <v>392</v>
      </c>
      <c r="J1168" s="66" t="s">
        <v>390</v>
      </c>
      <c r="K1168" s="66" t="s">
        <v>747</v>
      </c>
      <c r="L1168" s="67">
        <v>1947000</v>
      </c>
      <c r="M1168" s="67">
        <v>0</v>
      </c>
      <c r="N1168" s="68">
        <f t="shared" si="78"/>
        <v>1947000</v>
      </c>
      <c r="O1168" s="69">
        <f t="shared" si="77"/>
        <v>1947000</v>
      </c>
      <c r="P1168" s="42" t="str">
        <f>IFERROR(VLOOKUP(J1168,'Mã NV'!$B:$C,2,0),"")</f>
        <v>XE01665</v>
      </c>
      <c r="Q1168" s="70" t="str">
        <f>IFERROR(VLOOKUP(I1168,'Mã NV'!$J:$K,2,0),"")</f>
        <v>2T5 Lạnh </v>
      </c>
      <c r="S1168" s="44">
        <f t="shared" si="76"/>
        <v>58410</v>
      </c>
    </row>
    <row r="1169" customHeight="1" spans="1:19">
      <c r="A1169" s="63">
        <f t="shared" si="79"/>
        <v>1163</v>
      </c>
      <c r="B1169" s="64">
        <v>46161</v>
      </c>
      <c r="C1169" s="87"/>
      <c r="D1169" s="66" t="s">
        <v>100</v>
      </c>
      <c r="E1169" s="66" t="s">
        <v>100</v>
      </c>
      <c r="F1169" s="66" t="s">
        <v>744</v>
      </c>
      <c r="G1169" s="66" t="s">
        <v>994</v>
      </c>
      <c r="H1169" s="66" t="s">
        <v>996</v>
      </c>
      <c r="I1169" s="66" t="s">
        <v>320</v>
      </c>
      <c r="J1169" s="66" t="s">
        <v>318</v>
      </c>
      <c r="K1169" s="66" t="s">
        <v>747</v>
      </c>
      <c r="L1169" s="67">
        <v>3074000</v>
      </c>
      <c r="M1169" s="67">
        <v>0</v>
      </c>
      <c r="N1169" s="68">
        <f t="shared" si="78"/>
        <v>3074000</v>
      </c>
      <c r="O1169" s="69">
        <f t="shared" si="77"/>
        <v>3074000</v>
      </c>
      <c r="P1169" s="42" t="str">
        <f>IFERROR(VLOOKUP(J1169,'Mã NV'!$B:$C,2,0),"")</f>
        <v>XE01597</v>
      </c>
      <c r="Q1169" s="70" t="str">
        <f>IFERROR(VLOOKUP(I1169,'Mã NV'!$J:$K,2,0),"")</f>
        <v>2T5 Lạnh </v>
      </c>
      <c r="S1169" s="44">
        <f t="shared" si="76"/>
        <v>92220</v>
      </c>
    </row>
    <row r="1170" customHeight="1" spans="1:19">
      <c r="A1170" s="63">
        <f t="shared" si="79"/>
        <v>1164</v>
      </c>
      <c r="B1170" s="64">
        <v>46161</v>
      </c>
      <c r="C1170" s="87"/>
      <c r="D1170" s="66" t="s">
        <v>100</v>
      </c>
      <c r="E1170" s="66" t="s">
        <v>100</v>
      </c>
      <c r="F1170" s="66" t="s">
        <v>744</v>
      </c>
      <c r="G1170" s="66" t="s">
        <v>994</v>
      </c>
      <c r="H1170" s="66" t="s">
        <v>997</v>
      </c>
      <c r="I1170" s="66" t="s">
        <v>392</v>
      </c>
      <c r="J1170" s="66" t="s">
        <v>390</v>
      </c>
      <c r="K1170" s="66" t="s">
        <v>747</v>
      </c>
      <c r="L1170" s="67">
        <v>7711000</v>
      </c>
      <c r="M1170" s="67">
        <v>0</v>
      </c>
      <c r="N1170" s="68">
        <f t="shared" si="78"/>
        <v>7711000</v>
      </c>
      <c r="O1170" s="69">
        <f t="shared" si="77"/>
        <v>7711000</v>
      </c>
      <c r="P1170" s="42" t="str">
        <f>IFERROR(VLOOKUP(J1170,'Mã NV'!$B:$C,2,0),"")</f>
        <v>XE01665</v>
      </c>
      <c r="Q1170" s="70" t="str">
        <f>IFERROR(VLOOKUP(I1170,'Mã NV'!$J:$K,2,0),"")</f>
        <v>2T5 Lạnh </v>
      </c>
      <c r="S1170" s="44">
        <f t="shared" si="76"/>
        <v>231330</v>
      </c>
    </row>
    <row r="1171" customHeight="1" spans="1:19">
      <c r="A1171" s="63">
        <f t="shared" si="79"/>
        <v>1165</v>
      </c>
      <c r="B1171" s="64">
        <v>46162</v>
      </c>
      <c r="C1171" s="87"/>
      <c r="D1171" s="66" t="s">
        <v>100</v>
      </c>
      <c r="E1171" s="66" t="s">
        <v>100</v>
      </c>
      <c r="F1171" s="66" t="s">
        <v>744</v>
      </c>
      <c r="G1171" s="66" t="s">
        <v>994</v>
      </c>
      <c r="H1171" s="66" t="s">
        <v>1000</v>
      </c>
      <c r="I1171" s="66" t="s">
        <v>97</v>
      </c>
      <c r="J1171" s="66" t="s">
        <v>95</v>
      </c>
      <c r="K1171" s="66" t="s">
        <v>747</v>
      </c>
      <c r="L1171" s="67">
        <v>1649000</v>
      </c>
      <c r="M1171" s="67">
        <v>0</v>
      </c>
      <c r="N1171" s="68">
        <f t="shared" si="78"/>
        <v>1649000</v>
      </c>
      <c r="O1171" s="69">
        <f t="shared" si="77"/>
        <v>1649000</v>
      </c>
      <c r="P1171" s="42" t="str">
        <f>IFERROR(VLOOKUP(J1171,'Mã NV'!$B:$C,2,0),"")</f>
        <v>XE01379</v>
      </c>
      <c r="Q1171" s="70" t="str">
        <f>IFERROR(VLOOKUP(I1171,'Mã NV'!$J:$K,2,0),"")</f>
        <v> 3T5 Lạnh </v>
      </c>
      <c r="S1171" s="44">
        <f t="shared" si="76"/>
        <v>49470</v>
      </c>
    </row>
    <row r="1172" customHeight="1" spans="1:19">
      <c r="A1172" s="63">
        <f t="shared" si="79"/>
        <v>1166</v>
      </c>
      <c r="B1172" s="64">
        <v>46162</v>
      </c>
      <c r="C1172" s="87"/>
      <c r="D1172" s="66" t="s">
        <v>100</v>
      </c>
      <c r="E1172" s="66" t="s">
        <v>100</v>
      </c>
      <c r="F1172" s="66" t="s">
        <v>744</v>
      </c>
      <c r="G1172" s="66" t="s">
        <v>994</v>
      </c>
      <c r="H1172" s="66" t="s">
        <v>996</v>
      </c>
      <c r="I1172" s="66" t="s">
        <v>392</v>
      </c>
      <c r="J1172" s="66" t="s">
        <v>390</v>
      </c>
      <c r="K1172" s="66" t="s">
        <v>747</v>
      </c>
      <c r="L1172" s="67">
        <v>3074000</v>
      </c>
      <c r="M1172" s="67">
        <v>0</v>
      </c>
      <c r="N1172" s="68">
        <f t="shared" si="78"/>
        <v>3074000</v>
      </c>
      <c r="O1172" s="69">
        <f t="shared" si="77"/>
        <v>3074000</v>
      </c>
      <c r="P1172" s="42" t="str">
        <f>IFERROR(VLOOKUP(J1172,'Mã NV'!$B:$C,2,0),"")</f>
        <v>XE01665</v>
      </c>
      <c r="Q1172" s="70" t="str">
        <f>IFERROR(VLOOKUP(I1172,'Mã NV'!$J:$K,2,0),"")</f>
        <v>2T5 Lạnh </v>
      </c>
      <c r="S1172" s="44">
        <f t="shared" si="76"/>
        <v>92220</v>
      </c>
    </row>
    <row r="1173" customHeight="1" spans="1:19">
      <c r="A1173" s="63">
        <f t="shared" si="79"/>
        <v>1167</v>
      </c>
      <c r="B1173" s="64">
        <v>46162</v>
      </c>
      <c r="C1173" s="87"/>
      <c r="D1173" s="66" t="s">
        <v>100</v>
      </c>
      <c r="E1173" s="66" t="s">
        <v>100</v>
      </c>
      <c r="F1173" s="66" t="s">
        <v>744</v>
      </c>
      <c r="G1173" s="66" t="s">
        <v>994</v>
      </c>
      <c r="H1173" s="66" t="s">
        <v>995</v>
      </c>
      <c r="I1173" s="66" t="s">
        <v>320</v>
      </c>
      <c r="J1173" s="66" t="s">
        <v>318</v>
      </c>
      <c r="K1173" s="66" t="s">
        <v>747</v>
      </c>
      <c r="L1173" s="67">
        <v>2765000</v>
      </c>
      <c r="M1173" s="67">
        <v>0</v>
      </c>
      <c r="N1173" s="68">
        <f t="shared" si="78"/>
        <v>2765000</v>
      </c>
      <c r="O1173" s="69">
        <f t="shared" si="77"/>
        <v>2765000</v>
      </c>
      <c r="P1173" s="42" t="str">
        <f>IFERROR(VLOOKUP(J1173,'Mã NV'!$B:$C,2,0),"")</f>
        <v>XE01597</v>
      </c>
      <c r="Q1173" s="70" t="str">
        <f>IFERROR(VLOOKUP(I1173,'Mã NV'!$J:$K,2,0),"")</f>
        <v>2T5 Lạnh </v>
      </c>
      <c r="S1173" s="44">
        <f t="shared" si="76"/>
        <v>82950</v>
      </c>
    </row>
    <row r="1174" customHeight="1" spans="1:19">
      <c r="A1174" s="63">
        <f t="shared" si="79"/>
        <v>1168</v>
      </c>
      <c r="B1174" s="64">
        <v>46162</v>
      </c>
      <c r="C1174" s="87"/>
      <c r="D1174" s="66" t="s">
        <v>100</v>
      </c>
      <c r="E1174" s="66" t="s">
        <v>100</v>
      </c>
      <c r="F1174" s="66" t="s">
        <v>744</v>
      </c>
      <c r="G1174" s="66" t="s">
        <v>994</v>
      </c>
      <c r="H1174" s="66" t="s">
        <v>998</v>
      </c>
      <c r="I1174" s="66" t="s">
        <v>97</v>
      </c>
      <c r="J1174" s="66" t="s">
        <v>95</v>
      </c>
      <c r="K1174" s="66" t="s">
        <v>747</v>
      </c>
      <c r="L1174" s="67">
        <v>6009000</v>
      </c>
      <c r="M1174" s="67">
        <v>0</v>
      </c>
      <c r="N1174" s="68">
        <f t="shared" si="78"/>
        <v>6009000</v>
      </c>
      <c r="O1174" s="69">
        <f t="shared" si="77"/>
        <v>6009000</v>
      </c>
      <c r="P1174" s="42" t="str">
        <f>IFERROR(VLOOKUP(J1174,'Mã NV'!$B:$C,2,0),"")</f>
        <v>XE01379</v>
      </c>
      <c r="Q1174" s="70" t="str">
        <f>IFERROR(VLOOKUP(I1174,'Mã NV'!$J:$K,2,0),"")</f>
        <v> 3T5 Lạnh </v>
      </c>
      <c r="S1174" s="44">
        <f t="shared" si="76"/>
        <v>180270</v>
      </c>
    </row>
    <row r="1175" customHeight="1" spans="1:19">
      <c r="A1175" s="63">
        <f t="shared" si="79"/>
        <v>1169</v>
      </c>
      <c r="B1175" s="64">
        <v>46162</v>
      </c>
      <c r="C1175" s="87"/>
      <c r="D1175" s="66" t="s">
        <v>100</v>
      </c>
      <c r="E1175" s="66" t="s">
        <v>100</v>
      </c>
      <c r="F1175" s="66" t="s">
        <v>744</v>
      </c>
      <c r="G1175" s="66" t="s">
        <v>994</v>
      </c>
      <c r="H1175" s="66" t="s">
        <v>997</v>
      </c>
      <c r="I1175" s="66" t="s">
        <v>353</v>
      </c>
      <c r="J1175" s="66" t="s">
        <v>351</v>
      </c>
      <c r="K1175" s="66" t="s">
        <v>747</v>
      </c>
      <c r="L1175" s="67">
        <v>7711000</v>
      </c>
      <c r="M1175" s="67">
        <v>0</v>
      </c>
      <c r="N1175" s="68">
        <f t="shared" si="78"/>
        <v>7711000</v>
      </c>
      <c r="O1175" s="69">
        <f t="shared" si="77"/>
        <v>7711000</v>
      </c>
      <c r="P1175" s="42" t="str">
        <f>IFERROR(VLOOKUP(J1175,'Mã NV'!$B:$C,2,0),"")</f>
        <v>XE01642</v>
      </c>
      <c r="Q1175" s="70" t="str">
        <f>IFERROR(VLOOKUP(I1175,'Mã NV'!$J:$K,2,0),"")</f>
        <v>2T5 Lạnh </v>
      </c>
      <c r="S1175" s="44">
        <f t="shared" si="76"/>
        <v>231330</v>
      </c>
    </row>
    <row r="1176" customHeight="1" spans="1:19">
      <c r="A1176" s="63">
        <f t="shared" si="79"/>
        <v>1170</v>
      </c>
      <c r="B1176" s="64">
        <v>46163</v>
      </c>
      <c r="C1176" s="87"/>
      <c r="D1176" s="66" t="s">
        <v>100</v>
      </c>
      <c r="E1176" s="66" t="s">
        <v>100</v>
      </c>
      <c r="F1176" s="66" t="s">
        <v>744</v>
      </c>
      <c r="G1176" s="66" t="s">
        <v>994</v>
      </c>
      <c r="H1176" s="66" t="s">
        <v>996</v>
      </c>
      <c r="I1176" s="66" t="s">
        <v>392</v>
      </c>
      <c r="J1176" s="66" t="s">
        <v>390</v>
      </c>
      <c r="K1176" s="66" t="s">
        <v>747</v>
      </c>
      <c r="L1176" s="67">
        <v>3074000</v>
      </c>
      <c r="M1176" s="67">
        <v>0</v>
      </c>
      <c r="N1176" s="68">
        <f t="shared" si="78"/>
        <v>3074000</v>
      </c>
      <c r="O1176" s="69">
        <f t="shared" si="77"/>
        <v>3074000</v>
      </c>
      <c r="P1176" s="42" t="str">
        <f>IFERROR(VLOOKUP(J1176,'Mã NV'!$B:$C,2,0),"")</f>
        <v>XE01665</v>
      </c>
      <c r="Q1176" s="70" t="str">
        <f>IFERROR(VLOOKUP(I1176,'Mã NV'!$J:$K,2,0),"")</f>
        <v>2T5 Lạnh </v>
      </c>
      <c r="S1176" s="44">
        <f t="shared" si="76"/>
        <v>92220</v>
      </c>
    </row>
    <row r="1177" customHeight="1" spans="1:19">
      <c r="A1177" s="63">
        <f t="shared" si="79"/>
        <v>1171</v>
      </c>
      <c r="B1177" s="64">
        <v>46164</v>
      </c>
      <c r="C1177" s="87"/>
      <c r="D1177" s="66" t="s">
        <v>100</v>
      </c>
      <c r="E1177" s="66" t="s">
        <v>100</v>
      </c>
      <c r="F1177" s="66" t="s">
        <v>744</v>
      </c>
      <c r="G1177" s="66" t="s">
        <v>994</v>
      </c>
      <c r="H1177" s="66" t="s">
        <v>996</v>
      </c>
      <c r="I1177" s="66" t="s">
        <v>353</v>
      </c>
      <c r="J1177" s="66" t="s">
        <v>351</v>
      </c>
      <c r="K1177" s="66" t="s">
        <v>747</v>
      </c>
      <c r="L1177" s="67">
        <v>3074000</v>
      </c>
      <c r="M1177" s="67">
        <v>0</v>
      </c>
      <c r="N1177" s="68">
        <f t="shared" si="78"/>
        <v>3074000</v>
      </c>
      <c r="O1177" s="69">
        <f t="shared" si="77"/>
        <v>3074000</v>
      </c>
      <c r="P1177" s="42" t="str">
        <f>IFERROR(VLOOKUP(J1177,'Mã NV'!$B:$C,2,0),"")</f>
        <v>XE01642</v>
      </c>
      <c r="Q1177" s="70" t="str">
        <f>IFERROR(VLOOKUP(I1177,'Mã NV'!$J:$K,2,0),"")</f>
        <v>2T5 Lạnh </v>
      </c>
      <c r="S1177" s="44">
        <f t="shared" si="76"/>
        <v>92220</v>
      </c>
    </row>
    <row r="1178" customHeight="1" spans="1:19">
      <c r="A1178" s="63">
        <f t="shared" si="79"/>
        <v>1172</v>
      </c>
      <c r="B1178" s="64">
        <v>46164</v>
      </c>
      <c r="C1178" s="87"/>
      <c r="D1178" s="66" t="s">
        <v>100</v>
      </c>
      <c r="E1178" s="66" t="s">
        <v>100</v>
      </c>
      <c r="F1178" s="66" t="s">
        <v>744</v>
      </c>
      <c r="G1178" s="66" t="s">
        <v>994</v>
      </c>
      <c r="H1178" s="66" t="s">
        <v>997</v>
      </c>
      <c r="I1178" s="66" t="s">
        <v>97</v>
      </c>
      <c r="J1178" s="66" t="s">
        <v>95</v>
      </c>
      <c r="K1178" s="66" t="s">
        <v>747</v>
      </c>
      <c r="L1178" s="67">
        <v>7711000</v>
      </c>
      <c r="M1178" s="67">
        <v>0</v>
      </c>
      <c r="N1178" s="68">
        <f t="shared" si="78"/>
        <v>7711000</v>
      </c>
      <c r="O1178" s="69">
        <f t="shared" si="77"/>
        <v>7711000</v>
      </c>
      <c r="P1178" s="42" t="str">
        <f>IFERROR(VLOOKUP(J1178,'Mã NV'!$B:$C,2,0),"")</f>
        <v>XE01379</v>
      </c>
      <c r="Q1178" s="70" t="str">
        <f>IFERROR(VLOOKUP(I1178,'Mã NV'!$J:$K,2,0),"")</f>
        <v> 3T5 Lạnh </v>
      </c>
      <c r="S1178" s="44">
        <f t="shared" si="76"/>
        <v>231330</v>
      </c>
    </row>
    <row r="1179" customHeight="1" spans="1:19">
      <c r="A1179" s="63">
        <f t="shared" si="79"/>
        <v>1173</v>
      </c>
      <c r="B1179" s="64">
        <v>46164</v>
      </c>
      <c r="C1179" s="87"/>
      <c r="D1179" s="66" t="s">
        <v>100</v>
      </c>
      <c r="E1179" s="66" t="s">
        <v>100</v>
      </c>
      <c r="F1179" s="66" t="s">
        <v>744</v>
      </c>
      <c r="G1179" s="66" t="s">
        <v>994</v>
      </c>
      <c r="H1179" s="66" t="s">
        <v>998</v>
      </c>
      <c r="I1179" s="66" t="s">
        <v>320</v>
      </c>
      <c r="J1179" s="66" t="s">
        <v>318</v>
      </c>
      <c r="K1179" s="66" t="s">
        <v>747</v>
      </c>
      <c r="L1179" s="67">
        <v>6009000</v>
      </c>
      <c r="M1179" s="67">
        <v>0</v>
      </c>
      <c r="N1179" s="68">
        <f t="shared" si="78"/>
        <v>6009000</v>
      </c>
      <c r="O1179" s="69">
        <f t="shared" si="77"/>
        <v>6009000</v>
      </c>
      <c r="P1179" s="42" t="str">
        <f>IFERROR(VLOOKUP(J1179,'Mã NV'!$B:$C,2,0),"")</f>
        <v>XE01597</v>
      </c>
      <c r="Q1179" s="70" t="str">
        <f>IFERROR(VLOOKUP(I1179,'Mã NV'!$J:$K,2,0),"")</f>
        <v>2T5 Lạnh </v>
      </c>
      <c r="S1179" s="44">
        <f t="shared" si="76"/>
        <v>180270</v>
      </c>
    </row>
    <row r="1180" customHeight="1" spans="1:19">
      <c r="A1180" s="63">
        <f t="shared" si="79"/>
        <v>1174</v>
      </c>
      <c r="B1180" s="64">
        <v>46167</v>
      </c>
      <c r="C1180" s="87"/>
      <c r="D1180" s="66" t="s">
        <v>100</v>
      </c>
      <c r="E1180" s="66" t="s">
        <v>100</v>
      </c>
      <c r="F1180" s="66" t="s">
        <v>744</v>
      </c>
      <c r="G1180" s="66" t="s">
        <v>994</v>
      </c>
      <c r="H1180" s="66" t="s">
        <v>995</v>
      </c>
      <c r="I1180" s="66" t="s">
        <v>320</v>
      </c>
      <c r="J1180" s="66" t="s">
        <v>318</v>
      </c>
      <c r="K1180" s="66" t="s">
        <v>747</v>
      </c>
      <c r="L1180" s="67">
        <v>2765000</v>
      </c>
      <c r="M1180" s="67">
        <v>0</v>
      </c>
      <c r="N1180" s="68">
        <f t="shared" si="78"/>
        <v>2765000</v>
      </c>
      <c r="O1180" s="69">
        <f t="shared" si="77"/>
        <v>2765000</v>
      </c>
      <c r="P1180" s="42" t="str">
        <f>IFERROR(VLOOKUP(J1180,'Mã NV'!$B:$C,2,0),"")</f>
        <v>XE01597</v>
      </c>
      <c r="Q1180" s="70" t="str">
        <f>IFERROR(VLOOKUP(I1180,'Mã NV'!$J:$K,2,0),"")</f>
        <v>2T5 Lạnh </v>
      </c>
      <c r="S1180" s="44">
        <f t="shared" si="76"/>
        <v>82950</v>
      </c>
    </row>
    <row r="1181" customHeight="1" spans="1:19">
      <c r="A1181" s="63">
        <f t="shared" si="79"/>
        <v>1175</v>
      </c>
      <c r="B1181" s="64">
        <v>46167</v>
      </c>
      <c r="C1181" s="87"/>
      <c r="D1181" s="66" t="s">
        <v>100</v>
      </c>
      <c r="E1181" s="66" t="s">
        <v>100</v>
      </c>
      <c r="F1181" s="66" t="s">
        <v>744</v>
      </c>
      <c r="G1181" s="66" t="s">
        <v>994</v>
      </c>
      <c r="H1181" s="66" t="s">
        <v>996</v>
      </c>
      <c r="I1181" s="66" t="s">
        <v>392</v>
      </c>
      <c r="J1181" s="66" t="s">
        <v>390</v>
      </c>
      <c r="K1181" s="66" t="s">
        <v>747</v>
      </c>
      <c r="L1181" s="67">
        <v>3074000</v>
      </c>
      <c r="M1181" s="67">
        <v>0</v>
      </c>
      <c r="N1181" s="68">
        <f t="shared" si="78"/>
        <v>3074000</v>
      </c>
      <c r="O1181" s="69">
        <f t="shared" si="77"/>
        <v>3074000</v>
      </c>
      <c r="P1181" s="42" t="str">
        <f>IFERROR(VLOOKUP(J1181,'Mã NV'!$B:$C,2,0),"")</f>
        <v>XE01665</v>
      </c>
      <c r="Q1181" s="70" t="str">
        <f>IFERROR(VLOOKUP(I1181,'Mã NV'!$J:$K,2,0),"")</f>
        <v>2T5 Lạnh </v>
      </c>
      <c r="S1181" s="44">
        <f t="shared" si="76"/>
        <v>92220</v>
      </c>
    </row>
    <row r="1182" customHeight="1" spans="1:19">
      <c r="A1182" s="63">
        <f t="shared" si="79"/>
        <v>1176</v>
      </c>
      <c r="B1182" s="64">
        <v>46167</v>
      </c>
      <c r="C1182" s="87"/>
      <c r="D1182" s="66" t="s">
        <v>100</v>
      </c>
      <c r="E1182" s="66" t="s">
        <v>100</v>
      </c>
      <c r="F1182" s="66" t="s">
        <v>744</v>
      </c>
      <c r="G1182" s="66" t="s">
        <v>994</v>
      </c>
      <c r="H1182" s="66" t="s">
        <v>998</v>
      </c>
      <c r="I1182" s="66" t="s">
        <v>353</v>
      </c>
      <c r="J1182" s="66" t="s">
        <v>351</v>
      </c>
      <c r="K1182" s="66" t="s">
        <v>747</v>
      </c>
      <c r="L1182" s="67">
        <v>6009000</v>
      </c>
      <c r="M1182" s="67">
        <v>0</v>
      </c>
      <c r="N1182" s="68">
        <f t="shared" si="78"/>
        <v>6009000</v>
      </c>
      <c r="O1182" s="69">
        <f t="shared" si="77"/>
        <v>6009000</v>
      </c>
      <c r="P1182" s="42" t="str">
        <f>IFERROR(VLOOKUP(J1182,'Mã NV'!$B:$C,2,0),"")</f>
        <v>XE01642</v>
      </c>
      <c r="Q1182" s="70" t="str">
        <f>IFERROR(VLOOKUP(I1182,'Mã NV'!$J:$K,2,0),"")</f>
        <v>2T5 Lạnh </v>
      </c>
      <c r="S1182" s="44">
        <f t="shared" si="76"/>
        <v>180270</v>
      </c>
    </row>
    <row r="1183" customHeight="1" spans="1:19">
      <c r="A1183" s="63">
        <f t="shared" si="79"/>
        <v>1177</v>
      </c>
      <c r="B1183" s="64">
        <v>46167</v>
      </c>
      <c r="C1183" s="87"/>
      <c r="D1183" s="66" t="s">
        <v>100</v>
      </c>
      <c r="E1183" s="66" t="s">
        <v>100</v>
      </c>
      <c r="F1183" s="66" t="s">
        <v>744</v>
      </c>
      <c r="G1183" s="66" t="s">
        <v>994</v>
      </c>
      <c r="H1183" s="66" t="s">
        <v>997</v>
      </c>
      <c r="I1183" s="66" t="s">
        <v>97</v>
      </c>
      <c r="J1183" s="66" t="s">
        <v>95</v>
      </c>
      <c r="K1183" s="66" t="s">
        <v>747</v>
      </c>
      <c r="L1183" s="67">
        <v>7711000</v>
      </c>
      <c r="M1183" s="67">
        <v>0</v>
      </c>
      <c r="N1183" s="68">
        <f t="shared" si="78"/>
        <v>7711000</v>
      </c>
      <c r="O1183" s="69">
        <f t="shared" si="77"/>
        <v>7711000</v>
      </c>
      <c r="P1183" s="42" t="str">
        <f>IFERROR(VLOOKUP(J1183,'Mã NV'!$B:$C,2,0),"")</f>
        <v>XE01379</v>
      </c>
      <c r="Q1183" s="70" t="str">
        <f>IFERROR(VLOOKUP(I1183,'Mã NV'!$J:$K,2,0),"")</f>
        <v> 3T5 Lạnh </v>
      </c>
      <c r="S1183" s="44">
        <f t="shared" si="76"/>
        <v>231330</v>
      </c>
    </row>
    <row r="1184" customHeight="1" spans="1:19">
      <c r="A1184" s="63">
        <f t="shared" si="79"/>
        <v>1178</v>
      </c>
      <c r="B1184" s="64">
        <v>46148</v>
      </c>
      <c r="C1184" s="87"/>
      <c r="D1184" s="66" t="s">
        <v>100</v>
      </c>
      <c r="E1184" s="66" t="s">
        <v>100</v>
      </c>
      <c r="F1184" s="66" t="s">
        <v>744</v>
      </c>
      <c r="G1184" s="66" t="s">
        <v>994</v>
      </c>
      <c r="H1184" s="66" t="s">
        <v>998</v>
      </c>
      <c r="I1184" s="66" t="s">
        <v>97</v>
      </c>
      <c r="J1184" s="66" t="s">
        <v>95</v>
      </c>
      <c r="K1184" s="66" t="s">
        <v>747</v>
      </c>
      <c r="L1184" s="67">
        <v>6009000</v>
      </c>
      <c r="M1184" s="67">
        <v>0</v>
      </c>
      <c r="N1184" s="68">
        <f t="shared" si="78"/>
        <v>6009000</v>
      </c>
      <c r="O1184" s="69">
        <f t="shared" si="77"/>
        <v>6009000</v>
      </c>
      <c r="P1184" s="42" t="str">
        <f>IFERROR(VLOOKUP(J1184,'Mã NV'!$B:$C,2,0),"")</f>
        <v>XE01379</v>
      </c>
      <c r="Q1184" s="70" t="str">
        <f>IFERROR(VLOOKUP(I1184,'Mã NV'!$J:$K,2,0),"")</f>
        <v> 3T5 Lạnh </v>
      </c>
      <c r="S1184" s="44">
        <f t="shared" si="76"/>
        <v>180270</v>
      </c>
    </row>
    <row r="1185" customHeight="1" spans="1:19">
      <c r="A1185" s="63">
        <f t="shared" si="79"/>
        <v>1179</v>
      </c>
      <c r="B1185" s="64">
        <v>46148</v>
      </c>
      <c r="C1185" s="87"/>
      <c r="D1185" s="66" t="s">
        <v>100</v>
      </c>
      <c r="E1185" s="66" t="s">
        <v>100</v>
      </c>
      <c r="F1185" s="66" t="s">
        <v>744</v>
      </c>
      <c r="G1185" s="66" t="s">
        <v>994</v>
      </c>
      <c r="H1185" s="66" t="s">
        <v>997</v>
      </c>
      <c r="I1185" s="66" t="s">
        <v>353</v>
      </c>
      <c r="J1185" s="66" t="s">
        <v>351</v>
      </c>
      <c r="K1185" s="66" t="s">
        <v>747</v>
      </c>
      <c r="L1185" s="67">
        <v>7711000</v>
      </c>
      <c r="M1185" s="67">
        <v>0</v>
      </c>
      <c r="N1185" s="68">
        <f t="shared" si="78"/>
        <v>7711000</v>
      </c>
      <c r="O1185" s="69">
        <f t="shared" si="77"/>
        <v>7711000</v>
      </c>
      <c r="P1185" s="42" t="str">
        <f>IFERROR(VLOOKUP(J1185,'Mã NV'!$B:$C,2,0),"")</f>
        <v>XE01642</v>
      </c>
      <c r="Q1185" s="70" t="str">
        <f>IFERROR(VLOOKUP(I1185,'Mã NV'!$J:$K,2,0),"")</f>
        <v>2T5 Lạnh </v>
      </c>
      <c r="S1185" s="44">
        <f t="shared" si="76"/>
        <v>231330</v>
      </c>
    </row>
    <row r="1186" customHeight="1" spans="1:19">
      <c r="A1186" s="63">
        <f t="shared" si="79"/>
        <v>1180</v>
      </c>
      <c r="B1186" s="64">
        <v>46148</v>
      </c>
      <c r="C1186" s="87"/>
      <c r="D1186" s="66" t="s">
        <v>100</v>
      </c>
      <c r="E1186" s="66" t="s">
        <v>100</v>
      </c>
      <c r="F1186" s="66" t="s">
        <v>744</v>
      </c>
      <c r="G1186" s="66" t="s">
        <v>994</v>
      </c>
      <c r="H1186" s="66" t="s">
        <v>996</v>
      </c>
      <c r="I1186" s="66" t="s">
        <v>320</v>
      </c>
      <c r="J1186" s="66" t="s">
        <v>318</v>
      </c>
      <c r="K1186" s="66" t="s">
        <v>747</v>
      </c>
      <c r="L1186" s="67">
        <v>3074000</v>
      </c>
      <c r="M1186" s="67">
        <v>0</v>
      </c>
      <c r="N1186" s="68">
        <f t="shared" si="78"/>
        <v>3074000</v>
      </c>
      <c r="O1186" s="69">
        <f t="shared" si="77"/>
        <v>3074000</v>
      </c>
      <c r="P1186" s="42" t="str">
        <f>IFERROR(VLOOKUP(J1186,'Mã NV'!$B:$C,2,0),"")</f>
        <v>XE01597</v>
      </c>
      <c r="Q1186" s="70" t="str">
        <f>IFERROR(VLOOKUP(I1186,'Mã NV'!$J:$K,2,0),"")</f>
        <v>2T5 Lạnh </v>
      </c>
      <c r="S1186" s="44">
        <f t="shared" si="76"/>
        <v>92220</v>
      </c>
    </row>
    <row r="1187" customHeight="1" spans="1:19">
      <c r="A1187" s="63">
        <f t="shared" si="79"/>
        <v>1181</v>
      </c>
      <c r="B1187" s="64">
        <v>46148</v>
      </c>
      <c r="C1187" s="87"/>
      <c r="D1187" s="66" t="s">
        <v>216</v>
      </c>
      <c r="E1187" s="66" t="s">
        <v>216</v>
      </c>
      <c r="F1187" s="66" t="s">
        <v>985</v>
      </c>
      <c r="G1187" s="66" t="s">
        <v>1001</v>
      </c>
      <c r="H1187" s="66" t="s">
        <v>1002</v>
      </c>
      <c r="I1187" s="66" t="s">
        <v>358</v>
      </c>
      <c r="J1187" s="66" t="s">
        <v>356</v>
      </c>
      <c r="K1187" s="66" t="s">
        <v>747</v>
      </c>
      <c r="L1187" s="67">
        <v>705000</v>
      </c>
      <c r="M1187" s="67">
        <v>0</v>
      </c>
      <c r="N1187" s="68">
        <f t="shared" si="78"/>
        <v>705000</v>
      </c>
      <c r="O1187" s="69">
        <f t="shared" si="77"/>
        <v>705000</v>
      </c>
      <c r="P1187" s="42" t="str">
        <f>IFERROR(VLOOKUP(J1187,'Mã NV'!$B:$C,2,0),"")</f>
        <v>XE01616</v>
      </c>
      <c r="Q1187" s="70" t="str">
        <f>IFERROR(VLOOKUP(I1187,'Mã NV'!$J:$K,2,0),"")</f>
        <v>2.5T Lạnh</v>
      </c>
    </row>
    <row r="1188" customHeight="1" spans="1:19">
      <c r="A1188" s="63">
        <f t="shared" si="79"/>
        <v>1182</v>
      </c>
      <c r="B1188" s="64">
        <v>46153</v>
      </c>
      <c r="C1188" s="87"/>
      <c r="D1188" s="66" t="s">
        <v>216</v>
      </c>
      <c r="E1188" s="66" t="s">
        <v>216</v>
      </c>
      <c r="F1188" s="66" t="s">
        <v>985</v>
      </c>
      <c r="G1188" s="66" t="s">
        <v>950</v>
      </c>
      <c r="H1188" s="66" t="s">
        <v>755</v>
      </c>
      <c r="I1188" s="66" t="s">
        <v>320</v>
      </c>
      <c r="J1188" s="66" t="s">
        <v>318</v>
      </c>
      <c r="K1188" s="66" t="s">
        <v>747</v>
      </c>
      <c r="L1188" s="67">
        <v>3290000</v>
      </c>
      <c r="M1188" s="67">
        <v>0</v>
      </c>
      <c r="N1188" s="68">
        <f t="shared" si="78"/>
        <v>3290000</v>
      </c>
      <c r="O1188" s="69">
        <f t="shared" si="77"/>
        <v>3290000</v>
      </c>
      <c r="P1188" s="42" t="str">
        <f>IFERROR(VLOOKUP(J1188,'Mã NV'!$B:$C,2,0),"")</f>
        <v>XE01597</v>
      </c>
      <c r="Q1188" s="70" t="str">
        <f>IFERROR(VLOOKUP(I1188,'Mã NV'!$J:$K,2,0),"")</f>
        <v>2T5 Lạnh </v>
      </c>
    </row>
    <row r="1189" customHeight="1" spans="1:19">
      <c r="A1189" s="63">
        <f t="shared" si="79"/>
        <v>1183</v>
      </c>
      <c r="B1189" s="64">
        <v>46160</v>
      </c>
      <c r="C1189" s="87"/>
      <c r="D1189" s="66" t="s">
        <v>216</v>
      </c>
      <c r="E1189" s="66" t="s">
        <v>216</v>
      </c>
      <c r="F1189" s="66" t="s">
        <v>985</v>
      </c>
      <c r="G1189" s="66" t="s">
        <v>1001</v>
      </c>
      <c r="H1189" s="66" t="s">
        <v>1002</v>
      </c>
      <c r="I1189" s="66" t="s">
        <v>214</v>
      </c>
      <c r="J1189" s="66" t="s">
        <v>212</v>
      </c>
      <c r="K1189" s="66" t="s">
        <v>747</v>
      </c>
      <c r="L1189" s="67">
        <v>705000</v>
      </c>
      <c r="M1189" s="67">
        <v>0</v>
      </c>
      <c r="N1189" s="68">
        <f t="shared" si="78"/>
        <v>705000</v>
      </c>
      <c r="O1189" s="69">
        <f t="shared" si="77"/>
        <v>705000</v>
      </c>
      <c r="P1189" s="42" t="str">
        <f>IFERROR(VLOOKUP(J1189,'Mã NV'!$B:$C,2,0),"")</f>
        <v>XE00977</v>
      </c>
      <c r="Q1189" s="70" t="str">
        <f>IFERROR(VLOOKUP(I1189,'Mã NV'!$J:$K,2,0),"")</f>
        <v>2T5 Lạnh </v>
      </c>
    </row>
    <row r="1190" customHeight="1" spans="1:19">
      <c r="A1190" s="63">
        <f t="shared" si="79"/>
        <v>1184</v>
      </c>
      <c r="B1190" s="64">
        <v>46164</v>
      </c>
      <c r="C1190" s="87"/>
      <c r="D1190" s="66" t="s">
        <v>216</v>
      </c>
      <c r="E1190" s="66" t="s">
        <v>216</v>
      </c>
      <c r="F1190" s="66" t="s">
        <v>985</v>
      </c>
      <c r="G1190" s="66" t="s">
        <v>950</v>
      </c>
      <c r="H1190" s="66" t="s">
        <v>755</v>
      </c>
      <c r="I1190" s="66" t="s">
        <v>320</v>
      </c>
      <c r="J1190" s="66" t="s">
        <v>318</v>
      </c>
      <c r="K1190" s="66" t="s">
        <v>747</v>
      </c>
      <c r="L1190" s="67">
        <v>3290000</v>
      </c>
      <c r="M1190" s="67">
        <v>0</v>
      </c>
      <c r="N1190" s="68">
        <f t="shared" si="78"/>
        <v>3290000</v>
      </c>
      <c r="O1190" s="69">
        <f t="shared" si="77"/>
        <v>3290000</v>
      </c>
      <c r="P1190" s="42" t="str">
        <f>IFERROR(VLOOKUP(J1190,'Mã NV'!$B:$C,2,0),"")</f>
        <v>XE01597</v>
      </c>
      <c r="Q1190" s="70" t="str">
        <f>IFERROR(VLOOKUP(I1190,'Mã NV'!$J:$K,2,0),"")</f>
        <v>2T5 Lạnh </v>
      </c>
    </row>
    <row r="1191" customHeight="1" spans="1:19">
      <c r="A1191" s="63">
        <f t="shared" si="79"/>
        <v>1185</v>
      </c>
      <c r="B1191" s="64">
        <v>46167</v>
      </c>
      <c r="C1191" s="87"/>
      <c r="D1191" s="66" t="s">
        <v>216</v>
      </c>
      <c r="E1191" s="66" t="s">
        <v>216</v>
      </c>
      <c r="F1191" s="66" t="s">
        <v>985</v>
      </c>
      <c r="G1191" s="66" t="s">
        <v>1001</v>
      </c>
      <c r="H1191" s="66" t="s">
        <v>1002</v>
      </c>
      <c r="I1191" s="66" t="s">
        <v>358</v>
      </c>
      <c r="J1191" s="66" t="s">
        <v>356</v>
      </c>
      <c r="K1191" s="66" t="s">
        <v>747</v>
      </c>
      <c r="L1191" s="67">
        <v>705000</v>
      </c>
      <c r="M1191" s="67">
        <v>0</v>
      </c>
      <c r="N1191" s="68">
        <f t="shared" si="78"/>
        <v>705000</v>
      </c>
      <c r="O1191" s="69">
        <f t="shared" si="77"/>
        <v>705000</v>
      </c>
      <c r="P1191" s="42" t="str">
        <f>IFERROR(VLOOKUP(J1191,'Mã NV'!$B:$C,2,0),"")</f>
        <v>XE01616</v>
      </c>
      <c r="Q1191" s="70" t="str">
        <f>IFERROR(VLOOKUP(I1191,'Mã NV'!$J:$K,2,0),"")</f>
        <v>2.5T Lạnh</v>
      </c>
    </row>
    <row r="1192" customHeight="1" spans="1:19">
      <c r="A1192" s="63">
        <f t="shared" si="79"/>
        <v>1186</v>
      </c>
      <c r="B1192" s="64">
        <v>46171</v>
      </c>
      <c r="C1192" s="87"/>
      <c r="D1192" s="66" t="s">
        <v>216</v>
      </c>
      <c r="E1192" s="66" t="s">
        <v>216</v>
      </c>
      <c r="F1192" s="66" t="s">
        <v>985</v>
      </c>
      <c r="G1192" s="66" t="s">
        <v>950</v>
      </c>
      <c r="H1192" s="66" t="s">
        <v>755</v>
      </c>
      <c r="I1192" s="66" t="s">
        <v>353</v>
      </c>
      <c r="J1192" s="66" t="s">
        <v>351</v>
      </c>
      <c r="K1192" s="66" t="s">
        <v>747</v>
      </c>
      <c r="L1192" s="67">
        <v>3290000</v>
      </c>
      <c r="M1192" s="67">
        <v>0</v>
      </c>
      <c r="N1192" s="68">
        <f t="shared" si="78"/>
        <v>3290000</v>
      </c>
      <c r="O1192" s="69">
        <f t="shared" si="77"/>
        <v>3290000</v>
      </c>
      <c r="P1192" s="42" t="str">
        <f>IFERROR(VLOOKUP(J1192,'Mã NV'!$B:$C,2,0),"")</f>
        <v>XE01642</v>
      </c>
      <c r="Q1192" s="70" t="str">
        <f>IFERROR(VLOOKUP(I1192,'Mã NV'!$J:$K,2,0),"")</f>
        <v>2T5 Lạnh </v>
      </c>
    </row>
    <row r="1193" customHeight="1" spans="1:19">
      <c r="A1193" s="63">
        <f t="shared" si="79"/>
        <v>1187</v>
      </c>
      <c r="B1193" s="64">
        <v>46146</v>
      </c>
      <c r="C1193" s="87"/>
      <c r="D1193" s="66" t="s">
        <v>33</v>
      </c>
      <c r="E1193" s="66" t="s">
        <v>33</v>
      </c>
      <c r="F1193" s="66" t="s">
        <v>985</v>
      </c>
      <c r="G1193" s="66" t="s">
        <v>750</v>
      </c>
      <c r="H1193" s="66" t="s">
        <v>1003</v>
      </c>
      <c r="I1193" s="66" t="s">
        <v>133</v>
      </c>
      <c r="J1193" s="66" t="s">
        <v>347</v>
      </c>
      <c r="K1193" s="66" t="s">
        <v>747</v>
      </c>
      <c r="L1193" s="67">
        <v>990698</v>
      </c>
      <c r="M1193" s="67">
        <v>0</v>
      </c>
      <c r="N1193" s="68">
        <f t="shared" si="78"/>
        <v>990698</v>
      </c>
      <c r="O1193" s="69">
        <f t="shared" si="77"/>
        <v>990698</v>
      </c>
      <c r="P1193" s="42" t="str">
        <f>IFERROR(VLOOKUP(J1193,'Mã NV'!$B:$C,2,0),"")</f>
        <v>XE01653</v>
      </c>
      <c r="Q1193" s="70" t="str">
        <f>IFERROR(VLOOKUP(I1193,'Mã NV'!$J:$K,2,0),"")</f>
        <v>2.5T</v>
      </c>
      <c r="S1193" s="44">
        <f>L1193*15%</f>
        <v>148604.7</v>
      </c>
    </row>
    <row r="1194" customHeight="1" spans="1:19">
      <c r="A1194" s="63">
        <f t="shared" si="79"/>
        <v>1188</v>
      </c>
      <c r="B1194" s="64">
        <v>46146</v>
      </c>
      <c r="C1194" s="87"/>
      <c r="D1194" s="66" t="s">
        <v>33</v>
      </c>
      <c r="E1194" s="66" t="s">
        <v>33</v>
      </c>
      <c r="F1194" s="66" t="s">
        <v>985</v>
      </c>
      <c r="G1194" s="66" t="s">
        <v>750</v>
      </c>
      <c r="H1194" s="66" t="s">
        <v>1004</v>
      </c>
      <c r="I1194" s="66" t="s">
        <v>164</v>
      </c>
      <c r="J1194" s="66" t="s">
        <v>217</v>
      </c>
      <c r="K1194" s="66" t="s">
        <v>747</v>
      </c>
      <c r="L1194" s="67">
        <v>336600</v>
      </c>
      <c r="M1194" s="67">
        <v>0</v>
      </c>
      <c r="N1194" s="68">
        <f t="shared" si="78"/>
        <v>336600</v>
      </c>
      <c r="O1194" s="69">
        <f t="shared" si="77"/>
        <v>336600</v>
      </c>
      <c r="P1194" s="42" t="str">
        <f>IFERROR(VLOOKUP(J1194,'Mã NV'!$B:$C,2,0),"")</f>
        <v>XE01004</v>
      </c>
      <c r="Q1194" s="70" t="str">
        <f>IFERROR(VLOOKUP(I1194,'Mã NV'!$J:$K,2,0),"")</f>
        <v>6.5T</v>
      </c>
      <c r="S1194" s="44">
        <f t="shared" ref="S1194:S1257" si="80">L1194*15%</f>
        <v>50490</v>
      </c>
    </row>
    <row r="1195" customHeight="1" spans="1:19">
      <c r="A1195" s="63">
        <f t="shared" si="79"/>
        <v>1189</v>
      </c>
      <c r="B1195" s="64">
        <v>46146</v>
      </c>
      <c r="C1195" s="87"/>
      <c r="D1195" s="66" t="s">
        <v>33</v>
      </c>
      <c r="E1195" s="66" t="s">
        <v>33</v>
      </c>
      <c r="F1195" s="66" t="s">
        <v>985</v>
      </c>
      <c r="G1195" s="66" t="s">
        <v>750</v>
      </c>
      <c r="H1195" s="66" t="s">
        <v>1005</v>
      </c>
      <c r="I1195" s="66" t="s">
        <v>164</v>
      </c>
      <c r="J1195" s="66" t="s">
        <v>217</v>
      </c>
      <c r="K1195" s="66" t="s">
        <v>747</v>
      </c>
      <c r="L1195" s="67">
        <v>1329570</v>
      </c>
      <c r="M1195" s="67">
        <v>0</v>
      </c>
      <c r="N1195" s="68">
        <f t="shared" si="78"/>
        <v>1329570</v>
      </c>
      <c r="O1195" s="69">
        <f t="shared" si="77"/>
        <v>1329570</v>
      </c>
      <c r="P1195" s="42" t="str">
        <f>IFERROR(VLOOKUP(J1195,'Mã NV'!$B:$C,2,0),"")</f>
        <v>XE01004</v>
      </c>
      <c r="Q1195" s="70" t="str">
        <f>IFERROR(VLOOKUP(I1195,'Mã NV'!$J:$K,2,0),"")</f>
        <v>6.5T</v>
      </c>
      <c r="S1195" s="44">
        <f t="shared" si="80"/>
        <v>199435.5</v>
      </c>
    </row>
    <row r="1196" customHeight="1" spans="1:19">
      <c r="A1196" s="63">
        <f t="shared" si="79"/>
        <v>1190</v>
      </c>
      <c r="B1196" s="64">
        <v>46146</v>
      </c>
      <c r="C1196" s="87"/>
      <c r="D1196" s="66" t="s">
        <v>33</v>
      </c>
      <c r="E1196" s="66" t="s">
        <v>33</v>
      </c>
      <c r="F1196" s="66" t="s">
        <v>985</v>
      </c>
      <c r="G1196" s="66" t="s">
        <v>750</v>
      </c>
      <c r="H1196" s="66" t="s">
        <v>1006</v>
      </c>
      <c r="I1196" s="66" t="s">
        <v>164</v>
      </c>
      <c r="J1196" s="66" t="s">
        <v>217</v>
      </c>
      <c r="K1196" s="66" t="s">
        <v>747</v>
      </c>
      <c r="L1196" s="67">
        <v>259000</v>
      </c>
      <c r="M1196" s="67">
        <v>0</v>
      </c>
      <c r="N1196" s="68">
        <f t="shared" si="78"/>
        <v>259000</v>
      </c>
      <c r="O1196" s="69">
        <f t="shared" si="77"/>
        <v>259000</v>
      </c>
      <c r="P1196" s="42" t="str">
        <f>IFERROR(VLOOKUP(J1196,'Mã NV'!$B:$C,2,0),"")</f>
        <v>XE01004</v>
      </c>
      <c r="Q1196" s="70" t="str">
        <f>IFERROR(VLOOKUP(I1196,'Mã NV'!$J:$K,2,0),"")</f>
        <v>6.5T</v>
      </c>
      <c r="S1196" s="44">
        <f t="shared" si="80"/>
        <v>38850</v>
      </c>
    </row>
    <row r="1197" customHeight="1" spans="1:19">
      <c r="A1197" s="63">
        <f t="shared" si="79"/>
        <v>1191</v>
      </c>
      <c r="B1197" s="64">
        <v>46146</v>
      </c>
      <c r="C1197" s="87"/>
      <c r="D1197" s="66" t="s">
        <v>33</v>
      </c>
      <c r="E1197" s="66" t="s">
        <v>33</v>
      </c>
      <c r="F1197" s="66" t="s">
        <v>985</v>
      </c>
      <c r="G1197" s="66" t="s">
        <v>750</v>
      </c>
      <c r="H1197" s="66" t="s">
        <v>1006</v>
      </c>
      <c r="I1197" s="66" t="s">
        <v>164</v>
      </c>
      <c r="J1197" s="66" t="s">
        <v>217</v>
      </c>
      <c r="K1197" s="66" t="s">
        <v>747</v>
      </c>
      <c r="L1197" s="67">
        <v>2312500</v>
      </c>
      <c r="M1197" s="67">
        <v>0</v>
      </c>
      <c r="N1197" s="68">
        <f t="shared" si="78"/>
        <v>2312500</v>
      </c>
      <c r="O1197" s="69">
        <f t="shared" si="77"/>
        <v>2312500</v>
      </c>
      <c r="P1197" s="42" t="str">
        <f>IFERROR(VLOOKUP(J1197,'Mã NV'!$B:$C,2,0),"")</f>
        <v>XE01004</v>
      </c>
      <c r="Q1197" s="70" t="str">
        <f>IFERROR(VLOOKUP(I1197,'Mã NV'!$J:$K,2,0),"")</f>
        <v>6.5T</v>
      </c>
      <c r="S1197" s="44">
        <f t="shared" si="80"/>
        <v>346875</v>
      </c>
    </row>
    <row r="1198" customHeight="1" spans="1:19">
      <c r="A1198" s="63">
        <f t="shared" si="79"/>
        <v>1192</v>
      </c>
      <c r="B1198" s="64">
        <v>46146</v>
      </c>
      <c r="C1198" s="87"/>
      <c r="D1198" s="66" t="s">
        <v>33</v>
      </c>
      <c r="E1198" s="66" t="s">
        <v>33</v>
      </c>
      <c r="F1198" s="66" t="s">
        <v>985</v>
      </c>
      <c r="G1198" s="66" t="s">
        <v>750</v>
      </c>
      <c r="H1198" s="66" t="s">
        <v>1007</v>
      </c>
      <c r="I1198" s="66" t="s">
        <v>81</v>
      </c>
      <c r="J1198" s="66" t="s">
        <v>79</v>
      </c>
      <c r="K1198" s="66" t="s">
        <v>747</v>
      </c>
      <c r="L1198" s="67">
        <v>102422</v>
      </c>
      <c r="M1198" s="67">
        <v>0</v>
      </c>
      <c r="N1198" s="68">
        <f t="shared" si="78"/>
        <v>102422</v>
      </c>
      <c r="O1198" s="69">
        <f t="shared" si="77"/>
        <v>102422</v>
      </c>
      <c r="P1198" s="42" t="str">
        <f>IFERROR(VLOOKUP(J1198,'Mã NV'!$B:$C,2,0),"")</f>
        <v>XE00777</v>
      </c>
      <c r="Q1198" s="70" t="str">
        <f>IFERROR(VLOOKUP(I1198,'Mã NV'!$J:$K,2,0),"")</f>
        <v>6.5T</v>
      </c>
      <c r="S1198" s="44">
        <f t="shared" si="80"/>
        <v>15363.3</v>
      </c>
    </row>
    <row r="1199" customHeight="1" spans="1:19">
      <c r="A1199" s="63">
        <f t="shared" si="79"/>
        <v>1193</v>
      </c>
      <c r="B1199" s="64">
        <v>46146</v>
      </c>
      <c r="C1199" s="87"/>
      <c r="D1199" s="66" t="s">
        <v>33</v>
      </c>
      <c r="E1199" s="66" t="s">
        <v>33</v>
      </c>
      <c r="F1199" s="66" t="s">
        <v>985</v>
      </c>
      <c r="G1199" s="66" t="s">
        <v>750</v>
      </c>
      <c r="H1199" s="66" t="s">
        <v>1007</v>
      </c>
      <c r="I1199" s="66" t="s">
        <v>81</v>
      </c>
      <c r="J1199" s="66" t="s">
        <v>79</v>
      </c>
      <c r="K1199" s="66" t="s">
        <v>747</v>
      </c>
      <c r="L1199" s="67">
        <v>2344600</v>
      </c>
      <c r="M1199" s="67">
        <v>0</v>
      </c>
      <c r="N1199" s="68">
        <f t="shared" si="78"/>
        <v>2344600</v>
      </c>
      <c r="O1199" s="69">
        <f t="shared" si="77"/>
        <v>2344600</v>
      </c>
      <c r="P1199" s="42" t="str">
        <f>IFERROR(VLOOKUP(J1199,'Mã NV'!$B:$C,2,0),"")</f>
        <v>XE00777</v>
      </c>
      <c r="Q1199" s="70" t="str">
        <f>IFERROR(VLOOKUP(I1199,'Mã NV'!$J:$K,2,0),"")</f>
        <v>6.5T</v>
      </c>
      <c r="S1199" s="44">
        <f t="shared" si="80"/>
        <v>351690</v>
      </c>
    </row>
    <row r="1200" customHeight="1" spans="1:19">
      <c r="A1200" s="63">
        <f t="shared" si="79"/>
        <v>1194</v>
      </c>
      <c r="B1200" s="64">
        <v>46146</v>
      </c>
      <c r="C1200" s="87"/>
      <c r="D1200" s="66" t="s">
        <v>33</v>
      </c>
      <c r="E1200" s="66" t="s">
        <v>33</v>
      </c>
      <c r="F1200" s="66" t="s">
        <v>985</v>
      </c>
      <c r="G1200" s="66" t="s">
        <v>750</v>
      </c>
      <c r="H1200" s="66" t="s">
        <v>1008</v>
      </c>
      <c r="I1200" s="66" t="s">
        <v>136</v>
      </c>
      <c r="J1200" s="66" t="s">
        <v>361</v>
      </c>
      <c r="K1200" s="66" t="s">
        <v>747</v>
      </c>
      <c r="L1200" s="67">
        <v>33189</v>
      </c>
      <c r="M1200" s="67">
        <v>0</v>
      </c>
      <c r="N1200" s="68">
        <f t="shared" si="78"/>
        <v>33189</v>
      </c>
      <c r="O1200" s="69">
        <f t="shared" si="77"/>
        <v>33189</v>
      </c>
      <c r="P1200" s="42" t="str">
        <f>IFERROR(VLOOKUP(J1200,'Mã NV'!$B:$C,2,0),"")</f>
        <v>XE01641</v>
      </c>
      <c r="Q1200" s="70" t="str">
        <f>IFERROR(VLOOKUP(I1200,'Mã NV'!$J:$K,2,0),"")</f>
        <v>6.5T</v>
      </c>
      <c r="S1200" s="44">
        <f t="shared" si="80"/>
        <v>4978.35</v>
      </c>
    </row>
    <row r="1201" customHeight="1" spans="1:19">
      <c r="A1201" s="63">
        <f t="shared" si="79"/>
        <v>1195</v>
      </c>
      <c r="B1201" s="64">
        <v>46146</v>
      </c>
      <c r="C1201" s="87"/>
      <c r="D1201" s="66" t="s">
        <v>33</v>
      </c>
      <c r="E1201" s="66" t="s">
        <v>33</v>
      </c>
      <c r="F1201" s="66" t="s">
        <v>985</v>
      </c>
      <c r="G1201" s="66" t="s">
        <v>750</v>
      </c>
      <c r="H1201" s="66" t="s">
        <v>1008</v>
      </c>
      <c r="I1201" s="66" t="s">
        <v>136</v>
      </c>
      <c r="J1201" s="66" t="s">
        <v>361</v>
      </c>
      <c r="K1201" s="66" t="s">
        <v>747</v>
      </c>
      <c r="L1201" s="67">
        <v>1300650</v>
      </c>
      <c r="M1201" s="67">
        <v>0</v>
      </c>
      <c r="N1201" s="68">
        <f t="shared" si="78"/>
        <v>1300650</v>
      </c>
      <c r="O1201" s="69">
        <f t="shared" ref="O1201:O1264" si="81">N1201/$P$1</f>
        <v>1300650</v>
      </c>
      <c r="P1201" s="42" t="str">
        <f>IFERROR(VLOOKUP(J1201,'Mã NV'!$B:$C,2,0),"")</f>
        <v>XE01641</v>
      </c>
      <c r="Q1201" s="70" t="str">
        <f>IFERROR(VLOOKUP(I1201,'Mã NV'!$J:$K,2,0),"")</f>
        <v>6.5T</v>
      </c>
      <c r="S1201" s="44">
        <f t="shared" si="80"/>
        <v>195097.5</v>
      </c>
    </row>
    <row r="1202" customHeight="1" spans="1:19">
      <c r="A1202" s="63">
        <f t="shared" si="79"/>
        <v>1196</v>
      </c>
      <c r="B1202" s="64">
        <v>46146</v>
      </c>
      <c r="C1202" s="87"/>
      <c r="D1202" s="66" t="s">
        <v>33</v>
      </c>
      <c r="E1202" s="66" t="s">
        <v>33</v>
      </c>
      <c r="F1202" s="66" t="s">
        <v>985</v>
      </c>
      <c r="G1202" s="66" t="s">
        <v>750</v>
      </c>
      <c r="H1202" s="66" t="s">
        <v>1009</v>
      </c>
      <c r="I1202" s="66" t="s">
        <v>136</v>
      </c>
      <c r="J1202" s="66" t="s">
        <v>361</v>
      </c>
      <c r="K1202" s="66" t="s">
        <v>747</v>
      </c>
      <c r="L1202" s="67">
        <v>387504</v>
      </c>
      <c r="M1202" s="67">
        <v>0</v>
      </c>
      <c r="N1202" s="68">
        <f t="shared" ref="N1202:N1265" si="82">L1202-M1202</f>
        <v>387504</v>
      </c>
      <c r="O1202" s="69">
        <f t="shared" si="81"/>
        <v>387504</v>
      </c>
      <c r="P1202" s="42" t="str">
        <f>IFERROR(VLOOKUP(J1202,'Mã NV'!$B:$C,2,0),"")</f>
        <v>XE01641</v>
      </c>
      <c r="Q1202" s="70" t="str">
        <f>IFERROR(VLOOKUP(I1202,'Mã NV'!$J:$K,2,0),"")</f>
        <v>6.5T</v>
      </c>
      <c r="S1202" s="44">
        <f t="shared" si="80"/>
        <v>58125.6</v>
      </c>
    </row>
    <row r="1203" customHeight="1" spans="1:19">
      <c r="A1203" s="63">
        <f t="shared" si="79"/>
        <v>1197</v>
      </c>
      <c r="B1203" s="64">
        <v>46146</v>
      </c>
      <c r="C1203" s="87"/>
      <c r="D1203" s="66" t="s">
        <v>33</v>
      </c>
      <c r="E1203" s="66" t="s">
        <v>33</v>
      </c>
      <c r="F1203" s="66" t="s">
        <v>985</v>
      </c>
      <c r="G1203" s="66" t="s">
        <v>750</v>
      </c>
      <c r="H1203" s="66" t="s">
        <v>1010</v>
      </c>
      <c r="I1203" s="66" t="s">
        <v>136</v>
      </c>
      <c r="J1203" s="66" t="s">
        <v>361</v>
      </c>
      <c r="K1203" s="66" t="s">
        <v>747</v>
      </c>
      <c r="L1203" s="67">
        <v>1022210</v>
      </c>
      <c r="M1203" s="67">
        <v>0</v>
      </c>
      <c r="N1203" s="68">
        <f t="shared" si="82"/>
        <v>1022210</v>
      </c>
      <c r="O1203" s="69">
        <f t="shared" si="81"/>
        <v>1022210</v>
      </c>
      <c r="P1203" s="42" t="str">
        <f>IFERROR(VLOOKUP(J1203,'Mã NV'!$B:$C,2,0),"")</f>
        <v>XE01641</v>
      </c>
      <c r="Q1203" s="70" t="str">
        <f>IFERROR(VLOOKUP(I1203,'Mã NV'!$J:$K,2,0),"")</f>
        <v>6.5T</v>
      </c>
      <c r="S1203" s="44">
        <f t="shared" si="80"/>
        <v>153331.5</v>
      </c>
    </row>
    <row r="1204" customHeight="1" spans="1:19">
      <c r="A1204" s="63">
        <f t="shared" si="79"/>
        <v>1198</v>
      </c>
      <c r="B1204" s="64">
        <v>46147</v>
      </c>
      <c r="C1204" s="87"/>
      <c r="D1204" s="66" t="s">
        <v>33</v>
      </c>
      <c r="E1204" s="66" t="s">
        <v>33</v>
      </c>
      <c r="F1204" s="66" t="s">
        <v>985</v>
      </c>
      <c r="G1204" s="66" t="s">
        <v>750</v>
      </c>
      <c r="H1204" s="66" t="s">
        <v>1011</v>
      </c>
      <c r="I1204" s="66" t="s">
        <v>51</v>
      </c>
      <c r="J1204" s="66" t="s">
        <v>128</v>
      </c>
      <c r="K1204" s="66" t="s">
        <v>747</v>
      </c>
      <c r="L1204" s="67">
        <v>156420</v>
      </c>
      <c r="M1204" s="67">
        <v>0</v>
      </c>
      <c r="N1204" s="68">
        <f t="shared" si="82"/>
        <v>156420</v>
      </c>
      <c r="O1204" s="69">
        <f t="shared" si="81"/>
        <v>156420</v>
      </c>
      <c r="P1204" s="42" t="str">
        <f>IFERROR(VLOOKUP(J1204,'Mã NV'!$B:$C,2,0),"")</f>
        <v>XE00953</v>
      </c>
      <c r="Q1204" s="70" t="str">
        <f>IFERROR(VLOOKUP(I1204,'Mã NV'!$J:$K,2,0),"")</f>
        <v>6.5T</v>
      </c>
      <c r="S1204" s="44">
        <f t="shared" si="80"/>
        <v>23463</v>
      </c>
    </row>
    <row r="1205" customHeight="1" spans="1:19">
      <c r="A1205" s="63">
        <f t="shared" si="79"/>
        <v>1199</v>
      </c>
      <c r="B1205" s="64">
        <v>46147</v>
      </c>
      <c r="C1205" s="87"/>
      <c r="D1205" s="66" t="s">
        <v>33</v>
      </c>
      <c r="E1205" s="66" t="s">
        <v>33</v>
      </c>
      <c r="F1205" s="66" t="s">
        <v>985</v>
      </c>
      <c r="G1205" s="66" t="s">
        <v>750</v>
      </c>
      <c r="H1205" s="66" t="s">
        <v>1011</v>
      </c>
      <c r="I1205" s="66" t="s">
        <v>51</v>
      </c>
      <c r="J1205" s="66" t="s">
        <v>128</v>
      </c>
      <c r="K1205" s="66" t="s">
        <v>747</v>
      </c>
      <c r="L1205" s="67">
        <v>1738000</v>
      </c>
      <c r="M1205" s="67">
        <v>0</v>
      </c>
      <c r="N1205" s="68">
        <f t="shared" si="82"/>
        <v>1738000</v>
      </c>
      <c r="O1205" s="69">
        <f t="shared" si="81"/>
        <v>1738000</v>
      </c>
      <c r="P1205" s="42" t="str">
        <f>IFERROR(VLOOKUP(J1205,'Mã NV'!$B:$C,2,0),"")</f>
        <v>XE00953</v>
      </c>
      <c r="Q1205" s="70" t="str">
        <f>IFERROR(VLOOKUP(I1205,'Mã NV'!$J:$K,2,0),"")</f>
        <v>6.5T</v>
      </c>
      <c r="S1205" s="44">
        <f t="shared" si="80"/>
        <v>260700</v>
      </c>
    </row>
    <row r="1206" customHeight="1" spans="1:19">
      <c r="A1206" s="63">
        <f t="shared" si="79"/>
        <v>1200</v>
      </c>
      <c r="B1206" s="64">
        <v>46147</v>
      </c>
      <c r="C1206" s="87"/>
      <c r="D1206" s="66" t="s">
        <v>33</v>
      </c>
      <c r="E1206" s="66" t="s">
        <v>33</v>
      </c>
      <c r="F1206" s="66" t="s">
        <v>985</v>
      </c>
      <c r="G1206" s="66" t="s">
        <v>750</v>
      </c>
      <c r="H1206" s="66" t="s">
        <v>1011</v>
      </c>
      <c r="I1206" s="66" t="s">
        <v>51</v>
      </c>
      <c r="J1206" s="66" t="s">
        <v>128</v>
      </c>
      <c r="K1206" s="66" t="s">
        <v>747</v>
      </c>
      <c r="L1206" s="67">
        <v>717794</v>
      </c>
      <c r="M1206" s="67">
        <v>0</v>
      </c>
      <c r="N1206" s="68">
        <f t="shared" si="82"/>
        <v>717794</v>
      </c>
      <c r="O1206" s="69">
        <f t="shared" si="81"/>
        <v>717794</v>
      </c>
      <c r="P1206" s="42" t="str">
        <f>IFERROR(VLOOKUP(J1206,'Mã NV'!$B:$C,2,0),"")</f>
        <v>XE00953</v>
      </c>
      <c r="Q1206" s="70" t="str">
        <f>IFERROR(VLOOKUP(I1206,'Mã NV'!$J:$K,2,0),"")</f>
        <v>6.5T</v>
      </c>
      <c r="S1206" s="44">
        <f t="shared" si="80"/>
        <v>107669.1</v>
      </c>
    </row>
    <row r="1207" customHeight="1" spans="1:19">
      <c r="A1207" s="63">
        <f t="shared" si="79"/>
        <v>1201</v>
      </c>
      <c r="B1207" s="64">
        <v>46147</v>
      </c>
      <c r="C1207" s="87"/>
      <c r="D1207" s="66" t="s">
        <v>33</v>
      </c>
      <c r="E1207" s="66" t="s">
        <v>33</v>
      </c>
      <c r="F1207" s="66" t="s">
        <v>985</v>
      </c>
      <c r="G1207" s="66" t="s">
        <v>750</v>
      </c>
      <c r="H1207" s="66" t="s">
        <v>1011</v>
      </c>
      <c r="I1207" s="66" t="s">
        <v>51</v>
      </c>
      <c r="J1207" s="66" t="s">
        <v>128</v>
      </c>
      <c r="K1207" s="66" t="s">
        <v>747</v>
      </c>
      <c r="L1207" s="67">
        <v>1270478</v>
      </c>
      <c r="M1207" s="67">
        <v>0</v>
      </c>
      <c r="N1207" s="68">
        <f t="shared" si="82"/>
        <v>1270478</v>
      </c>
      <c r="O1207" s="69">
        <f t="shared" si="81"/>
        <v>1270478</v>
      </c>
      <c r="P1207" s="42" t="str">
        <f>IFERROR(VLOOKUP(J1207,'Mã NV'!$B:$C,2,0),"")</f>
        <v>XE00953</v>
      </c>
      <c r="Q1207" s="70" t="str">
        <f>IFERROR(VLOOKUP(I1207,'Mã NV'!$J:$K,2,0),"")</f>
        <v>6.5T</v>
      </c>
      <c r="S1207" s="44">
        <f t="shared" si="80"/>
        <v>190571.7</v>
      </c>
    </row>
    <row r="1208" customHeight="1" spans="1:19">
      <c r="A1208" s="63">
        <f t="shared" si="79"/>
        <v>1202</v>
      </c>
      <c r="B1208" s="64">
        <v>46147</v>
      </c>
      <c r="C1208" s="87"/>
      <c r="D1208" s="66" t="s">
        <v>33</v>
      </c>
      <c r="E1208" s="66" t="s">
        <v>33</v>
      </c>
      <c r="F1208" s="66" t="s">
        <v>985</v>
      </c>
      <c r="G1208" s="66" t="s">
        <v>750</v>
      </c>
      <c r="H1208" s="66" t="s">
        <v>1011</v>
      </c>
      <c r="I1208" s="66" t="s">
        <v>51</v>
      </c>
      <c r="J1208" s="66" t="s">
        <v>128</v>
      </c>
      <c r="K1208" s="66" t="s">
        <v>747</v>
      </c>
      <c r="L1208" s="67">
        <v>738650</v>
      </c>
      <c r="M1208" s="67">
        <v>0</v>
      </c>
      <c r="N1208" s="68">
        <f t="shared" si="82"/>
        <v>738650</v>
      </c>
      <c r="O1208" s="69">
        <f t="shared" si="81"/>
        <v>738650</v>
      </c>
      <c r="P1208" s="42" t="str">
        <f>IFERROR(VLOOKUP(J1208,'Mã NV'!$B:$C,2,0),"")</f>
        <v>XE00953</v>
      </c>
      <c r="Q1208" s="70" t="str">
        <f>IFERROR(VLOOKUP(I1208,'Mã NV'!$J:$K,2,0),"")</f>
        <v>6.5T</v>
      </c>
      <c r="S1208" s="44">
        <f t="shared" si="80"/>
        <v>110797.5</v>
      </c>
    </row>
    <row r="1209" customHeight="1" spans="1:19">
      <c r="A1209" s="63">
        <f t="shared" si="79"/>
        <v>1203</v>
      </c>
      <c r="B1209" s="64">
        <v>46147</v>
      </c>
      <c r="C1209" s="87"/>
      <c r="D1209" s="66" t="s">
        <v>33</v>
      </c>
      <c r="E1209" s="66" t="s">
        <v>33</v>
      </c>
      <c r="F1209" s="66" t="s">
        <v>985</v>
      </c>
      <c r="G1209" s="66" t="s">
        <v>750</v>
      </c>
      <c r="H1209" s="66" t="s">
        <v>1012</v>
      </c>
      <c r="I1209" s="66" t="s">
        <v>51</v>
      </c>
      <c r="J1209" s="66" t="s">
        <v>128</v>
      </c>
      <c r="K1209" s="66" t="s">
        <v>747</v>
      </c>
      <c r="L1209" s="67">
        <v>567981</v>
      </c>
      <c r="M1209" s="67">
        <v>0</v>
      </c>
      <c r="N1209" s="68">
        <f t="shared" si="82"/>
        <v>567981</v>
      </c>
      <c r="O1209" s="69">
        <f t="shared" si="81"/>
        <v>567981</v>
      </c>
      <c r="P1209" s="42" t="str">
        <f>IFERROR(VLOOKUP(J1209,'Mã NV'!$B:$C,2,0),"")</f>
        <v>XE00953</v>
      </c>
      <c r="Q1209" s="70" t="str">
        <f>IFERROR(VLOOKUP(I1209,'Mã NV'!$J:$K,2,0),"")</f>
        <v>6.5T</v>
      </c>
      <c r="S1209" s="44">
        <f t="shared" si="80"/>
        <v>85197.15</v>
      </c>
    </row>
    <row r="1210" customHeight="1" spans="1:19">
      <c r="A1210" s="63">
        <f t="shared" si="79"/>
        <v>1204</v>
      </c>
      <c r="B1210" s="64">
        <v>46147</v>
      </c>
      <c r="C1210" s="87"/>
      <c r="D1210" s="66" t="s">
        <v>33</v>
      </c>
      <c r="E1210" s="66" t="s">
        <v>33</v>
      </c>
      <c r="F1210" s="66" t="s">
        <v>985</v>
      </c>
      <c r="G1210" s="66" t="s">
        <v>750</v>
      </c>
      <c r="H1210" s="66" t="s">
        <v>1013</v>
      </c>
      <c r="I1210" s="66" t="s">
        <v>115</v>
      </c>
      <c r="J1210" s="66" t="s">
        <v>113</v>
      </c>
      <c r="K1210" s="66" t="s">
        <v>747</v>
      </c>
      <c r="L1210" s="67">
        <v>44154</v>
      </c>
      <c r="M1210" s="67">
        <v>0</v>
      </c>
      <c r="N1210" s="68">
        <f t="shared" si="82"/>
        <v>44154</v>
      </c>
      <c r="O1210" s="69">
        <f t="shared" si="81"/>
        <v>44154</v>
      </c>
      <c r="P1210" s="42" t="str">
        <f>IFERROR(VLOOKUP(J1210,'Mã NV'!$B:$C,2,0),"")</f>
        <v>XE00447</v>
      </c>
      <c r="Q1210" s="70" t="str">
        <f>IFERROR(VLOOKUP(I1210,'Mã NV'!$J:$K,2,0),"")</f>
        <v>8T</v>
      </c>
      <c r="S1210" s="44">
        <f t="shared" si="80"/>
        <v>6623.1</v>
      </c>
    </row>
    <row r="1211" customHeight="1" spans="1:19">
      <c r="A1211" s="63">
        <f t="shared" si="79"/>
        <v>1205</v>
      </c>
      <c r="B1211" s="64">
        <v>46147</v>
      </c>
      <c r="C1211" s="87"/>
      <c r="D1211" s="66" t="s">
        <v>33</v>
      </c>
      <c r="E1211" s="66" t="s">
        <v>33</v>
      </c>
      <c r="F1211" s="66" t="s">
        <v>985</v>
      </c>
      <c r="G1211" s="66" t="s">
        <v>750</v>
      </c>
      <c r="H1211" s="66" t="s">
        <v>1013</v>
      </c>
      <c r="I1211" s="66" t="s">
        <v>115</v>
      </c>
      <c r="J1211" s="66" t="s">
        <v>113</v>
      </c>
      <c r="K1211" s="66" t="s">
        <v>747</v>
      </c>
      <c r="L1211" s="67">
        <v>1906650</v>
      </c>
      <c r="M1211" s="67">
        <v>0</v>
      </c>
      <c r="N1211" s="68">
        <f t="shared" si="82"/>
        <v>1906650</v>
      </c>
      <c r="O1211" s="69">
        <f t="shared" si="81"/>
        <v>1906650</v>
      </c>
      <c r="P1211" s="42" t="str">
        <f>IFERROR(VLOOKUP(J1211,'Mã NV'!$B:$C,2,0),"")</f>
        <v>XE00447</v>
      </c>
      <c r="Q1211" s="70" t="str">
        <f>IFERROR(VLOOKUP(I1211,'Mã NV'!$J:$K,2,0),"")</f>
        <v>8T</v>
      </c>
      <c r="S1211" s="44">
        <f t="shared" si="80"/>
        <v>285997.5</v>
      </c>
    </row>
    <row r="1212" customHeight="1" spans="1:19">
      <c r="A1212" s="63">
        <f t="shared" si="79"/>
        <v>1206</v>
      </c>
      <c r="B1212" s="64">
        <v>46147</v>
      </c>
      <c r="C1212" s="87"/>
      <c r="D1212" s="66" t="s">
        <v>33</v>
      </c>
      <c r="E1212" s="66" t="s">
        <v>33</v>
      </c>
      <c r="F1212" s="66" t="s">
        <v>985</v>
      </c>
      <c r="G1212" s="66" t="s">
        <v>750</v>
      </c>
      <c r="H1212" s="66" t="s">
        <v>1014</v>
      </c>
      <c r="I1212" s="66" t="s">
        <v>115</v>
      </c>
      <c r="J1212" s="66" t="s">
        <v>113</v>
      </c>
      <c r="K1212" s="66" t="s">
        <v>747</v>
      </c>
      <c r="L1212" s="67">
        <v>1703943</v>
      </c>
      <c r="M1212" s="67">
        <v>0</v>
      </c>
      <c r="N1212" s="68">
        <f t="shared" si="82"/>
        <v>1703943</v>
      </c>
      <c r="O1212" s="69">
        <f t="shared" si="81"/>
        <v>1703943</v>
      </c>
      <c r="P1212" s="42" t="str">
        <f>IFERROR(VLOOKUP(J1212,'Mã NV'!$B:$C,2,0),"")</f>
        <v>XE00447</v>
      </c>
      <c r="Q1212" s="70" t="str">
        <f>IFERROR(VLOOKUP(I1212,'Mã NV'!$J:$K,2,0),"")</f>
        <v>8T</v>
      </c>
      <c r="S1212" s="44">
        <f t="shared" si="80"/>
        <v>255591.45</v>
      </c>
    </row>
    <row r="1213" customHeight="1" spans="1:19">
      <c r="A1213" s="63">
        <f t="shared" si="79"/>
        <v>1207</v>
      </c>
      <c r="B1213" s="64">
        <v>46147</v>
      </c>
      <c r="C1213" s="87"/>
      <c r="D1213" s="66" t="s">
        <v>33</v>
      </c>
      <c r="E1213" s="66" t="s">
        <v>33</v>
      </c>
      <c r="F1213" s="66" t="s">
        <v>985</v>
      </c>
      <c r="G1213" s="66" t="s">
        <v>750</v>
      </c>
      <c r="H1213" s="66" t="s">
        <v>1015</v>
      </c>
      <c r="I1213" s="66" t="s">
        <v>115</v>
      </c>
      <c r="J1213" s="66" t="s">
        <v>113</v>
      </c>
      <c r="K1213" s="66" t="s">
        <v>747</v>
      </c>
      <c r="L1213" s="67">
        <v>82195</v>
      </c>
      <c r="M1213" s="67">
        <v>0</v>
      </c>
      <c r="N1213" s="68">
        <f t="shared" si="82"/>
        <v>82195</v>
      </c>
      <c r="O1213" s="69">
        <f t="shared" si="81"/>
        <v>82195</v>
      </c>
      <c r="P1213" s="42" t="str">
        <f>IFERROR(VLOOKUP(J1213,'Mã NV'!$B:$C,2,0),"")</f>
        <v>XE00447</v>
      </c>
      <c r="Q1213" s="70" t="str">
        <f>IFERROR(VLOOKUP(I1213,'Mã NV'!$J:$K,2,0),"")</f>
        <v>8T</v>
      </c>
      <c r="S1213" s="44">
        <f t="shared" si="80"/>
        <v>12329.25</v>
      </c>
    </row>
    <row r="1214" customHeight="1" spans="1:19">
      <c r="A1214" s="63">
        <f t="shared" si="79"/>
        <v>1208</v>
      </c>
      <c r="B1214" s="64">
        <v>46147</v>
      </c>
      <c r="C1214" s="87"/>
      <c r="D1214" s="66" t="s">
        <v>33</v>
      </c>
      <c r="E1214" s="66" t="s">
        <v>33</v>
      </c>
      <c r="F1214" s="66" t="s">
        <v>985</v>
      </c>
      <c r="G1214" s="66" t="s">
        <v>750</v>
      </c>
      <c r="H1214" s="66" t="s">
        <v>1015</v>
      </c>
      <c r="I1214" s="66" t="s">
        <v>115</v>
      </c>
      <c r="J1214" s="66" t="s">
        <v>113</v>
      </c>
      <c r="K1214" s="66" t="s">
        <v>747</v>
      </c>
      <c r="L1214" s="67">
        <v>4593250</v>
      </c>
      <c r="M1214" s="67">
        <v>0</v>
      </c>
      <c r="N1214" s="68">
        <f t="shared" si="82"/>
        <v>4593250</v>
      </c>
      <c r="O1214" s="69">
        <f t="shared" si="81"/>
        <v>4593250</v>
      </c>
      <c r="P1214" s="42" t="str">
        <f>IFERROR(VLOOKUP(J1214,'Mã NV'!$B:$C,2,0),"")</f>
        <v>XE00447</v>
      </c>
      <c r="Q1214" s="70" t="str">
        <f>IFERROR(VLOOKUP(I1214,'Mã NV'!$J:$K,2,0),"")</f>
        <v>8T</v>
      </c>
      <c r="S1214" s="44">
        <f t="shared" si="80"/>
        <v>688987.5</v>
      </c>
    </row>
    <row r="1215" customHeight="1" spans="1:19">
      <c r="A1215" s="63">
        <f t="shared" si="79"/>
        <v>1209</v>
      </c>
      <c r="B1215" s="64">
        <v>46147</v>
      </c>
      <c r="C1215" s="87"/>
      <c r="D1215" s="66" t="s">
        <v>33</v>
      </c>
      <c r="E1215" s="66" t="s">
        <v>33</v>
      </c>
      <c r="F1215" s="66" t="s">
        <v>985</v>
      </c>
      <c r="G1215" s="66" t="s">
        <v>750</v>
      </c>
      <c r="H1215" s="66" t="s">
        <v>1016</v>
      </c>
      <c r="I1215" s="66" t="s">
        <v>197</v>
      </c>
      <c r="J1215" s="66" t="s">
        <v>195</v>
      </c>
      <c r="K1215" s="66" t="s">
        <v>747</v>
      </c>
      <c r="L1215" s="67">
        <v>790492</v>
      </c>
      <c r="M1215" s="67">
        <v>0</v>
      </c>
      <c r="N1215" s="68">
        <f t="shared" si="82"/>
        <v>790492</v>
      </c>
      <c r="O1215" s="69">
        <f t="shared" si="81"/>
        <v>790492</v>
      </c>
      <c r="P1215" s="42" t="str">
        <f>IFERROR(VLOOKUP(J1215,'Mã NV'!$B:$C,2,0),"")</f>
        <v>XE00449</v>
      </c>
      <c r="Q1215" s="70" t="str">
        <f>IFERROR(VLOOKUP(I1215,'Mã NV'!$J:$K,2,0),"")</f>
        <v>8T</v>
      </c>
      <c r="S1215" s="44">
        <f t="shared" si="80"/>
        <v>118573.8</v>
      </c>
    </row>
    <row r="1216" customHeight="1" spans="1:19">
      <c r="A1216" s="63">
        <f t="shared" si="79"/>
        <v>1210</v>
      </c>
      <c r="B1216" s="64">
        <v>46147</v>
      </c>
      <c r="C1216" s="87"/>
      <c r="D1216" s="66" t="s">
        <v>33</v>
      </c>
      <c r="E1216" s="66" t="s">
        <v>33</v>
      </c>
      <c r="F1216" s="66" t="s">
        <v>985</v>
      </c>
      <c r="G1216" s="66" t="s">
        <v>750</v>
      </c>
      <c r="H1216" s="66" t="s">
        <v>1016</v>
      </c>
      <c r="I1216" s="66" t="s">
        <v>197</v>
      </c>
      <c r="J1216" s="66" t="s">
        <v>195</v>
      </c>
      <c r="K1216" s="66" t="s">
        <v>747</v>
      </c>
      <c r="L1216" s="67">
        <v>4166750</v>
      </c>
      <c r="M1216" s="67">
        <v>0</v>
      </c>
      <c r="N1216" s="68">
        <f t="shared" si="82"/>
        <v>4166750</v>
      </c>
      <c r="O1216" s="69">
        <f t="shared" si="81"/>
        <v>4166750</v>
      </c>
      <c r="P1216" s="42" t="str">
        <f>IFERROR(VLOOKUP(J1216,'Mã NV'!$B:$C,2,0),"")</f>
        <v>XE00449</v>
      </c>
      <c r="Q1216" s="70" t="str">
        <f>IFERROR(VLOOKUP(I1216,'Mã NV'!$J:$K,2,0),"")</f>
        <v>8T</v>
      </c>
      <c r="S1216" s="44">
        <f t="shared" si="80"/>
        <v>625012.5</v>
      </c>
    </row>
    <row r="1217" customHeight="1" spans="1:19">
      <c r="A1217" s="63">
        <f t="shared" si="79"/>
        <v>1211</v>
      </c>
      <c r="B1217" s="64">
        <v>46147</v>
      </c>
      <c r="C1217" s="87"/>
      <c r="D1217" s="66" t="s">
        <v>33</v>
      </c>
      <c r="E1217" s="66" t="s">
        <v>33</v>
      </c>
      <c r="F1217" s="66" t="s">
        <v>985</v>
      </c>
      <c r="G1217" s="66" t="s">
        <v>750</v>
      </c>
      <c r="H1217" s="66" t="s">
        <v>1006</v>
      </c>
      <c r="I1217" s="66" t="s">
        <v>197</v>
      </c>
      <c r="J1217" s="66" t="s">
        <v>195</v>
      </c>
      <c r="K1217" s="66" t="s">
        <v>747</v>
      </c>
      <c r="L1217" s="67">
        <v>1156250</v>
      </c>
      <c r="M1217" s="67">
        <v>0</v>
      </c>
      <c r="N1217" s="68">
        <f t="shared" si="82"/>
        <v>1156250</v>
      </c>
      <c r="O1217" s="69">
        <f t="shared" si="81"/>
        <v>1156250</v>
      </c>
      <c r="P1217" s="42" t="str">
        <f>IFERROR(VLOOKUP(J1217,'Mã NV'!$B:$C,2,0),"")</f>
        <v>XE00449</v>
      </c>
      <c r="Q1217" s="70" t="str">
        <f>IFERROR(VLOOKUP(I1217,'Mã NV'!$J:$K,2,0),"")</f>
        <v>8T</v>
      </c>
      <c r="S1217" s="44">
        <f t="shared" si="80"/>
        <v>173437.5</v>
      </c>
    </row>
    <row r="1218" customHeight="1" spans="1:19">
      <c r="A1218" s="63">
        <f t="shared" si="79"/>
        <v>1212</v>
      </c>
      <c r="B1218" s="64">
        <v>46147</v>
      </c>
      <c r="C1218" s="87"/>
      <c r="D1218" s="66" t="s">
        <v>33</v>
      </c>
      <c r="E1218" s="66" t="s">
        <v>33</v>
      </c>
      <c r="F1218" s="66" t="s">
        <v>985</v>
      </c>
      <c r="G1218" s="66" t="s">
        <v>750</v>
      </c>
      <c r="H1218" s="66" t="s">
        <v>1017</v>
      </c>
      <c r="I1218" s="66" t="s">
        <v>191</v>
      </c>
      <c r="J1218" s="66" t="s">
        <v>189</v>
      </c>
      <c r="K1218" s="66" t="s">
        <v>747</v>
      </c>
      <c r="L1218" s="67">
        <v>401698</v>
      </c>
      <c r="M1218" s="67">
        <v>0</v>
      </c>
      <c r="N1218" s="68">
        <f t="shared" si="82"/>
        <v>401698</v>
      </c>
      <c r="O1218" s="69">
        <f t="shared" si="81"/>
        <v>401698</v>
      </c>
      <c r="P1218" s="42" t="str">
        <f>IFERROR(VLOOKUP(J1218,'Mã NV'!$B:$C,2,0),"")</f>
        <v>XE00891</v>
      </c>
      <c r="Q1218" s="70" t="str">
        <f>IFERROR(VLOOKUP(I1218,'Mã NV'!$J:$K,2,0),"")</f>
        <v>8T</v>
      </c>
      <c r="S1218" s="44">
        <f t="shared" si="80"/>
        <v>60254.7</v>
      </c>
    </row>
    <row r="1219" customHeight="1" spans="1:19">
      <c r="A1219" s="63">
        <f t="shared" si="79"/>
        <v>1213</v>
      </c>
      <c r="B1219" s="64">
        <v>46147</v>
      </c>
      <c r="C1219" s="87"/>
      <c r="D1219" s="66" t="s">
        <v>33</v>
      </c>
      <c r="E1219" s="66" t="s">
        <v>33</v>
      </c>
      <c r="F1219" s="66" t="s">
        <v>985</v>
      </c>
      <c r="G1219" s="66" t="s">
        <v>750</v>
      </c>
      <c r="H1219" s="66" t="s">
        <v>1017</v>
      </c>
      <c r="I1219" s="66" t="s">
        <v>191</v>
      </c>
      <c r="J1219" s="66" t="s">
        <v>189</v>
      </c>
      <c r="K1219" s="66" t="s">
        <v>747</v>
      </c>
      <c r="L1219" s="67">
        <v>88350</v>
      </c>
      <c r="M1219" s="67">
        <v>0</v>
      </c>
      <c r="N1219" s="68">
        <f t="shared" si="82"/>
        <v>88350</v>
      </c>
      <c r="O1219" s="69">
        <f t="shared" si="81"/>
        <v>88350</v>
      </c>
      <c r="P1219" s="42" t="str">
        <f>IFERROR(VLOOKUP(J1219,'Mã NV'!$B:$C,2,0),"")</f>
        <v>XE00891</v>
      </c>
      <c r="Q1219" s="70" t="str">
        <f>IFERROR(VLOOKUP(I1219,'Mã NV'!$J:$K,2,0),"")</f>
        <v>8T</v>
      </c>
      <c r="S1219" s="44">
        <f t="shared" si="80"/>
        <v>13252.5</v>
      </c>
    </row>
    <row r="1220" customHeight="1" spans="1:19">
      <c r="A1220" s="63">
        <f t="shared" si="79"/>
        <v>1214</v>
      </c>
      <c r="B1220" s="64">
        <v>46147</v>
      </c>
      <c r="C1220" s="87"/>
      <c r="D1220" s="66" t="s">
        <v>33</v>
      </c>
      <c r="E1220" s="66" t="s">
        <v>33</v>
      </c>
      <c r="F1220" s="66" t="s">
        <v>985</v>
      </c>
      <c r="G1220" s="66" t="s">
        <v>750</v>
      </c>
      <c r="H1220" s="66" t="s">
        <v>1017</v>
      </c>
      <c r="I1220" s="66" t="s">
        <v>191</v>
      </c>
      <c r="J1220" s="66" t="s">
        <v>189</v>
      </c>
      <c r="K1220" s="66" t="s">
        <v>747</v>
      </c>
      <c r="L1220" s="67">
        <v>1443050</v>
      </c>
      <c r="M1220" s="67">
        <v>0</v>
      </c>
      <c r="N1220" s="68">
        <f t="shared" si="82"/>
        <v>1443050</v>
      </c>
      <c r="O1220" s="69">
        <f t="shared" si="81"/>
        <v>1443050</v>
      </c>
      <c r="P1220" s="42" t="str">
        <f>IFERROR(VLOOKUP(J1220,'Mã NV'!$B:$C,2,0),"")</f>
        <v>XE00891</v>
      </c>
      <c r="Q1220" s="70" t="str">
        <f>IFERROR(VLOOKUP(I1220,'Mã NV'!$J:$K,2,0),"")</f>
        <v>8T</v>
      </c>
      <c r="S1220" s="44">
        <f t="shared" si="80"/>
        <v>216457.5</v>
      </c>
    </row>
    <row r="1221" customHeight="1" spans="1:19">
      <c r="A1221" s="63">
        <f t="shared" si="79"/>
        <v>1215</v>
      </c>
      <c r="B1221" s="64">
        <v>46147</v>
      </c>
      <c r="C1221" s="65"/>
      <c r="D1221" s="66" t="s">
        <v>33</v>
      </c>
      <c r="E1221" s="66" t="s">
        <v>33</v>
      </c>
      <c r="F1221" s="66" t="s">
        <v>985</v>
      </c>
      <c r="G1221" s="66" t="s">
        <v>750</v>
      </c>
      <c r="H1221" s="66" t="s">
        <v>1018</v>
      </c>
      <c r="I1221" s="66" t="s">
        <v>191</v>
      </c>
      <c r="J1221" s="66" t="s">
        <v>189</v>
      </c>
      <c r="K1221" s="66" t="s">
        <v>747</v>
      </c>
      <c r="L1221" s="67">
        <v>311355</v>
      </c>
      <c r="M1221" s="67">
        <v>0</v>
      </c>
      <c r="N1221" s="68">
        <f t="shared" si="82"/>
        <v>311355</v>
      </c>
      <c r="O1221" s="69">
        <f t="shared" si="81"/>
        <v>311355</v>
      </c>
      <c r="P1221" s="42" t="str">
        <f>IFERROR(VLOOKUP(J1221,'Mã NV'!$B:$C,2,0),"")</f>
        <v>XE00891</v>
      </c>
      <c r="Q1221" s="70" t="str">
        <f>IFERROR(VLOOKUP(I1221,'Mã NV'!$J:$K,2,0),"")</f>
        <v>8T</v>
      </c>
      <c r="S1221" s="44">
        <f t="shared" si="80"/>
        <v>46703.25</v>
      </c>
    </row>
    <row r="1222" customHeight="1" spans="1:19">
      <c r="A1222" s="63">
        <f t="shared" si="79"/>
        <v>1216</v>
      </c>
      <c r="B1222" s="64">
        <v>46147</v>
      </c>
      <c r="C1222" s="65"/>
      <c r="D1222" s="66" t="s">
        <v>33</v>
      </c>
      <c r="E1222" s="66" t="s">
        <v>33</v>
      </c>
      <c r="F1222" s="66" t="s">
        <v>985</v>
      </c>
      <c r="G1222" s="66" t="s">
        <v>750</v>
      </c>
      <c r="H1222" s="66" t="s">
        <v>1018</v>
      </c>
      <c r="I1222" s="66" t="s">
        <v>191</v>
      </c>
      <c r="J1222" s="66" t="s">
        <v>189</v>
      </c>
      <c r="K1222" s="66" t="s">
        <v>747</v>
      </c>
      <c r="L1222" s="67">
        <v>2187900</v>
      </c>
      <c r="M1222" s="67">
        <v>0</v>
      </c>
      <c r="N1222" s="68">
        <f t="shared" si="82"/>
        <v>2187900</v>
      </c>
      <c r="O1222" s="69">
        <f t="shared" si="81"/>
        <v>2187900</v>
      </c>
      <c r="P1222" s="42" t="str">
        <f>IFERROR(VLOOKUP(J1222,'Mã NV'!$B:$C,2,0),"")</f>
        <v>XE00891</v>
      </c>
      <c r="Q1222" s="70" t="str">
        <f>IFERROR(VLOOKUP(I1222,'Mã NV'!$J:$K,2,0),"")</f>
        <v>8T</v>
      </c>
      <c r="S1222" s="44">
        <f t="shared" si="80"/>
        <v>328185</v>
      </c>
    </row>
    <row r="1223" customHeight="1" spans="1:19">
      <c r="A1223" s="63">
        <f t="shared" si="79"/>
        <v>1217</v>
      </c>
      <c r="B1223" s="64">
        <v>46147</v>
      </c>
      <c r="C1223" s="65"/>
      <c r="D1223" s="66" t="s">
        <v>33</v>
      </c>
      <c r="E1223" s="66" t="s">
        <v>33</v>
      </c>
      <c r="F1223" s="66" t="s">
        <v>985</v>
      </c>
      <c r="G1223" s="66" t="s">
        <v>750</v>
      </c>
      <c r="H1223" s="66" t="s">
        <v>1003</v>
      </c>
      <c r="I1223" s="66" t="s">
        <v>130</v>
      </c>
      <c r="J1223" s="66" t="s">
        <v>131</v>
      </c>
      <c r="K1223" s="66" t="s">
        <v>747</v>
      </c>
      <c r="L1223" s="67">
        <v>700910</v>
      </c>
      <c r="M1223" s="67">
        <v>0</v>
      </c>
      <c r="N1223" s="68">
        <f t="shared" si="82"/>
        <v>700910</v>
      </c>
      <c r="O1223" s="69">
        <f t="shared" si="81"/>
        <v>700910</v>
      </c>
      <c r="P1223" s="42" t="str">
        <f>IFERROR(VLOOKUP(J1223,'Mã NV'!$B:$C,2,0),"")</f>
        <v>XE00847</v>
      </c>
      <c r="Q1223" s="70" t="str">
        <f>IFERROR(VLOOKUP(I1223,'Mã NV'!$J:$K,2,0),"")</f>
        <v>8T</v>
      </c>
      <c r="S1223" s="44">
        <f t="shared" si="80"/>
        <v>105136.5</v>
      </c>
    </row>
    <row r="1224" customHeight="1" spans="1:19">
      <c r="A1224" s="63">
        <f t="shared" si="79"/>
        <v>1218</v>
      </c>
      <c r="B1224" s="64">
        <v>46147</v>
      </c>
      <c r="C1224" s="65"/>
      <c r="D1224" s="66" t="s">
        <v>33</v>
      </c>
      <c r="E1224" s="66" t="s">
        <v>33</v>
      </c>
      <c r="F1224" s="66" t="s">
        <v>985</v>
      </c>
      <c r="G1224" s="66" t="s">
        <v>750</v>
      </c>
      <c r="H1224" s="66" t="s">
        <v>1019</v>
      </c>
      <c r="I1224" s="66" t="s">
        <v>130</v>
      </c>
      <c r="J1224" s="66" t="s">
        <v>131</v>
      </c>
      <c r="K1224" s="66" t="s">
        <v>747</v>
      </c>
      <c r="L1224" s="67">
        <v>183768</v>
      </c>
      <c r="M1224" s="67">
        <v>0</v>
      </c>
      <c r="N1224" s="68">
        <f t="shared" si="82"/>
        <v>183768</v>
      </c>
      <c r="O1224" s="69">
        <f t="shared" si="81"/>
        <v>183768</v>
      </c>
      <c r="P1224" s="42" t="str">
        <f>IFERROR(VLOOKUP(J1224,'Mã NV'!$B:$C,2,0),"")</f>
        <v>XE00847</v>
      </c>
      <c r="Q1224" s="70" t="str">
        <f>IFERROR(VLOOKUP(I1224,'Mã NV'!$J:$K,2,0),"")</f>
        <v>8T</v>
      </c>
      <c r="S1224" s="44">
        <f t="shared" si="80"/>
        <v>27565.2</v>
      </c>
    </row>
    <row r="1225" customHeight="1" spans="1:19">
      <c r="A1225" s="63">
        <f t="shared" si="79"/>
        <v>1219</v>
      </c>
      <c r="B1225" s="64">
        <v>46147</v>
      </c>
      <c r="C1225" s="65"/>
      <c r="D1225" s="66" t="s">
        <v>33</v>
      </c>
      <c r="E1225" s="66" t="s">
        <v>33</v>
      </c>
      <c r="F1225" s="66" t="s">
        <v>985</v>
      </c>
      <c r="G1225" s="66" t="s">
        <v>750</v>
      </c>
      <c r="H1225" s="66" t="s">
        <v>1020</v>
      </c>
      <c r="I1225" s="66" t="s">
        <v>130</v>
      </c>
      <c r="J1225" s="66" t="s">
        <v>131</v>
      </c>
      <c r="K1225" s="66" t="s">
        <v>747</v>
      </c>
      <c r="L1225" s="67">
        <v>124868</v>
      </c>
      <c r="M1225" s="67">
        <v>0</v>
      </c>
      <c r="N1225" s="68">
        <f t="shared" si="82"/>
        <v>124868</v>
      </c>
      <c r="O1225" s="69">
        <f t="shared" si="81"/>
        <v>124868</v>
      </c>
      <c r="P1225" s="42" t="str">
        <f>IFERROR(VLOOKUP(J1225,'Mã NV'!$B:$C,2,0),"")</f>
        <v>XE00847</v>
      </c>
      <c r="Q1225" s="70" t="str">
        <f>IFERROR(VLOOKUP(I1225,'Mã NV'!$J:$K,2,0),"")</f>
        <v>8T</v>
      </c>
      <c r="S1225" s="44">
        <f t="shared" si="80"/>
        <v>18730.2</v>
      </c>
    </row>
    <row r="1226" customHeight="1" spans="1:19">
      <c r="A1226" s="63">
        <f t="shared" si="79"/>
        <v>1220</v>
      </c>
      <c r="B1226" s="64">
        <v>46147</v>
      </c>
      <c r="C1226" s="65"/>
      <c r="D1226" s="66" t="s">
        <v>33</v>
      </c>
      <c r="E1226" s="66" t="s">
        <v>33</v>
      </c>
      <c r="F1226" s="66" t="s">
        <v>985</v>
      </c>
      <c r="G1226" s="66" t="s">
        <v>750</v>
      </c>
      <c r="H1226" s="66" t="s">
        <v>1020</v>
      </c>
      <c r="I1226" s="66" t="s">
        <v>130</v>
      </c>
      <c r="J1226" s="66" t="s">
        <v>131</v>
      </c>
      <c r="K1226" s="66" t="s">
        <v>747</v>
      </c>
      <c r="L1226" s="67">
        <v>2179300</v>
      </c>
      <c r="M1226" s="67">
        <v>0</v>
      </c>
      <c r="N1226" s="68">
        <f t="shared" si="82"/>
        <v>2179300</v>
      </c>
      <c r="O1226" s="69">
        <f t="shared" si="81"/>
        <v>2179300</v>
      </c>
      <c r="P1226" s="42" t="str">
        <f>IFERROR(VLOOKUP(J1226,'Mã NV'!$B:$C,2,0),"")</f>
        <v>XE00847</v>
      </c>
      <c r="Q1226" s="70" t="str">
        <f>IFERROR(VLOOKUP(I1226,'Mã NV'!$J:$K,2,0),"")</f>
        <v>8T</v>
      </c>
      <c r="S1226" s="44">
        <f t="shared" si="80"/>
        <v>326895</v>
      </c>
    </row>
    <row r="1227" customHeight="1" spans="1:19">
      <c r="A1227" s="63">
        <f t="shared" si="79"/>
        <v>1221</v>
      </c>
      <c r="B1227" s="64">
        <v>46147</v>
      </c>
      <c r="C1227" s="65"/>
      <c r="D1227" s="66" t="s">
        <v>33</v>
      </c>
      <c r="E1227" s="66" t="s">
        <v>33</v>
      </c>
      <c r="F1227" s="66" t="s">
        <v>985</v>
      </c>
      <c r="G1227" s="66" t="s">
        <v>750</v>
      </c>
      <c r="H1227" s="66" t="s">
        <v>1021</v>
      </c>
      <c r="I1227" s="66" t="s">
        <v>130</v>
      </c>
      <c r="J1227" s="66" t="s">
        <v>131</v>
      </c>
      <c r="K1227" s="66" t="s">
        <v>747</v>
      </c>
      <c r="L1227" s="67">
        <v>359290</v>
      </c>
      <c r="M1227" s="67">
        <v>0</v>
      </c>
      <c r="N1227" s="68">
        <f t="shared" si="82"/>
        <v>359290</v>
      </c>
      <c r="O1227" s="69">
        <f t="shared" si="81"/>
        <v>359290</v>
      </c>
      <c r="P1227" s="42" t="str">
        <f>IFERROR(VLOOKUP(J1227,'Mã NV'!$B:$C,2,0),"")</f>
        <v>XE00847</v>
      </c>
      <c r="Q1227" s="70" t="str">
        <f>IFERROR(VLOOKUP(I1227,'Mã NV'!$J:$K,2,0),"")</f>
        <v>8T</v>
      </c>
      <c r="S1227" s="44">
        <f t="shared" si="80"/>
        <v>53893.5</v>
      </c>
    </row>
    <row r="1228" customHeight="1" spans="1:19">
      <c r="A1228" s="63">
        <f t="shared" si="79"/>
        <v>1222</v>
      </c>
      <c r="B1228" s="64">
        <v>46147</v>
      </c>
      <c r="C1228" s="65"/>
      <c r="D1228" s="66" t="s">
        <v>33</v>
      </c>
      <c r="E1228" s="66" t="s">
        <v>33</v>
      </c>
      <c r="F1228" s="66" t="s">
        <v>985</v>
      </c>
      <c r="G1228" s="66" t="s">
        <v>750</v>
      </c>
      <c r="H1228" s="66" t="s">
        <v>1022</v>
      </c>
      <c r="I1228" s="66" t="s">
        <v>84</v>
      </c>
      <c r="J1228" s="66" t="s">
        <v>82</v>
      </c>
      <c r="K1228" s="66" t="s">
        <v>747</v>
      </c>
      <c r="L1228" s="67">
        <v>200277</v>
      </c>
      <c r="M1228" s="67">
        <v>0</v>
      </c>
      <c r="N1228" s="68">
        <f t="shared" si="82"/>
        <v>200277</v>
      </c>
      <c r="O1228" s="69">
        <f t="shared" si="81"/>
        <v>200277</v>
      </c>
      <c r="P1228" s="42" t="str">
        <f>IFERROR(VLOOKUP(J1228,'Mã NV'!$B:$C,2,0),"")</f>
        <v>XE00832</v>
      </c>
      <c r="Q1228" s="70" t="str">
        <f>IFERROR(VLOOKUP(I1228,'Mã NV'!$J:$K,2,0),"")</f>
        <v>6.5T</v>
      </c>
      <c r="S1228" s="44">
        <f t="shared" si="80"/>
        <v>30041.55</v>
      </c>
    </row>
    <row r="1229" customHeight="1" spans="1:19">
      <c r="A1229" s="63">
        <f t="shared" si="79"/>
        <v>1223</v>
      </c>
      <c r="B1229" s="64">
        <v>46147</v>
      </c>
      <c r="C1229" s="65"/>
      <c r="D1229" s="66" t="s">
        <v>33</v>
      </c>
      <c r="E1229" s="66" t="s">
        <v>33</v>
      </c>
      <c r="F1229" s="66" t="s">
        <v>985</v>
      </c>
      <c r="G1229" s="66" t="s">
        <v>750</v>
      </c>
      <c r="H1229" s="66" t="s">
        <v>1022</v>
      </c>
      <c r="I1229" s="66" t="s">
        <v>84</v>
      </c>
      <c r="J1229" s="66" t="s">
        <v>82</v>
      </c>
      <c r="K1229" s="66" t="s">
        <v>747</v>
      </c>
      <c r="L1229" s="67">
        <v>1851300</v>
      </c>
      <c r="M1229" s="67">
        <v>0</v>
      </c>
      <c r="N1229" s="68">
        <f t="shared" si="82"/>
        <v>1851300</v>
      </c>
      <c r="O1229" s="69">
        <f t="shared" si="81"/>
        <v>1851300</v>
      </c>
      <c r="P1229" s="42" t="str">
        <f>IFERROR(VLOOKUP(J1229,'Mã NV'!$B:$C,2,0),"")</f>
        <v>XE00832</v>
      </c>
      <c r="Q1229" s="70" t="str">
        <f>IFERROR(VLOOKUP(I1229,'Mã NV'!$J:$K,2,0),"")</f>
        <v>6.5T</v>
      </c>
      <c r="S1229" s="44">
        <f t="shared" si="80"/>
        <v>277695</v>
      </c>
    </row>
    <row r="1230" customHeight="1" spans="1:19">
      <c r="A1230" s="63">
        <f t="shared" si="79"/>
        <v>1224</v>
      </c>
      <c r="B1230" s="64">
        <v>46147</v>
      </c>
      <c r="C1230" s="65"/>
      <c r="D1230" s="66" t="s">
        <v>33</v>
      </c>
      <c r="E1230" s="66" t="s">
        <v>33</v>
      </c>
      <c r="F1230" s="66" t="s">
        <v>985</v>
      </c>
      <c r="G1230" s="66" t="s">
        <v>750</v>
      </c>
      <c r="H1230" s="66" t="s">
        <v>1022</v>
      </c>
      <c r="I1230" s="66" t="s">
        <v>84</v>
      </c>
      <c r="J1230" s="66" t="s">
        <v>82</v>
      </c>
      <c r="K1230" s="66" t="s">
        <v>747</v>
      </c>
      <c r="L1230" s="67">
        <v>1775565</v>
      </c>
      <c r="M1230" s="67">
        <v>0</v>
      </c>
      <c r="N1230" s="68">
        <f t="shared" si="82"/>
        <v>1775565</v>
      </c>
      <c r="O1230" s="69">
        <f t="shared" si="81"/>
        <v>1775565</v>
      </c>
      <c r="P1230" s="42" t="str">
        <f>IFERROR(VLOOKUP(J1230,'Mã NV'!$B:$C,2,0),"")</f>
        <v>XE00832</v>
      </c>
      <c r="Q1230" s="70" t="str">
        <f>IFERROR(VLOOKUP(I1230,'Mã NV'!$J:$K,2,0),"")</f>
        <v>6.5T</v>
      </c>
      <c r="S1230" s="44">
        <f t="shared" si="80"/>
        <v>266334.75</v>
      </c>
    </row>
    <row r="1231" customHeight="1" spans="1:19">
      <c r="A1231" s="63">
        <f t="shared" ref="A1231:A1294" si="83">A1230+1</f>
        <v>1225</v>
      </c>
      <c r="B1231" s="64">
        <v>46147</v>
      </c>
      <c r="C1231" s="65"/>
      <c r="D1231" s="66" t="s">
        <v>33</v>
      </c>
      <c r="E1231" s="66" t="s">
        <v>33</v>
      </c>
      <c r="F1231" s="66" t="s">
        <v>985</v>
      </c>
      <c r="G1231" s="66" t="s">
        <v>750</v>
      </c>
      <c r="H1231" s="66" t="s">
        <v>1023</v>
      </c>
      <c r="I1231" s="66" t="s">
        <v>48</v>
      </c>
      <c r="J1231" s="66" t="s">
        <v>347</v>
      </c>
      <c r="K1231" s="66" t="s">
        <v>747</v>
      </c>
      <c r="L1231" s="67">
        <v>173994</v>
      </c>
      <c r="M1231" s="67">
        <v>0</v>
      </c>
      <c r="N1231" s="68">
        <f t="shared" si="82"/>
        <v>173994</v>
      </c>
      <c r="O1231" s="69">
        <f t="shared" si="81"/>
        <v>173994</v>
      </c>
      <c r="P1231" s="42" t="str">
        <f>IFERROR(VLOOKUP(J1231,'Mã NV'!$B:$C,2,0),"")</f>
        <v>XE01653</v>
      </c>
      <c r="Q1231" s="70" t="str">
        <f>IFERROR(VLOOKUP(I1231,'Mã NV'!$J:$K,2,0),"")</f>
        <v>6.5T</v>
      </c>
      <c r="S1231" s="44">
        <f t="shared" si="80"/>
        <v>26099.1</v>
      </c>
    </row>
    <row r="1232" customHeight="1" spans="1:19">
      <c r="A1232" s="63">
        <f t="shared" si="83"/>
        <v>1226</v>
      </c>
      <c r="B1232" s="64">
        <v>46147</v>
      </c>
      <c r="C1232" s="65"/>
      <c r="D1232" s="66" t="s">
        <v>33</v>
      </c>
      <c r="E1232" s="66" t="s">
        <v>33</v>
      </c>
      <c r="F1232" s="66" t="s">
        <v>985</v>
      </c>
      <c r="G1232" s="66" t="s">
        <v>750</v>
      </c>
      <c r="H1232" s="66" t="s">
        <v>1023</v>
      </c>
      <c r="I1232" s="66" t="s">
        <v>48</v>
      </c>
      <c r="J1232" s="66" t="s">
        <v>347</v>
      </c>
      <c r="K1232" s="66" t="s">
        <v>747</v>
      </c>
      <c r="L1232" s="67">
        <v>1604200</v>
      </c>
      <c r="M1232" s="67">
        <v>0</v>
      </c>
      <c r="N1232" s="68">
        <f t="shared" si="82"/>
        <v>1604200</v>
      </c>
      <c r="O1232" s="69">
        <f t="shared" si="81"/>
        <v>1604200</v>
      </c>
      <c r="P1232" s="42" t="str">
        <f>IFERROR(VLOOKUP(J1232,'Mã NV'!$B:$C,2,0),"")</f>
        <v>XE01653</v>
      </c>
      <c r="Q1232" s="70" t="str">
        <f>IFERROR(VLOOKUP(I1232,'Mã NV'!$J:$K,2,0),"")</f>
        <v>6.5T</v>
      </c>
      <c r="S1232" s="44">
        <f t="shared" si="80"/>
        <v>240630</v>
      </c>
    </row>
    <row r="1233" customHeight="1" spans="1:19">
      <c r="A1233" s="63">
        <f t="shared" si="83"/>
        <v>1227</v>
      </c>
      <c r="B1233" s="64">
        <v>46147</v>
      </c>
      <c r="C1233" s="65"/>
      <c r="D1233" s="66" t="s">
        <v>33</v>
      </c>
      <c r="E1233" s="66" t="s">
        <v>33</v>
      </c>
      <c r="F1233" s="66" t="s">
        <v>985</v>
      </c>
      <c r="G1233" s="66" t="s">
        <v>750</v>
      </c>
      <c r="H1233" s="66" t="s">
        <v>1023</v>
      </c>
      <c r="I1233" s="66" t="s">
        <v>48</v>
      </c>
      <c r="J1233" s="66" t="s">
        <v>347</v>
      </c>
      <c r="K1233" s="66" t="s">
        <v>747</v>
      </c>
      <c r="L1233" s="67">
        <v>462750</v>
      </c>
      <c r="M1233" s="67">
        <v>0</v>
      </c>
      <c r="N1233" s="68">
        <f t="shared" si="82"/>
        <v>462750</v>
      </c>
      <c r="O1233" s="69">
        <f t="shared" si="81"/>
        <v>462750</v>
      </c>
      <c r="P1233" s="42" t="str">
        <f>IFERROR(VLOOKUP(J1233,'Mã NV'!$B:$C,2,0),"")</f>
        <v>XE01653</v>
      </c>
      <c r="Q1233" s="70" t="str">
        <f>IFERROR(VLOOKUP(I1233,'Mã NV'!$J:$K,2,0),"")</f>
        <v>6.5T</v>
      </c>
      <c r="S1233" s="44">
        <f t="shared" si="80"/>
        <v>69412.5</v>
      </c>
    </row>
    <row r="1234" customHeight="1" spans="1:19">
      <c r="A1234" s="63">
        <f t="shared" si="83"/>
        <v>1228</v>
      </c>
      <c r="B1234" s="64">
        <v>46147</v>
      </c>
      <c r="C1234" s="65"/>
      <c r="D1234" s="66" t="s">
        <v>33</v>
      </c>
      <c r="E1234" s="66" t="s">
        <v>33</v>
      </c>
      <c r="F1234" s="66" t="s">
        <v>985</v>
      </c>
      <c r="G1234" s="66" t="s">
        <v>750</v>
      </c>
      <c r="H1234" s="66" t="s">
        <v>1024</v>
      </c>
      <c r="I1234" s="66" t="s">
        <v>134</v>
      </c>
      <c r="J1234" s="66" t="s">
        <v>359</v>
      </c>
      <c r="K1234" s="66" t="s">
        <v>747</v>
      </c>
      <c r="L1234" s="67">
        <v>961085</v>
      </c>
      <c r="M1234" s="67">
        <v>0</v>
      </c>
      <c r="N1234" s="68">
        <f t="shared" si="82"/>
        <v>961085</v>
      </c>
      <c r="O1234" s="69">
        <f t="shared" si="81"/>
        <v>961085</v>
      </c>
      <c r="P1234" s="42" t="str">
        <f>IFERROR(VLOOKUP(J1234,'Mã NV'!$B:$C,2,0),"")</f>
        <v>XE01639</v>
      </c>
      <c r="Q1234" s="70" t="str">
        <f>IFERROR(VLOOKUP(I1234,'Mã NV'!$J:$K,2,0),"")</f>
        <v>2.5T Lạnh</v>
      </c>
      <c r="S1234" s="44">
        <f t="shared" si="80"/>
        <v>144162.75</v>
      </c>
    </row>
    <row r="1235" customHeight="1" spans="1:19">
      <c r="A1235" s="63">
        <f t="shared" si="83"/>
        <v>1229</v>
      </c>
      <c r="B1235" s="64">
        <v>46147</v>
      </c>
      <c r="C1235" s="65"/>
      <c r="D1235" s="66" t="s">
        <v>33</v>
      </c>
      <c r="E1235" s="66" t="s">
        <v>33</v>
      </c>
      <c r="F1235" s="66" t="s">
        <v>985</v>
      </c>
      <c r="G1235" s="66" t="s">
        <v>750</v>
      </c>
      <c r="H1235" s="66" t="s">
        <v>1025</v>
      </c>
      <c r="I1235" s="66" t="s">
        <v>52</v>
      </c>
      <c r="J1235" s="66" t="s">
        <v>46</v>
      </c>
      <c r="K1235" s="66" t="s">
        <v>747</v>
      </c>
      <c r="L1235" s="67">
        <v>32560</v>
      </c>
      <c r="M1235" s="67">
        <v>0</v>
      </c>
      <c r="N1235" s="68">
        <f t="shared" si="82"/>
        <v>32560</v>
      </c>
      <c r="O1235" s="69">
        <f t="shared" si="81"/>
        <v>32560</v>
      </c>
      <c r="P1235" s="42" t="str">
        <f>IFERROR(VLOOKUP(J1235,'Mã NV'!$B:$C,2,0),"")</f>
        <v>XE00900</v>
      </c>
      <c r="Q1235" s="70" t="str">
        <f>IFERROR(VLOOKUP(I1235,'Mã NV'!$J:$K,2,0),"")</f>
        <v>8T</v>
      </c>
      <c r="S1235" s="44">
        <f t="shared" si="80"/>
        <v>4884</v>
      </c>
    </row>
    <row r="1236" customHeight="1" spans="1:19">
      <c r="A1236" s="63">
        <f t="shared" si="83"/>
        <v>1230</v>
      </c>
      <c r="B1236" s="64">
        <v>46147</v>
      </c>
      <c r="C1236" s="65"/>
      <c r="D1236" s="66" t="s">
        <v>33</v>
      </c>
      <c r="E1236" s="66" t="s">
        <v>33</v>
      </c>
      <c r="F1236" s="66" t="s">
        <v>985</v>
      </c>
      <c r="G1236" s="66" t="s">
        <v>750</v>
      </c>
      <c r="H1236" s="66" t="s">
        <v>1025</v>
      </c>
      <c r="I1236" s="66" t="s">
        <v>52</v>
      </c>
      <c r="J1236" s="66" t="s">
        <v>46</v>
      </c>
      <c r="K1236" s="66" t="s">
        <v>747</v>
      </c>
      <c r="L1236" s="67">
        <v>2523400</v>
      </c>
      <c r="M1236" s="67">
        <v>0</v>
      </c>
      <c r="N1236" s="68">
        <f t="shared" si="82"/>
        <v>2523400</v>
      </c>
      <c r="O1236" s="69">
        <f t="shared" si="81"/>
        <v>2523400</v>
      </c>
      <c r="P1236" s="42" t="str">
        <f>IFERROR(VLOOKUP(J1236,'Mã NV'!$B:$C,2,0),"")</f>
        <v>XE00900</v>
      </c>
      <c r="Q1236" s="70" t="str">
        <f>IFERROR(VLOOKUP(I1236,'Mã NV'!$J:$K,2,0),"")</f>
        <v>8T</v>
      </c>
      <c r="S1236" s="44">
        <f t="shared" si="80"/>
        <v>378510</v>
      </c>
    </row>
    <row r="1237" customHeight="1" spans="1:19">
      <c r="A1237" s="63">
        <f t="shared" si="83"/>
        <v>1231</v>
      </c>
      <c r="B1237" s="64">
        <v>46147</v>
      </c>
      <c r="C1237" s="65"/>
      <c r="D1237" s="66" t="s">
        <v>33</v>
      </c>
      <c r="E1237" s="66" t="s">
        <v>33</v>
      </c>
      <c r="F1237" s="66" t="s">
        <v>985</v>
      </c>
      <c r="G1237" s="66" t="s">
        <v>750</v>
      </c>
      <c r="H1237" s="66" t="s">
        <v>1026</v>
      </c>
      <c r="I1237" s="66" t="s">
        <v>52</v>
      </c>
      <c r="J1237" s="66" t="s">
        <v>46</v>
      </c>
      <c r="K1237" s="66" t="s">
        <v>747</v>
      </c>
      <c r="L1237" s="67">
        <v>347991</v>
      </c>
      <c r="M1237" s="67">
        <v>0</v>
      </c>
      <c r="N1237" s="68">
        <f t="shared" si="82"/>
        <v>347991</v>
      </c>
      <c r="O1237" s="69">
        <f t="shared" si="81"/>
        <v>347991</v>
      </c>
      <c r="P1237" s="42" t="str">
        <f>IFERROR(VLOOKUP(J1237,'Mã NV'!$B:$C,2,0),"")</f>
        <v>XE00900</v>
      </c>
      <c r="Q1237" s="70" t="str">
        <f>IFERROR(VLOOKUP(I1237,'Mã NV'!$J:$K,2,0),"")</f>
        <v>8T</v>
      </c>
      <c r="S1237" s="44">
        <f t="shared" si="80"/>
        <v>52198.65</v>
      </c>
    </row>
    <row r="1238" customHeight="1" spans="1:19">
      <c r="A1238" s="63">
        <f t="shared" si="83"/>
        <v>1232</v>
      </c>
      <c r="B1238" s="64">
        <v>46147</v>
      </c>
      <c r="C1238" s="65"/>
      <c r="D1238" s="66" t="s">
        <v>33</v>
      </c>
      <c r="E1238" s="66" t="s">
        <v>33</v>
      </c>
      <c r="F1238" s="66" t="s">
        <v>985</v>
      </c>
      <c r="G1238" s="66" t="s">
        <v>750</v>
      </c>
      <c r="H1238" s="66" t="s">
        <v>1026</v>
      </c>
      <c r="I1238" s="66" t="s">
        <v>52</v>
      </c>
      <c r="J1238" s="66" t="s">
        <v>46</v>
      </c>
      <c r="K1238" s="66" t="s">
        <v>747</v>
      </c>
      <c r="L1238" s="67">
        <v>5362875</v>
      </c>
      <c r="M1238" s="67">
        <v>0</v>
      </c>
      <c r="N1238" s="68">
        <f t="shared" si="82"/>
        <v>5362875</v>
      </c>
      <c r="O1238" s="69">
        <f t="shared" si="81"/>
        <v>5362875</v>
      </c>
      <c r="P1238" s="42" t="str">
        <f>IFERROR(VLOOKUP(J1238,'Mã NV'!$B:$C,2,0),"")</f>
        <v>XE00900</v>
      </c>
      <c r="Q1238" s="70" t="str">
        <f>IFERROR(VLOOKUP(I1238,'Mã NV'!$J:$K,2,0),"")</f>
        <v>8T</v>
      </c>
      <c r="S1238" s="44">
        <f t="shared" si="80"/>
        <v>804431.25</v>
      </c>
    </row>
    <row r="1239" customHeight="1" spans="1:19">
      <c r="A1239" s="63">
        <f t="shared" si="83"/>
        <v>1233</v>
      </c>
      <c r="B1239" s="64">
        <v>46147</v>
      </c>
      <c r="C1239" s="65"/>
      <c r="D1239" s="66" t="s">
        <v>33</v>
      </c>
      <c r="E1239" s="66" t="s">
        <v>33</v>
      </c>
      <c r="F1239" s="66" t="s">
        <v>985</v>
      </c>
      <c r="G1239" s="66" t="s">
        <v>750</v>
      </c>
      <c r="H1239" s="66" t="s">
        <v>1027</v>
      </c>
      <c r="I1239" s="66" t="s">
        <v>52</v>
      </c>
      <c r="J1239" s="66" t="s">
        <v>46</v>
      </c>
      <c r="K1239" s="66" t="s">
        <v>747</v>
      </c>
      <c r="L1239" s="67">
        <v>1477770</v>
      </c>
      <c r="M1239" s="67">
        <v>0</v>
      </c>
      <c r="N1239" s="68">
        <f t="shared" si="82"/>
        <v>1477770</v>
      </c>
      <c r="O1239" s="69">
        <f t="shared" si="81"/>
        <v>1477770</v>
      </c>
      <c r="P1239" s="42" t="str">
        <f>IFERROR(VLOOKUP(J1239,'Mã NV'!$B:$C,2,0),"")</f>
        <v>XE00900</v>
      </c>
      <c r="Q1239" s="70" t="str">
        <f>IFERROR(VLOOKUP(I1239,'Mã NV'!$J:$K,2,0),"")</f>
        <v>8T</v>
      </c>
      <c r="S1239" s="44">
        <f t="shared" si="80"/>
        <v>221665.5</v>
      </c>
    </row>
    <row r="1240" customHeight="1" spans="1:19">
      <c r="A1240" s="63">
        <f t="shared" si="83"/>
        <v>1234</v>
      </c>
      <c r="B1240" s="64">
        <v>46147</v>
      </c>
      <c r="C1240" s="65"/>
      <c r="D1240" s="66" t="s">
        <v>33</v>
      </c>
      <c r="E1240" s="66" t="s">
        <v>33</v>
      </c>
      <c r="F1240" s="66" t="s">
        <v>985</v>
      </c>
      <c r="G1240" s="66" t="s">
        <v>750</v>
      </c>
      <c r="H1240" s="66" t="s">
        <v>1028</v>
      </c>
      <c r="I1240" s="66" t="s">
        <v>165</v>
      </c>
      <c r="J1240" s="66" t="s">
        <v>343</v>
      </c>
      <c r="K1240" s="66" t="s">
        <v>747</v>
      </c>
      <c r="L1240" s="67">
        <v>1364760</v>
      </c>
      <c r="M1240" s="67">
        <v>0</v>
      </c>
      <c r="N1240" s="68">
        <f t="shared" si="82"/>
        <v>1364760</v>
      </c>
      <c r="O1240" s="69">
        <f t="shared" si="81"/>
        <v>1364760</v>
      </c>
      <c r="P1240" s="42" t="str">
        <f>IFERROR(VLOOKUP(J1240,'Mã NV'!$B:$C,2,0),"")</f>
        <v>XE01615</v>
      </c>
      <c r="Q1240" s="70" t="str">
        <f>IFERROR(VLOOKUP(I1240,'Mã NV'!$J:$K,2,0),"")</f>
        <v>15T</v>
      </c>
      <c r="S1240" s="44">
        <f t="shared" si="80"/>
        <v>204714</v>
      </c>
    </row>
    <row r="1241" customHeight="1" spans="1:19">
      <c r="A1241" s="63">
        <f t="shared" si="83"/>
        <v>1235</v>
      </c>
      <c r="B1241" s="64">
        <v>46147</v>
      </c>
      <c r="C1241" s="65"/>
      <c r="D1241" s="66" t="s">
        <v>33</v>
      </c>
      <c r="E1241" s="66" t="s">
        <v>33</v>
      </c>
      <c r="F1241" s="66" t="s">
        <v>985</v>
      </c>
      <c r="G1241" s="66" t="s">
        <v>750</v>
      </c>
      <c r="H1241" s="66" t="s">
        <v>1029</v>
      </c>
      <c r="I1241" s="66" t="s">
        <v>165</v>
      </c>
      <c r="J1241" s="66" t="s">
        <v>162</v>
      </c>
      <c r="K1241" s="66" t="s">
        <v>747</v>
      </c>
      <c r="L1241" s="67">
        <v>2809800</v>
      </c>
      <c r="M1241" s="67">
        <v>0</v>
      </c>
      <c r="N1241" s="68">
        <f t="shared" si="82"/>
        <v>2809800</v>
      </c>
      <c r="O1241" s="69">
        <f t="shared" si="81"/>
        <v>2809800</v>
      </c>
      <c r="P1241" s="42" t="str">
        <f>IFERROR(VLOOKUP(J1241,'Mã NV'!$B:$C,2,0),"")</f>
        <v>XE00779</v>
      </c>
      <c r="Q1241" s="70" t="str">
        <f>IFERROR(VLOOKUP(I1241,'Mã NV'!$J:$K,2,0),"")</f>
        <v>15T</v>
      </c>
      <c r="S1241" s="44">
        <f t="shared" si="80"/>
        <v>421470</v>
      </c>
    </row>
    <row r="1242" customHeight="1" spans="1:19">
      <c r="A1242" s="63">
        <f t="shared" si="83"/>
        <v>1236</v>
      </c>
      <c r="B1242" s="64">
        <v>46147</v>
      </c>
      <c r="C1242" s="65"/>
      <c r="D1242" s="66" t="s">
        <v>33</v>
      </c>
      <c r="E1242" s="66" t="s">
        <v>33</v>
      </c>
      <c r="F1242" s="66" t="s">
        <v>985</v>
      </c>
      <c r="G1242" s="66" t="s">
        <v>750</v>
      </c>
      <c r="H1242" s="66" t="s">
        <v>1030</v>
      </c>
      <c r="I1242" s="66" t="s">
        <v>165</v>
      </c>
      <c r="J1242" s="66" t="s">
        <v>162</v>
      </c>
      <c r="K1242" s="66" t="s">
        <v>747</v>
      </c>
      <c r="L1242" s="67">
        <v>4014000</v>
      </c>
      <c r="M1242" s="67">
        <v>0</v>
      </c>
      <c r="N1242" s="68">
        <f t="shared" si="82"/>
        <v>4014000</v>
      </c>
      <c r="O1242" s="69">
        <f t="shared" si="81"/>
        <v>4014000</v>
      </c>
      <c r="P1242" s="42" t="str">
        <f>IFERROR(VLOOKUP(J1242,'Mã NV'!$B:$C,2,0),"")</f>
        <v>XE00779</v>
      </c>
      <c r="Q1242" s="70" t="str">
        <f>IFERROR(VLOOKUP(I1242,'Mã NV'!$J:$K,2,0),"")</f>
        <v>15T</v>
      </c>
      <c r="S1242" s="44">
        <f t="shared" si="80"/>
        <v>602100</v>
      </c>
    </row>
    <row r="1243" customHeight="1" spans="1:19">
      <c r="A1243" s="63">
        <f t="shared" si="83"/>
        <v>1237</v>
      </c>
      <c r="B1243" s="64">
        <v>46147</v>
      </c>
      <c r="C1243" s="65"/>
      <c r="D1243" s="66" t="s">
        <v>33</v>
      </c>
      <c r="E1243" s="66" t="s">
        <v>33</v>
      </c>
      <c r="F1243" s="66" t="s">
        <v>985</v>
      </c>
      <c r="G1243" s="66" t="s">
        <v>750</v>
      </c>
      <c r="H1243" s="66" t="s">
        <v>1029</v>
      </c>
      <c r="I1243" s="66" t="s">
        <v>81</v>
      </c>
      <c r="J1243" s="66" t="s">
        <v>79</v>
      </c>
      <c r="K1243" s="66" t="s">
        <v>747</v>
      </c>
      <c r="L1243" s="67">
        <v>2037105</v>
      </c>
      <c r="M1243" s="67">
        <v>0</v>
      </c>
      <c r="N1243" s="68">
        <f t="shared" si="82"/>
        <v>2037105</v>
      </c>
      <c r="O1243" s="69">
        <f t="shared" si="81"/>
        <v>2037105</v>
      </c>
      <c r="P1243" s="42" t="str">
        <f>IFERROR(VLOOKUP(J1243,'Mã NV'!$B:$C,2,0),"")</f>
        <v>XE00777</v>
      </c>
      <c r="Q1243" s="70" t="str">
        <f>IFERROR(VLOOKUP(I1243,'Mã NV'!$J:$K,2,0),"")</f>
        <v>6.5T</v>
      </c>
      <c r="S1243" s="44">
        <f t="shared" si="80"/>
        <v>305565.75</v>
      </c>
    </row>
    <row r="1244" customHeight="1" spans="1:19">
      <c r="A1244" s="63">
        <f t="shared" si="83"/>
        <v>1238</v>
      </c>
      <c r="B1244" s="64">
        <v>46147</v>
      </c>
      <c r="C1244" s="65"/>
      <c r="D1244" s="66" t="s">
        <v>33</v>
      </c>
      <c r="E1244" s="66" t="s">
        <v>33</v>
      </c>
      <c r="F1244" s="66" t="s">
        <v>985</v>
      </c>
      <c r="G1244" s="66" t="s">
        <v>750</v>
      </c>
      <c r="H1244" s="66" t="s">
        <v>1031</v>
      </c>
      <c r="I1244" s="66" t="s">
        <v>81</v>
      </c>
      <c r="J1244" s="66" t="s">
        <v>79</v>
      </c>
      <c r="K1244" s="66" t="s">
        <v>747</v>
      </c>
      <c r="L1244" s="67">
        <v>1627677</v>
      </c>
      <c r="M1244" s="67">
        <v>0</v>
      </c>
      <c r="N1244" s="68">
        <f t="shared" si="82"/>
        <v>1627677</v>
      </c>
      <c r="O1244" s="69">
        <f t="shared" si="81"/>
        <v>1627677</v>
      </c>
      <c r="P1244" s="42" t="str">
        <f>IFERROR(VLOOKUP(J1244,'Mã NV'!$B:$C,2,0),"")</f>
        <v>XE00777</v>
      </c>
      <c r="Q1244" s="70" t="str">
        <f>IFERROR(VLOOKUP(I1244,'Mã NV'!$J:$K,2,0),"")</f>
        <v>6.5T</v>
      </c>
      <c r="S1244" s="44">
        <f t="shared" si="80"/>
        <v>244151.55</v>
      </c>
    </row>
    <row r="1245" customHeight="1" spans="1:19">
      <c r="A1245" s="63">
        <f t="shared" si="83"/>
        <v>1239</v>
      </c>
      <c r="B1245" s="64">
        <v>46147</v>
      </c>
      <c r="C1245" s="65"/>
      <c r="D1245" s="66" t="s">
        <v>33</v>
      </c>
      <c r="E1245" s="66" t="s">
        <v>33</v>
      </c>
      <c r="F1245" s="66" t="s">
        <v>985</v>
      </c>
      <c r="G1245" s="66" t="s">
        <v>750</v>
      </c>
      <c r="H1245" s="66" t="s">
        <v>1030</v>
      </c>
      <c r="I1245" s="66" t="s">
        <v>81</v>
      </c>
      <c r="J1245" s="66" t="s">
        <v>79</v>
      </c>
      <c r="K1245" s="66" t="s">
        <v>747</v>
      </c>
      <c r="L1245" s="67">
        <v>1194165</v>
      </c>
      <c r="M1245" s="67">
        <v>0</v>
      </c>
      <c r="N1245" s="68">
        <f t="shared" si="82"/>
        <v>1194165</v>
      </c>
      <c r="O1245" s="69">
        <f t="shared" si="81"/>
        <v>1194165</v>
      </c>
      <c r="P1245" s="42" t="str">
        <f>IFERROR(VLOOKUP(J1245,'Mã NV'!$B:$C,2,0),"")</f>
        <v>XE00777</v>
      </c>
      <c r="Q1245" s="70" t="str">
        <f>IFERROR(VLOOKUP(I1245,'Mã NV'!$J:$K,2,0),"")</f>
        <v>6.5T</v>
      </c>
      <c r="S1245" s="44">
        <f t="shared" si="80"/>
        <v>179124.75</v>
      </c>
    </row>
    <row r="1246" customHeight="1" spans="1:19">
      <c r="A1246" s="63">
        <f t="shared" si="83"/>
        <v>1240</v>
      </c>
      <c r="B1246" s="64">
        <v>46147</v>
      </c>
      <c r="C1246" s="65"/>
      <c r="D1246" s="66" t="s">
        <v>33</v>
      </c>
      <c r="E1246" s="66" t="s">
        <v>33</v>
      </c>
      <c r="F1246" s="66" t="s">
        <v>985</v>
      </c>
      <c r="G1246" s="66" t="s">
        <v>750</v>
      </c>
      <c r="H1246" s="66" t="s">
        <v>1032</v>
      </c>
      <c r="I1246" s="66" t="s">
        <v>127</v>
      </c>
      <c r="J1246" s="66" t="s">
        <v>125</v>
      </c>
      <c r="K1246" s="66" t="s">
        <v>747</v>
      </c>
      <c r="L1246" s="67">
        <v>886187</v>
      </c>
      <c r="M1246" s="67">
        <v>0</v>
      </c>
      <c r="N1246" s="68">
        <f t="shared" si="82"/>
        <v>886187</v>
      </c>
      <c r="O1246" s="69">
        <f t="shared" si="81"/>
        <v>886187</v>
      </c>
      <c r="P1246" s="42" t="str">
        <f>IFERROR(VLOOKUP(J1246,'Mã NV'!$B:$C,2,0),"")</f>
        <v>XE00547</v>
      </c>
      <c r="Q1246" s="70" t="str">
        <f>IFERROR(VLOOKUP(I1246,'Mã NV'!$J:$K,2,0),"")</f>
        <v>8T</v>
      </c>
      <c r="S1246" s="44">
        <f t="shared" si="80"/>
        <v>132928.05</v>
      </c>
    </row>
    <row r="1247" customHeight="1" spans="1:19">
      <c r="A1247" s="63">
        <f t="shared" si="83"/>
        <v>1241</v>
      </c>
      <c r="B1247" s="64">
        <v>46147</v>
      </c>
      <c r="C1247" s="65"/>
      <c r="D1247" s="66" t="s">
        <v>33</v>
      </c>
      <c r="E1247" s="66" t="s">
        <v>33</v>
      </c>
      <c r="F1247" s="66" t="s">
        <v>985</v>
      </c>
      <c r="G1247" s="66" t="s">
        <v>750</v>
      </c>
      <c r="H1247" s="66" t="s">
        <v>1032</v>
      </c>
      <c r="I1247" s="66" t="s">
        <v>127</v>
      </c>
      <c r="J1247" s="66" t="s">
        <v>125</v>
      </c>
      <c r="K1247" s="66" t="s">
        <v>747</v>
      </c>
      <c r="L1247" s="67">
        <v>4295700</v>
      </c>
      <c r="M1247" s="67">
        <v>0</v>
      </c>
      <c r="N1247" s="68">
        <f t="shared" si="82"/>
        <v>4295700</v>
      </c>
      <c r="O1247" s="69">
        <f t="shared" si="81"/>
        <v>4295700</v>
      </c>
      <c r="P1247" s="42" t="str">
        <f>IFERROR(VLOOKUP(J1247,'Mã NV'!$B:$C,2,0),"")</f>
        <v>XE00547</v>
      </c>
      <c r="Q1247" s="70" t="str">
        <f>IFERROR(VLOOKUP(I1247,'Mã NV'!$J:$K,2,0),"")</f>
        <v>8T</v>
      </c>
      <c r="S1247" s="44">
        <f t="shared" si="80"/>
        <v>644355</v>
      </c>
    </row>
    <row r="1248" customHeight="1" spans="1:19">
      <c r="A1248" s="63">
        <f t="shared" si="83"/>
        <v>1242</v>
      </c>
      <c r="B1248" s="64">
        <v>46147</v>
      </c>
      <c r="C1248" s="65"/>
      <c r="D1248" s="66" t="s">
        <v>33</v>
      </c>
      <c r="E1248" s="66" t="s">
        <v>33</v>
      </c>
      <c r="F1248" s="66" t="s">
        <v>985</v>
      </c>
      <c r="G1248" s="66" t="s">
        <v>750</v>
      </c>
      <c r="H1248" s="66" t="s">
        <v>1024</v>
      </c>
      <c r="I1248" s="66" t="s">
        <v>164</v>
      </c>
      <c r="J1248" s="66" t="s">
        <v>217</v>
      </c>
      <c r="K1248" s="66" t="s">
        <v>747</v>
      </c>
      <c r="L1248" s="67">
        <v>1504357</v>
      </c>
      <c r="M1248" s="67">
        <v>0</v>
      </c>
      <c r="N1248" s="68">
        <f t="shared" si="82"/>
        <v>1504357</v>
      </c>
      <c r="O1248" s="69">
        <f t="shared" si="81"/>
        <v>1504357</v>
      </c>
      <c r="P1248" s="42" t="str">
        <f>IFERROR(VLOOKUP(J1248,'Mã NV'!$B:$C,2,0),"")</f>
        <v>XE01004</v>
      </c>
      <c r="Q1248" s="70" t="str">
        <f>IFERROR(VLOOKUP(I1248,'Mã NV'!$J:$K,2,0),"")</f>
        <v>6.5T</v>
      </c>
      <c r="S1248" s="44">
        <f t="shared" si="80"/>
        <v>225653.55</v>
      </c>
    </row>
    <row r="1249" customHeight="1" spans="1:19">
      <c r="A1249" s="63">
        <f t="shared" si="83"/>
        <v>1243</v>
      </c>
      <c r="B1249" s="64">
        <v>46147</v>
      </c>
      <c r="C1249" s="65"/>
      <c r="D1249" s="66" t="s">
        <v>33</v>
      </c>
      <c r="E1249" s="66" t="s">
        <v>33</v>
      </c>
      <c r="F1249" s="66" t="s">
        <v>985</v>
      </c>
      <c r="G1249" s="66" t="s">
        <v>750</v>
      </c>
      <c r="H1249" s="66" t="s">
        <v>1033</v>
      </c>
      <c r="I1249" s="66" t="s">
        <v>164</v>
      </c>
      <c r="J1249" s="66" t="s">
        <v>217</v>
      </c>
      <c r="K1249" s="66" t="s">
        <v>747</v>
      </c>
      <c r="L1249" s="67">
        <v>1878855</v>
      </c>
      <c r="M1249" s="67">
        <v>0</v>
      </c>
      <c r="N1249" s="68">
        <f t="shared" si="82"/>
        <v>1878855</v>
      </c>
      <c r="O1249" s="69">
        <f t="shared" si="81"/>
        <v>1878855</v>
      </c>
      <c r="P1249" s="42" t="str">
        <f>IFERROR(VLOOKUP(J1249,'Mã NV'!$B:$C,2,0),"")</f>
        <v>XE01004</v>
      </c>
      <c r="Q1249" s="70" t="str">
        <f>IFERROR(VLOOKUP(I1249,'Mã NV'!$J:$K,2,0),"")</f>
        <v>6.5T</v>
      </c>
      <c r="S1249" s="44">
        <f t="shared" si="80"/>
        <v>281828.25</v>
      </c>
    </row>
    <row r="1250" customHeight="1" spans="1:19">
      <c r="A1250" s="63">
        <f t="shared" si="83"/>
        <v>1244</v>
      </c>
      <c r="B1250" s="64">
        <v>46147</v>
      </c>
      <c r="C1250" s="65"/>
      <c r="D1250" s="66" t="s">
        <v>33</v>
      </c>
      <c r="E1250" s="66" t="s">
        <v>33</v>
      </c>
      <c r="F1250" s="66" t="s">
        <v>985</v>
      </c>
      <c r="G1250" s="66" t="s">
        <v>750</v>
      </c>
      <c r="H1250" s="66" t="s">
        <v>1015</v>
      </c>
      <c r="I1250" s="66" t="s">
        <v>326</v>
      </c>
      <c r="J1250" s="66" t="s">
        <v>324</v>
      </c>
      <c r="K1250" s="66" t="s">
        <v>747</v>
      </c>
      <c r="L1250" s="67">
        <v>3790640</v>
      </c>
      <c r="M1250" s="67">
        <v>0</v>
      </c>
      <c r="N1250" s="68">
        <f t="shared" si="82"/>
        <v>3790640</v>
      </c>
      <c r="O1250" s="69">
        <f t="shared" si="81"/>
        <v>3790640</v>
      </c>
      <c r="P1250" s="42" t="str">
        <f>IFERROR(VLOOKUP(J1250,'Mã NV'!$B:$C,2,0),"")</f>
        <v>XE01620</v>
      </c>
      <c r="Q1250" s="70" t="str">
        <f>IFERROR(VLOOKUP(I1250,'Mã NV'!$J:$K,2,0),"")</f>
        <v>2T5</v>
      </c>
      <c r="S1250" s="44">
        <f t="shared" si="80"/>
        <v>568596</v>
      </c>
    </row>
    <row r="1251" customHeight="1" spans="1:19">
      <c r="A1251" s="63">
        <f t="shared" si="83"/>
        <v>1245</v>
      </c>
      <c r="B1251" s="64">
        <v>46148</v>
      </c>
      <c r="C1251" s="65"/>
      <c r="D1251" s="66" t="s">
        <v>33</v>
      </c>
      <c r="E1251" s="66" t="s">
        <v>33</v>
      </c>
      <c r="F1251" s="66" t="s">
        <v>985</v>
      </c>
      <c r="G1251" s="66" t="s">
        <v>750</v>
      </c>
      <c r="H1251" s="66" t="s">
        <v>1034</v>
      </c>
      <c r="I1251" s="66" t="s">
        <v>180</v>
      </c>
      <c r="J1251" s="66" t="s">
        <v>201</v>
      </c>
      <c r="K1251" s="66" t="s">
        <v>747</v>
      </c>
      <c r="L1251" s="67">
        <v>18702000</v>
      </c>
      <c r="M1251" s="67">
        <v>0</v>
      </c>
      <c r="N1251" s="68">
        <f t="shared" si="82"/>
        <v>18702000</v>
      </c>
      <c r="O1251" s="69">
        <f t="shared" si="81"/>
        <v>18702000</v>
      </c>
      <c r="P1251" s="42" t="str">
        <f>IFERROR(VLOOKUP(J1251,'Mã NV'!$B:$C,2,0),"")</f>
        <v>XE01308</v>
      </c>
      <c r="Q1251" s="70" t="str">
        <f>IFERROR(VLOOKUP(I1251,'Mã NV'!$J:$K,2,0),"")</f>
        <v>Cont 50F</v>
      </c>
      <c r="S1251" s="44">
        <f t="shared" si="80"/>
        <v>2805300</v>
      </c>
    </row>
    <row r="1252" customHeight="1" spans="1:19">
      <c r="A1252" s="63">
        <f t="shared" si="83"/>
        <v>1246</v>
      </c>
      <c r="B1252" s="64">
        <v>46148</v>
      </c>
      <c r="C1252" s="65"/>
      <c r="D1252" s="66" t="s">
        <v>33</v>
      </c>
      <c r="E1252" s="66" t="s">
        <v>33</v>
      </c>
      <c r="F1252" s="66" t="s">
        <v>985</v>
      </c>
      <c r="G1252" s="66" t="s">
        <v>750</v>
      </c>
      <c r="H1252" s="66" t="s">
        <v>1034</v>
      </c>
      <c r="I1252" s="66" t="s">
        <v>180</v>
      </c>
      <c r="J1252" s="66" t="s">
        <v>178</v>
      </c>
      <c r="K1252" s="66" t="s">
        <v>747</v>
      </c>
      <c r="L1252" s="67">
        <v>18702000</v>
      </c>
      <c r="M1252" s="67">
        <v>0</v>
      </c>
      <c r="N1252" s="68">
        <f t="shared" si="82"/>
        <v>18702000</v>
      </c>
      <c r="O1252" s="69">
        <f t="shared" si="81"/>
        <v>18702000</v>
      </c>
      <c r="P1252" s="42" t="str">
        <f>IFERROR(VLOOKUP(J1252,'Mã NV'!$B:$C,2,0),"")</f>
        <v>XE00952</v>
      </c>
      <c r="Q1252" s="70" t="str">
        <f>IFERROR(VLOOKUP(I1252,'Mã NV'!$J:$K,2,0),"")</f>
        <v>Cont 50F</v>
      </c>
      <c r="S1252" s="44">
        <f t="shared" si="80"/>
        <v>2805300</v>
      </c>
    </row>
    <row r="1253" customHeight="1" spans="1:19">
      <c r="A1253" s="63">
        <f t="shared" si="83"/>
        <v>1247</v>
      </c>
      <c r="B1253" s="64">
        <v>46148</v>
      </c>
      <c r="C1253" s="65"/>
      <c r="D1253" s="66" t="s">
        <v>33</v>
      </c>
      <c r="E1253" s="66" t="s">
        <v>33</v>
      </c>
      <c r="F1253" s="66" t="s">
        <v>985</v>
      </c>
      <c r="G1253" s="66" t="s">
        <v>750</v>
      </c>
      <c r="H1253" s="66" t="s">
        <v>1034</v>
      </c>
      <c r="I1253" s="66" t="s">
        <v>29</v>
      </c>
      <c r="J1253" s="66" t="s">
        <v>27</v>
      </c>
      <c r="K1253" s="66" t="s">
        <v>747</v>
      </c>
      <c r="L1253" s="67">
        <v>19693206</v>
      </c>
      <c r="M1253" s="67">
        <v>0</v>
      </c>
      <c r="N1253" s="68">
        <f t="shared" si="82"/>
        <v>19693206</v>
      </c>
      <c r="O1253" s="69">
        <f t="shared" si="81"/>
        <v>19693206</v>
      </c>
      <c r="P1253" s="42" t="str">
        <f>IFERROR(VLOOKUP(J1253,'Mã NV'!$B:$C,2,0),"")</f>
        <v>XE00991</v>
      </c>
      <c r="Q1253" s="70" t="str">
        <f>IFERROR(VLOOKUP(I1253,'Mã NV'!$J:$K,2,0),"")</f>
        <v>Cont 50F</v>
      </c>
      <c r="S1253" s="44">
        <f t="shared" si="80"/>
        <v>2953980.9</v>
      </c>
    </row>
    <row r="1254" customHeight="1" spans="1:19">
      <c r="A1254" s="63">
        <f t="shared" si="83"/>
        <v>1248</v>
      </c>
      <c r="B1254" s="64">
        <v>46148</v>
      </c>
      <c r="C1254" s="65"/>
      <c r="D1254" s="66" t="s">
        <v>33</v>
      </c>
      <c r="E1254" s="66" t="s">
        <v>33</v>
      </c>
      <c r="F1254" s="66" t="s">
        <v>985</v>
      </c>
      <c r="G1254" s="66" t="s">
        <v>750</v>
      </c>
      <c r="H1254" s="66" t="s">
        <v>1034</v>
      </c>
      <c r="I1254" s="66" t="s">
        <v>29</v>
      </c>
      <c r="J1254" s="66" t="s">
        <v>185</v>
      </c>
      <c r="K1254" s="66" t="s">
        <v>747</v>
      </c>
      <c r="L1254" s="67">
        <v>19693206</v>
      </c>
      <c r="M1254" s="67">
        <v>0</v>
      </c>
      <c r="N1254" s="68">
        <f t="shared" si="82"/>
        <v>19693206</v>
      </c>
      <c r="O1254" s="69">
        <f t="shared" si="81"/>
        <v>19693206</v>
      </c>
      <c r="P1254" s="42" t="str">
        <f>IFERROR(VLOOKUP(J1254,'Mã NV'!$B:$C,2,0),"")</f>
        <v>XE00854</v>
      </c>
      <c r="Q1254" s="70" t="str">
        <f>IFERROR(VLOOKUP(I1254,'Mã NV'!$J:$K,2,0),"")</f>
        <v>Cont 50F</v>
      </c>
      <c r="S1254" s="44">
        <f t="shared" si="80"/>
        <v>2953980.9</v>
      </c>
    </row>
    <row r="1255" customHeight="1" spans="1:19">
      <c r="A1255" s="63">
        <f t="shared" si="83"/>
        <v>1249</v>
      </c>
      <c r="B1255" s="64">
        <v>46148</v>
      </c>
      <c r="C1255" s="65"/>
      <c r="D1255" s="66" t="s">
        <v>33</v>
      </c>
      <c r="E1255" s="66" t="s">
        <v>33</v>
      </c>
      <c r="F1255" s="66" t="s">
        <v>985</v>
      </c>
      <c r="G1255" s="66" t="s">
        <v>750</v>
      </c>
      <c r="H1255" s="66" t="s">
        <v>1035</v>
      </c>
      <c r="I1255" s="66" t="s">
        <v>403</v>
      </c>
      <c r="J1255" s="66" t="s">
        <v>401</v>
      </c>
      <c r="K1255" s="66" t="s">
        <v>747</v>
      </c>
      <c r="L1255" s="67">
        <v>1071530</v>
      </c>
      <c r="M1255" s="67">
        <v>0</v>
      </c>
      <c r="N1255" s="68">
        <f t="shared" si="82"/>
        <v>1071530</v>
      </c>
      <c r="O1255" s="69">
        <f t="shared" si="81"/>
        <v>1071530</v>
      </c>
      <c r="P1255" s="42" t="str">
        <f>IFERROR(VLOOKUP(J1255,'Mã NV'!$B:$C,2,0),"")</f>
        <v>XE01466</v>
      </c>
      <c r="Q1255" s="70" t="str">
        <f>IFERROR(VLOOKUP(I1255,'Mã NV'!$J:$K,2,0),"")</f>
        <v>3.5T</v>
      </c>
      <c r="S1255" s="44">
        <f t="shared" si="80"/>
        <v>160729.5</v>
      </c>
    </row>
    <row r="1256" customHeight="1" spans="1:19">
      <c r="A1256" s="63">
        <f t="shared" si="83"/>
        <v>1250</v>
      </c>
      <c r="B1256" s="64">
        <v>46148</v>
      </c>
      <c r="C1256" s="65"/>
      <c r="D1256" s="66" t="s">
        <v>33</v>
      </c>
      <c r="E1256" s="66" t="s">
        <v>33</v>
      </c>
      <c r="F1256" s="66" t="s">
        <v>985</v>
      </c>
      <c r="G1256" s="66" t="s">
        <v>750</v>
      </c>
      <c r="H1256" s="66" t="s">
        <v>1036</v>
      </c>
      <c r="I1256" s="66" t="s">
        <v>403</v>
      </c>
      <c r="J1256" s="66" t="s">
        <v>401</v>
      </c>
      <c r="K1256" s="66" t="s">
        <v>747</v>
      </c>
      <c r="L1256" s="67">
        <v>789052</v>
      </c>
      <c r="M1256" s="67">
        <v>0</v>
      </c>
      <c r="N1256" s="68">
        <f t="shared" si="82"/>
        <v>789052</v>
      </c>
      <c r="O1256" s="69">
        <f t="shared" si="81"/>
        <v>789052</v>
      </c>
      <c r="P1256" s="42" t="str">
        <f>IFERROR(VLOOKUP(J1256,'Mã NV'!$B:$C,2,0),"")</f>
        <v>XE01466</v>
      </c>
      <c r="Q1256" s="70" t="str">
        <f>IFERROR(VLOOKUP(I1256,'Mã NV'!$J:$K,2,0),"")</f>
        <v>3.5T</v>
      </c>
      <c r="S1256" s="44">
        <f t="shared" si="80"/>
        <v>118357.8</v>
      </c>
    </row>
    <row r="1257" customHeight="1" spans="1:19">
      <c r="A1257" s="63">
        <f t="shared" si="83"/>
        <v>1251</v>
      </c>
      <c r="B1257" s="64">
        <v>46149</v>
      </c>
      <c r="C1257" s="65"/>
      <c r="D1257" s="66" t="s">
        <v>33</v>
      </c>
      <c r="E1257" s="66" t="s">
        <v>33</v>
      </c>
      <c r="F1257" s="66" t="s">
        <v>985</v>
      </c>
      <c r="G1257" s="66" t="s">
        <v>750</v>
      </c>
      <c r="H1257" s="66" t="s">
        <v>1024</v>
      </c>
      <c r="I1257" s="66" t="s">
        <v>48</v>
      </c>
      <c r="J1257" s="66" t="s">
        <v>162</v>
      </c>
      <c r="K1257" s="66" t="s">
        <v>747</v>
      </c>
      <c r="L1257" s="67">
        <v>138120</v>
      </c>
      <c r="M1257" s="67">
        <v>0</v>
      </c>
      <c r="N1257" s="68">
        <f t="shared" si="82"/>
        <v>138120</v>
      </c>
      <c r="O1257" s="69">
        <f t="shared" si="81"/>
        <v>138120</v>
      </c>
      <c r="P1257" s="42" t="str">
        <f>IFERROR(VLOOKUP(J1257,'Mã NV'!$B:$C,2,0),"")</f>
        <v>XE00779</v>
      </c>
      <c r="Q1257" s="70" t="str">
        <f>IFERROR(VLOOKUP(I1257,'Mã NV'!$J:$K,2,0),"")</f>
        <v>6.5T</v>
      </c>
      <c r="S1257" s="44">
        <f t="shared" si="80"/>
        <v>20718</v>
      </c>
    </row>
    <row r="1258" customHeight="1" spans="1:19">
      <c r="A1258" s="63">
        <f t="shared" si="83"/>
        <v>1252</v>
      </c>
      <c r="B1258" s="64">
        <v>46149</v>
      </c>
      <c r="C1258" s="65"/>
      <c r="D1258" s="66" t="s">
        <v>33</v>
      </c>
      <c r="E1258" s="66" t="s">
        <v>33</v>
      </c>
      <c r="F1258" s="66" t="s">
        <v>985</v>
      </c>
      <c r="G1258" s="66" t="s">
        <v>750</v>
      </c>
      <c r="H1258" s="66" t="s">
        <v>1024</v>
      </c>
      <c r="I1258" s="66" t="s">
        <v>326</v>
      </c>
      <c r="J1258" s="66" t="s">
        <v>347</v>
      </c>
      <c r="K1258" s="66" t="s">
        <v>747</v>
      </c>
      <c r="L1258" s="67">
        <v>2014250</v>
      </c>
      <c r="M1258" s="67">
        <v>0</v>
      </c>
      <c r="N1258" s="68">
        <f t="shared" si="82"/>
        <v>2014250</v>
      </c>
      <c r="O1258" s="69">
        <f t="shared" si="81"/>
        <v>2014250</v>
      </c>
      <c r="P1258" s="42" t="str">
        <f>IFERROR(VLOOKUP(J1258,'Mã NV'!$B:$C,2,0),"")</f>
        <v>XE01653</v>
      </c>
      <c r="Q1258" s="70" t="str">
        <f>IFERROR(VLOOKUP(I1258,'Mã NV'!$J:$K,2,0),"")</f>
        <v>2T5</v>
      </c>
      <c r="S1258" s="44">
        <f t="shared" ref="S1258:S1321" si="84">L1258*15%</f>
        <v>302137.5</v>
      </c>
    </row>
    <row r="1259" customHeight="1" spans="1:19">
      <c r="A1259" s="63">
        <f t="shared" si="83"/>
        <v>1253</v>
      </c>
      <c r="B1259" s="64">
        <v>46149</v>
      </c>
      <c r="C1259" s="65"/>
      <c r="D1259" s="66" t="s">
        <v>33</v>
      </c>
      <c r="E1259" s="66" t="s">
        <v>33</v>
      </c>
      <c r="F1259" s="66" t="s">
        <v>985</v>
      </c>
      <c r="G1259" s="66" t="s">
        <v>750</v>
      </c>
      <c r="H1259" s="66" t="s">
        <v>1032</v>
      </c>
      <c r="I1259" s="66" t="s">
        <v>326</v>
      </c>
      <c r="J1259" s="66" t="s">
        <v>347</v>
      </c>
      <c r="K1259" s="66" t="s">
        <v>747</v>
      </c>
      <c r="L1259" s="67">
        <v>1113700</v>
      </c>
      <c r="M1259" s="67">
        <v>0</v>
      </c>
      <c r="N1259" s="68">
        <f t="shared" si="82"/>
        <v>1113700</v>
      </c>
      <c r="O1259" s="69">
        <f t="shared" si="81"/>
        <v>1113700</v>
      </c>
      <c r="P1259" s="42" t="str">
        <f>IFERROR(VLOOKUP(J1259,'Mã NV'!$B:$C,2,0),"")</f>
        <v>XE01653</v>
      </c>
      <c r="Q1259" s="70" t="str">
        <f>IFERROR(VLOOKUP(I1259,'Mã NV'!$J:$K,2,0),"")</f>
        <v>2T5</v>
      </c>
      <c r="S1259" s="44">
        <f t="shared" si="84"/>
        <v>167055</v>
      </c>
    </row>
    <row r="1260" customHeight="1" spans="1:19">
      <c r="A1260" s="63">
        <f t="shared" si="83"/>
        <v>1254</v>
      </c>
      <c r="B1260" s="64">
        <v>46149</v>
      </c>
      <c r="C1260" s="65"/>
      <c r="D1260" s="66" t="s">
        <v>33</v>
      </c>
      <c r="E1260" s="66" t="s">
        <v>33</v>
      </c>
      <c r="F1260" s="66" t="s">
        <v>985</v>
      </c>
      <c r="G1260" s="66" t="s">
        <v>750</v>
      </c>
      <c r="H1260" s="66" t="s">
        <v>1007</v>
      </c>
      <c r="I1260" s="66" t="s">
        <v>136</v>
      </c>
      <c r="J1260" s="66" t="s">
        <v>361</v>
      </c>
      <c r="K1260" s="66" t="s">
        <v>747</v>
      </c>
      <c r="L1260" s="67">
        <v>324542</v>
      </c>
      <c r="M1260" s="67">
        <v>0</v>
      </c>
      <c r="N1260" s="68">
        <f t="shared" si="82"/>
        <v>324542</v>
      </c>
      <c r="O1260" s="69">
        <f t="shared" si="81"/>
        <v>324542</v>
      </c>
      <c r="P1260" s="42" t="str">
        <f>IFERROR(VLOOKUP(J1260,'Mã NV'!$B:$C,2,0),"")</f>
        <v>XE01641</v>
      </c>
      <c r="Q1260" s="70" t="str">
        <f>IFERROR(VLOOKUP(I1260,'Mã NV'!$J:$K,2,0),"")</f>
        <v>6.5T</v>
      </c>
      <c r="S1260" s="44">
        <f t="shared" si="84"/>
        <v>48681.3</v>
      </c>
    </row>
    <row r="1261" customHeight="1" spans="1:19">
      <c r="A1261" s="63">
        <f t="shared" si="83"/>
        <v>1255</v>
      </c>
      <c r="B1261" s="64">
        <v>46149</v>
      </c>
      <c r="C1261" s="65"/>
      <c r="D1261" s="66" t="s">
        <v>33</v>
      </c>
      <c r="E1261" s="66" t="s">
        <v>33</v>
      </c>
      <c r="F1261" s="66" t="s">
        <v>985</v>
      </c>
      <c r="G1261" s="66" t="s">
        <v>750</v>
      </c>
      <c r="H1261" s="66" t="s">
        <v>1007</v>
      </c>
      <c r="I1261" s="66" t="s">
        <v>136</v>
      </c>
      <c r="J1261" s="66" t="s">
        <v>361</v>
      </c>
      <c r="K1261" s="66" t="s">
        <v>747</v>
      </c>
      <c r="L1261" s="67">
        <v>2653100</v>
      </c>
      <c r="M1261" s="67">
        <v>0</v>
      </c>
      <c r="N1261" s="68">
        <f t="shared" si="82"/>
        <v>2653100</v>
      </c>
      <c r="O1261" s="69">
        <f t="shared" si="81"/>
        <v>2653100</v>
      </c>
      <c r="P1261" s="42" t="str">
        <f>IFERROR(VLOOKUP(J1261,'Mã NV'!$B:$C,2,0),"")</f>
        <v>XE01641</v>
      </c>
      <c r="Q1261" s="70" t="str">
        <f>IFERROR(VLOOKUP(I1261,'Mã NV'!$J:$K,2,0),"")</f>
        <v>6.5T</v>
      </c>
      <c r="S1261" s="44">
        <f t="shared" si="84"/>
        <v>397965</v>
      </c>
    </row>
    <row r="1262" customHeight="1" spans="1:19">
      <c r="A1262" s="63">
        <f t="shared" si="83"/>
        <v>1256</v>
      </c>
      <c r="B1262" s="64">
        <v>46149</v>
      </c>
      <c r="C1262" s="65"/>
      <c r="D1262" s="66" t="s">
        <v>33</v>
      </c>
      <c r="E1262" s="66" t="s">
        <v>33</v>
      </c>
      <c r="F1262" s="66" t="s">
        <v>985</v>
      </c>
      <c r="G1262" s="66" t="s">
        <v>750</v>
      </c>
      <c r="H1262" s="66" t="s">
        <v>1022</v>
      </c>
      <c r="I1262" s="66" t="s">
        <v>191</v>
      </c>
      <c r="J1262" s="66" t="s">
        <v>189</v>
      </c>
      <c r="K1262" s="66" t="s">
        <v>747</v>
      </c>
      <c r="L1262" s="67">
        <v>188496</v>
      </c>
      <c r="M1262" s="67">
        <v>0</v>
      </c>
      <c r="N1262" s="68">
        <f t="shared" si="82"/>
        <v>188496</v>
      </c>
      <c r="O1262" s="69">
        <f t="shared" si="81"/>
        <v>188496</v>
      </c>
      <c r="P1262" s="42" t="str">
        <f>IFERROR(VLOOKUP(J1262,'Mã NV'!$B:$C,2,0),"")</f>
        <v>XE00891</v>
      </c>
      <c r="Q1262" s="70" t="str">
        <f>IFERROR(VLOOKUP(I1262,'Mã NV'!$J:$K,2,0),"")</f>
        <v>8T</v>
      </c>
      <c r="S1262" s="44">
        <f t="shared" si="84"/>
        <v>28274.4</v>
      </c>
    </row>
    <row r="1263" customHeight="1" spans="1:19">
      <c r="A1263" s="63">
        <f t="shared" si="83"/>
        <v>1257</v>
      </c>
      <c r="B1263" s="64">
        <v>46149</v>
      </c>
      <c r="C1263" s="65"/>
      <c r="D1263" s="66" t="s">
        <v>33</v>
      </c>
      <c r="E1263" s="66" t="s">
        <v>33</v>
      </c>
      <c r="F1263" s="66" t="s">
        <v>985</v>
      </c>
      <c r="G1263" s="66" t="s">
        <v>750</v>
      </c>
      <c r="H1263" s="66" t="s">
        <v>1022</v>
      </c>
      <c r="I1263" s="66" t="s">
        <v>191</v>
      </c>
      <c r="J1263" s="66" t="s">
        <v>189</v>
      </c>
      <c r="K1263" s="66" t="s">
        <v>747</v>
      </c>
      <c r="L1263" s="67">
        <v>1683000</v>
      </c>
      <c r="M1263" s="67">
        <v>0</v>
      </c>
      <c r="N1263" s="68">
        <f t="shared" si="82"/>
        <v>1683000</v>
      </c>
      <c r="O1263" s="69">
        <f t="shared" si="81"/>
        <v>1683000</v>
      </c>
      <c r="P1263" s="42" t="str">
        <f>IFERROR(VLOOKUP(J1263,'Mã NV'!$B:$C,2,0),"")</f>
        <v>XE00891</v>
      </c>
      <c r="Q1263" s="70" t="str">
        <f>IFERROR(VLOOKUP(I1263,'Mã NV'!$J:$K,2,0),"")</f>
        <v>8T</v>
      </c>
      <c r="S1263" s="44">
        <f t="shared" si="84"/>
        <v>252450</v>
      </c>
    </row>
    <row r="1264" customHeight="1" spans="1:19">
      <c r="A1264" s="63">
        <f t="shared" si="83"/>
        <v>1258</v>
      </c>
      <c r="B1264" s="64">
        <v>46149</v>
      </c>
      <c r="C1264" s="65"/>
      <c r="D1264" s="66" t="s">
        <v>33</v>
      </c>
      <c r="E1264" s="66" t="s">
        <v>33</v>
      </c>
      <c r="F1264" s="66" t="s">
        <v>985</v>
      </c>
      <c r="G1264" s="66" t="s">
        <v>750</v>
      </c>
      <c r="H1264" s="66" t="s">
        <v>1018</v>
      </c>
      <c r="I1264" s="66" t="s">
        <v>191</v>
      </c>
      <c r="J1264" s="66" t="s">
        <v>189</v>
      </c>
      <c r="K1264" s="66" t="s">
        <v>747</v>
      </c>
      <c r="L1264" s="67">
        <v>604197</v>
      </c>
      <c r="M1264" s="67">
        <v>0</v>
      </c>
      <c r="N1264" s="68">
        <f t="shared" si="82"/>
        <v>604197</v>
      </c>
      <c r="O1264" s="69">
        <f t="shared" si="81"/>
        <v>604197</v>
      </c>
      <c r="P1264" s="42" t="str">
        <f>IFERROR(VLOOKUP(J1264,'Mã NV'!$B:$C,2,0),"")</f>
        <v>XE00891</v>
      </c>
      <c r="Q1264" s="70" t="str">
        <f>IFERROR(VLOOKUP(I1264,'Mã NV'!$J:$K,2,0),"")</f>
        <v>8T</v>
      </c>
      <c r="S1264" s="44">
        <f t="shared" si="84"/>
        <v>90629.55</v>
      </c>
    </row>
    <row r="1265" customHeight="1" spans="1:19">
      <c r="A1265" s="63">
        <f t="shared" si="83"/>
        <v>1259</v>
      </c>
      <c r="B1265" s="64">
        <v>46149</v>
      </c>
      <c r="C1265" s="65"/>
      <c r="D1265" s="66" t="s">
        <v>33</v>
      </c>
      <c r="E1265" s="66" t="s">
        <v>33</v>
      </c>
      <c r="F1265" s="66" t="s">
        <v>985</v>
      </c>
      <c r="G1265" s="66" t="s">
        <v>750</v>
      </c>
      <c r="H1265" s="66" t="s">
        <v>1018</v>
      </c>
      <c r="I1265" s="66" t="s">
        <v>191</v>
      </c>
      <c r="J1265" s="66" t="s">
        <v>189</v>
      </c>
      <c r="K1265" s="66" t="s">
        <v>747</v>
      </c>
      <c r="L1265" s="67">
        <v>2524500</v>
      </c>
      <c r="M1265" s="67">
        <v>0</v>
      </c>
      <c r="N1265" s="68">
        <f t="shared" si="82"/>
        <v>2524500</v>
      </c>
      <c r="O1265" s="69">
        <f t="shared" ref="O1265:O1328" si="85">N1265/$P$1</f>
        <v>2524500</v>
      </c>
      <c r="P1265" s="42" t="str">
        <f>IFERROR(VLOOKUP(J1265,'Mã NV'!$B:$C,2,0),"")</f>
        <v>XE00891</v>
      </c>
      <c r="Q1265" s="70" t="str">
        <f>IFERROR(VLOOKUP(I1265,'Mã NV'!$J:$K,2,0),"")</f>
        <v>8T</v>
      </c>
      <c r="S1265" s="44">
        <f t="shared" si="84"/>
        <v>378675</v>
      </c>
    </row>
    <row r="1266" customHeight="1" spans="1:19">
      <c r="A1266" s="63">
        <f t="shared" si="83"/>
        <v>1260</v>
      </c>
      <c r="B1266" s="64">
        <v>46149</v>
      </c>
      <c r="C1266" s="65"/>
      <c r="D1266" s="66" t="s">
        <v>33</v>
      </c>
      <c r="E1266" s="66" t="s">
        <v>33</v>
      </c>
      <c r="F1266" s="66" t="s">
        <v>985</v>
      </c>
      <c r="G1266" s="66" t="s">
        <v>750</v>
      </c>
      <c r="H1266" s="66" t="s">
        <v>1032</v>
      </c>
      <c r="I1266" s="66" t="s">
        <v>326</v>
      </c>
      <c r="J1266" s="66" t="s">
        <v>347</v>
      </c>
      <c r="K1266" s="66" t="s">
        <v>747</v>
      </c>
      <c r="L1266" s="67">
        <v>79550</v>
      </c>
      <c r="M1266" s="67">
        <v>0</v>
      </c>
      <c r="N1266" s="68">
        <f t="shared" ref="N1266:N1329" si="86">L1266-M1266</f>
        <v>79550</v>
      </c>
      <c r="O1266" s="69">
        <f t="shared" si="85"/>
        <v>79550</v>
      </c>
      <c r="P1266" s="42" t="str">
        <f>IFERROR(VLOOKUP(J1266,'Mã NV'!$B:$C,2,0),"")</f>
        <v>XE01653</v>
      </c>
      <c r="Q1266" s="70" t="str">
        <f>IFERROR(VLOOKUP(I1266,'Mã NV'!$J:$K,2,0),"")</f>
        <v>2T5</v>
      </c>
      <c r="S1266" s="44">
        <f t="shared" si="84"/>
        <v>11932.5</v>
      </c>
    </row>
    <row r="1267" customHeight="1" spans="1:19">
      <c r="A1267" s="63">
        <f t="shared" si="83"/>
        <v>1261</v>
      </c>
      <c r="B1267" s="64">
        <v>46149</v>
      </c>
      <c r="C1267" s="65"/>
      <c r="D1267" s="66" t="s">
        <v>33</v>
      </c>
      <c r="E1267" s="66" t="s">
        <v>33</v>
      </c>
      <c r="F1267" s="66" t="s">
        <v>985</v>
      </c>
      <c r="G1267" s="66" t="s">
        <v>750</v>
      </c>
      <c r="H1267" s="66" t="s">
        <v>1032</v>
      </c>
      <c r="I1267" s="66" t="s">
        <v>326</v>
      </c>
      <c r="J1267" s="66" t="s">
        <v>347</v>
      </c>
      <c r="K1267" s="66" t="s">
        <v>747</v>
      </c>
      <c r="L1267" s="67">
        <v>31820</v>
      </c>
      <c r="M1267" s="67">
        <v>0</v>
      </c>
      <c r="N1267" s="68">
        <f t="shared" si="86"/>
        <v>31820</v>
      </c>
      <c r="O1267" s="69">
        <f t="shared" si="85"/>
        <v>31820</v>
      </c>
      <c r="P1267" s="42" t="str">
        <f>IFERROR(VLOOKUP(J1267,'Mã NV'!$B:$C,2,0),"")</f>
        <v>XE01653</v>
      </c>
      <c r="Q1267" s="70" t="str">
        <f>IFERROR(VLOOKUP(I1267,'Mã NV'!$J:$K,2,0),"")</f>
        <v>2T5</v>
      </c>
      <c r="S1267" s="44">
        <f t="shared" si="84"/>
        <v>4773</v>
      </c>
    </row>
    <row r="1268" customHeight="1" spans="1:19">
      <c r="A1268" s="63">
        <f t="shared" si="83"/>
        <v>1262</v>
      </c>
      <c r="B1268" s="64">
        <v>46149</v>
      </c>
      <c r="C1268" s="65"/>
      <c r="D1268" s="66" t="s">
        <v>33</v>
      </c>
      <c r="E1268" s="66" t="s">
        <v>33</v>
      </c>
      <c r="F1268" s="66" t="s">
        <v>985</v>
      </c>
      <c r="G1268" s="66" t="s">
        <v>750</v>
      </c>
      <c r="H1268" s="66" t="s">
        <v>1022</v>
      </c>
      <c r="I1268" s="66" t="s">
        <v>191</v>
      </c>
      <c r="J1268" s="66" t="s">
        <v>189</v>
      </c>
      <c r="K1268" s="66" t="s">
        <v>747</v>
      </c>
      <c r="L1268" s="67">
        <v>252450</v>
      </c>
      <c r="M1268" s="67">
        <v>0</v>
      </c>
      <c r="N1268" s="68">
        <f t="shared" si="86"/>
        <v>252450</v>
      </c>
      <c r="O1268" s="69">
        <f t="shared" si="85"/>
        <v>252450</v>
      </c>
      <c r="P1268" s="42" t="str">
        <f>IFERROR(VLOOKUP(J1268,'Mã NV'!$B:$C,2,0),"")</f>
        <v>XE00891</v>
      </c>
      <c r="Q1268" s="70" t="str">
        <f>IFERROR(VLOOKUP(I1268,'Mã NV'!$J:$K,2,0),"")</f>
        <v>8T</v>
      </c>
      <c r="S1268" s="44">
        <f t="shared" si="84"/>
        <v>37867.5</v>
      </c>
    </row>
    <row r="1269" customHeight="1" spans="1:19">
      <c r="A1269" s="63">
        <f t="shared" si="83"/>
        <v>1263</v>
      </c>
      <c r="B1269" s="64">
        <v>46150</v>
      </c>
      <c r="C1269" s="65"/>
      <c r="D1269" s="66" t="s">
        <v>33</v>
      </c>
      <c r="E1269" s="66" t="s">
        <v>33</v>
      </c>
      <c r="F1269" s="66" t="s">
        <v>985</v>
      </c>
      <c r="G1269" s="66" t="s">
        <v>750</v>
      </c>
      <c r="H1269" s="66" t="s">
        <v>1037</v>
      </c>
      <c r="I1269" s="66" t="s">
        <v>134</v>
      </c>
      <c r="J1269" s="66" t="s">
        <v>359</v>
      </c>
      <c r="K1269" s="66" t="s">
        <v>747</v>
      </c>
      <c r="L1269" s="67">
        <v>839150</v>
      </c>
      <c r="M1269" s="67">
        <v>0</v>
      </c>
      <c r="N1269" s="68">
        <f t="shared" si="86"/>
        <v>839150</v>
      </c>
      <c r="O1269" s="69">
        <f t="shared" si="85"/>
        <v>839150</v>
      </c>
      <c r="P1269" s="42" t="str">
        <f>IFERROR(VLOOKUP(J1269,'Mã NV'!$B:$C,2,0),"")</f>
        <v>XE01639</v>
      </c>
      <c r="Q1269" s="70" t="str">
        <f>IFERROR(VLOOKUP(I1269,'Mã NV'!$J:$K,2,0),"")</f>
        <v>2.5T Lạnh</v>
      </c>
      <c r="S1269" s="44">
        <f t="shared" si="84"/>
        <v>125872.5</v>
      </c>
    </row>
    <row r="1270" customHeight="1" spans="1:19">
      <c r="A1270" s="63">
        <f t="shared" si="83"/>
        <v>1264</v>
      </c>
      <c r="B1270" s="64">
        <v>46150</v>
      </c>
      <c r="C1270" s="65"/>
      <c r="D1270" s="66" t="s">
        <v>33</v>
      </c>
      <c r="E1270" s="66" t="s">
        <v>33</v>
      </c>
      <c r="F1270" s="66" t="s">
        <v>985</v>
      </c>
      <c r="G1270" s="66" t="s">
        <v>750</v>
      </c>
      <c r="H1270" s="66" t="s">
        <v>1011</v>
      </c>
      <c r="I1270" s="66" t="s">
        <v>164</v>
      </c>
      <c r="J1270" s="66" t="s">
        <v>217</v>
      </c>
      <c r="K1270" s="66" t="s">
        <v>747</v>
      </c>
      <c r="L1270" s="67">
        <v>1505108</v>
      </c>
      <c r="M1270" s="67">
        <v>0</v>
      </c>
      <c r="N1270" s="68">
        <f t="shared" si="86"/>
        <v>1505108</v>
      </c>
      <c r="O1270" s="69">
        <f t="shared" si="85"/>
        <v>1505108</v>
      </c>
      <c r="P1270" s="42" t="str">
        <f>IFERROR(VLOOKUP(J1270,'Mã NV'!$B:$C,2,0),"")</f>
        <v>XE01004</v>
      </c>
      <c r="Q1270" s="70" t="str">
        <f>IFERROR(VLOOKUP(I1270,'Mã NV'!$J:$K,2,0),"")</f>
        <v>6.5T</v>
      </c>
      <c r="S1270" s="44">
        <f t="shared" si="84"/>
        <v>225766.2</v>
      </c>
    </row>
    <row r="1271" customHeight="1" spans="1:19">
      <c r="A1271" s="63">
        <f t="shared" si="83"/>
        <v>1265</v>
      </c>
      <c r="B1271" s="64">
        <v>46150</v>
      </c>
      <c r="C1271" s="65"/>
      <c r="D1271" s="66" t="s">
        <v>33</v>
      </c>
      <c r="E1271" s="66" t="s">
        <v>33</v>
      </c>
      <c r="F1271" s="66" t="s">
        <v>985</v>
      </c>
      <c r="G1271" s="66" t="s">
        <v>750</v>
      </c>
      <c r="H1271" s="66" t="s">
        <v>1011</v>
      </c>
      <c r="I1271" s="66" t="s">
        <v>164</v>
      </c>
      <c r="J1271" s="66" t="s">
        <v>217</v>
      </c>
      <c r="K1271" s="66" t="s">
        <v>747</v>
      </c>
      <c r="L1271" s="67">
        <v>651750</v>
      </c>
      <c r="M1271" s="67">
        <v>0</v>
      </c>
      <c r="N1271" s="68">
        <f t="shared" si="86"/>
        <v>651750</v>
      </c>
      <c r="O1271" s="69">
        <f t="shared" si="85"/>
        <v>651750</v>
      </c>
      <c r="P1271" s="42" t="str">
        <f>IFERROR(VLOOKUP(J1271,'Mã NV'!$B:$C,2,0),"")</f>
        <v>XE01004</v>
      </c>
      <c r="Q1271" s="70" t="str">
        <f>IFERROR(VLOOKUP(I1271,'Mã NV'!$J:$K,2,0),"")</f>
        <v>6.5T</v>
      </c>
      <c r="S1271" s="44">
        <f t="shared" si="84"/>
        <v>97762.5</v>
      </c>
    </row>
    <row r="1272" customHeight="1" spans="1:19">
      <c r="A1272" s="63">
        <f t="shared" si="83"/>
        <v>1266</v>
      </c>
      <c r="B1272" s="64">
        <v>46150</v>
      </c>
      <c r="C1272" s="65"/>
      <c r="D1272" s="66" t="s">
        <v>33</v>
      </c>
      <c r="E1272" s="66" t="s">
        <v>33</v>
      </c>
      <c r="F1272" s="66" t="s">
        <v>985</v>
      </c>
      <c r="G1272" s="66" t="s">
        <v>750</v>
      </c>
      <c r="H1272" s="66" t="s">
        <v>1011</v>
      </c>
      <c r="I1272" s="66" t="s">
        <v>164</v>
      </c>
      <c r="J1272" s="66" t="s">
        <v>217</v>
      </c>
      <c r="K1272" s="66" t="s">
        <v>747</v>
      </c>
      <c r="L1272" s="67">
        <v>1390400</v>
      </c>
      <c r="M1272" s="67">
        <v>0</v>
      </c>
      <c r="N1272" s="68">
        <f t="shared" si="86"/>
        <v>1390400</v>
      </c>
      <c r="O1272" s="69">
        <f t="shared" si="85"/>
        <v>1390400</v>
      </c>
      <c r="P1272" s="42" t="str">
        <f>IFERROR(VLOOKUP(J1272,'Mã NV'!$B:$C,2,0),"")</f>
        <v>XE01004</v>
      </c>
      <c r="Q1272" s="70" t="str">
        <f>IFERROR(VLOOKUP(I1272,'Mã NV'!$J:$K,2,0),"")</f>
        <v>6.5T</v>
      </c>
      <c r="S1272" s="44">
        <f t="shared" si="84"/>
        <v>208560</v>
      </c>
    </row>
    <row r="1273" customHeight="1" spans="1:19">
      <c r="A1273" s="63">
        <f t="shared" si="83"/>
        <v>1267</v>
      </c>
      <c r="B1273" s="64">
        <v>46150</v>
      </c>
      <c r="C1273" s="65"/>
      <c r="D1273" s="66" t="s">
        <v>33</v>
      </c>
      <c r="E1273" s="66" t="s">
        <v>33</v>
      </c>
      <c r="F1273" s="66" t="s">
        <v>985</v>
      </c>
      <c r="G1273" s="66" t="s">
        <v>750</v>
      </c>
      <c r="H1273" s="66" t="s">
        <v>1017</v>
      </c>
      <c r="I1273" s="66" t="s">
        <v>52</v>
      </c>
      <c r="J1273" s="66" t="s">
        <v>128</v>
      </c>
      <c r="K1273" s="66" t="s">
        <v>747</v>
      </c>
      <c r="L1273" s="67">
        <v>315704</v>
      </c>
      <c r="M1273" s="67">
        <v>0</v>
      </c>
      <c r="N1273" s="68">
        <f t="shared" si="86"/>
        <v>315704</v>
      </c>
      <c r="O1273" s="69">
        <f t="shared" si="85"/>
        <v>315704</v>
      </c>
      <c r="P1273" s="42" t="str">
        <f>IFERROR(VLOOKUP(J1273,'Mã NV'!$B:$C,2,0),"")</f>
        <v>XE00953</v>
      </c>
      <c r="Q1273" s="70" t="str">
        <f>IFERROR(VLOOKUP(I1273,'Mã NV'!$J:$K,2,0),"")</f>
        <v>8T</v>
      </c>
      <c r="S1273" s="44">
        <f t="shared" si="84"/>
        <v>47355.6</v>
      </c>
    </row>
    <row r="1274" customHeight="1" spans="1:19">
      <c r="A1274" s="63">
        <f t="shared" si="83"/>
        <v>1268</v>
      </c>
      <c r="B1274" s="64">
        <v>46150</v>
      </c>
      <c r="C1274" s="65"/>
      <c r="D1274" s="66" t="s">
        <v>33</v>
      </c>
      <c r="E1274" s="66" t="s">
        <v>33</v>
      </c>
      <c r="F1274" s="66" t="s">
        <v>985</v>
      </c>
      <c r="G1274" s="66" t="s">
        <v>750</v>
      </c>
      <c r="H1274" s="66" t="s">
        <v>1017</v>
      </c>
      <c r="I1274" s="66" t="s">
        <v>52</v>
      </c>
      <c r="J1274" s="66" t="s">
        <v>128</v>
      </c>
      <c r="K1274" s="66" t="s">
        <v>747</v>
      </c>
      <c r="L1274" s="67">
        <v>1089650</v>
      </c>
      <c r="M1274" s="67">
        <v>0</v>
      </c>
      <c r="N1274" s="68">
        <f t="shared" si="86"/>
        <v>1089650</v>
      </c>
      <c r="O1274" s="69">
        <f t="shared" si="85"/>
        <v>1089650</v>
      </c>
      <c r="P1274" s="42" t="str">
        <f>IFERROR(VLOOKUP(J1274,'Mã NV'!$B:$C,2,0),"")</f>
        <v>XE00953</v>
      </c>
      <c r="Q1274" s="70" t="str">
        <f>IFERROR(VLOOKUP(I1274,'Mã NV'!$J:$K,2,0),"")</f>
        <v>8T</v>
      </c>
      <c r="S1274" s="44">
        <f t="shared" si="84"/>
        <v>163447.5</v>
      </c>
    </row>
    <row r="1275" customHeight="1" spans="1:19">
      <c r="A1275" s="63">
        <f t="shared" si="83"/>
        <v>1269</v>
      </c>
      <c r="B1275" s="64">
        <v>46150</v>
      </c>
      <c r="C1275" s="65"/>
      <c r="D1275" s="66" t="s">
        <v>33</v>
      </c>
      <c r="E1275" s="66" t="s">
        <v>33</v>
      </c>
      <c r="F1275" s="66" t="s">
        <v>985</v>
      </c>
      <c r="G1275" s="66" t="s">
        <v>750</v>
      </c>
      <c r="H1275" s="66" t="s">
        <v>1020</v>
      </c>
      <c r="I1275" s="66" t="s">
        <v>52</v>
      </c>
      <c r="J1275" s="66" t="s">
        <v>128</v>
      </c>
      <c r="K1275" s="66" t="s">
        <v>747</v>
      </c>
      <c r="L1275" s="67">
        <v>289788</v>
      </c>
      <c r="M1275" s="67">
        <v>0</v>
      </c>
      <c r="N1275" s="68">
        <f t="shared" si="86"/>
        <v>289788</v>
      </c>
      <c r="O1275" s="69">
        <f t="shared" si="85"/>
        <v>289788</v>
      </c>
      <c r="P1275" s="42" t="str">
        <f>IFERROR(VLOOKUP(J1275,'Mã NV'!$B:$C,2,0),"")</f>
        <v>XE00953</v>
      </c>
      <c r="Q1275" s="70" t="str">
        <f>IFERROR(VLOOKUP(I1275,'Mã NV'!$J:$K,2,0),"")</f>
        <v>8T</v>
      </c>
      <c r="S1275" s="44">
        <f t="shared" si="84"/>
        <v>43468.2</v>
      </c>
    </row>
    <row r="1276" customHeight="1" spans="1:19">
      <c r="A1276" s="63">
        <f t="shared" si="83"/>
        <v>1270</v>
      </c>
      <c r="B1276" s="64">
        <v>46150</v>
      </c>
      <c r="C1276" s="65"/>
      <c r="D1276" s="66" t="s">
        <v>33</v>
      </c>
      <c r="E1276" s="66" t="s">
        <v>33</v>
      </c>
      <c r="F1276" s="66" t="s">
        <v>985</v>
      </c>
      <c r="G1276" s="66" t="s">
        <v>750</v>
      </c>
      <c r="H1276" s="66" t="s">
        <v>1020</v>
      </c>
      <c r="I1276" s="66" t="s">
        <v>52</v>
      </c>
      <c r="J1276" s="66" t="s">
        <v>128</v>
      </c>
      <c r="K1276" s="66" t="s">
        <v>747</v>
      </c>
      <c r="L1276" s="67">
        <v>2532700</v>
      </c>
      <c r="M1276" s="67">
        <v>0</v>
      </c>
      <c r="N1276" s="68">
        <f t="shared" si="86"/>
        <v>2532700</v>
      </c>
      <c r="O1276" s="69">
        <f t="shared" si="85"/>
        <v>2532700</v>
      </c>
      <c r="P1276" s="42" t="str">
        <f>IFERROR(VLOOKUP(J1276,'Mã NV'!$B:$C,2,0),"")</f>
        <v>XE00953</v>
      </c>
      <c r="Q1276" s="70" t="str">
        <f>IFERROR(VLOOKUP(I1276,'Mã NV'!$J:$K,2,0),"")</f>
        <v>8T</v>
      </c>
      <c r="S1276" s="44">
        <f t="shared" si="84"/>
        <v>379905</v>
      </c>
    </row>
    <row r="1277" customHeight="1" spans="1:19">
      <c r="A1277" s="63">
        <f t="shared" si="83"/>
        <v>1271</v>
      </c>
      <c r="B1277" s="64">
        <v>46150</v>
      </c>
      <c r="C1277" s="65"/>
      <c r="D1277" s="66" t="s">
        <v>33</v>
      </c>
      <c r="E1277" s="66" t="s">
        <v>33</v>
      </c>
      <c r="F1277" s="66" t="s">
        <v>985</v>
      </c>
      <c r="G1277" s="66" t="s">
        <v>750</v>
      </c>
      <c r="H1277" s="66" t="s">
        <v>1032</v>
      </c>
      <c r="I1277" s="66" t="s">
        <v>191</v>
      </c>
      <c r="J1277" s="66" t="s">
        <v>189</v>
      </c>
      <c r="K1277" s="66" t="s">
        <v>747</v>
      </c>
      <c r="L1277" s="67">
        <v>4804820</v>
      </c>
      <c r="M1277" s="67">
        <v>0</v>
      </c>
      <c r="N1277" s="68">
        <f t="shared" si="86"/>
        <v>4804820</v>
      </c>
      <c r="O1277" s="69">
        <f t="shared" si="85"/>
        <v>4804820</v>
      </c>
      <c r="P1277" s="42" t="str">
        <f>IFERROR(VLOOKUP(J1277,'Mã NV'!$B:$C,2,0),"")</f>
        <v>XE00891</v>
      </c>
      <c r="Q1277" s="70" t="str">
        <f>IFERROR(VLOOKUP(I1277,'Mã NV'!$J:$K,2,0),"")</f>
        <v>8T</v>
      </c>
      <c r="S1277" s="44">
        <f t="shared" si="84"/>
        <v>720723</v>
      </c>
    </row>
    <row r="1278" customHeight="1" spans="1:19">
      <c r="A1278" s="63">
        <f t="shared" si="83"/>
        <v>1272</v>
      </c>
      <c r="B1278" s="64">
        <v>46150</v>
      </c>
      <c r="C1278" s="65"/>
      <c r="D1278" s="66" t="s">
        <v>33</v>
      </c>
      <c r="E1278" s="66" t="s">
        <v>33</v>
      </c>
      <c r="F1278" s="66" t="s">
        <v>985</v>
      </c>
      <c r="G1278" s="66" t="s">
        <v>750</v>
      </c>
      <c r="H1278" s="66" t="s">
        <v>1003</v>
      </c>
      <c r="I1278" s="66" t="s">
        <v>133</v>
      </c>
      <c r="J1278" s="66" t="s">
        <v>343</v>
      </c>
      <c r="K1278" s="66" t="s">
        <v>747</v>
      </c>
      <c r="L1278" s="67">
        <v>453530</v>
      </c>
      <c r="M1278" s="67">
        <v>0</v>
      </c>
      <c r="N1278" s="68">
        <f t="shared" si="86"/>
        <v>453530</v>
      </c>
      <c r="O1278" s="69">
        <f t="shared" si="85"/>
        <v>453530</v>
      </c>
      <c r="P1278" s="42" t="str">
        <f>IFERROR(VLOOKUP(J1278,'Mã NV'!$B:$C,2,0),"")</f>
        <v>XE01615</v>
      </c>
      <c r="Q1278" s="70" t="str">
        <f>IFERROR(VLOOKUP(I1278,'Mã NV'!$J:$K,2,0),"")</f>
        <v>2.5T</v>
      </c>
      <c r="S1278" s="44">
        <f t="shared" si="84"/>
        <v>68029.5</v>
      </c>
    </row>
    <row r="1279" customHeight="1" spans="1:19">
      <c r="A1279" s="63">
        <f t="shared" si="83"/>
        <v>1273</v>
      </c>
      <c r="B1279" s="64">
        <v>46150</v>
      </c>
      <c r="C1279" s="65"/>
      <c r="D1279" s="66" t="s">
        <v>33</v>
      </c>
      <c r="E1279" s="66" t="s">
        <v>33</v>
      </c>
      <c r="F1279" s="66" t="s">
        <v>985</v>
      </c>
      <c r="G1279" s="66" t="s">
        <v>750</v>
      </c>
      <c r="H1279" s="66" t="s">
        <v>1005</v>
      </c>
      <c r="I1279" s="66" t="s">
        <v>133</v>
      </c>
      <c r="J1279" s="66" t="s">
        <v>343</v>
      </c>
      <c r="K1279" s="66" t="s">
        <v>747</v>
      </c>
      <c r="L1279" s="67">
        <v>649638</v>
      </c>
      <c r="M1279" s="67">
        <v>0</v>
      </c>
      <c r="N1279" s="68">
        <f t="shared" si="86"/>
        <v>649638</v>
      </c>
      <c r="O1279" s="69">
        <f t="shared" si="85"/>
        <v>649638</v>
      </c>
      <c r="P1279" s="42" t="str">
        <f>IFERROR(VLOOKUP(J1279,'Mã NV'!$B:$C,2,0),"")</f>
        <v>XE01615</v>
      </c>
      <c r="Q1279" s="70" t="str">
        <f>IFERROR(VLOOKUP(I1279,'Mã NV'!$J:$K,2,0),"")</f>
        <v>2.5T</v>
      </c>
      <c r="S1279" s="44">
        <f t="shared" si="84"/>
        <v>97445.7</v>
      </c>
    </row>
    <row r="1280" customHeight="1" spans="1:19">
      <c r="A1280" s="63">
        <f t="shared" si="83"/>
        <v>1274</v>
      </c>
      <c r="B1280" s="64">
        <v>46150</v>
      </c>
      <c r="C1280" s="65"/>
      <c r="D1280" s="66" t="s">
        <v>33</v>
      </c>
      <c r="E1280" s="66" t="s">
        <v>33</v>
      </c>
      <c r="F1280" s="66" t="s">
        <v>985</v>
      </c>
      <c r="G1280" s="66" t="s">
        <v>750</v>
      </c>
      <c r="H1280" s="66" t="s">
        <v>1035</v>
      </c>
      <c r="I1280" s="66" t="s">
        <v>326</v>
      </c>
      <c r="J1280" s="66" t="s">
        <v>343</v>
      </c>
      <c r="K1280" s="66" t="s">
        <v>747</v>
      </c>
      <c r="L1280" s="67">
        <v>68423</v>
      </c>
      <c r="M1280" s="67">
        <v>0</v>
      </c>
      <c r="N1280" s="68">
        <f t="shared" si="86"/>
        <v>68423</v>
      </c>
      <c r="O1280" s="69">
        <f t="shared" si="85"/>
        <v>68423</v>
      </c>
      <c r="P1280" s="42" t="str">
        <f>IFERROR(VLOOKUP(J1280,'Mã NV'!$B:$C,2,0),"")</f>
        <v>XE01615</v>
      </c>
      <c r="Q1280" s="70" t="str">
        <f>IFERROR(VLOOKUP(I1280,'Mã NV'!$J:$K,2,0),"")</f>
        <v>2T5</v>
      </c>
      <c r="S1280" s="44">
        <f t="shared" si="84"/>
        <v>10263.45</v>
      </c>
    </row>
    <row r="1281" customHeight="1" spans="1:19">
      <c r="A1281" s="63">
        <f t="shared" si="83"/>
        <v>1275</v>
      </c>
      <c r="B1281" s="64">
        <v>46150</v>
      </c>
      <c r="C1281" s="65"/>
      <c r="D1281" s="66" t="s">
        <v>33</v>
      </c>
      <c r="E1281" s="66" t="s">
        <v>33</v>
      </c>
      <c r="F1281" s="66" t="s">
        <v>985</v>
      </c>
      <c r="G1281" s="66" t="s">
        <v>750</v>
      </c>
      <c r="H1281" s="66" t="s">
        <v>1035</v>
      </c>
      <c r="I1281" s="66" t="s">
        <v>326</v>
      </c>
      <c r="J1281" s="66" t="s">
        <v>343</v>
      </c>
      <c r="K1281" s="66" t="s">
        <v>747</v>
      </c>
      <c r="L1281" s="67">
        <v>1129625</v>
      </c>
      <c r="M1281" s="67">
        <v>0</v>
      </c>
      <c r="N1281" s="68">
        <f t="shared" si="86"/>
        <v>1129625</v>
      </c>
      <c r="O1281" s="69">
        <f t="shared" si="85"/>
        <v>1129625</v>
      </c>
      <c r="P1281" s="42" t="str">
        <f>IFERROR(VLOOKUP(J1281,'Mã NV'!$B:$C,2,0),"")</f>
        <v>XE01615</v>
      </c>
      <c r="Q1281" s="70" t="str">
        <f>IFERROR(VLOOKUP(I1281,'Mã NV'!$J:$K,2,0),"")</f>
        <v>2T5</v>
      </c>
      <c r="S1281" s="44">
        <f t="shared" si="84"/>
        <v>169443.75</v>
      </c>
    </row>
    <row r="1282" customHeight="1" spans="1:19">
      <c r="A1282" s="63">
        <f t="shared" si="83"/>
        <v>1276</v>
      </c>
      <c r="B1282" s="64">
        <v>46150</v>
      </c>
      <c r="C1282" s="65"/>
      <c r="D1282" s="66" t="s">
        <v>33</v>
      </c>
      <c r="E1282" s="66" t="s">
        <v>33</v>
      </c>
      <c r="F1282" s="66" t="s">
        <v>985</v>
      </c>
      <c r="G1282" s="66" t="s">
        <v>750</v>
      </c>
      <c r="H1282" s="66" t="s">
        <v>1017</v>
      </c>
      <c r="I1282" s="66" t="s">
        <v>52</v>
      </c>
      <c r="J1282" s="66" t="s">
        <v>343</v>
      </c>
      <c r="K1282" s="66" t="s">
        <v>747</v>
      </c>
      <c r="L1282" s="67">
        <v>58900</v>
      </c>
      <c r="M1282" s="67">
        <v>0</v>
      </c>
      <c r="N1282" s="68">
        <f t="shared" si="86"/>
        <v>58900</v>
      </c>
      <c r="O1282" s="69">
        <f t="shared" si="85"/>
        <v>58900</v>
      </c>
      <c r="P1282" s="42" t="str">
        <f>IFERROR(VLOOKUP(J1282,'Mã NV'!$B:$C,2,0),"")</f>
        <v>XE01615</v>
      </c>
      <c r="Q1282" s="70" t="str">
        <f>IFERROR(VLOOKUP(I1282,'Mã NV'!$J:$K,2,0),"")</f>
        <v>8T</v>
      </c>
      <c r="S1282" s="44">
        <f t="shared" si="84"/>
        <v>8835</v>
      </c>
    </row>
    <row r="1283" customHeight="1" spans="1:19">
      <c r="A1283" s="63">
        <f t="shared" si="83"/>
        <v>1277</v>
      </c>
      <c r="B1283" s="64">
        <v>46150</v>
      </c>
      <c r="C1283" s="65"/>
      <c r="D1283" s="66" t="s">
        <v>33</v>
      </c>
      <c r="E1283" s="66" t="s">
        <v>33</v>
      </c>
      <c r="F1283" s="66" t="s">
        <v>985</v>
      </c>
      <c r="G1283" s="66" t="s">
        <v>750</v>
      </c>
      <c r="H1283" s="66" t="s">
        <v>1005</v>
      </c>
      <c r="I1283" s="66" t="s">
        <v>133</v>
      </c>
      <c r="J1283" s="66" t="s">
        <v>343</v>
      </c>
      <c r="K1283" s="66" t="s">
        <v>747</v>
      </c>
      <c r="L1283" s="67">
        <v>33660</v>
      </c>
      <c r="M1283" s="67">
        <v>0</v>
      </c>
      <c r="N1283" s="68">
        <f t="shared" si="86"/>
        <v>33660</v>
      </c>
      <c r="O1283" s="69">
        <f t="shared" si="85"/>
        <v>33660</v>
      </c>
      <c r="P1283" s="42" t="str">
        <f>IFERROR(VLOOKUP(J1283,'Mã NV'!$B:$C,2,0),"")</f>
        <v>XE01615</v>
      </c>
      <c r="Q1283" s="70" t="str">
        <f>IFERROR(VLOOKUP(I1283,'Mã NV'!$J:$K,2,0),"")</f>
        <v>2.5T</v>
      </c>
      <c r="S1283" s="44">
        <f t="shared" si="84"/>
        <v>5049</v>
      </c>
    </row>
    <row r="1284" customHeight="1" spans="1:19">
      <c r="A1284" s="63">
        <f t="shared" si="83"/>
        <v>1278</v>
      </c>
      <c r="B1284" s="64">
        <v>46151</v>
      </c>
      <c r="C1284" s="65"/>
      <c r="D1284" s="66" t="s">
        <v>33</v>
      </c>
      <c r="E1284" s="66" t="s">
        <v>33</v>
      </c>
      <c r="F1284" s="66" t="s">
        <v>985</v>
      </c>
      <c r="G1284" s="66" t="s">
        <v>750</v>
      </c>
      <c r="H1284" s="66" t="s">
        <v>1008</v>
      </c>
      <c r="I1284" s="66" t="s">
        <v>84</v>
      </c>
      <c r="J1284" s="66" t="s">
        <v>82</v>
      </c>
      <c r="K1284" s="66" t="s">
        <v>747</v>
      </c>
      <c r="L1284" s="67">
        <v>358800</v>
      </c>
      <c r="M1284" s="67">
        <v>0</v>
      </c>
      <c r="N1284" s="68">
        <f t="shared" si="86"/>
        <v>358800</v>
      </c>
      <c r="O1284" s="69">
        <f t="shared" si="85"/>
        <v>358800</v>
      </c>
      <c r="P1284" s="42" t="str">
        <f>IFERROR(VLOOKUP(J1284,'Mã NV'!$B:$C,2,0),"")</f>
        <v>XE00832</v>
      </c>
      <c r="Q1284" s="70" t="str">
        <f>IFERROR(VLOOKUP(I1284,'Mã NV'!$J:$K,2,0),"")</f>
        <v>6.5T</v>
      </c>
      <c r="S1284" s="44">
        <f t="shared" si="84"/>
        <v>53820</v>
      </c>
    </row>
    <row r="1285" customHeight="1" spans="1:19">
      <c r="A1285" s="63">
        <f t="shared" si="83"/>
        <v>1279</v>
      </c>
      <c r="B1285" s="64">
        <v>46151</v>
      </c>
      <c r="C1285" s="65"/>
      <c r="D1285" s="66" t="s">
        <v>33</v>
      </c>
      <c r="E1285" s="66" t="s">
        <v>33</v>
      </c>
      <c r="F1285" s="66" t="s">
        <v>985</v>
      </c>
      <c r="G1285" s="66" t="s">
        <v>750</v>
      </c>
      <c r="H1285" s="66" t="s">
        <v>1008</v>
      </c>
      <c r="I1285" s="66" t="s">
        <v>84</v>
      </c>
      <c r="J1285" s="66" t="s">
        <v>82</v>
      </c>
      <c r="K1285" s="66" t="s">
        <v>747</v>
      </c>
      <c r="L1285" s="67">
        <v>13455</v>
      </c>
      <c r="M1285" s="67">
        <v>0</v>
      </c>
      <c r="N1285" s="68">
        <f t="shared" si="86"/>
        <v>13455</v>
      </c>
      <c r="O1285" s="69">
        <f t="shared" si="85"/>
        <v>13455</v>
      </c>
      <c r="P1285" s="42" t="str">
        <f>IFERROR(VLOOKUP(J1285,'Mã NV'!$B:$C,2,0),"")</f>
        <v>XE00832</v>
      </c>
      <c r="Q1285" s="70" t="str">
        <f>IFERROR(VLOOKUP(I1285,'Mã NV'!$J:$K,2,0),"")</f>
        <v>6.5T</v>
      </c>
      <c r="S1285" s="44">
        <f t="shared" si="84"/>
        <v>2018.25</v>
      </c>
    </row>
    <row r="1286" customHeight="1" spans="1:19">
      <c r="A1286" s="63">
        <f t="shared" si="83"/>
        <v>1280</v>
      </c>
      <c r="B1286" s="64">
        <v>46151</v>
      </c>
      <c r="C1286" s="65"/>
      <c r="D1286" s="66" t="s">
        <v>33</v>
      </c>
      <c r="E1286" s="66" t="s">
        <v>33</v>
      </c>
      <c r="F1286" s="66" t="s">
        <v>985</v>
      </c>
      <c r="G1286" s="66" t="s">
        <v>750</v>
      </c>
      <c r="H1286" s="66" t="s">
        <v>1008</v>
      </c>
      <c r="I1286" s="66" t="s">
        <v>84</v>
      </c>
      <c r="J1286" s="66" t="s">
        <v>82</v>
      </c>
      <c r="K1286" s="66" t="s">
        <v>747</v>
      </c>
      <c r="L1286" s="67">
        <v>897000</v>
      </c>
      <c r="M1286" s="67">
        <v>0</v>
      </c>
      <c r="N1286" s="68">
        <f t="shared" si="86"/>
        <v>897000</v>
      </c>
      <c r="O1286" s="69">
        <f t="shared" si="85"/>
        <v>897000</v>
      </c>
      <c r="P1286" s="42" t="str">
        <f>IFERROR(VLOOKUP(J1286,'Mã NV'!$B:$C,2,0),"")</f>
        <v>XE00832</v>
      </c>
      <c r="Q1286" s="70" t="str">
        <f>IFERROR(VLOOKUP(I1286,'Mã NV'!$J:$K,2,0),"")</f>
        <v>6.5T</v>
      </c>
      <c r="S1286" s="44">
        <f t="shared" si="84"/>
        <v>134550</v>
      </c>
    </row>
    <row r="1287" customHeight="1" spans="1:19">
      <c r="A1287" s="63">
        <f t="shared" si="83"/>
        <v>1281</v>
      </c>
      <c r="B1287" s="64">
        <v>46151</v>
      </c>
      <c r="C1287" s="65"/>
      <c r="D1287" s="66" t="s">
        <v>33</v>
      </c>
      <c r="E1287" s="66" t="s">
        <v>33</v>
      </c>
      <c r="F1287" s="66" t="s">
        <v>985</v>
      </c>
      <c r="G1287" s="66" t="s">
        <v>750</v>
      </c>
      <c r="H1287" s="66" t="s">
        <v>1020</v>
      </c>
      <c r="I1287" s="66" t="s">
        <v>81</v>
      </c>
      <c r="J1287" s="66" t="s">
        <v>162</v>
      </c>
      <c r="K1287" s="66" t="s">
        <v>747</v>
      </c>
      <c r="L1287" s="67">
        <v>136648</v>
      </c>
      <c r="M1287" s="67">
        <v>0</v>
      </c>
      <c r="N1287" s="68">
        <f t="shared" si="86"/>
        <v>136648</v>
      </c>
      <c r="O1287" s="69">
        <f t="shared" si="85"/>
        <v>136648</v>
      </c>
      <c r="P1287" s="42" t="str">
        <f>IFERROR(VLOOKUP(J1287,'Mã NV'!$B:$C,2,0),"")</f>
        <v>XE00779</v>
      </c>
      <c r="Q1287" s="70" t="str">
        <f>IFERROR(VLOOKUP(I1287,'Mã NV'!$J:$K,2,0),"")</f>
        <v>6.5T</v>
      </c>
      <c r="S1287" s="44">
        <f t="shared" si="84"/>
        <v>20497.2</v>
      </c>
    </row>
    <row r="1288" customHeight="1" spans="1:19">
      <c r="A1288" s="63">
        <f t="shared" si="83"/>
        <v>1282</v>
      </c>
      <c r="B1288" s="64">
        <v>46151</v>
      </c>
      <c r="C1288" s="65"/>
      <c r="D1288" s="66" t="s">
        <v>33</v>
      </c>
      <c r="E1288" s="66" t="s">
        <v>33</v>
      </c>
      <c r="F1288" s="66" t="s">
        <v>985</v>
      </c>
      <c r="G1288" s="66" t="s">
        <v>750</v>
      </c>
      <c r="H1288" s="66" t="s">
        <v>1020</v>
      </c>
      <c r="I1288" s="66" t="s">
        <v>197</v>
      </c>
      <c r="J1288" s="66" t="s">
        <v>195</v>
      </c>
      <c r="K1288" s="66" t="s">
        <v>747</v>
      </c>
      <c r="L1288" s="67">
        <v>1884800</v>
      </c>
      <c r="M1288" s="67">
        <v>0</v>
      </c>
      <c r="N1288" s="68">
        <f t="shared" si="86"/>
        <v>1884800</v>
      </c>
      <c r="O1288" s="69">
        <f t="shared" si="85"/>
        <v>1884800</v>
      </c>
      <c r="P1288" s="42" t="str">
        <f>IFERROR(VLOOKUP(J1288,'Mã NV'!$B:$C,2,0),"")</f>
        <v>XE00449</v>
      </c>
      <c r="Q1288" s="70" t="str">
        <f>IFERROR(VLOOKUP(I1288,'Mã NV'!$J:$K,2,0),"")</f>
        <v>8T</v>
      </c>
      <c r="S1288" s="44">
        <f t="shared" si="84"/>
        <v>282720</v>
      </c>
    </row>
    <row r="1289" customHeight="1" spans="1:19">
      <c r="A1289" s="63">
        <f t="shared" si="83"/>
        <v>1283</v>
      </c>
      <c r="B1289" s="64">
        <v>46151</v>
      </c>
      <c r="C1289" s="65"/>
      <c r="D1289" s="66" t="s">
        <v>33</v>
      </c>
      <c r="E1289" s="66" t="s">
        <v>33</v>
      </c>
      <c r="F1289" s="66" t="s">
        <v>985</v>
      </c>
      <c r="G1289" s="66" t="s">
        <v>750</v>
      </c>
      <c r="H1289" s="66" t="s">
        <v>1020</v>
      </c>
      <c r="I1289" s="66" t="s">
        <v>164</v>
      </c>
      <c r="J1289" s="66" t="s">
        <v>217</v>
      </c>
      <c r="K1289" s="66" t="s">
        <v>747</v>
      </c>
      <c r="L1289" s="67">
        <v>3534000</v>
      </c>
      <c r="M1289" s="67">
        <v>0</v>
      </c>
      <c r="N1289" s="68">
        <f t="shared" si="86"/>
        <v>3534000</v>
      </c>
      <c r="O1289" s="69">
        <f t="shared" si="85"/>
        <v>3534000</v>
      </c>
      <c r="P1289" s="42" t="str">
        <f>IFERROR(VLOOKUP(J1289,'Mã NV'!$B:$C,2,0),"")</f>
        <v>XE01004</v>
      </c>
      <c r="Q1289" s="70" t="str">
        <f>IFERROR(VLOOKUP(I1289,'Mã NV'!$J:$K,2,0),"")</f>
        <v>6.5T</v>
      </c>
      <c r="S1289" s="44">
        <f t="shared" si="84"/>
        <v>530100</v>
      </c>
    </row>
    <row r="1290" customHeight="1" spans="1:19">
      <c r="A1290" s="63">
        <f t="shared" si="83"/>
        <v>1284</v>
      </c>
      <c r="B1290" s="64">
        <v>46151</v>
      </c>
      <c r="C1290" s="65"/>
      <c r="D1290" s="66" t="s">
        <v>33</v>
      </c>
      <c r="E1290" s="66" t="s">
        <v>33</v>
      </c>
      <c r="F1290" s="66" t="s">
        <v>985</v>
      </c>
      <c r="G1290" s="66" t="s">
        <v>750</v>
      </c>
      <c r="H1290" s="66" t="s">
        <v>1038</v>
      </c>
      <c r="I1290" s="66" t="s">
        <v>84</v>
      </c>
      <c r="J1290" s="66" t="s">
        <v>82</v>
      </c>
      <c r="K1290" s="66" t="s">
        <v>747</v>
      </c>
      <c r="L1290" s="67">
        <v>44850</v>
      </c>
      <c r="M1290" s="67">
        <v>0</v>
      </c>
      <c r="N1290" s="68">
        <f t="shared" si="86"/>
        <v>44850</v>
      </c>
      <c r="O1290" s="69">
        <f t="shared" si="85"/>
        <v>44850</v>
      </c>
      <c r="P1290" s="42" t="str">
        <f>IFERROR(VLOOKUP(J1290,'Mã NV'!$B:$C,2,0),"")</f>
        <v>XE00832</v>
      </c>
      <c r="Q1290" s="70" t="str">
        <f>IFERROR(VLOOKUP(I1290,'Mã NV'!$J:$K,2,0),"")</f>
        <v>6.5T</v>
      </c>
      <c r="S1290" s="44">
        <f t="shared" si="84"/>
        <v>6727.5</v>
      </c>
    </row>
    <row r="1291" customHeight="1" spans="1:19">
      <c r="A1291" s="63">
        <f t="shared" si="83"/>
        <v>1285</v>
      </c>
      <c r="B1291" s="64">
        <v>46151</v>
      </c>
      <c r="C1291" s="65"/>
      <c r="D1291" s="66" t="s">
        <v>33</v>
      </c>
      <c r="E1291" s="66" t="s">
        <v>33</v>
      </c>
      <c r="F1291" s="66" t="s">
        <v>985</v>
      </c>
      <c r="G1291" s="66" t="s">
        <v>750</v>
      </c>
      <c r="H1291" s="66" t="s">
        <v>1009</v>
      </c>
      <c r="I1291" s="66" t="s">
        <v>84</v>
      </c>
      <c r="J1291" s="66" t="s">
        <v>82</v>
      </c>
      <c r="K1291" s="66" t="s">
        <v>747</v>
      </c>
      <c r="L1291" s="67">
        <v>8970</v>
      </c>
      <c r="M1291" s="67">
        <v>0</v>
      </c>
      <c r="N1291" s="68">
        <f t="shared" si="86"/>
        <v>8970</v>
      </c>
      <c r="O1291" s="69">
        <f t="shared" si="85"/>
        <v>8970</v>
      </c>
      <c r="P1291" s="42" t="str">
        <f>IFERROR(VLOOKUP(J1291,'Mã NV'!$B:$C,2,0),"")</f>
        <v>XE00832</v>
      </c>
      <c r="Q1291" s="70" t="str">
        <f>IFERROR(VLOOKUP(I1291,'Mã NV'!$J:$K,2,0),"")</f>
        <v>6.5T</v>
      </c>
      <c r="S1291" s="44">
        <f t="shared" si="84"/>
        <v>1345.5</v>
      </c>
    </row>
    <row r="1292" customHeight="1" spans="1:19">
      <c r="A1292" s="63">
        <f t="shared" si="83"/>
        <v>1286</v>
      </c>
      <c r="B1292" s="64">
        <v>46151</v>
      </c>
      <c r="C1292" s="65"/>
      <c r="D1292" s="66" t="s">
        <v>33</v>
      </c>
      <c r="E1292" s="66" t="s">
        <v>33</v>
      </c>
      <c r="F1292" s="66" t="s">
        <v>985</v>
      </c>
      <c r="G1292" s="66" t="s">
        <v>750</v>
      </c>
      <c r="H1292" s="66" t="s">
        <v>1003</v>
      </c>
      <c r="I1292" s="66" t="s">
        <v>81</v>
      </c>
      <c r="J1292" s="66" t="s">
        <v>162</v>
      </c>
      <c r="K1292" s="66" t="s">
        <v>747</v>
      </c>
      <c r="L1292" s="67">
        <v>11780</v>
      </c>
      <c r="M1292" s="67">
        <v>0</v>
      </c>
      <c r="N1292" s="68">
        <f t="shared" si="86"/>
        <v>11780</v>
      </c>
      <c r="O1292" s="69">
        <f t="shared" si="85"/>
        <v>11780</v>
      </c>
      <c r="P1292" s="42" t="str">
        <f>IFERROR(VLOOKUP(J1292,'Mã NV'!$B:$C,2,0),"")</f>
        <v>XE00779</v>
      </c>
      <c r="Q1292" s="70" t="str">
        <f>IFERROR(VLOOKUP(I1292,'Mã NV'!$J:$K,2,0),"")</f>
        <v>6.5T</v>
      </c>
      <c r="S1292" s="44">
        <f t="shared" si="84"/>
        <v>1767</v>
      </c>
    </row>
    <row r="1293" customHeight="1" spans="1:19">
      <c r="A1293" s="63">
        <f t="shared" si="83"/>
        <v>1287</v>
      </c>
      <c r="B1293" s="64">
        <v>46151</v>
      </c>
      <c r="C1293" s="65"/>
      <c r="D1293" s="66" t="s">
        <v>33</v>
      </c>
      <c r="E1293" s="66" t="s">
        <v>33</v>
      </c>
      <c r="F1293" s="66" t="s">
        <v>985</v>
      </c>
      <c r="G1293" s="66" t="s">
        <v>750</v>
      </c>
      <c r="H1293" s="66" t="s">
        <v>1019</v>
      </c>
      <c r="I1293" s="66" t="s">
        <v>81</v>
      </c>
      <c r="J1293" s="66" t="s">
        <v>162</v>
      </c>
      <c r="K1293" s="66" t="s">
        <v>747</v>
      </c>
      <c r="L1293" s="67">
        <v>11780</v>
      </c>
      <c r="M1293" s="67">
        <v>0</v>
      </c>
      <c r="N1293" s="68">
        <f t="shared" si="86"/>
        <v>11780</v>
      </c>
      <c r="O1293" s="69">
        <f t="shared" si="85"/>
        <v>11780</v>
      </c>
      <c r="P1293" s="42" t="str">
        <f>IFERROR(VLOOKUP(J1293,'Mã NV'!$B:$C,2,0),"")</f>
        <v>XE00779</v>
      </c>
      <c r="Q1293" s="70" t="str">
        <f>IFERROR(VLOOKUP(I1293,'Mã NV'!$J:$K,2,0),"")</f>
        <v>6.5T</v>
      </c>
      <c r="S1293" s="44">
        <f t="shared" si="84"/>
        <v>1767</v>
      </c>
    </row>
    <row r="1294" customHeight="1" spans="1:19">
      <c r="A1294" s="63">
        <f t="shared" si="83"/>
        <v>1288</v>
      </c>
      <c r="B1294" s="64">
        <v>46151</v>
      </c>
      <c r="C1294" s="65"/>
      <c r="D1294" s="66" t="s">
        <v>33</v>
      </c>
      <c r="E1294" s="66" t="s">
        <v>33</v>
      </c>
      <c r="F1294" s="66" t="s">
        <v>985</v>
      </c>
      <c r="G1294" s="66" t="s">
        <v>750</v>
      </c>
      <c r="H1294" s="66" t="s">
        <v>1017</v>
      </c>
      <c r="I1294" s="66" t="s">
        <v>81</v>
      </c>
      <c r="J1294" s="66" t="s">
        <v>162</v>
      </c>
      <c r="K1294" s="66" t="s">
        <v>747</v>
      </c>
      <c r="L1294" s="67">
        <v>35340</v>
      </c>
      <c r="M1294" s="67">
        <v>0</v>
      </c>
      <c r="N1294" s="68">
        <f t="shared" si="86"/>
        <v>35340</v>
      </c>
      <c r="O1294" s="69">
        <f t="shared" si="85"/>
        <v>35340</v>
      </c>
      <c r="P1294" s="42" t="str">
        <f>IFERROR(VLOOKUP(J1294,'Mã NV'!$B:$C,2,0),"")</f>
        <v>XE00779</v>
      </c>
      <c r="Q1294" s="70" t="str">
        <f>IFERROR(VLOOKUP(I1294,'Mã NV'!$J:$K,2,0),"")</f>
        <v>6.5T</v>
      </c>
      <c r="S1294" s="44">
        <f t="shared" si="84"/>
        <v>5301</v>
      </c>
    </row>
    <row r="1295" customHeight="1" spans="1:19">
      <c r="A1295" s="63">
        <f t="shared" ref="A1295:A1358" si="87">A1294+1</f>
        <v>1289</v>
      </c>
      <c r="B1295" s="64">
        <v>46153</v>
      </c>
      <c r="C1295" s="65"/>
      <c r="D1295" s="66" t="s">
        <v>33</v>
      </c>
      <c r="E1295" s="66" t="s">
        <v>33</v>
      </c>
      <c r="F1295" s="66" t="s">
        <v>985</v>
      </c>
      <c r="G1295" s="66" t="s">
        <v>750</v>
      </c>
      <c r="H1295" s="66" t="s">
        <v>1009</v>
      </c>
      <c r="I1295" s="66" t="s">
        <v>164</v>
      </c>
      <c r="J1295" s="66" t="s">
        <v>162</v>
      </c>
      <c r="K1295" s="66" t="s">
        <v>747</v>
      </c>
      <c r="L1295" s="67">
        <v>419796</v>
      </c>
      <c r="M1295" s="67">
        <v>0</v>
      </c>
      <c r="N1295" s="68">
        <f t="shared" si="86"/>
        <v>419796</v>
      </c>
      <c r="O1295" s="69">
        <f t="shared" si="85"/>
        <v>419796</v>
      </c>
      <c r="P1295" s="42" t="str">
        <f>IFERROR(VLOOKUP(J1295,'Mã NV'!$B:$C,2,0),"")</f>
        <v>XE00779</v>
      </c>
      <c r="Q1295" s="70" t="str">
        <f>IFERROR(VLOOKUP(I1295,'Mã NV'!$J:$K,2,0),"")</f>
        <v>6.5T</v>
      </c>
      <c r="S1295" s="44">
        <f t="shared" si="84"/>
        <v>62969.4</v>
      </c>
    </row>
    <row r="1296" customHeight="1" spans="1:19">
      <c r="A1296" s="63">
        <f t="shared" si="87"/>
        <v>1290</v>
      </c>
      <c r="B1296" s="64">
        <v>46153</v>
      </c>
      <c r="C1296" s="65"/>
      <c r="D1296" s="66" t="s">
        <v>33</v>
      </c>
      <c r="E1296" s="66" t="s">
        <v>33</v>
      </c>
      <c r="F1296" s="66" t="s">
        <v>985</v>
      </c>
      <c r="G1296" s="66" t="s">
        <v>750</v>
      </c>
      <c r="H1296" s="66" t="s">
        <v>1024</v>
      </c>
      <c r="I1296" s="66" t="s">
        <v>164</v>
      </c>
      <c r="J1296" s="66" t="s">
        <v>162</v>
      </c>
      <c r="K1296" s="66" t="s">
        <v>747</v>
      </c>
      <c r="L1296" s="67">
        <v>1063524</v>
      </c>
      <c r="M1296" s="67">
        <v>0</v>
      </c>
      <c r="N1296" s="68">
        <f t="shared" si="86"/>
        <v>1063524</v>
      </c>
      <c r="O1296" s="69">
        <f t="shared" si="85"/>
        <v>1063524</v>
      </c>
      <c r="P1296" s="42" t="str">
        <f>IFERROR(VLOOKUP(J1296,'Mã NV'!$B:$C,2,0),"")</f>
        <v>XE00779</v>
      </c>
      <c r="Q1296" s="70" t="str">
        <f>IFERROR(VLOOKUP(I1296,'Mã NV'!$J:$K,2,0),"")</f>
        <v>6.5T</v>
      </c>
      <c r="S1296" s="44">
        <f t="shared" si="84"/>
        <v>159528.6</v>
      </c>
    </row>
    <row r="1297" customHeight="1" spans="1:19">
      <c r="A1297" s="63">
        <f t="shared" si="87"/>
        <v>1291</v>
      </c>
      <c r="B1297" s="64">
        <v>46153</v>
      </c>
      <c r="C1297" s="65"/>
      <c r="D1297" s="66" t="s">
        <v>33</v>
      </c>
      <c r="E1297" s="66" t="s">
        <v>33</v>
      </c>
      <c r="F1297" s="66" t="s">
        <v>985</v>
      </c>
      <c r="G1297" s="66" t="s">
        <v>750</v>
      </c>
      <c r="H1297" s="66" t="s">
        <v>1033</v>
      </c>
      <c r="I1297" s="66" t="s">
        <v>164</v>
      </c>
      <c r="J1297" s="66" t="s">
        <v>162</v>
      </c>
      <c r="K1297" s="66" t="s">
        <v>747</v>
      </c>
      <c r="L1297" s="67">
        <v>1783452</v>
      </c>
      <c r="M1297" s="67">
        <v>0</v>
      </c>
      <c r="N1297" s="68">
        <f t="shared" si="86"/>
        <v>1783452</v>
      </c>
      <c r="O1297" s="69">
        <f t="shared" si="85"/>
        <v>1783452</v>
      </c>
      <c r="P1297" s="42" t="str">
        <f>IFERROR(VLOOKUP(J1297,'Mã NV'!$B:$C,2,0),"")</f>
        <v>XE00779</v>
      </c>
      <c r="Q1297" s="70" t="str">
        <f>IFERROR(VLOOKUP(I1297,'Mã NV'!$J:$K,2,0),"")</f>
        <v>6.5T</v>
      </c>
      <c r="S1297" s="44">
        <f t="shared" si="84"/>
        <v>267517.8</v>
      </c>
    </row>
    <row r="1298" customHeight="1" spans="1:19">
      <c r="A1298" s="63">
        <f t="shared" si="87"/>
        <v>1292</v>
      </c>
      <c r="B1298" s="64">
        <v>46153</v>
      </c>
      <c r="C1298" s="65"/>
      <c r="D1298" s="66" t="s">
        <v>33</v>
      </c>
      <c r="E1298" s="66" t="s">
        <v>33</v>
      </c>
      <c r="F1298" s="66" t="s">
        <v>985</v>
      </c>
      <c r="G1298" s="66" t="s">
        <v>750</v>
      </c>
      <c r="H1298" s="66" t="s">
        <v>1007</v>
      </c>
      <c r="I1298" s="66" t="s">
        <v>48</v>
      </c>
      <c r="J1298" s="66" t="s">
        <v>162</v>
      </c>
      <c r="K1298" s="66" t="s">
        <v>747</v>
      </c>
      <c r="L1298" s="67">
        <v>223354</v>
      </c>
      <c r="M1298" s="67">
        <v>0</v>
      </c>
      <c r="N1298" s="68">
        <f t="shared" si="86"/>
        <v>223354</v>
      </c>
      <c r="O1298" s="69">
        <f t="shared" si="85"/>
        <v>223354</v>
      </c>
      <c r="P1298" s="42" t="str">
        <f>IFERROR(VLOOKUP(J1298,'Mã NV'!$B:$C,2,0),"")</f>
        <v>XE00779</v>
      </c>
      <c r="Q1298" s="70" t="str">
        <f>IFERROR(VLOOKUP(I1298,'Mã NV'!$J:$K,2,0),"")</f>
        <v>6.5T</v>
      </c>
      <c r="S1298" s="44">
        <f t="shared" si="84"/>
        <v>33503.1</v>
      </c>
    </row>
    <row r="1299" customHeight="1" spans="1:19">
      <c r="A1299" s="63">
        <f t="shared" si="87"/>
        <v>1293</v>
      </c>
      <c r="B1299" s="64">
        <v>46153</v>
      </c>
      <c r="C1299" s="65"/>
      <c r="D1299" s="66" t="s">
        <v>33</v>
      </c>
      <c r="E1299" s="66" t="s">
        <v>33</v>
      </c>
      <c r="F1299" s="66" t="s">
        <v>985</v>
      </c>
      <c r="G1299" s="66" t="s">
        <v>750</v>
      </c>
      <c r="H1299" s="66" t="s">
        <v>1007</v>
      </c>
      <c r="I1299" s="66" t="s">
        <v>48</v>
      </c>
      <c r="J1299" s="66" t="s">
        <v>162</v>
      </c>
      <c r="K1299" s="66" t="s">
        <v>747</v>
      </c>
      <c r="L1299" s="67">
        <v>2591400</v>
      </c>
      <c r="M1299" s="67">
        <v>0</v>
      </c>
      <c r="N1299" s="68">
        <f t="shared" si="86"/>
        <v>2591400</v>
      </c>
      <c r="O1299" s="69">
        <f t="shared" si="85"/>
        <v>2591400</v>
      </c>
      <c r="P1299" s="42" t="str">
        <f>IFERROR(VLOOKUP(J1299,'Mã NV'!$B:$C,2,0),"")</f>
        <v>XE00779</v>
      </c>
      <c r="Q1299" s="70" t="str">
        <f>IFERROR(VLOOKUP(I1299,'Mã NV'!$J:$K,2,0),"")</f>
        <v>6.5T</v>
      </c>
      <c r="S1299" s="44">
        <f t="shared" si="84"/>
        <v>388710</v>
      </c>
    </row>
    <row r="1300" customHeight="1" spans="1:19">
      <c r="A1300" s="63">
        <f t="shared" si="87"/>
        <v>1294</v>
      </c>
      <c r="B1300" s="64">
        <v>46153</v>
      </c>
      <c r="C1300" s="65"/>
      <c r="D1300" s="66" t="s">
        <v>33</v>
      </c>
      <c r="E1300" s="66" t="s">
        <v>33</v>
      </c>
      <c r="F1300" s="66" t="s">
        <v>985</v>
      </c>
      <c r="G1300" s="66" t="s">
        <v>750</v>
      </c>
      <c r="H1300" s="66" t="s">
        <v>1017</v>
      </c>
      <c r="I1300" s="66" t="s">
        <v>115</v>
      </c>
      <c r="J1300" s="66" t="s">
        <v>113</v>
      </c>
      <c r="K1300" s="66" t="s">
        <v>747</v>
      </c>
      <c r="L1300" s="67">
        <v>441750</v>
      </c>
      <c r="M1300" s="67">
        <v>0</v>
      </c>
      <c r="N1300" s="68">
        <f t="shared" si="86"/>
        <v>441750</v>
      </c>
      <c r="O1300" s="69">
        <f t="shared" si="85"/>
        <v>441750</v>
      </c>
      <c r="P1300" s="42" t="str">
        <f>IFERROR(VLOOKUP(J1300,'Mã NV'!$B:$C,2,0),"")</f>
        <v>XE00447</v>
      </c>
      <c r="Q1300" s="70" t="str">
        <f>IFERROR(VLOOKUP(I1300,'Mã NV'!$J:$K,2,0),"")</f>
        <v>8T</v>
      </c>
      <c r="S1300" s="44">
        <f t="shared" si="84"/>
        <v>66262.5</v>
      </c>
    </row>
    <row r="1301" customHeight="1" spans="1:19">
      <c r="A1301" s="63">
        <f t="shared" si="87"/>
        <v>1295</v>
      </c>
      <c r="B1301" s="64">
        <v>46153</v>
      </c>
      <c r="C1301" s="65"/>
      <c r="D1301" s="66" t="s">
        <v>33</v>
      </c>
      <c r="E1301" s="66" t="s">
        <v>33</v>
      </c>
      <c r="F1301" s="66" t="s">
        <v>985</v>
      </c>
      <c r="G1301" s="66" t="s">
        <v>750</v>
      </c>
      <c r="H1301" s="66" t="s">
        <v>1017</v>
      </c>
      <c r="I1301" s="66" t="s">
        <v>115</v>
      </c>
      <c r="J1301" s="66" t="s">
        <v>113</v>
      </c>
      <c r="K1301" s="66" t="s">
        <v>747</v>
      </c>
      <c r="L1301" s="67">
        <v>400520</v>
      </c>
      <c r="M1301" s="67">
        <v>0</v>
      </c>
      <c r="N1301" s="68">
        <f t="shared" si="86"/>
        <v>400520</v>
      </c>
      <c r="O1301" s="69">
        <f t="shared" si="85"/>
        <v>400520</v>
      </c>
      <c r="P1301" s="42" t="str">
        <f>IFERROR(VLOOKUP(J1301,'Mã NV'!$B:$C,2,0),"")</f>
        <v>XE00447</v>
      </c>
      <c r="Q1301" s="70" t="str">
        <f>IFERROR(VLOOKUP(I1301,'Mã NV'!$J:$K,2,0),"")</f>
        <v>8T</v>
      </c>
      <c r="S1301" s="44">
        <f t="shared" si="84"/>
        <v>60078</v>
      </c>
    </row>
    <row r="1302" customHeight="1" spans="1:19">
      <c r="A1302" s="63">
        <f t="shared" si="87"/>
        <v>1296</v>
      </c>
      <c r="B1302" s="64">
        <v>46153</v>
      </c>
      <c r="C1302" s="65"/>
      <c r="D1302" s="66" t="s">
        <v>33</v>
      </c>
      <c r="E1302" s="66" t="s">
        <v>33</v>
      </c>
      <c r="F1302" s="66" t="s">
        <v>985</v>
      </c>
      <c r="G1302" s="66" t="s">
        <v>750</v>
      </c>
      <c r="H1302" s="66" t="s">
        <v>1017</v>
      </c>
      <c r="I1302" s="66" t="s">
        <v>115</v>
      </c>
      <c r="J1302" s="66" t="s">
        <v>113</v>
      </c>
      <c r="K1302" s="66" t="s">
        <v>747</v>
      </c>
      <c r="L1302" s="67">
        <v>1266350</v>
      </c>
      <c r="M1302" s="67">
        <v>0</v>
      </c>
      <c r="N1302" s="68">
        <f t="shared" si="86"/>
        <v>1266350</v>
      </c>
      <c r="O1302" s="69">
        <f t="shared" si="85"/>
        <v>1266350</v>
      </c>
      <c r="P1302" s="42" t="str">
        <f>IFERROR(VLOOKUP(J1302,'Mã NV'!$B:$C,2,0),"")</f>
        <v>XE00447</v>
      </c>
      <c r="Q1302" s="70" t="str">
        <f>IFERROR(VLOOKUP(I1302,'Mã NV'!$J:$K,2,0),"")</f>
        <v>8T</v>
      </c>
      <c r="S1302" s="44">
        <f t="shared" si="84"/>
        <v>189952.5</v>
      </c>
    </row>
    <row r="1303" customHeight="1" spans="1:19">
      <c r="A1303" s="63">
        <f t="shared" si="87"/>
        <v>1297</v>
      </c>
      <c r="B1303" s="64">
        <v>46153</v>
      </c>
      <c r="C1303" s="65"/>
      <c r="D1303" s="66" t="s">
        <v>33</v>
      </c>
      <c r="E1303" s="66" t="s">
        <v>33</v>
      </c>
      <c r="F1303" s="66" t="s">
        <v>985</v>
      </c>
      <c r="G1303" s="66" t="s">
        <v>750</v>
      </c>
      <c r="H1303" s="66" t="s">
        <v>1019</v>
      </c>
      <c r="I1303" s="66" t="s">
        <v>115</v>
      </c>
      <c r="J1303" s="66" t="s">
        <v>113</v>
      </c>
      <c r="K1303" s="66" t="s">
        <v>747</v>
      </c>
      <c r="L1303" s="67">
        <v>179056</v>
      </c>
      <c r="M1303" s="67">
        <v>0</v>
      </c>
      <c r="N1303" s="68">
        <f t="shared" si="86"/>
        <v>179056</v>
      </c>
      <c r="O1303" s="69">
        <f t="shared" si="85"/>
        <v>179056</v>
      </c>
      <c r="P1303" s="42" t="str">
        <f>IFERROR(VLOOKUP(J1303,'Mã NV'!$B:$C,2,0),"")</f>
        <v>XE00447</v>
      </c>
      <c r="Q1303" s="70" t="str">
        <f>IFERROR(VLOOKUP(I1303,'Mã NV'!$J:$K,2,0),"")</f>
        <v>8T</v>
      </c>
      <c r="S1303" s="44">
        <f t="shared" si="84"/>
        <v>26858.4</v>
      </c>
    </row>
    <row r="1304" customHeight="1" spans="1:19">
      <c r="A1304" s="63">
        <f t="shared" si="87"/>
        <v>1298</v>
      </c>
      <c r="B1304" s="64">
        <v>46153</v>
      </c>
      <c r="C1304" s="65"/>
      <c r="D1304" s="66" t="s">
        <v>33</v>
      </c>
      <c r="E1304" s="66" t="s">
        <v>33</v>
      </c>
      <c r="F1304" s="66" t="s">
        <v>985</v>
      </c>
      <c r="G1304" s="66" t="s">
        <v>750</v>
      </c>
      <c r="H1304" s="66" t="s">
        <v>1022</v>
      </c>
      <c r="I1304" s="66" t="s">
        <v>115</v>
      </c>
      <c r="J1304" s="66" t="s">
        <v>113</v>
      </c>
      <c r="K1304" s="66" t="s">
        <v>747</v>
      </c>
      <c r="L1304" s="67">
        <v>33660</v>
      </c>
      <c r="M1304" s="67">
        <v>0</v>
      </c>
      <c r="N1304" s="68">
        <f t="shared" si="86"/>
        <v>33660</v>
      </c>
      <c r="O1304" s="69">
        <f t="shared" si="85"/>
        <v>33660</v>
      </c>
      <c r="P1304" s="42" t="str">
        <f>IFERROR(VLOOKUP(J1304,'Mã NV'!$B:$C,2,0),"")</f>
        <v>XE00447</v>
      </c>
      <c r="Q1304" s="70" t="str">
        <f>IFERROR(VLOOKUP(I1304,'Mã NV'!$J:$K,2,0),"")</f>
        <v>8T</v>
      </c>
      <c r="S1304" s="44">
        <f t="shared" si="84"/>
        <v>5049</v>
      </c>
    </row>
    <row r="1305" customHeight="1" spans="1:19">
      <c r="A1305" s="63">
        <f t="shared" si="87"/>
        <v>1299</v>
      </c>
      <c r="B1305" s="64">
        <v>46153</v>
      </c>
      <c r="C1305" s="65"/>
      <c r="D1305" s="66" t="s">
        <v>33</v>
      </c>
      <c r="E1305" s="66" t="s">
        <v>33</v>
      </c>
      <c r="F1305" s="66" t="s">
        <v>985</v>
      </c>
      <c r="G1305" s="66" t="s">
        <v>750</v>
      </c>
      <c r="H1305" s="66" t="s">
        <v>1022</v>
      </c>
      <c r="I1305" s="66" t="s">
        <v>115</v>
      </c>
      <c r="J1305" s="66" t="s">
        <v>113</v>
      </c>
      <c r="K1305" s="66" t="s">
        <v>747</v>
      </c>
      <c r="L1305" s="67">
        <v>2272050</v>
      </c>
      <c r="M1305" s="67">
        <v>0</v>
      </c>
      <c r="N1305" s="68">
        <f t="shared" si="86"/>
        <v>2272050</v>
      </c>
      <c r="O1305" s="69">
        <f t="shared" si="85"/>
        <v>2272050</v>
      </c>
      <c r="P1305" s="42" t="str">
        <f>IFERROR(VLOOKUP(J1305,'Mã NV'!$B:$C,2,0),"")</f>
        <v>XE00447</v>
      </c>
      <c r="Q1305" s="70" t="str">
        <f>IFERROR(VLOOKUP(I1305,'Mã NV'!$J:$K,2,0),"")</f>
        <v>8T</v>
      </c>
      <c r="S1305" s="44">
        <f t="shared" si="84"/>
        <v>340807.5</v>
      </c>
    </row>
    <row r="1306" customHeight="1" spans="1:19">
      <c r="A1306" s="63">
        <f t="shared" si="87"/>
        <v>1300</v>
      </c>
      <c r="B1306" s="64">
        <v>46153</v>
      </c>
      <c r="C1306" s="65"/>
      <c r="D1306" s="66" t="s">
        <v>33</v>
      </c>
      <c r="E1306" s="66" t="s">
        <v>33</v>
      </c>
      <c r="F1306" s="66" t="s">
        <v>985</v>
      </c>
      <c r="G1306" s="66" t="s">
        <v>750</v>
      </c>
      <c r="H1306" s="66" t="s">
        <v>1004</v>
      </c>
      <c r="I1306" s="66" t="s">
        <v>127</v>
      </c>
      <c r="J1306" s="66" t="s">
        <v>162</v>
      </c>
      <c r="K1306" s="66" t="s">
        <v>747</v>
      </c>
      <c r="L1306" s="67">
        <v>420750</v>
      </c>
      <c r="M1306" s="67">
        <v>0</v>
      </c>
      <c r="N1306" s="68">
        <f t="shared" si="86"/>
        <v>420750</v>
      </c>
      <c r="O1306" s="69">
        <f t="shared" si="85"/>
        <v>420750</v>
      </c>
      <c r="P1306" s="42" t="str">
        <f>IFERROR(VLOOKUP(J1306,'Mã NV'!$B:$C,2,0),"")</f>
        <v>XE00779</v>
      </c>
      <c r="Q1306" s="70" t="str">
        <f>IFERROR(VLOOKUP(I1306,'Mã NV'!$J:$K,2,0),"")</f>
        <v>8T</v>
      </c>
      <c r="S1306" s="44">
        <f t="shared" si="84"/>
        <v>63112.5</v>
      </c>
    </row>
    <row r="1307" customHeight="1" spans="1:19">
      <c r="A1307" s="63">
        <f t="shared" si="87"/>
        <v>1301</v>
      </c>
      <c r="B1307" s="64">
        <v>46153</v>
      </c>
      <c r="C1307" s="65"/>
      <c r="D1307" s="66" t="s">
        <v>33</v>
      </c>
      <c r="E1307" s="66" t="s">
        <v>33</v>
      </c>
      <c r="F1307" s="66" t="s">
        <v>985</v>
      </c>
      <c r="G1307" s="66" t="s">
        <v>750</v>
      </c>
      <c r="H1307" s="66" t="s">
        <v>1018</v>
      </c>
      <c r="I1307" s="66" t="s">
        <v>127</v>
      </c>
      <c r="J1307" s="66" t="s">
        <v>162</v>
      </c>
      <c r="K1307" s="66" t="s">
        <v>747</v>
      </c>
      <c r="L1307" s="67">
        <v>1412037</v>
      </c>
      <c r="M1307" s="67">
        <v>0</v>
      </c>
      <c r="N1307" s="68">
        <f t="shared" si="86"/>
        <v>1412037</v>
      </c>
      <c r="O1307" s="69">
        <f t="shared" si="85"/>
        <v>1412037</v>
      </c>
      <c r="P1307" s="42" t="str">
        <f>IFERROR(VLOOKUP(J1307,'Mã NV'!$B:$C,2,0),"")</f>
        <v>XE00779</v>
      </c>
      <c r="Q1307" s="70" t="str">
        <f>IFERROR(VLOOKUP(I1307,'Mã NV'!$J:$K,2,0),"")</f>
        <v>8T</v>
      </c>
      <c r="S1307" s="44">
        <f t="shared" si="84"/>
        <v>211805.55</v>
      </c>
    </row>
    <row r="1308" customHeight="1" spans="1:19">
      <c r="A1308" s="63">
        <f t="shared" si="87"/>
        <v>1302</v>
      </c>
      <c r="B1308" s="64">
        <v>46153</v>
      </c>
      <c r="C1308" s="65"/>
      <c r="D1308" s="66" t="s">
        <v>33</v>
      </c>
      <c r="E1308" s="66" t="s">
        <v>33</v>
      </c>
      <c r="F1308" s="66" t="s">
        <v>985</v>
      </c>
      <c r="G1308" s="66" t="s">
        <v>750</v>
      </c>
      <c r="H1308" s="66" t="s">
        <v>1018</v>
      </c>
      <c r="I1308" s="66" t="s">
        <v>127</v>
      </c>
      <c r="J1308" s="66" t="s">
        <v>162</v>
      </c>
      <c r="K1308" s="66" t="s">
        <v>747</v>
      </c>
      <c r="L1308" s="67">
        <v>3197700</v>
      </c>
      <c r="M1308" s="67">
        <v>0</v>
      </c>
      <c r="N1308" s="68">
        <f t="shared" si="86"/>
        <v>3197700</v>
      </c>
      <c r="O1308" s="69">
        <f t="shared" si="85"/>
        <v>3197700</v>
      </c>
      <c r="P1308" s="42" t="str">
        <f>IFERROR(VLOOKUP(J1308,'Mã NV'!$B:$C,2,0),"")</f>
        <v>XE00779</v>
      </c>
      <c r="Q1308" s="70" t="str">
        <f>IFERROR(VLOOKUP(I1308,'Mã NV'!$J:$K,2,0),"")</f>
        <v>8T</v>
      </c>
      <c r="S1308" s="44">
        <f t="shared" si="84"/>
        <v>479655</v>
      </c>
    </row>
    <row r="1309" customHeight="1" spans="1:19">
      <c r="A1309" s="63">
        <f t="shared" si="87"/>
        <v>1303</v>
      </c>
      <c r="B1309" s="64">
        <v>46153</v>
      </c>
      <c r="C1309" s="65"/>
      <c r="D1309" s="66" t="s">
        <v>33</v>
      </c>
      <c r="E1309" s="66" t="s">
        <v>33</v>
      </c>
      <c r="F1309" s="66" t="s">
        <v>985</v>
      </c>
      <c r="G1309" s="66" t="s">
        <v>750</v>
      </c>
      <c r="H1309" s="66" t="s">
        <v>1014</v>
      </c>
      <c r="I1309" s="66" t="s">
        <v>51</v>
      </c>
      <c r="J1309" s="66" t="s">
        <v>162</v>
      </c>
      <c r="K1309" s="66" t="s">
        <v>747</v>
      </c>
      <c r="L1309" s="67">
        <v>905157</v>
      </c>
      <c r="M1309" s="67">
        <v>0</v>
      </c>
      <c r="N1309" s="68">
        <f t="shared" si="86"/>
        <v>905157</v>
      </c>
      <c r="O1309" s="69">
        <f t="shared" si="85"/>
        <v>905157</v>
      </c>
      <c r="P1309" s="42" t="str">
        <f>IFERROR(VLOOKUP(J1309,'Mã NV'!$B:$C,2,0),"")</f>
        <v>XE00779</v>
      </c>
      <c r="Q1309" s="70" t="str">
        <f>IFERROR(VLOOKUP(I1309,'Mã NV'!$J:$K,2,0),"")</f>
        <v>6.5T</v>
      </c>
      <c r="S1309" s="44">
        <f t="shared" si="84"/>
        <v>135773.55</v>
      </c>
    </row>
    <row r="1310" customHeight="1" spans="1:19">
      <c r="A1310" s="63">
        <f t="shared" si="87"/>
        <v>1304</v>
      </c>
      <c r="B1310" s="64">
        <v>46153</v>
      </c>
      <c r="C1310" s="65"/>
      <c r="D1310" s="66" t="s">
        <v>33</v>
      </c>
      <c r="E1310" s="66" t="s">
        <v>33</v>
      </c>
      <c r="F1310" s="66" t="s">
        <v>985</v>
      </c>
      <c r="G1310" s="66" t="s">
        <v>750</v>
      </c>
      <c r="H1310" s="66" t="s">
        <v>1014</v>
      </c>
      <c r="I1310" s="66" t="s">
        <v>51</v>
      </c>
      <c r="J1310" s="66" t="s">
        <v>162</v>
      </c>
      <c r="K1310" s="66" t="s">
        <v>747</v>
      </c>
      <c r="L1310" s="67">
        <v>1404900</v>
      </c>
      <c r="M1310" s="67">
        <v>0</v>
      </c>
      <c r="N1310" s="68">
        <f t="shared" si="86"/>
        <v>1404900</v>
      </c>
      <c r="O1310" s="69">
        <f t="shared" si="85"/>
        <v>1404900</v>
      </c>
      <c r="P1310" s="42" t="str">
        <f>IFERROR(VLOOKUP(J1310,'Mã NV'!$B:$C,2,0),"")</f>
        <v>XE00779</v>
      </c>
      <c r="Q1310" s="70" t="str">
        <f>IFERROR(VLOOKUP(I1310,'Mã NV'!$J:$K,2,0),"")</f>
        <v>6.5T</v>
      </c>
      <c r="S1310" s="44">
        <f t="shared" si="84"/>
        <v>210735</v>
      </c>
    </row>
    <row r="1311" customHeight="1" spans="1:19">
      <c r="A1311" s="63">
        <f t="shared" si="87"/>
        <v>1305</v>
      </c>
      <c r="B1311" s="64">
        <v>46153</v>
      </c>
      <c r="C1311" s="65"/>
      <c r="D1311" s="66" t="s">
        <v>33</v>
      </c>
      <c r="E1311" s="66" t="s">
        <v>33</v>
      </c>
      <c r="F1311" s="66" t="s">
        <v>985</v>
      </c>
      <c r="G1311" s="66" t="s">
        <v>750</v>
      </c>
      <c r="H1311" s="66" t="s">
        <v>1013</v>
      </c>
      <c r="I1311" s="66" t="s">
        <v>51</v>
      </c>
      <c r="J1311" s="66" t="s">
        <v>162</v>
      </c>
      <c r="K1311" s="66" t="s">
        <v>747</v>
      </c>
      <c r="L1311" s="67">
        <v>865017</v>
      </c>
      <c r="M1311" s="67">
        <v>0</v>
      </c>
      <c r="N1311" s="68">
        <f t="shared" si="86"/>
        <v>865017</v>
      </c>
      <c r="O1311" s="69">
        <f t="shared" si="85"/>
        <v>865017</v>
      </c>
      <c r="P1311" s="42" t="str">
        <f>IFERROR(VLOOKUP(J1311,'Mã NV'!$B:$C,2,0),"")</f>
        <v>XE00779</v>
      </c>
      <c r="Q1311" s="70" t="str">
        <f>IFERROR(VLOOKUP(I1311,'Mã NV'!$J:$K,2,0),"")</f>
        <v>6.5T</v>
      </c>
      <c r="S1311" s="44">
        <f t="shared" si="84"/>
        <v>129752.55</v>
      </c>
    </row>
    <row r="1312" customHeight="1" spans="1:19">
      <c r="A1312" s="63">
        <f t="shared" si="87"/>
        <v>1306</v>
      </c>
      <c r="B1312" s="64">
        <v>46153</v>
      </c>
      <c r="C1312" s="65"/>
      <c r="D1312" s="66" t="s">
        <v>33</v>
      </c>
      <c r="E1312" s="66" t="s">
        <v>33</v>
      </c>
      <c r="F1312" s="66" t="s">
        <v>985</v>
      </c>
      <c r="G1312" s="66" t="s">
        <v>750</v>
      </c>
      <c r="H1312" s="66" t="s">
        <v>1013</v>
      </c>
      <c r="I1312" s="66" t="s">
        <v>51</v>
      </c>
      <c r="J1312" s="66" t="s">
        <v>162</v>
      </c>
      <c r="K1312" s="66" t="s">
        <v>747</v>
      </c>
      <c r="L1312" s="67">
        <v>1204200</v>
      </c>
      <c r="M1312" s="67">
        <v>0</v>
      </c>
      <c r="N1312" s="68">
        <f t="shared" si="86"/>
        <v>1204200</v>
      </c>
      <c r="O1312" s="69">
        <f t="shared" si="85"/>
        <v>1204200</v>
      </c>
      <c r="P1312" s="42" t="str">
        <f>IFERROR(VLOOKUP(J1312,'Mã NV'!$B:$C,2,0),"")</f>
        <v>XE00779</v>
      </c>
      <c r="Q1312" s="70" t="str">
        <f>IFERROR(VLOOKUP(I1312,'Mã NV'!$J:$K,2,0),"")</f>
        <v>6.5T</v>
      </c>
      <c r="S1312" s="44">
        <f t="shared" si="84"/>
        <v>180630</v>
      </c>
    </row>
    <row r="1313" customHeight="1" spans="1:19">
      <c r="A1313" s="63">
        <f t="shared" si="87"/>
        <v>1307</v>
      </c>
      <c r="B1313" s="64">
        <v>46153</v>
      </c>
      <c r="C1313" s="65"/>
      <c r="D1313" s="66" t="s">
        <v>33</v>
      </c>
      <c r="E1313" s="66" t="s">
        <v>33</v>
      </c>
      <c r="F1313" s="66" t="s">
        <v>985</v>
      </c>
      <c r="G1313" s="66" t="s">
        <v>750</v>
      </c>
      <c r="H1313" s="66" t="s">
        <v>1012</v>
      </c>
      <c r="I1313" s="66" t="s">
        <v>51</v>
      </c>
      <c r="J1313" s="66" t="s">
        <v>162</v>
      </c>
      <c r="K1313" s="66" t="s">
        <v>747</v>
      </c>
      <c r="L1313" s="67">
        <v>728541</v>
      </c>
      <c r="M1313" s="67">
        <v>0</v>
      </c>
      <c r="N1313" s="68">
        <f t="shared" si="86"/>
        <v>728541</v>
      </c>
      <c r="O1313" s="69">
        <f t="shared" si="85"/>
        <v>728541</v>
      </c>
      <c r="P1313" s="42" t="str">
        <f>IFERROR(VLOOKUP(J1313,'Mã NV'!$B:$C,2,0),"")</f>
        <v>XE00779</v>
      </c>
      <c r="Q1313" s="70" t="str">
        <f>IFERROR(VLOOKUP(I1313,'Mã NV'!$J:$K,2,0),"")</f>
        <v>6.5T</v>
      </c>
      <c r="S1313" s="44">
        <f t="shared" si="84"/>
        <v>109281.15</v>
      </c>
    </row>
    <row r="1314" customHeight="1" spans="1:19">
      <c r="A1314" s="63">
        <f t="shared" si="87"/>
        <v>1308</v>
      </c>
      <c r="B1314" s="64">
        <v>46153</v>
      </c>
      <c r="C1314" s="65"/>
      <c r="D1314" s="66" t="s">
        <v>33</v>
      </c>
      <c r="E1314" s="66" t="s">
        <v>33</v>
      </c>
      <c r="F1314" s="66" t="s">
        <v>985</v>
      </c>
      <c r="G1314" s="66" t="s">
        <v>750</v>
      </c>
      <c r="H1314" s="66" t="s">
        <v>1006</v>
      </c>
      <c r="I1314" s="66" t="s">
        <v>52</v>
      </c>
      <c r="J1314" s="66" t="s">
        <v>162</v>
      </c>
      <c r="K1314" s="66" t="s">
        <v>747</v>
      </c>
      <c r="L1314" s="67">
        <v>765900</v>
      </c>
      <c r="M1314" s="67">
        <v>0</v>
      </c>
      <c r="N1314" s="68">
        <f t="shared" si="86"/>
        <v>765900</v>
      </c>
      <c r="O1314" s="69">
        <f t="shared" si="85"/>
        <v>765900</v>
      </c>
      <c r="P1314" s="42" t="str">
        <f>IFERROR(VLOOKUP(J1314,'Mã NV'!$B:$C,2,0),"")</f>
        <v>XE00779</v>
      </c>
      <c r="Q1314" s="70" t="str">
        <f>IFERROR(VLOOKUP(I1314,'Mã NV'!$J:$K,2,0),"")</f>
        <v>8T</v>
      </c>
      <c r="S1314" s="44">
        <f t="shared" si="84"/>
        <v>114885</v>
      </c>
    </row>
    <row r="1315" customHeight="1" spans="1:19">
      <c r="A1315" s="63">
        <f t="shared" si="87"/>
        <v>1309</v>
      </c>
      <c r="B1315" s="64">
        <v>46153</v>
      </c>
      <c r="C1315" s="65"/>
      <c r="D1315" s="66" t="s">
        <v>33</v>
      </c>
      <c r="E1315" s="66" t="s">
        <v>33</v>
      </c>
      <c r="F1315" s="66" t="s">
        <v>985</v>
      </c>
      <c r="G1315" s="66" t="s">
        <v>750</v>
      </c>
      <c r="H1315" s="66" t="s">
        <v>1006</v>
      </c>
      <c r="I1315" s="66" t="s">
        <v>52</v>
      </c>
      <c r="J1315" s="66" t="s">
        <v>162</v>
      </c>
      <c r="K1315" s="66" t="s">
        <v>747</v>
      </c>
      <c r="L1315" s="67">
        <v>2960000</v>
      </c>
      <c r="M1315" s="67">
        <v>0</v>
      </c>
      <c r="N1315" s="68">
        <f t="shared" si="86"/>
        <v>2960000</v>
      </c>
      <c r="O1315" s="69">
        <f t="shared" si="85"/>
        <v>2960000</v>
      </c>
      <c r="P1315" s="42" t="str">
        <f>IFERROR(VLOOKUP(J1315,'Mã NV'!$B:$C,2,0),"")</f>
        <v>XE00779</v>
      </c>
      <c r="Q1315" s="70" t="str">
        <f>IFERROR(VLOOKUP(I1315,'Mã NV'!$J:$K,2,0),"")</f>
        <v>8T</v>
      </c>
      <c r="S1315" s="44">
        <f t="shared" si="84"/>
        <v>444000</v>
      </c>
    </row>
    <row r="1316" customHeight="1" spans="1:19">
      <c r="A1316" s="63">
        <f t="shared" si="87"/>
        <v>1310</v>
      </c>
      <c r="B1316" s="64">
        <v>46153</v>
      </c>
      <c r="C1316" s="65"/>
      <c r="D1316" s="66" t="s">
        <v>33</v>
      </c>
      <c r="E1316" s="66" t="s">
        <v>33</v>
      </c>
      <c r="F1316" s="66" t="s">
        <v>985</v>
      </c>
      <c r="G1316" s="66" t="s">
        <v>750</v>
      </c>
      <c r="H1316" s="66" t="s">
        <v>1016</v>
      </c>
      <c r="I1316" s="66" t="s">
        <v>52</v>
      </c>
      <c r="J1316" s="66" t="s">
        <v>162</v>
      </c>
      <c r="K1316" s="66" t="s">
        <v>747</v>
      </c>
      <c r="L1316" s="67">
        <v>721443</v>
      </c>
      <c r="M1316" s="67">
        <v>0</v>
      </c>
      <c r="N1316" s="68">
        <f t="shared" si="86"/>
        <v>721443</v>
      </c>
      <c r="O1316" s="69">
        <f t="shared" si="85"/>
        <v>721443</v>
      </c>
      <c r="P1316" s="42" t="str">
        <f>IFERROR(VLOOKUP(J1316,'Mã NV'!$B:$C,2,0),"")</f>
        <v>XE00779</v>
      </c>
      <c r="Q1316" s="70" t="str">
        <f>IFERROR(VLOOKUP(I1316,'Mã NV'!$J:$K,2,0),"")</f>
        <v>8T</v>
      </c>
      <c r="S1316" s="44">
        <f t="shared" si="84"/>
        <v>108216.45</v>
      </c>
    </row>
    <row r="1317" customHeight="1" spans="1:19">
      <c r="A1317" s="63">
        <f t="shared" si="87"/>
        <v>1311</v>
      </c>
      <c r="B1317" s="64">
        <v>46153</v>
      </c>
      <c r="C1317" s="65"/>
      <c r="D1317" s="66" t="s">
        <v>33</v>
      </c>
      <c r="E1317" s="66" t="s">
        <v>33</v>
      </c>
      <c r="F1317" s="66" t="s">
        <v>985</v>
      </c>
      <c r="G1317" s="66" t="s">
        <v>750</v>
      </c>
      <c r="H1317" s="66" t="s">
        <v>1016</v>
      </c>
      <c r="I1317" s="66" t="s">
        <v>52</v>
      </c>
      <c r="J1317" s="66" t="s">
        <v>162</v>
      </c>
      <c r="K1317" s="66" t="s">
        <v>747</v>
      </c>
      <c r="L1317" s="67">
        <v>3571500</v>
      </c>
      <c r="M1317" s="67">
        <v>0</v>
      </c>
      <c r="N1317" s="68">
        <f t="shared" si="86"/>
        <v>3571500</v>
      </c>
      <c r="O1317" s="69">
        <f t="shared" si="85"/>
        <v>3571500</v>
      </c>
      <c r="P1317" s="42" t="str">
        <f>IFERROR(VLOOKUP(J1317,'Mã NV'!$B:$C,2,0),"")</f>
        <v>XE00779</v>
      </c>
      <c r="Q1317" s="70" t="str">
        <f>IFERROR(VLOOKUP(I1317,'Mã NV'!$J:$K,2,0),"")</f>
        <v>8T</v>
      </c>
      <c r="S1317" s="44">
        <f t="shared" si="84"/>
        <v>535725</v>
      </c>
    </row>
    <row r="1318" customHeight="1" spans="1:19">
      <c r="A1318" s="63">
        <f t="shared" si="87"/>
        <v>1312</v>
      </c>
      <c r="B1318" s="64">
        <v>46153</v>
      </c>
      <c r="C1318" s="65"/>
      <c r="D1318" s="66" t="s">
        <v>33</v>
      </c>
      <c r="E1318" s="66" t="s">
        <v>33</v>
      </c>
      <c r="F1318" s="66" t="s">
        <v>985</v>
      </c>
      <c r="G1318" s="66" t="s">
        <v>750</v>
      </c>
      <c r="H1318" s="66" t="s">
        <v>1025</v>
      </c>
      <c r="I1318" s="66" t="s">
        <v>136</v>
      </c>
      <c r="J1318" s="66" t="s">
        <v>162</v>
      </c>
      <c r="K1318" s="66" t="s">
        <v>747</v>
      </c>
      <c r="L1318" s="67">
        <v>455840</v>
      </c>
      <c r="M1318" s="67">
        <v>0</v>
      </c>
      <c r="N1318" s="68">
        <f t="shared" si="86"/>
        <v>455840</v>
      </c>
      <c r="O1318" s="69">
        <f t="shared" si="85"/>
        <v>455840</v>
      </c>
      <c r="P1318" s="42" t="str">
        <f>IFERROR(VLOOKUP(J1318,'Mã NV'!$B:$C,2,0),"")</f>
        <v>XE00779</v>
      </c>
      <c r="Q1318" s="70" t="str">
        <f>IFERROR(VLOOKUP(I1318,'Mã NV'!$J:$K,2,0),"")</f>
        <v>6.5T</v>
      </c>
      <c r="S1318" s="44">
        <f t="shared" si="84"/>
        <v>68376</v>
      </c>
    </row>
    <row r="1319" customHeight="1" spans="1:19">
      <c r="A1319" s="63">
        <f t="shared" si="87"/>
        <v>1313</v>
      </c>
      <c r="B1319" s="64">
        <v>46153</v>
      </c>
      <c r="C1319" s="65"/>
      <c r="D1319" s="66" t="s">
        <v>33</v>
      </c>
      <c r="E1319" s="66" t="s">
        <v>33</v>
      </c>
      <c r="F1319" s="66" t="s">
        <v>985</v>
      </c>
      <c r="G1319" s="66" t="s">
        <v>750</v>
      </c>
      <c r="H1319" s="66" t="s">
        <v>1025</v>
      </c>
      <c r="I1319" s="66" t="s">
        <v>136</v>
      </c>
      <c r="J1319" s="66" t="s">
        <v>162</v>
      </c>
      <c r="K1319" s="66" t="s">
        <v>747</v>
      </c>
      <c r="L1319" s="67">
        <v>2442000</v>
      </c>
      <c r="M1319" s="67">
        <v>0</v>
      </c>
      <c r="N1319" s="68">
        <f t="shared" si="86"/>
        <v>2442000</v>
      </c>
      <c r="O1319" s="69">
        <f t="shared" si="85"/>
        <v>2442000</v>
      </c>
      <c r="P1319" s="42" t="str">
        <f>IFERROR(VLOOKUP(J1319,'Mã NV'!$B:$C,2,0),"")</f>
        <v>XE00779</v>
      </c>
      <c r="Q1319" s="70" t="str">
        <f>IFERROR(VLOOKUP(I1319,'Mã NV'!$J:$K,2,0),"")</f>
        <v>6.5T</v>
      </c>
      <c r="S1319" s="44">
        <f t="shared" si="84"/>
        <v>366300</v>
      </c>
    </row>
    <row r="1320" customHeight="1" spans="1:19">
      <c r="A1320" s="63">
        <f t="shared" si="87"/>
        <v>1314</v>
      </c>
      <c r="B1320" s="64">
        <v>46153</v>
      </c>
      <c r="C1320" s="65"/>
      <c r="D1320" s="66" t="s">
        <v>33</v>
      </c>
      <c r="E1320" s="66" t="s">
        <v>33</v>
      </c>
      <c r="F1320" s="66" t="s">
        <v>985</v>
      </c>
      <c r="G1320" s="66" t="s">
        <v>750</v>
      </c>
      <c r="H1320" s="66" t="s">
        <v>1028</v>
      </c>
      <c r="I1320" s="66" t="s">
        <v>136</v>
      </c>
      <c r="J1320" s="66" t="s">
        <v>162</v>
      </c>
      <c r="K1320" s="66" t="s">
        <v>747</v>
      </c>
      <c r="L1320" s="67">
        <v>1332648</v>
      </c>
      <c r="M1320" s="67">
        <v>0</v>
      </c>
      <c r="N1320" s="68">
        <f t="shared" si="86"/>
        <v>1332648</v>
      </c>
      <c r="O1320" s="69">
        <f t="shared" si="85"/>
        <v>1332648</v>
      </c>
      <c r="P1320" s="42" t="str">
        <f>IFERROR(VLOOKUP(J1320,'Mã NV'!$B:$C,2,0),"")</f>
        <v>XE00779</v>
      </c>
      <c r="Q1320" s="70" t="str">
        <f>IFERROR(VLOOKUP(I1320,'Mã NV'!$J:$K,2,0),"")</f>
        <v>6.5T</v>
      </c>
      <c r="S1320" s="44">
        <f t="shared" si="84"/>
        <v>199897.2</v>
      </c>
    </row>
    <row r="1321" customHeight="1" spans="1:19">
      <c r="A1321" s="63">
        <f t="shared" si="87"/>
        <v>1315</v>
      </c>
      <c r="B1321" s="64">
        <v>46153</v>
      </c>
      <c r="C1321" s="65"/>
      <c r="D1321" s="66" t="s">
        <v>33</v>
      </c>
      <c r="E1321" s="66" t="s">
        <v>33</v>
      </c>
      <c r="F1321" s="66" t="s">
        <v>985</v>
      </c>
      <c r="G1321" s="66" t="s">
        <v>750</v>
      </c>
      <c r="H1321" s="66" t="s">
        <v>1024</v>
      </c>
      <c r="I1321" s="66" t="s">
        <v>164</v>
      </c>
      <c r="J1321" s="66" t="s">
        <v>162</v>
      </c>
      <c r="K1321" s="66" t="s">
        <v>747</v>
      </c>
      <c r="L1321" s="67">
        <v>11510</v>
      </c>
      <c r="M1321" s="67">
        <v>0</v>
      </c>
      <c r="N1321" s="68">
        <f t="shared" si="86"/>
        <v>11510</v>
      </c>
      <c r="O1321" s="69">
        <f t="shared" si="85"/>
        <v>11510</v>
      </c>
      <c r="P1321" s="42" t="str">
        <f>IFERROR(VLOOKUP(J1321,'Mã NV'!$B:$C,2,0),"")</f>
        <v>XE00779</v>
      </c>
      <c r="Q1321" s="70" t="str">
        <f>IFERROR(VLOOKUP(I1321,'Mã NV'!$J:$K,2,0),"")</f>
        <v>6.5T</v>
      </c>
      <c r="S1321" s="44">
        <f t="shared" si="84"/>
        <v>1726.5</v>
      </c>
    </row>
    <row r="1322" customHeight="1" spans="1:19">
      <c r="A1322" s="63">
        <f t="shared" si="87"/>
        <v>1316</v>
      </c>
      <c r="B1322" s="64">
        <v>46153</v>
      </c>
      <c r="C1322" s="65"/>
      <c r="D1322" s="66" t="s">
        <v>33</v>
      </c>
      <c r="E1322" s="66" t="s">
        <v>33</v>
      </c>
      <c r="F1322" s="66" t="s">
        <v>985</v>
      </c>
      <c r="G1322" s="66" t="s">
        <v>750</v>
      </c>
      <c r="H1322" s="66" t="s">
        <v>1024</v>
      </c>
      <c r="I1322" s="66" t="s">
        <v>164</v>
      </c>
      <c r="J1322" s="66" t="s">
        <v>162</v>
      </c>
      <c r="K1322" s="66" t="s">
        <v>747</v>
      </c>
      <c r="L1322" s="67">
        <v>23020</v>
      </c>
      <c r="M1322" s="67">
        <v>0</v>
      </c>
      <c r="N1322" s="68">
        <f t="shared" si="86"/>
        <v>23020</v>
      </c>
      <c r="O1322" s="69">
        <f t="shared" si="85"/>
        <v>23020</v>
      </c>
      <c r="P1322" s="42" t="str">
        <f>IFERROR(VLOOKUP(J1322,'Mã NV'!$B:$C,2,0),"")</f>
        <v>XE00779</v>
      </c>
      <c r="Q1322" s="70" t="str">
        <f>IFERROR(VLOOKUP(I1322,'Mã NV'!$J:$K,2,0),"")</f>
        <v>6.5T</v>
      </c>
      <c r="S1322" s="44">
        <f t="shared" ref="S1322:S1385" si="88">L1322*15%</f>
        <v>3453</v>
      </c>
    </row>
    <row r="1323" customHeight="1" spans="1:19">
      <c r="A1323" s="63">
        <f t="shared" si="87"/>
        <v>1317</v>
      </c>
      <c r="B1323" s="64">
        <v>46153</v>
      </c>
      <c r="C1323" s="65"/>
      <c r="D1323" s="66" t="s">
        <v>33</v>
      </c>
      <c r="E1323" s="66" t="s">
        <v>33</v>
      </c>
      <c r="F1323" s="66" t="s">
        <v>985</v>
      </c>
      <c r="G1323" s="66" t="s">
        <v>750</v>
      </c>
      <c r="H1323" s="66" t="s">
        <v>1022</v>
      </c>
      <c r="I1323" s="66" t="s">
        <v>115</v>
      </c>
      <c r="J1323" s="66" t="s">
        <v>113</v>
      </c>
      <c r="K1323" s="66" t="s">
        <v>747</v>
      </c>
      <c r="L1323" s="67">
        <v>50490</v>
      </c>
      <c r="M1323" s="67">
        <v>0</v>
      </c>
      <c r="N1323" s="68">
        <f t="shared" si="86"/>
        <v>50490</v>
      </c>
      <c r="O1323" s="69">
        <f t="shared" si="85"/>
        <v>50490</v>
      </c>
      <c r="P1323" s="42" t="str">
        <f>IFERROR(VLOOKUP(J1323,'Mã NV'!$B:$C,2,0),"")</f>
        <v>XE00447</v>
      </c>
      <c r="Q1323" s="70" t="str">
        <f>IFERROR(VLOOKUP(I1323,'Mã NV'!$J:$K,2,0),"")</f>
        <v>8T</v>
      </c>
      <c r="S1323" s="44">
        <f t="shared" si="88"/>
        <v>7573.5</v>
      </c>
    </row>
    <row r="1324" customHeight="1" spans="1:19">
      <c r="A1324" s="63">
        <f t="shared" si="87"/>
        <v>1318</v>
      </c>
      <c r="B1324" s="64">
        <v>46154</v>
      </c>
      <c r="C1324" s="65"/>
      <c r="D1324" s="66" t="s">
        <v>33</v>
      </c>
      <c r="E1324" s="66" t="s">
        <v>33</v>
      </c>
      <c r="F1324" s="66" t="s">
        <v>985</v>
      </c>
      <c r="G1324" s="66" t="s">
        <v>750</v>
      </c>
      <c r="H1324" s="66" t="s">
        <v>1011</v>
      </c>
      <c r="I1324" s="66" t="s">
        <v>136</v>
      </c>
      <c r="J1324" s="66" t="s">
        <v>361</v>
      </c>
      <c r="K1324" s="66" t="s">
        <v>747</v>
      </c>
      <c r="L1324" s="67">
        <v>776886</v>
      </c>
      <c r="M1324" s="67">
        <v>0</v>
      </c>
      <c r="N1324" s="68">
        <f t="shared" si="86"/>
        <v>776886</v>
      </c>
      <c r="O1324" s="69">
        <f t="shared" si="85"/>
        <v>776886</v>
      </c>
      <c r="P1324" s="42" t="str">
        <f>IFERROR(VLOOKUP(J1324,'Mã NV'!$B:$C,2,0),"")</f>
        <v>XE01641</v>
      </c>
      <c r="Q1324" s="70" t="str">
        <f>IFERROR(VLOOKUP(I1324,'Mã NV'!$J:$K,2,0),"")</f>
        <v>6.5T</v>
      </c>
      <c r="S1324" s="44">
        <f t="shared" si="88"/>
        <v>116532.9</v>
      </c>
    </row>
    <row r="1325" customHeight="1" spans="1:19">
      <c r="A1325" s="63">
        <f t="shared" si="87"/>
        <v>1319</v>
      </c>
      <c r="B1325" s="64">
        <v>46154</v>
      </c>
      <c r="C1325" s="65"/>
      <c r="D1325" s="66" t="s">
        <v>33</v>
      </c>
      <c r="E1325" s="66" t="s">
        <v>33</v>
      </c>
      <c r="F1325" s="66" t="s">
        <v>985</v>
      </c>
      <c r="G1325" s="66" t="s">
        <v>750</v>
      </c>
      <c r="H1325" s="66" t="s">
        <v>1011</v>
      </c>
      <c r="I1325" s="66" t="s">
        <v>197</v>
      </c>
      <c r="J1325" s="66" t="s">
        <v>195</v>
      </c>
      <c r="K1325" s="66" t="s">
        <v>747</v>
      </c>
      <c r="L1325" s="67">
        <v>545732</v>
      </c>
      <c r="M1325" s="67">
        <v>0</v>
      </c>
      <c r="N1325" s="68">
        <f t="shared" si="86"/>
        <v>545732</v>
      </c>
      <c r="O1325" s="69">
        <f t="shared" si="85"/>
        <v>545732</v>
      </c>
      <c r="P1325" s="42" t="str">
        <f>IFERROR(VLOOKUP(J1325,'Mã NV'!$B:$C,2,0),"")</f>
        <v>XE00449</v>
      </c>
      <c r="Q1325" s="70" t="str">
        <f>IFERROR(VLOOKUP(I1325,'Mã NV'!$J:$K,2,0),"")</f>
        <v>8T</v>
      </c>
      <c r="S1325" s="44">
        <f t="shared" si="88"/>
        <v>81859.8</v>
      </c>
    </row>
    <row r="1326" customHeight="1" spans="1:19">
      <c r="A1326" s="63">
        <f t="shared" si="87"/>
        <v>1320</v>
      </c>
      <c r="B1326" s="64">
        <v>46154</v>
      </c>
      <c r="C1326" s="65"/>
      <c r="D1326" s="66" t="s">
        <v>33</v>
      </c>
      <c r="E1326" s="66" t="s">
        <v>33</v>
      </c>
      <c r="F1326" s="66" t="s">
        <v>985</v>
      </c>
      <c r="G1326" s="66" t="s">
        <v>750</v>
      </c>
      <c r="H1326" s="66" t="s">
        <v>1011</v>
      </c>
      <c r="I1326" s="66" t="s">
        <v>197</v>
      </c>
      <c r="J1326" s="66" t="s">
        <v>195</v>
      </c>
      <c r="K1326" s="66" t="s">
        <v>747</v>
      </c>
      <c r="L1326" s="67">
        <v>1390400</v>
      </c>
      <c r="M1326" s="67">
        <v>0</v>
      </c>
      <c r="N1326" s="68">
        <f t="shared" si="86"/>
        <v>1390400</v>
      </c>
      <c r="O1326" s="69">
        <f t="shared" si="85"/>
        <v>1390400</v>
      </c>
      <c r="P1326" s="42" t="str">
        <f>IFERROR(VLOOKUP(J1326,'Mã NV'!$B:$C,2,0),"")</f>
        <v>XE00449</v>
      </c>
      <c r="Q1326" s="70" t="str">
        <f>IFERROR(VLOOKUP(I1326,'Mã NV'!$J:$K,2,0),"")</f>
        <v>8T</v>
      </c>
      <c r="S1326" s="44">
        <f t="shared" si="88"/>
        <v>208560</v>
      </c>
    </row>
    <row r="1327" customHeight="1" spans="1:19">
      <c r="A1327" s="63">
        <f t="shared" si="87"/>
        <v>1321</v>
      </c>
      <c r="B1327" s="64">
        <v>46154</v>
      </c>
      <c r="C1327" s="65"/>
      <c r="D1327" s="66" t="s">
        <v>33</v>
      </c>
      <c r="E1327" s="66" t="s">
        <v>33</v>
      </c>
      <c r="F1327" s="66" t="s">
        <v>985</v>
      </c>
      <c r="G1327" s="66" t="s">
        <v>750</v>
      </c>
      <c r="H1327" s="66" t="s">
        <v>1011</v>
      </c>
      <c r="I1327" s="66" t="s">
        <v>197</v>
      </c>
      <c r="J1327" s="66" t="s">
        <v>195</v>
      </c>
      <c r="K1327" s="66" t="s">
        <v>747</v>
      </c>
      <c r="L1327" s="67">
        <v>399740</v>
      </c>
      <c r="M1327" s="67">
        <v>0</v>
      </c>
      <c r="N1327" s="68">
        <f t="shared" si="86"/>
        <v>399740</v>
      </c>
      <c r="O1327" s="69">
        <f t="shared" si="85"/>
        <v>399740</v>
      </c>
      <c r="P1327" s="42" t="str">
        <f>IFERROR(VLOOKUP(J1327,'Mã NV'!$B:$C,2,0),"")</f>
        <v>XE00449</v>
      </c>
      <c r="Q1327" s="70" t="str">
        <f>IFERROR(VLOOKUP(I1327,'Mã NV'!$J:$K,2,0),"")</f>
        <v>8T</v>
      </c>
      <c r="S1327" s="44">
        <f t="shared" si="88"/>
        <v>59961</v>
      </c>
    </row>
    <row r="1328" customHeight="1" spans="1:19">
      <c r="A1328" s="63">
        <f t="shared" si="87"/>
        <v>1322</v>
      </c>
      <c r="B1328" s="64">
        <v>46154</v>
      </c>
      <c r="C1328" s="65"/>
      <c r="D1328" s="66" t="s">
        <v>33</v>
      </c>
      <c r="E1328" s="66" t="s">
        <v>33</v>
      </c>
      <c r="F1328" s="66" t="s">
        <v>985</v>
      </c>
      <c r="G1328" s="66" t="s">
        <v>750</v>
      </c>
      <c r="H1328" s="66" t="s">
        <v>1011</v>
      </c>
      <c r="I1328" s="66" t="s">
        <v>197</v>
      </c>
      <c r="J1328" s="66" t="s">
        <v>195</v>
      </c>
      <c r="K1328" s="66" t="s">
        <v>747</v>
      </c>
      <c r="L1328" s="67">
        <v>1216600</v>
      </c>
      <c r="M1328" s="67">
        <v>0</v>
      </c>
      <c r="N1328" s="68">
        <f t="shared" si="86"/>
        <v>1216600</v>
      </c>
      <c r="O1328" s="69">
        <f t="shared" si="85"/>
        <v>1216600</v>
      </c>
      <c r="P1328" s="42" t="str">
        <f>IFERROR(VLOOKUP(J1328,'Mã NV'!$B:$C,2,0),"")</f>
        <v>XE00449</v>
      </c>
      <c r="Q1328" s="70" t="str">
        <f>IFERROR(VLOOKUP(I1328,'Mã NV'!$J:$K,2,0),"")</f>
        <v>8T</v>
      </c>
      <c r="S1328" s="44">
        <f t="shared" si="88"/>
        <v>182490</v>
      </c>
    </row>
    <row r="1329" customHeight="1" spans="1:19">
      <c r="A1329" s="63">
        <f t="shared" si="87"/>
        <v>1323</v>
      </c>
      <c r="B1329" s="64">
        <v>46154</v>
      </c>
      <c r="C1329" s="65"/>
      <c r="D1329" s="66" t="s">
        <v>33</v>
      </c>
      <c r="E1329" s="66" t="s">
        <v>33</v>
      </c>
      <c r="F1329" s="66" t="s">
        <v>985</v>
      </c>
      <c r="G1329" s="66" t="s">
        <v>750</v>
      </c>
      <c r="H1329" s="66" t="s">
        <v>1011</v>
      </c>
      <c r="I1329" s="66" t="s">
        <v>197</v>
      </c>
      <c r="J1329" s="66" t="s">
        <v>195</v>
      </c>
      <c r="K1329" s="66" t="s">
        <v>747</v>
      </c>
      <c r="L1329" s="67">
        <v>752554</v>
      </c>
      <c r="M1329" s="67">
        <v>0</v>
      </c>
      <c r="N1329" s="68">
        <f t="shared" si="86"/>
        <v>752554</v>
      </c>
      <c r="O1329" s="69">
        <f t="shared" ref="O1329:O1392" si="89">N1329/$P$1</f>
        <v>752554</v>
      </c>
      <c r="P1329" s="42" t="str">
        <f>IFERROR(VLOOKUP(J1329,'Mã NV'!$B:$C,2,0),"")</f>
        <v>XE00449</v>
      </c>
      <c r="Q1329" s="70" t="str">
        <f>IFERROR(VLOOKUP(I1329,'Mã NV'!$J:$K,2,0),"")</f>
        <v>8T</v>
      </c>
      <c r="S1329" s="44">
        <f t="shared" si="88"/>
        <v>112883.1</v>
      </c>
    </row>
    <row r="1330" customHeight="1" spans="1:19">
      <c r="A1330" s="63">
        <f t="shared" si="87"/>
        <v>1324</v>
      </c>
      <c r="B1330" s="64">
        <v>46154</v>
      </c>
      <c r="C1330" s="65"/>
      <c r="D1330" s="66" t="s">
        <v>33</v>
      </c>
      <c r="E1330" s="66" t="s">
        <v>33</v>
      </c>
      <c r="F1330" s="66" t="s">
        <v>985</v>
      </c>
      <c r="G1330" s="66" t="s">
        <v>750</v>
      </c>
      <c r="H1330" s="66" t="s">
        <v>1036</v>
      </c>
      <c r="I1330" s="66" t="s">
        <v>197</v>
      </c>
      <c r="J1330" s="66" t="s">
        <v>195</v>
      </c>
      <c r="K1330" s="66" t="s">
        <v>747</v>
      </c>
      <c r="L1330" s="67">
        <v>851620</v>
      </c>
      <c r="M1330" s="67">
        <v>0</v>
      </c>
      <c r="N1330" s="68">
        <f t="shared" ref="N1330:N1393" si="90">L1330-M1330</f>
        <v>851620</v>
      </c>
      <c r="O1330" s="69">
        <f t="shared" si="89"/>
        <v>851620</v>
      </c>
      <c r="P1330" s="42" t="str">
        <f>IFERROR(VLOOKUP(J1330,'Mã NV'!$B:$C,2,0),"")</f>
        <v>XE00449</v>
      </c>
      <c r="Q1330" s="70" t="str">
        <f>IFERROR(VLOOKUP(I1330,'Mã NV'!$J:$K,2,0),"")</f>
        <v>8T</v>
      </c>
      <c r="S1330" s="44">
        <f t="shared" si="88"/>
        <v>127743</v>
      </c>
    </row>
    <row r="1331" customHeight="1" spans="1:19">
      <c r="A1331" s="63">
        <f t="shared" si="87"/>
        <v>1325</v>
      </c>
      <c r="B1331" s="64">
        <v>46154</v>
      </c>
      <c r="C1331" s="65"/>
      <c r="D1331" s="66" t="s">
        <v>33</v>
      </c>
      <c r="E1331" s="66" t="s">
        <v>33</v>
      </c>
      <c r="F1331" s="66" t="s">
        <v>985</v>
      </c>
      <c r="G1331" s="66" t="s">
        <v>750</v>
      </c>
      <c r="H1331" s="66" t="s">
        <v>1003</v>
      </c>
      <c r="I1331" s="66" t="s">
        <v>191</v>
      </c>
      <c r="J1331" s="66" t="s">
        <v>189</v>
      </c>
      <c r="K1331" s="66" t="s">
        <v>747</v>
      </c>
      <c r="L1331" s="67">
        <v>763344</v>
      </c>
      <c r="M1331" s="67">
        <v>0</v>
      </c>
      <c r="N1331" s="68">
        <f t="shared" si="90"/>
        <v>763344</v>
      </c>
      <c r="O1331" s="69">
        <f t="shared" si="89"/>
        <v>763344</v>
      </c>
      <c r="P1331" s="42" t="str">
        <f>IFERROR(VLOOKUP(J1331,'Mã NV'!$B:$C,2,0),"")</f>
        <v>XE00891</v>
      </c>
      <c r="Q1331" s="70" t="str">
        <f>IFERROR(VLOOKUP(I1331,'Mã NV'!$J:$K,2,0),"")</f>
        <v>8T</v>
      </c>
      <c r="S1331" s="44">
        <f t="shared" si="88"/>
        <v>114501.6</v>
      </c>
    </row>
    <row r="1332" customHeight="1" spans="1:19">
      <c r="A1332" s="63">
        <f t="shared" si="87"/>
        <v>1326</v>
      </c>
      <c r="B1332" s="64">
        <v>46154</v>
      </c>
      <c r="C1332" s="65"/>
      <c r="D1332" s="66" t="s">
        <v>33</v>
      </c>
      <c r="E1332" s="66" t="s">
        <v>33</v>
      </c>
      <c r="F1332" s="66" t="s">
        <v>985</v>
      </c>
      <c r="G1332" s="66" t="s">
        <v>750</v>
      </c>
      <c r="H1332" s="66" t="s">
        <v>1020</v>
      </c>
      <c r="I1332" s="66" t="s">
        <v>191</v>
      </c>
      <c r="J1332" s="66" t="s">
        <v>189</v>
      </c>
      <c r="K1332" s="66" t="s">
        <v>747</v>
      </c>
      <c r="L1332" s="67">
        <v>1227476</v>
      </c>
      <c r="M1332" s="67">
        <v>0</v>
      </c>
      <c r="N1332" s="68">
        <f t="shared" si="90"/>
        <v>1227476</v>
      </c>
      <c r="O1332" s="69">
        <f t="shared" si="89"/>
        <v>1227476</v>
      </c>
      <c r="P1332" s="42" t="str">
        <f>IFERROR(VLOOKUP(J1332,'Mã NV'!$B:$C,2,0),"")</f>
        <v>XE00891</v>
      </c>
      <c r="Q1332" s="70" t="str">
        <f>IFERROR(VLOOKUP(I1332,'Mã NV'!$J:$K,2,0),"")</f>
        <v>8T</v>
      </c>
      <c r="S1332" s="44">
        <f t="shared" si="88"/>
        <v>184121.4</v>
      </c>
    </row>
    <row r="1333" customHeight="1" spans="1:19">
      <c r="A1333" s="63">
        <f t="shared" si="87"/>
        <v>1327</v>
      </c>
      <c r="B1333" s="64">
        <v>46154</v>
      </c>
      <c r="C1333" s="65"/>
      <c r="D1333" s="66" t="s">
        <v>33</v>
      </c>
      <c r="E1333" s="66" t="s">
        <v>33</v>
      </c>
      <c r="F1333" s="66" t="s">
        <v>985</v>
      </c>
      <c r="G1333" s="66" t="s">
        <v>750</v>
      </c>
      <c r="H1333" s="66" t="s">
        <v>1020</v>
      </c>
      <c r="I1333" s="66" t="s">
        <v>130</v>
      </c>
      <c r="J1333" s="66" t="s">
        <v>128</v>
      </c>
      <c r="K1333" s="66" t="s">
        <v>747</v>
      </c>
      <c r="L1333" s="67">
        <v>2120400</v>
      </c>
      <c r="M1333" s="67">
        <v>0</v>
      </c>
      <c r="N1333" s="68">
        <f t="shared" si="90"/>
        <v>2120400</v>
      </c>
      <c r="O1333" s="69">
        <f t="shared" si="89"/>
        <v>2120400</v>
      </c>
      <c r="P1333" s="42" t="str">
        <f>IFERROR(VLOOKUP(J1333,'Mã NV'!$B:$C,2,0),"")</f>
        <v>XE00953</v>
      </c>
      <c r="Q1333" s="70" t="str">
        <f>IFERROR(VLOOKUP(I1333,'Mã NV'!$J:$K,2,0),"")</f>
        <v>8T</v>
      </c>
      <c r="S1333" s="44">
        <f t="shared" si="88"/>
        <v>318060</v>
      </c>
    </row>
    <row r="1334" customHeight="1" spans="1:19">
      <c r="A1334" s="63">
        <f t="shared" si="87"/>
        <v>1328</v>
      </c>
      <c r="B1334" s="64">
        <v>46154</v>
      </c>
      <c r="C1334" s="65"/>
      <c r="D1334" s="66" t="s">
        <v>33</v>
      </c>
      <c r="E1334" s="66" t="s">
        <v>33</v>
      </c>
      <c r="F1334" s="66" t="s">
        <v>985</v>
      </c>
      <c r="G1334" s="66" t="s">
        <v>750</v>
      </c>
      <c r="H1334" s="66" t="s">
        <v>1020</v>
      </c>
      <c r="I1334" s="66" t="s">
        <v>130</v>
      </c>
      <c r="J1334" s="66" t="s">
        <v>128</v>
      </c>
      <c r="K1334" s="66" t="s">
        <v>747</v>
      </c>
      <c r="L1334" s="67">
        <v>2827200</v>
      </c>
      <c r="M1334" s="67">
        <v>0</v>
      </c>
      <c r="N1334" s="68">
        <f t="shared" si="90"/>
        <v>2827200</v>
      </c>
      <c r="O1334" s="69">
        <f t="shared" si="89"/>
        <v>2827200</v>
      </c>
      <c r="P1334" s="42" t="str">
        <f>IFERROR(VLOOKUP(J1334,'Mã NV'!$B:$C,2,0),"")</f>
        <v>XE00953</v>
      </c>
      <c r="Q1334" s="70" t="str">
        <f>IFERROR(VLOOKUP(I1334,'Mã NV'!$J:$K,2,0),"")</f>
        <v>8T</v>
      </c>
      <c r="S1334" s="44">
        <f t="shared" si="88"/>
        <v>424080</v>
      </c>
    </row>
    <row r="1335" customHeight="1" spans="1:19">
      <c r="A1335" s="63">
        <f t="shared" si="87"/>
        <v>1329</v>
      </c>
      <c r="B1335" s="64">
        <v>46154</v>
      </c>
      <c r="C1335" s="65"/>
      <c r="D1335" s="66" t="s">
        <v>33</v>
      </c>
      <c r="E1335" s="66" t="s">
        <v>33</v>
      </c>
      <c r="F1335" s="66" t="s">
        <v>985</v>
      </c>
      <c r="G1335" s="66" t="s">
        <v>750</v>
      </c>
      <c r="H1335" s="66" t="s">
        <v>1021</v>
      </c>
      <c r="I1335" s="66" t="s">
        <v>130</v>
      </c>
      <c r="J1335" s="66" t="s">
        <v>128</v>
      </c>
      <c r="K1335" s="66" t="s">
        <v>747</v>
      </c>
      <c r="L1335" s="67">
        <v>429970</v>
      </c>
      <c r="M1335" s="67">
        <v>0</v>
      </c>
      <c r="N1335" s="68">
        <f t="shared" si="90"/>
        <v>429970</v>
      </c>
      <c r="O1335" s="69">
        <f t="shared" si="89"/>
        <v>429970</v>
      </c>
      <c r="P1335" s="42" t="str">
        <f>IFERROR(VLOOKUP(J1335,'Mã NV'!$B:$C,2,0),"")</f>
        <v>XE00953</v>
      </c>
      <c r="Q1335" s="70" t="str">
        <f>IFERROR(VLOOKUP(I1335,'Mã NV'!$J:$K,2,0),"")</f>
        <v>8T</v>
      </c>
      <c r="S1335" s="44">
        <f t="shared" si="88"/>
        <v>64495.5</v>
      </c>
    </row>
    <row r="1336" customHeight="1" spans="1:19">
      <c r="A1336" s="63">
        <f t="shared" si="87"/>
        <v>1330</v>
      </c>
      <c r="B1336" s="64">
        <v>46154</v>
      </c>
      <c r="C1336" s="65"/>
      <c r="D1336" s="66" t="s">
        <v>33</v>
      </c>
      <c r="E1336" s="66" t="s">
        <v>33</v>
      </c>
      <c r="F1336" s="66" t="s">
        <v>985</v>
      </c>
      <c r="G1336" s="66" t="s">
        <v>750</v>
      </c>
      <c r="H1336" s="66" t="s">
        <v>1006</v>
      </c>
      <c r="I1336" s="66" t="s">
        <v>130</v>
      </c>
      <c r="J1336" s="66" t="s">
        <v>128</v>
      </c>
      <c r="K1336" s="66" t="s">
        <v>747</v>
      </c>
      <c r="L1336" s="67">
        <v>185000</v>
      </c>
      <c r="M1336" s="67">
        <v>0</v>
      </c>
      <c r="N1336" s="68">
        <f t="shared" si="90"/>
        <v>185000</v>
      </c>
      <c r="O1336" s="69">
        <f t="shared" si="89"/>
        <v>185000</v>
      </c>
      <c r="P1336" s="42" t="str">
        <f>IFERROR(VLOOKUP(J1336,'Mã NV'!$B:$C,2,0),"")</f>
        <v>XE00953</v>
      </c>
      <c r="Q1336" s="70" t="str">
        <f>IFERROR(VLOOKUP(I1336,'Mã NV'!$J:$K,2,0),"")</f>
        <v>8T</v>
      </c>
      <c r="S1336" s="44">
        <f t="shared" si="88"/>
        <v>27750</v>
      </c>
    </row>
    <row r="1337" customHeight="1" spans="1:19">
      <c r="A1337" s="63">
        <f t="shared" si="87"/>
        <v>1331</v>
      </c>
      <c r="B1337" s="64">
        <v>46154</v>
      </c>
      <c r="C1337" s="65"/>
      <c r="D1337" s="66" t="s">
        <v>33</v>
      </c>
      <c r="E1337" s="66" t="s">
        <v>33</v>
      </c>
      <c r="F1337" s="66" t="s">
        <v>985</v>
      </c>
      <c r="G1337" s="66" t="s">
        <v>750</v>
      </c>
      <c r="H1337" s="66" t="s">
        <v>1006</v>
      </c>
      <c r="I1337" s="66" t="s">
        <v>130</v>
      </c>
      <c r="J1337" s="66" t="s">
        <v>128</v>
      </c>
      <c r="K1337" s="66" t="s">
        <v>747</v>
      </c>
      <c r="L1337" s="67">
        <v>1202500</v>
      </c>
      <c r="M1337" s="67">
        <v>0</v>
      </c>
      <c r="N1337" s="68">
        <f t="shared" si="90"/>
        <v>1202500</v>
      </c>
      <c r="O1337" s="69">
        <f t="shared" si="89"/>
        <v>1202500</v>
      </c>
      <c r="P1337" s="42" t="str">
        <f>IFERROR(VLOOKUP(J1337,'Mã NV'!$B:$C,2,0),"")</f>
        <v>XE00953</v>
      </c>
      <c r="Q1337" s="70" t="str">
        <f>IFERROR(VLOOKUP(I1337,'Mã NV'!$J:$K,2,0),"")</f>
        <v>8T</v>
      </c>
      <c r="S1337" s="44">
        <f t="shared" si="88"/>
        <v>180375</v>
      </c>
    </row>
    <row r="1338" customHeight="1" spans="1:19">
      <c r="A1338" s="63">
        <f t="shared" si="87"/>
        <v>1332</v>
      </c>
      <c r="B1338" s="64">
        <v>46154</v>
      </c>
      <c r="C1338" s="65"/>
      <c r="D1338" s="66" t="s">
        <v>33</v>
      </c>
      <c r="E1338" s="66" t="s">
        <v>33</v>
      </c>
      <c r="F1338" s="66" t="s">
        <v>985</v>
      </c>
      <c r="G1338" s="66" t="s">
        <v>750</v>
      </c>
      <c r="H1338" s="66" t="s">
        <v>1029</v>
      </c>
      <c r="I1338" s="66" t="s">
        <v>127</v>
      </c>
      <c r="J1338" s="66" t="s">
        <v>125</v>
      </c>
      <c r="K1338" s="66" t="s">
        <v>747</v>
      </c>
      <c r="L1338" s="67">
        <v>1404900</v>
      </c>
      <c r="M1338" s="67">
        <v>0</v>
      </c>
      <c r="N1338" s="68">
        <f t="shared" si="90"/>
        <v>1404900</v>
      </c>
      <c r="O1338" s="69">
        <f t="shared" si="89"/>
        <v>1404900</v>
      </c>
      <c r="P1338" s="42" t="str">
        <f>IFERROR(VLOOKUP(J1338,'Mã NV'!$B:$C,2,0),"")</f>
        <v>XE00547</v>
      </c>
      <c r="Q1338" s="70" t="str">
        <f>IFERROR(VLOOKUP(I1338,'Mã NV'!$J:$K,2,0),"")</f>
        <v>8T</v>
      </c>
      <c r="S1338" s="44">
        <f t="shared" si="88"/>
        <v>210735</v>
      </c>
    </row>
    <row r="1339" customHeight="1" spans="1:19">
      <c r="A1339" s="63">
        <f t="shared" si="87"/>
        <v>1333</v>
      </c>
      <c r="B1339" s="64">
        <v>46154</v>
      </c>
      <c r="C1339" s="65"/>
      <c r="D1339" s="66" t="s">
        <v>33</v>
      </c>
      <c r="E1339" s="66" t="s">
        <v>33</v>
      </c>
      <c r="F1339" s="66" t="s">
        <v>985</v>
      </c>
      <c r="G1339" s="66" t="s">
        <v>750</v>
      </c>
      <c r="H1339" s="66" t="s">
        <v>1029</v>
      </c>
      <c r="I1339" s="66" t="s">
        <v>127</v>
      </c>
      <c r="J1339" s="66" t="s">
        <v>125</v>
      </c>
      <c r="K1339" s="66" t="s">
        <v>747</v>
      </c>
      <c r="L1339" s="67">
        <v>2308050</v>
      </c>
      <c r="M1339" s="67">
        <v>0</v>
      </c>
      <c r="N1339" s="68">
        <f t="shared" si="90"/>
        <v>2308050</v>
      </c>
      <c r="O1339" s="69">
        <f t="shared" si="89"/>
        <v>2308050</v>
      </c>
      <c r="P1339" s="42" t="str">
        <f>IFERROR(VLOOKUP(J1339,'Mã NV'!$B:$C,2,0),"")</f>
        <v>XE00547</v>
      </c>
      <c r="Q1339" s="70" t="str">
        <f>IFERROR(VLOOKUP(I1339,'Mã NV'!$J:$K,2,0),"")</f>
        <v>8T</v>
      </c>
      <c r="S1339" s="44">
        <f t="shared" si="88"/>
        <v>346207.5</v>
      </c>
    </row>
    <row r="1340" customHeight="1" spans="1:19">
      <c r="A1340" s="63">
        <f t="shared" si="87"/>
        <v>1334</v>
      </c>
      <c r="B1340" s="64">
        <v>46154</v>
      </c>
      <c r="C1340" s="65"/>
      <c r="D1340" s="66" t="s">
        <v>33</v>
      </c>
      <c r="E1340" s="66" t="s">
        <v>33</v>
      </c>
      <c r="F1340" s="66" t="s">
        <v>985</v>
      </c>
      <c r="G1340" s="66" t="s">
        <v>750</v>
      </c>
      <c r="H1340" s="66" t="s">
        <v>1031</v>
      </c>
      <c r="I1340" s="66" t="s">
        <v>127</v>
      </c>
      <c r="J1340" s="66" t="s">
        <v>125</v>
      </c>
      <c r="K1340" s="66" t="s">
        <v>747</v>
      </c>
      <c r="L1340" s="67">
        <v>413442</v>
      </c>
      <c r="M1340" s="67">
        <v>0</v>
      </c>
      <c r="N1340" s="68">
        <f t="shared" si="90"/>
        <v>413442</v>
      </c>
      <c r="O1340" s="69">
        <f t="shared" si="89"/>
        <v>413442</v>
      </c>
      <c r="P1340" s="42" t="str">
        <f>IFERROR(VLOOKUP(J1340,'Mã NV'!$B:$C,2,0),"")</f>
        <v>XE00547</v>
      </c>
      <c r="Q1340" s="70" t="str">
        <f>IFERROR(VLOOKUP(I1340,'Mã NV'!$J:$K,2,0),"")</f>
        <v>8T</v>
      </c>
      <c r="S1340" s="44">
        <f t="shared" si="88"/>
        <v>62016.3</v>
      </c>
    </row>
    <row r="1341" customHeight="1" spans="1:19">
      <c r="A1341" s="63">
        <f t="shared" si="87"/>
        <v>1335</v>
      </c>
      <c r="B1341" s="64">
        <v>46154</v>
      </c>
      <c r="C1341" s="65"/>
      <c r="D1341" s="66" t="s">
        <v>33</v>
      </c>
      <c r="E1341" s="66" t="s">
        <v>33</v>
      </c>
      <c r="F1341" s="66" t="s">
        <v>985</v>
      </c>
      <c r="G1341" s="66" t="s">
        <v>750</v>
      </c>
      <c r="H1341" s="66" t="s">
        <v>1031</v>
      </c>
      <c r="I1341" s="66" t="s">
        <v>127</v>
      </c>
      <c r="J1341" s="66" t="s">
        <v>125</v>
      </c>
      <c r="K1341" s="66" t="s">
        <v>747</v>
      </c>
      <c r="L1341" s="67">
        <v>1103850</v>
      </c>
      <c r="M1341" s="67">
        <v>0</v>
      </c>
      <c r="N1341" s="68">
        <f t="shared" si="90"/>
        <v>1103850</v>
      </c>
      <c r="O1341" s="69">
        <f t="shared" si="89"/>
        <v>1103850</v>
      </c>
      <c r="P1341" s="42" t="str">
        <f>IFERROR(VLOOKUP(J1341,'Mã NV'!$B:$C,2,0),"")</f>
        <v>XE00547</v>
      </c>
      <c r="Q1341" s="70" t="str">
        <f>IFERROR(VLOOKUP(I1341,'Mã NV'!$J:$K,2,0),"")</f>
        <v>8T</v>
      </c>
      <c r="S1341" s="44">
        <f t="shared" si="88"/>
        <v>165577.5</v>
      </c>
    </row>
    <row r="1342" customHeight="1" spans="1:19">
      <c r="A1342" s="63">
        <f t="shared" si="87"/>
        <v>1336</v>
      </c>
      <c r="B1342" s="64">
        <v>46154</v>
      </c>
      <c r="C1342" s="65"/>
      <c r="D1342" s="66" t="s">
        <v>33</v>
      </c>
      <c r="E1342" s="66" t="s">
        <v>33</v>
      </c>
      <c r="F1342" s="66" t="s">
        <v>985</v>
      </c>
      <c r="G1342" s="66" t="s">
        <v>750</v>
      </c>
      <c r="H1342" s="66" t="s">
        <v>1008</v>
      </c>
      <c r="I1342" s="66" t="s">
        <v>165</v>
      </c>
      <c r="J1342" s="66" t="s">
        <v>162</v>
      </c>
      <c r="K1342" s="66" t="s">
        <v>747</v>
      </c>
      <c r="L1342" s="67">
        <v>21528</v>
      </c>
      <c r="M1342" s="67">
        <v>0</v>
      </c>
      <c r="N1342" s="68">
        <f t="shared" si="90"/>
        <v>21528</v>
      </c>
      <c r="O1342" s="69">
        <f t="shared" si="89"/>
        <v>21528</v>
      </c>
      <c r="P1342" s="42" t="str">
        <f>IFERROR(VLOOKUP(J1342,'Mã NV'!$B:$C,2,0),"")</f>
        <v>XE00779</v>
      </c>
      <c r="Q1342" s="70" t="str">
        <f>IFERROR(VLOOKUP(I1342,'Mã NV'!$J:$K,2,0),"")</f>
        <v>15T</v>
      </c>
      <c r="S1342" s="44">
        <f t="shared" si="88"/>
        <v>3229.2</v>
      </c>
    </row>
    <row r="1343" customHeight="1" spans="1:19">
      <c r="A1343" s="63">
        <f t="shared" si="87"/>
        <v>1337</v>
      </c>
      <c r="B1343" s="64">
        <v>46154</v>
      </c>
      <c r="C1343" s="65"/>
      <c r="D1343" s="66" t="s">
        <v>33</v>
      </c>
      <c r="E1343" s="66" t="s">
        <v>33</v>
      </c>
      <c r="F1343" s="66" t="s">
        <v>985</v>
      </c>
      <c r="G1343" s="66" t="s">
        <v>750</v>
      </c>
      <c r="H1343" s="66" t="s">
        <v>1008</v>
      </c>
      <c r="I1343" s="66" t="s">
        <v>165</v>
      </c>
      <c r="J1343" s="66" t="s">
        <v>162</v>
      </c>
      <c r="K1343" s="66" t="s">
        <v>747</v>
      </c>
      <c r="L1343" s="67">
        <v>1300650</v>
      </c>
      <c r="M1343" s="67">
        <v>0</v>
      </c>
      <c r="N1343" s="68">
        <f t="shared" si="90"/>
        <v>1300650</v>
      </c>
      <c r="O1343" s="69">
        <f t="shared" si="89"/>
        <v>1300650</v>
      </c>
      <c r="P1343" s="42" t="str">
        <f>IFERROR(VLOOKUP(J1343,'Mã NV'!$B:$C,2,0),"")</f>
        <v>XE00779</v>
      </c>
      <c r="Q1343" s="70" t="str">
        <f>IFERROR(VLOOKUP(I1343,'Mã NV'!$J:$K,2,0),"")</f>
        <v>15T</v>
      </c>
      <c r="S1343" s="44">
        <f t="shared" si="88"/>
        <v>195097.5</v>
      </c>
    </row>
    <row r="1344" customHeight="1" spans="1:19">
      <c r="A1344" s="63">
        <f t="shared" si="87"/>
        <v>1338</v>
      </c>
      <c r="B1344" s="64">
        <v>46154</v>
      </c>
      <c r="C1344" s="65"/>
      <c r="D1344" s="66" t="s">
        <v>33</v>
      </c>
      <c r="E1344" s="66" t="s">
        <v>33</v>
      </c>
      <c r="F1344" s="66" t="s">
        <v>985</v>
      </c>
      <c r="G1344" s="66" t="s">
        <v>750</v>
      </c>
      <c r="H1344" s="66" t="s">
        <v>1024</v>
      </c>
      <c r="I1344" s="66" t="s">
        <v>165</v>
      </c>
      <c r="J1344" s="66" t="s">
        <v>162</v>
      </c>
      <c r="K1344" s="66" t="s">
        <v>747</v>
      </c>
      <c r="L1344" s="67">
        <v>238257</v>
      </c>
      <c r="M1344" s="67">
        <v>0</v>
      </c>
      <c r="N1344" s="68">
        <f t="shared" si="90"/>
        <v>238257</v>
      </c>
      <c r="O1344" s="69">
        <f t="shared" si="89"/>
        <v>238257</v>
      </c>
      <c r="P1344" s="42" t="str">
        <f>IFERROR(VLOOKUP(J1344,'Mã NV'!$B:$C,2,0),"")</f>
        <v>XE00779</v>
      </c>
      <c r="Q1344" s="70" t="str">
        <f>IFERROR(VLOOKUP(I1344,'Mã NV'!$J:$K,2,0),"")</f>
        <v>15T</v>
      </c>
      <c r="S1344" s="44">
        <f t="shared" si="88"/>
        <v>35738.55</v>
      </c>
    </row>
    <row r="1345" customHeight="1" spans="1:19">
      <c r="A1345" s="63">
        <f t="shared" si="87"/>
        <v>1339</v>
      </c>
      <c r="B1345" s="64">
        <v>46154</v>
      </c>
      <c r="C1345" s="65"/>
      <c r="D1345" s="66" t="s">
        <v>33</v>
      </c>
      <c r="E1345" s="66" t="s">
        <v>33</v>
      </c>
      <c r="F1345" s="66" t="s">
        <v>985</v>
      </c>
      <c r="G1345" s="66" t="s">
        <v>750</v>
      </c>
      <c r="H1345" s="66" t="s">
        <v>1024</v>
      </c>
      <c r="I1345" s="66" t="s">
        <v>165</v>
      </c>
      <c r="J1345" s="66" t="s">
        <v>162</v>
      </c>
      <c r="K1345" s="66" t="s">
        <v>747</v>
      </c>
      <c r="L1345" s="67">
        <v>1956700</v>
      </c>
      <c r="M1345" s="67">
        <v>0</v>
      </c>
      <c r="N1345" s="68">
        <f t="shared" si="90"/>
        <v>1956700</v>
      </c>
      <c r="O1345" s="69">
        <f t="shared" si="89"/>
        <v>1956700</v>
      </c>
      <c r="P1345" s="42" t="str">
        <f>IFERROR(VLOOKUP(J1345,'Mã NV'!$B:$C,2,0),"")</f>
        <v>XE00779</v>
      </c>
      <c r="Q1345" s="70" t="str">
        <f>IFERROR(VLOOKUP(I1345,'Mã NV'!$J:$K,2,0),"")</f>
        <v>15T</v>
      </c>
      <c r="S1345" s="44">
        <f t="shared" si="88"/>
        <v>293505</v>
      </c>
    </row>
    <row r="1346" customHeight="1" spans="1:19">
      <c r="A1346" s="63">
        <f t="shared" si="87"/>
        <v>1340</v>
      </c>
      <c r="B1346" s="64">
        <v>46154</v>
      </c>
      <c r="C1346" s="65"/>
      <c r="D1346" s="66" t="s">
        <v>33</v>
      </c>
      <c r="E1346" s="66" t="s">
        <v>33</v>
      </c>
      <c r="F1346" s="66" t="s">
        <v>985</v>
      </c>
      <c r="G1346" s="66" t="s">
        <v>750</v>
      </c>
      <c r="H1346" s="66" t="s">
        <v>1032</v>
      </c>
      <c r="I1346" s="66" t="s">
        <v>115</v>
      </c>
      <c r="J1346" s="66" t="s">
        <v>113</v>
      </c>
      <c r="K1346" s="66" t="s">
        <v>747</v>
      </c>
      <c r="L1346" s="67">
        <v>1140747</v>
      </c>
      <c r="M1346" s="67">
        <v>0</v>
      </c>
      <c r="N1346" s="68">
        <f t="shared" si="90"/>
        <v>1140747</v>
      </c>
      <c r="O1346" s="69">
        <f t="shared" si="89"/>
        <v>1140747</v>
      </c>
      <c r="P1346" s="42" t="str">
        <f>IFERROR(VLOOKUP(J1346,'Mã NV'!$B:$C,2,0),"")</f>
        <v>XE00447</v>
      </c>
      <c r="Q1346" s="70" t="str">
        <f>IFERROR(VLOOKUP(I1346,'Mã NV'!$J:$K,2,0),"")</f>
        <v>8T</v>
      </c>
      <c r="S1346" s="44">
        <f t="shared" si="88"/>
        <v>171112.05</v>
      </c>
    </row>
    <row r="1347" customHeight="1" spans="1:19">
      <c r="A1347" s="63">
        <f t="shared" si="87"/>
        <v>1341</v>
      </c>
      <c r="B1347" s="64">
        <v>46154</v>
      </c>
      <c r="C1347" s="65"/>
      <c r="D1347" s="66" t="s">
        <v>33</v>
      </c>
      <c r="E1347" s="66" t="s">
        <v>33</v>
      </c>
      <c r="F1347" s="66" t="s">
        <v>985</v>
      </c>
      <c r="G1347" s="66" t="s">
        <v>750</v>
      </c>
      <c r="H1347" s="66" t="s">
        <v>1032</v>
      </c>
      <c r="I1347" s="66" t="s">
        <v>115</v>
      </c>
      <c r="J1347" s="66" t="s">
        <v>113</v>
      </c>
      <c r="K1347" s="66" t="s">
        <v>747</v>
      </c>
      <c r="L1347" s="67">
        <v>4375250</v>
      </c>
      <c r="M1347" s="67">
        <v>0</v>
      </c>
      <c r="N1347" s="68">
        <f t="shared" si="90"/>
        <v>4375250</v>
      </c>
      <c r="O1347" s="69">
        <f t="shared" si="89"/>
        <v>4375250</v>
      </c>
      <c r="P1347" s="42" t="str">
        <f>IFERROR(VLOOKUP(J1347,'Mã NV'!$B:$C,2,0),"")</f>
        <v>XE00447</v>
      </c>
      <c r="Q1347" s="70" t="str">
        <f>IFERROR(VLOOKUP(I1347,'Mã NV'!$J:$K,2,0),"")</f>
        <v>8T</v>
      </c>
      <c r="S1347" s="44">
        <f t="shared" si="88"/>
        <v>656287.5</v>
      </c>
    </row>
    <row r="1348" customHeight="1" spans="1:19">
      <c r="A1348" s="63">
        <f t="shared" si="87"/>
        <v>1342</v>
      </c>
      <c r="B1348" s="64">
        <v>46154</v>
      </c>
      <c r="C1348" s="65"/>
      <c r="D1348" s="66" t="s">
        <v>33</v>
      </c>
      <c r="E1348" s="66" t="s">
        <v>33</v>
      </c>
      <c r="F1348" s="66" t="s">
        <v>985</v>
      </c>
      <c r="G1348" s="66" t="s">
        <v>750</v>
      </c>
      <c r="H1348" s="66" t="s">
        <v>1022</v>
      </c>
      <c r="I1348" s="66" t="s">
        <v>48</v>
      </c>
      <c r="J1348" s="66" t="s">
        <v>324</v>
      </c>
      <c r="K1348" s="66" t="s">
        <v>747</v>
      </c>
      <c r="L1348" s="67">
        <v>62271</v>
      </c>
      <c r="M1348" s="67">
        <v>0</v>
      </c>
      <c r="N1348" s="68">
        <f t="shared" si="90"/>
        <v>62271</v>
      </c>
      <c r="O1348" s="69">
        <f t="shared" si="89"/>
        <v>62271</v>
      </c>
      <c r="P1348" s="42" t="str">
        <f>IFERROR(VLOOKUP(J1348,'Mã NV'!$B:$C,2,0),"")</f>
        <v>XE01620</v>
      </c>
      <c r="Q1348" s="70" t="str">
        <f>IFERROR(VLOOKUP(I1348,'Mã NV'!$J:$K,2,0),"")</f>
        <v>6.5T</v>
      </c>
      <c r="S1348" s="44">
        <f t="shared" si="88"/>
        <v>9340.65</v>
      </c>
    </row>
    <row r="1349" customHeight="1" spans="1:19">
      <c r="A1349" s="63">
        <f t="shared" si="87"/>
        <v>1343</v>
      </c>
      <c r="B1349" s="64">
        <v>46154</v>
      </c>
      <c r="C1349" s="65"/>
      <c r="D1349" s="66" t="s">
        <v>33</v>
      </c>
      <c r="E1349" s="66" t="s">
        <v>33</v>
      </c>
      <c r="F1349" s="66" t="s">
        <v>985</v>
      </c>
      <c r="G1349" s="66" t="s">
        <v>750</v>
      </c>
      <c r="H1349" s="66" t="s">
        <v>1022</v>
      </c>
      <c r="I1349" s="66" t="s">
        <v>48</v>
      </c>
      <c r="J1349" s="66" t="s">
        <v>324</v>
      </c>
      <c r="K1349" s="66" t="s">
        <v>747</v>
      </c>
      <c r="L1349" s="67">
        <v>785961</v>
      </c>
      <c r="M1349" s="67">
        <v>0</v>
      </c>
      <c r="N1349" s="68">
        <f t="shared" si="90"/>
        <v>785961</v>
      </c>
      <c r="O1349" s="69">
        <f t="shared" si="89"/>
        <v>785961</v>
      </c>
      <c r="P1349" s="42" t="str">
        <f>IFERROR(VLOOKUP(J1349,'Mã NV'!$B:$C,2,0),"")</f>
        <v>XE01620</v>
      </c>
      <c r="Q1349" s="70" t="str">
        <f>IFERROR(VLOOKUP(I1349,'Mã NV'!$J:$K,2,0),"")</f>
        <v>6.5T</v>
      </c>
      <c r="S1349" s="44">
        <f t="shared" si="88"/>
        <v>117894.15</v>
      </c>
    </row>
    <row r="1350" customHeight="1" spans="1:19">
      <c r="A1350" s="63">
        <f t="shared" si="87"/>
        <v>1344</v>
      </c>
      <c r="B1350" s="64">
        <v>46154</v>
      </c>
      <c r="C1350" s="65"/>
      <c r="D1350" s="66" t="s">
        <v>33</v>
      </c>
      <c r="E1350" s="66" t="s">
        <v>33</v>
      </c>
      <c r="F1350" s="66" t="s">
        <v>985</v>
      </c>
      <c r="G1350" s="66" t="s">
        <v>750</v>
      </c>
      <c r="H1350" s="66" t="s">
        <v>1022</v>
      </c>
      <c r="I1350" s="66" t="s">
        <v>48</v>
      </c>
      <c r="J1350" s="66" t="s">
        <v>324</v>
      </c>
      <c r="K1350" s="66" t="s">
        <v>747</v>
      </c>
      <c r="L1350" s="67">
        <v>1009800</v>
      </c>
      <c r="M1350" s="67">
        <v>0</v>
      </c>
      <c r="N1350" s="68">
        <f t="shared" si="90"/>
        <v>1009800</v>
      </c>
      <c r="O1350" s="69">
        <f t="shared" si="89"/>
        <v>1009800</v>
      </c>
      <c r="P1350" s="42" t="str">
        <f>IFERROR(VLOOKUP(J1350,'Mã NV'!$B:$C,2,0),"")</f>
        <v>XE01620</v>
      </c>
      <c r="Q1350" s="70" t="str">
        <f>IFERROR(VLOOKUP(I1350,'Mã NV'!$J:$K,2,0),"")</f>
        <v>6.5T</v>
      </c>
      <c r="S1350" s="44">
        <f t="shared" si="88"/>
        <v>151470</v>
      </c>
    </row>
    <row r="1351" customHeight="1" spans="1:19">
      <c r="A1351" s="63">
        <f t="shared" si="87"/>
        <v>1345</v>
      </c>
      <c r="B1351" s="64">
        <v>46154</v>
      </c>
      <c r="C1351" s="65"/>
      <c r="D1351" s="66" t="s">
        <v>33</v>
      </c>
      <c r="E1351" s="66" t="s">
        <v>33</v>
      </c>
      <c r="F1351" s="66" t="s">
        <v>985</v>
      </c>
      <c r="G1351" s="66" t="s">
        <v>750</v>
      </c>
      <c r="H1351" s="66" t="s">
        <v>1015</v>
      </c>
      <c r="I1351" s="66" t="s">
        <v>48</v>
      </c>
      <c r="J1351" s="66" t="s">
        <v>324</v>
      </c>
      <c r="K1351" s="66" t="s">
        <v>747</v>
      </c>
      <c r="L1351" s="67">
        <v>710745</v>
      </c>
      <c r="M1351" s="67">
        <v>0</v>
      </c>
      <c r="N1351" s="68">
        <f t="shared" si="90"/>
        <v>710745</v>
      </c>
      <c r="O1351" s="69">
        <f t="shared" si="89"/>
        <v>710745</v>
      </c>
      <c r="P1351" s="42" t="str">
        <f>IFERROR(VLOOKUP(J1351,'Mã NV'!$B:$C,2,0),"")</f>
        <v>XE01620</v>
      </c>
      <c r="Q1351" s="70" t="str">
        <f>IFERROR(VLOOKUP(I1351,'Mã NV'!$J:$K,2,0),"")</f>
        <v>6.5T</v>
      </c>
      <c r="S1351" s="44">
        <f t="shared" si="88"/>
        <v>106611.75</v>
      </c>
    </row>
    <row r="1352" customHeight="1" spans="1:19">
      <c r="A1352" s="63">
        <f t="shared" si="87"/>
        <v>1346</v>
      </c>
      <c r="B1352" s="64">
        <v>46154</v>
      </c>
      <c r="C1352" s="65"/>
      <c r="D1352" s="66" t="s">
        <v>33</v>
      </c>
      <c r="E1352" s="66" t="s">
        <v>33</v>
      </c>
      <c r="F1352" s="66" t="s">
        <v>985</v>
      </c>
      <c r="G1352" s="66" t="s">
        <v>750</v>
      </c>
      <c r="H1352" s="66" t="s">
        <v>1015</v>
      </c>
      <c r="I1352" s="66" t="s">
        <v>48</v>
      </c>
      <c r="J1352" s="66" t="s">
        <v>324</v>
      </c>
      <c r="K1352" s="66" t="s">
        <v>747</v>
      </c>
      <c r="L1352" s="67">
        <v>4109750</v>
      </c>
      <c r="M1352" s="67">
        <v>0</v>
      </c>
      <c r="N1352" s="68">
        <f t="shared" si="90"/>
        <v>4109750</v>
      </c>
      <c r="O1352" s="69">
        <f t="shared" si="89"/>
        <v>4109750</v>
      </c>
      <c r="P1352" s="42" t="str">
        <f>IFERROR(VLOOKUP(J1352,'Mã NV'!$B:$C,2,0),"")</f>
        <v>XE01620</v>
      </c>
      <c r="Q1352" s="70" t="str">
        <f>IFERROR(VLOOKUP(I1352,'Mã NV'!$J:$K,2,0),"")</f>
        <v>6.5T</v>
      </c>
      <c r="S1352" s="44">
        <f t="shared" si="88"/>
        <v>616462.5</v>
      </c>
    </row>
    <row r="1353" customHeight="1" spans="1:19">
      <c r="A1353" s="63">
        <f t="shared" si="87"/>
        <v>1347</v>
      </c>
      <c r="B1353" s="64">
        <v>46154</v>
      </c>
      <c r="C1353" s="65"/>
      <c r="D1353" s="66" t="s">
        <v>33</v>
      </c>
      <c r="E1353" s="66" t="s">
        <v>33</v>
      </c>
      <c r="F1353" s="66" t="s">
        <v>985</v>
      </c>
      <c r="G1353" s="66" t="s">
        <v>750</v>
      </c>
      <c r="H1353" s="66" t="s">
        <v>1011</v>
      </c>
      <c r="I1353" s="66" t="s">
        <v>136</v>
      </c>
      <c r="J1353" s="66" t="s">
        <v>361</v>
      </c>
      <c r="K1353" s="66" t="s">
        <v>747</v>
      </c>
      <c r="L1353" s="67">
        <v>17380</v>
      </c>
      <c r="M1353" s="67">
        <v>0</v>
      </c>
      <c r="N1353" s="68">
        <f t="shared" si="90"/>
        <v>17380</v>
      </c>
      <c r="O1353" s="69">
        <f t="shared" si="89"/>
        <v>17380</v>
      </c>
      <c r="P1353" s="42" t="str">
        <f>IFERROR(VLOOKUP(J1353,'Mã NV'!$B:$C,2,0),"")</f>
        <v>XE01641</v>
      </c>
      <c r="Q1353" s="70" t="str">
        <f>IFERROR(VLOOKUP(I1353,'Mã NV'!$J:$K,2,0),"")</f>
        <v>6.5T</v>
      </c>
      <c r="S1353" s="44">
        <f t="shared" si="88"/>
        <v>2607</v>
      </c>
    </row>
    <row r="1354" customHeight="1" spans="1:19">
      <c r="A1354" s="63">
        <f t="shared" si="87"/>
        <v>1348</v>
      </c>
      <c r="B1354" s="64">
        <v>46154</v>
      </c>
      <c r="C1354" s="65"/>
      <c r="D1354" s="66" t="s">
        <v>33</v>
      </c>
      <c r="E1354" s="66" t="s">
        <v>33</v>
      </c>
      <c r="F1354" s="66" t="s">
        <v>985</v>
      </c>
      <c r="G1354" s="66" t="s">
        <v>750</v>
      </c>
      <c r="H1354" s="66" t="s">
        <v>1011</v>
      </c>
      <c r="I1354" s="66" t="s">
        <v>197</v>
      </c>
      <c r="J1354" s="66" t="s">
        <v>195</v>
      </c>
      <c r="K1354" s="66" t="s">
        <v>747</v>
      </c>
      <c r="L1354" s="67">
        <v>17380</v>
      </c>
      <c r="M1354" s="67">
        <v>0</v>
      </c>
      <c r="N1354" s="68">
        <f t="shared" si="90"/>
        <v>17380</v>
      </c>
      <c r="O1354" s="69">
        <f t="shared" si="89"/>
        <v>17380</v>
      </c>
      <c r="P1354" s="42" t="str">
        <f>IFERROR(VLOOKUP(J1354,'Mã NV'!$B:$C,2,0),"")</f>
        <v>XE00449</v>
      </c>
      <c r="Q1354" s="70" t="str">
        <f>IFERROR(VLOOKUP(I1354,'Mã NV'!$J:$K,2,0),"")</f>
        <v>8T</v>
      </c>
      <c r="S1354" s="44">
        <f t="shared" si="88"/>
        <v>2607</v>
      </c>
    </row>
    <row r="1355" customHeight="1" spans="1:19">
      <c r="A1355" s="63">
        <f t="shared" si="87"/>
        <v>1349</v>
      </c>
      <c r="B1355" s="64">
        <v>46154</v>
      </c>
      <c r="C1355" s="65"/>
      <c r="D1355" s="66" t="s">
        <v>33</v>
      </c>
      <c r="E1355" s="66" t="s">
        <v>33</v>
      </c>
      <c r="F1355" s="66" t="s">
        <v>985</v>
      </c>
      <c r="G1355" s="66" t="s">
        <v>750</v>
      </c>
      <c r="H1355" s="66" t="s">
        <v>1036</v>
      </c>
      <c r="I1355" s="66" t="s">
        <v>197</v>
      </c>
      <c r="J1355" s="66" t="s">
        <v>195</v>
      </c>
      <c r="K1355" s="66" t="s">
        <v>747</v>
      </c>
      <c r="L1355" s="67">
        <v>17380</v>
      </c>
      <c r="M1355" s="67">
        <v>0</v>
      </c>
      <c r="N1355" s="68">
        <f t="shared" si="90"/>
        <v>17380</v>
      </c>
      <c r="O1355" s="69">
        <f t="shared" si="89"/>
        <v>17380</v>
      </c>
      <c r="P1355" s="42" t="str">
        <f>IFERROR(VLOOKUP(J1355,'Mã NV'!$B:$C,2,0),"")</f>
        <v>XE00449</v>
      </c>
      <c r="Q1355" s="70" t="str">
        <f>IFERROR(VLOOKUP(I1355,'Mã NV'!$J:$K,2,0),"")</f>
        <v>8T</v>
      </c>
      <c r="S1355" s="44">
        <f t="shared" si="88"/>
        <v>2607</v>
      </c>
    </row>
    <row r="1356" customHeight="1" spans="1:19">
      <c r="A1356" s="63">
        <f t="shared" si="87"/>
        <v>1350</v>
      </c>
      <c r="B1356" s="64">
        <v>46154</v>
      </c>
      <c r="C1356" s="65"/>
      <c r="D1356" s="66" t="s">
        <v>33</v>
      </c>
      <c r="E1356" s="66" t="s">
        <v>33</v>
      </c>
      <c r="F1356" s="66" t="s">
        <v>985</v>
      </c>
      <c r="G1356" s="66" t="s">
        <v>750</v>
      </c>
      <c r="H1356" s="66" t="s">
        <v>1021</v>
      </c>
      <c r="I1356" s="66" t="s">
        <v>130</v>
      </c>
      <c r="J1356" s="66" t="s">
        <v>128</v>
      </c>
      <c r="K1356" s="66" t="s">
        <v>747</v>
      </c>
      <c r="L1356" s="67">
        <v>11780</v>
      </c>
      <c r="M1356" s="67">
        <v>0</v>
      </c>
      <c r="N1356" s="68">
        <f t="shared" si="90"/>
        <v>11780</v>
      </c>
      <c r="O1356" s="69">
        <f t="shared" si="89"/>
        <v>11780</v>
      </c>
      <c r="P1356" s="42" t="str">
        <f>IFERROR(VLOOKUP(J1356,'Mã NV'!$B:$C,2,0),"")</f>
        <v>XE00953</v>
      </c>
      <c r="Q1356" s="70" t="str">
        <f>IFERROR(VLOOKUP(I1356,'Mã NV'!$J:$K,2,0),"")</f>
        <v>8T</v>
      </c>
      <c r="S1356" s="44">
        <f t="shared" si="88"/>
        <v>1767</v>
      </c>
    </row>
    <row r="1357" customHeight="1" spans="1:19">
      <c r="A1357" s="63">
        <f t="shared" si="87"/>
        <v>1351</v>
      </c>
      <c r="B1357" s="64">
        <v>46154</v>
      </c>
      <c r="C1357" s="65"/>
      <c r="D1357" s="66" t="s">
        <v>33</v>
      </c>
      <c r="E1357" s="66" t="s">
        <v>33</v>
      </c>
      <c r="F1357" s="66" t="s">
        <v>985</v>
      </c>
      <c r="G1357" s="66" t="s">
        <v>750</v>
      </c>
      <c r="H1357" s="66" t="s">
        <v>1009</v>
      </c>
      <c r="I1357" s="66" t="s">
        <v>164</v>
      </c>
      <c r="J1357" s="66" t="s">
        <v>217</v>
      </c>
      <c r="K1357" s="66" t="s">
        <v>747</v>
      </c>
      <c r="L1357" s="67">
        <v>8970</v>
      </c>
      <c r="M1357" s="67">
        <v>0</v>
      </c>
      <c r="N1357" s="68">
        <f t="shared" si="90"/>
        <v>8970</v>
      </c>
      <c r="O1357" s="69">
        <f t="shared" si="89"/>
        <v>8970</v>
      </c>
      <c r="P1357" s="42" t="str">
        <f>IFERROR(VLOOKUP(J1357,'Mã NV'!$B:$C,2,0),"")</f>
        <v>XE01004</v>
      </c>
      <c r="Q1357" s="70" t="str">
        <f>IFERROR(VLOOKUP(I1357,'Mã NV'!$J:$K,2,0),"")</f>
        <v>6.5T</v>
      </c>
      <c r="S1357" s="44">
        <f t="shared" si="88"/>
        <v>1345.5</v>
      </c>
    </row>
    <row r="1358" customHeight="1" spans="1:19">
      <c r="A1358" s="63">
        <f t="shared" si="87"/>
        <v>1352</v>
      </c>
      <c r="B1358" s="64">
        <v>46154</v>
      </c>
      <c r="C1358" s="65"/>
      <c r="D1358" s="66" t="s">
        <v>33</v>
      </c>
      <c r="E1358" s="66" t="s">
        <v>33</v>
      </c>
      <c r="F1358" s="66" t="s">
        <v>985</v>
      </c>
      <c r="G1358" s="66" t="s">
        <v>750</v>
      </c>
      <c r="H1358" s="66" t="s">
        <v>1012</v>
      </c>
      <c r="I1358" s="66" t="s">
        <v>48</v>
      </c>
      <c r="J1358" s="66" t="s">
        <v>324</v>
      </c>
      <c r="K1358" s="66" t="s">
        <v>747</v>
      </c>
      <c r="L1358" s="67">
        <v>40140</v>
      </c>
      <c r="M1358" s="67">
        <v>0</v>
      </c>
      <c r="N1358" s="68">
        <f t="shared" si="90"/>
        <v>40140</v>
      </c>
      <c r="O1358" s="69">
        <f t="shared" si="89"/>
        <v>40140</v>
      </c>
      <c r="P1358" s="42" t="str">
        <f>IFERROR(VLOOKUP(J1358,'Mã NV'!$B:$C,2,0),"")</f>
        <v>XE01620</v>
      </c>
      <c r="Q1358" s="70" t="str">
        <f>IFERROR(VLOOKUP(I1358,'Mã NV'!$J:$K,2,0),"")</f>
        <v>6.5T</v>
      </c>
      <c r="S1358" s="44">
        <f t="shared" si="88"/>
        <v>6021</v>
      </c>
    </row>
    <row r="1359" customHeight="1" spans="1:19">
      <c r="A1359" s="63">
        <f t="shared" ref="A1359:A1422" si="91">A1358+1</f>
        <v>1353</v>
      </c>
      <c r="B1359" s="64">
        <v>46154</v>
      </c>
      <c r="C1359" s="65"/>
      <c r="D1359" s="66" t="s">
        <v>33</v>
      </c>
      <c r="E1359" s="66" t="s">
        <v>33</v>
      </c>
      <c r="F1359" s="66" t="s">
        <v>985</v>
      </c>
      <c r="G1359" s="66" t="s">
        <v>750</v>
      </c>
      <c r="H1359" s="66" t="s">
        <v>1013</v>
      </c>
      <c r="I1359" s="66" t="s">
        <v>48</v>
      </c>
      <c r="J1359" s="66" t="s">
        <v>324</v>
      </c>
      <c r="K1359" s="66" t="s">
        <v>747</v>
      </c>
      <c r="L1359" s="67">
        <v>60210</v>
      </c>
      <c r="M1359" s="67">
        <v>0</v>
      </c>
      <c r="N1359" s="68">
        <f t="shared" si="90"/>
        <v>60210</v>
      </c>
      <c r="O1359" s="69">
        <f t="shared" si="89"/>
        <v>60210</v>
      </c>
      <c r="P1359" s="42" t="str">
        <f>IFERROR(VLOOKUP(J1359,'Mã NV'!$B:$C,2,0),"")</f>
        <v>XE01620</v>
      </c>
      <c r="Q1359" s="70" t="str">
        <f>IFERROR(VLOOKUP(I1359,'Mã NV'!$J:$K,2,0),"")</f>
        <v>6.5T</v>
      </c>
      <c r="S1359" s="44">
        <f t="shared" si="88"/>
        <v>9031.5</v>
      </c>
    </row>
    <row r="1360" customHeight="1" spans="1:19">
      <c r="A1360" s="63">
        <f t="shared" si="91"/>
        <v>1354</v>
      </c>
      <c r="B1360" s="64">
        <v>46154</v>
      </c>
      <c r="C1360" s="65"/>
      <c r="D1360" s="66" t="s">
        <v>33</v>
      </c>
      <c r="E1360" s="66" t="s">
        <v>33</v>
      </c>
      <c r="F1360" s="66" t="s">
        <v>985</v>
      </c>
      <c r="G1360" s="66" t="s">
        <v>750</v>
      </c>
      <c r="H1360" s="66" t="s">
        <v>1015</v>
      </c>
      <c r="I1360" s="66" t="s">
        <v>48</v>
      </c>
      <c r="J1360" s="66" t="s">
        <v>324</v>
      </c>
      <c r="K1360" s="66" t="s">
        <v>747</v>
      </c>
      <c r="L1360" s="67">
        <v>483500</v>
      </c>
      <c r="M1360" s="67">
        <v>0</v>
      </c>
      <c r="N1360" s="68">
        <f t="shared" si="90"/>
        <v>483500</v>
      </c>
      <c r="O1360" s="69">
        <f t="shared" si="89"/>
        <v>483500</v>
      </c>
      <c r="P1360" s="42" t="str">
        <f>IFERROR(VLOOKUP(J1360,'Mã NV'!$B:$C,2,0),"")</f>
        <v>XE01620</v>
      </c>
      <c r="Q1360" s="70" t="str">
        <f>IFERROR(VLOOKUP(I1360,'Mã NV'!$J:$K,2,0),"")</f>
        <v>6.5T</v>
      </c>
      <c r="S1360" s="44">
        <f t="shared" si="88"/>
        <v>72525</v>
      </c>
    </row>
    <row r="1361" customHeight="1" spans="1:19">
      <c r="A1361" s="63">
        <f t="shared" si="91"/>
        <v>1355</v>
      </c>
      <c r="B1361" s="64">
        <v>46155</v>
      </c>
      <c r="C1361" s="65"/>
      <c r="D1361" s="66" t="s">
        <v>33</v>
      </c>
      <c r="E1361" s="66" t="s">
        <v>33</v>
      </c>
      <c r="F1361" s="66" t="s">
        <v>985</v>
      </c>
      <c r="G1361" s="66" t="s">
        <v>750</v>
      </c>
      <c r="H1361" s="66" t="s">
        <v>1034</v>
      </c>
      <c r="I1361" s="66" t="s">
        <v>38</v>
      </c>
      <c r="J1361" s="66" t="s">
        <v>105</v>
      </c>
      <c r="K1361" s="66" t="s">
        <v>747</v>
      </c>
      <c r="L1361" s="67">
        <v>20983644</v>
      </c>
      <c r="M1361" s="67">
        <v>0</v>
      </c>
      <c r="N1361" s="68">
        <f t="shared" si="90"/>
        <v>20983644</v>
      </c>
      <c r="O1361" s="69">
        <f t="shared" si="89"/>
        <v>20983644</v>
      </c>
      <c r="P1361" s="42" t="str">
        <f>IFERROR(VLOOKUP(J1361,'Mã NV'!$B:$C,2,0),"")</f>
        <v>XE00853</v>
      </c>
      <c r="Q1361" s="70" t="str">
        <f>IFERROR(VLOOKUP(I1361,'Mã NV'!$J:$K,2,0),"")</f>
        <v>Cont 50F</v>
      </c>
      <c r="S1361" s="44">
        <f t="shared" si="88"/>
        <v>3147546.6</v>
      </c>
    </row>
    <row r="1362" customHeight="1" spans="1:19">
      <c r="A1362" s="63">
        <f t="shared" si="91"/>
        <v>1356</v>
      </c>
      <c r="B1362" s="64">
        <v>46155</v>
      </c>
      <c r="C1362" s="65"/>
      <c r="D1362" s="66" t="s">
        <v>33</v>
      </c>
      <c r="E1362" s="66" t="s">
        <v>33</v>
      </c>
      <c r="F1362" s="66" t="s">
        <v>985</v>
      </c>
      <c r="G1362" s="66" t="s">
        <v>750</v>
      </c>
      <c r="H1362" s="66" t="s">
        <v>1034</v>
      </c>
      <c r="I1362" s="66" t="s">
        <v>38</v>
      </c>
      <c r="J1362" s="66" t="s">
        <v>35</v>
      </c>
      <c r="K1362" s="66" t="s">
        <v>747</v>
      </c>
      <c r="L1362" s="67">
        <v>20983644</v>
      </c>
      <c r="M1362" s="67">
        <v>0</v>
      </c>
      <c r="N1362" s="68">
        <f t="shared" si="90"/>
        <v>20983644</v>
      </c>
      <c r="O1362" s="69">
        <f t="shared" si="89"/>
        <v>20983644</v>
      </c>
      <c r="P1362" s="42" t="str">
        <f>IFERROR(VLOOKUP(J1362,'Mã NV'!$B:$C,2,0),"")</f>
        <v>XE01303</v>
      </c>
      <c r="Q1362" s="70" t="str">
        <f>IFERROR(VLOOKUP(I1362,'Mã NV'!$J:$K,2,0),"")</f>
        <v>Cont 50F</v>
      </c>
      <c r="S1362" s="44">
        <f t="shared" si="88"/>
        <v>3147546.6</v>
      </c>
    </row>
    <row r="1363" customHeight="1" spans="1:19">
      <c r="A1363" s="63">
        <f t="shared" si="91"/>
        <v>1357</v>
      </c>
      <c r="B1363" s="64">
        <v>46155</v>
      </c>
      <c r="C1363" s="65"/>
      <c r="D1363" s="66" t="s">
        <v>33</v>
      </c>
      <c r="E1363" s="66" t="s">
        <v>33</v>
      </c>
      <c r="F1363" s="66" t="s">
        <v>985</v>
      </c>
      <c r="G1363" s="66" t="s">
        <v>750</v>
      </c>
      <c r="H1363" s="66" t="s">
        <v>1035</v>
      </c>
      <c r="I1363" s="66" t="s">
        <v>130</v>
      </c>
      <c r="J1363" s="66" t="s">
        <v>128</v>
      </c>
      <c r="K1363" s="66" t="s">
        <v>747</v>
      </c>
      <c r="L1363" s="67">
        <v>136846</v>
      </c>
      <c r="M1363" s="67">
        <v>0</v>
      </c>
      <c r="N1363" s="68">
        <f t="shared" si="90"/>
        <v>136846</v>
      </c>
      <c r="O1363" s="69">
        <f t="shared" si="89"/>
        <v>136846</v>
      </c>
      <c r="P1363" s="42" t="str">
        <f>IFERROR(VLOOKUP(J1363,'Mã NV'!$B:$C,2,0),"")</f>
        <v>XE00953</v>
      </c>
      <c r="Q1363" s="70" t="str">
        <f>IFERROR(VLOOKUP(I1363,'Mã NV'!$J:$K,2,0),"")</f>
        <v>8T</v>
      </c>
      <c r="S1363" s="44">
        <f t="shared" si="88"/>
        <v>20526.9</v>
      </c>
    </row>
    <row r="1364" customHeight="1" spans="1:19">
      <c r="A1364" s="63">
        <f t="shared" si="91"/>
        <v>1358</v>
      </c>
      <c r="B1364" s="64">
        <v>46155</v>
      </c>
      <c r="C1364" s="65"/>
      <c r="D1364" s="66" t="s">
        <v>33</v>
      </c>
      <c r="E1364" s="66" t="s">
        <v>33</v>
      </c>
      <c r="F1364" s="66" t="s">
        <v>985</v>
      </c>
      <c r="G1364" s="66" t="s">
        <v>750</v>
      </c>
      <c r="H1364" s="66" t="s">
        <v>1035</v>
      </c>
      <c r="I1364" s="66" t="s">
        <v>130</v>
      </c>
      <c r="J1364" s="66" t="s">
        <v>128</v>
      </c>
      <c r="K1364" s="66" t="s">
        <v>747</v>
      </c>
      <c r="L1364" s="67">
        <v>903700</v>
      </c>
      <c r="M1364" s="67">
        <v>0</v>
      </c>
      <c r="N1364" s="68">
        <f t="shared" si="90"/>
        <v>903700</v>
      </c>
      <c r="O1364" s="69">
        <f t="shared" si="89"/>
        <v>903700</v>
      </c>
      <c r="P1364" s="42" t="str">
        <f>IFERROR(VLOOKUP(J1364,'Mã NV'!$B:$C,2,0),"")</f>
        <v>XE00953</v>
      </c>
      <c r="Q1364" s="70" t="str">
        <f>IFERROR(VLOOKUP(I1364,'Mã NV'!$J:$K,2,0),"")</f>
        <v>8T</v>
      </c>
      <c r="S1364" s="44">
        <f t="shared" si="88"/>
        <v>135555</v>
      </c>
    </row>
    <row r="1365" customHeight="1" spans="1:19">
      <c r="A1365" s="63">
        <f t="shared" si="91"/>
        <v>1359</v>
      </c>
      <c r="B1365" s="64">
        <v>46155</v>
      </c>
      <c r="C1365" s="65"/>
      <c r="D1365" s="66" t="s">
        <v>33</v>
      </c>
      <c r="E1365" s="66" t="s">
        <v>33</v>
      </c>
      <c r="F1365" s="66" t="s">
        <v>985</v>
      </c>
      <c r="G1365" s="66" t="s">
        <v>750</v>
      </c>
      <c r="H1365" s="66" t="s">
        <v>1032</v>
      </c>
      <c r="I1365" s="66" t="s">
        <v>130</v>
      </c>
      <c r="J1365" s="66" t="s">
        <v>128</v>
      </c>
      <c r="K1365" s="66" t="s">
        <v>747</v>
      </c>
      <c r="L1365" s="67">
        <v>1591000</v>
      </c>
      <c r="M1365" s="67">
        <v>0</v>
      </c>
      <c r="N1365" s="68">
        <f t="shared" si="90"/>
        <v>1591000</v>
      </c>
      <c r="O1365" s="69">
        <f t="shared" si="89"/>
        <v>1591000</v>
      </c>
      <c r="P1365" s="42" t="str">
        <f>IFERROR(VLOOKUP(J1365,'Mã NV'!$B:$C,2,0),"")</f>
        <v>XE00953</v>
      </c>
      <c r="Q1365" s="70" t="str">
        <f>IFERROR(VLOOKUP(I1365,'Mã NV'!$J:$K,2,0),"")</f>
        <v>8T</v>
      </c>
      <c r="S1365" s="44">
        <f t="shared" si="88"/>
        <v>238650</v>
      </c>
    </row>
    <row r="1366" customHeight="1" spans="1:19">
      <c r="A1366" s="63">
        <f t="shared" si="91"/>
        <v>1360</v>
      </c>
      <c r="B1366" s="64">
        <v>46155</v>
      </c>
      <c r="C1366" s="65"/>
      <c r="D1366" s="66" t="s">
        <v>33</v>
      </c>
      <c r="E1366" s="66" t="s">
        <v>33</v>
      </c>
      <c r="F1366" s="66" t="s">
        <v>985</v>
      </c>
      <c r="G1366" s="66" t="s">
        <v>750</v>
      </c>
      <c r="H1366" s="66" t="s">
        <v>1032</v>
      </c>
      <c r="I1366" s="66" t="s">
        <v>130</v>
      </c>
      <c r="J1366" s="66" t="s">
        <v>128</v>
      </c>
      <c r="K1366" s="66" t="s">
        <v>747</v>
      </c>
      <c r="L1366" s="67">
        <v>1514632</v>
      </c>
      <c r="M1366" s="67">
        <v>0</v>
      </c>
      <c r="N1366" s="68">
        <f t="shared" si="90"/>
        <v>1514632</v>
      </c>
      <c r="O1366" s="69">
        <f t="shared" si="89"/>
        <v>1514632</v>
      </c>
      <c r="P1366" s="42" t="str">
        <f>IFERROR(VLOOKUP(J1366,'Mã NV'!$B:$C,2,0),"")</f>
        <v>XE00953</v>
      </c>
      <c r="Q1366" s="70" t="str">
        <f>IFERROR(VLOOKUP(I1366,'Mã NV'!$J:$K,2,0),"")</f>
        <v>8T</v>
      </c>
      <c r="S1366" s="44">
        <f t="shared" si="88"/>
        <v>227194.8</v>
      </c>
    </row>
    <row r="1367" customHeight="1" spans="1:19">
      <c r="A1367" s="63">
        <f t="shared" si="91"/>
        <v>1361</v>
      </c>
      <c r="B1367" s="64">
        <v>46155</v>
      </c>
      <c r="C1367" s="65"/>
      <c r="D1367" s="66" t="s">
        <v>33</v>
      </c>
      <c r="E1367" s="66" t="s">
        <v>33</v>
      </c>
      <c r="F1367" s="66" t="s">
        <v>985</v>
      </c>
      <c r="G1367" s="66" t="s">
        <v>750</v>
      </c>
      <c r="H1367" s="66" t="s">
        <v>1032</v>
      </c>
      <c r="I1367" s="66" t="s">
        <v>197</v>
      </c>
      <c r="J1367" s="66" t="s">
        <v>195</v>
      </c>
      <c r="K1367" s="66" t="s">
        <v>747</v>
      </c>
      <c r="L1367" s="67">
        <v>4534350</v>
      </c>
      <c r="M1367" s="67">
        <v>0</v>
      </c>
      <c r="N1367" s="68">
        <f t="shared" si="90"/>
        <v>4534350</v>
      </c>
      <c r="O1367" s="69">
        <f t="shared" si="89"/>
        <v>4534350</v>
      </c>
      <c r="P1367" s="42" t="str">
        <f>IFERROR(VLOOKUP(J1367,'Mã NV'!$B:$C,2,0),"")</f>
        <v>XE00449</v>
      </c>
      <c r="Q1367" s="70" t="str">
        <f>IFERROR(VLOOKUP(I1367,'Mã NV'!$J:$K,2,0),"")</f>
        <v>8T</v>
      </c>
      <c r="S1367" s="44">
        <f t="shared" si="88"/>
        <v>680152.5</v>
      </c>
    </row>
    <row r="1368" customHeight="1" spans="1:19">
      <c r="A1368" s="63">
        <f t="shared" si="91"/>
        <v>1362</v>
      </c>
      <c r="B1368" s="64">
        <v>46155</v>
      </c>
      <c r="C1368" s="65"/>
      <c r="D1368" s="66" t="s">
        <v>33</v>
      </c>
      <c r="E1368" s="66" t="s">
        <v>33</v>
      </c>
      <c r="F1368" s="66" t="s">
        <v>985</v>
      </c>
      <c r="G1368" s="66" t="s">
        <v>750</v>
      </c>
      <c r="H1368" s="66" t="s">
        <v>1032</v>
      </c>
      <c r="I1368" s="66" t="s">
        <v>197</v>
      </c>
      <c r="J1368" s="66" t="s">
        <v>195</v>
      </c>
      <c r="K1368" s="66" t="s">
        <v>747</v>
      </c>
      <c r="L1368" s="67">
        <v>334110</v>
      </c>
      <c r="M1368" s="67">
        <v>0</v>
      </c>
      <c r="N1368" s="68">
        <f t="shared" si="90"/>
        <v>334110</v>
      </c>
      <c r="O1368" s="69">
        <f t="shared" si="89"/>
        <v>334110</v>
      </c>
      <c r="P1368" s="42" t="str">
        <f>IFERROR(VLOOKUP(J1368,'Mã NV'!$B:$C,2,0),"")</f>
        <v>XE00449</v>
      </c>
      <c r="Q1368" s="70" t="str">
        <f>IFERROR(VLOOKUP(I1368,'Mã NV'!$J:$K,2,0),"")</f>
        <v>8T</v>
      </c>
      <c r="S1368" s="44">
        <f t="shared" si="88"/>
        <v>50116.5</v>
      </c>
    </row>
    <row r="1369" customHeight="1" spans="1:19">
      <c r="A1369" s="63">
        <f t="shared" si="91"/>
        <v>1363</v>
      </c>
      <c r="B1369" s="64">
        <v>46155</v>
      </c>
      <c r="C1369" s="65"/>
      <c r="D1369" s="66" t="s">
        <v>33</v>
      </c>
      <c r="E1369" s="66" t="s">
        <v>33</v>
      </c>
      <c r="F1369" s="66" t="s">
        <v>985</v>
      </c>
      <c r="G1369" s="66" t="s">
        <v>750</v>
      </c>
      <c r="H1369" s="66" t="s">
        <v>1032</v>
      </c>
      <c r="I1369" s="66" t="s">
        <v>197</v>
      </c>
      <c r="J1369" s="66" t="s">
        <v>195</v>
      </c>
      <c r="K1369" s="66" t="s">
        <v>747</v>
      </c>
      <c r="L1369" s="67">
        <v>389795</v>
      </c>
      <c r="M1369" s="67">
        <v>0</v>
      </c>
      <c r="N1369" s="68">
        <f t="shared" si="90"/>
        <v>389795</v>
      </c>
      <c r="O1369" s="69">
        <f t="shared" si="89"/>
        <v>389795</v>
      </c>
      <c r="P1369" s="42" t="str">
        <f>IFERROR(VLOOKUP(J1369,'Mã NV'!$B:$C,2,0),"")</f>
        <v>XE00449</v>
      </c>
      <c r="Q1369" s="70" t="str">
        <f>IFERROR(VLOOKUP(I1369,'Mã NV'!$J:$K,2,0),"")</f>
        <v>8T</v>
      </c>
      <c r="S1369" s="44">
        <f t="shared" si="88"/>
        <v>58469.25</v>
      </c>
    </row>
    <row r="1370" customHeight="1" spans="1:19">
      <c r="A1370" s="63">
        <f t="shared" si="91"/>
        <v>1364</v>
      </c>
      <c r="B1370" s="64">
        <v>46155</v>
      </c>
      <c r="C1370" s="65"/>
      <c r="D1370" s="66" t="s">
        <v>33</v>
      </c>
      <c r="E1370" s="66" t="s">
        <v>33</v>
      </c>
      <c r="F1370" s="66" t="s">
        <v>985</v>
      </c>
      <c r="G1370" s="66" t="s">
        <v>750</v>
      </c>
      <c r="H1370" s="66" t="s">
        <v>1024</v>
      </c>
      <c r="I1370" s="66" t="s">
        <v>191</v>
      </c>
      <c r="J1370" s="66" t="s">
        <v>189</v>
      </c>
      <c r="K1370" s="66" t="s">
        <v>747</v>
      </c>
      <c r="L1370" s="67">
        <v>239408</v>
      </c>
      <c r="M1370" s="67">
        <v>0</v>
      </c>
      <c r="N1370" s="68">
        <f t="shared" si="90"/>
        <v>239408</v>
      </c>
      <c r="O1370" s="69">
        <f t="shared" si="89"/>
        <v>239408</v>
      </c>
      <c r="P1370" s="42" t="str">
        <f>IFERROR(VLOOKUP(J1370,'Mã NV'!$B:$C,2,0),"")</f>
        <v>XE00891</v>
      </c>
      <c r="Q1370" s="70" t="str">
        <f>IFERROR(VLOOKUP(I1370,'Mã NV'!$J:$K,2,0),"")</f>
        <v>8T</v>
      </c>
      <c r="S1370" s="44">
        <f t="shared" si="88"/>
        <v>35911.2</v>
      </c>
    </row>
    <row r="1371" customHeight="1" spans="1:19">
      <c r="A1371" s="63">
        <f t="shared" si="91"/>
        <v>1365</v>
      </c>
      <c r="B1371" s="64">
        <v>46155</v>
      </c>
      <c r="C1371" s="65"/>
      <c r="D1371" s="66" t="s">
        <v>33</v>
      </c>
      <c r="E1371" s="66" t="s">
        <v>33</v>
      </c>
      <c r="F1371" s="66" t="s">
        <v>985</v>
      </c>
      <c r="G1371" s="66" t="s">
        <v>750</v>
      </c>
      <c r="H1371" s="66" t="s">
        <v>1024</v>
      </c>
      <c r="I1371" s="66" t="s">
        <v>191</v>
      </c>
      <c r="J1371" s="66" t="s">
        <v>189</v>
      </c>
      <c r="K1371" s="66" t="s">
        <v>747</v>
      </c>
      <c r="L1371" s="67">
        <v>1151000</v>
      </c>
      <c r="M1371" s="67">
        <v>0</v>
      </c>
      <c r="N1371" s="68">
        <f t="shared" si="90"/>
        <v>1151000</v>
      </c>
      <c r="O1371" s="69">
        <f t="shared" si="89"/>
        <v>1151000</v>
      </c>
      <c r="P1371" s="42" t="str">
        <f>IFERROR(VLOOKUP(J1371,'Mã NV'!$B:$C,2,0),"")</f>
        <v>XE00891</v>
      </c>
      <c r="Q1371" s="70" t="str">
        <f>IFERROR(VLOOKUP(I1371,'Mã NV'!$J:$K,2,0),"")</f>
        <v>8T</v>
      </c>
      <c r="S1371" s="44">
        <f t="shared" si="88"/>
        <v>172650</v>
      </c>
    </row>
    <row r="1372" customHeight="1" spans="1:19">
      <c r="A1372" s="63">
        <f t="shared" si="91"/>
        <v>1366</v>
      </c>
      <c r="B1372" s="64">
        <v>46155</v>
      </c>
      <c r="C1372" s="65"/>
      <c r="D1372" s="66" t="s">
        <v>33</v>
      </c>
      <c r="E1372" s="66" t="s">
        <v>33</v>
      </c>
      <c r="F1372" s="66" t="s">
        <v>985</v>
      </c>
      <c r="G1372" s="66" t="s">
        <v>750</v>
      </c>
      <c r="H1372" s="66" t="s">
        <v>1024</v>
      </c>
      <c r="I1372" s="66" t="s">
        <v>191</v>
      </c>
      <c r="J1372" s="66" t="s">
        <v>189</v>
      </c>
      <c r="K1372" s="66" t="s">
        <v>747</v>
      </c>
      <c r="L1372" s="67">
        <v>392491</v>
      </c>
      <c r="M1372" s="67">
        <v>0</v>
      </c>
      <c r="N1372" s="68">
        <f t="shared" si="90"/>
        <v>392491</v>
      </c>
      <c r="O1372" s="69">
        <f t="shared" si="89"/>
        <v>392491</v>
      </c>
      <c r="P1372" s="42" t="str">
        <f>IFERROR(VLOOKUP(J1372,'Mã NV'!$B:$C,2,0),"")</f>
        <v>XE00891</v>
      </c>
      <c r="Q1372" s="70" t="str">
        <f>IFERROR(VLOOKUP(I1372,'Mã NV'!$J:$K,2,0),"")</f>
        <v>8T</v>
      </c>
      <c r="S1372" s="44">
        <f t="shared" si="88"/>
        <v>58873.65</v>
      </c>
    </row>
    <row r="1373" customHeight="1" spans="1:19">
      <c r="A1373" s="63">
        <f t="shared" si="91"/>
        <v>1367</v>
      </c>
      <c r="B1373" s="64">
        <v>46155</v>
      </c>
      <c r="C1373" s="65"/>
      <c r="D1373" s="66" t="s">
        <v>33</v>
      </c>
      <c r="E1373" s="66" t="s">
        <v>33</v>
      </c>
      <c r="F1373" s="66" t="s">
        <v>985</v>
      </c>
      <c r="G1373" s="66" t="s">
        <v>750</v>
      </c>
      <c r="H1373" s="66" t="s">
        <v>1024</v>
      </c>
      <c r="I1373" s="66" t="s">
        <v>191</v>
      </c>
      <c r="J1373" s="66" t="s">
        <v>189</v>
      </c>
      <c r="K1373" s="66" t="s">
        <v>747</v>
      </c>
      <c r="L1373" s="67">
        <v>920800</v>
      </c>
      <c r="M1373" s="67">
        <v>0</v>
      </c>
      <c r="N1373" s="68">
        <f t="shared" si="90"/>
        <v>920800</v>
      </c>
      <c r="O1373" s="69">
        <f t="shared" si="89"/>
        <v>920800</v>
      </c>
      <c r="P1373" s="42" t="str">
        <f>IFERROR(VLOOKUP(J1373,'Mã NV'!$B:$C,2,0),"")</f>
        <v>XE00891</v>
      </c>
      <c r="Q1373" s="70" t="str">
        <f>IFERROR(VLOOKUP(I1373,'Mã NV'!$J:$K,2,0),"")</f>
        <v>8T</v>
      </c>
      <c r="S1373" s="44">
        <f t="shared" si="88"/>
        <v>138120</v>
      </c>
    </row>
    <row r="1374" customHeight="1" spans="1:19">
      <c r="A1374" s="63">
        <f t="shared" si="91"/>
        <v>1368</v>
      </c>
      <c r="B1374" s="64">
        <v>46155</v>
      </c>
      <c r="C1374" s="65"/>
      <c r="D1374" s="66" t="s">
        <v>33</v>
      </c>
      <c r="E1374" s="66" t="s">
        <v>33</v>
      </c>
      <c r="F1374" s="66" t="s">
        <v>985</v>
      </c>
      <c r="G1374" s="66" t="s">
        <v>750</v>
      </c>
      <c r="H1374" s="66" t="s">
        <v>1010</v>
      </c>
      <c r="I1374" s="66" t="s">
        <v>191</v>
      </c>
      <c r="J1374" s="66" t="s">
        <v>189</v>
      </c>
      <c r="K1374" s="66" t="s">
        <v>747</v>
      </c>
      <c r="L1374" s="67">
        <v>893360</v>
      </c>
      <c r="M1374" s="67">
        <v>0</v>
      </c>
      <c r="N1374" s="68">
        <f t="shared" si="90"/>
        <v>893360</v>
      </c>
      <c r="O1374" s="69">
        <f t="shared" si="89"/>
        <v>893360</v>
      </c>
      <c r="P1374" s="42" t="str">
        <f>IFERROR(VLOOKUP(J1374,'Mã NV'!$B:$C,2,0),"")</f>
        <v>XE00891</v>
      </c>
      <c r="Q1374" s="70" t="str">
        <f>IFERROR(VLOOKUP(I1374,'Mã NV'!$J:$K,2,0),"")</f>
        <v>8T</v>
      </c>
      <c r="S1374" s="44">
        <f t="shared" si="88"/>
        <v>134004</v>
      </c>
    </row>
    <row r="1375" customHeight="1" spans="1:19">
      <c r="A1375" s="63">
        <f t="shared" si="91"/>
        <v>1369</v>
      </c>
      <c r="B1375" s="64">
        <v>46155</v>
      </c>
      <c r="C1375" s="65"/>
      <c r="D1375" s="66" t="s">
        <v>33</v>
      </c>
      <c r="E1375" s="66" t="s">
        <v>33</v>
      </c>
      <c r="F1375" s="66" t="s">
        <v>985</v>
      </c>
      <c r="G1375" s="66" t="s">
        <v>750</v>
      </c>
      <c r="H1375" s="66" t="s">
        <v>1030</v>
      </c>
      <c r="I1375" s="66" t="s">
        <v>164</v>
      </c>
      <c r="J1375" s="66" t="s">
        <v>217</v>
      </c>
      <c r="K1375" s="66" t="s">
        <v>747</v>
      </c>
      <c r="L1375" s="67">
        <v>1113885</v>
      </c>
      <c r="M1375" s="67">
        <v>0</v>
      </c>
      <c r="N1375" s="68">
        <f t="shared" si="90"/>
        <v>1113885</v>
      </c>
      <c r="O1375" s="69">
        <f t="shared" si="89"/>
        <v>1113885</v>
      </c>
      <c r="P1375" s="42" t="str">
        <f>IFERROR(VLOOKUP(J1375,'Mã NV'!$B:$C,2,0),"")</f>
        <v>XE01004</v>
      </c>
      <c r="Q1375" s="70" t="str">
        <f>IFERROR(VLOOKUP(I1375,'Mã NV'!$J:$K,2,0),"")</f>
        <v>6.5T</v>
      </c>
      <c r="S1375" s="44">
        <f t="shared" si="88"/>
        <v>167082.75</v>
      </c>
    </row>
    <row r="1376" customHeight="1" spans="1:19">
      <c r="A1376" s="63">
        <f t="shared" si="91"/>
        <v>1370</v>
      </c>
      <c r="B1376" s="64">
        <v>46155</v>
      </c>
      <c r="C1376" s="65"/>
      <c r="D1376" s="66" t="s">
        <v>33</v>
      </c>
      <c r="E1376" s="66" t="s">
        <v>33</v>
      </c>
      <c r="F1376" s="66" t="s">
        <v>985</v>
      </c>
      <c r="G1376" s="66" t="s">
        <v>750</v>
      </c>
      <c r="H1376" s="66" t="s">
        <v>1030</v>
      </c>
      <c r="I1376" s="66" t="s">
        <v>164</v>
      </c>
      <c r="J1376" s="66" t="s">
        <v>217</v>
      </c>
      <c r="K1376" s="66" t="s">
        <v>747</v>
      </c>
      <c r="L1376" s="67">
        <v>2508750</v>
      </c>
      <c r="M1376" s="67">
        <v>0</v>
      </c>
      <c r="N1376" s="68">
        <f t="shared" si="90"/>
        <v>2508750</v>
      </c>
      <c r="O1376" s="69">
        <f t="shared" si="89"/>
        <v>2508750</v>
      </c>
      <c r="P1376" s="42" t="str">
        <f>IFERROR(VLOOKUP(J1376,'Mã NV'!$B:$C,2,0),"")</f>
        <v>XE01004</v>
      </c>
      <c r="Q1376" s="70" t="str">
        <f>IFERROR(VLOOKUP(I1376,'Mã NV'!$J:$K,2,0),"")</f>
        <v>6.5T</v>
      </c>
      <c r="S1376" s="44">
        <f t="shared" si="88"/>
        <v>376312.5</v>
      </c>
    </row>
    <row r="1377" customHeight="1" spans="1:19">
      <c r="A1377" s="63">
        <f t="shared" si="91"/>
        <v>1371</v>
      </c>
      <c r="B1377" s="64">
        <v>46155</v>
      </c>
      <c r="C1377" s="65"/>
      <c r="D1377" s="66" t="s">
        <v>33</v>
      </c>
      <c r="E1377" s="66" t="s">
        <v>33</v>
      </c>
      <c r="F1377" s="66" t="s">
        <v>985</v>
      </c>
      <c r="G1377" s="66" t="s">
        <v>750</v>
      </c>
      <c r="H1377" s="66" t="s">
        <v>1003</v>
      </c>
      <c r="I1377" s="66" t="s">
        <v>133</v>
      </c>
      <c r="J1377" s="66" t="s">
        <v>347</v>
      </c>
      <c r="K1377" s="66" t="s">
        <v>747</v>
      </c>
      <c r="L1377" s="67">
        <v>104842</v>
      </c>
      <c r="M1377" s="67">
        <v>0</v>
      </c>
      <c r="N1377" s="68">
        <f t="shared" si="90"/>
        <v>104842</v>
      </c>
      <c r="O1377" s="69">
        <f t="shared" si="89"/>
        <v>104842</v>
      </c>
      <c r="P1377" s="42" t="str">
        <f>IFERROR(VLOOKUP(J1377,'Mã NV'!$B:$C,2,0),"")</f>
        <v>XE01653</v>
      </c>
      <c r="Q1377" s="70" t="str">
        <f>IFERROR(VLOOKUP(I1377,'Mã NV'!$J:$K,2,0),"")</f>
        <v>2.5T</v>
      </c>
      <c r="S1377" s="44">
        <f t="shared" si="88"/>
        <v>15726.3</v>
      </c>
    </row>
    <row r="1378" customHeight="1" spans="1:19">
      <c r="A1378" s="63">
        <f t="shared" si="91"/>
        <v>1372</v>
      </c>
      <c r="B1378" s="64">
        <v>46155</v>
      </c>
      <c r="C1378" s="65"/>
      <c r="D1378" s="66" t="s">
        <v>33</v>
      </c>
      <c r="E1378" s="66" t="s">
        <v>33</v>
      </c>
      <c r="F1378" s="66" t="s">
        <v>985</v>
      </c>
      <c r="G1378" s="66" t="s">
        <v>750</v>
      </c>
      <c r="H1378" s="66" t="s">
        <v>1003</v>
      </c>
      <c r="I1378" s="66" t="s">
        <v>133</v>
      </c>
      <c r="J1378" s="66" t="s">
        <v>347</v>
      </c>
      <c r="K1378" s="66" t="s">
        <v>747</v>
      </c>
      <c r="L1378" s="67">
        <v>671460</v>
      </c>
      <c r="M1378" s="67">
        <v>0</v>
      </c>
      <c r="N1378" s="68">
        <f t="shared" si="90"/>
        <v>671460</v>
      </c>
      <c r="O1378" s="69">
        <f t="shared" si="89"/>
        <v>671460</v>
      </c>
      <c r="P1378" s="42" t="str">
        <f>IFERROR(VLOOKUP(J1378,'Mã NV'!$B:$C,2,0),"")</f>
        <v>XE01653</v>
      </c>
      <c r="Q1378" s="70" t="str">
        <f>IFERROR(VLOOKUP(I1378,'Mã NV'!$J:$K,2,0),"")</f>
        <v>2.5T</v>
      </c>
      <c r="S1378" s="44">
        <f t="shared" si="88"/>
        <v>100719</v>
      </c>
    </row>
    <row r="1379" customHeight="1" spans="1:19">
      <c r="A1379" s="63">
        <f t="shared" si="91"/>
        <v>1373</v>
      </c>
      <c r="B1379" s="64">
        <v>46155</v>
      </c>
      <c r="C1379" s="65"/>
      <c r="D1379" s="66" t="s">
        <v>33</v>
      </c>
      <c r="E1379" s="66" t="s">
        <v>33</v>
      </c>
      <c r="F1379" s="66" t="s">
        <v>985</v>
      </c>
      <c r="G1379" s="66" t="s">
        <v>750</v>
      </c>
      <c r="H1379" s="66" t="s">
        <v>1018</v>
      </c>
      <c r="I1379" s="66" t="s">
        <v>115</v>
      </c>
      <c r="J1379" s="66" t="s">
        <v>113</v>
      </c>
      <c r="K1379" s="66" t="s">
        <v>747</v>
      </c>
      <c r="L1379" s="67">
        <v>138006</v>
      </c>
      <c r="M1379" s="67">
        <v>0</v>
      </c>
      <c r="N1379" s="68">
        <f t="shared" si="90"/>
        <v>138006</v>
      </c>
      <c r="O1379" s="69">
        <f t="shared" si="89"/>
        <v>138006</v>
      </c>
      <c r="P1379" s="42" t="str">
        <f>IFERROR(VLOOKUP(J1379,'Mã NV'!$B:$C,2,0),"")</f>
        <v>XE00447</v>
      </c>
      <c r="Q1379" s="70" t="str">
        <f>IFERROR(VLOOKUP(I1379,'Mã NV'!$J:$K,2,0),"")</f>
        <v>8T</v>
      </c>
      <c r="S1379" s="44">
        <f t="shared" si="88"/>
        <v>20700.9</v>
      </c>
    </row>
    <row r="1380" customHeight="1" spans="1:19">
      <c r="A1380" s="63">
        <f t="shared" si="91"/>
        <v>1374</v>
      </c>
      <c r="B1380" s="64">
        <v>46155</v>
      </c>
      <c r="C1380" s="65"/>
      <c r="D1380" s="66" t="s">
        <v>33</v>
      </c>
      <c r="E1380" s="66" t="s">
        <v>33</v>
      </c>
      <c r="F1380" s="66" t="s">
        <v>985</v>
      </c>
      <c r="G1380" s="66" t="s">
        <v>750</v>
      </c>
      <c r="H1380" s="66" t="s">
        <v>1018</v>
      </c>
      <c r="I1380" s="66" t="s">
        <v>115</v>
      </c>
      <c r="J1380" s="66" t="s">
        <v>113</v>
      </c>
      <c r="K1380" s="66" t="s">
        <v>747</v>
      </c>
      <c r="L1380" s="67">
        <v>2187900</v>
      </c>
      <c r="M1380" s="67">
        <v>0</v>
      </c>
      <c r="N1380" s="68">
        <f t="shared" si="90"/>
        <v>2187900</v>
      </c>
      <c r="O1380" s="69">
        <f t="shared" si="89"/>
        <v>2187900</v>
      </c>
      <c r="P1380" s="42" t="str">
        <f>IFERROR(VLOOKUP(J1380,'Mã NV'!$B:$C,2,0),"")</f>
        <v>XE00447</v>
      </c>
      <c r="Q1380" s="70" t="str">
        <f>IFERROR(VLOOKUP(I1380,'Mã NV'!$J:$K,2,0),"")</f>
        <v>8T</v>
      </c>
      <c r="S1380" s="44">
        <f t="shared" si="88"/>
        <v>328185</v>
      </c>
    </row>
    <row r="1381" customHeight="1" spans="1:19">
      <c r="A1381" s="63">
        <f t="shared" si="91"/>
        <v>1375</v>
      </c>
      <c r="B1381" s="64">
        <v>46155</v>
      </c>
      <c r="C1381" s="65"/>
      <c r="D1381" s="66" t="s">
        <v>33</v>
      </c>
      <c r="E1381" s="66" t="s">
        <v>33</v>
      </c>
      <c r="F1381" s="66" t="s">
        <v>985</v>
      </c>
      <c r="G1381" s="66" t="s">
        <v>750</v>
      </c>
      <c r="H1381" s="66" t="s">
        <v>1005</v>
      </c>
      <c r="I1381" s="66" t="s">
        <v>115</v>
      </c>
      <c r="J1381" s="66" t="s">
        <v>113</v>
      </c>
      <c r="K1381" s="66" t="s">
        <v>747</v>
      </c>
      <c r="L1381" s="67">
        <v>16830</v>
      </c>
      <c r="M1381" s="67">
        <v>0</v>
      </c>
      <c r="N1381" s="68">
        <f t="shared" si="90"/>
        <v>16830</v>
      </c>
      <c r="O1381" s="69">
        <f t="shared" si="89"/>
        <v>16830</v>
      </c>
      <c r="P1381" s="42" t="str">
        <f>IFERROR(VLOOKUP(J1381,'Mã NV'!$B:$C,2,0),"")</f>
        <v>XE00447</v>
      </c>
      <c r="Q1381" s="70" t="str">
        <f>IFERROR(VLOOKUP(I1381,'Mã NV'!$J:$K,2,0),"")</f>
        <v>8T</v>
      </c>
      <c r="S1381" s="44">
        <f t="shared" si="88"/>
        <v>2524.5</v>
      </c>
    </row>
    <row r="1382" customHeight="1" spans="1:19">
      <c r="A1382" s="63">
        <f t="shared" si="91"/>
        <v>1376</v>
      </c>
      <c r="B1382" s="64">
        <v>46155</v>
      </c>
      <c r="C1382" s="65"/>
      <c r="D1382" s="66" t="s">
        <v>33</v>
      </c>
      <c r="E1382" s="66" t="s">
        <v>33</v>
      </c>
      <c r="F1382" s="66" t="s">
        <v>985</v>
      </c>
      <c r="G1382" s="66" t="s">
        <v>750</v>
      </c>
      <c r="H1382" s="66" t="s">
        <v>1005</v>
      </c>
      <c r="I1382" s="66" t="s">
        <v>115</v>
      </c>
      <c r="J1382" s="66" t="s">
        <v>113</v>
      </c>
      <c r="K1382" s="66" t="s">
        <v>747</v>
      </c>
      <c r="L1382" s="67">
        <v>986238</v>
      </c>
      <c r="M1382" s="67">
        <v>0</v>
      </c>
      <c r="N1382" s="68">
        <f t="shared" si="90"/>
        <v>986238</v>
      </c>
      <c r="O1382" s="69">
        <f t="shared" si="89"/>
        <v>986238</v>
      </c>
      <c r="P1382" s="42" t="str">
        <f>IFERROR(VLOOKUP(J1382,'Mã NV'!$B:$C,2,0),"")</f>
        <v>XE00447</v>
      </c>
      <c r="Q1382" s="70" t="str">
        <f>IFERROR(VLOOKUP(I1382,'Mã NV'!$J:$K,2,0),"")</f>
        <v>8T</v>
      </c>
      <c r="S1382" s="44">
        <f t="shared" si="88"/>
        <v>147935.7</v>
      </c>
    </row>
    <row r="1383" customHeight="1" spans="1:19">
      <c r="A1383" s="63">
        <f t="shared" si="91"/>
        <v>1377</v>
      </c>
      <c r="B1383" s="64">
        <v>46155</v>
      </c>
      <c r="C1383" s="65"/>
      <c r="D1383" s="66" t="s">
        <v>33</v>
      </c>
      <c r="E1383" s="66" t="s">
        <v>33</v>
      </c>
      <c r="F1383" s="66" t="s">
        <v>985</v>
      </c>
      <c r="G1383" s="66" t="s">
        <v>750</v>
      </c>
      <c r="H1383" s="66" t="s">
        <v>1035</v>
      </c>
      <c r="I1383" s="66" t="s">
        <v>130</v>
      </c>
      <c r="J1383" s="66" t="s">
        <v>128</v>
      </c>
      <c r="K1383" s="66" t="s">
        <v>747</v>
      </c>
      <c r="L1383" s="67">
        <v>12910</v>
      </c>
      <c r="M1383" s="67">
        <v>0</v>
      </c>
      <c r="N1383" s="68">
        <f t="shared" si="90"/>
        <v>12910</v>
      </c>
      <c r="O1383" s="69">
        <f t="shared" si="89"/>
        <v>12910</v>
      </c>
      <c r="P1383" s="42" t="str">
        <f>IFERROR(VLOOKUP(J1383,'Mã NV'!$B:$C,2,0),"")</f>
        <v>XE00953</v>
      </c>
      <c r="Q1383" s="70" t="str">
        <f>IFERROR(VLOOKUP(I1383,'Mã NV'!$J:$K,2,0),"")</f>
        <v>8T</v>
      </c>
      <c r="S1383" s="44">
        <f t="shared" si="88"/>
        <v>1936.5</v>
      </c>
    </row>
    <row r="1384" customHeight="1" spans="1:19">
      <c r="A1384" s="63">
        <f t="shared" si="91"/>
        <v>1378</v>
      </c>
      <c r="B1384" s="64">
        <v>46155</v>
      </c>
      <c r="C1384" s="65"/>
      <c r="D1384" s="66" t="s">
        <v>33</v>
      </c>
      <c r="E1384" s="66" t="s">
        <v>33</v>
      </c>
      <c r="F1384" s="66" t="s">
        <v>985</v>
      </c>
      <c r="G1384" s="66" t="s">
        <v>750</v>
      </c>
      <c r="H1384" s="66" t="s">
        <v>1032</v>
      </c>
      <c r="I1384" s="66" t="s">
        <v>130</v>
      </c>
      <c r="J1384" s="66" t="s">
        <v>128</v>
      </c>
      <c r="K1384" s="66" t="s">
        <v>747</v>
      </c>
      <c r="L1384" s="67">
        <v>79550</v>
      </c>
      <c r="M1384" s="67">
        <v>0</v>
      </c>
      <c r="N1384" s="68">
        <f t="shared" si="90"/>
        <v>79550</v>
      </c>
      <c r="O1384" s="69">
        <f t="shared" si="89"/>
        <v>79550</v>
      </c>
      <c r="P1384" s="42" t="str">
        <f>IFERROR(VLOOKUP(J1384,'Mã NV'!$B:$C,2,0),"")</f>
        <v>XE00953</v>
      </c>
      <c r="Q1384" s="70" t="str">
        <f>IFERROR(VLOOKUP(I1384,'Mã NV'!$J:$K,2,0),"")</f>
        <v>8T</v>
      </c>
      <c r="S1384" s="44">
        <f t="shared" si="88"/>
        <v>11932.5</v>
      </c>
    </row>
    <row r="1385" customHeight="1" spans="1:19">
      <c r="A1385" s="63">
        <f t="shared" si="91"/>
        <v>1379</v>
      </c>
      <c r="B1385" s="64">
        <v>46155</v>
      </c>
      <c r="C1385" s="65"/>
      <c r="D1385" s="66" t="s">
        <v>33</v>
      </c>
      <c r="E1385" s="66" t="s">
        <v>33</v>
      </c>
      <c r="F1385" s="66" t="s">
        <v>985</v>
      </c>
      <c r="G1385" s="66" t="s">
        <v>750</v>
      </c>
      <c r="H1385" s="66" t="s">
        <v>1032</v>
      </c>
      <c r="I1385" s="66" t="s">
        <v>130</v>
      </c>
      <c r="J1385" s="66" t="s">
        <v>128</v>
      </c>
      <c r="K1385" s="66" t="s">
        <v>747</v>
      </c>
      <c r="L1385" s="67">
        <v>31820</v>
      </c>
      <c r="M1385" s="67">
        <v>0</v>
      </c>
      <c r="N1385" s="68">
        <f t="shared" si="90"/>
        <v>31820</v>
      </c>
      <c r="O1385" s="69">
        <f t="shared" si="89"/>
        <v>31820</v>
      </c>
      <c r="P1385" s="42" t="str">
        <f>IFERROR(VLOOKUP(J1385,'Mã NV'!$B:$C,2,0),"")</f>
        <v>XE00953</v>
      </c>
      <c r="Q1385" s="70" t="str">
        <f>IFERROR(VLOOKUP(I1385,'Mã NV'!$J:$K,2,0),"")</f>
        <v>8T</v>
      </c>
      <c r="S1385" s="44">
        <f t="shared" si="88"/>
        <v>4773</v>
      </c>
    </row>
    <row r="1386" customHeight="1" spans="1:19">
      <c r="A1386" s="63">
        <f t="shared" si="91"/>
        <v>1380</v>
      </c>
      <c r="B1386" s="64">
        <v>46155</v>
      </c>
      <c r="C1386" s="65"/>
      <c r="D1386" s="66" t="s">
        <v>33</v>
      </c>
      <c r="E1386" s="66" t="s">
        <v>33</v>
      </c>
      <c r="F1386" s="66" t="s">
        <v>985</v>
      </c>
      <c r="G1386" s="66" t="s">
        <v>750</v>
      </c>
      <c r="H1386" s="66" t="s">
        <v>1024</v>
      </c>
      <c r="I1386" s="66" t="s">
        <v>191</v>
      </c>
      <c r="J1386" s="66" t="s">
        <v>189</v>
      </c>
      <c r="K1386" s="66" t="s">
        <v>747</v>
      </c>
      <c r="L1386" s="67">
        <v>11510</v>
      </c>
      <c r="M1386" s="67">
        <v>0</v>
      </c>
      <c r="N1386" s="68">
        <f t="shared" si="90"/>
        <v>11510</v>
      </c>
      <c r="O1386" s="69">
        <f t="shared" si="89"/>
        <v>11510</v>
      </c>
      <c r="P1386" s="42" t="str">
        <f>IFERROR(VLOOKUP(J1386,'Mã NV'!$B:$C,2,0),"")</f>
        <v>XE00891</v>
      </c>
      <c r="Q1386" s="70" t="str">
        <f>IFERROR(VLOOKUP(I1386,'Mã NV'!$J:$K,2,0),"")</f>
        <v>8T</v>
      </c>
      <c r="S1386" s="44">
        <f t="shared" ref="S1386:S1449" si="92">L1386*15%</f>
        <v>1726.5</v>
      </c>
    </row>
    <row r="1387" customHeight="1" spans="1:19">
      <c r="A1387" s="63">
        <f t="shared" si="91"/>
        <v>1381</v>
      </c>
      <c r="B1387" s="64">
        <v>46155</v>
      </c>
      <c r="C1387" s="65"/>
      <c r="D1387" s="66" t="s">
        <v>33</v>
      </c>
      <c r="E1387" s="66" t="s">
        <v>33</v>
      </c>
      <c r="F1387" s="66" t="s">
        <v>985</v>
      </c>
      <c r="G1387" s="66" t="s">
        <v>750</v>
      </c>
      <c r="H1387" s="66" t="s">
        <v>1024</v>
      </c>
      <c r="I1387" s="66" t="s">
        <v>191</v>
      </c>
      <c r="J1387" s="66" t="s">
        <v>189</v>
      </c>
      <c r="K1387" s="66" t="s">
        <v>747</v>
      </c>
      <c r="L1387" s="67">
        <v>11510</v>
      </c>
      <c r="M1387" s="67">
        <v>0</v>
      </c>
      <c r="N1387" s="68">
        <f t="shared" si="90"/>
        <v>11510</v>
      </c>
      <c r="O1387" s="69">
        <f t="shared" si="89"/>
        <v>11510</v>
      </c>
      <c r="P1387" s="42" t="str">
        <f>IFERROR(VLOOKUP(J1387,'Mã NV'!$B:$C,2,0),"")</f>
        <v>XE00891</v>
      </c>
      <c r="Q1387" s="70" t="str">
        <f>IFERROR(VLOOKUP(I1387,'Mã NV'!$J:$K,2,0),"")</f>
        <v>8T</v>
      </c>
      <c r="S1387" s="44">
        <f t="shared" si="92"/>
        <v>1726.5</v>
      </c>
    </row>
    <row r="1388" customHeight="1" spans="1:19">
      <c r="A1388" s="63">
        <f t="shared" si="91"/>
        <v>1382</v>
      </c>
      <c r="B1388" s="64">
        <v>46155</v>
      </c>
      <c r="C1388" s="65"/>
      <c r="D1388" s="66" t="s">
        <v>33</v>
      </c>
      <c r="E1388" s="66" t="s">
        <v>33</v>
      </c>
      <c r="F1388" s="66" t="s">
        <v>985</v>
      </c>
      <c r="G1388" s="66" t="s">
        <v>750</v>
      </c>
      <c r="H1388" s="66" t="s">
        <v>1010</v>
      </c>
      <c r="I1388" s="66" t="s">
        <v>191</v>
      </c>
      <c r="J1388" s="66" t="s">
        <v>189</v>
      </c>
      <c r="K1388" s="66" t="s">
        <v>747</v>
      </c>
      <c r="L1388" s="67">
        <v>17180</v>
      </c>
      <c r="M1388" s="67">
        <v>0</v>
      </c>
      <c r="N1388" s="68">
        <f t="shared" si="90"/>
        <v>17180</v>
      </c>
      <c r="O1388" s="69">
        <f t="shared" si="89"/>
        <v>17180</v>
      </c>
      <c r="P1388" s="42" t="str">
        <f>IFERROR(VLOOKUP(J1388,'Mã NV'!$B:$C,2,0),"")</f>
        <v>XE00891</v>
      </c>
      <c r="Q1388" s="70" t="str">
        <f>IFERROR(VLOOKUP(I1388,'Mã NV'!$J:$K,2,0),"")</f>
        <v>8T</v>
      </c>
      <c r="S1388" s="44">
        <f t="shared" si="92"/>
        <v>2577</v>
      </c>
    </row>
    <row r="1389" customHeight="1" spans="1:19">
      <c r="A1389" s="63">
        <f t="shared" si="91"/>
        <v>1383</v>
      </c>
      <c r="B1389" s="64">
        <v>46155</v>
      </c>
      <c r="C1389" s="65"/>
      <c r="D1389" s="66" t="s">
        <v>33</v>
      </c>
      <c r="E1389" s="66" t="s">
        <v>33</v>
      </c>
      <c r="F1389" s="66" t="s">
        <v>985</v>
      </c>
      <c r="G1389" s="66" t="s">
        <v>750</v>
      </c>
      <c r="H1389" s="66" t="s">
        <v>1030</v>
      </c>
      <c r="I1389" s="66" t="s">
        <v>164</v>
      </c>
      <c r="J1389" s="66" t="s">
        <v>217</v>
      </c>
      <c r="K1389" s="66" t="s">
        <v>747</v>
      </c>
      <c r="L1389" s="67">
        <v>40140</v>
      </c>
      <c r="M1389" s="67">
        <v>0</v>
      </c>
      <c r="N1389" s="68">
        <f t="shared" si="90"/>
        <v>40140</v>
      </c>
      <c r="O1389" s="69">
        <f t="shared" si="89"/>
        <v>40140</v>
      </c>
      <c r="P1389" s="42" t="str">
        <f>IFERROR(VLOOKUP(J1389,'Mã NV'!$B:$C,2,0),"")</f>
        <v>XE01004</v>
      </c>
      <c r="Q1389" s="70" t="str">
        <f>IFERROR(VLOOKUP(I1389,'Mã NV'!$J:$K,2,0),"")</f>
        <v>6.5T</v>
      </c>
      <c r="S1389" s="44">
        <f t="shared" si="92"/>
        <v>6021</v>
      </c>
    </row>
    <row r="1390" customHeight="1" spans="1:19">
      <c r="A1390" s="63">
        <f t="shared" si="91"/>
        <v>1384</v>
      </c>
      <c r="B1390" s="64">
        <v>46155</v>
      </c>
      <c r="C1390" s="65"/>
      <c r="D1390" s="66" t="s">
        <v>33</v>
      </c>
      <c r="E1390" s="66" t="s">
        <v>33</v>
      </c>
      <c r="F1390" s="66" t="s">
        <v>985</v>
      </c>
      <c r="G1390" s="66" t="s">
        <v>750</v>
      </c>
      <c r="H1390" s="66" t="s">
        <v>1030</v>
      </c>
      <c r="I1390" s="66" t="s">
        <v>164</v>
      </c>
      <c r="J1390" s="66" t="s">
        <v>217</v>
      </c>
      <c r="K1390" s="66" t="s">
        <v>747</v>
      </c>
      <c r="L1390" s="67">
        <v>20070</v>
      </c>
      <c r="M1390" s="67">
        <v>0</v>
      </c>
      <c r="N1390" s="68">
        <f t="shared" si="90"/>
        <v>20070</v>
      </c>
      <c r="O1390" s="69">
        <f t="shared" si="89"/>
        <v>20070</v>
      </c>
      <c r="P1390" s="42" t="str">
        <f>IFERROR(VLOOKUP(J1390,'Mã NV'!$B:$C,2,0),"")</f>
        <v>XE01004</v>
      </c>
      <c r="Q1390" s="70" t="str">
        <f>IFERROR(VLOOKUP(I1390,'Mã NV'!$J:$K,2,0),"")</f>
        <v>6.5T</v>
      </c>
      <c r="S1390" s="44">
        <f t="shared" si="92"/>
        <v>3010.5</v>
      </c>
    </row>
    <row r="1391" customHeight="1" spans="1:19">
      <c r="A1391" s="63">
        <f t="shared" si="91"/>
        <v>1385</v>
      </c>
      <c r="B1391" s="64">
        <v>46155</v>
      </c>
      <c r="C1391" s="65"/>
      <c r="D1391" s="66" t="s">
        <v>33</v>
      </c>
      <c r="E1391" s="66" t="s">
        <v>33</v>
      </c>
      <c r="F1391" s="66" t="s">
        <v>985</v>
      </c>
      <c r="G1391" s="66" t="s">
        <v>750</v>
      </c>
      <c r="H1391" s="66" t="s">
        <v>1017</v>
      </c>
      <c r="I1391" s="66" t="s">
        <v>133</v>
      </c>
      <c r="J1391" s="66" t="s">
        <v>347</v>
      </c>
      <c r="K1391" s="66" t="s">
        <v>747</v>
      </c>
      <c r="L1391" s="67">
        <v>23560</v>
      </c>
      <c r="M1391" s="67">
        <v>0</v>
      </c>
      <c r="N1391" s="68">
        <f t="shared" si="90"/>
        <v>23560</v>
      </c>
      <c r="O1391" s="69">
        <f t="shared" si="89"/>
        <v>23560</v>
      </c>
      <c r="P1391" s="42" t="str">
        <f>IFERROR(VLOOKUP(J1391,'Mã NV'!$B:$C,2,0),"")</f>
        <v>XE01653</v>
      </c>
      <c r="Q1391" s="70" t="str">
        <f>IFERROR(VLOOKUP(I1391,'Mã NV'!$J:$K,2,0),"")</f>
        <v>2.5T</v>
      </c>
      <c r="S1391" s="44">
        <f t="shared" si="92"/>
        <v>3534</v>
      </c>
    </row>
    <row r="1392" customHeight="1" spans="1:19">
      <c r="A1392" s="63">
        <f t="shared" si="91"/>
        <v>1386</v>
      </c>
      <c r="B1392" s="64">
        <v>46155</v>
      </c>
      <c r="C1392" s="65"/>
      <c r="D1392" s="66" t="s">
        <v>33</v>
      </c>
      <c r="E1392" s="66" t="s">
        <v>33</v>
      </c>
      <c r="F1392" s="66" t="s">
        <v>985</v>
      </c>
      <c r="G1392" s="66" t="s">
        <v>750</v>
      </c>
      <c r="H1392" s="66" t="s">
        <v>1003</v>
      </c>
      <c r="I1392" s="66" t="s">
        <v>133</v>
      </c>
      <c r="J1392" s="66" t="s">
        <v>347</v>
      </c>
      <c r="K1392" s="66" t="s">
        <v>747</v>
      </c>
      <c r="L1392" s="67">
        <v>11780</v>
      </c>
      <c r="M1392" s="67">
        <v>0</v>
      </c>
      <c r="N1392" s="68">
        <f t="shared" si="90"/>
        <v>11780</v>
      </c>
      <c r="O1392" s="69">
        <f t="shared" si="89"/>
        <v>11780</v>
      </c>
      <c r="P1392" s="42" t="str">
        <f>IFERROR(VLOOKUP(J1392,'Mã NV'!$B:$C,2,0),"")</f>
        <v>XE01653</v>
      </c>
      <c r="Q1392" s="70" t="str">
        <f>IFERROR(VLOOKUP(I1392,'Mã NV'!$J:$K,2,0),"")</f>
        <v>2.5T</v>
      </c>
      <c r="S1392" s="44">
        <f t="shared" si="92"/>
        <v>1767</v>
      </c>
    </row>
    <row r="1393" customHeight="1" spans="1:19">
      <c r="A1393" s="63">
        <f t="shared" si="91"/>
        <v>1387</v>
      </c>
      <c r="B1393" s="64">
        <v>46155</v>
      </c>
      <c r="C1393" s="65"/>
      <c r="D1393" s="66" t="s">
        <v>33</v>
      </c>
      <c r="E1393" s="66" t="s">
        <v>33</v>
      </c>
      <c r="F1393" s="66" t="s">
        <v>985</v>
      </c>
      <c r="G1393" s="66" t="s">
        <v>750</v>
      </c>
      <c r="H1393" s="66" t="s">
        <v>1019</v>
      </c>
      <c r="I1393" s="66" t="s">
        <v>133</v>
      </c>
      <c r="J1393" s="66" t="s">
        <v>347</v>
      </c>
      <c r="K1393" s="66" t="s">
        <v>747</v>
      </c>
      <c r="L1393" s="67">
        <v>11780</v>
      </c>
      <c r="M1393" s="67">
        <v>0</v>
      </c>
      <c r="N1393" s="68">
        <f t="shared" si="90"/>
        <v>11780</v>
      </c>
      <c r="O1393" s="69">
        <f t="shared" ref="O1393:O1456" si="93">N1393/$P$1</f>
        <v>11780</v>
      </c>
      <c r="P1393" s="42" t="str">
        <f>IFERROR(VLOOKUP(J1393,'Mã NV'!$B:$C,2,0),"")</f>
        <v>XE01653</v>
      </c>
      <c r="Q1393" s="70" t="str">
        <f>IFERROR(VLOOKUP(I1393,'Mã NV'!$J:$K,2,0),"")</f>
        <v>2.5T</v>
      </c>
      <c r="S1393" s="44">
        <f t="shared" si="92"/>
        <v>1767</v>
      </c>
    </row>
    <row r="1394" customHeight="1" spans="1:19">
      <c r="A1394" s="63">
        <f t="shared" si="91"/>
        <v>1388</v>
      </c>
      <c r="B1394" s="64">
        <v>46155</v>
      </c>
      <c r="C1394" s="65"/>
      <c r="D1394" s="66" t="s">
        <v>33</v>
      </c>
      <c r="E1394" s="66" t="s">
        <v>33</v>
      </c>
      <c r="F1394" s="66" t="s">
        <v>985</v>
      </c>
      <c r="G1394" s="66" t="s">
        <v>750</v>
      </c>
      <c r="H1394" s="66" t="s">
        <v>1018</v>
      </c>
      <c r="I1394" s="66" t="s">
        <v>115</v>
      </c>
      <c r="J1394" s="66" t="s">
        <v>113</v>
      </c>
      <c r="K1394" s="66" t="s">
        <v>747</v>
      </c>
      <c r="L1394" s="67">
        <v>1683000</v>
      </c>
      <c r="M1394" s="67">
        <v>0</v>
      </c>
      <c r="N1394" s="68">
        <f t="shared" ref="N1394:N1457" si="94">L1394-M1394</f>
        <v>1683000</v>
      </c>
      <c r="O1394" s="69">
        <f t="shared" si="93"/>
        <v>1683000</v>
      </c>
      <c r="P1394" s="42" t="str">
        <f>IFERROR(VLOOKUP(J1394,'Mã NV'!$B:$C,2,0),"")</f>
        <v>XE00447</v>
      </c>
      <c r="Q1394" s="70" t="str">
        <f>IFERROR(VLOOKUP(I1394,'Mã NV'!$J:$K,2,0),"")</f>
        <v>8T</v>
      </c>
      <c r="S1394" s="44">
        <f t="shared" si="92"/>
        <v>252450</v>
      </c>
    </row>
    <row r="1395" customHeight="1" spans="1:19">
      <c r="A1395" s="63">
        <f t="shared" si="91"/>
        <v>1389</v>
      </c>
      <c r="B1395" s="64">
        <v>46155</v>
      </c>
      <c r="C1395" s="65"/>
      <c r="D1395" s="66" t="s">
        <v>33</v>
      </c>
      <c r="E1395" s="66" t="s">
        <v>33</v>
      </c>
      <c r="F1395" s="66" t="s">
        <v>985</v>
      </c>
      <c r="G1395" s="66" t="s">
        <v>750</v>
      </c>
      <c r="H1395" s="66" t="s">
        <v>1005</v>
      </c>
      <c r="I1395" s="66" t="s">
        <v>115</v>
      </c>
      <c r="J1395" s="66" t="s">
        <v>113</v>
      </c>
      <c r="K1395" s="66" t="s">
        <v>747</v>
      </c>
      <c r="L1395" s="67">
        <v>33660</v>
      </c>
      <c r="M1395" s="67">
        <v>0</v>
      </c>
      <c r="N1395" s="68">
        <f t="shared" si="94"/>
        <v>33660</v>
      </c>
      <c r="O1395" s="69">
        <f t="shared" si="93"/>
        <v>33660</v>
      </c>
      <c r="P1395" s="42" t="str">
        <f>IFERROR(VLOOKUP(J1395,'Mã NV'!$B:$C,2,0),"")</f>
        <v>XE00447</v>
      </c>
      <c r="Q1395" s="70" t="str">
        <f>IFERROR(VLOOKUP(I1395,'Mã NV'!$J:$K,2,0),"")</f>
        <v>8T</v>
      </c>
      <c r="S1395" s="44">
        <f t="shared" si="92"/>
        <v>5049</v>
      </c>
    </row>
    <row r="1396" customHeight="1" spans="1:19">
      <c r="A1396" s="63">
        <f t="shared" si="91"/>
        <v>1390</v>
      </c>
      <c r="B1396" s="64">
        <v>46155</v>
      </c>
      <c r="C1396" s="65"/>
      <c r="D1396" s="66" t="s">
        <v>33</v>
      </c>
      <c r="E1396" s="66" t="s">
        <v>33</v>
      </c>
      <c r="F1396" s="66" t="s">
        <v>985</v>
      </c>
      <c r="G1396" s="66" t="s">
        <v>750</v>
      </c>
      <c r="H1396" s="66" t="s">
        <v>1022</v>
      </c>
      <c r="I1396" s="66" t="s">
        <v>115</v>
      </c>
      <c r="J1396" s="66" t="s">
        <v>113</v>
      </c>
      <c r="K1396" s="66" t="s">
        <v>747</v>
      </c>
      <c r="L1396" s="67">
        <v>252450</v>
      </c>
      <c r="M1396" s="67">
        <v>0</v>
      </c>
      <c r="N1396" s="68">
        <f t="shared" si="94"/>
        <v>252450</v>
      </c>
      <c r="O1396" s="69">
        <f t="shared" si="93"/>
        <v>252450</v>
      </c>
      <c r="P1396" s="42" t="str">
        <f>IFERROR(VLOOKUP(J1396,'Mã NV'!$B:$C,2,0),"")</f>
        <v>XE00447</v>
      </c>
      <c r="Q1396" s="70" t="str">
        <f>IFERROR(VLOOKUP(I1396,'Mã NV'!$J:$K,2,0),"")</f>
        <v>8T</v>
      </c>
      <c r="S1396" s="44">
        <f t="shared" si="92"/>
        <v>37867.5</v>
      </c>
    </row>
    <row r="1397" customHeight="1" spans="1:19">
      <c r="A1397" s="63">
        <f t="shared" si="91"/>
        <v>1391</v>
      </c>
      <c r="B1397" s="64">
        <v>46156</v>
      </c>
      <c r="C1397" s="65"/>
      <c r="D1397" s="66" t="s">
        <v>33</v>
      </c>
      <c r="E1397" s="66" t="s">
        <v>33</v>
      </c>
      <c r="F1397" s="66" t="s">
        <v>985</v>
      </c>
      <c r="G1397" s="66" t="s">
        <v>750</v>
      </c>
      <c r="H1397" s="66" t="s">
        <v>1008</v>
      </c>
      <c r="I1397" s="66" t="s">
        <v>133</v>
      </c>
      <c r="J1397" s="66" t="s">
        <v>347</v>
      </c>
      <c r="K1397" s="66" t="s">
        <v>747</v>
      </c>
      <c r="L1397" s="67">
        <v>889824</v>
      </c>
      <c r="M1397" s="67">
        <v>0</v>
      </c>
      <c r="N1397" s="68">
        <f t="shared" si="94"/>
        <v>889824</v>
      </c>
      <c r="O1397" s="69">
        <f t="shared" si="93"/>
        <v>889824</v>
      </c>
      <c r="P1397" s="42" t="str">
        <f>IFERROR(VLOOKUP(J1397,'Mã NV'!$B:$C,2,0),"")</f>
        <v>XE01653</v>
      </c>
      <c r="Q1397" s="70" t="str">
        <f>IFERROR(VLOOKUP(I1397,'Mã NV'!$J:$K,2,0),"")</f>
        <v>2.5T</v>
      </c>
      <c r="S1397" s="44">
        <f t="shared" si="92"/>
        <v>133473.6</v>
      </c>
    </row>
    <row r="1398" customHeight="1" spans="1:19">
      <c r="A1398" s="63">
        <f t="shared" si="91"/>
        <v>1392</v>
      </c>
      <c r="B1398" s="64">
        <v>46156</v>
      </c>
      <c r="C1398" s="65"/>
      <c r="D1398" s="66" t="s">
        <v>33</v>
      </c>
      <c r="E1398" s="66" t="s">
        <v>33</v>
      </c>
      <c r="F1398" s="66" t="s">
        <v>985</v>
      </c>
      <c r="G1398" s="66" t="s">
        <v>750</v>
      </c>
      <c r="H1398" s="66" t="s">
        <v>1007</v>
      </c>
      <c r="I1398" s="66" t="s">
        <v>191</v>
      </c>
      <c r="J1398" s="66" t="s">
        <v>189</v>
      </c>
      <c r="K1398" s="66" t="s">
        <v>747</v>
      </c>
      <c r="L1398" s="67">
        <v>104890</v>
      </c>
      <c r="M1398" s="67">
        <v>0</v>
      </c>
      <c r="N1398" s="68">
        <f t="shared" si="94"/>
        <v>104890</v>
      </c>
      <c r="O1398" s="69">
        <f t="shared" si="93"/>
        <v>104890</v>
      </c>
      <c r="P1398" s="42" t="str">
        <f>IFERROR(VLOOKUP(J1398,'Mã NV'!$B:$C,2,0),"")</f>
        <v>XE00891</v>
      </c>
      <c r="Q1398" s="70" t="str">
        <f>IFERROR(VLOOKUP(I1398,'Mã NV'!$J:$K,2,0),"")</f>
        <v>8T</v>
      </c>
      <c r="S1398" s="44">
        <f t="shared" si="92"/>
        <v>15733.5</v>
      </c>
    </row>
    <row r="1399" customHeight="1" spans="1:19">
      <c r="A1399" s="63">
        <f t="shared" si="91"/>
        <v>1393</v>
      </c>
      <c r="B1399" s="64">
        <v>46156</v>
      </c>
      <c r="C1399" s="65"/>
      <c r="D1399" s="66" t="s">
        <v>33</v>
      </c>
      <c r="E1399" s="66" t="s">
        <v>33</v>
      </c>
      <c r="F1399" s="66" t="s">
        <v>985</v>
      </c>
      <c r="G1399" s="66" t="s">
        <v>750</v>
      </c>
      <c r="H1399" s="66" t="s">
        <v>1007</v>
      </c>
      <c r="I1399" s="66" t="s">
        <v>191</v>
      </c>
      <c r="J1399" s="66" t="s">
        <v>189</v>
      </c>
      <c r="K1399" s="66" t="s">
        <v>747</v>
      </c>
      <c r="L1399" s="67">
        <v>2097800</v>
      </c>
      <c r="M1399" s="67">
        <v>0</v>
      </c>
      <c r="N1399" s="68">
        <f t="shared" si="94"/>
        <v>2097800</v>
      </c>
      <c r="O1399" s="69">
        <f t="shared" si="93"/>
        <v>2097800</v>
      </c>
      <c r="P1399" s="42" t="str">
        <f>IFERROR(VLOOKUP(J1399,'Mã NV'!$B:$C,2,0),"")</f>
        <v>XE00891</v>
      </c>
      <c r="Q1399" s="70" t="str">
        <f>IFERROR(VLOOKUP(I1399,'Mã NV'!$J:$K,2,0),"")</f>
        <v>8T</v>
      </c>
      <c r="S1399" s="44">
        <f t="shared" si="92"/>
        <v>314670</v>
      </c>
    </row>
    <row r="1400" customHeight="1" spans="1:19">
      <c r="A1400" s="63">
        <f t="shared" si="91"/>
        <v>1394</v>
      </c>
      <c r="B1400" s="64">
        <v>46156</v>
      </c>
      <c r="C1400" s="65"/>
      <c r="D1400" s="66" t="s">
        <v>33</v>
      </c>
      <c r="E1400" s="66" t="s">
        <v>33</v>
      </c>
      <c r="F1400" s="66" t="s">
        <v>985</v>
      </c>
      <c r="G1400" s="66" t="s">
        <v>750</v>
      </c>
      <c r="H1400" s="66" t="s">
        <v>1011</v>
      </c>
      <c r="I1400" s="66" t="s">
        <v>191</v>
      </c>
      <c r="J1400" s="66" t="s">
        <v>189</v>
      </c>
      <c r="K1400" s="66" t="s">
        <v>747</v>
      </c>
      <c r="L1400" s="67">
        <v>243320</v>
      </c>
      <c r="M1400" s="67">
        <v>0</v>
      </c>
      <c r="N1400" s="68">
        <f t="shared" si="94"/>
        <v>243320</v>
      </c>
      <c r="O1400" s="69">
        <f t="shared" si="93"/>
        <v>243320</v>
      </c>
      <c r="P1400" s="42" t="str">
        <f>IFERROR(VLOOKUP(J1400,'Mã NV'!$B:$C,2,0),"")</f>
        <v>XE00891</v>
      </c>
      <c r="Q1400" s="70" t="str">
        <f>IFERROR(VLOOKUP(I1400,'Mã NV'!$J:$K,2,0),"")</f>
        <v>8T</v>
      </c>
      <c r="S1400" s="44">
        <f t="shared" si="92"/>
        <v>36498</v>
      </c>
    </row>
    <row r="1401" customHeight="1" spans="1:19">
      <c r="A1401" s="63">
        <f t="shared" si="91"/>
        <v>1395</v>
      </c>
      <c r="B1401" s="64">
        <v>46156</v>
      </c>
      <c r="C1401" s="65"/>
      <c r="D1401" s="66" t="s">
        <v>33</v>
      </c>
      <c r="E1401" s="66" t="s">
        <v>33</v>
      </c>
      <c r="F1401" s="66" t="s">
        <v>985</v>
      </c>
      <c r="G1401" s="66" t="s">
        <v>750</v>
      </c>
      <c r="H1401" s="66" t="s">
        <v>1011</v>
      </c>
      <c r="I1401" s="66" t="s">
        <v>191</v>
      </c>
      <c r="J1401" s="66" t="s">
        <v>189</v>
      </c>
      <c r="K1401" s="66" t="s">
        <v>747</v>
      </c>
      <c r="L1401" s="67">
        <v>1651100</v>
      </c>
      <c r="M1401" s="67">
        <v>0</v>
      </c>
      <c r="N1401" s="68">
        <f t="shared" si="94"/>
        <v>1651100</v>
      </c>
      <c r="O1401" s="69">
        <f t="shared" si="93"/>
        <v>1651100</v>
      </c>
      <c r="P1401" s="42" t="str">
        <f>IFERROR(VLOOKUP(J1401,'Mã NV'!$B:$C,2,0),"")</f>
        <v>XE00891</v>
      </c>
      <c r="Q1401" s="70" t="str">
        <f>IFERROR(VLOOKUP(I1401,'Mã NV'!$J:$K,2,0),"")</f>
        <v>8T</v>
      </c>
      <c r="S1401" s="44">
        <f t="shared" si="92"/>
        <v>247665</v>
      </c>
    </row>
    <row r="1402" customHeight="1" spans="1:19">
      <c r="A1402" s="63">
        <f t="shared" si="91"/>
        <v>1396</v>
      </c>
      <c r="B1402" s="64">
        <v>46156</v>
      </c>
      <c r="C1402" s="65"/>
      <c r="D1402" s="66" t="s">
        <v>33</v>
      </c>
      <c r="E1402" s="66" t="s">
        <v>33</v>
      </c>
      <c r="F1402" s="66" t="s">
        <v>985</v>
      </c>
      <c r="G1402" s="66" t="s">
        <v>750</v>
      </c>
      <c r="H1402" s="66" t="s">
        <v>1035</v>
      </c>
      <c r="I1402" s="66" t="s">
        <v>326</v>
      </c>
      <c r="J1402" s="66" t="s">
        <v>343</v>
      </c>
      <c r="K1402" s="66" t="s">
        <v>747</v>
      </c>
      <c r="L1402" s="67">
        <v>56804</v>
      </c>
      <c r="M1402" s="67">
        <v>0</v>
      </c>
      <c r="N1402" s="68">
        <f t="shared" si="94"/>
        <v>56804</v>
      </c>
      <c r="O1402" s="69">
        <f t="shared" si="93"/>
        <v>56804</v>
      </c>
      <c r="P1402" s="42" t="str">
        <f>IFERROR(VLOOKUP(J1402,'Mã NV'!$B:$C,2,0),"")</f>
        <v>XE01615</v>
      </c>
      <c r="Q1402" s="70" t="str">
        <f>IFERROR(VLOOKUP(I1402,'Mã NV'!$J:$K,2,0),"")</f>
        <v>2T5</v>
      </c>
      <c r="S1402" s="44">
        <f t="shared" si="92"/>
        <v>8520.6</v>
      </c>
    </row>
    <row r="1403" customHeight="1" spans="1:19">
      <c r="A1403" s="63">
        <f t="shared" si="91"/>
        <v>1397</v>
      </c>
      <c r="B1403" s="64">
        <v>46156</v>
      </c>
      <c r="C1403" s="65"/>
      <c r="D1403" s="66" t="s">
        <v>33</v>
      </c>
      <c r="E1403" s="66" t="s">
        <v>33</v>
      </c>
      <c r="F1403" s="66" t="s">
        <v>985</v>
      </c>
      <c r="G1403" s="66" t="s">
        <v>750</v>
      </c>
      <c r="H1403" s="66" t="s">
        <v>1035</v>
      </c>
      <c r="I1403" s="66" t="s">
        <v>326</v>
      </c>
      <c r="J1403" s="66" t="s">
        <v>343</v>
      </c>
      <c r="K1403" s="66" t="s">
        <v>747</v>
      </c>
      <c r="L1403" s="67">
        <v>1000525</v>
      </c>
      <c r="M1403" s="67">
        <v>0</v>
      </c>
      <c r="N1403" s="68">
        <f t="shared" si="94"/>
        <v>1000525</v>
      </c>
      <c r="O1403" s="69">
        <f t="shared" si="93"/>
        <v>1000525</v>
      </c>
      <c r="P1403" s="42" t="str">
        <f>IFERROR(VLOOKUP(J1403,'Mã NV'!$B:$C,2,0),"")</f>
        <v>XE01615</v>
      </c>
      <c r="Q1403" s="70" t="str">
        <f>IFERROR(VLOOKUP(I1403,'Mã NV'!$J:$K,2,0),"")</f>
        <v>2T5</v>
      </c>
      <c r="S1403" s="44">
        <f t="shared" si="92"/>
        <v>150078.75</v>
      </c>
    </row>
    <row r="1404" customHeight="1" spans="1:19">
      <c r="A1404" s="63">
        <f t="shared" si="91"/>
        <v>1398</v>
      </c>
      <c r="B1404" s="64">
        <v>46156</v>
      </c>
      <c r="C1404" s="65"/>
      <c r="D1404" s="66" t="s">
        <v>33</v>
      </c>
      <c r="E1404" s="66" t="s">
        <v>33</v>
      </c>
      <c r="F1404" s="66" t="s">
        <v>985</v>
      </c>
      <c r="G1404" s="66" t="s">
        <v>750</v>
      </c>
      <c r="H1404" s="66" t="s">
        <v>1037</v>
      </c>
      <c r="I1404" s="66" t="s">
        <v>134</v>
      </c>
      <c r="J1404" s="66" t="s">
        <v>359</v>
      </c>
      <c r="K1404" s="66" t="s">
        <v>747</v>
      </c>
      <c r="L1404" s="67">
        <v>710050</v>
      </c>
      <c r="M1404" s="67">
        <v>0</v>
      </c>
      <c r="N1404" s="68">
        <f t="shared" si="94"/>
        <v>710050</v>
      </c>
      <c r="O1404" s="69">
        <f t="shared" si="93"/>
        <v>710050</v>
      </c>
      <c r="P1404" s="42" t="str">
        <f>IFERROR(VLOOKUP(J1404,'Mã NV'!$B:$C,2,0),"")</f>
        <v>XE01639</v>
      </c>
      <c r="Q1404" s="70" t="str">
        <f>IFERROR(VLOOKUP(I1404,'Mã NV'!$J:$K,2,0),"")</f>
        <v>2.5T Lạnh</v>
      </c>
      <c r="S1404" s="44">
        <f t="shared" si="92"/>
        <v>106507.5</v>
      </c>
    </row>
    <row r="1405" customHeight="1" spans="1:19">
      <c r="A1405" s="63">
        <f t="shared" si="91"/>
        <v>1399</v>
      </c>
      <c r="B1405" s="64">
        <v>46156</v>
      </c>
      <c r="C1405" s="65"/>
      <c r="D1405" s="66" t="s">
        <v>33</v>
      </c>
      <c r="E1405" s="66" t="s">
        <v>33</v>
      </c>
      <c r="F1405" s="66" t="s">
        <v>985</v>
      </c>
      <c r="G1405" s="66" t="s">
        <v>750</v>
      </c>
      <c r="H1405" s="66" t="s">
        <v>1032</v>
      </c>
      <c r="I1405" s="66" t="s">
        <v>52</v>
      </c>
      <c r="J1405" s="66" t="s">
        <v>128</v>
      </c>
      <c r="K1405" s="66" t="s">
        <v>747</v>
      </c>
      <c r="L1405" s="67">
        <v>787545</v>
      </c>
      <c r="M1405" s="67">
        <v>0</v>
      </c>
      <c r="N1405" s="68">
        <f t="shared" si="94"/>
        <v>787545</v>
      </c>
      <c r="O1405" s="69">
        <f t="shared" si="93"/>
        <v>787545</v>
      </c>
      <c r="P1405" s="42" t="str">
        <f>IFERROR(VLOOKUP(J1405,'Mã NV'!$B:$C,2,0),"")</f>
        <v>XE00953</v>
      </c>
      <c r="Q1405" s="70" t="str">
        <f>IFERROR(VLOOKUP(I1405,'Mã NV'!$J:$K,2,0),"")</f>
        <v>8T</v>
      </c>
      <c r="S1405" s="44">
        <f t="shared" si="92"/>
        <v>118131.75</v>
      </c>
    </row>
    <row r="1406" customHeight="1" spans="1:19">
      <c r="A1406" s="63">
        <f t="shared" si="91"/>
        <v>1400</v>
      </c>
      <c r="B1406" s="64">
        <v>46156</v>
      </c>
      <c r="C1406" s="65"/>
      <c r="D1406" s="66" t="s">
        <v>33</v>
      </c>
      <c r="E1406" s="66" t="s">
        <v>33</v>
      </c>
      <c r="F1406" s="66" t="s">
        <v>985</v>
      </c>
      <c r="G1406" s="66" t="s">
        <v>750</v>
      </c>
      <c r="H1406" s="66" t="s">
        <v>1032</v>
      </c>
      <c r="I1406" s="66" t="s">
        <v>52</v>
      </c>
      <c r="J1406" s="66" t="s">
        <v>128</v>
      </c>
      <c r="K1406" s="66" t="s">
        <v>747</v>
      </c>
      <c r="L1406" s="67">
        <v>3197910</v>
      </c>
      <c r="M1406" s="67">
        <v>0</v>
      </c>
      <c r="N1406" s="68">
        <f t="shared" si="94"/>
        <v>3197910</v>
      </c>
      <c r="O1406" s="69">
        <f t="shared" si="93"/>
        <v>3197910</v>
      </c>
      <c r="P1406" s="42" t="str">
        <f>IFERROR(VLOOKUP(J1406,'Mã NV'!$B:$C,2,0),"")</f>
        <v>XE00953</v>
      </c>
      <c r="Q1406" s="70" t="str">
        <f>IFERROR(VLOOKUP(I1406,'Mã NV'!$J:$K,2,0),"")</f>
        <v>8T</v>
      </c>
      <c r="S1406" s="44">
        <f t="shared" si="92"/>
        <v>479686.5</v>
      </c>
    </row>
    <row r="1407" customHeight="1" spans="1:19">
      <c r="A1407" s="63">
        <f t="shared" si="91"/>
        <v>1401</v>
      </c>
      <c r="B1407" s="64">
        <v>46156</v>
      </c>
      <c r="C1407" s="65"/>
      <c r="D1407" s="66" t="s">
        <v>33</v>
      </c>
      <c r="E1407" s="66" t="s">
        <v>33</v>
      </c>
      <c r="F1407" s="66" t="s">
        <v>985</v>
      </c>
      <c r="G1407" s="66" t="s">
        <v>750</v>
      </c>
      <c r="H1407" s="66" t="s">
        <v>1022</v>
      </c>
      <c r="I1407" s="66" t="s">
        <v>130</v>
      </c>
      <c r="J1407" s="66" t="s">
        <v>131</v>
      </c>
      <c r="K1407" s="66" t="s">
        <v>747</v>
      </c>
      <c r="L1407" s="67">
        <v>25245</v>
      </c>
      <c r="M1407" s="67">
        <v>0</v>
      </c>
      <c r="N1407" s="68">
        <f t="shared" si="94"/>
        <v>25245</v>
      </c>
      <c r="O1407" s="69">
        <f t="shared" si="93"/>
        <v>25245</v>
      </c>
      <c r="P1407" s="42" t="str">
        <f>IFERROR(VLOOKUP(J1407,'Mã NV'!$B:$C,2,0),"")</f>
        <v>XE00847</v>
      </c>
      <c r="Q1407" s="70" t="str">
        <f>IFERROR(VLOOKUP(I1407,'Mã NV'!$J:$K,2,0),"")</f>
        <v>8T</v>
      </c>
      <c r="S1407" s="44">
        <f t="shared" si="92"/>
        <v>3786.75</v>
      </c>
    </row>
    <row r="1408" customHeight="1" spans="1:19">
      <c r="A1408" s="63">
        <f t="shared" si="91"/>
        <v>1402</v>
      </c>
      <c r="B1408" s="64">
        <v>46156</v>
      </c>
      <c r="C1408" s="65"/>
      <c r="D1408" s="66" t="s">
        <v>33</v>
      </c>
      <c r="E1408" s="66" t="s">
        <v>33</v>
      </c>
      <c r="F1408" s="66" t="s">
        <v>985</v>
      </c>
      <c r="G1408" s="66" t="s">
        <v>750</v>
      </c>
      <c r="H1408" s="66" t="s">
        <v>1022</v>
      </c>
      <c r="I1408" s="66" t="s">
        <v>130</v>
      </c>
      <c r="J1408" s="66" t="s">
        <v>131</v>
      </c>
      <c r="K1408" s="66" t="s">
        <v>747</v>
      </c>
      <c r="L1408" s="67">
        <v>1683000</v>
      </c>
      <c r="M1408" s="67">
        <v>0</v>
      </c>
      <c r="N1408" s="68">
        <f t="shared" si="94"/>
        <v>1683000</v>
      </c>
      <c r="O1408" s="69">
        <f t="shared" si="93"/>
        <v>1683000</v>
      </c>
      <c r="P1408" s="42" t="str">
        <f>IFERROR(VLOOKUP(J1408,'Mã NV'!$B:$C,2,0),"")</f>
        <v>XE00847</v>
      </c>
      <c r="Q1408" s="70" t="str">
        <f>IFERROR(VLOOKUP(I1408,'Mã NV'!$J:$K,2,0),"")</f>
        <v>8T</v>
      </c>
      <c r="S1408" s="44">
        <f t="shared" si="92"/>
        <v>252450</v>
      </c>
    </row>
    <row r="1409" customHeight="1" spans="1:19">
      <c r="A1409" s="63">
        <f t="shared" si="91"/>
        <v>1403</v>
      </c>
      <c r="B1409" s="64">
        <v>46156</v>
      </c>
      <c r="C1409" s="65"/>
      <c r="D1409" s="66" t="s">
        <v>33</v>
      </c>
      <c r="E1409" s="66" t="s">
        <v>33</v>
      </c>
      <c r="F1409" s="66" t="s">
        <v>985</v>
      </c>
      <c r="G1409" s="66" t="s">
        <v>750</v>
      </c>
      <c r="H1409" s="66" t="s">
        <v>1018</v>
      </c>
      <c r="I1409" s="66" t="s">
        <v>130</v>
      </c>
      <c r="J1409" s="66" t="s">
        <v>131</v>
      </c>
      <c r="K1409" s="66" t="s">
        <v>747</v>
      </c>
      <c r="L1409" s="67">
        <v>2103750</v>
      </c>
      <c r="M1409" s="67">
        <v>0</v>
      </c>
      <c r="N1409" s="68">
        <f t="shared" si="94"/>
        <v>2103750</v>
      </c>
      <c r="O1409" s="69">
        <f t="shared" si="93"/>
        <v>2103750</v>
      </c>
      <c r="P1409" s="42" t="str">
        <f>IFERROR(VLOOKUP(J1409,'Mã NV'!$B:$C,2,0),"")</f>
        <v>XE00847</v>
      </c>
      <c r="Q1409" s="70" t="str">
        <f>IFERROR(VLOOKUP(I1409,'Mã NV'!$J:$K,2,0),"")</f>
        <v>8T</v>
      </c>
      <c r="S1409" s="44">
        <f t="shared" si="92"/>
        <v>315562.5</v>
      </c>
    </row>
    <row r="1410" customHeight="1" spans="1:19">
      <c r="A1410" s="63">
        <f t="shared" si="91"/>
        <v>1404</v>
      </c>
      <c r="B1410" s="64">
        <v>46156</v>
      </c>
      <c r="C1410" s="65"/>
      <c r="D1410" s="66" t="s">
        <v>33</v>
      </c>
      <c r="E1410" s="66" t="s">
        <v>33</v>
      </c>
      <c r="F1410" s="66" t="s">
        <v>985</v>
      </c>
      <c r="G1410" s="66" t="s">
        <v>750</v>
      </c>
      <c r="H1410" s="66" t="s">
        <v>1022</v>
      </c>
      <c r="I1410" s="66" t="s">
        <v>130</v>
      </c>
      <c r="J1410" s="66" t="s">
        <v>131</v>
      </c>
      <c r="K1410" s="66" t="s">
        <v>747</v>
      </c>
      <c r="L1410" s="67">
        <v>84150</v>
      </c>
      <c r="M1410" s="67">
        <v>0</v>
      </c>
      <c r="N1410" s="68">
        <f t="shared" si="94"/>
        <v>84150</v>
      </c>
      <c r="O1410" s="69">
        <f t="shared" si="93"/>
        <v>84150</v>
      </c>
      <c r="P1410" s="42" t="str">
        <f>IFERROR(VLOOKUP(J1410,'Mã NV'!$B:$C,2,0),"")</f>
        <v>XE00847</v>
      </c>
      <c r="Q1410" s="70" t="str">
        <f>IFERROR(VLOOKUP(I1410,'Mã NV'!$J:$K,2,0),"")</f>
        <v>8T</v>
      </c>
      <c r="S1410" s="44">
        <f t="shared" si="92"/>
        <v>12622.5</v>
      </c>
    </row>
    <row r="1411" customHeight="1" spans="1:19">
      <c r="A1411" s="63">
        <f t="shared" si="91"/>
        <v>1405</v>
      </c>
      <c r="B1411" s="64">
        <v>46156</v>
      </c>
      <c r="C1411" s="65"/>
      <c r="D1411" s="66" t="s">
        <v>33</v>
      </c>
      <c r="E1411" s="66" t="s">
        <v>33</v>
      </c>
      <c r="F1411" s="66" t="s">
        <v>985</v>
      </c>
      <c r="G1411" s="66" t="s">
        <v>750</v>
      </c>
      <c r="H1411" s="66" t="s">
        <v>1013</v>
      </c>
      <c r="I1411" s="66" t="s">
        <v>130</v>
      </c>
      <c r="J1411" s="66" t="s">
        <v>131</v>
      </c>
      <c r="K1411" s="66" t="s">
        <v>747</v>
      </c>
      <c r="L1411" s="67">
        <v>301050</v>
      </c>
      <c r="M1411" s="67">
        <v>0</v>
      </c>
      <c r="N1411" s="68">
        <f t="shared" si="94"/>
        <v>301050</v>
      </c>
      <c r="O1411" s="69">
        <f t="shared" si="93"/>
        <v>301050</v>
      </c>
      <c r="P1411" s="42" t="str">
        <f>IFERROR(VLOOKUP(J1411,'Mã NV'!$B:$C,2,0),"")</f>
        <v>XE00847</v>
      </c>
      <c r="Q1411" s="70" t="str">
        <f>IFERROR(VLOOKUP(I1411,'Mã NV'!$J:$K,2,0),"")</f>
        <v>8T</v>
      </c>
      <c r="S1411" s="44">
        <f t="shared" si="92"/>
        <v>45157.5</v>
      </c>
    </row>
    <row r="1412" customHeight="1" spans="1:19">
      <c r="A1412" s="63">
        <f t="shared" si="91"/>
        <v>1406</v>
      </c>
      <c r="B1412" s="64">
        <v>46156</v>
      </c>
      <c r="C1412" s="65"/>
      <c r="D1412" s="66" t="s">
        <v>33</v>
      </c>
      <c r="E1412" s="66" t="s">
        <v>33</v>
      </c>
      <c r="F1412" s="66" t="s">
        <v>985</v>
      </c>
      <c r="G1412" s="66" t="s">
        <v>750</v>
      </c>
      <c r="H1412" s="66" t="s">
        <v>1007</v>
      </c>
      <c r="I1412" s="66" t="s">
        <v>191</v>
      </c>
      <c r="J1412" s="66" t="s">
        <v>189</v>
      </c>
      <c r="K1412" s="66" t="s">
        <v>747</v>
      </c>
      <c r="L1412" s="67">
        <v>24680</v>
      </c>
      <c r="M1412" s="67">
        <v>0</v>
      </c>
      <c r="N1412" s="68">
        <f t="shared" si="94"/>
        <v>24680</v>
      </c>
      <c r="O1412" s="69">
        <f t="shared" si="93"/>
        <v>24680</v>
      </c>
      <c r="P1412" s="42" t="str">
        <f>IFERROR(VLOOKUP(J1412,'Mã NV'!$B:$C,2,0),"")</f>
        <v>XE00891</v>
      </c>
      <c r="Q1412" s="70" t="str">
        <f>IFERROR(VLOOKUP(I1412,'Mã NV'!$J:$K,2,0),"")</f>
        <v>8T</v>
      </c>
      <c r="S1412" s="44">
        <f t="shared" si="92"/>
        <v>3702</v>
      </c>
    </row>
    <row r="1413" customHeight="1" spans="1:19">
      <c r="A1413" s="63">
        <f t="shared" si="91"/>
        <v>1407</v>
      </c>
      <c r="B1413" s="64">
        <v>46157</v>
      </c>
      <c r="C1413" s="65"/>
      <c r="D1413" s="66" t="s">
        <v>33</v>
      </c>
      <c r="E1413" s="66" t="s">
        <v>33</v>
      </c>
      <c r="F1413" s="66" t="s">
        <v>985</v>
      </c>
      <c r="G1413" s="66" t="s">
        <v>750</v>
      </c>
      <c r="H1413" s="66" t="s">
        <v>1017</v>
      </c>
      <c r="I1413" s="66" t="s">
        <v>51</v>
      </c>
      <c r="J1413" s="66" t="s">
        <v>46</v>
      </c>
      <c r="K1413" s="66" t="s">
        <v>747</v>
      </c>
      <c r="L1413" s="67">
        <v>17670</v>
      </c>
      <c r="M1413" s="67">
        <v>0</v>
      </c>
      <c r="N1413" s="68">
        <f t="shared" si="94"/>
        <v>17670</v>
      </c>
      <c r="O1413" s="69">
        <f t="shared" si="93"/>
        <v>17670</v>
      </c>
      <c r="P1413" s="42" t="str">
        <f>IFERROR(VLOOKUP(J1413,'Mã NV'!$B:$C,2,0),"")</f>
        <v>XE00900</v>
      </c>
      <c r="Q1413" s="70" t="str">
        <f>IFERROR(VLOOKUP(I1413,'Mã NV'!$J:$K,2,0),"")</f>
        <v>6.5T</v>
      </c>
      <c r="S1413" s="44">
        <f t="shared" si="92"/>
        <v>2650.5</v>
      </c>
    </row>
    <row r="1414" customHeight="1" spans="1:19">
      <c r="A1414" s="63">
        <f t="shared" si="91"/>
        <v>1408</v>
      </c>
      <c r="B1414" s="64">
        <v>46157</v>
      </c>
      <c r="C1414" s="65"/>
      <c r="D1414" s="66" t="s">
        <v>33</v>
      </c>
      <c r="E1414" s="66" t="s">
        <v>33</v>
      </c>
      <c r="F1414" s="66" t="s">
        <v>985</v>
      </c>
      <c r="G1414" s="66" t="s">
        <v>750</v>
      </c>
      <c r="H1414" s="66" t="s">
        <v>1017</v>
      </c>
      <c r="I1414" s="66" t="s">
        <v>51</v>
      </c>
      <c r="J1414" s="66" t="s">
        <v>46</v>
      </c>
      <c r="K1414" s="66" t="s">
        <v>747</v>
      </c>
      <c r="L1414" s="67">
        <v>43586</v>
      </c>
      <c r="M1414" s="67">
        <v>0</v>
      </c>
      <c r="N1414" s="68">
        <f t="shared" si="94"/>
        <v>43586</v>
      </c>
      <c r="O1414" s="69">
        <f t="shared" si="93"/>
        <v>43586</v>
      </c>
      <c r="P1414" s="42" t="str">
        <f>IFERROR(VLOOKUP(J1414,'Mã NV'!$B:$C,2,0),"")</f>
        <v>XE00900</v>
      </c>
      <c r="Q1414" s="70" t="str">
        <f>IFERROR(VLOOKUP(I1414,'Mã NV'!$J:$K,2,0),"")</f>
        <v>6.5T</v>
      </c>
      <c r="S1414" s="44">
        <f t="shared" si="92"/>
        <v>6537.9</v>
      </c>
    </row>
    <row r="1415" customHeight="1" spans="1:19">
      <c r="A1415" s="63">
        <f t="shared" si="91"/>
        <v>1409</v>
      </c>
      <c r="B1415" s="64">
        <v>46157</v>
      </c>
      <c r="C1415" s="65"/>
      <c r="D1415" s="66" t="s">
        <v>33</v>
      </c>
      <c r="E1415" s="66" t="s">
        <v>33</v>
      </c>
      <c r="F1415" s="66" t="s">
        <v>985</v>
      </c>
      <c r="G1415" s="66" t="s">
        <v>750</v>
      </c>
      <c r="H1415" s="66" t="s">
        <v>1017</v>
      </c>
      <c r="I1415" s="66" t="s">
        <v>51</v>
      </c>
      <c r="J1415" s="66" t="s">
        <v>46</v>
      </c>
      <c r="K1415" s="66" t="s">
        <v>747</v>
      </c>
      <c r="L1415" s="67">
        <v>1178000</v>
      </c>
      <c r="M1415" s="67">
        <v>0</v>
      </c>
      <c r="N1415" s="68">
        <f t="shared" si="94"/>
        <v>1178000</v>
      </c>
      <c r="O1415" s="69">
        <f t="shared" si="93"/>
        <v>1178000</v>
      </c>
      <c r="P1415" s="42" t="str">
        <f>IFERROR(VLOOKUP(J1415,'Mã NV'!$B:$C,2,0),"")</f>
        <v>XE00900</v>
      </c>
      <c r="Q1415" s="70" t="str">
        <f>IFERROR(VLOOKUP(I1415,'Mã NV'!$J:$K,2,0),"")</f>
        <v>6.5T</v>
      </c>
      <c r="S1415" s="44">
        <f t="shared" si="92"/>
        <v>176700</v>
      </c>
    </row>
    <row r="1416" customHeight="1" spans="1:19">
      <c r="A1416" s="63">
        <f t="shared" si="91"/>
        <v>1410</v>
      </c>
      <c r="B1416" s="64">
        <v>46157</v>
      </c>
      <c r="C1416" s="65"/>
      <c r="D1416" s="66" t="s">
        <v>33</v>
      </c>
      <c r="E1416" s="66" t="s">
        <v>33</v>
      </c>
      <c r="F1416" s="66" t="s">
        <v>985</v>
      </c>
      <c r="G1416" s="66" t="s">
        <v>750</v>
      </c>
      <c r="H1416" s="66" t="s">
        <v>1020</v>
      </c>
      <c r="I1416" s="66" t="s">
        <v>127</v>
      </c>
      <c r="J1416" s="66" t="s">
        <v>125</v>
      </c>
      <c r="K1416" s="66" t="s">
        <v>747</v>
      </c>
      <c r="L1416" s="67">
        <v>49358</v>
      </c>
      <c r="M1416" s="67">
        <v>0</v>
      </c>
      <c r="N1416" s="68">
        <f t="shared" si="94"/>
        <v>49358</v>
      </c>
      <c r="O1416" s="69">
        <f t="shared" si="93"/>
        <v>49358</v>
      </c>
      <c r="P1416" s="42" t="str">
        <f>IFERROR(VLOOKUP(J1416,'Mã NV'!$B:$C,2,0),"")</f>
        <v>XE00547</v>
      </c>
      <c r="Q1416" s="70" t="str">
        <f>IFERROR(VLOOKUP(I1416,'Mã NV'!$J:$K,2,0),"")</f>
        <v>8T</v>
      </c>
      <c r="S1416" s="44">
        <f t="shared" si="92"/>
        <v>7403.7</v>
      </c>
    </row>
    <row r="1417" customHeight="1" spans="1:19">
      <c r="A1417" s="63">
        <f t="shared" si="91"/>
        <v>1411</v>
      </c>
      <c r="B1417" s="64">
        <v>46157</v>
      </c>
      <c r="C1417" s="65"/>
      <c r="D1417" s="66" t="s">
        <v>33</v>
      </c>
      <c r="E1417" s="66" t="s">
        <v>33</v>
      </c>
      <c r="F1417" s="66" t="s">
        <v>985</v>
      </c>
      <c r="G1417" s="66" t="s">
        <v>750</v>
      </c>
      <c r="H1417" s="66" t="s">
        <v>1020</v>
      </c>
      <c r="I1417" s="66" t="s">
        <v>127</v>
      </c>
      <c r="J1417" s="66" t="s">
        <v>125</v>
      </c>
      <c r="K1417" s="66" t="s">
        <v>747</v>
      </c>
      <c r="L1417" s="67">
        <v>1767000</v>
      </c>
      <c r="M1417" s="67">
        <v>0</v>
      </c>
      <c r="N1417" s="68">
        <f t="shared" si="94"/>
        <v>1767000</v>
      </c>
      <c r="O1417" s="69">
        <f t="shared" si="93"/>
        <v>1767000</v>
      </c>
      <c r="P1417" s="42" t="str">
        <f>IFERROR(VLOOKUP(J1417,'Mã NV'!$B:$C,2,0),"")</f>
        <v>XE00547</v>
      </c>
      <c r="Q1417" s="70" t="str">
        <f>IFERROR(VLOOKUP(I1417,'Mã NV'!$J:$K,2,0),"")</f>
        <v>8T</v>
      </c>
      <c r="S1417" s="44">
        <f t="shared" si="92"/>
        <v>265050</v>
      </c>
    </row>
    <row r="1418" customHeight="1" spans="1:19">
      <c r="A1418" s="63">
        <f t="shared" si="91"/>
        <v>1412</v>
      </c>
      <c r="B1418" s="64">
        <v>46157</v>
      </c>
      <c r="C1418" s="65"/>
      <c r="D1418" s="66" t="s">
        <v>33</v>
      </c>
      <c r="E1418" s="66" t="s">
        <v>33</v>
      </c>
      <c r="F1418" s="66" t="s">
        <v>985</v>
      </c>
      <c r="G1418" s="66" t="s">
        <v>750</v>
      </c>
      <c r="H1418" s="66" t="s">
        <v>1020</v>
      </c>
      <c r="I1418" s="66" t="s">
        <v>127</v>
      </c>
      <c r="J1418" s="66" t="s">
        <v>125</v>
      </c>
      <c r="K1418" s="66" t="s">
        <v>747</v>
      </c>
      <c r="L1418" s="67">
        <v>3769600</v>
      </c>
      <c r="M1418" s="67">
        <v>0</v>
      </c>
      <c r="N1418" s="68">
        <f t="shared" si="94"/>
        <v>3769600</v>
      </c>
      <c r="O1418" s="69">
        <f t="shared" si="93"/>
        <v>3769600</v>
      </c>
      <c r="P1418" s="42" t="str">
        <f>IFERROR(VLOOKUP(J1418,'Mã NV'!$B:$C,2,0),"")</f>
        <v>XE00547</v>
      </c>
      <c r="Q1418" s="70" t="str">
        <f>IFERROR(VLOOKUP(I1418,'Mã NV'!$J:$K,2,0),"")</f>
        <v>8T</v>
      </c>
      <c r="S1418" s="44">
        <f t="shared" si="92"/>
        <v>565440</v>
      </c>
    </row>
    <row r="1419" customHeight="1" spans="1:19">
      <c r="A1419" s="63">
        <f t="shared" si="91"/>
        <v>1413</v>
      </c>
      <c r="B1419" s="64">
        <v>46160</v>
      </c>
      <c r="C1419" s="65"/>
      <c r="D1419" s="66" t="s">
        <v>33</v>
      </c>
      <c r="E1419" s="66" t="s">
        <v>33</v>
      </c>
      <c r="F1419" s="66" t="s">
        <v>985</v>
      </c>
      <c r="G1419" s="66" t="s">
        <v>750</v>
      </c>
      <c r="H1419" s="66" t="s">
        <v>1017</v>
      </c>
      <c r="I1419" s="66" t="s">
        <v>127</v>
      </c>
      <c r="J1419" s="66" t="s">
        <v>125</v>
      </c>
      <c r="K1419" s="66" t="s">
        <v>747</v>
      </c>
      <c r="L1419" s="67">
        <v>29450</v>
      </c>
      <c r="M1419" s="67">
        <v>0</v>
      </c>
      <c r="N1419" s="68">
        <f t="shared" si="94"/>
        <v>29450</v>
      </c>
      <c r="O1419" s="69">
        <f t="shared" si="93"/>
        <v>29450</v>
      </c>
      <c r="P1419" s="42" t="str">
        <f>IFERROR(VLOOKUP(J1419,'Mã NV'!$B:$C,2,0),"")</f>
        <v>XE00547</v>
      </c>
      <c r="Q1419" s="70" t="str">
        <f>IFERROR(VLOOKUP(I1419,'Mã NV'!$J:$K,2,0),"")</f>
        <v>8T</v>
      </c>
      <c r="S1419" s="44">
        <f t="shared" si="92"/>
        <v>4417.5</v>
      </c>
    </row>
    <row r="1420" customHeight="1" spans="1:19">
      <c r="A1420" s="63">
        <f t="shared" si="91"/>
        <v>1414</v>
      </c>
      <c r="B1420" s="64">
        <v>46160</v>
      </c>
      <c r="C1420" s="65"/>
      <c r="D1420" s="66" t="s">
        <v>33</v>
      </c>
      <c r="E1420" s="66" t="s">
        <v>33</v>
      </c>
      <c r="F1420" s="66" t="s">
        <v>985</v>
      </c>
      <c r="G1420" s="66" t="s">
        <v>750</v>
      </c>
      <c r="H1420" s="66" t="s">
        <v>1017</v>
      </c>
      <c r="I1420" s="66" t="s">
        <v>127</v>
      </c>
      <c r="J1420" s="66" t="s">
        <v>125</v>
      </c>
      <c r="K1420" s="66" t="s">
        <v>747</v>
      </c>
      <c r="L1420" s="67">
        <v>1443050</v>
      </c>
      <c r="M1420" s="67">
        <v>0</v>
      </c>
      <c r="N1420" s="68">
        <f t="shared" si="94"/>
        <v>1443050</v>
      </c>
      <c r="O1420" s="69">
        <f t="shared" si="93"/>
        <v>1443050</v>
      </c>
      <c r="P1420" s="42" t="str">
        <f>IFERROR(VLOOKUP(J1420,'Mã NV'!$B:$C,2,0),"")</f>
        <v>XE00547</v>
      </c>
      <c r="Q1420" s="70" t="str">
        <f>IFERROR(VLOOKUP(I1420,'Mã NV'!$J:$K,2,0),"")</f>
        <v>8T</v>
      </c>
      <c r="S1420" s="44">
        <f t="shared" si="92"/>
        <v>216457.5</v>
      </c>
    </row>
    <row r="1421" customHeight="1" spans="1:19">
      <c r="A1421" s="63">
        <f t="shared" si="91"/>
        <v>1415</v>
      </c>
      <c r="B1421" s="64">
        <v>46160</v>
      </c>
      <c r="C1421" s="65"/>
      <c r="D1421" s="66" t="s">
        <v>33</v>
      </c>
      <c r="E1421" s="66" t="s">
        <v>33</v>
      </c>
      <c r="F1421" s="66" t="s">
        <v>985</v>
      </c>
      <c r="G1421" s="66" t="s">
        <v>750</v>
      </c>
      <c r="H1421" s="66" t="s">
        <v>1021</v>
      </c>
      <c r="I1421" s="66" t="s">
        <v>127</v>
      </c>
      <c r="J1421" s="66" t="s">
        <v>125</v>
      </c>
      <c r="K1421" s="66" t="s">
        <v>747</v>
      </c>
      <c r="L1421" s="67">
        <v>368714</v>
      </c>
      <c r="M1421" s="67">
        <v>0</v>
      </c>
      <c r="N1421" s="68">
        <f t="shared" si="94"/>
        <v>368714</v>
      </c>
      <c r="O1421" s="69">
        <f t="shared" si="93"/>
        <v>368714</v>
      </c>
      <c r="P1421" s="42" t="str">
        <f>IFERROR(VLOOKUP(J1421,'Mã NV'!$B:$C,2,0),"")</f>
        <v>XE00547</v>
      </c>
      <c r="Q1421" s="70" t="str">
        <f>IFERROR(VLOOKUP(I1421,'Mã NV'!$J:$K,2,0),"")</f>
        <v>8T</v>
      </c>
      <c r="S1421" s="44">
        <f t="shared" si="92"/>
        <v>55307.1</v>
      </c>
    </row>
    <row r="1422" customHeight="1" spans="1:19">
      <c r="A1422" s="63">
        <f t="shared" si="91"/>
        <v>1416</v>
      </c>
      <c r="B1422" s="64">
        <v>46160</v>
      </c>
      <c r="C1422" s="65"/>
      <c r="D1422" s="66" t="s">
        <v>33</v>
      </c>
      <c r="E1422" s="66" t="s">
        <v>33</v>
      </c>
      <c r="F1422" s="66" t="s">
        <v>985</v>
      </c>
      <c r="G1422" s="66" t="s">
        <v>750</v>
      </c>
      <c r="H1422" s="66" t="s">
        <v>1004</v>
      </c>
      <c r="I1422" s="66" t="s">
        <v>127</v>
      </c>
      <c r="J1422" s="66" t="s">
        <v>125</v>
      </c>
      <c r="K1422" s="66" t="s">
        <v>747</v>
      </c>
      <c r="L1422" s="67">
        <v>420750</v>
      </c>
      <c r="M1422" s="67">
        <v>0</v>
      </c>
      <c r="N1422" s="68">
        <f t="shared" si="94"/>
        <v>420750</v>
      </c>
      <c r="O1422" s="69">
        <f t="shared" si="93"/>
        <v>420750</v>
      </c>
      <c r="P1422" s="42" t="str">
        <f>IFERROR(VLOOKUP(J1422,'Mã NV'!$B:$C,2,0),"")</f>
        <v>XE00547</v>
      </c>
      <c r="Q1422" s="70" t="str">
        <f>IFERROR(VLOOKUP(I1422,'Mã NV'!$J:$K,2,0),"")</f>
        <v>8T</v>
      </c>
      <c r="S1422" s="44">
        <f t="shared" si="92"/>
        <v>63112.5</v>
      </c>
    </row>
    <row r="1423" customHeight="1" spans="1:19">
      <c r="A1423" s="63">
        <f t="shared" ref="A1423:A1486" si="95">A1422+1</f>
        <v>1417</v>
      </c>
      <c r="B1423" s="64">
        <v>46160</v>
      </c>
      <c r="C1423" s="65"/>
      <c r="D1423" s="66" t="s">
        <v>33</v>
      </c>
      <c r="E1423" s="66" t="s">
        <v>33</v>
      </c>
      <c r="F1423" s="66" t="s">
        <v>985</v>
      </c>
      <c r="G1423" s="66" t="s">
        <v>750</v>
      </c>
      <c r="H1423" s="66" t="s">
        <v>1006</v>
      </c>
      <c r="I1423" s="66" t="s">
        <v>127</v>
      </c>
      <c r="J1423" s="66" t="s">
        <v>125</v>
      </c>
      <c r="K1423" s="66" t="s">
        <v>747</v>
      </c>
      <c r="L1423" s="67">
        <v>201650</v>
      </c>
      <c r="M1423" s="67">
        <v>0</v>
      </c>
      <c r="N1423" s="68">
        <f t="shared" si="94"/>
        <v>201650</v>
      </c>
      <c r="O1423" s="69">
        <f t="shared" si="93"/>
        <v>201650</v>
      </c>
      <c r="P1423" s="42" t="str">
        <f>IFERROR(VLOOKUP(J1423,'Mã NV'!$B:$C,2,0),"")</f>
        <v>XE00547</v>
      </c>
      <c r="Q1423" s="70" t="str">
        <f>IFERROR(VLOOKUP(I1423,'Mã NV'!$J:$K,2,0),"")</f>
        <v>8T</v>
      </c>
      <c r="S1423" s="44">
        <f t="shared" si="92"/>
        <v>30247.5</v>
      </c>
    </row>
    <row r="1424" customHeight="1" spans="1:19">
      <c r="A1424" s="63">
        <f t="shared" si="95"/>
        <v>1418</v>
      </c>
      <c r="B1424" s="64">
        <v>46160</v>
      </c>
      <c r="C1424" s="65"/>
      <c r="D1424" s="66" t="s">
        <v>33</v>
      </c>
      <c r="E1424" s="66" t="s">
        <v>33</v>
      </c>
      <c r="F1424" s="66" t="s">
        <v>985</v>
      </c>
      <c r="G1424" s="66" t="s">
        <v>750</v>
      </c>
      <c r="H1424" s="66" t="s">
        <v>1006</v>
      </c>
      <c r="I1424" s="66" t="s">
        <v>127</v>
      </c>
      <c r="J1424" s="66" t="s">
        <v>125</v>
      </c>
      <c r="K1424" s="66" t="s">
        <v>747</v>
      </c>
      <c r="L1424" s="67">
        <v>2867500</v>
      </c>
      <c r="M1424" s="67">
        <v>0</v>
      </c>
      <c r="N1424" s="68">
        <f t="shared" si="94"/>
        <v>2867500</v>
      </c>
      <c r="O1424" s="69">
        <f t="shared" si="93"/>
        <v>2867500</v>
      </c>
      <c r="P1424" s="42" t="str">
        <f>IFERROR(VLOOKUP(J1424,'Mã NV'!$B:$C,2,0),"")</f>
        <v>XE00547</v>
      </c>
      <c r="Q1424" s="70" t="str">
        <f>IFERROR(VLOOKUP(I1424,'Mã NV'!$J:$K,2,0),"")</f>
        <v>8T</v>
      </c>
      <c r="S1424" s="44">
        <f t="shared" si="92"/>
        <v>430125</v>
      </c>
    </row>
    <row r="1425" customHeight="1" spans="1:19">
      <c r="A1425" s="63">
        <f t="shared" si="95"/>
        <v>1419</v>
      </c>
      <c r="B1425" s="64">
        <v>46160</v>
      </c>
      <c r="C1425" s="65"/>
      <c r="D1425" s="66" t="s">
        <v>33</v>
      </c>
      <c r="E1425" s="66" t="s">
        <v>33</v>
      </c>
      <c r="F1425" s="66" t="s">
        <v>985</v>
      </c>
      <c r="G1425" s="66" t="s">
        <v>750</v>
      </c>
      <c r="H1425" s="66" t="s">
        <v>1018</v>
      </c>
      <c r="I1425" s="66" t="s">
        <v>197</v>
      </c>
      <c r="J1425" s="66" t="s">
        <v>195</v>
      </c>
      <c r="K1425" s="66" t="s">
        <v>747</v>
      </c>
      <c r="L1425" s="67">
        <v>100980</v>
      </c>
      <c r="M1425" s="67">
        <v>0</v>
      </c>
      <c r="N1425" s="68">
        <f t="shared" si="94"/>
        <v>100980</v>
      </c>
      <c r="O1425" s="69">
        <f t="shared" si="93"/>
        <v>100980</v>
      </c>
      <c r="P1425" s="42" t="str">
        <f>IFERROR(VLOOKUP(J1425,'Mã NV'!$B:$C,2,0),"")</f>
        <v>XE00449</v>
      </c>
      <c r="Q1425" s="70" t="str">
        <f>IFERROR(VLOOKUP(I1425,'Mã NV'!$J:$K,2,0),"")</f>
        <v>8T</v>
      </c>
      <c r="S1425" s="44">
        <f t="shared" si="92"/>
        <v>15147</v>
      </c>
    </row>
    <row r="1426" customHeight="1" spans="1:19">
      <c r="A1426" s="63">
        <f t="shared" si="95"/>
        <v>1420</v>
      </c>
      <c r="B1426" s="64">
        <v>46160</v>
      </c>
      <c r="C1426" s="65"/>
      <c r="D1426" s="66" t="s">
        <v>33</v>
      </c>
      <c r="E1426" s="66" t="s">
        <v>33</v>
      </c>
      <c r="F1426" s="66" t="s">
        <v>985</v>
      </c>
      <c r="G1426" s="66" t="s">
        <v>750</v>
      </c>
      <c r="H1426" s="66" t="s">
        <v>1018</v>
      </c>
      <c r="I1426" s="66" t="s">
        <v>197</v>
      </c>
      <c r="J1426" s="66" t="s">
        <v>195</v>
      </c>
      <c r="K1426" s="66" t="s">
        <v>747</v>
      </c>
      <c r="L1426" s="67">
        <v>2692800</v>
      </c>
      <c r="M1426" s="67">
        <v>0</v>
      </c>
      <c r="N1426" s="68">
        <f t="shared" si="94"/>
        <v>2692800</v>
      </c>
      <c r="O1426" s="69">
        <f t="shared" si="93"/>
        <v>2692800</v>
      </c>
      <c r="P1426" s="42" t="str">
        <f>IFERROR(VLOOKUP(J1426,'Mã NV'!$B:$C,2,0),"")</f>
        <v>XE00449</v>
      </c>
      <c r="Q1426" s="70" t="str">
        <f>IFERROR(VLOOKUP(I1426,'Mã NV'!$J:$K,2,0),"")</f>
        <v>8T</v>
      </c>
      <c r="S1426" s="44">
        <f t="shared" si="92"/>
        <v>403920</v>
      </c>
    </row>
    <row r="1427" customHeight="1" spans="1:19">
      <c r="A1427" s="63">
        <f t="shared" si="95"/>
        <v>1421</v>
      </c>
      <c r="B1427" s="64">
        <v>46160</v>
      </c>
      <c r="C1427" s="65"/>
      <c r="D1427" s="66" t="s">
        <v>33</v>
      </c>
      <c r="E1427" s="66" t="s">
        <v>33</v>
      </c>
      <c r="F1427" s="66" t="s">
        <v>985</v>
      </c>
      <c r="G1427" s="66" t="s">
        <v>750</v>
      </c>
      <c r="H1427" s="66" t="s">
        <v>1022</v>
      </c>
      <c r="I1427" s="66" t="s">
        <v>197</v>
      </c>
      <c r="J1427" s="66" t="s">
        <v>195</v>
      </c>
      <c r="K1427" s="66" t="s">
        <v>747</v>
      </c>
      <c r="L1427" s="67">
        <v>8415</v>
      </c>
      <c r="M1427" s="67">
        <v>0</v>
      </c>
      <c r="N1427" s="68">
        <f t="shared" si="94"/>
        <v>8415</v>
      </c>
      <c r="O1427" s="69">
        <f t="shared" si="93"/>
        <v>8415</v>
      </c>
      <c r="P1427" s="42" t="str">
        <f>IFERROR(VLOOKUP(J1427,'Mã NV'!$B:$C,2,0),"")</f>
        <v>XE00449</v>
      </c>
      <c r="Q1427" s="70" t="str">
        <f>IFERROR(VLOOKUP(I1427,'Mã NV'!$J:$K,2,0),"")</f>
        <v>8T</v>
      </c>
      <c r="S1427" s="44">
        <f t="shared" si="92"/>
        <v>1262.25</v>
      </c>
    </row>
    <row r="1428" customHeight="1" spans="1:19">
      <c r="A1428" s="63">
        <f t="shared" si="95"/>
        <v>1422</v>
      </c>
      <c r="B1428" s="64">
        <v>46160</v>
      </c>
      <c r="C1428" s="65"/>
      <c r="D1428" s="66" t="s">
        <v>33</v>
      </c>
      <c r="E1428" s="66" t="s">
        <v>33</v>
      </c>
      <c r="F1428" s="66" t="s">
        <v>985</v>
      </c>
      <c r="G1428" s="66" t="s">
        <v>750</v>
      </c>
      <c r="H1428" s="66" t="s">
        <v>1022</v>
      </c>
      <c r="I1428" s="66" t="s">
        <v>197</v>
      </c>
      <c r="J1428" s="66" t="s">
        <v>195</v>
      </c>
      <c r="K1428" s="66" t="s">
        <v>747</v>
      </c>
      <c r="L1428" s="67">
        <v>1767150</v>
      </c>
      <c r="M1428" s="67">
        <v>0</v>
      </c>
      <c r="N1428" s="68">
        <f t="shared" si="94"/>
        <v>1767150</v>
      </c>
      <c r="O1428" s="69">
        <f t="shared" si="93"/>
        <v>1767150</v>
      </c>
      <c r="P1428" s="42" t="str">
        <f>IFERROR(VLOOKUP(J1428,'Mã NV'!$B:$C,2,0),"")</f>
        <v>XE00449</v>
      </c>
      <c r="Q1428" s="70" t="str">
        <f>IFERROR(VLOOKUP(I1428,'Mã NV'!$J:$K,2,0),"")</f>
        <v>8T</v>
      </c>
      <c r="S1428" s="44">
        <f t="shared" si="92"/>
        <v>265072.5</v>
      </c>
    </row>
    <row r="1429" customHeight="1" spans="1:19">
      <c r="A1429" s="63">
        <f t="shared" si="95"/>
        <v>1423</v>
      </c>
      <c r="B1429" s="64">
        <v>46160</v>
      </c>
      <c r="C1429" s="65"/>
      <c r="D1429" s="66" t="s">
        <v>33</v>
      </c>
      <c r="E1429" s="66" t="s">
        <v>33</v>
      </c>
      <c r="F1429" s="66" t="s">
        <v>985</v>
      </c>
      <c r="G1429" s="66" t="s">
        <v>750</v>
      </c>
      <c r="H1429" s="66" t="s">
        <v>1012</v>
      </c>
      <c r="I1429" s="66" t="s">
        <v>52</v>
      </c>
      <c r="J1429" s="66" t="s">
        <v>128</v>
      </c>
      <c r="K1429" s="66" t="s">
        <v>747</v>
      </c>
      <c r="L1429" s="67">
        <v>812835</v>
      </c>
      <c r="M1429" s="67">
        <v>0</v>
      </c>
      <c r="N1429" s="68">
        <f t="shared" si="94"/>
        <v>812835</v>
      </c>
      <c r="O1429" s="69">
        <f t="shared" si="93"/>
        <v>812835</v>
      </c>
      <c r="P1429" s="42" t="str">
        <f>IFERROR(VLOOKUP(J1429,'Mã NV'!$B:$C,2,0),"")</f>
        <v>XE00953</v>
      </c>
      <c r="Q1429" s="70" t="str">
        <f>IFERROR(VLOOKUP(I1429,'Mã NV'!$J:$K,2,0),"")</f>
        <v>8T</v>
      </c>
      <c r="S1429" s="44">
        <f t="shared" si="92"/>
        <v>121925.25</v>
      </c>
    </row>
    <row r="1430" customHeight="1" spans="1:19">
      <c r="A1430" s="63">
        <f t="shared" si="95"/>
        <v>1424</v>
      </c>
      <c r="B1430" s="64">
        <v>46160</v>
      </c>
      <c r="C1430" s="65"/>
      <c r="D1430" s="66" t="s">
        <v>33</v>
      </c>
      <c r="E1430" s="66" t="s">
        <v>33</v>
      </c>
      <c r="F1430" s="66" t="s">
        <v>985</v>
      </c>
      <c r="G1430" s="66" t="s">
        <v>750</v>
      </c>
      <c r="H1430" s="66" t="s">
        <v>1014</v>
      </c>
      <c r="I1430" s="66" t="s">
        <v>52</v>
      </c>
      <c r="J1430" s="66" t="s">
        <v>128</v>
      </c>
      <c r="K1430" s="66" t="s">
        <v>747</v>
      </c>
      <c r="L1430" s="67">
        <v>20070</v>
      </c>
      <c r="M1430" s="67">
        <v>0</v>
      </c>
      <c r="N1430" s="68">
        <f t="shared" si="94"/>
        <v>20070</v>
      </c>
      <c r="O1430" s="69">
        <f t="shared" si="93"/>
        <v>20070</v>
      </c>
      <c r="P1430" s="42" t="str">
        <f>IFERROR(VLOOKUP(J1430,'Mã NV'!$B:$C,2,0),"")</f>
        <v>XE00953</v>
      </c>
      <c r="Q1430" s="70" t="str">
        <f>IFERROR(VLOOKUP(I1430,'Mã NV'!$J:$K,2,0),"")</f>
        <v>8T</v>
      </c>
      <c r="S1430" s="44">
        <f t="shared" si="92"/>
        <v>3010.5</v>
      </c>
    </row>
    <row r="1431" customHeight="1" spans="1:19">
      <c r="A1431" s="63">
        <f t="shared" si="95"/>
        <v>1425</v>
      </c>
      <c r="B1431" s="64">
        <v>46160</v>
      </c>
      <c r="C1431" s="65"/>
      <c r="D1431" s="66" t="s">
        <v>33</v>
      </c>
      <c r="E1431" s="66" t="s">
        <v>33</v>
      </c>
      <c r="F1431" s="66" t="s">
        <v>985</v>
      </c>
      <c r="G1431" s="66" t="s">
        <v>750</v>
      </c>
      <c r="H1431" s="66" t="s">
        <v>1014</v>
      </c>
      <c r="I1431" s="66" t="s">
        <v>52</v>
      </c>
      <c r="J1431" s="66" t="s">
        <v>128</v>
      </c>
      <c r="K1431" s="66" t="s">
        <v>747</v>
      </c>
      <c r="L1431" s="67">
        <v>1304550</v>
      </c>
      <c r="M1431" s="67">
        <v>0</v>
      </c>
      <c r="N1431" s="68">
        <f t="shared" si="94"/>
        <v>1304550</v>
      </c>
      <c r="O1431" s="69">
        <f t="shared" si="93"/>
        <v>1304550</v>
      </c>
      <c r="P1431" s="42" t="str">
        <f>IFERROR(VLOOKUP(J1431,'Mã NV'!$B:$C,2,0),"")</f>
        <v>XE00953</v>
      </c>
      <c r="Q1431" s="70" t="str">
        <f>IFERROR(VLOOKUP(I1431,'Mã NV'!$J:$K,2,0),"")</f>
        <v>8T</v>
      </c>
      <c r="S1431" s="44">
        <f t="shared" si="92"/>
        <v>195682.5</v>
      </c>
    </row>
    <row r="1432" customHeight="1" spans="1:19">
      <c r="A1432" s="63">
        <f t="shared" si="95"/>
        <v>1426</v>
      </c>
      <c r="B1432" s="64">
        <v>46160</v>
      </c>
      <c r="C1432" s="65"/>
      <c r="D1432" s="66" t="s">
        <v>33</v>
      </c>
      <c r="E1432" s="66" t="s">
        <v>33</v>
      </c>
      <c r="F1432" s="66" t="s">
        <v>985</v>
      </c>
      <c r="G1432" s="66" t="s">
        <v>750</v>
      </c>
      <c r="H1432" s="66" t="s">
        <v>1016</v>
      </c>
      <c r="I1432" s="66" t="s">
        <v>52</v>
      </c>
      <c r="J1432" s="66" t="s">
        <v>128</v>
      </c>
      <c r="K1432" s="66" t="s">
        <v>747</v>
      </c>
      <c r="L1432" s="67">
        <v>154765</v>
      </c>
      <c r="M1432" s="67">
        <v>0</v>
      </c>
      <c r="N1432" s="68">
        <f t="shared" si="94"/>
        <v>154765</v>
      </c>
      <c r="O1432" s="69">
        <f t="shared" si="93"/>
        <v>154765</v>
      </c>
      <c r="P1432" s="42" t="str">
        <f>IFERROR(VLOOKUP(J1432,'Mã NV'!$B:$C,2,0),"")</f>
        <v>XE00953</v>
      </c>
      <c r="Q1432" s="70" t="str">
        <f>IFERROR(VLOOKUP(I1432,'Mã NV'!$J:$K,2,0),"")</f>
        <v>8T</v>
      </c>
      <c r="S1432" s="44">
        <f t="shared" si="92"/>
        <v>23214.75</v>
      </c>
    </row>
    <row r="1433" customHeight="1" spans="1:19">
      <c r="A1433" s="63">
        <f t="shared" si="95"/>
        <v>1427</v>
      </c>
      <c r="B1433" s="64">
        <v>46160</v>
      </c>
      <c r="C1433" s="65"/>
      <c r="D1433" s="66" t="s">
        <v>33</v>
      </c>
      <c r="E1433" s="66" t="s">
        <v>33</v>
      </c>
      <c r="F1433" s="66" t="s">
        <v>985</v>
      </c>
      <c r="G1433" s="66" t="s">
        <v>750</v>
      </c>
      <c r="H1433" s="66" t="s">
        <v>1016</v>
      </c>
      <c r="I1433" s="66" t="s">
        <v>52</v>
      </c>
      <c r="J1433" s="66" t="s">
        <v>128</v>
      </c>
      <c r="K1433" s="66" t="s">
        <v>747</v>
      </c>
      <c r="L1433" s="67">
        <v>4523900</v>
      </c>
      <c r="M1433" s="67">
        <v>0</v>
      </c>
      <c r="N1433" s="68">
        <f t="shared" si="94"/>
        <v>4523900</v>
      </c>
      <c r="O1433" s="69">
        <f t="shared" si="93"/>
        <v>4523900</v>
      </c>
      <c r="P1433" s="42" t="str">
        <f>IFERROR(VLOOKUP(J1433,'Mã NV'!$B:$C,2,0),"")</f>
        <v>XE00953</v>
      </c>
      <c r="Q1433" s="70" t="str">
        <f>IFERROR(VLOOKUP(I1433,'Mã NV'!$J:$K,2,0),"")</f>
        <v>8T</v>
      </c>
      <c r="S1433" s="44">
        <f t="shared" si="92"/>
        <v>678585</v>
      </c>
    </row>
    <row r="1434" customHeight="1" spans="1:19">
      <c r="A1434" s="63">
        <f t="shared" si="95"/>
        <v>1428</v>
      </c>
      <c r="B1434" s="64">
        <v>46160</v>
      </c>
      <c r="C1434" s="65"/>
      <c r="D1434" s="66" t="s">
        <v>33</v>
      </c>
      <c r="E1434" s="66" t="s">
        <v>33</v>
      </c>
      <c r="F1434" s="66" t="s">
        <v>985</v>
      </c>
      <c r="G1434" s="66" t="s">
        <v>750</v>
      </c>
      <c r="H1434" s="66" t="s">
        <v>1032</v>
      </c>
      <c r="I1434" s="66" t="s">
        <v>191</v>
      </c>
      <c r="J1434" s="66" t="s">
        <v>189</v>
      </c>
      <c r="K1434" s="66" t="s">
        <v>747</v>
      </c>
      <c r="L1434" s="67">
        <v>864422</v>
      </c>
      <c r="M1434" s="67">
        <v>0</v>
      </c>
      <c r="N1434" s="68">
        <f t="shared" si="94"/>
        <v>864422</v>
      </c>
      <c r="O1434" s="69">
        <f t="shared" si="93"/>
        <v>864422</v>
      </c>
      <c r="P1434" s="42" t="str">
        <f>IFERROR(VLOOKUP(J1434,'Mã NV'!$B:$C,2,0),"")</f>
        <v>XE00891</v>
      </c>
      <c r="Q1434" s="70" t="str">
        <f>IFERROR(VLOOKUP(I1434,'Mã NV'!$J:$K,2,0),"")</f>
        <v>8T</v>
      </c>
      <c r="S1434" s="44">
        <f t="shared" si="92"/>
        <v>129663.3</v>
      </c>
    </row>
    <row r="1435" customHeight="1" spans="1:19">
      <c r="A1435" s="63">
        <f t="shared" si="95"/>
        <v>1429</v>
      </c>
      <c r="B1435" s="64">
        <v>46160</v>
      </c>
      <c r="C1435" s="65"/>
      <c r="D1435" s="66" t="s">
        <v>33</v>
      </c>
      <c r="E1435" s="66" t="s">
        <v>33</v>
      </c>
      <c r="F1435" s="66" t="s">
        <v>985</v>
      </c>
      <c r="G1435" s="66" t="s">
        <v>750</v>
      </c>
      <c r="H1435" s="66" t="s">
        <v>1032</v>
      </c>
      <c r="I1435" s="66" t="s">
        <v>191</v>
      </c>
      <c r="J1435" s="66" t="s">
        <v>189</v>
      </c>
      <c r="K1435" s="66" t="s">
        <v>747</v>
      </c>
      <c r="L1435" s="67">
        <v>3977500</v>
      </c>
      <c r="M1435" s="67">
        <v>0</v>
      </c>
      <c r="N1435" s="68">
        <f t="shared" si="94"/>
        <v>3977500</v>
      </c>
      <c r="O1435" s="69">
        <f t="shared" si="93"/>
        <v>3977500</v>
      </c>
      <c r="P1435" s="42" t="str">
        <f>IFERROR(VLOOKUP(J1435,'Mã NV'!$B:$C,2,0),"")</f>
        <v>XE00891</v>
      </c>
      <c r="Q1435" s="70" t="str">
        <f>IFERROR(VLOOKUP(I1435,'Mã NV'!$J:$K,2,0),"")</f>
        <v>8T</v>
      </c>
      <c r="S1435" s="44">
        <f t="shared" si="92"/>
        <v>596625</v>
      </c>
    </row>
    <row r="1436" customHeight="1" spans="1:19">
      <c r="A1436" s="63">
        <f t="shared" si="95"/>
        <v>1430</v>
      </c>
      <c r="B1436" s="64">
        <v>46160</v>
      </c>
      <c r="C1436" s="65"/>
      <c r="D1436" s="66" t="s">
        <v>33</v>
      </c>
      <c r="E1436" s="66" t="s">
        <v>33</v>
      </c>
      <c r="F1436" s="66" t="s">
        <v>985</v>
      </c>
      <c r="G1436" s="66" t="s">
        <v>750</v>
      </c>
      <c r="H1436" s="66" t="s">
        <v>1039</v>
      </c>
      <c r="I1436" s="66" t="s">
        <v>48</v>
      </c>
      <c r="J1436" s="66" t="s">
        <v>324</v>
      </c>
      <c r="K1436" s="66" t="s">
        <v>747</v>
      </c>
      <c r="L1436" s="67">
        <v>660265</v>
      </c>
      <c r="M1436" s="67">
        <v>0</v>
      </c>
      <c r="N1436" s="68">
        <f t="shared" si="94"/>
        <v>660265</v>
      </c>
      <c r="O1436" s="69">
        <f t="shared" si="93"/>
        <v>660265</v>
      </c>
      <c r="P1436" s="42" t="str">
        <f>IFERROR(VLOOKUP(J1436,'Mã NV'!$B:$C,2,0),"")</f>
        <v>XE01620</v>
      </c>
      <c r="Q1436" s="70" t="str">
        <f>IFERROR(VLOOKUP(I1436,'Mã NV'!$J:$K,2,0),"")</f>
        <v>6.5T</v>
      </c>
      <c r="S1436" s="44">
        <f t="shared" si="92"/>
        <v>99039.75</v>
      </c>
    </row>
    <row r="1437" customHeight="1" spans="1:19">
      <c r="A1437" s="63">
        <f t="shared" si="95"/>
        <v>1431</v>
      </c>
      <c r="B1437" s="64">
        <v>46160</v>
      </c>
      <c r="C1437" s="65"/>
      <c r="D1437" s="66" t="s">
        <v>33</v>
      </c>
      <c r="E1437" s="66" t="s">
        <v>33</v>
      </c>
      <c r="F1437" s="66" t="s">
        <v>985</v>
      </c>
      <c r="G1437" s="66" t="s">
        <v>750</v>
      </c>
      <c r="H1437" s="66" t="s">
        <v>1032</v>
      </c>
      <c r="I1437" s="66" t="s">
        <v>48</v>
      </c>
      <c r="J1437" s="66" t="s">
        <v>324</v>
      </c>
      <c r="K1437" s="66" t="s">
        <v>747</v>
      </c>
      <c r="L1437" s="67">
        <v>373885</v>
      </c>
      <c r="M1437" s="67">
        <v>0</v>
      </c>
      <c r="N1437" s="68">
        <f t="shared" si="94"/>
        <v>373885</v>
      </c>
      <c r="O1437" s="69">
        <f t="shared" si="93"/>
        <v>373885</v>
      </c>
      <c r="P1437" s="42" t="str">
        <f>IFERROR(VLOOKUP(J1437,'Mã NV'!$B:$C,2,0),"")</f>
        <v>XE01620</v>
      </c>
      <c r="Q1437" s="70" t="str">
        <f>IFERROR(VLOOKUP(I1437,'Mã NV'!$J:$K,2,0),"")</f>
        <v>6.5T</v>
      </c>
      <c r="S1437" s="44">
        <f t="shared" si="92"/>
        <v>56082.75</v>
      </c>
    </row>
    <row r="1438" customHeight="1" spans="1:19">
      <c r="A1438" s="63">
        <f t="shared" si="95"/>
        <v>1432</v>
      </c>
      <c r="B1438" s="64">
        <v>46160</v>
      </c>
      <c r="C1438" s="65"/>
      <c r="D1438" s="66" t="s">
        <v>33</v>
      </c>
      <c r="E1438" s="66" t="s">
        <v>33</v>
      </c>
      <c r="F1438" s="66" t="s">
        <v>985</v>
      </c>
      <c r="G1438" s="66" t="s">
        <v>750</v>
      </c>
      <c r="H1438" s="66" t="s">
        <v>1011</v>
      </c>
      <c r="I1438" s="66" t="s">
        <v>48</v>
      </c>
      <c r="J1438" s="66" t="s">
        <v>324</v>
      </c>
      <c r="K1438" s="66" t="s">
        <v>747</v>
      </c>
      <c r="L1438" s="67">
        <v>728222</v>
      </c>
      <c r="M1438" s="67">
        <v>0</v>
      </c>
      <c r="N1438" s="68">
        <f t="shared" si="94"/>
        <v>728222</v>
      </c>
      <c r="O1438" s="69">
        <f t="shared" si="93"/>
        <v>728222</v>
      </c>
      <c r="P1438" s="42" t="str">
        <f>IFERROR(VLOOKUP(J1438,'Mã NV'!$B:$C,2,0),"")</f>
        <v>XE01620</v>
      </c>
      <c r="Q1438" s="70" t="str">
        <f>IFERROR(VLOOKUP(I1438,'Mã NV'!$J:$K,2,0),"")</f>
        <v>6.5T</v>
      </c>
      <c r="S1438" s="44">
        <f t="shared" si="92"/>
        <v>109233.3</v>
      </c>
    </row>
    <row r="1439" customHeight="1" spans="1:19">
      <c r="A1439" s="63">
        <f t="shared" si="95"/>
        <v>1433</v>
      </c>
      <c r="B1439" s="64">
        <v>46160</v>
      </c>
      <c r="C1439" s="65"/>
      <c r="D1439" s="66" t="s">
        <v>33</v>
      </c>
      <c r="E1439" s="66" t="s">
        <v>33</v>
      </c>
      <c r="F1439" s="66" t="s">
        <v>985</v>
      </c>
      <c r="G1439" s="66" t="s">
        <v>750</v>
      </c>
      <c r="H1439" s="66" t="s">
        <v>1011</v>
      </c>
      <c r="I1439" s="66" t="s">
        <v>48</v>
      </c>
      <c r="J1439" s="66" t="s">
        <v>324</v>
      </c>
      <c r="K1439" s="66" t="s">
        <v>747</v>
      </c>
      <c r="L1439" s="67">
        <v>60830</v>
      </c>
      <c r="M1439" s="67">
        <v>0</v>
      </c>
      <c r="N1439" s="68">
        <f t="shared" si="94"/>
        <v>60830</v>
      </c>
      <c r="O1439" s="69">
        <f t="shared" si="93"/>
        <v>60830</v>
      </c>
      <c r="P1439" s="42" t="str">
        <f>IFERROR(VLOOKUP(J1439,'Mã NV'!$B:$C,2,0),"")</f>
        <v>XE01620</v>
      </c>
      <c r="Q1439" s="70" t="str">
        <f>IFERROR(VLOOKUP(I1439,'Mã NV'!$J:$K,2,0),"")</f>
        <v>6.5T</v>
      </c>
      <c r="S1439" s="44">
        <f t="shared" si="92"/>
        <v>9124.5</v>
      </c>
    </row>
    <row r="1440" customHeight="1" spans="1:19">
      <c r="A1440" s="63">
        <f t="shared" si="95"/>
        <v>1434</v>
      </c>
      <c r="B1440" s="64">
        <v>46160</v>
      </c>
      <c r="C1440" s="65"/>
      <c r="D1440" s="66" t="s">
        <v>33</v>
      </c>
      <c r="E1440" s="66" t="s">
        <v>33</v>
      </c>
      <c r="F1440" s="66" t="s">
        <v>985</v>
      </c>
      <c r="G1440" s="66" t="s">
        <v>750</v>
      </c>
      <c r="H1440" s="66" t="s">
        <v>1011</v>
      </c>
      <c r="I1440" s="66" t="s">
        <v>48</v>
      </c>
      <c r="J1440" s="66" t="s">
        <v>324</v>
      </c>
      <c r="K1440" s="66" t="s">
        <v>747</v>
      </c>
      <c r="L1440" s="67">
        <v>1086250</v>
      </c>
      <c r="M1440" s="67">
        <v>0</v>
      </c>
      <c r="N1440" s="68">
        <f t="shared" si="94"/>
        <v>1086250</v>
      </c>
      <c r="O1440" s="69">
        <f t="shared" si="93"/>
        <v>1086250</v>
      </c>
      <c r="P1440" s="42" t="str">
        <f>IFERROR(VLOOKUP(J1440,'Mã NV'!$B:$C,2,0),"")</f>
        <v>XE01620</v>
      </c>
      <c r="Q1440" s="70" t="str">
        <f>IFERROR(VLOOKUP(I1440,'Mã NV'!$J:$K,2,0),"")</f>
        <v>6.5T</v>
      </c>
      <c r="S1440" s="44">
        <f t="shared" si="92"/>
        <v>162937.5</v>
      </c>
    </row>
    <row r="1441" customHeight="1" spans="1:19">
      <c r="A1441" s="63">
        <f t="shared" si="95"/>
        <v>1435</v>
      </c>
      <c r="B1441" s="64">
        <v>46160</v>
      </c>
      <c r="C1441" s="65"/>
      <c r="D1441" s="66" t="s">
        <v>33</v>
      </c>
      <c r="E1441" s="66" t="s">
        <v>33</v>
      </c>
      <c r="F1441" s="66" t="s">
        <v>985</v>
      </c>
      <c r="G1441" s="66" t="s">
        <v>750</v>
      </c>
      <c r="H1441" s="66" t="s">
        <v>1008</v>
      </c>
      <c r="I1441" s="66" t="s">
        <v>81</v>
      </c>
      <c r="J1441" s="66" t="s">
        <v>79</v>
      </c>
      <c r="K1441" s="66" t="s">
        <v>747</v>
      </c>
      <c r="L1441" s="67">
        <v>897</v>
      </c>
      <c r="M1441" s="67">
        <v>0</v>
      </c>
      <c r="N1441" s="68">
        <f t="shared" si="94"/>
        <v>897</v>
      </c>
      <c r="O1441" s="69">
        <f t="shared" si="93"/>
        <v>897</v>
      </c>
      <c r="P1441" s="42" t="str">
        <f>IFERROR(VLOOKUP(J1441,'Mã NV'!$B:$C,2,0),"")</f>
        <v>XE00777</v>
      </c>
      <c r="Q1441" s="70" t="str">
        <f>IFERROR(VLOOKUP(I1441,'Mã NV'!$J:$K,2,0),"")</f>
        <v>6.5T</v>
      </c>
      <c r="S1441" s="44">
        <f t="shared" si="92"/>
        <v>134.55</v>
      </c>
    </row>
    <row r="1442" customHeight="1" spans="1:19">
      <c r="A1442" s="63">
        <f t="shared" si="95"/>
        <v>1436</v>
      </c>
      <c r="B1442" s="64">
        <v>46160</v>
      </c>
      <c r="C1442" s="65"/>
      <c r="D1442" s="66" t="s">
        <v>33</v>
      </c>
      <c r="E1442" s="66" t="s">
        <v>33</v>
      </c>
      <c r="F1442" s="66" t="s">
        <v>985</v>
      </c>
      <c r="G1442" s="66" t="s">
        <v>750</v>
      </c>
      <c r="H1442" s="66" t="s">
        <v>1008</v>
      </c>
      <c r="I1442" s="66" t="s">
        <v>81</v>
      </c>
      <c r="J1442" s="66" t="s">
        <v>79</v>
      </c>
      <c r="K1442" s="66" t="s">
        <v>747</v>
      </c>
      <c r="L1442" s="67">
        <v>34086</v>
      </c>
      <c r="M1442" s="67">
        <v>0</v>
      </c>
      <c r="N1442" s="68">
        <f t="shared" si="94"/>
        <v>34086</v>
      </c>
      <c r="O1442" s="69">
        <f t="shared" si="93"/>
        <v>34086</v>
      </c>
      <c r="P1442" s="42" t="str">
        <f>IFERROR(VLOOKUP(J1442,'Mã NV'!$B:$C,2,0),"")</f>
        <v>XE00777</v>
      </c>
      <c r="Q1442" s="70" t="str">
        <f>IFERROR(VLOOKUP(I1442,'Mã NV'!$J:$K,2,0),"")</f>
        <v>6.5T</v>
      </c>
      <c r="S1442" s="44">
        <f t="shared" si="92"/>
        <v>5112.9</v>
      </c>
    </row>
    <row r="1443" customHeight="1" spans="1:19">
      <c r="A1443" s="63">
        <f t="shared" si="95"/>
        <v>1437</v>
      </c>
      <c r="B1443" s="64">
        <v>46160</v>
      </c>
      <c r="C1443" s="65"/>
      <c r="D1443" s="66" t="s">
        <v>33</v>
      </c>
      <c r="E1443" s="66" t="s">
        <v>33</v>
      </c>
      <c r="F1443" s="66" t="s">
        <v>985</v>
      </c>
      <c r="G1443" s="66" t="s">
        <v>750</v>
      </c>
      <c r="H1443" s="66" t="s">
        <v>1008</v>
      </c>
      <c r="I1443" s="66" t="s">
        <v>81</v>
      </c>
      <c r="J1443" s="66" t="s">
        <v>79</v>
      </c>
      <c r="K1443" s="66" t="s">
        <v>747</v>
      </c>
      <c r="L1443" s="67">
        <v>1233375</v>
      </c>
      <c r="M1443" s="67">
        <v>0</v>
      </c>
      <c r="N1443" s="68">
        <f t="shared" si="94"/>
        <v>1233375</v>
      </c>
      <c r="O1443" s="69">
        <f t="shared" si="93"/>
        <v>1233375</v>
      </c>
      <c r="P1443" s="42" t="str">
        <f>IFERROR(VLOOKUP(J1443,'Mã NV'!$B:$C,2,0),"")</f>
        <v>XE00777</v>
      </c>
      <c r="Q1443" s="70" t="str">
        <f>IFERROR(VLOOKUP(I1443,'Mã NV'!$J:$K,2,0),"")</f>
        <v>6.5T</v>
      </c>
      <c r="S1443" s="44">
        <f t="shared" si="92"/>
        <v>185006.25</v>
      </c>
    </row>
    <row r="1444" customHeight="1" spans="1:19">
      <c r="A1444" s="63">
        <f t="shared" si="95"/>
        <v>1438</v>
      </c>
      <c r="B1444" s="64">
        <v>46160</v>
      </c>
      <c r="C1444" s="65"/>
      <c r="D1444" s="66" t="s">
        <v>33</v>
      </c>
      <c r="E1444" s="66" t="s">
        <v>33</v>
      </c>
      <c r="F1444" s="66" t="s">
        <v>985</v>
      </c>
      <c r="G1444" s="66" t="s">
        <v>750</v>
      </c>
      <c r="H1444" s="66" t="s">
        <v>1009</v>
      </c>
      <c r="I1444" s="66" t="s">
        <v>81</v>
      </c>
      <c r="J1444" s="66" t="s">
        <v>79</v>
      </c>
      <c r="K1444" s="66" t="s">
        <v>747</v>
      </c>
      <c r="L1444" s="67">
        <v>368667</v>
      </c>
      <c r="M1444" s="67">
        <v>0</v>
      </c>
      <c r="N1444" s="68">
        <f t="shared" si="94"/>
        <v>368667</v>
      </c>
      <c r="O1444" s="69">
        <f t="shared" si="93"/>
        <v>368667</v>
      </c>
      <c r="P1444" s="42" t="str">
        <f>IFERROR(VLOOKUP(J1444,'Mã NV'!$B:$C,2,0),"")</f>
        <v>XE00777</v>
      </c>
      <c r="Q1444" s="70" t="str">
        <f>IFERROR(VLOOKUP(I1444,'Mã NV'!$J:$K,2,0),"")</f>
        <v>6.5T</v>
      </c>
      <c r="S1444" s="44">
        <f t="shared" si="92"/>
        <v>55300.05</v>
      </c>
    </row>
    <row r="1445" customHeight="1" spans="1:19">
      <c r="A1445" s="63">
        <f t="shared" si="95"/>
        <v>1439</v>
      </c>
      <c r="B1445" s="64">
        <v>46161</v>
      </c>
      <c r="C1445" s="65"/>
      <c r="D1445" s="66" t="s">
        <v>33</v>
      </c>
      <c r="E1445" s="66" t="s">
        <v>33</v>
      </c>
      <c r="F1445" s="66" t="s">
        <v>985</v>
      </c>
      <c r="G1445" s="66" t="s">
        <v>750</v>
      </c>
      <c r="H1445" s="66" t="s">
        <v>1013</v>
      </c>
      <c r="I1445" s="66" t="s">
        <v>115</v>
      </c>
      <c r="J1445" s="66" t="s">
        <v>113</v>
      </c>
      <c r="K1445" s="66" t="s">
        <v>747</v>
      </c>
      <c r="L1445" s="67">
        <v>100350</v>
      </c>
      <c r="M1445" s="67">
        <v>0</v>
      </c>
      <c r="N1445" s="68">
        <f t="shared" si="94"/>
        <v>100350</v>
      </c>
      <c r="O1445" s="69">
        <f t="shared" si="93"/>
        <v>100350</v>
      </c>
      <c r="P1445" s="42" t="str">
        <f>IFERROR(VLOOKUP(J1445,'Mã NV'!$B:$C,2,0),"")</f>
        <v>XE00447</v>
      </c>
      <c r="Q1445" s="70" t="str">
        <f>IFERROR(VLOOKUP(I1445,'Mã NV'!$J:$K,2,0),"")</f>
        <v>8T</v>
      </c>
      <c r="S1445" s="44">
        <f t="shared" si="92"/>
        <v>15052.5</v>
      </c>
    </row>
    <row r="1446" customHeight="1" spans="1:19">
      <c r="A1446" s="63">
        <f t="shared" si="95"/>
        <v>1440</v>
      </c>
      <c r="B1446" s="64">
        <v>46161</v>
      </c>
      <c r="C1446" s="65"/>
      <c r="D1446" s="66" t="s">
        <v>33</v>
      </c>
      <c r="E1446" s="66" t="s">
        <v>33</v>
      </c>
      <c r="F1446" s="66" t="s">
        <v>985</v>
      </c>
      <c r="G1446" s="66" t="s">
        <v>750</v>
      </c>
      <c r="H1446" s="66" t="s">
        <v>1013</v>
      </c>
      <c r="I1446" s="66" t="s">
        <v>115</v>
      </c>
      <c r="J1446" s="66" t="s">
        <v>113</v>
      </c>
      <c r="K1446" s="66" t="s">
        <v>747</v>
      </c>
      <c r="L1446" s="67">
        <v>1505250</v>
      </c>
      <c r="M1446" s="67">
        <v>0</v>
      </c>
      <c r="N1446" s="68">
        <f t="shared" si="94"/>
        <v>1505250</v>
      </c>
      <c r="O1446" s="69">
        <f t="shared" si="93"/>
        <v>1505250</v>
      </c>
      <c r="P1446" s="42" t="str">
        <f>IFERROR(VLOOKUP(J1446,'Mã NV'!$B:$C,2,0),"")</f>
        <v>XE00447</v>
      </c>
      <c r="Q1446" s="70" t="str">
        <f>IFERROR(VLOOKUP(I1446,'Mã NV'!$J:$K,2,0),"")</f>
        <v>8T</v>
      </c>
      <c r="S1446" s="44">
        <f t="shared" si="92"/>
        <v>225787.5</v>
      </c>
    </row>
    <row r="1447" customHeight="1" spans="1:19">
      <c r="A1447" s="63">
        <f t="shared" si="95"/>
        <v>1441</v>
      </c>
      <c r="B1447" s="64">
        <v>46161</v>
      </c>
      <c r="C1447" s="65"/>
      <c r="D1447" s="66" t="s">
        <v>33</v>
      </c>
      <c r="E1447" s="66" t="s">
        <v>33</v>
      </c>
      <c r="F1447" s="66" t="s">
        <v>985</v>
      </c>
      <c r="G1447" s="66" t="s">
        <v>750</v>
      </c>
      <c r="H1447" s="66" t="s">
        <v>1006</v>
      </c>
      <c r="I1447" s="66" t="s">
        <v>115</v>
      </c>
      <c r="J1447" s="66" t="s">
        <v>113</v>
      </c>
      <c r="K1447" s="66" t="s">
        <v>747</v>
      </c>
      <c r="L1447" s="67">
        <v>46250</v>
      </c>
      <c r="M1447" s="67">
        <v>0</v>
      </c>
      <c r="N1447" s="68">
        <f t="shared" si="94"/>
        <v>46250</v>
      </c>
      <c r="O1447" s="69">
        <f t="shared" si="93"/>
        <v>46250</v>
      </c>
      <c r="P1447" s="42" t="str">
        <f>IFERROR(VLOOKUP(J1447,'Mã NV'!$B:$C,2,0),"")</f>
        <v>XE00447</v>
      </c>
      <c r="Q1447" s="70" t="str">
        <f>IFERROR(VLOOKUP(I1447,'Mã NV'!$J:$K,2,0),"")</f>
        <v>8T</v>
      </c>
      <c r="S1447" s="44">
        <f t="shared" si="92"/>
        <v>6937.5</v>
      </c>
    </row>
    <row r="1448" customHeight="1" spans="1:19">
      <c r="A1448" s="63">
        <f t="shared" si="95"/>
        <v>1442</v>
      </c>
      <c r="B1448" s="64">
        <v>46161</v>
      </c>
      <c r="C1448" s="65"/>
      <c r="D1448" s="66" t="s">
        <v>33</v>
      </c>
      <c r="E1448" s="66" t="s">
        <v>33</v>
      </c>
      <c r="F1448" s="66" t="s">
        <v>985</v>
      </c>
      <c r="G1448" s="66" t="s">
        <v>750</v>
      </c>
      <c r="H1448" s="66" t="s">
        <v>1006</v>
      </c>
      <c r="I1448" s="66" t="s">
        <v>115</v>
      </c>
      <c r="J1448" s="66" t="s">
        <v>113</v>
      </c>
      <c r="K1448" s="66" t="s">
        <v>747</v>
      </c>
      <c r="L1448" s="67">
        <v>1156250</v>
      </c>
      <c r="M1448" s="67">
        <v>0</v>
      </c>
      <c r="N1448" s="68">
        <f t="shared" si="94"/>
        <v>1156250</v>
      </c>
      <c r="O1448" s="69">
        <f t="shared" si="93"/>
        <v>1156250</v>
      </c>
      <c r="P1448" s="42" t="str">
        <f>IFERROR(VLOOKUP(J1448,'Mã NV'!$B:$C,2,0),"")</f>
        <v>XE00447</v>
      </c>
      <c r="Q1448" s="70" t="str">
        <f>IFERROR(VLOOKUP(I1448,'Mã NV'!$J:$K,2,0),"")</f>
        <v>8T</v>
      </c>
      <c r="S1448" s="44">
        <f t="shared" si="92"/>
        <v>173437.5</v>
      </c>
    </row>
    <row r="1449" customHeight="1" spans="1:19">
      <c r="A1449" s="63">
        <f t="shared" si="95"/>
        <v>1443</v>
      </c>
      <c r="B1449" s="64">
        <v>46161</v>
      </c>
      <c r="C1449" s="65"/>
      <c r="D1449" s="66" t="s">
        <v>33</v>
      </c>
      <c r="E1449" s="66" t="s">
        <v>33</v>
      </c>
      <c r="F1449" s="66" t="s">
        <v>985</v>
      </c>
      <c r="G1449" s="66" t="s">
        <v>750</v>
      </c>
      <c r="H1449" s="66" t="s">
        <v>1015</v>
      </c>
      <c r="I1449" s="66" t="s">
        <v>115</v>
      </c>
      <c r="J1449" s="66" t="s">
        <v>113</v>
      </c>
      <c r="K1449" s="66" t="s">
        <v>747</v>
      </c>
      <c r="L1449" s="67">
        <v>145050</v>
      </c>
      <c r="M1449" s="67">
        <v>0</v>
      </c>
      <c r="N1449" s="68">
        <f t="shared" si="94"/>
        <v>145050</v>
      </c>
      <c r="O1449" s="69">
        <f t="shared" si="93"/>
        <v>145050</v>
      </c>
      <c r="P1449" s="42" t="str">
        <f>IFERROR(VLOOKUP(J1449,'Mã NV'!$B:$C,2,0),"")</f>
        <v>XE00447</v>
      </c>
      <c r="Q1449" s="70" t="str">
        <f>IFERROR(VLOOKUP(I1449,'Mã NV'!$J:$K,2,0),"")</f>
        <v>8T</v>
      </c>
      <c r="S1449" s="44">
        <f t="shared" si="92"/>
        <v>21757.5</v>
      </c>
    </row>
    <row r="1450" customHeight="1" spans="1:19">
      <c r="A1450" s="63">
        <f t="shared" si="95"/>
        <v>1444</v>
      </c>
      <c r="B1450" s="64">
        <v>46161</v>
      </c>
      <c r="C1450" s="65"/>
      <c r="D1450" s="66" t="s">
        <v>33</v>
      </c>
      <c r="E1450" s="66" t="s">
        <v>33</v>
      </c>
      <c r="F1450" s="66" t="s">
        <v>985</v>
      </c>
      <c r="G1450" s="66" t="s">
        <v>750</v>
      </c>
      <c r="H1450" s="66" t="s">
        <v>1015</v>
      </c>
      <c r="I1450" s="66" t="s">
        <v>115</v>
      </c>
      <c r="J1450" s="66" t="s">
        <v>113</v>
      </c>
      <c r="K1450" s="66" t="s">
        <v>747</v>
      </c>
      <c r="L1450" s="67">
        <v>3626250</v>
      </c>
      <c r="M1450" s="67">
        <v>0</v>
      </c>
      <c r="N1450" s="68">
        <f t="shared" si="94"/>
        <v>3626250</v>
      </c>
      <c r="O1450" s="69">
        <f t="shared" si="93"/>
        <v>3626250</v>
      </c>
      <c r="P1450" s="42" t="str">
        <f>IFERROR(VLOOKUP(J1450,'Mã NV'!$B:$C,2,0),"")</f>
        <v>XE00447</v>
      </c>
      <c r="Q1450" s="70" t="str">
        <f>IFERROR(VLOOKUP(I1450,'Mã NV'!$J:$K,2,0),"")</f>
        <v>8T</v>
      </c>
      <c r="S1450" s="44">
        <f t="shared" ref="S1450:S1513" si="96">L1450*15%</f>
        <v>543937.5</v>
      </c>
    </row>
    <row r="1451" customHeight="1" spans="1:19">
      <c r="A1451" s="63">
        <f t="shared" si="95"/>
        <v>1445</v>
      </c>
      <c r="B1451" s="64">
        <v>46161</v>
      </c>
      <c r="C1451" s="65"/>
      <c r="D1451" s="66" t="s">
        <v>33</v>
      </c>
      <c r="E1451" s="66" t="s">
        <v>33</v>
      </c>
      <c r="F1451" s="66" t="s">
        <v>985</v>
      </c>
      <c r="G1451" s="66" t="s">
        <v>750</v>
      </c>
      <c r="H1451" s="66" t="s">
        <v>1015</v>
      </c>
      <c r="I1451" s="66" t="s">
        <v>115</v>
      </c>
      <c r="J1451" s="66" t="s">
        <v>113</v>
      </c>
      <c r="K1451" s="66" t="s">
        <v>747</v>
      </c>
      <c r="L1451" s="67">
        <v>241750</v>
      </c>
      <c r="M1451" s="67">
        <v>0</v>
      </c>
      <c r="N1451" s="68">
        <f t="shared" si="94"/>
        <v>241750</v>
      </c>
      <c r="O1451" s="69">
        <f t="shared" si="93"/>
        <v>241750</v>
      </c>
      <c r="P1451" s="42" t="str">
        <f>IFERROR(VLOOKUP(J1451,'Mã NV'!$B:$C,2,0),"")</f>
        <v>XE00447</v>
      </c>
      <c r="Q1451" s="70" t="str">
        <f>IFERROR(VLOOKUP(I1451,'Mã NV'!$J:$K,2,0),"")</f>
        <v>8T</v>
      </c>
      <c r="S1451" s="44">
        <f t="shared" si="96"/>
        <v>36262.5</v>
      </c>
    </row>
    <row r="1452" customHeight="1" spans="1:19">
      <c r="A1452" s="63">
        <f t="shared" si="95"/>
        <v>1446</v>
      </c>
      <c r="B1452" s="64">
        <v>46161</v>
      </c>
      <c r="C1452" s="65"/>
      <c r="D1452" s="66" t="s">
        <v>33</v>
      </c>
      <c r="E1452" s="66" t="s">
        <v>33</v>
      </c>
      <c r="F1452" s="66" t="s">
        <v>985</v>
      </c>
      <c r="G1452" s="66" t="s">
        <v>750</v>
      </c>
      <c r="H1452" s="66" t="s">
        <v>1015</v>
      </c>
      <c r="I1452" s="66" t="s">
        <v>115</v>
      </c>
      <c r="J1452" s="66" t="s">
        <v>113</v>
      </c>
      <c r="K1452" s="66" t="s">
        <v>747</v>
      </c>
      <c r="L1452" s="67">
        <v>4835000</v>
      </c>
      <c r="M1452" s="67">
        <v>0</v>
      </c>
      <c r="N1452" s="68">
        <f t="shared" si="94"/>
        <v>4835000</v>
      </c>
      <c r="O1452" s="69">
        <f t="shared" si="93"/>
        <v>4835000</v>
      </c>
      <c r="P1452" s="42" t="str">
        <f>IFERROR(VLOOKUP(J1452,'Mã NV'!$B:$C,2,0),"")</f>
        <v>XE00447</v>
      </c>
      <c r="Q1452" s="70" t="str">
        <f>IFERROR(VLOOKUP(I1452,'Mã NV'!$J:$K,2,0),"")</f>
        <v>8T</v>
      </c>
      <c r="S1452" s="44">
        <f t="shared" si="96"/>
        <v>725250</v>
      </c>
    </row>
    <row r="1453" customHeight="1" spans="1:19">
      <c r="A1453" s="63">
        <f t="shared" si="95"/>
        <v>1447</v>
      </c>
      <c r="B1453" s="64">
        <v>46161</v>
      </c>
      <c r="C1453" s="65"/>
      <c r="D1453" s="66" t="s">
        <v>33</v>
      </c>
      <c r="E1453" s="66" t="s">
        <v>33</v>
      </c>
      <c r="F1453" s="66" t="s">
        <v>985</v>
      </c>
      <c r="G1453" s="66" t="s">
        <v>750</v>
      </c>
      <c r="H1453" s="66" t="s">
        <v>1035</v>
      </c>
      <c r="I1453" s="66" t="s">
        <v>165</v>
      </c>
      <c r="J1453" s="66" t="s">
        <v>162</v>
      </c>
      <c r="K1453" s="66" t="s">
        <v>747</v>
      </c>
      <c r="L1453" s="67">
        <v>32275</v>
      </c>
      <c r="M1453" s="67">
        <v>0</v>
      </c>
      <c r="N1453" s="68">
        <f t="shared" si="94"/>
        <v>32275</v>
      </c>
      <c r="O1453" s="69">
        <f t="shared" si="93"/>
        <v>32275</v>
      </c>
      <c r="P1453" s="42" t="str">
        <f>IFERROR(VLOOKUP(J1453,'Mã NV'!$B:$C,2,0),"")</f>
        <v>XE00779</v>
      </c>
      <c r="Q1453" s="70" t="str">
        <f>IFERROR(VLOOKUP(I1453,'Mã NV'!$J:$K,2,0),"")</f>
        <v>15T</v>
      </c>
      <c r="S1453" s="44">
        <f t="shared" si="96"/>
        <v>4841.25</v>
      </c>
    </row>
    <row r="1454" customHeight="1" spans="1:19">
      <c r="A1454" s="63">
        <f t="shared" si="95"/>
        <v>1448</v>
      </c>
      <c r="B1454" s="64">
        <v>46161</v>
      </c>
      <c r="C1454" s="65"/>
      <c r="D1454" s="66" t="s">
        <v>33</v>
      </c>
      <c r="E1454" s="66" t="s">
        <v>33</v>
      </c>
      <c r="F1454" s="66" t="s">
        <v>985</v>
      </c>
      <c r="G1454" s="66" t="s">
        <v>750</v>
      </c>
      <c r="H1454" s="66" t="s">
        <v>1035</v>
      </c>
      <c r="I1454" s="66" t="s">
        <v>165</v>
      </c>
      <c r="J1454" s="66" t="s">
        <v>162</v>
      </c>
      <c r="K1454" s="66" t="s">
        <v>747</v>
      </c>
      <c r="L1454" s="67">
        <v>1129625</v>
      </c>
      <c r="M1454" s="67">
        <v>0</v>
      </c>
      <c r="N1454" s="68">
        <f t="shared" si="94"/>
        <v>1129625</v>
      </c>
      <c r="O1454" s="69">
        <f t="shared" si="93"/>
        <v>1129625</v>
      </c>
      <c r="P1454" s="42" t="str">
        <f>IFERROR(VLOOKUP(J1454,'Mã NV'!$B:$C,2,0),"")</f>
        <v>XE00779</v>
      </c>
      <c r="Q1454" s="70" t="str">
        <f>IFERROR(VLOOKUP(I1454,'Mã NV'!$J:$K,2,0),"")</f>
        <v>15T</v>
      </c>
      <c r="S1454" s="44">
        <f t="shared" si="96"/>
        <v>169443.75</v>
      </c>
    </row>
    <row r="1455" customHeight="1" spans="1:19">
      <c r="A1455" s="63">
        <f t="shared" si="95"/>
        <v>1449</v>
      </c>
      <c r="B1455" s="64">
        <v>46161</v>
      </c>
      <c r="C1455" s="65"/>
      <c r="D1455" s="66" t="s">
        <v>33</v>
      </c>
      <c r="E1455" s="66" t="s">
        <v>33</v>
      </c>
      <c r="F1455" s="66" t="s">
        <v>985</v>
      </c>
      <c r="G1455" s="66" t="s">
        <v>750</v>
      </c>
      <c r="H1455" s="66" t="s">
        <v>1011</v>
      </c>
      <c r="I1455" s="66" t="s">
        <v>165</v>
      </c>
      <c r="J1455" s="66" t="s">
        <v>162</v>
      </c>
      <c r="K1455" s="66" t="s">
        <v>747</v>
      </c>
      <c r="L1455" s="67">
        <v>86900</v>
      </c>
      <c r="M1455" s="67">
        <v>0</v>
      </c>
      <c r="N1455" s="68">
        <f t="shared" si="94"/>
        <v>86900</v>
      </c>
      <c r="O1455" s="69">
        <f t="shared" si="93"/>
        <v>86900</v>
      </c>
      <c r="P1455" s="42" t="str">
        <f>IFERROR(VLOOKUP(J1455,'Mã NV'!$B:$C,2,0),"")</f>
        <v>XE00779</v>
      </c>
      <c r="Q1455" s="70" t="str">
        <f>IFERROR(VLOOKUP(I1455,'Mã NV'!$J:$K,2,0),"")</f>
        <v>15T</v>
      </c>
      <c r="S1455" s="44">
        <f t="shared" si="96"/>
        <v>13035</v>
      </c>
    </row>
    <row r="1456" customHeight="1" spans="1:19">
      <c r="A1456" s="63">
        <f t="shared" si="95"/>
        <v>1450</v>
      </c>
      <c r="B1456" s="64">
        <v>46161</v>
      </c>
      <c r="C1456" s="65"/>
      <c r="D1456" s="66" t="s">
        <v>33</v>
      </c>
      <c r="E1456" s="66" t="s">
        <v>33</v>
      </c>
      <c r="F1456" s="66" t="s">
        <v>985</v>
      </c>
      <c r="G1456" s="66" t="s">
        <v>750</v>
      </c>
      <c r="H1456" s="66" t="s">
        <v>1011</v>
      </c>
      <c r="I1456" s="66" t="s">
        <v>165</v>
      </c>
      <c r="J1456" s="66" t="s">
        <v>162</v>
      </c>
      <c r="K1456" s="66" t="s">
        <v>747</v>
      </c>
      <c r="L1456" s="67">
        <v>1651100</v>
      </c>
      <c r="M1456" s="67">
        <v>0</v>
      </c>
      <c r="N1456" s="68">
        <f t="shared" si="94"/>
        <v>1651100</v>
      </c>
      <c r="O1456" s="69">
        <f t="shared" si="93"/>
        <v>1651100</v>
      </c>
      <c r="P1456" s="42" t="str">
        <f>IFERROR(VLOOKUP(J1456,'Mã NV'!$B:$C,2,0),"")</f>
        <v>XE00779</v>
      </c>
      <c r="Q1456" s="70" t="str">
        <f>IFERROR(VLOOKUP(I1456,'Mã NV'!$J:$K,2,0),"")</f>
        <v>15T</v>
      </c>
      <c r="S1456" s="44">
        <f t="shared" si="96"/>
        <v>247665</v>
      </c>
    </row>
    <row r="1457" customHeight="1" spans="1:19">
      <c r="A1457" s="63">
        <f t="shared" si="95"/>
        <v>1451</v>
      </c>
      <c r="B1457" s="64">
        <v>46161</v>
      </c>
      <c r="C1457" s="65"/>
      <c r="D1457" s="66" t="s">
        <v>33</v>
      </c>
      <c r="E1457" s="66" t="s">
        <v>33</v>
      </c>
      <c r="F1457" s="66" t="s">
        <v>985</v>
      </c>
      <c r="G1457" s="66" t="s">
        <v>750</v>
      </c>
      <c r="H1457" s="66" t="s">
        <v>1011</v>
      </c>
      <c r="I1457" s="66" t="s">
        <v>165</v>
      </c>
      <c r="J1457" s="66" t="s">
        <v>162</v>
      </c>
      <c r="K1457" s="66" t="s">
        <v>747</v>
      </c>
      <c r="L1457" s="67">
        <v>650012</v>
      </c>
      <c r="M1457" s="67">
        <v>0</v>
      </c>
      <c r="N1457" s="68">
        <f t="shared" si="94"/>
        <v>650012</v>
      </c>
      <c r="O1457" s="69">
        <f t="shared" ref="O1457:O1520" si="97">N1457/$P$1</f>
        <v>650012</v>
      </c>
      <c r="P1457" s="42" t="str">
        <f>IFERROR(VLOOKUP(J1457,'Mã NV'!$B:$C,2,0),"")</f>
        <v>XE00779</v>
      </c>
      <c r="Q1457" s="70" t="str">
        <f>IFERROR(VLOOKUP(I1457,'Mã NV'!$J:$K,2,0),"")</f>
        <v>15T</v>
      </c>
      <c r="S1457" s="44">
        <f t="shared" si="96"/>
        <v>97501.8</v>
      </c>
    </row>
    <row r="1458" customHeight="1" spans="1:19">
      <c r="A1458" s="63">
        <f t="shared" si="95"/>
        <v>1452</v>
      </c>
      <c r="B1458" s="64">
        <v>46161</v>
      </c>
      <c r="C1458" s="65"/>
      <c r="D1458" s="66" t="s">
        <v>33</v>
      </c>
      <c r="E1458" s="66" t="s">
        <v>33</v>
      </c>
      <c r="F1458" s="66" t="s">
        <v>985</v>
      </c>
      <c r="G1458" s="66" t="s">
        <v>750</v>
      </c>
      <c r="H1458" s="66" t="s">
        <v>1036</v>
      </c>
      <c r="I1458" s="66" t="s">
        <v>136</v>
      </c>
      <c r="J1458" s="66" t="s">
        <v>361</v>
      </c>
      <c r="K1458" s="66" t="s">
        <v>747</v>
      </c>
      <c r="L1458" s="67">
        <v>782100</v>
      </c>
      <c r="M1458" s="67">
        <v>0</v>
      </c>
      <c r="N1458" s="68">
        <f t="shared" ref="N1458:N1521" si="98">L1458-M1458</f>
        <v>782100</v>
      </c>
      <c r="O1458" s="69">
        <f t="shared" si="97"/>
        <v>782100</v>
      </c>
      <c r="P1458" s="42" t="str">
        <f>IFERROR(VLOOKUP(J1458,'Mã NV'!$B:$C,2,0),"")</f>
        <v>XE01641</v>
      </c>
      <c r="Q1458" s="70" t="str">
        <f>IFERROR(VLOOKUP(I1458,'Mã NV'!$J:$K,2,0),"")</f>
        <v>6.5T</v>
      </c>
      <c r="S1458" s="44">
        <f t="shared" si="96"/>
        <v>117315</v>
      </c>
    </row>
    <row r="1459" customHeight="1" spans="1:19">
      <c r="A1459" s="63">
        <f t="shared" si="95"/>
        <v>1453</v>
      </c>
      <c r="B1459" s="64">
        <v>46161</v>
      </c>
      <c r="C1459" s="65"/>
      <c r="D1459" s="66" t="s">
        <v>33</v>
      </c>
      <c r="E1459" s="66" t="s">
        <v>33</v>
      </c>
      <c r="F1459" s="66" t="s">
        <v>985</v>
      </c>
      <c r="G1459" s="66" t="s">
        <v>750</v>
      </c>
      <c r="H1459" s="66" t="s">
        <v>1003</v>
      </c>
      <c r="I1459" s="66" t="s">
        <v>136</v>
      </c>
      <c r="J1459" s="66" t="s">
        <v>361</v>
      </c>
      <c r="K1459" s="66" t="s">
        <v>747</v>
      </c>
      <c r="L1459" s="67">
        <v>580754</v>
      </c>
      <c r="M1459" s="67">
        <v>0</v>
      </c>
      <c r="N1459" s="68">
        <f t="shared" si="98"/>
        <v>580754</v>
      </c>
      <c r="O1459" s="69">
        <f t="shared" si="97"/>
        <v>580754</v>
      </c>
      <c r="P1459" s="42" t="str">
        <f>IFERROR(VLOOKUP(J1459,'Mã NV'!$B:$C,2,0),"")</f>
        <v>XE01641</v>
      </c>
      <c r="Q1459" s="70" t="str">
        <f>IFERROR(VLOOKUP(I1459,'Mã NV'!$J:$K,2,0),"")</f>
        <v>6.5T</v>
      </c>
      <c r="S1459" s="44">
        <f t="shared" si="96"/>
        <v>87113.1</v>
      </c>
    </row>
    <row r="1460" customHeight="1" spans="1:19">
      <c r="A1460" s="63">
        <f t="shared" si="95"/>
        <v>1454</v>
      </c>
      <c r="B1460" s="64">
        <v>46161</v>
      </c>
      <c r="C1460" s="65"/>
      <c r="D1460" s="66" t="s">
        <v>33</v>
      </c>
      <c r="E1460" s="66" t="s">
        <v>33</v>
      </c>
      <c r="F1460" s="66" t="s">
        <v>985</v>
      </c>
      <c r="G1460" s="66" t="s">
        <v>750</v>
      </c>
      <c r="H1460" s="66" t="s">
        <v>1017</v>
      </c>
      <c r="I1460" s="66" t="s">
        <v>136</v>
      </c>
      <c r="J1460" s="66" t="s">
        <v>361</v>
      </c>
      <c r="K1460" s="66" t="s">
        <v>747</v>
      </c>
      <c r="L1460" s="67">
        <v>439394</v>
      </c>
      <c r="M1460" s="67">
        <v>0</v>
      </c>
      <c r="N1460" s="68">
        <f t="shared" si="98"/>
        <v>439394</v>
      </c>
      <c r="O1460" s="69">
        <f t="shared" si="97"/>
        <v>439394</v>
      </c>
      <c r="P1460" s="42" t="str">
        <f>IFERROR(VLOOKUP(J1460,'Mã NV'!$B:$C,2,0),"")</f>
        <v>XE01641</v>
      </c>
      <c r="Q1460" s="70" t="str">
        <f>IFERROR(VLOOKUP(I1460,'Mã NV'!$J:$K,2,0),"")</f>
        <v>6.5T</v>
      </c>
      <c r="S1460" s="44">
        <f t="shared" si="96"/>
        <v>65909.1</v>
      </c>
    </row>
    <row r="1461" customHeight="1" spans="1:19">
      <c r="A1461" s="63">
        <f t="shared" si="95"/>
        <v>1455</v>
      </c>
      <c r="B1461" s="64">
        <v>46161</v>
      </c>
      <c r="C1461" s="65"/>
      <c r="D1461" s="66" t="s">
        <v>33</v>
      </c>
      <c r="E1461" s="66" t="s">
        <v>33</v>
      </c>
      <c r="F1461" s="66" t="s">
        <v>985</v>
      </c>
      <c r="G1461" s="66" t="s">
        <v>750</v>
      </c>
      <c r="H1461" s="66" t="s">
        <v>1020</v>
      </c>
      <c r="I1461" s="66" t="s">
        <v>136</v>
      </c>
      <c r="J1461" s="66" t="s">
        <v>361</v>
      </c>
      <c r="K1461" s="66" t="s">
        <v>747</v>
      </c>
      <c r="L1461" s="67">
        <v>58900</v>
      </c>
      <c r="M1461" s="67">
        <v>0</v>
      </c>
      <c r="N1461" s="68">
        <f t="shared" si="98"/>
        <v>58900</v>
      </c>
      <c r="O1461" s="69">
        <f t="shared" si="97"/>
        <v>58900</v>
      </c>
      <c r="P1461" s="42" t="str">
        <f>IFERROR(VLOOKUP(J1461,'Mã NV'!$B:$C,2,0),"")</f>
        <v>XE01641</v>
      </c>
      <c r="Q1461" s="70" t="str">
        <f>IFERROR(VLOOKUP(I1461,'Mã NV'!$J:$K,2,0),"")</f>
        <v>6.5T</v>
      </c>
      <c r="S1461" s="44">
        <f t="shared" si="96"/>
        <v>8835</v>
      </c>
    </row>
    <row r="1462" customHeight="1" spans="1:19">
      <c r="A1462" s="63">
        <f t="shared" si="95"/>
        <v>1456</v>
      </c>
      <c r="B1462" s="64">
        <v>46161</v>
      </c>
      <c r="C1462" s="65"/>
      <c r="D1462" s="66" t="s">
        <v>33</v>
      </c>
      <c r="E1462" s="66" t="s">
        <v>33</v>
      </c>
      <c r="F1462" s="66" t="s">
        <v>985</v>
      </c>
      <c r="G1462" s="66" t="s">
        <v>750</v>
      </c>
      <c r="H1462" s="66" t="s">
        <v>1020</v>
      </c>
      <c r="I1462" s="66" t="s">
        <v>136</v>
      </c>
      <c r="J1462" s="66" t="s">
        <v>361</v>
      </c>
      <c r="K1462" s="66" t="s">
        <v>747</v>
      </c>
      <c r="L1462" s="67">
        <v>1884800</v>
      </c>
      <c r="M1462" s="67">
        <v>0</v>
      </c>
      <c r="N1462" s="68">
        <f t="shared" si="98"/>
        <v>1884800</v>
      </c>
      <c r="O1462" s="69">
        <f t="shared" si="97"/>
        <v>1884800</v>
      </c>
      <c r="P1462" s="42" t="str">
        <f>IFERROR(VLOOKUP(J1462,'Mã NV'!$B:$C,2,0),"")</f>
        <v>XE01641</v>
      </c>
      <c r="Q1462" s="70" t="str">
        <f>IFERROR(VLOOKUP(I1462,'Mã NV'!$J:$K,2,0),"")</f>
        <v>6.5T</v>
      </c>
      <c r="S1462" s="44">
        <f t="shared" si="96"/>
        <v>282720</v>
      </c>
    </row>
    <row r="1463" customHeight="1" spans="1:19">
      <c r="A1463" s="63">
        <f t="shared" si="95"/>
        <v>1457</v>
      </c>
      <c r="B1463" s="64">
        <v>46161</v>
      </c>
      <c r="C1463" s="65"/>
      <c r="D1463" s="66" t="s">
        <v>33</v>
      </c>
      <c r="E1463" s="66" t="s">
        <v>33</v>
      </c>
      <c r="F1463" s="66" t="s">
        <v>985</v>
      </c>
      <c r="G1463" s="66" t="s">
        <v>750</v>
      </c>
      <c r="H1463" s="66" t="s">
        <v>1023</v>
      </c>
      <c r="I1463" s="66" t="s">
        <v>130</v>
      </c>
      <c r="J1463" s="66" t="s">
        <v>131</v>
      </c>
      <c r="K1463" s="66" t="s">
        <v>747</v>
      </c>
      <c r="L1463" s="67">
        <v>456580</v>
      </c>
      <c r="M1463" s="67">
        <v>0</v>
      </c>
      <c r="N1463" s="68">
        <f t="shared" si="98"/>
        <v>456580</v>
      </c>
      <c r="O1463" s="69">
        <f t="shared" si="97"/>
        <v>456580</v>
      </c>
      <c r="P1463" s="42" t="str">
        <f>IFERROR(VLOOKUP(J1463,'Mã NV'!$B:$C,2,0),"")</f>
        <v>XE00847</v>
      </c>
      <c r="Q1463" s="70" t="str">
        <f>IFERROR(VLOOKUP(I1463,'Mã NV'!$J:$K,2,0),"")</f>
        <v>8T</v>
      </c>
      <c r="S1463" s="44">
        <f t="shared" si="96"/>
        <v>68487</v>
      </c>
    </row>
    <row r="1464" customHeight="1" spans="1:19">
      <c r="A1464" s="63">
        <f t="shared" si="95"/>
        <v>1458</v>
      </c>
      <c r="B1464" s="64">
        <v>46161</v>
      </c>
      <c r="C1464" s="65"/>
      <c r="D1464" s="66" t="s">
        <v>33</v>
      </c>
      <c r="E1464" s="66" t="s">
        <v>33</v>
      </c>
      <c r="F1464" s="66" t="s">
        <v>985</v>
      </c>
      <c r="G1464" s="66" t="s">
        <v>750</v>
      </c>
      <c r="H1464" s="66" t="s">
        <v>1032</v>
      </c>
      <c r="I1464" s="66" t="s">
        <v>130</v>
      </c>
      <c r="J1464" s="66" t="s">
        <v>131</v>
      </c>
      <c r="K1464" s="66" t="s">
        <v>747</v>
      </c>
      <c r="L1464" s="67">
        <v>851185</v>
      </c>
      <c r="M1464" s="67">
        <v>0</v>
      </c>
      <c r="N1464" s="68">
        <f t="shared" si="98"/>
        <v>851185</v>
      </c>
      <c r="O1464" s="69">
        <f t="shared" si="97"/>
        <v>851185</v>
      </c>
      <c r="P1464" s="42" t="str">
        <f>IFERROR(VLOOKUP(J1464,'Mã NV'!$B:$C,2,0),"")</f>
        <v>XE00847</v>
      </c>
      <c r="Q1464" s="70" t="str">
        <f>IFERROR(VLOOKUP(I1464,'Mã NV'!$J:$K,2,0),"")</f>
        <v>8T</v>
      </c>
      <c r="S1464" s="44">
        <f t="shared" si="96"/>
        <v>127677.75</v>
      </c>
    </row>
    <row r="1465" customHeight="1" spans="1:19">
      <c r="A1465" s="63">
        <f t="shared" si="95"/>
        <v>1459</v>
      </c>
      <c r="B1465" s="64">
        <v>46161</v>
      </c>
      <c r="C1465" s="65"/>
      <c r="D1465" s="66" t="s">
        <v>33</v>
      </c>
      <c r="E1465" s="66" t="s">
        <v>33</v>
      </c>
      <c r="F1465" s="66" t="s">
        <v>985</v>
      </c>
      <c r="G1465" s="66" t="s">
        <v>750</v>
      </c>
      <c r="H1465" s="66" t="s">
        <v>1032</v>
      </c>
      <c r="I1465" s="66" t="s">
        <v>130</v>
      </c>
      <c r="J1465" s="66" t="s">
        <v>131</v>
      </c>
      <c r="K1465" s="66" t="s">
        <v>747</v>
      </c>
      <c r="L1465" s="67">
        <v>3102450</v>
      </c>
      <c r="M1465" s="67">
        <v>0</v>
      </c>
      <c r="N1465" s="68">
        <f t="shared" si="98"/>
        <v>3102450</v>
      </c>
      <c r="O1465" s="69">
        <f t="shared" si="97"/>
        <v>3102450</v>
      </c>
      <c r="P1465" s="42" t="str">
        <f>IFERROR(VLOOKUP(J1465,'Mã NV'!$B:$C,2,0),"")</f>
        <v>XE00847</v>
      </c>
      <c r="Q1465" s="70" t="str">
        <f>IFERROR(VLOOKUP(I1465,'Mã NV'!$J:$K,2,0),"")</f>
        <v>8T</v>
      </c>
      <c r="S1465" s="44">
        <f t="shared" si="96"/>
        <v>465367.5</v>
      </c>
    </row>
    <row r="1466" customHeight="1" spans="1:19">
      <c r="A1466" s="63">
        <f t="shared" si="95"/>
        <v>1460</v>
      </c>
      <c r="B1466" s="64">
        <v>46161</v>
      </c>
      <c r="C1466" s="65"/>
      <c r="D1466" s="66" t="s">
        <v>33</v>
      </c>
      <c r="E1466" s="66" t="s">
        <v>33</v>
      </c>
      <c r="F1466" s="66" t="s">
        <v>985</v>
      </c>
      <c r="G1466" s="66" t="s">
        <v>750</v>
      </c>
      <c r="H1466" s="66" t="s">
        <v>1032</v>
      </c>
      <c r="I1466" s="66" t="s">
        <v>130</v>
      </c>
      <c r="J1466" s="66" t="s">
        <v>131</v>
      </c>
      <c r="K1466" s="66" t="s">
        <v>747</v>
      </c>
      <c r="L1466" s="67">
        <v>373885</v>
      </c>
      <c r="M1466" s="67">
        <v>0</v>
      </c>
      <c r="N1466" s="68">
        <f t="shared" si="98"/>
        <v>373885</v>
      </c>
      <c r="O1466" s="69">
        <f t="shared" si="97"/>
        <v>373885</v>
      </c>
      <c r="P1466" s="42" t="str">
        <f>IFERROR(VLOOKUP(J1466,'Mã NV'!$B:$C,2,0),"")</f>
        <v>XE00847</v>
      </c>
      <c r="Q1466" s="70" t="str">
        <f>IFERROR(VLOOKUP(I1466,'Mã NV'!$J:$K,2,0),"")</f>
        <v>8T</v>
      </c>
      <c r="S1466" s="44">
        <f t="shared" si="96"/>
        <v>56082.75</v>
      </c>
    </row>
    <row r="1467" customHeight="1" spans="1:19">
      <c r="A1467" s="63">
        <f t="shared" si="95"/>
        <v>1461</v>
      </c>
      <c r="B1467" s="64">
        <v>46161</v>
      </c>
      <c r="C1467" s="65"/>
      <c r="D1467" s="66" t="s">
        <v>33</v>
      </c>
      <c r="E1467" s="66" t="s">
        <v>33</v>
      </c>
      <c r="F1467" s="66" t="s">
        <v>985</v>
      </c>
      <c r="G1467" s="66" t="s">
        <v>750</v>
      </c>
      <c r="H1467" s="66" t="s">
        <v>1032</v>
      </c>
      <c r="I1467" s="66" t="s">
        <v>130</v>
      </c>
      <c r="J1467" s="66" t="s">
        <v>131</v>
      </c>
      <c r="K1467" s="66" t="s">
        <v>747</v>
      </c>
      <c r="L1467" s="67">
        <v>373885</v>
      </c>
      <c r="M1467" s="67">
        <v>0</v>
      </c>
      <c r="N1467" s="68">
        <f t="shared" si="98"/>
        <v>373885</v>
      </c>
      <c r="O1467" s="69">
        <f t="shared" si="97"/>
        <v>373885</v>
      </c>
      <c r="P1467" s="42" t="str">
        <f>IFERROR(VLOOKUP(J1467,'Mã NV'!$B:$C,2,0),"")</f>
        <v>XE00847</v>
      </c>
      <c r="Q1467" s="70" t="str">
        <f>IFERROR(VLOOKUP(I1467,'Mã NV'!$J:$K,2,0),"")</f>
        <v>8T</v>
      </c>
      <c r="S1467" s="44">
        <f t="shared" si="96"/>
        <v>56082.75</v>
      </c>
    </row>
    <row r="1468" customHeight="1" spans="1:19">
      <c r="A1468" s="63">
        <f t="shared" si="95"/>
        <v>1462</v>
      </c>
      <c r="B1468" s="64">
        <v>46161</v>
      </c>
      <c r="C1468" s="65"/>
      <c r="D1468" s="66" t="s">
        <v>33</v>
      </c>
      <c r="E1468" s="66" t="s">
        <v>33</v>
      </c>
      <c r="F1468" s="66" t="s">
        <v>985</v>
      </c>
      <c r="G1468" s="66" t="s">
        <v>750</v>
      </c>
      <c r="H1468" s="66" t="s">
        <v>1029</v>
      </c>
      <c r="I1468" s="66" t="s">
        <v>81</v>
      </c>
      <c r="J1468" s="66" t="s">
        <v>79</v>
      </c>
      <c r="K1468" s="66" t="s">
        <v>747</v>
      </c>
      <c r="L1468" s="67">
        <v>1344690</v>
      </c>
      <c r="M1468" s="67">
        <v>0</v>
      </c>
      <c r="N1468" s="68">
        <f t="shared" si="98"/>
        <v>1344690</v>
      </c>
      <c r="O1468" s="69">
        <f t="shared" si="97"/>
        <v>1344690</v>
      </c>
      <c r="P1468" s="42" t="str">
        <f>IFERROR(VLOOKUP(J1468,'Mã NV'!$B:$C,2,0),"")</f>
        <v>XE00777</v>
      </c>
      <c r="Q1468" s="70" t="str">
        <f>IFERROR(VLOOKUP(I1468,'Mã NV'!$J:$K,2,0),"")</f>
        <v>6.5T</v>
      </c>
      <c r="S1468" s="44">
        <f t="shared" si="96"/>
        <v>201703.5</v>
      </c>
    </row>
    <row r="1469" customHeight="1" spans="1:19">
      <c r="A1469" s="63">
        <f t="shared" si="95"/>
        <v>1463</v>
      </c>
      <c r="B1469" s="64">
        <v>46161</v>
      </c>
      <c r="C1469" s="65"/>
      <c r="D1469" s="66" t="s">
        <v>33</v>
      </c>
      <c r="E1469" s="66" t="s">
        <v>33</v>
      </c>
      <c r="F1469" s="66" t="s">
        <v>985</v>
      </c>
      <c r="G1469" s="66" t="s">
        <v>750</v>
      </c>
      <c r="H1469" s="66" t="s">
        <v>1029</v>
      </c>
      <c r="I1469" s="66" t="s">
        <v>81</v>
      </c>
      <c r="J1469" s="66" t="s">
        <v>79</v>
      </c>
      <c r="K1469" s="66" t="s">
        <v>747</v>
      </c>
      <c r="L1469" s="67">
        <v>1806300</v>
      </c>
      <c r="M1469" s="67">
        <v>0</v>
      </c>
      <c r="N1469" s="68">
        <f t="shared" si="98"/>
        <v>1806300</v>
      </c>
      <c r="O1469" s="69">
        <f t="shared" si="97"/>
        <v>1806300</v>
      </c>
      <c r="P1469" s="42" t="str">
        <f>IFERROR(VLOOKUP(J1469,'Mã NV'!$B:$C,2,0),"")</f>
        <v>XE00777</v>
      </c>
      <c r="Q1469" s="70" t="str">
        <f>IFERROR(VLOOKUP(I1469,'Mã NV'!$J:$K,2,0),"")</f>
        <v>6.5T</v>
      </c>
      <c r="S1469" s="44">
        <f t="shared" si="96"/>
        <v>270945</v>
      </c>
    </row>
    <row r="1470" customHeight="1" spans="1:19">
      <c r="A1470" s="63">
        <f t="shared" si="95"/>
        <v>1464</v>
      </c>
      <c r="B1470" s="64">
        <v>46161</v>
      </c>
      <c r="C1470" s="65"/>
      <c r="D1470" s="66" t="s">
        <v>33</v>
      </c>
      <c r="E1470" s="66" t="s">
        <v>33</v>
      </c>
      <c r="F1470" s="66" t="s">
        <v>985</v>
      </c>
      <c r="G1470" s="66" t="s">
        <v>750</v>
      </c>
      <c r="H1470" s="66" t="s">
        <v>1031</v>
      </c>
      <c r="I1470" s="66" t="s">
        <v>81</v>
      </c>
      <c r="J1470" s="66" t="s">
        <v>79</v>
      </c>
      <c r="K1470" s="66" t="s">
        <v>747</v>
      </c>
      <c r="L1470" s="67">
        <v>551925</v>
      </c>
      <c r="M1470" s="67">
        <v>0</v>
      </c>
      <c r="N1470" s="68">
        <f t="shared" si="98"/>
        <v>551925</v>
      </c>
      <c r="O1470" s="69">
        <f t="shared" si="97"/>
        <v>551925</v>
      </c>
      <c r="P1470" s="42" t="str">
        <f>IFERROR(VLOOKUP(J1470,'Mã NV'!$B:$C,2,0),"")</f>
        <v>XE00777</v>
      </c>
      <c r="Q1470" s="70" t="str">
        <f>IFERROR(VLOOKUP(I1470,'Mã NV'!$J:$K,2,0),"")</f>
        <v>6.5T</v>
      </c>
      <c r="S1470" s="44">
        <f t="shared" si="96"/>
        <v>82788.75</v>
      </c>
    </row>
    <row r="1471" customHeight="1" spans="1:19">
      <c r="A1471" s="63">
        <f t="shared" si="95"/>
        <v>1465</v>
      </c>
      <c r="B1471" s="64">
        <v>46161</v>
      </c>
      <c r="C1471" s="65"/>
      <c r="D1471" s="66" t="s">
        <v>33</v>
      </c>
      <c r="E1471" s="66" t="s">
        <v>33</v>
      </c>
      <c r="F1471" s="66" t="s">
        <v>985</v>
      </c>
      <c r="G1471" s="66" t="s">
        <v>750</v>
      </c>
      <c r="H1471" s="66" t="s">
        <v>1031</v>
      </c>
      <c r="I1471" s="66" t="s">
        <v>81</v>
      </c>
      <c r="J1471" s="66" t="s">
        <v>79</v>
      </c>
      <c r="K1471" s="66" t="s">
        <v>747</v>
      </c>
      <c r="L1471" s="67">
        <v>903150</v>
      </c>
      <c r="M1471" s="67">
        <v>0</v>
      </c>
      <c r="N1471" s="68">
        <f t="shared" si="98"/>
        <v>903150</v>
      </c>
      <c r="O1471" s="69">
        <f t="shared" si="97"/>
        <v>903150</v>
      </c>
      <c r="P1471" s="42" t="str">
        <f>IFERROR(VLOOKUP(J1471,'Mã NV'!$B:$C,2,0),"")</f>
        <v>XE00777</v>
      </c>
      <c r="Q1471" s="70" t="str">
        <f>IFERROR(VLOOKUP(I1471,'Mã NV'!$J:$K,2,0),"")</f>
        <v>6.5T</v>
      </c>
      <c r="S1471" s="44">
        <f t="shared" si="96"/>
        <v>135472.5</v>
      </c>
    </row>
    <row r="1472" customHeight="1" spans="1:19">
      <c r="A1472" s="63">
        <f t="shared" si="95"/>
        <v>1466</v>
      </c>
      <c r="B1472" s="64">
        <v>46161</v>
      </c>
      <c r="C1472" s="65"/>
      <c r="D1472" s="66" t="s">
        <v>33</v>
      </c>
      <c r="E1472" s="66" t="s">
        <v>33</v>
      </c>
      <c r="F1472" s="66" t="s">
        <v>985</v>
      </c>
      <c r="G1472" s="66" t="s">
        <v>750</v>
      </c>
      <c r="H1472" s="66" t="s">
        <v>1033</v>
      </c>
      <c r="I1472" s="66" t="s">
        <v>133</v>
      </c>
      <c r="J1472" s="66" t="s">
        <v>347</v>
      </c>
      <c r="K1472" s="66" t="s">
        <v>747</v>
      </c>
      <c r="L1472" s="67">
        <v>48675</v>
      </c>
      <c r="M1472" s="67">
        <v>0</v>
      </c>
      <c r="N1472" s="68">
        <f t="shared" si="98"/>
        <v>48675</v>
      </c>
      <c r="O1472" s="69">
        <f t="shared" si="97"/>
        <v>48675</v>
      </c>
      <c r="P1472" s="42" t="str">
        <f>IFERROR(VLOOKUP(J1472,'Mã NV'!$B:$C,2,0),"")</f>
        <v>XE01653</v>
      </c>
      <c r="Q1472" s="70" t="str">
        <f>IFERROR(VLOOKUP(I1472,'Mã NV'!$J:$K,2,0),"")</f>
        <v>2.5T</v>
      </c>
      <c r="S1472" s="44">
        <f t="shared" si="96"/>
        <v>7301.25</v>
      </c>
    </row>
    <row r="1473" customHeight="1" spans="1:19">
      <c r="A1473" s="63">
        <f t="shared" si="95"/>
        <v>1467</v>
      </c>
      <c r="B1473" s="64">
        <v>46161</v>
      </c>
      <c r="C1473" s="65"/>
      <c r="D1473" s="66" t="s">
        <v>33</v>
      </c>
      <c r="E1473" s="66" t="s">
        <v>33</v>
      </c>
      <c r="F1473" s="66" t="s">
        <v>985</v>
      </c>
      <c r="G1473" s="66" t="s">
        <v>750</v>
      </c>
      <c r="H1473" s="66" t="s">
        <v>1033</v>
      </c>
      <c r="I1473" s="66" t="s">
        <v>133</v>
      </c>
      <c r="J1473" s="66" t="s">
        <v>347</v>
      </c>
      <c r="K1473" s="66" t="s">
        <v>747</v>
      </c>
      <c r="L1473" s="67">
        <v>1947000</v>
      </c>
      <c r="M1473" s="67">
        <v>0</v>
      </c>
      <c r="N1473" s="68">
        <f t="shared" si="98"/>
        <v>1947000</v>
      </c>
      <c r="O1473" s="69">
        <f t="shared" si="97"/>
        <v>1947000</v>
      </c>
      <c r="P1473" s="42" t="str">
        <f>IFERROR(VLOOKUP(J1473,'Mã NV'!$B:$C,2,0),"")</f>
        <v>XE01653</v>
      </c>
      <c r="Q1473" s="70" t="str">
        <f>IFERROR(VLOOKUP(I1473,'Mã NV'!$J:$K,2,0),"")</f>
        <v>2.5T</v>
      </c>
      <c r="S1473" s="44">
        <f t="shared" si="96"/>
        <v>292050</v>
      </c>
    </row>
    <row r="1474" customHeight="1" spans="1:19">
      <c r="A1474" s="63">
        <f t="shared" si="95"/>
        <v>1468</v>
      </c>
      <c r="B1474" s="64">
        <v>46161</v>
      </c>
      <c r="C1474" s="65"/>
      <c r="D1474" s="66" t="s">
        <v>33</v>
      </c>
      <c r="E1474" s="66" t="s">
        <v>33</v>
      </c>
      <c r="F1474" s="66" t="s">
        <v>985</v>
      </c>
      <c r="G1474" s="66" t="s">
        <v>750</v>
      </c>
      <c r="H1474" s="66" t="s">
        <v>1024</v>
      </c>
      <c r="I1474" s="66" t="s">
        <v>191</v>
      </c>
      <c r="J1474" s="66" t="s">
        <v>189</v>
      </c>
      <c r="K1474" s="66" t="s">
        <v>747</v>
      </c>
      <c r="L1474" s="67">
        <v>57550</v>
      </c>
      <c r="M1474" s="67">
        <v>0</v>
      </c>
      <c r="N1474" s="68">
        <f t="shared" si="98"/>
        <v>57550</v>
      </c>
      <c r="O1474" s="69">
        <f t="shared" si="97"/>
        <v>57550</v>
      </c>
      <c r="P1474" s="42" t="str">
        <f>IFERROR(VLOOKUP(J1474,'Mã NV'!$B:$C,2,0),"")</f>
        <v>XE00891</v>
      </c>
      <c r="Q1474" s="70" t="str">
        <f>IFERROR(VLOOKUP(I1474,'Mã NV'!$J:$K,2,0),"")</f>
        <v>8T</v>
      </c>
      <c r="S1474" s="44">
        <f t="shared" si="96"/>
        <v>8632.5</v>
      </c>
    </row>
    <row r="1475" customHeight="1" spans="1:19">
      <c r="A1475" s="63">
        <f t="shared" si="95"/>
        <v>1469</v>
      </c>
      <c r="B1475" s="64">
        <v>46161</v>
      </c>
      <c r="C1475" s="65"/>
      <c r="D1475" s="66" t="s">
        <v>33</v>
      </c>
      <c r="E1475" s="66" t="s">
        <v>33</v>
      </c>
      <c r="F1475" s="66" t="s">
        <v>985</v>
      </c>
      <c r="G1475" s="66" t="s">
        <v>750</v>
      </c>
      <c r="H1475" s="66" t="s">
        <v>1024</v>
      </c>
      <c r="I1475" s="66" t="s">
        <v>191</v>
      </c>
      <c r="J1475" s="66" t="s">
        <v>189</v>
      </c>
      <c r="K1475" s="66" t="s">
        <v>747</v>
      </c>
      <c r="L1475" s="67">
        <v>57550</v>
      </c>
      <c r="M1475" s="67">
        <v>0</v>
      </c>
      <c r="N1475" s="68">
        <f t="shared" si="98"/>
        <v>57550</v>
      </c>
      <c r="O1475" s="69">
        <f t="shared" si="97"/>
        <v>57550</v>
      </c>
      <c r="P1475" s="42" t="str">
        <f>IFERROR(VLOOKUP(J1475,'Mã NV'!$B:$C,2,0),"")</f>
        <v>XE00891</v>
      </c>
      <c r="Q1475" s="70" t="str">
        <f>IFERROR(VLOOKUP(I1475,'Mã NV'!$J:$K,2,0),"")</f>
        <v>8T</v>
      </c>
      <c r="S1475" s="44">
        <f t="shared" si="96"/>
        <v>8632.5</v>
      </c>
    </row>
    <row r="1476" customHeight="1" spans="1:19">
      <c r="A1476" s="63">
        <f t="shared" si="95"/>
        <v>1470</v>
      </c>
      <c r="B1476" s="64">
        <v>46161</v>
      </c>
      <c r="C1476" s="65"/>
      <c r="D1476" s="66" t="s">
        <v>33</v>
      </c>
      <c r="E1476" s="66" t="s">
        <v>33</v>
      </c>
      <c r="F1476" s="66" t="s">
        <v>985</v>
      </c>
      <c r="G1476" s="66" t="s">
        <v>750</v>
      </c>
      <c r="H1476" s="66" t="s">
        <v>1024</v>
      </c>
      <c r="I1476" s="66" t="s">
        <v>191</v>
      </c>
      <c r="J1476" s="66" t="s">
        <v>189</v>
      </c>
      <c r="K1476" s="66" t="s">
        <v>747</v>
      </c>
      <c r="L1476" s="67">
        <v>1208550</v>
      </c>
      <c r="M1476" s="67">
        <v>0</v>
      </c>
      <c r="N1476" s="68">
        <f t="shared" si="98"/>
        <v>1208550</v>
      </c>
      <c r="O1476" s="69">
        <f t="shared" si="97"/>
        <v>1208550</v>
      </c>
      <c r="P1476" s="42" t="str">
        <f>IFERROR(VLOOKUP(J1476,'Mã NV'!$B:$C,2,0),"")</f>
        <v>XE00891</v>
      </c>
      <c r="Q1476" s="70" t="str">
        <f>IFERROR(VLOOKUP(I1476,'Mã NV'!$J:$K,2,0),"")</f>
        <v>8T</v>
      </c>
      <c r="S1476" s="44">
        <f t="shared" si="96"/>
        <v>181282.5</v>
      </c>
    </row>
    <row r="1477" customHeight="1" spans="1:19">
      <c r="A1477" s="63">
        <f t="shared" si="95"/>
        <v>1471</v>
      </c>
      <c r="B1477" s="64">
        <v>46161</v>
      </c>
      <c r="C1477" s="65"/>
      <c r="D1477" s="66" t="s">
        <v>33</v>
      </c>
      <c r="E1477" s="66" t="s">
        <v>33</v>
      </c>
      <c r="F1477" s="66" t="s">
        <v>985</v>
      </c>
      <c r="G1477" s="66" t="s">
        <v>750</v>
      </c>
      <c r="H1477" s="66" t="s">
        <v>1024</v>
      </c>
      <c r="I1477" s="66" t="s">
        <v>191</v>
      </c>
      <c r="J1477" s="66" t="s">
        <v>189</v>
      </c>
      <c r="K1477" s="66" t="s">
        <v>747</v>
      </c>
      <c r="L1477" s="67">
        <v>281995</v>
      </c>
      <c r="M1477" s="67">
        <v>0</v>
      </c>
      <c r="N1477" s="68">
        <f t="shared" si="98"/>
        <v>281995</v>
      </c>
      <c r="O1477" s="69">
        <f t="shared" si="97"/>
        <v>281995</v>
      </c>
      <c r="P1477" s="42" t="str">
        <f>IFERROR(VLOOKUP(J1477,'Mã NV'!$B:$C,2,0),"")</f>
        <v>XE00891</v>
      </c>
      <c r="Q1477" s="70" t="str">
        <f>IFERROR(VLOOKUP(I1477,'Mã NV'!$J:$K,2,0),"")</f>
        <v>8T</v>
      </c>
      <c r="S1477" s="44">
        <f t="shared" si="96"/>
        <v>42299.25</v>
      </c>
    </row>
    <row r="1478" customHeight="1" spans="1:19">
      <c r="A1478" s="63">
        <f t="shared" si="95"/>
        <v>1472</v>
      </c>
      <c r="B1478" s="64">
        <v>46161</v>
      </c>
      <c r="C1478" s="65"/>
      <c r="D1478" s="66" t="s">
        <v>33</v>
      </c>
      <c r="E1478" s="66" t="s">
        <v>33</v>
      </c>
      <c r="F1478" s="66" t="s">
        <v>985</v>
      </c>
      <c r="G1478" s="66" t="s">
        <v>750</v>
      </c>
      <c r="H1478" s="66" t="s">
        <v>1024</v>
      </c>
      <c r="I1478" s="66" t="s">
        <v>191</v>
      </c>
      <c r="J1478" s="66" t="s">
        <v>189</v>
      </c>
      <c r="K1478" s="66" t="s">
        <v>747</v>
      </c>
      <c r="L1478" s="67">
        <v>1956700</v>
      </c>
      <c r="M1478" s="67">
        <v>0</v>
      </c>
      <c r="N1478" s="68">
        <f t="shared" si="98"/>
        <v>1956700</v>
      </c>
      <c r="O1478" s="69">
        <f t="shared" si="97"/>
        <v>1956700</v>
      </c>
      <c r="P1478" s="42" t="str">
        <f>IFERROR(VLOOKUP(J1478,'Mã NV'!$B:$C,2,0),"")</f>
        <v>XE00891</v>
      </c>
      <c r="Q1478" s="70" t="str">
        <f>IFERROR(VLOOKUP(I1478,'Mã NV'!$J:$K,2,0),"")</f>
        <v>8T</v>
      </c>
      <c r="S1478" s="44">
        <f t="shared" si="96"/>
        <v>293505</v>
      </c>
    </row>
    <row r="1479" customHeight="1" spans="1:19">
      <c r="A1479" s="63">
        <f t="shared" si="95"/>
        <v>1473</v>
      </c>
      <c r="B1479" s="64">
        <v>46161</v>
      </c>
      <c r="C1479" s="65"/>
      <c r="D1479" s="66" t="s">
        <v>33</v>
      </c>
      <c r="E1479" s="66" t="s">
        <v>33</v>
      </c>
      <c r="F1479" s="66" t="s">
        <v>985</v>
      </c>
      <c r="G1479" s="66" t="s">
        <v>750</v>
      </c>
      <c r="H1479" s="66" t="s">
        <v>1024</v>
      </c>
      <c r="I1479" s="66" t="s">
        <v>197</v>
      </c>
      <c r="J1479" s="66" t="s">
        <v>195</v>
      </c>
      <c r="K1479" s="66" t="s">
        <v>747</v>
      </c>
      <c r="L1479" s="67">
        <v>656070</v>
      </c>
      <c r="M1479" s="67">
        <v>0</v>
      </c>
      <c r="N1479" s="68">
        <f t="shared" si="98"/>
        <v>656070</v>
      </c>
      <c r="O1479" s="69">
        <f t="shared" si="97"/>
        <v>656070</v>
      </c>
      <c r="P1479" s="42" t="str">
        <f>IFERROR(VLOOKUP(J1479,'Mã NV'!$B:$C,2,0),"")</f>
        <v>XE00449</v>
      </c>
      <c r="Q1479" s="70" t="str">
        <f>IFERROR(VLOOKUP(I1479,'Mã NV'!$J:$K,2,0),"")</f>
        <v>8T</v>
      </c>
      <c r="S1479" s="44">
        <f t="shared" si="96"/>
        <v>98410.5</v>
      </c>
    </row>
    <row r="1480" customHeight="1" spans="1:19">
      <c r="A1480" s="63">
        <f t="shared" si="95"/>
        <v>1474</v>
      </c>
      <c r="B1480" s="64">
        <v>46161</v>
      </c>
      <c r="C1480" s="65"/>
      <c r="D1480" s="66" t="s">
        <v>33</v>
      </c>
      <c r="E1480" s="66" t="s">
        <v>33</v>
      </c>
      <c r="F1480" s="66" t="s">
        <v>985</v>
      </c>
      <c r="G1480" s="66" t="s">
        <v>750</v>
      </c>
      <c r="H1480" s="66" t="s">
        <v>1024</v>
      </c>
      <c r="I1480" s="66" t="s">
        <v>197</v>
      </c>
      <c r="J1480" s="66" t="s">
        <v>195</v>
      </c>
      <c r="K1480" s="66" t="s">
        <v>747</v>
      </c>
      <c r="L1480" s="67">
        <v>311921</v>
      </c>
      <c r="M1480" s="67">
        <v>0</v>
      </c>
      <c r="N1480" s="68">
        <f t="shared" si="98"/>
        <v>311921</v>
      </c>
      <c r="O1480" s="69">
        <f t="shared" si="97"/>
        <v>311921</v>
      </c>
      <c r="P1480" s="42" t="str">
        <f>IFERROR(VLOOKUP(J1480,'Mã NV'!$B:$C,2,0),"")</f>
        <v>XE00449</v>
      </c>
      <c r="Q1480" s="70" t="str">
        <f>IFERROR(VLOOKUP(I1480,'Mã NV'!$J:$K,2,0),"")</f>
        <v>8T</v>
      </c>
      <c r="S1480" s="44">
        <f t="shared" si="96"/>
        <v>46788.15</v>
      </c>
    </row>
    <row r="1481" customHeight="1" spans="1:19">
      <c r="A1481" s="63">
        <f t="shared" si="95"/>
        <v>1475</v>
      </c>
      <c r="B1481" s="64">
        <v>46161</v>
      </c>
      <c r="C1481" s="65"/>
      <c r="D1481" s="66" t="s">
        <v>33</v>
      </c>
      <c r="E1481" s="66" t="s">
        <v>33</v>
      </c>
      <c r="F1481" s="66" t="s">
        <v>985</v>
      </c>
      <c r="G1481" s="66" t="s">
        <v>750</v>
      </c>
      <c r="H1481" s="66" t="s">
        <v>1024</v>
      </c>
      <c r="I1481" s="66" t="s">
        <v>197</v>
      </c>
      <c r="J1481" s="66" t="s">
        <v>195</v>
      </c>
      <c r="K1481" s="66" t="s">
        <v>747</v>
      </c>
      <c r="L1481" s="67">
        <v>1093450</v>
      </c>
      <c r="M1481" s="67">
        <v>0</v>
      </c>
      <c r="N1481" s="68">
        <f t="shared" si="98"/>
        <v>1093450</v>
      </c>
      <c r="O1481" s="69">
        <f t="shared" si="97"/>
        <v>1093450</v>
      </c>
      <c r="P1481" s="42" t="str">
        <f>IFERROR(VLOOKUP(J1481,'Mã NV'!$B:$C,2,0),"")</f>
        <v>XE00449</v>
      </c>
      <c r="Q1481" s="70" t="str">
        <f>IFERROR(VLOOKUP(I1481,'Mã NV'!$J:$K,2,0),"")</f>
        <v>8T</v>
      </c>
      <c r="S1481" s="44">
        <f t="shared" si="96"/>
        <v>164017.5</v>
      </c>
    </row>
    <row r="1482" customHeight="1" spans="1:19">
      <c r="A1482" s="63">
        <f t="shared" si="95"/>
        <v>1476</v>
      </c>
      <c r="B1482" s="64">
        <v>46161</v>
      </c>
      <c r="C1482" s="65"/>
      <c r="D1482" s="66" t="s">
        <v>33</v>
      </c>
      <c r="E1482" s="66" t="s">
        <v>33</v>
      </c>
      <c r="F1482" s="66" t="s">
        <v>985</v>
      </c>
      <c r="G1482" s="66" t="s">
        <v>750</v>
      </c>
      <c r="H1482" s="66" t="s">
        <v>1030</v>
      </c>
      <c r="I1482" s="66" t="s">
        <v>197</v>
      </c>
      <c r="J1482" s="66" t="s">
        <v>195</v>
      </c>
      <c r="K1482" s="66" t="s">
        <v>747</v>
      </c>
      <c r="L1482" s="67">
        <v>1053675</v>
      </c>
      <c r="M1482" s="67">
        <v>0</v>
      </c>
      <c r="N1482" s="68">
        <f t="shared" si="98"/>
        <v>1053675</v>
      </c>
      <c r="O1482" s="69">
        <f t="shared" si="97"/>
        <v>1053675</v>
      </c>
      <c r="P1482" s="42" t="str">
        <f>IFERROR(VLOOKUP(J1482,'Mã NV'!$B:$C,2,0),"")</f>
        <v>XE00449</v>
      </c>
      <c r="Q1482" s="70" t="str">
        <f>IFERROR(VLOOKUP(I1482,'Mã NV'!$J:$K,2,0),"")</f>
        <v>8T</v>
      </c>
      <c r="S1482" s="44">
        <f t="shared" si="96"/>
        <v>158051.25</v>
      </c>
    </row>
    <row r="1483" customHeight="1" spans="1:19">
      <c r="A1483" s="63">
        <f t="shared" si="95"/>
        <v>1477</v>
      </c>
      <c r="B1483" s="64">
        <v>46161</v>
      </c>
      <c r="C1483" s="65"/>
      <c r="D1483" s="66" t="s">
        <v>33</v>
      </c>
      <c r="E1483" s="66" t="s">
        <v>33</v>
      </c>
      <c r="F1483" s="66" t="s">
        <v>985</v>
      </c>
      <c r="G1483" s="66" t="s">
        <v>750</v>
      </c>
      <c r="H1483" s="66" t="s">
        <v>1030</v>
      </c>
      <c r="I1483" s="66" t="s">
        <v>197</v>
      </c>
      <c r="J1483" s="66" t="s">
        <v>195</v>
      </c>
      <c r="K1483" s="66" t="s">
        <v>747</v>
      </c>
      <c r="L1483" s="67">
        <v>2207700</v>
      </c>
      <c r="M1483" s="67">
        <v>0</v>
      </c>
      <c r="N1483" s="68">
        <f t="shared" si="98"/>
        <v>2207700</v>
      </c>
      <c r="O1483" s="69">
        <f t="shared" si="97"/>
        <v>2207700</v>
      </c>
      <c r="P1483" s="42" t="str">
        <f>IFERROR(VLOOKUP(J1483,'Mã NV'!$B:$C,2,0),"")</f>
        <v>XE00449</v>
      </c>
      <c r="Q1483" s="70" t="str">
        <f>IFERROR(VLOOKUP(I1483,'Mã NV'!$J:$K,2,0),"")</f>
        <v>8T</v>
      </c>
      <c r="S1483" s="44">
        <f t="shared" si="96"/>
        <v>331155</v>
      </c>
    </row>
    <row r="1484" customHeight="1" spans="1:19">
      <c r="A1484" s="63">
        <f t="shared" si="95"/>
        <v>1478</v>
      </c>
      <c r="B1484" s="64">
        <v>46161</v>
      </c>
      <c r="C1484" s="65"/>
      <c r="D1484" s="66" t="s">
        <v>33</v>
      </c>
      <c r="E1484" s="66" t="s">
        <v>33</v>
      </c>
      <c r="F1484" s="66" t="s">
        <v>985</v>
      </c>
      <c r="G1484" s="66" t="s">
        <v>750</v>
      </c>
      <c r="H1484" s="66" t="s">
        <v>1024</v>
      </c>
      <c r="I1484" s="66" t="s">
        <v>197</v>
      </c>
      <c r="J1484" s="66" t="s">
        <v>195</v>
      </c>
      <c r="K1484" s="66" t="s">
        <v>747</v>
      </c>
      <c r="L1484" s="67">
        <v>23020</v>
      </c>
      <c r="M1484" s="67">
        <v>0</v>
      </c>
      <c r="N1484" s="68">
        <f t="shared" si="98"/>
        <v>23020</v>
      </c>
      <c r="O1484" s="69">
        <f t="shared" si="97"/>
        <v>23020</v>
      </c>
      <c r="P1484" s="42" t="str">
        <f>IFERROR(VLOOKUP(J1484,'Mã NV'!$B:$C,2,0),"")</f>
        <v>XE00449</v>
      </c>
      <c r="Q1484" s="70" t="str">
        <f>IFERROR(VLOOKUP(I1484,'Mã NV'!$J:$K,2,0),"")</f>
        <v>8T</v>
      </c>
      <c r="S1484" s="44">
        <f t="shared" si="96"/>
        <v>3453</v>
      </c>
    </row>
    <row r="1485" customHeight="1" spans="1:19">
      <c r="A1485" s="63">
        <f t="shared" si="95"/>
        <v>1479</v>
      </c>
      <c r="B1485" s="64">
        <v>46161</v>
      </c>
      <c r="C1485" s="65"/>
      <c r="D1485" s="66" t="s">
        <v>33</v>
      </c>
      <c r="E1485" s="66" t="s">
        <v>33</v>
      </c>
      <c r="F1485" s="66" t="s">
        <v>985</v>
      </c>
      <c r="G1485" s="66" t="s">
        <v>750</v>
      </c>
      <c r="H1485" s="66" t="s">
        <v>1024</v>
      </c>
      <c r="I1485" s="66" t="s">
        <v>197</v>
      </c>
      <c r="J1485" s="66" t="s">
        <v>195</v>
      </c>
      <c r="K1485" s="66" t="s">
        <v>747</v>
      </c>
      <c r="L1485" s="67">
        <v>23020</v>
      </c>
      <c r="M1485" s="67">
        <v>0</v>
      </c>
      <c r="N1485" s="68">
        <f t="shared" si="98"/>
        <v>23020</v>
      </c>
      <c r="O1485" s="69">
        <f t="shared" si="97"/>
        <v>23020</v>
      </c>
      <c r="P1485" s="42" t="str">
        <f>IFERROR(VLOOKUP(J1485,'Mã NV'!$B:$C,2,0),"")</f>
        <v>XE00449</v>
      </c>
      <c r="Q1485" s="70" t="str">
        <f>IFERROR(VLOOKUP(I1485,'Mã NV'!$J:$K,2,0),"")</f>
        <v>8T</v>
      </c>
      <c r="S1485" s="44">
        <f t="shared" si="96"/>
        <v>3453</v>
      </c>
    </row>
    <row r="1486" customHeight="1" spans="1:19">
      <c r="A1486" s="63">
        <f t="shared" si="95"/>
        <v>1480</v>
      </c>
      <c r="B1486" s="64">
        <v>46162</v>
      </c>
      <c r="C1486" s="65"/>
      <c r="D1486" s="66" t="s">
        <v>33</v>
      </c>
      <c r="E1486" s="66" t="s">
        <v>33</v>
      </c>
      <c r="F1486" s="66" t="s">
        <v>985</v>
      </c>
      <c r="G1486" s="66" t="s">
        <v>750</v>
      </c>
      <c r="H1486" s="66" t="s">
        <v>1040</v>
      </c>
      <c r="I1486" s="66" t="s">
        <v>180</v>
      </c>
      <c r="J1486" s="66" t="s">
        <v>201</v>
      </c>
      <c r="K1486" s="66" t="s">
        <v>747</v>
      </c>
      <c r="L1486" s="67">
        <v>9475000</v>
      </c>
      <c r="M1486" s="67">
        <v>0</v>
      </c>
      <c r="N1486" s="68">
        <f t="shared" si="98"/>
        <v>9475000</v>
      </c>
      <c r="O1486" s="69">
        <f t="shared" si="97"/>
        <v>9475000</v>
      </c>
      <c r="P1486" s="42" t="str">
        <f>IFERROR(VLOOKUP(J1486,'Mã NV'!$B:$C,2,0),"")</f>
        <v>XE01308</v>
      </c>
      <c r="Q1486" s="70" t="str">
        <f>IFERROR(VLOOKUP(I1486,'Mã NV'!$J:$K,2,0),"")</f>
        <v>Cont 50F</v>
      </c>
      <c r="S1486" s="44">
        <f t="shared" si="96"/>
        <v>1421250</v>
      </c>
    </row>
    <row r="1487" customHeight="1" spans="1:19">
      <c r="A1487" s="63">
        <f t="shared" ref="A1487:A1550" si="99">A1486+1</f>
        <v>1481</v>
      </c>
      <c r="B1487" s="64">
        <v>46162</v>
      </c>
      <c r="C1487" s="65"/>
      <c r="D1487" s="66" t="s">
        <v>33</v>
      </c>
      <c r="E1487" s="66" t="s">
        <v>33</v>
      </c>
      <c r="F1487" s="66" t="s">
        <v>985</v>
      </c>
      <c r="G1487" s="66" t="s">
        <v>750</v>
      </c>
      <c r="H1487" s="66" t="s">
        <v>1040</v>
      </c>
      <c r="I1487" s="66" t="s">
        <v>180</v>
      </c>
      <c r="J1487" s="66" t="s">
        <v>178</v>
      </c>
      <c r="K1487" s="66" t="s">
        <v>747</v>
      </c>
      <c r="L1487" s="67">
        <v>9475000</v>
      </c>
      <c r="M1487" s="67">
        <v>0</v>
      </c>
      <c r="N1487" s="68">
        <f t="shared" si="98"/>
        <v>9475000</v>
      </c>
      <c r="O1487" s="69">
        <f t="shared" si="97"/>
        <v>9475000</v>
      </c>
      <c r="P1487" s="42" t="str">
        <f>IFERROR(VLOOKUP(J1487,'Mã NV'!$B:$C,2,0),"")</f>
        <v>XE00952</v>
      </c>
      <c r="Q1487" s="70" t="str">
        <f>IFERROR(VLOOKUP(I1487,'Mã NV'!$J:$K,2,0),"")</f>
        <v>Cont 50F</v>
      </c>
      <c r="S1487" s="44">
        <f t="shared" si="96"/>
        <v>1421250</v>
      </c>
    </row>
    <row r="1488" customHeight="1" spans="1:19">
      <c r="A1488" s="63">
        <f t="shared" si="99"/>
        <v>1482</v>
      </c>
      <c r="B1488" s="64">
        <v>46162</v>
      </c>
      <c r="C1488" s="65"/>
      <c r="D1488" s="66" t="s">
        <v>33</v>
      </c>
      <c r="E1488" s="66" t="s">
        <v>33</v>
      </c>
      <c r="F1488" s="66" t="s">
        <v>985</v>
      </c>
      <c r="G1488" s="66" t="s">
        <v>750</v>
      </c>
      <c r="H1488" s="66" t="s">
        <v>1009</v>
      </c>
      <c r="I1488" s="66" t="s">
        <v>133</v>
      </c>
      <c r="J1488" s="66" t="s">
        <v>347</v>
      </c>
      <c r="K1488" s="66" t="s">
        <v>747</v>
      </c>
      <c r="L1488" s="67">
        <v>4485</v>
      </c>
      <c r="M1488" s="67">
        <v>0</v>
      </c>
      <c r="N1488" s="68">
        <f t="shared" si="98"/>
        <v>4485</v>
      </c>
      <c r="O1488" s="69">
        <f t="shared" si="97"/>
        <v>4485</v>
      </c>
      <c r="P1488" s="42" t="str">
        <f>IFERROR(VLOOKUP(J1488,'Mã NV'!$B:$C,2,0),"")</f>
        <v>XE01653</v>
      </c>
      <c r="Q1488" s="70" t="str">
        <f>IFERROR(VLOOKUP(I1488,'Mã NV'!$J:$K,2,0),"")</f>
        <v>2.5T</v>
      </c>
      <c r="S1488" s="44">
        <f t="shared" si="96"/>
        <v>672.75</v>
      </c>
    </row>
    <row r="1489" customHeight="1" spans="1:19">
      <c r="A1489" s="63">
        <f t="shared" si="99"/>
        <v>1483</v>
      </c>
      <c r="B1489" s="64">
        <v>46162</v>
      </c>
      <c r="C1489" s="65"/>
      <c r="D1489" s="66" t="s">
        <v>33</v>
      </c>
      <c r="E1489" s="66" t="s">
        <v>33</v>
      </c>
      <c r="F1489" s="66" t="s">
        <v>985</v>
      </c>
      <c r="G1489" s="66" t="s">
        <v>750</v>
      </c>
      <c r="H1489" s="66" t="s">
        <v>1022</v>
      </c>
      <c r="I1489" s="66" t="s">
        <v>133</v>
      </c>
      <c r="J1489" s="66" t="s">
        <v>347</v>
      </c>
      <c r="K1489" s="66" t="s">
        <v>747</v>
      </c>
      <c r="L1489" s="67">
        <v>281061</v>
      </c>
      <c r="M1489" s="67">
        <v>0</v>
      </c>
      <c r="N1489" s="68">
        <f t="shared" si="98"/>
        <v>281061</v>
      </c>
      <c r="O1489" s="69">
        <f t="shared" si="97"/>
        <v>281061</v>
      </c>
      <c r="P1489" s="42" t="str">
        <f>IFERROR(VLOOKUP(J1489,'Mã NV'!$B:$C,2,0),"")</f>
        <v>XE01653</v>
      </c>
      <c r="Q1489" s="70" t="str">
        <f>IFERROR(VLOOKUP(I1489,'Mã NV'!$J:$K,2,0),"")</f>
        <v>2.5T</v>
      </c>
      <c r="S1489" s="44">
        <f t="shared" si="96"/>
        <v>42159.15</v>
      </c>
    </row>
    <row r="1490" customHeight="1" spans="1:19">
      <c r="A1490" s="63">
        <f t="shared" si="99"/>
        <v>1484</v>
      </c>
      <c r="B1490" s="64">
        <v>46162</v>
      </c>
      <c r="C1490" s="65"/>
      <c r="D1490" s="66" t="s">
        <v>33</v>
      </c>
      <c r="E1490" s="66" t="s">
        <v>33</v>
      </c>
      <c r="F1490" s="66" t="s">
        <v>985</v>
      </c>
      <c r="G1490" s="66" t="s">
        <v>750</v>
      </c>
      <c r="H1490" s="66" t="s">
        <v>1022</v>
      </c>
      <c r="I1490" s="66" t="s">
        <v>133</v>
      </c>
      <c r="J1490" s="66" t="s">
        <v>347</v>
      </c>
      <c r="K1490" s="66" t="s">
        <v>747</v>
      </c>
      <c r="L1490" s="67">
        <v>1346400</v>
      </c>
      <c r="M1490" s="67">
        <v>0</v>
      </c>
      <c r="N1490" s="68">
        <f t="shared" si="98"/>
        <v>1346400</v>
      </c>
      <c r="O1490" s="69">
        <f t="shared" si="97"/>
        <v>1346400</v>
      </c>
      <c r="P1490" s="42" t="str">
        <f>IFERROR(VLOOKUP(J1490,'Mã NV'!$B:$C,2,0),"")</f>
        <v>XE01653</v>
      </c>
      <c r="Q1490" s="70" t="str">
        <f>IFERROR(VLOOKUP(I1490,'Mã NV'!$J:$K,2,0),"")</f>
        <v>2.5T</v>
      </c>
      <c r="S1490" s="44">
        <f t="shared" si="96"/>
        <v>201960</v>
      </c>
    </row>
    <row r="1491" customHeight="1" spans="1:19">
      <c r="A1491" s="63">
        <f t="shared" si="99"/>
        <v>1485</v>
      </c>
      <c r="B1491" s="64">
        <v>46162</v>
      </c>
      <c r="C1491" s="65"/>
      <c r="D1491" s="66" t="s">
        <v>33</v>
      </c>
      <c r="E1491" s="66" t="s">
        <v>33</v>
      </c>
      <c r="F1491" s="66" t="s">
        <v>985</v>
      </c>
      <c r="G1491" s="66" t="s">
        <v>750</v>
      </c>
      <c r="H1491" s="66" t="s">
        <v>1035</v>
      </c>
      <c r="I1491" s="66" t="s">
        <v>130</v>
      </c>
      <c r="J1491" s="66" t="s">
        <v>131</v>
      </c>
      <c r="K1491" s="66" t="s">
        <v>747</v>
      </c>
      <c r="L1491" s="67">
        <v>21947</v>
      </c>
      <c r="M1491" s="67">
        <v>0</v>
      </c>
      <c r="N1491" s="68">
        <f t="shared" si="98"/>
        <v>21947</v>
      </c>
      <c r="O1491" s="69">
        <f t="shared" si="97"/>
        <v>21947</v>
      </c>
      <c r="P1491" s="42" t="str">
        <f>IFERROR(VLOOKUP(J1491,'Mã NV'!$B:$C,2,0),"")</f>
        <v>XE00847</v>
      </c>
      <c r="Q1491" s="70" t="str">
        <f>IFERROR(VLOOKUP(I1491,'Mã NV'!$J:$K,2,0),"")</f>
        <v>8T</v>
      </c>
      <c r="S1491" s="44">
        <f t="shared" si="96"/>
        <v>3292.05</v>
      </c>
    </row>
    <row r="1492" customHeight="1" spans="1:19">
      <c r="A1492" s="63">
        <f t="shared" si="99"/>
        <v>1486</v>
      </c>
      <c r="B1492" s="64">
        <v>46162</v>
      </c>
      <c r="C1492" s="65"/>
      <c r="D1492" s="66" t="s">
        <v>33</v>
      </c>
      <c r="E1492" s="66" t="s">
        <v>33</v>
      </c>
      <c r="F1492" s="66" t="s">
        <v>985</v>
      </c>
      <c r="G1492" s="66" t="s">
        <v>750</v>
      </c>
      <c r="H1492" s="66" t="s">
        <v>1035</v>
      </c>
      <c r="I1492" s="66" t="s">
        <v>130</v>
      </c>
      <c r="J1492" s="66" t="s">
        <v>131</v>
      </c>
      <c r="K1492" s="66" t="s">
        <v>747</v>
      </c>
      <c r="L1492" s="67">
        <v>1000525</v>
      </c>
      <c r="M1492" s="67">
        <v>0</v>
      </c>
      <c r="N1492" s="68">
        <f t="shared" si="98"/>
        <v>1000525</v>
      </c>
      <c r="O1492" s="69">
        <f t="shared" si="97"/>
        <v>1000525</v>
      </c>
      <c r="P1492" s="42" t="str">
        <f>IFERROR(VLOOKUP(J1492,'Mã NV'!$B:$C,2,0),"")</f>
        <v>XE00847</v>
      </c>
      <c r="Q1492" s="70" t="str">
        <f>IFERROR(VLOOKUP(I1492,'Mã NV'!$J:$K,2,0),"")</f>
        <v>8T</v>
      </c>
      <c r="S1492" s="44">
        <f t="shared" si="96"/>
        <v>150078.75</v>
      </c>
    </row>
    <row r="1493" customHeight="1" spans="1:19">
      <c r="A1493" s="63">
        <f t="shared" si="99"/>
        <v>1487</v>
      </c>
      <c r="B1493" s="64">
        <v>46162</v>
      </c>
      <c r="C1493" s="65"/>
      <c r="D1493" s="66" t="s">
        <v>33</v>
      </c>
      <c r="E1493" s="66" t="s">
        <v>33</v>
      </c>
      <c r="F1493" s="66" t="s">
        <v>985</v>
      </c>
      <c r="G1493" s="66" t="s">
        <v>750</v>
      </c>
      <c r="H1493" s="66" t="s">
        <v>1017</v>
      </c>
      <c r="I1493" s="66" t="s">
        <v>130</v>
      </c>
      <c r="J1493" s="66" t="s">
        <v>131</v>
      </c>
      <c r="K1493" s="66" t="s">
        <v>747</v>
      </c>
      <c r="L1493" s="67">
        <v>70680</v>
      </c>
      <c r="M1493" s="67">
        <v>0</v>
      </c>
      <c r="N1493" s="68">
        <f t="shared" si="98"/>
        <v>70680</v>
      </c>
      <c r="O1493" s="69">
        <f t="shared" si="97"/>
        <v>70680</v>
      </c>
      <c r="P1493" s="42" t="str">
        <f>IFERROR(VLOOKUP(J1493,'Mã NV'!$B:$C,2,0),"")</f>
        <v>XE00847</v>
      </c>
      <c r="Q1493" s="70" t="str">
        <f>IFERROR(VLOOKUP(I1493,'Mã NV'!$J:$K,2,0),"")</f>
        <v>8T</v>
      </c>
      <c r="S1493" s="44">
        <f t="shared" si="96"/>
        <v>10602</v>
      </c>
    </row>
    <row r="1494" customHeight="1" spans="1:19">
      <c r="A1494" s="63">
        <f t="shared" si="99"/>
        <v>1488</v>
      </c>
      <c r="B1494" s="64">
        <v>46162</v>
      </c>
      <c r="C1494" s="65"/>
      <c r="D1494" s="66" t="s">
        <v>33</v>
      </c>
      <c r="E1494" s="66" t="s">
        <v>33</v>
      </c>
      <c r="F1494" s="66" t="s">
        <v>985</v>
      </c>
      <c r="G1494" s="66" t="s">
        <v>750</v>
      </c>
      <c r="H1494" s="66" t="s">
        <v>1017</v>
      </c>
      <c r="I1494" s="66" t="s">
        <v>130</v>
      </c>
      <c r="J1494" s="66" t="s">
        <v>131</v>
      </c>
      <c r="K1494" s="66" t="s">
        <v>747</v>
      </c>
      <c r="L1494" s="67">
        <v>1384150</v>
      </c>
      <c r="M1494" s="67">
        <v>0</v>
      </c>
      <c r="N1494" s="68">
        <f t="shared" si="98"/>
        <v>1384150</v>
      </c>
      <c r="O1494" s="69">
        <f t="shared" si="97"/>
        <v>1384150</v>
      </c>
      <c r="P1494" s="42" t="str">
        <f>IFERROR(VLOOKUP(J1494,'Mã NV'!$B:$C,2,0),"")</f>
        <v>XE00847</v>
      </c>
      <c r="Q1494" s="70" t="str">
        <f>IFERROR(VLOOKUP(I1494,'Mã NV'!$J:$K,2,0),"")</f>
        <v>8T</v>
      </c>
      <c r="S1494" s="44">
        <f t="shared" si="96"/>
        <v>207622.5</v>
      </c>
    </row>
    <row r="1495" customHeight="1" spans="1:19">
      <c r="A1495" s="63">
        <f t="shared" si="99"/>
        <v>1489</v>
      </c>
      <c r="B1495" s="64">
        <v>46162</v>
      </c>
      <c r="C1495" s="65"/>
      <c r="D1495" s="66" t="s">
        <v>33</v>
      </c>
      <c r="E1495" s="66" t="s">
        <v>33</v>
      </c>
      <c r="F1495" s="66" t="s">
        <v>985</v>
      </c>
      <c r="G1495" s="66" t="s">
        <v>750</v>
      </c>
      <c r="H1495" s="66" t="s">
        <v>1022</v>
      </c>
      <c r="I1495" s="66" t="s">
        <v>130</v>
      </c>
      <c r="J1495" s="66" t="s">
        <v>131</v>
      </c>
      <c r="K1495" s="66" t="s">
        <v>747</v>
      </c>
      <c r="L1495" s="67">
        <v>1767150</v>
      </c>
      <c r="M1495" s="67">
        <v>0</v>
      </c>
      <c r="N1495" s="68">
        <f t="shared" si="98"/>
        <v>1767150</v>
      </c>
      <c r="O1495" s="69">
        <f t="shared" si="97"/>
        <v>1767150</v>
      </c>
      <c r="P1495" s="42" t="str">
        <f>IFERROR(VLOOKUP(J1495,'Mã NV'!$B:$C,2,0),"")</f>
        <v>XE00847</v>
      </c>
      <c r="Q1495" s="70" t="str">
        <f>IFERROR(VLOOKUP(I1495,'Mã NV'!$J:$K,2,0),"")</f>
        <v>8T</v>
      </c>
      <c r="S1495" s="44">
        <f t="shared" si="96"/>
        <v>265072.5</v>
      </c>
    </row>
    <row r="1496" customHeight="1" spans="1:19">
      <c r="A1496" s="63">
        <f t="shared" si="99"/>
        <v>1490</v>
      </c>
      <c r="B1496" s="64">
        <v>46162</v>
      </c>
      <c r="C1496" s="65"/>
      <c r="D1496" s="66" t="s">
        <v>33</v>
      </c>
      <c r="E1496" s="66" t="s">
        <v>33</v>
      </c>
      <c r="F1496" s="66" t="s">
        <v>985</v>
      </c>
      <c r="G1496" s="66" t="s">
        <v>750</v>
      </c>
      <c r="H1496" s="66" t="s">
        <v>1018</v>
      </c>
      <c r="I1496" s="66" t="s">
        <v>136</v>
      </c>
      <c r="J1496" s="66" t="s">
        <v>131</v>
      </c>
      <c r="K1496" s="66" t="s">
        <v>747</v>
      </c>
      <c r="L1496" s="67">
        <v>276012</v>
      </c>
      <c r="M1496" s="67">
        <v>0</v>
      </c>
      <c r="N1496" s="68">
        <f t="shared" si="98"/>
        <v>276012</v>
      </c>
      <c r="O1496" s="69">
        <f t="shared" si="97"/>
        <v>276012</v>
      </c>
      <c r="P1496" s="42" t="str">
        <f>IFERROR(VLOOKUP(J1496,'Mã NV'!$B:$C,2,0),"")</f>
        <v>XE00847</v>
      </c>
      <c r="Q1496" s="70" t="str">
        <f>IFERROR(VLOOKUP(I1496,'Mã NV'!$J:$K,2,0),"")</f>
        <v>6.5T</v>
      </c>
      <c r="S1496" s="44">
        <f t="shared" si="96"/>
        <v>41401.8</v>
      </c>
    </row>
    <row r="1497" customHeight="1" spans="1:19">
      <c r="A1497" s="63">
        <f t="shared" si="99"/>
        <v>1491</v>
      </c>
      <c r="B1497" s="64">
        <v>46162</v>
      </c>
      <c r="C1497" s="65"/>
      <c r="D1497" s="66" t="s">
        <v>33</v>
      </c>
      <c r="E1497" s="66" t="s">
        <v>33</v>
      </c>
      <c r="F1497" s="66" t="s">
        <v>985</v>
      </c>
      <c r="G1497" s="66" t="s">
        <v>750</v>
      </c>
      <c r="H1497" s="66" t="s">
        <v>1018</v>
      </c>
      <c r="I1497" s="66" t="s">
        <v>136</v>
      </c>
      <c r="J1497" s="66" t="s">
        <v>131</v>
      </c>
      <c r="K1497" s="66" t="s">
        <v>747</v>
      </c>
      <c r="L1497" s="67">
        <v>2524500</v>
      </c>
      <c r="M1497" s="67">
        <v>0</v>
      </c>
      <c r="N1497" s="68">
        <f t="shared" si="98"/>
        <v>2524500</v>
      </c>
      <c r="O1497" s="69">
        <f t="shared" si="97"/>
        <v>2524500</v>
      </c>
      <c r="P1497" s="42" t="str">
        <f>IFERROR(VLOOKUP(J1497,'Mã NV'!$B:$C,2,0),"")</f>
        <v>XE00847</v>
      </c>
      <c r="Q1497" s="70" t="str">
        <f>IFERROR(VLOOKUP(I1497,'Mã NV'!$J:$K,2,0),"")</f>
        <v>6.5T</v>
      </c>
      <c r="S1497" s="44">
        <f t="shared" si="96"/>
        <v>378675</v>
      </c>
    </row>
    <row r="1498" customHeight="1" spans="1:19">
      <c r="A1498" s="63">
        <f t="shared" si="99"/>
        <v>1492</v>
      </c>
      <c r="B1498" s="64">
        <v>46162</v>
      </c>
      <c r="C1498" s="65"/>
      <c r="D1498" s="66" t="s">
        <v>33</v>
      </c>
      <c r="E1498" s="66" t="s">
        <v>33</v>
      </c>
      <c r="F1498" s="66" t="s">
        <v>985</v>
      </c>
      <c r="G1498" s="66" t="s">
        <v>750</v>
      </c>
      <c r="H1498" s="66" t="s">
        <v>1023</v>
      </c>
      <c r="I1498" s="66" t="s">
        <v>134</v>
      </c>
      <c r="J1498" s="66" t="s">
        <v>131</v>
      </c>
      <c r="K1498" s="66" t="s">
        <v>747</v>
      </c>
      <c r="L1498" s="67">
        <v>154250</v>
      </c>
      <c r="M1498" s="67">
        <v>0</v>
      </c>
      <c r="N1498" s="68">
        <f t="shared" si="98"/>
        <v>154250</v>
      </c>
      <c r="O1498" s="69">
        <f t="shared" si="97"/>
        <v>154250</v>
      </c>
      <c r="P1498" s="42" t="str">
        <f>IFERROR(VLOOKUP(J1498,'Mã NV'!$B:$C,2,0),"")</f>
        <v>XE00847</v>
      </c>
      <c r="Q1498" s="70" t="str">
        <f>IFERROR(VLOOKUP(I1498,'Mã NV'!$J:$K,2,0),"")</f>
        <v>2.5T Lạnh</v>
      </c>
      <c r="S1498" s="44">
        <f t="shared" si="96"/>
        <v>23137.5</v>
      </c>
    </row>
    <row r="1499" customHeight="1" spans="1:19">
      <c r="A1499" s="63">
        <f t="shared" si="99"/>
        <v>1493</v>
      </c>
      <c r="B1499" s="64">
        <v>46162</v>
      </c>
      <c r="C1499" s="65"/>
      <c r="D1499" s="66" t="s">
        <v>33</v>
      </c>
      <c r="E1499" s="66" t="s">
        <v>33</v>
      </c>
      <c r="F1499" s="66" t="s">
        <v>985</v>
      </c>
      <c r="G1499" s="66" t="s">
        <v>750</v>
      </c>
      <c r="H1499" s="66" t="s">
        <v>1011</v>
      </c>
      <c r="I1499" s="66" t="s">
        <v>134</v>
      </c>
      <c r="J1499" s="66" t="s">
        <v>131</v>
      </c>
      <c r="K1499" s="66" t="s">
        <v>747</v>
      </c>
      <c r="L1499" s="67">
        <v>83424</v>
      </c>
      <c r="M1499" s="67">
        <v>0</v>
      </c>
      <c r="N1499" s="68">
        <f t="shared" si="98"/>
        <v>83424</v>
      </c>
      <c r="O1499" s="69">
        <f t="shared" si="97"/>
        <v>83424</v>
      </c>
      <c r="P1499" s="42" t="str">
        <f>IFERROR(VLOOKUP(J1499,'Mã NV'!$B:$C,2,0),"")</f>
        <v>XE00847</v>
      </c>
      <c r="Q1499" s="70" t="str">
        <f>IFERROR(VLOOKUP(I1499,'Mã NV'!$J:$K,2,0),"")</f>
        <v>2.5T Lạnh</v>
      </c>
      <c r="S1499" s="44">
        <f t="shared" si="96"/>
        <v>12513.6</v>
      </c>
    </row>
    <row r="1500" customHeight="1" spans="1:19">
      <c r="A1500" s="63">
        <f t="shared" si="99"/>
        <v>1494</v>
      </c>
      <c r="B1500" s="64">
        <v>46162</v>
      </c>
      <c r="C1500" s="65"/>
      <c r="D1500" s="66" t="s">
        <v>33</v>
      </c>
      <c r="E1500" s="66" t="s">
        <v>33</v>
      </c>
      <c r="F1500" s="66" t="s">
        <v>985</v>
      </c>
      <c r="G1500" s="66" t="s">
        <v>750</v>
      </c>
      <c r="H1500" s="66" t="s">
        <v>1011</v>
      </c>
      <c r="I1500" s="66" t="s">
        <v>134</v>
      </c>
      <c r="J1500" s="66" t="s">
        <v>131</v>
      </c>
      <c r="K1500" s="66" t="s">
        <v>747</v>
      </c>
      <c r="L1500" s="67">
        <v>1086250</v>
      </c>
      <c r="M1500" s="67">
        <v>0</v>
      </c>
      <c r="N1500" s="68">
        <f t="shared" si="98"/>
        <v>1086250</v>
      </c>
      <c r="O1500" s="69">
        <f t="shared" si="97"/>
        <v>1086250</v>
      </c>
      <c r="P1500" s="42" t="str">
        <f>IFERROR(VLOOKUP(J1500,'Mã NV'!$B:$C,2,0),"")</f>
        <v>XE00847</v>
      </c>
      <c r="Q1500" s="70" t="str">
        <f>IFERROR(VLOOKUP(I1500,'Mã NV'!$J:$K,2,0),"")</f>
        <v>2.5T Lạnh</v>
      </c>
      <c r="S1500" s="44">
        <f t="shared" si="96"/>
        <v>162937.5</v>
      </c>
    </row>
    <row r="1501" customHeight="1" spans="1:19">
      <c r="A1501" s="63">
        <f t="shared" si="99"/>
        <v>1495</v>
      </c>
      <c r="B1501" s="64">
        <v>46162</v>
      </c>
      <c r="C1501" s="65"/>
      <c r="D1501" s="66" t="s">
        <v>33</v>
      </c>
      <c r="E1501" s="66" t="s">
        <v>33</v>
      </c>
      <c r="F1501" s="66" t="s">
        <v>985</v>
      </c>
      <c r="G1501" s="66" t="s">
        <v>750</v>
      </c>
      <c r="H1501" s="66" t="s">
        <v>1041</v>
      </c>
      <c r="I1501" s="66" t="s">
        <v>81</v>
      </c>
      <c r="J1501" s="66" t="s">
        <v>131</v>
      </c>
      <c r="K1501" s="66" t="s">
        <v>747</v>
      </c>
      <c r="L1501" s="67">
        <v>345420</v>
      </c>
      <c r="M1501" s="67">
        <v>0</v>
      </c>
      <c r="N1501" s="68">
        <f t="shared" si="98"/>
        <v>345420</v>
      </c>
      <c r="O1501" s="69">
        <f t="shared" si="97"/>
        <v>345420</v>
      </c>
      <c r="P1501" s="42" t="str">
        <f>IFERROR(VLOOKUP(J1501,'Mã NV'!$B:$C,2,0),"")</f>
        <v>XE00847</v>
      </c>
      <c r="Q1501" s="70" t="str">
        <f>IFERROR(VLOOKUP(I1501,'Mã NV'!$J:$K,2,0),"")</f>
        <v>6.5T</v>
      </c>
      <c r="S1501" s="44">
        <f t="shared" si="96"/>
        <v>51813</v>
      </c>
    </row>
    <row r="1502" customHeight="1" spans="1:19">
      <c r="A1502" s="63">
        <f t="shared" si="99"/>
        <v>1496</v>
      </c>
      <c r="B1502" s="64">
        <v>46162</v>
      </c>
      <c r="C1502" s="65"/>
      <c r="D1502" s="66" t="s">
        <v>33</v>
      </c>
      <c r="E1502" s="66" t="s">
        <v>33</v>
      </c>
      <c r="F1502" s="66" t="s">
        <v>985</v>
      </c>
      <c r="G1502" s="66" t="s">
        <v>750</v>
      </c>
      <c r="H1502" s="66" t="s">
        <v>1041</v>
      </c>
      <c r="I1502" s="66" t="s">
        <v>81</v>
      </c>
      <c r="J1502" s="66" t="s">
        <v>131</v>
      </c>
      <c r="K1502" s="66" t="s">
        <v>747</v>
      </c>
      <c r="L1502" s="67">
        <v>3030000</v>
      </c>
      <c r="M1502" s="67">
        <v>0</v>
      </c>
      <c r="N1502" s="68">
        <f t="shared" si="98"/>
        <v>3030000</v>
      </c>
      <c r="O1502" s="69">
        <f t="shared" si="97"/>
        <v>3030000</v>
      </c>
      <c r="P1502" s="42" t="str">
        <f>IFERROR(VLOOKUP(J1502,'Mã NV'!$B:$C,2,0),"")</f>
        <v>XE00847</v>
      </c>
      <c r="Q1502" s="70" t="str">
        <f>IFERROR(VLOOKUP(I1502,'Mã NV'!$J:$K,2,0),"")</f>
        <v>6.5T</v>
      </c>
      <c r="S1502" s="44">
        <f t="shared" si="96"/>
        <v>454500</v>
      </c>
    </row>
    <row r="1503" customHeight="1" spans="1:19">
      <c r="A1503" s="63">
        <f t="shared" si="99"/>
        <v>1497</v>
      </c>
      <c r="B1503" s="64">
        <v>46162</v>
      </c>
      <c r="C1503" s="65"/>
      <c r="D1503" s="66" t="s">
        <v>33</v>
      </c>
      <c r="E1503" s="66" t="s">
        <v>33</v>
      </c>
      <c r="F1503" s="66" t="s">
        <v>985</v>
      </c>
      <c r="G1503" s="66" t="s">
        <v>750</v>
      </c>
      <c r="H1503" s="66" t="s">
        <v>1023</v>
      </c>
      <c r="I1503" s="66" t="s">
        <v>84</v>
      </c>
      <c r="J1503" s="66" t="s">
        <v>131</v>
      </c>
      <c r="K1503" s="66" t="s">
        <v>747</v>
      </c>
      <c r="L1503" s="67">
        <v>96252</v>
      </c>
      <c r="M1503" s="67">
        <v>0</v>
      </c>
      <c r="N1503" s="68">
        <f t="shared" si="98"/>
        <v>96252</v>
      </c>
      <c r="O1503" s="69">
        <f t="shared" si="97"/>
        <v>96252</v>
      </c>
      <c r="P1503" s="42" t="str">
        <f>IFERROR(VLOOKUP(J1503,'Mã NV'!$B:$C,2,0),"")</f>
        <v>XE00847</v>
      </c>
      <c r="Q1503" s="70" t="str">
        <f>IFERROR(VLOOKUP(I1503,'Mã NV'!$J:$K,2,0),"")</f>
        <v>6.5T</v>
      </c>
      <c r="S1503" s="44">
        <f t="shared" si="96"/>
        <v>14437.8</v>
      </c>
    </row>
    <row r="1504" customHeight="1" spans="1:19">
      <c r="A1504" s="63">
        <f t="shared" si="99"/>
        <v>1498</v>
      </c>
      <c r="B1504" s="64">
        <v>46162</v>
      </c>
      <c r="C1504" s="65"/>
      <c r="D1504" s="66" t="s">
        <v>33</v>
      </c>
      <c r="E1504" s="66" t="s">
        <v>33</v>
      </c>
      <c r="F1504" s="66" t="s">
        <v>985</v>
      </c>
      <c r="G1504" s="66" t="s">
        <v>750</v>
      </c>
      <c r="H1504" s="66" t="s">
        <v>1022</v>
      </c>
      <c r="I1504" s="66" t="s">
        <v>133</v>
      </c>
      <c r="J1504" s="66" t="s">
        <v>131</v>
      </c>
      <c r="K1504" s="66" t="s">
        <v>747</v>
      </c>
      <c r="L1504" s="67">
        <v>50490</v>
      </c>
      <c r="M1504" s="67">
        <v>0</v>
      </c>
      <c r="N1504" s="68">
        <f t="shared" si="98"/>
        <v>50490</v>
      </c>
      <c r="O1504" s="69">
        <f t="shared" si="97"/>
        <v>50490</v>
      </c>
      <c r="P1504" s="42" t="str">
        <f>IFERROR(VLOOKUP(J1504,'Mã NV'!$B:$C,2,0),"")</f>
        <v>XE00847</v>
      </c>
      <c r="Q1504" s="70" t="str">
        <f>IFERROR(VLOOKUP(I1504,'Mã NV'!$J:$K,2,0),"")</f>
        <v>2.5T</v>
      </c>
      <c r="S1504" s="44">
        <f t="shared" si="96"/>
        <v>7573.5</v>
      </c>
    </row>
    <row r="1505" customHeight="1" spans="1:19">
      <c r="A1505" s="63">
        <f t="shared" si="99"/>
        <v>1499</v>
      </c>
      <c r="B1505" s="64">
        <v>46162</v>
      </c>
      <c r="C1505" s="65"/>
      <c r="D1505" s="66" t="s">
        <v>33</v>
      </c>
      <c r="E1505" s="66" t="s">
        <v>33</v>
      </c>
      <c r="F1505" s="66" t="s">
        <v>985</v>
      </c>
      <c r="G1505" s="66" t="s">
        <v>750</v>
      </c>
      <c r="H1505" s="66" t="s">
        <v>1035</v>
      </c>
      <c r="I1505" s="66" t="s">
        <v>130</v>
      </c>
      <c r="J1505" s="66" t="s">
        <v>131</v>
      </c>
      <c r="K1505" s="66" t="s">
        <v>747</v>
      </c>
      <c r="L1505" s="67">
        <v>38730</v>
      </c>
      <c r="M1505" s="67">
        <v>0</v>
      </c>
      <c r="N1505" s="68">
        <f t="shared" si="98"/>
        <v>38730</v>
      </c>
      <c r="O1505" s="69">
        <f t="shared" si="97"/>
        <v>38730</v>
      </c>
      <c r="P1505" s="42" t="str">
        <f>IFERROR(VLOOKUP(J1505,'Mã NV'!$B:$C,2,0),"")</f>
        <v>XE00847</v>
      </c>
      <c r="Q1505" s="70" t="str">
        <f>IFERROR(VLOOKUP(I1505,'Mã NV'!$J:$K,2,0),"")</f>
        <v>8T</v>
      </c>
      <c r="S1505" s="44">
        <f t="shared" si="96"/>
        <v>5809.5</v>
      </c>
    </row>
    <row r="1506" customHeight="1" spans="1:19">
      <c r="A1506" s="63">
        <f t="shared" si="99"/>
        <v>1500</v>
      </c>
      <c r="B1506" s="64">
        <v>46162</v>
      </c>
      <c r="C1506" s="65"/>
      <c r="D1506" s="66" t="s">
        <v>33</v>
      </c>
      <c r="E1506" s="66" t="s">
        <v>33</v>
      </c>
      <c r="F1506" s="66" t="s">
        <v>985</v>
      </c>
      <c r="G1506" s="66" t="s">
        <v>750</v>
      </c>
      <c r="H1506" s="66" t="s">
        <v>1017</v>
      </c>
      <c r="I1506" s="66" t="s">
        <v>130</v>
      </c>
      <c r="J1506" s="66" t="s">
        <v>131</v>
      </c>
      <c r="K1506" s="66" t="s">
        <v>747</v>
      </c>
      <c r="L1506" s="67">
        <v>35340</v>
      </c>
      <c r="M1506" s="67">
        <v>0</v>
      </c>
      <c r="N1506" s="68">
        <f t="shared" si="98"/>
        <v>35340</v>
      </c>
      <c r="O1506" s="69">
        <f t="shared" si="97"/>
        <v>35340</v>
      </c>
      <c r="P1506" s="42" t="str">
        <f>IFERROR(VLOOKUP(J1506,'Mã NV'!$B:$C,2,0),"")</f>
        <v>XE00847</v>
      </c>
      <c r="Q1506" s="70" t="str">
        <f>IFERROR(VLOOKUP(I1506,'Mã NV'!$J:$K,2,0),"")</f>
        <v>8T</v>
      </c>
      <c r="S1506" s="44">
        <f t="shared" si="96"/>
        <v>5301</v>
      </c>
    </row>
    <row r="1507" customHeight="1" spans="1:19">
      <c r="A1507" s="63">
        <f t="shared" si="99"/>
        <v>1501</v>
      </c>
      <c r="B1507" s="64">
        <v>46162</v>
      </c>
      <c r="C1507" s="65"/>
      <c r="D1507" s="66" t="s">
        <v>33</v>
      </c>
      <c r="E1507" s="66" t="s">
        <v>33</v>
      </c>
      <c r="F1507" s="66" t="s">
        <v>985</v>
      </c>
      <c r="G1507" s="66" t="s">
        <v>750</v>
      </c>
      <c r="H1507" s="66" t="s">
        <v>1022</v>
      </c>
      <c r="I1507" s="66" t="s">
        <v>130</v>
      </c>
      <c r="J1507" s="66" t="s">
        <v>131</v>
      </c>
      <c r="K1507" s="66" t="s">
        <v>747</v>
      </c>
      <c r="L1507" s="67">
        <v>336600</v>
      </c>
      <c r="M1507" s="67">
        <v>0</v>
      </c>
      <c r="N1507" s="68">
        <f t="shared" si="98"/>
        <v>336600</v>
      </c>
      <c r="O1507" s="69">
        <f t="shared" si="97"/>
        <v>336600</v>
      </c>
      <c r="P1507" s="42" t="str">
        <f>IFERROR(VLOOKUP(J1507,'Mã NV'!$B:$C,2,0),"")</f>
        <v>XE00847</v>
      </c>
      <c r="Q1507" s="70" t="str">
        <f>IFERROR(VLOOKUP(I1507,'Mã NV'!$J:$K,2,0),"")</f>
        <v>8T</v>
      </c>
      <c r="S1507" s="44">
        <f t="shared" si="96"/>
        <v>50490</v>
      </c>
    </row>
    <row r="1508" customHeight="1" spans="1:19">
      <c r="A1508" s="63">
        <f t="shared" si="99"/>
        <v>1502</v>
      </c>
      <c r="B1508" s="64">
        <v>46162</v>
      </c>
      <c r="C1508" s="65"/>
      <c r="D1508" s="66" t="s">
        <v>33</v>
      </c>
      <c r="E1508" s="66" t="s">
        <v>33</v>
      </c>
      <c r="F1508" s="66" t="s">
        <v>985</v>
      </c>
      <c r="G1508" s="66" t="s">
        <v>750</v>
      </c>
      <c r="H1508" s="66" t="s">
        <v>1018</v>
      </c>
      <c r="I1508" s="66" t="s">
        <v>136</v>
      </c>
      <c r="J1508" s="66" t="s">
        <v>361</v>
      </c>
      <c r="K1508" s="66" t="s">
        <v>747</v>
      </c>
      <c r="L1508" s="67">
        <v>1683000</v>
      </c>
      <c r="M1508" s="67">
        <v>0</v>
      </c>
      <c r="N1508" s="68">
        <f t="shared" si="98"/>
        <v>1683000</v>
      </c>
      <c r="O1508" s="69">
        <f t="shared" si="97"/>
        <v>1683000</v>
      </c>
      <c r="P1508" s="42" t="str">
        <f>IFERROR(VLOOKUP(J1508,'Mã NV'!$B:$C,2,0),"")</f>
        <v>XE01641</v>
      </c>
      <c r="Q1508" s="70" t="str">
        <f>IFERROR(VLOOKUP(I1508,'Mã NV'!$J:$K,2,0),"")</f>
        <v>6.5T</v>
      </c>
      <c r="S1508" s="44">
        <f t="shared" si="96"/>
        <v>252450</v>
      </c>
    </row>
    <row r="1509" customHeight="1" spans="1:19">
      <c r="A1509" s="63">
        <f t="shared" si="99"/>
        <v>1503</v>
      </c>
      <c r="B1509" s="64">
        <v>46162</v>
      </c>
      <c r="C1509" s="65"/>
      <c r="D1509" s="66" t="s">
        <v>33</v>
      </c>
      <c r="E1509" s="66" t="s">
        <v>33</v>
      </c>
      <c r="F1509" s="66" t="s">
        <v>985</v>
      </c>
      <c r="G1509" s="66" t="s">
        <v>750</v>
      </c>
      <c r="H1509" s="66" t="s">
        <v>1011</v>
      </c>
      <c r="I1509" s="66" t="s">
        <v>134</v>
      </c>
      <c r="J1509" s="66" t="s">
        <v>359</v>
      </c>
      <c r="K1509" s="66" t="s">
        <v>747</v>
      </c>
      <c r="L1509" s="67">
        <v>17380</v>
      </c>
      <c r="M1509" s="67">
        <v>0</v>
      </c>
      <c r="N1509" s="68">
        <f t="shared" si="98"/>
        <v>17380</v>
      </c>
      <c r="O1509" s="69">
        <f t="shared" si="97"/>
        <v>17380</v>
      </c>
      <c r="P1509" s="42" t="str">
        <f>IFERROR(VLOOKUP(J1509,'Mã NV'!$B:$C,2,0),"")</f>
        <v>XE01639</v>
      </c>
      <c r="Q1509" s="70" t="str">
        <f>IFERROR(VLOOKUP(I1509,'Mã NV'!$J:$K,2,0),"")</f>
        <v>2.5T Lạnh</v>
      </c>
      <c r="S1509" s="44">
        <f t="shared" si="96"/>
        <v>2607</v>
      </c>
    </row>
    <row r="1510" customHeight="1" spans="1:19">
      <c r="A1510" s="63">
        <f t="shared" si="99"/>
        <v>1504</v>
      </c>
      <c r="B1510" s="64">
        <v>46162</v>
      </c>
      <c r="C1510" s="65"/>
      <c r="D1510" s="66" t="s">
        <v>33</v>
      </c>
      <c r="E1510" s="66" t="s">
        <v>33</v>
      </c>
      <c r="F1510" s="66" t="s">
        <v>985</v>
      </c>
      <c r="G1510" s="66" t="s">
        <v>750</v>
      </c>
      <c r="H1510" s="66" t="s">
        <v>1011</v>
      </c>
      <c r="I1510" s="66" t="s">
        <v>134</v>
      </c>
      <c r="J1510" s="66" t="s">
        <v>359</v>
      </c>
      <c r="K1510" s="66" t="s">
        <v>747</v>
      </c>
      <c r="L1510" s="67">
        <v>17380</v>
      </c>
      <c r="M1510" s="67">
        <v>0</v>
      </c>
      <c r="N1510" s="68">
        <f t="shared" si="98"/>
        <v>17380</v>
      </c>
      <c r="O1510" s="69">
        <f t="shared" si="97"/>
        <v>17380</v>
      </c>
      <c r="P1510" s="42" t="str">
        <f>IFERROR(VLOOKUP(J1510,'Mã NV'!$B:$C,2,0),"")</f>
        <v>XE01639</v>
      </c>
      <c r="Q1510" s="70" t="str">
        <f>IFERROR(VLOOKUP(I1510,'Mã NV'!$J:$K,2,0),"")</f>
        <v>2.5T Lạnh</v>
      </c>
      <c r="S1510" s="44">
        <f t="shared" si="96"/>
        <v>2607</v>
      </c>
    </row>
    <row r="1511" customHeight="1" spans="1:19">
      <c r="A1511" s="63">
        <f t="shared" si="99"/>
        <v>1505</v>
      </c>
      <c r="B1511" s="64">
        <v>46162</v>
      </c>
      <c r="C1511" s="65"/>
      <c r="D1511" s="66" t="s">
        <v>33</v>
      </c>
      <c r="E1511" s="66" t="s">
        <v>33</v>
      </c>
      <c r="F1511" s="66" t="s">
        <v>985</v>
      </c>
      <c r="G1511" s="66" t="s">
        <v>750</v>
      </c>
      <c r="H1511" s="66" t="s">
        <v>1011</v>
      </c>
      <c r="I1511" s="66" t="s">
        <v>134</v>
      </c>
      <c r="J1511" s="66" t="s">
        <v>359</v>
      </c>
      <c r="K1511" s="66" t="s">
        <v>747</v>
      </c>
      <c r="L1511" s="67">
        <v>17380</v>
      </c>
      <c r="M1511" s="67">
        <v>0</v>
      </c>
      <c r="N1511" s="68">
        <f t="shared" si="98"/>
        <v>17380</v>
      </c>
      <c r="O1511" s="69">
        <f t="shared" si="97"/>
        <v>17380</v>
      </c>
      <c r="P1511" s="42" t="str">
        <f>IFERROR(VLOOKUP(J1511,'Mã NV'!$B:$C,2,0),"")</f>
        <v>XE01639</v>
      </c>
      <c r="Q1511" s="70" t="str">
        <f>IFERROR(VLOOKUP(I1511,'Mã NV'!$J:$K,2,0),"")</f>
        <v>2.5T Lạnh</v>
      </c>
      <c r="S1511" s="44">
        <f t="shared" si="96"/>
        <v>2607</v>
      </c>
    </row>
    <row r="1512" customHeight="1" spans="1:19">
      <c r="A1512" s="63">
        <f t="shared" si="99"/>
        <v>1506</v>
      </c>
      <c r="B1512" s="64">
        <v>46162</v>
      </c>
      <c r="C1512" s="65"/>
      <c r="D1512" s="66" t="s">
        <v>33</v>
      </c>
      <c r="E1512" s="66" t="s">
        <v>33</v>
      </c>
      <c r="F1512" s="66" t="s">
        <v>985</v>
      </c>
      <c r="G1512" s="66" t="s">
        <v>750</v>
      </c>
      <c r="H1512" s="66" t="s">
        <v>1036</v>
      </c>
      <c r="I1512" s="66" t="s">
        <v>48</v>
      </c>
      <c r="J1512" s="66" t="s">
        <v>324</v>
      </c>
      <c r="K1512" s="66" t="s">
        <v>747</v>
      </c>
      <c r="L1512" s="67">
        <v>17380</v>
      </c>
      <c r="M1512" s="67">
        <v>0</v>
      </c>
      <c r="N1512" s="68">
        <f t="shared" si="98"/>
        <v>17380</v>
      </c>
      <c r="O1512" s="69">
        <f t="shared" si="97"/>
        <v>17380</v>
      </c>
      <c r="P1512" s="42" t="str">
        <f>IFERROR(VLOOKUP(J1512,'Mã NV'!$B:$C,2,0),"")</f>
        <v>XE01620</v>
      </c>
      <c r="Q1512" s="70" t="str">
        <f>IFERROR(VLOOKUP(I1512,'Mã NV'!$J:$K,2,0),"")</f>
        <v>6.5T</v>
      </c>
      <c r="S1512" s="44">
        <f t="shared" si="96"/>
        <v>2607</v>
      </c>
    </row>
    <row r="1513" customHeight="1" spans="1:19">
      <c r="A1513" s="63">
        <f t="shared" si="99"/>
        <v>1507</v>
      </c>
      <c r="B1513" s="64">
        <v>46163</v>
      </c>
      <c r="C1513" s="65"/>
      <c r="D1513" s="66" t="s">
        <v>33</v>
      </c>
      <c r="E1513" s="66" t="s">
        <v>33</v>
      </c>
      <c r="F1513" s="66" t="s">
        <v>985</v>
      </c>
      <c r="G1513" s="66" t="s">
        <v>750</v>
      </c>
      <c r="H1513" s="66" t="s">
        <v>1023</v>
      </c>
      <c r="I1513" s="66" t="s">
        <v>81</v>
      </c>
      <c r="J1513" s="66" t="s">
        <v>79</v>
      </c>
      <c r="K1513" s="66" t="s">
        <v>747</v>
      </c>
      <c r="L1513" s="67">
        <v>1542500</v>
      </c>
      <c r="M1513" s="67">
        <v>0</v>
      </c>
      <c r="N1513" s="68">
        <f t="shared" si="98"/>
        <v>1542500</v>
      </c>
      <c r="O1513" s="69">
        <f t="shared" si="97"/>
        <v>1542500</v>
      </c>
      <c r="P1513" s="42" t="str">
        <f>IFERROR(VLOOKUP(J1513,'Mã NV'!$B:$C,2,0),"")</f>
        <v>XE00777</v>
      </c>
      <c r="Q1513" s="70" t="str">
        <f>IFERROR(VLOOKUP(I1513,'Mã NV'!$J:$K,2,0),"")</f>
        <v>6.5T</v>
      </c>
      <c r="S1513" s="44">
        <f t="shared" si="96"/>
        <v>231375</v>
      </c>
    </row>
    <row r="1514" customHeight="1" spans="1:19">
      <c r="A1514" s="63">
        <f t="shared" si="99"/>
        <v>1508</v>
      </c>
      <c r="B1514" s="64">
        <v>46163</v>
      </c>
      <c r="C1514" s="65"/>
      <c r="D1514" s="66" t="s">
        <v>33</v>
      </c>
      <c r="E1514" s="66" t="s">
        <v>33</v>
      </c>
      <c r="F1514" s="66" t="s">
        <v>985</v>
      </c>
      <c r="G1514" s="66" t="s">
        <v>750</v>
      </c>
      <c r="H1514" s="66" t="s">
        <v>1011</v>
      </c>
      <c r="I1514" s="66" t="s">
        <v>81</v>
      </c>
      <c r="J1514" s="66" t="s">
        <v>79</v>
      </c>
      <c r="K1514" s="66" t="s">
        <v>747</v>
      </c>
      <c r="L1514" s="67">
        <v>173800</v>
      </c>
      <c r="M1514" s="67">
        <v>0</v>
      </c>
      <c r="N1514" s="68">
        <f t="shared" si="98"/>
        <v>173800</v>
      </c>
      <c r="O1514" s="69">
        <f t="shared" si="97"/>
        <v>173800</v>
      </c>
      <c r="P1514" s="42" t="str">
        <f>IFERROR(VLOOKUP(J1514,'Mã NV'!$B:$C,2,0),"")</f>
        <v>XE00777</v>
      </c>
      <c r="Q1514" s="70" t="str">
        <f>IFERROR(VLOOKUP(I1514,'Mã NV'!$J:$K,2,0),"")</f>
        <v>6.5T</v>
      </c>
      <c r="S1514" s="44">
        <f t="shared" ref="S1514:S1577" si="100">L1514*15%</f>
        <v>26070</v>
      </c>
    </row>
    <row r="1515" customHeight="1" spans="1:19">
      <c r="A1515" s="63">
        <f t="shared" si="99"/>
        <v>1509</v>
      </c>
      <c r="B1515" s="64">
        <v>46163</v>
      </c>
      <c r="C1515" s="65"/>
      <c r="D1515" s="66" t="s">
        <v>33</v>
      </c>
      <c r="E1515" s="66" t="s">
        <v>33</v>
      </c>
      <c r="F1515" s="66" t="s">
        <v>985</v>
      </c>
      <c r="G1515" s="66" t="s">
        <v>750</v>
      </c>
      <c r="H1515" s="66" t="s">
        <v>1011</v>
      </c>
      <c r="I1515" s="66" t="s">
        <v>81</v>
      </c>
      <c r="J1515" s="66" t="s">
        <v>79</v>
      </c>
      <c r="K1515" s="66" t="s">
        <v>747</v>
      </c>
      <c r="L1515" s="67">
        <v>1651100</v>
      </c>
      <c r="M1515" s="67">
        <v>0</v>
      </c>
      <c r="N1515" s="68">
        <f t="shared" si="98"/>
        <v>1651100</v>
      </c>
      <c r="O1515" s="69">
        <f t="shared" si="97"/>
        <v>1651100</v>
      </c>
      <c r="P1515" s="42" t="str">
        <f>IFERROR(VLOOKUP(J1515,'Mã NV'!$B:$C,2,0),"")</f>
        <v>XE00777</v>
      </c>
      <c r="Q1515" s="70" t="str">
        <f>IFERROR(VLOOKUP(I1515,'Mã NV'!$J:$K,2,0),"")</f>
        <v>6.5T</v>
      </c>
      <c r="S1515" s="44">
        <f t="shared" si="100"/>
        <v>247665</v>
      </c>
    </row>
    <row r="1516" customHeight="1" spans="1:19">
      <c r="A1516" s="63">
        <f t="shared" si="99"/>
        <v>1510</v>
      </c>
      <c r="B1516" s="64">
        <v>46163</v>
      </c>
      <c r="C1516" s="65"/>
      <c r="D1516" s="66" t="s">
        <v>33</v>
      </c>
      <c r="E1516" s="66" t="s">
        <v>33</v>
      </c>
      <c r="F1516" s="66" t="s">
        <v>985</v>
      </c>
      <c r="G1516" s="66" t="s">
        <v>750</v>
      </c>
      <c r="H1516" s="66" t="s">
        <v>1007</v>
      </c>
      <c r="I1516" s="66" t="s">
        <v>84</v>
      </c>
      <c r="J1516" s="66" t="s">
        <v>82</v>
      </c>
      <c r="K1516" s="66" t="s">
        <v>747</v>
      </c>
      <c r="L1516" s="67">
        <v>92550</v>
      </c>
      <c r="M1516" s="67">
        <v>0</v>
      </c>
      <c r="N1516" s="68">
        <f t="shared" si="98"/>
        <v>92550</v>
      </c>
      <c r="O1516" s="69">
        <f t="shared" si="97"/>
        <v>92550</v>
      </c>
      <c r="P1516" s="42" t="str">
        <f>IFERROR(VLOOKUP(J1516,'Mã NV'!$B:$C,2,0),"")</f>
        <v>XE00832</v>
      </c>
      <c r="Q1516" s="70" t="str">
        <f>IFERROR(VLOOKUP(I1516,'Mã NV'!$J:$K,2,0),"")</f>
        <v>6.5T</v>
      </c>
      <c r="S1516" s="44">
        <f t="shared" si="100"/>
        <v>13882.5</v>
      </c>
    </row>
    <row r="1517" customHeight="1" spans="1:19">
      <c r="A1517" s="63">
        <f t="shared" si="99"/>
        <v>1511</v>
      </c>
      <c r="B1517" s="64">
        <v>46163</v>
      </c>
      <c r="C1517" s="65"/>
      <c r="D1517" s="66" t="s">
        <v>33</v>
      </c>
      <c r="E1517" s="66" t="s">
        <v>33</v>
      </c>
      <c r="F1517" s="66" t="s">
        <v>985</v>
      </c>
      <c r="G1517" s="66" t="s">
        <v>750</v>
      </c>
      <c r="H1517" s="66" t="s">
        <v>1007</v>
      </c>
      <c r="I1517" s="66" t="s">
        <v>84</v>
      </c>
      <c r="J1517" s="66" t="s">
        <v>82</v>
      </c>
      <c r="K1517" s="66" t="s">
        <v>747</v>
      </c>
      <c r="L1517" s="67">
        <v>2036100</v>
      </c>
      <c r="M1517" s="67">
        <v>0</v>
      </c>
      <c r="N1517" s="68">
        <f t="shared" si="98"/>
        <v>2036100</v>
      </c>
      <c r="O1517" s="69">
        <f t="shared" si="97"/>
        <v>2036100</v>
      </c>
      <c r="P1517" s="42" t="str">
        <f>IFERROR(VLOOKUP(J1517,'Mã NV'!$B:$C,2,0),"")</f>
        <v>XE00832</v>
      </c>
      <c r="Q1517" s="70" t="str">
        <f>IFERROR(VLOOKUP(I1517,'Mã NV'!$J:$K,2,0),"")</f>
        <v>6.5T</v>
      </c>
      <c r="S1517" s="44">
        <f t="shared" si="100"/>
        <v>305415</v>
      </c>
    </row>
    <row r="1518" customHeight="1" spans="1:19">
      <c r="A1518" s="63">
        <f t="shared" si="99"/>
        <v>1512</v>
      </c>
      <c r="B1518" s="64">
        <v>46163</v>
      </c>
      <c r="C1518" s="65"/>
      <c r="D1518" s="66" t="s">
        <v>33</v>
      </c>
      <c r="E1518" s="66" t="s">
        <v>33</v>
      </c>
      <c r="F1518" s="66" t="s">
        <v>985</v>
      </c>
      <c r="G1518" s="66" t="s">
        <v>750</v>
      </c>
      <c r="H1518" s="66" t="s">
        <v>1039</v>
      </c>
      <c r="I1518" s="66" t="s">
        <v>197</v>
      </c>
      <c r="J1518" s="66" t="s">
        <v>195</v>
      </c>
      <c r="K1518" s="66" t="s">
        <v>747</v>
      </c>
      <c r="L1518" s="67">
        <v>604580</v>
      </c>
      <c r="M1518" s="67">
        <v>0</v>
      </c>
      <c r="N1518" s="68">
        <f t="shared" si="98"/>
        <v>604580</v>
      </c>
      <c r="O1518" s="69">
        <f t="shared" si="97"/>
        <v>604580</v>
      </c>
      <c r="P1518" s="42" t="str">
        <f>IFERROR(VLOOKUP(J1518,'Mã NV'!$B:$C,2,0),"")</f>
        <v>XE00449</v>
      </c>
      <c r="Q1518" s="70" t="str">
        <f>IFERROR(VLOOKUP(I1518,'Mã NV'!$J:$K,2,0),"")</f>
        <v>8T</v>
      </c>
      <c r="S1518" s="44">
        <f t="shared" si="100"/>
        <v>90687</v>
      </c>
    </row>
    <row r="1519" customHeight="1" spans="1:19">
      <c r="A1519" s="63">
        <f t="shared" si="99"/>
        <v>1513</v>
      </c>
      <c r="B1519" s="64">
        <v>46163</v>
      </c>
      <c r="C1519" s="65"/>
      <c r="D1519" s="66" t="s">
        <v>33</v>
      </c>
      <c r="E1519" s="66" t="s">
        <v>33</v>
      </c>
      <c r="F1519" s="66" t="s">
        <v>985</v>
      </c>
      <c r="G1519" s="66" t="s">
        <v>750</v>
      </c>
      <c r="H1519" s="66" t="s">
        <v>1032</v>
      </c>
      <c r="I1519" s="66" t="s">
        <v>197</v>
      </c>
      <c r="J1519" s="66" t="s">
        <v>195</v>
      </c>
      <c r="K1519" s="66" t="s">
        <v>747</v>
      </c>
      <c r="L1519" s="67">
        <v>843230</v>
      </c>
      <c r="M1519" s="67">
        <v>0</v>
      </c>
      <c r="N1519" s="68">
        <f t="shared" si="98"/>
        <v>843230</v>
      </c>
      <c r="O1519" s="69">
        <f t="shared" si="97"/>
        <v>843230</v>
      </c>
      <c r="P1519" s="42" t="str">
        <f>IFERROR(VLOOKUP(J1519,'Mã NV'!$B:$C,2,0),"")</f>
        <v>XE00449</v>
      </c>
      <c r="Q1519" s="70" t="str">
        <f>IFERROR(VLOOKUP(I1519,'Mã NV'!$J:$K,2,0),"")</f>
        <v>8T</v>
      </c>
      <c r="S1519" s="44">
        <f t="shared" si="100"/>
        <v>126484.5</v>
      </c>
    </row>
    <row r="1520" customHeight="1" spans="1:19">
      <c r="A1520" s="63">
        <f t="shared" si="99"/>
        <v>1514</v>
      </c>
      <c r="B1520" s="64">
        <v>46163</v>
      </c>
      <c r="C1520" s="65"/>
      <c r="D1520" s="66" t="s">
        <v>33</v>
      </c>
      <c r="E1520" s="66" t="s">
        <v>33</v>
      </c>
      <c r="F1520" s="66" t="s">
        <v>985</v>
      </c>
      <c r="G1520" s="66" t="s">
        <v>750</v>
      </c>
      <c r="H1520" s="66" t="s">
        <v>1032</v>
      </c>
      <c r="I1520" s="66" t="s">
        <v>197</v>
      </c>
      <c r="J1520" s="66" t="s">
        <v>195</v>
      </c>
      <c r="K1520" s="66" t="s">
        <v>747</v>
      </c>
      <c r="L1520" s="67">
        <v>3659300</v>
      </c>
      <c r="M1520" s="67">
        <v>0</v>
      </c>
      <c r="N1520" s="68">
        <f t="shared" si="98"/>
        <v>3659300</v>
      </c>
      <c r="O1520" s="69">
        <f t="shared" si="97"/>
        <v>3659300</v>
      </c>
      <c r="P1520" s="42" t="str">
        <f>IFERROR(VLOOKUP(J1520,'Mã NV'!$B:$C,2,0),"")</f>
        <v>XE00449</v>
      </c>
      <c r="Q1520" s="70" t="str">
        <f>IFERROR(VLOOKUP(I1520,'Mã NV'!$J:$K,2,0),"")</f>
        <v>8T</v>
      </c>
      <c r="S1520" s="44">
        <f t="shared" si="100"/>
        <v>548895</v>
      </c>
    </row>
    <row r="1521" customHeight="1" spans="1:19">
      <c r="A1521" s="63">
        <f t="shared" si="99"/>
        <v>1515</v>
      </c>
      <c r="B1521" s="64">
        <v>46163</v>
      </c>
      <c r="C1521" s="65"/>
      <c r="D1521" s="66" t="s">
        <v>33</v>
      </c>
      <c r="E1521" s="66" t="s">
        <v>33</v>
      </c>
      <c r="F1521" s="66" t="s">
        <v>985</v>
      </c>
      <c r="G1521" s="66" t="s">
        <v>750</v>
      </c>
      <c r="H1521" s="66" t="s">
        <v>1042</v>
      </c>
      <c r="I1521" s="66" t="s">
        <v>191</v>
      </c>
      <c r="J1521" s="66" t="s">
        <v>189</v>
      </c>
      <c r="K1521" s="66" t="s">
        <v>747</v>
      </c>
      <c r="L1521" s="67">
        <v>240840</v>
      </c>
      <c r="M1521" s="67">
        <v>0</v>
      </c>
      <c r="N1521" s="68">
        <f t="shared" si="98"/>
        <v>240840</v>
      </c>
      <c r="O1521" s="69">
        <f t="shared" ref="O1521:O1584" si="101">N1521/$P$1</f>
        <v>240840</v>
      </c>
      <c r="P1521" s="42" t="str">
        <f>IFERROR(VLOOKUP(J1521,'Mã NV'!$B:$C,2,0),"")</f>
        <v>XE00891</v>
      </c>
      <c r="Q1521" s="70" t="str">
        <f>IFERROR(VLOOKUP(I1521,'Mã NV'!$J:$K,2,0),"")</f>
        <v>8T</v>
      </c>
      <c r="S1521" s="44">
        <f t="shared" si="100"/>
        <v>36126</v>
      </c>
    </row>
    <row r="1522" customHeight="1" spans="1:19">
      <c r="A1522" s="63">
        <f t="shared" si="99"/>
        <v>1516</v>
      </c>
      <c r="B1522" s="64">
        <v>46163</v>
      </c>
      <c r="C1522" s="65"/>
      <c r="D1522" s="66" t="s">
        <v>33</v>
      </c>
      <c r="E1522" s="66" t="s">
        <v>33</v>
      </c>
      <c r="F1522" s="66" t="s">
        <v>985</v>
      </c>
      <c r="G1522" s="66" t="s">
        <v>750</v>
      </c>
      <c r="H1522" s="66" t="s">
        <v>1042</v>
      </c>
      <c r="I1522" s="66" t="s">
        <v>191</v>
      </c>
      <c r="J1522" s="66" t="s">
        <v>189</v>
      </c>
      <c r="K1522" s="66" t="s">
        <v>747</v>
      </c>
      <c r="L1522" s="67">
        <v>1756125</v>
      </c>
      <c r="M1522" s="67">
        <v>0</v>
      </c>
      <c r="N1522" s="68">
        <f t="shared" ref="N1522:N1585" si="102">L1522-M1522</f>
        <v>1756125</v>
      </c>
      <c r="O1522" s="69">
        <f t="shared" si="101"/>
        <v>1756125</v>
      </c>
      <c r="P1522" s="42" t="str">
        <f>IFERROR(VLOOKUP(J1522,'Mã NV'!$B:$C,2,0),"")</f>
        <v>XE00891</v>
      </c>
      <c r="Q1522" s="70" t="str">
        <f>IFERROR(VLOOKUP(I1522,'Mã NV'!$J:$K,2,0),"")</f>
        <v>8T</v>
      </c>
      <c r="S1522" s="44">
        <f t="shared" si="100"/>
        <v>263418.75</v>
      </c>
    </row>
    <row r="1523" customHeight="1" spans="1:19">
      <c r="A1523" s="63">
        <f t="shared" si="99"/>
        <v>1517</v>
      </c>
      <c r="B1523" s="64">
        <v>46163</v>
      </c>
      <c r="C1523" s="65"/>
      <c r="D1523" s="66" t="s">
        <v>33</v>
      </c>
      <c r="E1523" s="66" t="s">
        <v>33</v>
      </c>
      <c r="F1523" s="66" t="s">
        <v>985</v>
      </c>
      <c r="G1523" s="66" t="s">
        <v>750</v>
      </c>
      <c r="H1523" s="66" t="s">
        <v>1043</v>
      </c>
      <c r="I1523" s="66" t="s">
        <v>191</v>
      </c>
      <c r="J1523" s="66" t="s">
        <v>189</v>
      </c>
      <c r="K1523" s="66" t="s">
        <v>747</v>
      </c>
      <c r="L1523" s="67">
        <v>1756125</v>
      </c>
      <c r="M1523" s="67">
        <v>0</v>
      </c>
      <c r="N1523" s="68">
        <f t="shared" si="102"/>
        <v>1756125</v>
      </c>
      <c r="O1523" s="69">
        <f t="shared" si="101"/>
        <v>1756125</v>
      </c>
      <c r="P1523" s="42" t="str">
        <f>IFERROR(VLOOKUP(J1523,'Mã NV'!$B:$C,2,0),"")</f>
        <v>XE00891</v>
      </c>
      <c r="Q1523" s="70" t="str">
        <f>IFERROR(VLOOKUP(I1523,'Mã NV'!$J:$K,2,0),"")</f>
        <v>8T</v>
      </c>
      <c r="S1523" s="44">
        <f t="shared" si="100"/>
        <v>263418.75</v>
      </c>
    </row>
    <row r="1524" customHeight="1" spans="1:19">
      <c r="A1524" s="63">
        <f t="shared" si="99"/>
        <v>1518</v>
      </c>
      <c r="B1524" s="64">
        <v>46163</v>
      </c>
      <c r="C1524" s="65"/>
      <c r="D1524" s="66" t="s">
        <v>33</v>
      </c>
      <c r="E1524" s="66" t="s">
        <v>33</v>
      </c>
      <c r="F1524" s="66" t="s">
        <v>985</v>
      </c>
      <c r="G1524" s="66" t="s">
        <v>750</v>
      </c>
      <c r="H1524" s="66" t="s">
        <v>1026</v>
      </c>
      <c r="I1524" s="66" t="s">
        <v>191</v>
      </c>
      <c r="J1524" s="66" t="s">
        <v>189</v>
      </c>
      <c r="K1524" s="66" t="s">
        <v>747</v>
      </c>
      <c r="L1524" s="67">
        <v>4409475</v>
      </c>
      <c r="M1524" s="67">
        <v>0</v>
      </c>
      <c r="N1524" s="68">
        <f t="shared" si="102"/>
        <v>4409475</v>
      </c>
      <c r="O1524" s="69">
        <f t="shared" si="101"/>
        <v>4409475</v>
      </c>
      <c r="P1524" s="42" t="str">
        <f>IFERROR(VLOOKUP(J1524,'Mã NV'!$B:$C,2,0),"")</f>
        <v>XE00891</v>
      </c>
      <c r="Q1524" s="70" t="str">
        <f>IFERROR(VLOOKUP(I1524,'Mã NV'!$J:$K,2,0),"")</f>
        <v>8T</v>
      </c>
      <c r="S1524" s="44">
        <f t="shared" si="100"/>
        <v>661421.25</v>
      </c>
    </row>
    <row r="1525" customHeight="1" spans="1:19">
      <c r="A1525" s="63">
        <f t="shared" si="99"/>
        <v>1519</v>
      </c>
      <c r="B1525" s="64">
        <v>46163</v>
      </c>
      <c r="C1525" s="65"/>
      <c r="D1525" s="66" t="s">
        <v>33</v>
      </c>
      <c r="E1525" s="66" t="s">
        <v>33</v>
      </c>
      <c r="F1525" s="66" t="s">
        <v>985</v>
      </c>
      <c r="G1525" s="66" t="s">
        <v>750</v>
      </c>
      <c r="H1525" s="66" t="s">
        <v>1003</v>
      </c>
      <c r="I1525" s="66" t="s">
        <v>84</v>
      </c>
      <c r="J1525" s="66" t="s">
        <v>82</v>
      </c>
      <c r="K1525" s="66" t="s">
        <v>747</v>
      </c>
      <c r="L1525" s="67">
        <v>565440</v>
      </c>
      <c r="M1525" s="67">
        <v>0</v>
      </c>
      <c r="N1525" s="68">
        <f t="shared" si="102"/>
        <v>565440</v>
      </c>
      <c r="O1525" s="69">
        <f t="shared" si="101"/>
        <v>565440</v>
      </c>
      <c r="P1525" s="42" t="str">
        <f>IFERROR(VLOOKUP(J1525,'Mã NV'!$B:$C,2,0),"")</f>
        <v>XE00832</v>
      </c>
      <c r="Q1525" s="70" t="str">
        <f>IFERROR(VLOOKUP(I1525,'Mã NV'!$J:$K,2,0),"")</f>
        <v>6.5T</v>
      </c>
      <c r="S1525" s="44">
        <f t="shared" si="100"/>
        <v>84816</v>
      </c>
    </row>
    <row r="1526" customHeight="1" spans="1:19">
      <c r="A1526" s="63">
        <f t="shared" si="99"/>
        <v>1520</v>
      </c>
      <c r="B1526" s="64">
        <v>46167</v>
      </c>
      <c r="C1526" s="65"/>
      <c r="D1526" s="66" t="s">
        <v>33</v>
      </c>
      <c r="E1526" s="66" t="s">
        <v>33</v>
      </c>
      <c r="F1526" s="66" t="s">
        <v>985</v>
      </c>
      <c r="G1526" s="66" t="s">
        <v>750</v>
      </c>
      <c r="H1526" s="66" t="s">
        <v>1008</v>
      </c>
      <c r="I1526" s="66" t="s">
        <v>134</v>
      </c>
      <c r="J1526" s="66" t="s">
        <v>359</v>
      </c>
      <c r="K1526" s="66" t="s">
        <v>747</v>
      </c>
      <c r="L1526" s="67">
        <v>20631</v>
      </c>
      <c r="M1526" s="67">
        <v>0</v>
      </c>
      <c r="N1526" s="68">
        <f t="shared" si="102"/>
        <v>20631</v>
      </c>
      <c r="O1526" s="69">
        <f t="shared" si="101"/>
        <v>20631</v>
      </c>
      <c r="P1526" s="42" t="str">
        <f>IFERROR(VLOOKUP(J1526,'Mã NV'!$B:$C,2,0),"")</f>
        <v>XE01639</v>
      </c>
      <c r="Q1526" s="70" t="str">
        <f>IFERROR(VLOOKUP(I1526,'Mã NV'!$J:$K,2,0),"")</f>
        <v>2.5T Lạnh</v>
      </c>
      <c r="S1526" s="44">
        <f t="shared" si="100"/>
        <v>3094.65</v>
      </c>
    </row>
    <row r="1527" customHeight="1" spans="1:19">
      <c r="A1527" s="63">
        <f t="shared" si="99"/>
        <v>1521</v>
      </c>
      <c r="B1527" s="64">
        <v>46167</v>
      </c>
      <c r="C1527" s="65"/>
      <c r="D1527" s="66" t="s">
        <v>33</v>
      </c>
      <c r="E1527" s="66" t="s">
        <v>33</v>
      </c>
      <c r="F1527" s="66" t="s">
        <v>985</v>
      </c>
      <c r="G1527" s="66" t="s">
        <v>750</v>
      </c>
      <c r="H1527" s="66" t="s">
        <v>1008</v>
      </c>
      <c r="I1527" s="66" t="s">
        <v>165</v>
      </c>
      <c r="J1527" s="66" t="s">
        <v>162</v>
      </c>
      <c r="K1527" s="66" t="s">
        <v>747</v>
      </c>
      <c r="L1527" s="67">
        <v>1435200</v>
      </c>
      <c r="M1527" s="67">
        <v>0</v>
      </c>
      <c r="N1527" s="68">
        <f t="shared" si="102"/>
        <v>1435200</v>
      </c>
      <c r="O1527" s="69">
        <f t="shared" si="101"/>
        <v>1435200</v>
      </c>
      <c r="P1527" s="42" t="str">
        <f>IFERROR(VLOOKUP(J1527,'Mã NV'!$B:$C,2,0),"")</f>
        <v>XE00779</v>
      </c>
      <c r="Q1527" s="70" t="str">
        <f>IFERROR(VLOOKUP(I1527,'Mã NV'!$J:$K,2,0),"")</f>
        <v>15T</v>
      </c>
      <c r="S1527" s="44">
        <f t="shared" si="100"/>
        <v>215280</v>
      </c>
    </row>
    <row r="1528" customHeight="1" spans="1:19">
      <c r="A1528" s="63">
        <f t="shared" si="99"/>
        <v>1522</v>
      </c>
      <c r="B1528" s="64">
        <v>46167</v>
      </c>
      <c r="C1528" s="65"/>
      <c r="D1528" s="66" t="s">
        <v>33</v>
      </c>
      <c r="E1528" s="66" t="s">
        <v>33</v>
      </c>
      <c r="F1528" s="66" t="s">
        <v>985</v>
      </c>
      <c r="G1528" s="66" t="s">
        <v>750</v>
      </c>
      <c r="H1528" s="66" t="s">
        <v>1009</v>
      </c>
      <c r="I1528" s="66" t="s">
        <v>165</v>
      </c>
      <c r="J1528" s="66" t="s">
        <v>162</v>
      </c>
      <c r="K1528" s="66" t="s">
        <v>747</v>
      </c>
      <c r="L1528" s="67">
        <v>370461</v>
      </c>
      <c r="M1528" s="67">
        <v>0</v>
      </c>
      <c r="N1528" s="68">
        <f t="shared" si="102"/>
        <v>370461</v>
      </c>
      <c r="O1528" s="69">
        <f t="shared" si="101"/>
        <v>370461</v>
      </c>
      <c r="P1528" s="42" t="str">
        <f>IFERROR(VLOOKUP(J1528,'Mã NV'!$B:$C,2,0),"")</f>
        <v>XE00779</v>
      </c>
      <c r="Q1528" s="70" t="str">
        <f>IFERROR(VLOOKUP(I1528,'Mã NV'!$J:$K,2,0),"")</f>
        <v>15T</v>
      </c>
      <c r="S1528" s="44">
        <f t="shared" si="100"/>
        <v>55569.15</v>
      </c>
    </row>
    <row r="1529" customHeight="1" spans="1:19">
      <c r="A1529" s="63">
        <f t="shared" si="99"/>
        <v>1523</v>
      </c>
      <c r="B1529" s="64">
        <v>46167</v>
      </c>
      <c r="C1529" s="65"/>
      <c r="D1529" s="66" t="s">
        <v>33</v>
      </c>
      <c r="E1529" s="66" t="s">
        <v>33</v>
      </c>
      <c r="F1529" s="66" t="s">
        <v>985</v>
      </c>
      <c r="G1529" s="66" t="s">
        <v>750</v>
      </c>
      <c r="H1529" s="66" t="s">
        <v>1033</v>
      </c>
      <c r="I1529" s="66" t="s">
        <v>165</v>
      </c>
      <c r="J1529" s="66" t="s">
        <v>162</v>
      </c>
      <c r="K1529" s="66" t="s">
        <v>747</v>
      </c>
      <c r="L1529" s="67">
        <v>68145</v>
      </c>
      <c r="M1529" s="67">
        <v>0</v>
      </c>
      <c r="N1529" s="68">
        <f t="shared" si="102"/>
        <v>68145</v>
      </c>
      <c r="O1529" s="69">
        <f t="shared" si="101"/>
        <v>68145</v>
      </c>
      <c r="P1529" s="42" t="str">
        <f>IFERROR(VLOOKUP(J1529,'Mã NV'!$B:$C,2,0),"")</f>
        <v>XE00779</v>
      </c>
      <c r="Q1529" s="70" t="str">
        <f>IFERROR(VLOOKUP(I1529,'Mã NV'!$J:$K,2,0),"")</f>
        <v>15T</v>
      </c>
      <c r="S1529" s="44">
        <f t="shared" si="100"/>
        <v>10221.75</v>
      </c>
    </row>
    <row r="1530" customHeight="1" spans="1:19">
      <c r="A1530" s="63">
        <f t="shared" si="99"/>
        <v>1524</v>
      </c>
      <c r="B1530" s="64">
        <v>46167</v>
      </c>
      <c r="C1530" s="65"/>
      <c r="D1530" s="66" t="s">
        <v>33</v>
      </c>
      <c r="E1530" s="66" t="s">
        <v>33</v>
      </c>
      <c r="F1530" s="66" t="s">
        <v>985</v>
      </c>
      <c r="G1530" s="66" t="s">
        <v>750</v>
      </c>
      <c r="H1530" s="66" t="s">
        <v>1033</v>
      </c>
      <c r="I1530" s="66" t="s">
        <v>165</v>
      </c>
      <c r="J1530" s="66" t="s">
        <v>162</v>
      </c>
      <c r="K1530" s="66" t="s">
        <v>747</v>
      </c>
      <c r="L1530" s="67">
        <v>2239050</v>
      </c>
      <c r="M1530" s="67">
        <v>0</v>
      </c>
      <c r="N1530" s="68">
        <f t="shared" si="102"/>
        <v>2239050</v>
      </c>
      <c r="O1530" s="69">
        <f t="shared" si="101"/>
        <v>2239050</v>
      </c>
      <c r="P1530" s="42" t="str">
        <f>IFERROR(VLOOKUP(J1530,'Mã NV'!$B:$C,2,0),"")</f>
        <v>XE00779</v>
      </c>
      <c r="Q1530" s="70" t="str">
        <f>IFERROR(VLOOKUP(I1530,'Mã NV'!$J:$K,2,0),"")</f>
        <v>15T</v>
      </c>
      <c r="S1530" s="44">
        <f t="shared" si="100"/>
        <v>335857.5</v>
      </c>
    </row>
    <row r="1531" customHeight="1" spans="1:19">
      <c r="A1531" s="63">
        <f t="shared" si="99"/>
        <v>1525</v>
      </c>
      <c r="B1531" s="64">
        <v>46167</v>
      </c>
      <c r="C1531" s="65"/>
      <c r="D1531" s="66" t="s">
        <v>33</v>
      </c>
      <c r="E1531" s="66" t="s">
        <v>33</v>
      </c>
      <c r="F1531" s="66" t="s">
        <v>985</v>
      </c>
      <c r="G1531" s="66" t="s">
        <v>750</v>
      </c>
      <c r="H1531" s="66" t="s">
        <v>1023</v>
      </c>
      <c r="I1531" s="66" t="s">
        <v>136</v>
      </c>
      <c r="J1531" s="66" t="s">
        <v>361</v>
      </c>
      <c r="K1531" s="66" t="s">
        <v>747</v>
      </c>
      <c r="L1531" s="67">
        <v>114762</v>
      </c>
      <c r="M1531" s="67">
        <v>0</v>
      </c>
      <c r="N1531" s="68">
        <f t="shared" si="102"/>
        <v>114762</v>
      </c>
      <c r="O1531" s="69">
        <f t="shared" si="101"/>
        <v>114762</v>
      </c>
      <c r="P1531" s="42" t="str">
        <f>IFERROR(VLOOKUP(J1531,'Mã NV'!$B:$C,2,0),"")</f>
        <v>XE01641</v>
      </c>
      <c r="Q1531" s="70" t="str">
        <f>IFERROR(VLOOKUP(I1531,'Mã NV'!$J:$K,2,0),"")</f>
        <v>6.5T</v>
      </c>
      <c r="S1531" s="44">
        <f t="shared" si="100"/>
        <v>17214.3</v>
      </c>
    </row>
    <row r="1532" customHeight="1" spans="1:19">
      <c r="A1532" s="63">
        <f t="shared" si="99"/>
        <v>1526</v>
      </c>
      <c r="B1532" s="64">
        <v>46167</v>
      </c>
      <c r="C1532" s="65"/>
      <c r="D1532" s="66" t="s">
        <v>33</v>
      </c>
      <c r="E1532" s="66" t="s">
        <v>33</v>
      </c>
      <c r="F1532" s="66" t="s">
        <v>985</v>
      </c>
      <c r="G1532" s="66" t="s">
        <v>750</v>
      </c>
      <c r="H1532" s="66" t="s">
        <v>1023</v>
      </c>
      <c r="I1532" s="66" t="s">
        <v>136</v>
      </c>
      <c r="J1532" s="66" t="s">
        <v>361</v>
      </c>
      <c r="K1532" s="66" t="s">
        <v>747</v>
      </c>
      <c r="L1532" s="67">
        <v>1604200</v>
      </c>
      <c r="M1532" s="67">
        <v>0</v>
      </c>
      <c r="N1532" s="68">
        <f t="shared" si="102"/>
        <v>1604200</v>
      </c>
      <c r="O1532" s="69">
        <f t="shared" si="101"/>
        <v>1604200</v>
      </c>
      <c r="P1532" s="42" t="str">
        <f>IFERROR(VLOOKUP(J1532,'Mã NV'!$B:$C,2,0),"")</f>
        <v>XE01641</v>
      </c>
      <c r="Q1532" s="70" t="str">
        <f>IFERROR(VLOOKUP(I1532,'Mã NV'!$J:$K,2,0),"")</f>
        <v>6.5T</v>
      </c>
      <c r="S1532" s="44">
        <f t="shared" si="100"/>
        <v>240630</v>
      </c>
    </row>
    <row r="1533" customHeight="1" spans="1:19">
      <c r="A1533" s="63">
        <f t="shared" si="99"/>
        <v>1527</v>
      </c>
      <c r="B1533" s="64">
        <v>46167</v>
      </c>
      <c r="C1533" s="65"/>
      <c r="D1533" s="66" t="s">
        <v>33</v>
      </c>
      <c r="E1533" s="66" t="s">
        <v>33</v>
      </c>
      <c r="F1533" s="66" t="s">
        <v>985</v>
      </c>
      <c r="G1533" s="66" t="s">
        <v>750</v>
      </c>
      <c r="H1533" s="66" t="s">
        <v>1011</v>
      </c>
      <c r="I1533" s="66" t="s">
        <v>136</v>
      </c>
      <c r="J1533" s="66" t="s">
        <v>361</v>
      </c>
      <c r="K1533" s="66" t="s">
        <v>747</v>
      </c>
      <c r="L1533" s="67">
        <v>104280</v>
      </c>
      <c r="M1533" s="67">
        <v>0</v>
      </c>
      <c r="N1533" s="68">
        <f t="shared" si="102"/>
        <v>104280</v>
      </c>
      <c r="O1533" s="69">
        <f t="shared" si="101"/>
        <v>104280</v>
      </c>
      <c r="P1533" s="42" t="str">
        <f>IFERROR(VLOOKUP(J1533,'Mã NV'!$B:$C,2,0),"")</f>
        <v>XE01641</v>
      </c>
      <c r="Q1533" s="70" t="str">
        <f>IFERROR(VLOOKUP(I1533,'Mã NV'!$J:$K,2,0),"")</f>
        <v>6.5T</v>
      </c>
      <c r="S1533" s="44">
        <f t="shared" si="100"/>
        <v>15642</v>
      </c>
    </row>
    <row r="1534" customHeight="1" spans="1:19">
      <c r="A1534" s="63">
        <f t="shared" si="99"/>
        <v>1528</v>
      </c>
      <c r="B1534" s="64">
        <v>46167</v>
      </c>
      <c r="C1534" s="65"/>
      <c r="D1534" s="66" t="s">
        <v>33</v>
      </c>
      <c r="E1534" s="66" t="s">
        <v>33</v>
      </c>
      <c r="F1534" s="66" t="s">
        <v>985</v>
      </c>
      <c r="G1534" s="66" t="s">
        <v>750</v>
      </c>
      <c r="H1534" s="66" t="s">
        <v>1011</v>
      </c>
      <c r="I1534" s="66" t="s">
        <v>136</v>
      </c>
      <c r="J1534" s="66" t="s">
        <v>361</v>
      </c>
      <c r="K1534" s="66" t="s">
        <v>747</v>
      </c>
      <c r="L1534" s="67">
        <v>608300</v>
      </c>
      <c r="M1534" s="67">
        <v>0</v>
      </c>
      <c r="N1534" s="68">
        <f t="shared" si="102"/>
        <v>608300</v>
      </c>
      <c r="O1534" s="69">
        <f t="shared" si="101"/>
        <v>608300</v>
      </c>
      <c r="P1534" s="42" t="str">
        <f>IFERROR(VLOOKUP(J1534,'Mã NV'!$B:$C,2,0),"")</f>
        <v>XE01641</v>
      </c>
      <c r="Q1534" s="70" t="str">
        <f>IFERROR(VLOOKUP(I1534,'Mã NV'!$J:$K,2,0),"")</f>
        <v>6.5T</v>
      </c>
      <c r="S1534" s="44">
        <f t="shared" si="100"/>
        <v>91245</v>
      </c>
    </row>
    <row r="1535" customHeight="1" spans="1:19">
      <c r="A1535" s="63">
        <f t="shared" si="99"/>
        <v>1529</v>
      </c>
      <c r="B1535" s="64">
        <v>46167</v>
      </c>
      <c r="C1535" s="65"/>
      <c r="D1535" s="66" t="s">
        <v>33</v>
      </c>
      <c r="E1535" s="66" t="s">
        <v>33</v>
      </c>
      <c r="F1535" s="66" t="s">
        <v>985</v>
      </c>
      <c r="G1535" s="66" t="s">
        <v>750</v>
      </c>
      <c r="H1535" s="66" t="s">
        <v>1011</v>
      </c>
      <c r="I1535" s="66" t="s">
        <v>136</v>
      </c>
      <c r="J1535" s="66" t="s">
        <v>361</v>
      </c>
      <c r="K1535" s="66" t="s">
        <v>747</v>
      </c>
      <c r="L1535" s="67">
        <v>95590</v>
      </c>
      <c r="M1535" s="67">
        <v>0</v>
      </c>
      <c r="N1535" s="68">
        <f t="shared" si="102"/>
        <v>95590</v>
      </c>
      <c r="O1535" s="69">
        <f t="shared" si="101"/>
        <v>95590</v>
      </c>
      <c r="P1535" s="42" t="str">
        <f>IFERROR(VLOOKUP(J1535,'Mã NV'!$B:$C,2,0),"")</f>
        <v>XE01641</v>
      </c>
      <c r="Q1535" s="70" t="str">
        <f>IFERROR(VLOOKUP(I1535,'Mã NV'!$J:$K,2,0),"")</f>
        <v>6.5T</v>
      </c>
      <c r="S1535" s="44">
        <f t="shared" si="100"/>
        <v>14338.5</v>
      </c>
    </row>
    <row r="1536" customHeight="1" spans="1:19">
      <c r="A1536" s="63">
        <f t="shared" si="99"/>
        <v>1530</v>
      </c>
      <c r="B1536" s="64">
        <v>46167</v>
      </c>
      <c r="C1536" s="65"/>
      <c r="D1536" s="66" t="s">
        <v>33</v>
      </c>
      <c r="E1536" s="66" t="s">
        <v>33</v>
      </c>
      <c r="F1536" s="66" t="s">
        <v>985</v>
      </c>
      <c r="G1536" s="66" t="s">
        <v>750</v>
      </c>
      <c r="H1536" s="66" t="s">
        <v>1011</v>
      </c>
      <c r="I1536" s="66" t="s">
        <v>136</v>
      </c>
      <c r="J1536" s="66" t="s">
        <v>361</v>
      </c>
      <c r="K1536" s="66" t="s">
        <v>747</v>
      </c>
      <c r="L1536" s="67">
        <v>1390400</v>
      </c>
      <c r="M1536" s="67">
        <v>0</v>
      </c>
      <c r="N1536" s="68">
        <f t="shared" si="102"/>
        <v>1390400</v>
      </c>
      <c r="O1536" s="69">
        <f t="shared" si="101"/>
        <v>1390400</v>
      </c>
      <c r="P1536" s="42" t="str">
        <f>IFERROR(VLOOKUP(J1536,'Mã NV'!$B:$C,2,0),"")</f>
        <v>XE01641</v>
      </c>
      <c r="Q1536" s="70" t="str">
        <f>IFERROR(VLOOKUP(I1536,'Mã NV'!$J:$K,2,0),"")</f>
        <v>6.5T</v>
      </c>
      <c r="S1536" s="44">
        <f t="shared" si="100"/>
        <v>208560</v>
      </c>
    </row>
    <row r="1537" customHeight="1" spans="1:19">
      <c r="A1537" s="63">
        <f t="shared" si="99"/>
        <v>1531</v>
      </c>
      <c r="B1537" s="64">
        <v>46167</v>
      </c>
      <c r="C1537" s="65"/>
      <c r="D1537" s="66" t="s">
        <v>33</v>
      </c>
      <c r="E1537" s="66" t="s">
        <v>33</v>
      </c>
      <c r="F1537" s="66" t="s">
        <v>985</v>
      </c>
      <c r="G1537" s="66" t="s">
        <v>750</v>
      </c>
      <c r="H1537" s="66" t="s">
        <v>1021</v>
      </c>
      <c r="I1537" s="66" t="s">
        <v>130</v>
      </c>
      <c r="J1537" s="66" t="s">
        <v>131</v>
      </c>
      <c r="K1537" s="66" t="s">
        <v>747</v>
      </c>
      <c r="L1537" s="67">
        <v>64790</v>
      </c>
      <c r="M1537" s="67">
        <v>0</v>
      </c>
      <c r="N1537" s="68">
        <f t="shared" si="102"/>
        <v>64790</v>
      </c>
      <c r="O1537" s="69">
        <f t="shared" si="101"/>
        <v>64790</v>
      </c>
      <c r="P1537" s="42" t="str">
        <f>IFERROR(VLOOKUP(J1537,'Mã NV'!$B:$C,2,0),"")</f>
        <v>XE00847</v>
      </c>
      <c r="Q1537" s="70" t="str">
        <f>IFERROR(VLOOKUP(I1537,'Mã NV'!$J:$K,2,0),"")</f>
        <v>8T</v>
      </c>
      <c r="S1537" s="44">
        <f t="shared" si="100"/>
        <v>9718.5</v>
      </c>
    </row>
    <row r="1538" customHeight="1" spans="1:19">
      <c r="A1538" s="63">
        <f t="shared" si="99"/>
        <v>1532</v>
      </c>
      <c r="B1538" s="64">
        <v>46167</v>
      </c>
      <c r="C1538" s="65"/>
      <c r="D1538" s="66" t="s">
        <v>33</v>
      </c>
      <c r="E1538" s="66" t="s">
        <v>33</v>
      </c>
      <c r="F1538" s="66" t="s">
        <v>985</v>
      </c>
      <c r="G1538" s="66" t="s">
        <v>750</v>
      </c>
      <c r="H1538" s="66" t="s">
        <v>1021</v>
      </c>
      <c r="I1538" s="66" t="s">
        <v>130</v>
      </c>
      <c r="J1538" s="66" t="s">
        <v>131</v>
      </c>
      <c r="K1538" s="66" t="s">
        <v>747</v>
      </c>
      <c r="L1538" s="67">
        <v>353400</v>
      </c>
      <c r="M1538" s="67">
        <v>0</v>
      </c>
      <c r="N1538" s="68">
        <f t="shared" si="102"/>
        <v>353400</v>
      </c>
      <c r="O1538" s="69">
        <f t="shared" si="101"/>
        <v>353400</v>
      </c>
      <c r="P1538" s="42" t="str">
        <f>IFERROR(VLOOKUP(J1538,'Mã NV'!$B:$C,2,0),"")</f>
        <v>XE00847</v>
      </c>
      <c r="Q1538" s="70" t="str">
        <f>IFERROR(VLOOKUP(I1538,'Mã NV'!$J:$K,2,0),"")</f>
        <v>8T</v>
      </c>
      <c r="S1538" s="44">
        <f t="shared" si="100"/>
        <v>53010</v>
      </c>
    </row>
    <row r="1539" customHeight="1" spans="1:19">
      <c r="A1539" s="63">
        <f t="shared" si="99"/>
        <v>1533</v>
      </c>
      <c r="B1539" s="64">
        <v>46167</v>
      </c>
      <c r="C1539" s="65"/>
      <c r="D1539" s="66" t="s">
        <v>33</v>
      </c>
      <c r="E1539" s="66" t="s">
        <v>33</v>
      </c>
      <c r="F1539" s="66" t="s">
        <v>985</v>
      </c>
      <c r="G1539" s="66" t="s">
        <v>750</v>
      </c>
      <c r="H1539" s="66" t="s">
        <v>1006</v>
      </c>
      <c r="I1539" s="66" t="s">
        <v>130</v>
      </c>
      <c r="J1539" s="66" t="s">
        <v>131</v>
      </c>
      <c r="K1539" s="66" t="s">
        <v>747</v>
      </c>
      <c r="L1539" s="67">
        <v>832500</v>
      </c>
      <c r="M1539" s="67">
        <v>0</v>
      </c>
      <c r="N1539" s="68">
        <f t="shared" si="102"/>
        <v>832500</v>
      </c>
      <c r="O1539" s="69">
        <f t="shared" si="101"/>
        <v>832500</v>
      </c>
      <c r="P1539" s="42" t="str">
        <f>IFERROR(VLOOKUP(J1539,'Mã NV'!$B:$C,2,0),"")</f>
        <v>XE00847</v>
      </c>
      <c r="Q1539" s="70" t="str">
        <f>IFERROR(VLOOKUP(I1539,'Mã NV'!$J:$K,2,0),"")</f>
        <v>8T</v>
      </c>
      <c r="S1539" s="44">
        <f t="shared" si="100"/>
        <v>124875</v>
      </c>
    </row>
    <row r="1540" customHeight="1" spans="1:19">
      <c r="A1540" s="63">
        <f t="shared" si="99"/>
        <v>1534</v>
      </c>
      <c r="B1540" s="64">
        <v>46167</v>
      </c>
      <c r="C1540" s="65"/>
      <c r="D1540" s="66" t="s">
        <v>33</v>
      </c>
      <c r="E1540" s="66" t="s">
        <v>33</v>
      </c>
      <c r="F1540" s="66" t="s">
        <v>985</v>
      </c>
      <c r="G1540" s="66" t="s">
        <v>750</v>
      </c>
      <c r="H1540" s="66" t="s">
        <v>1006</v>
      </c>
      <c r="I1540" s="66" t="s">
        <v>130</v>
      </c>
      <c r="J1540" s="66" t="s">
        <v>131</v>
      </c>
      <c r="K1540" s="66" t="s">
        <v>747</v>
      </c>
      <c r="L1540" s="67">
        <v>2451250</v>
      </c>
      <c r="M1540" s="67">
        <v>0</v>
      </c>
      <c r="N1540" s="68">
        <f t="shared" si="102"/>
        <v>2451250</v>
      </c>
      <c r="O1540" s="69">
        <f t="shared" si="101"/>
        <v>2451250</v>
      </c>
      <c r="P1540" s="42" t="str">
        <f>IFERROR(VLOOKUP(J1540,'Mã NV'!$B:$C,2,0),"")</f>
        <v>XE00847</v>
      </c>
      <c r="Q1540" s="70" t="str">
        <f>IFERROR(VLOOKUP(I1540,'Mã NV'!$J:$K,2,0),"")</f>
        <v>8T</v>
      </c>
      <c r="S1540" s="44">
        <f t="shared" si="100"/>
        <v>367687.5</v>
      </c>
    </row>
    <row r="1541" customHeight="1" spans="1:19">
      <c r="A1541" s="63">
        <f t="shared" si="99"/>
        <v>1535</v>
      </c>
      <c r="B1541" s="64">
        <v>46167</v>
      </c>
      <c r="C1541" s="65"/>
      <c r="D1541" s="66" t="s">
        <v>33</v>
      </c>
      <c r="E1541" s="66" t="s">
        <v>33</v>
      </c>
      <c r="F1541" s="66" t="s">
        <v>985</v>
      </c>
      <c r="G1541" s="66" t="s">
        <v>750</v>
      </c>
      <c r="H1541" s="66" t="s">
        <v>1006</v>
      </c>
      <c r="I1541" s="66" t="s">
        <v>130</v>
      </c>
      <c r="J1541" s="66" t="s">
        <v>131</v>
      </c>
      <c r="K1541" s="66" t="s">
        <v>747</v>
      </c>
      <c r="L1541" s="67">
        <v>1387500</v>
      </c>
      <c r="M1541" s="67">
        <v>0</v>
      </c>
      <c r="N1541" s="68">
        <f t="shared" si="102"/>
        <v>1387500</v>
      </c>
      <c r="O1541" s="69">
        <f t="shared" si="101"/>
        <v>1387500</v>
      </c>
      <c r="P1541" s="42" t="str">
        <f>IFERROR(VLOOKUP(J1541,'Mã NV'!$B:$C,2,0),"")</f>
        <v>XE00847</v>
      </c>
      <c r="Q1541" s="70" t="str">
        <f>IFERROR(VLOOKUP(I1541,'Mã NV'!$J:$K,2,0),"")</f>
        <v>8T</v>
      </c>
      <c r="S1541" s="44">
        <f t="shared" si="100"/>
        <v>208125</v>
      </c>
    </row>
    <row r="1542" customHeight="1" spans="1:19">
      <c r="A1542" s="63">
        <f t="shared" si="99"/>
        <v>1536</v>
      </c>
      <c r="B1542" s="64">
        <v>46167</v>
      </c>
      <c r="C1542" s="65"/>
      <c r="D1542" s="66" t="s">
        <v>33</v>
      </c>
      <c r="E1542" s="66" t="s">
        <v>33</v>
      </c>
      <c r="F1542" s="66" t="s">
        <v>985</v>
      </c>
      <c r="G1542" s="66" t="s">
        <v>750</v>
      </c>
      <c r="H1542" s="66" t="s">
        <v>1012</v>
      </c>
      <c r="I1542" s="66" t="s">
        <v>130</v>
      </c>
      <c r="J1542" s="66" t="s">
        <v>131</v>
      </c>
      <c r="K1542" s="66" t="s">
        <v>747</v>
      </c>
      <c r="L1542" s="67">
        <v>832905</v>
      </c>
      <c r="M1542" s="67">
        <v>0</v>
      </c>
      <c r="N1542" s="68">
        <f t="shared" si="102"/>
        <v>832905</v>
      </c>
      <c r="O1542" s="69">
        <f t="shared" si="101"/>
        <v>832905</v>
      </c>
      <c r="P1542" s="42" t="str">
        <f>IFERROR(VLOOKUP(J1542,'Mã NV'!$B:$C,2,0),"")</f>
        <v>XE00847</v>
      </c>
      <c r="Q1542" s="70" t="str">
        <f>IFERROR(VLOOKUP(I1542,'Mã NV'!$J:$K,2,0),"")</f>
        <v>8T</v>
      </c>
      <c r="S1542" s="44">
        <f t="shared" si="100"/>
        <v>124935.75</v>
      </c>
    </row>
    <row r="1543" customHeight="1" spans="1:19">
      <c r="A1543" s="63">
        <f t="shared" si="99"/>
        <v>1537</v>
      </c>
      <c r="B1543" s="64">
        <v>46167</v>
      </c>
      <c r="C1543" s="65"/>
      <c r="D1543" s="66" t="s">
        <v>33</v>
      </c>
      <c r="E1543" s="66" t="s">
        <v>33</v>
      </c>
      <c r="F1543" s="66" t="s">
        <v>985</v>
      </c>
      <c r="G1543" s="66" t="s">
        <v>750</v>
      </c>
      <c r="H1543" s="66" t="s">
        <v>1016</v>
      </c>
      <c r="I1543" s="66" t="s">
        <v>164</v>
      </c>
      <c r="J1543" s="66" t="s">
        <v>217</v>
      </c>
      <c r="K1543" s="66" t="s">
        <v>747</v>
      </c>
      <c r="L1543" s="67">
        <v>383341</v>
      </c>
      <c r="M1543" s="67">
        <v>0</v>
      </c>
      <c r="N1543" s="68">
        <f t="shared" si="102"/>
        <v>383341</v>
      </c>
      <c r="O1543" s="69">
        <f t="shared" si="101"/>
        <v>383341</v>
      </c>
      <c r="P1543" s="42" t="str">
        <f>IFERROR(VLOOKUP(J1543,'Mã NV'!$B:$C,2,0),"")</f>
        <v>XE01004</v>
      </c>
      <c r="Q1543" s="70" t="str">
        <f>IFERROR(VLOOKUP(I1543,'Mã NV'!$J:$K,2,0),"")</f>
        <v>6.5T</v>
      </c>
      <c r="S1543" s="44">
        <f t="shared" si="100"/>
        <v>57501.15</v>
      </c>
    </row>
    <row r="1544" customHeight="1" spans="1:19">
      <c r="A1544" s="63">
        <f t="shared" si="99"/>
        <v>1538</v>
      </c>
      <c r="B1544" s="64">
        <v>46167</v>
      </c>
      <c r="C1544" s="65"/>
      <c r="D1544" s="66" t="s">
        <v>33</v>
      </c>
      <c r="E1544" s="66" t="s">
        <v>33</v>
      </c>
      <c r="F1544" s="66" t="s">
        <v>985</v>
      </c>
      <c r="G1544" s="66" t="s">
        <v>750</v>
      </c>
      <c r="H1544" s="66" t="s">
        <v>1016</v>
      </c>
      <c r="I1544" s="66" t="s">
        <v>164</v>
      </c>
      <c r="J1544" s="66" t="s">
        <v>217</v>
      </c>
      <c r="K1544" s="66" t="s">
        <v>747</v>
      </c>
      <c r="L1544" s="67">
        <v>4642950</v>
      </c>
      <c r="M1544" s="67">
        <v>0</v>
      </c>
      <c r="N1544" s="68">
        <f t="shared" si="102"/>
        <v>4642950</v>
      </c>
      <c r="O1544" s="69">
        <f t="shared" si="101"/>
        <v>4642950</v>
      </c>
      <c r="P1544" s="42" t="str">
        <f>IFERROR(VLOOKUP(J1544,'Mã NV'!$B:$C,2,0),"")</f>
        <v>XE01004</v>
      </c>
      <c r="Q1544" s="70" t="str">
        <f>IFERROR(VLOOKUP(I1544,'Mã NV'!$J:$K,2,0),"")</f>
        <v>6.5T</v>
      </c>
      <c r="S1544" s="44">
        <f t="shared" si="100"/>
        <v>696442.5</v>
      </c>
    </row>
    <row r="1545" customHeight="1" spans="1:19">
      <c r="A1545" s="63">
        <f t="shared" si="99"/>
        <v>1539</v>
      </c>
      <c r="B1545" s="64">
        <v>46167</v>
      </c>
      <c r="C1545" s="65"/>
      <c r="D1545" s="66" t="s">
        <v>33</v>
      </c>
      <c r="E1545" s="66" t="s">
        <v>33</v>
      </c>
      <c r="F1545" s="66" t="s">
        <v>985</v>
      </c>
      <c r="G1545" s="66" t="s">
        <v>750</v>
      </c>
      <c r="H1545" s="66" t="s">
        <v>1032</v>
      </c>
      <c r="I1545" s="66" t="s">
        <v>197</v>
      </c>
      <c r="J1545" s="66" t="s">
        <v>195</v>
      </c>
      <c r="K1545" s="66" t="s">
        <v>747</v>
      </c>
      <c r="L1545" s="67">
        <v>946645</v>
      </c>
      <c r="M1545" s="67">
        <v>0</v>
      </c>
      <c r="N1545" s="68">
        <f t="shared" si="102"/>
        <v>946645</v>
      </c>
      <c r="O1545" s="69">
        <f t="shared" si="101"/>
        <v>946645</v>
      </c>
      <c r="P1545" s="42" t="str">
        <f>IFERROR(VLOOKUP(J1545,'Mã NV'!$B:$C,2,0),"")</f>
        <v>XE00449</v>
      </c>
      <c r="Q1545" s="70" t="str">
        <f>IFERROR(VLOOKUP(I1545,'Mã NV'!$J:$K,2,0),"")</f>
        <v>8T</v>
      </c>
      <c r="S1545" s="44">
        <f t="shared" si="100"/>
        <v>141996.75</v>
      </c>
    </row>
    <row r="1546" customHeight="1" spans="1:19">
      <c r="A1546" s="63">
        <f t="shared" si="99"/>
        <v>1540</v>
      </c>
      <c r="B1546" s="64">
        <v>46167</v>
      </c>
      <c r="C1546" s="65"/>
      <c r="D1546" s="66" t="s">
        <v>33</v>
      </c>
      <c r="E1546" s="66" t="s">
        <v>33</v>
      </c>
      <c r="F1546" s="66" t="s">
        <v>985</v>
      </c>
      <c r="G1546" s="66" t="s">
        <v>750</v>
      </c>
      <c r="H1546" s="66" t="s">
        <v>1032</v>
      </c>
      <c r="I1546" s="66" t="s">
        <v>197</v>
      </c>
      <c r="J1546" s="66" t="s">
        <v>195</v>
      </c>
      <c r="K1546" s="66" t="s">
        <v>747</v>
      </c>
      <c r="L1546" s="67">
        <v>3977500</v>
      </c>
      <c r="M1546" s="67">
        <v>0</v>
      </c>
      <c r="N1546" s="68">
        <f t="shared" si="102"/>
        <v>3977500</v>
      </c>
      <c r="O1546" s="69">
        <f t="shared" si="101"/>
        <v>3977500</v>
      </c>
      <c r="P1546" s="42" t="str">
        <f>IFERROR(VLOOKUP(J1546,'Mã NV'!$B:$C,2,0),"")</f>
        <v>XE00449</v>
      </c>
      <c r="Q1546" s="70" t="str">
        <f>IFERROR(VLOOKUP(I1546,'Mã NV'!$J:$K,2,0),"")</f>
        <v>8T</v>
      </c>
      <c r="S1546" s="44">
        <f t="shared" si="100"/>
        <v>596625</v>
      </c>
    </row>
    <row r="1547" customHeight="1" spans="1:19">
      <c r="A1547" s="63">
        <f t="shared" si="99"/>
        <v>1541</v>
      </c>
      <c r="B1547" s="64">
        <v>46167</v>
      </c>
      <c r="C1547" s="65"/>
      <c r="D1547" s="66" t="s">
        <v>33</v>
      </c>
      <c r="E1547" s="66" t="s">
        <v>33</v>
      </c>
      <c r="F1547" s="66" t="s">
        <v>985</v>
      </c>
      <c r="G1547" s="66" t="s">
        <v>750</v>
      </c>
      <c r="H1547" s="66" t="s">
        <v>1039</v>
      </c>
      <c r="I1547" s="66" t="s">
        <v>197</v>
      </c>
      <c r="J1547" s="66" t="s">
        <v>195</v>
      </c>
      <c r="K1547" s="66" t="s">
        <v>747</v>
      </c>
      <c r="L1547" s="67">
        <v>671402</v>
      </c>
      <c r="M1547" s="67">
        <v>0</v>
      </c>
      <c r="N1547" s="68">
        <f t="shared" si="102"/>
        <v>671402</v>
      </c>
      <c r="O1547" s="69">
        <f t="shared" si="101"/>
        <v>671402</v>
      </c>
      <c r="P1547" s="42" t="str">
        <f>IFERROR(VLOOKUP(J1547,'Mã NV'!$B:$C,2,0),"")</f>
        <v>XE00449</v>
      </c>
      <c r="Q1547" s="70" t="str">
        <f>IFERROR(VLOOKUP(I1547,'Mã NV'!$J:$K,2,0),"")</f>
        <v>8T</v>
      </c>
      <c r="S1547" s="44">
        <f t="shared" si="100"/>
        <v>100710.3</v>
      </c>
    </row>
    <row r="1548" customHeight="1" spans="1:19">
      <c r="A1548" s="63">
        <f t="shared" si="99"/>
        <v>1542</v>
      </c>
      <c r="B1548" s="64">
        <v>46167</v>
      </c>
      <c r="C1548" s="65"/>
      <c r="D1548" s="66" t="s">
        <v>33</v>
      </c>
      <c r="E1548" s="66" t="s">
        <v>33</v>
      </c>
      <c r="F1548" s="66" t="s">
        <v>985</v>
      </c>
      <c r="G1548" s="66" t="s">
        <v>750</v>
      </c>
      <c r="H1548" s="66" t="s">
        <v>1035</v>
      </c>
      <c r="I1548" s="66" t="s">
        <v>115</v>
      </c>
      <c r="J1548" s="66" t="s">
        <v>113</v>
      </c>
      <c r="K1548" s="66" t="s">
        <v>747</v>
      </c>
      <c r="L1548" s="67">
        <v>198814</v>
      </c>
      <c r="M1548" s="67">
        <v>0</v>
      </c>
      <c r="N1548" s="68">
        <f t="shared" si="102"/>
        <v>198814</v>
      </c>
      <c r="O1548" s="69">
        <f t="shared" si="101"/>
        <v>198814</v>
      </c>
      <c r="P1548" s="42" t="str">
        <f>IFERROR(VLOOKUP(J1548,'Mã NV'!$B:$C,2,0),"")</f>
        <v>XE00447</v>
      </c>
      <c r="Q1548" s="70" t="str">
        <f>IFERROR(VLOOKUP(I1548,'Mã NV'!$J:$K,2,0),"")</f>
        <v>8T</v>
      </c>
      <c r="S1548" s="44">
        <f t="shared" si="100"/>
        <v>29822.1</v>
      </c>
    </row>
    <row r="1549" customHeight="1" spans="1:19">
      <c r="A1549" s="63">
        <f t="shared" si="99"/>
        <v>1543</v>
      </c>
      <c r="B1549" s="64">
        <v>46167</v>
      </c>
      <c r="C1549" s="65"/>
      <c r="D1549" s="66" t="s">
        <v>33</v>
      </c>
      <c r="E1549" s="66" t="s">
        <v>33</v>
      </c>
      <c r="F1549" s="66" t="s">
        <v>985</v>
      </c>
      <c r="G1549" s="66" t="s">
        <v>750</v>
      </c>
      <c r="H1549" s="66" t="s">
        <v>1035</v>
      </c>
      <c r="I1549" s="66" t="s">
        <v>115</v>
      </c>
      <c r="J1549" s="66" t="s">
        <v>113</v>
      </c>
      <c r="K1549" s="66" t="s">
        <v>747</v>
      </c>
      <c r="L1549" s="67">
        <v>903700</v>
      </c>
      <c r="M1549" s="67">
        <v>0</v>
      </c>
      <c r="N1549" s="68">
        <f t="shared" si="102"/>
        <v>903700</v>
      </c>
      <c r="O1549" s="69">
        <f t="shared" si="101"/>
        <v>903700</v>
      </c>
      <c r="P1549" s="42" t="str">
        <f>IFERROR(VLOOKUP(J1549,'Mã NV'!$B:$C,2,0),"")</f>
        <v>XE00447</v>
      </c>
      <c r="Q1549" s="70" t="str">
        <f>IFERROR(VLOOKUP(I1549,'Mã NV'!$J:$K,2,0),"")</f>
        <v>8T</v>
      </c>
      <c r="S1549" s="44">
        <f t="shared" si="100"/>
        <v>135555</v>
      </c>
    </row>
    <row r="1550" customHeight="1" spans="1:19">
      <c r="A1550" s="63">
        <f t="shared" si="99"/>
        <v>1544</v>
      </c>
      <c r="B1550" s="64">
        <v>46167</v>
      </c>
      <c r="C1550" s="65"/>
      <c r="D1550" s="66" t="s">
        <v>33</v>
      </c>
      <c r="E1550" s="66" t="s">
        <v>33</v>
      </c>
      <c r="F1550" s="66" t="s">
        <v>985</v>
      </c>
      <c r="G1550" s="66" t="s">
        <v>750</v>
      </c>
      <c r="H1550" s="66" t="s">
        <v>1007</v>
      </c>
      <c r="I1550" s="66" t="s">
        <v>115</v>
      </c>
      <c r="J1550" s="66" t="s">
        <v>113</v>
      </c>
      <c r="K1550" s="66" t="s">
        <v>747</v>
      </c>
      <c r="L1550" s="67">
        <v>92550</v>
      </c>
      <c r="M1550" s="67">
        <v>0</v>
      </c>
      <c r="N1550" s="68">
        <f t="shared" si="102"/>
        <v>92550</v>
      </c>
      <c r="O1550" s="69">
        <f t="shared" si="101"/>
        <v>92550</v>
      </c>
      <c r="P1550" s="42" t="str">
        <f>IFERROR(VLOOKUP(J1550,'Mã NV'!$B:$C,2,0),"")</f>
        <v>XE00447</v>
      </c>
      <c r="Q1550" s="70" t="str">
        <f>IFERROR(VLOOKUP(I1550,'Mã NV'!$J:$K,2,0),"")</f>
        <v>8T</v>
      </c>
      <c r="S1550" s="44">
        <f t="shared" si="100"/>
        <v>13882.5</v>
      </c>
    </row>
    <row r="1551" customHeight="1" spans="1:19">
      <c r="A1551" s="63">
        <f t="shared" ref="A1551:A1614" si="103">A1550+1</f>
        <v>1545</v>
      </c>
      <c r="B1551" s="64">
        <v>46167</v>
      </c>
      <c r="C1551" s="65"/>
      <c r="D1551" s="66" t="s">
        <v>33</v>
      </c>
      <c r="E1551" s="66" t="s">
        <v>33</v>
      </c>
      <c r="F1551" s="66" t="s">
        <v>985</v>
      </c>
      <c r="G1551" s="66" t="s">
        <v>750</v>
      </c>
      <c r="H1551" s="66" t="s">
        <v>1007</v>
      </c>
      <c r="I1551" s="66" t="s">
        <v>115</v>
      </c>
      <c r="J1551" s="66" t="s">
        <v>113</v>
      </c>
      <c r="K1551" s="66" t="s">
        <v>747</v>
      </c>
      <c r="L1551" s="67">
        <v>2776500</v>
      </c>
      <c r="M1551" s="67">
        <v>0</v>
      </c>
      <c r="N1551" s="68">
        <f t="shared" si="102"/>
        <v>2776500</v>
      </c>
      <c r="O1551" s="69">
        <f t="shared" si="101"/>
        <v>2776500</v>
      </c>
      <c r="P1551" s="42" t="str">
        <f>IFERROR(VLOOKUP(J1551,'Mã NV'!$B:$C,2,0),"")</f>
        <v>XE00447</v>
      </c>
      <c r="Q1551" s="70" t="str">
        <f>IFERROR(VLOOKUP(I1551,'Mã NV'!$J:$K,2,0),"")</f>
        <v>8T</v>
      </c>
      <c r="S1551" s="44">
        <f t="shared" si="100"/>
        <v>416475</v>
      </c>
    </row>
    <row r="1552" customHeight="1" spans="1:19">
      <c r="A1552" s="63">
        <f t="shared" si="103"/>
        <v>1546</v>
      </c>
      <c r="B1552" s="64">
        <v>46167</v>
      </c>
      <c r="C1552" s="65"/>
      <c r="D1552" s="66" t="s">
        <v>33</v>
      </c>
      <c r="E1552" s="66" t="s">
        <v>33</v>
      </c>
      <c r="F1552" s="66" t="s">
        <v>985</v>
      </c>
      <c r="G1552" s="66" t="s">
        <v>750</v>
      </c>
      <c r="H1552" s="66" t="s">
        <v>1023</v>
      </c>
      <c r="I1552" s="66" t="s">
        <v>115</v>
      </c>
      <c r="J1552" s="66" t="s">
        <v>113</v>
      </c>
      <c r="K1552" s="66" t="s">
        <v>747</v>
      </c>
      <c r="L1552" s="67">
        <v>135740</v>
      </c>
      <c r="M1552" s="67">
        <v>0</v>
      </c>
      <c r="N1552" s="68">
        <f t="shared" si="102"/>
        <v>135740</v>
      </c>
      <c r="O1552" s="69">
        <f t="shared" si="101"/>
        <v>135740</v>
      </c>
      <c r="P1552" s="42" t="str">
        <f>IFERROR(VLOOKUP(J1552,'Mã NV'!$B:$C,2,0),"")</f>
        <v>XE00447</v>
      </c>
      <c r="Q1552" s="70" t="str">
        <f>IFERROR(VLOOKUP(I1552,'Mã NV'!$J:$K,2,0),"")</f>
        <v>8T</v>
      </c>
      <c r="S1552" s="44">
        <f t="shared" si="100"/>
        <v>20361</v>
      </c>
    </row>
    <row r="1553" customHeight="1" spans="1:19">
      <c r="A1553" s="63">
        <f t="shared" si="103"/>
        <v>1547</v>
      </c>
      <c r="B1553" s="64">
        <v>46167</v>
      </c>
      <c r="C1553" s="65"/>
      <c r="D1553" s="66" t="s">
        <v>33</v>
      </c>
      <c r="E1553" s="66" t="s">
        <v>33</v>
      </c>
      <c r="F1553" s="66" t="s">
        <v>985</v>
      </c>
      <c r="G1553" s="66" t="s">
        <v>750</v>
      </c>
      <c r="H1553" s="66" t="s">
        <v>1023</v>
      </c>
      <c r="I1553" s="66" t="s">
        <v>115</v>
      </c>
      <c r="J1553" s="66" t="s">
        <v>113</v>
      </c>
      <c r="K1553" s="66" t="s">
        <v>747</v>
      </c>
      <c r="L1553" s="67">
        <v>370200</v>
      </c>
      <c r="M1553" s="67">
        <v>0</v>
      </c>
      <c r="N1553" s="68">
        <f t="shared" si="102"/>
        <v>370200</v>
      </c>
      <c r="O1553" s="69">
        <f t="shared" si="101"/>
        <v>370200</v>
      </c>
      <c r="P1553" s="42" t="str">
        <f>IFERROR(VLOOKUP(J1553,'Mã NV'!$B:$C,2,0),"")</f>
        <v>XE00447</v>
      </c>
      <c r="Q1553" s="70" t="str">
        <f>IFERROR(VLOOKUP(I1553,'Mã NV'!$J:$K,2,0),"")</f>
        <v>8T</v>
      </c>
      <c r="S1553" s="44">
        <f t="shared" si="100"/>
        <v>55530</v>
      </c>
    </row>
    <row r="1554" customHeight="1" spans="1:19">
      <c r="A1554" s="63">
        <f t="shared" si="103"/>
        <v>1548</v>
      </c>
      <c r="B1554" s="64">
        <v>46167</v>
      </c>
      <c r="C1554" s="65"/>
      <c r="D1554" s="66" t="s">
        <v>33</v>
      </c>
      <c r="E1554" s="66" t="s">
        <v>33</v>
      </c>
      <c r="F1554" s="66" t="s">
        <v>985</v>
      </c>
      <c r="G1554" s="66" t="s">
        <v>750</v>
      </c>
      <c r="H1554" s="66" t="s">
        <v>1018</v>
      </c>
      <c r="I1554" s="66" t="s">
        <v>127</v>
      </c>
      <c r="J1554" s="66" t="s">
        <v>125</v>
      </c>
      <c r="K1554" s="66" t="s">
        <v>747</v>
      </c>
      <c r="L1554" s="67">
        <v>301257</v>
      </c>
      <c r="M1554" s="67">
        <v>0</v>
      </c>
      <c r="N1554" s="68">
        <f t="shared" si="102"/>
        <v>301257</v>
      </c>
      <c r="O1554" s="69">
        <f t="shared" si="101"/>
        <v>301257</v>
      </c>
      <c r="P1554" s="42" t="str">
        <f>IFERROR(VLOOKUP(J1554,'Mã NV'!$B:$C,2,0),"")</f>
        <v>XE00547</v>
      </c>
      <c r="Q1554" s="70" t="str">
        <f>IFERROR(VLOOKUP(I1554,'Mã NV'!$J:$K,2,0),"")</f>
        <v>8T</v>
      </c>
      <c r="S1554" s="44">
        <f t="shared" si="100"/>
        <v>45188.55</v>
      </c>
    </row>
    <row r="1555" customHeight="1" spans="1:19">
      <c r="A1555" s="63">
        <f t="shared" si="103"/>
        <v>1549</v>
      </c>
      <c r="B1555" s="64">
        <v>46167</v>
      </c>
      <c r="C1555" s="65"/>
      <c r="D1555" s="66" t="s">
        <v>33</v>
      </c>
      <c r="E1555" s="66" t="s">
        <v>33</v>
      </c>
      <c r="F1555" s="66" t="s">
        <v>985</v>
      </c>
      <c r="G1555" s="66" t="s">
        <v>750</v>
      </c>
      <c r="H1555" s="66" t="s">
        <v>1018</v>
      </c>
      <c r="I1555" s="66" t="s">
        <v>127</v>
      </c>
      <c r="J1555" s="66" t="s">
        <v>125</v>
      </c>
      <c r="K1555" s="66" t="s">
        <v>747</v>
      </c>
      <c r="L1555" s="67">
        <v>2692800</v>
      </c>
      <c r="M1555" s="67">
        <v>0</v>
      </c>
      <c r="N1555" s="68">
        <f t="shared" si="102"/>
        <v>2692800</v>
      </c>
      <c r="O1555" s="69">
        <f t="shared" si="101"/>
        <v>2692800</v>
      </c>
      <c r="P1555" s="42" t="str">
        <f>IFERROR(VLOOKUP(J1555,'Mã NV'!$B:$C,2,0),"")</f>
        <v>XE00547</v>
      </c>
      <c r="Q1555" s="70" t="str">
        <f>IFERROR(VLOOKUP(I1555,'Mã NV'!$J:$K,2,0),"")</f>
        <v>8T</v>
      </c>
      <c r="S1555" s="44">
        <f t="shared" si="100"/>
        <v>403920</v>
      </c>
    </row>
    <row r="1556" customHeight="1" spans="1:19">
      <c r="A1556" s="63">
        <f t="shared" si="103"/>
        <v>1550</v>
      </c>
      <c r="B1556" s="64">
        <v>46167</v>
      </c>
      <c r="C1556" s="65"/>
      <c r="D1556" s="66" t="s">
        <v>33</v>
      </c>
      <c r="E1556" s="66" t="s">
        <v>33</v>
      </c>
      <c r="F1556" s="66" t="s">
        <v>985</v>
      </c>
      <c r="G1556" s="66" t="s">
        <v>750</v>
      </c>
      <c r="H1556" s="66" t="s">
        <v>1022</v>
      </c>
      <c r="I1556" s="66" t="s">
        <v>127</v>
      </c>
      <c r="J1556" s="66" t="s">
        <v>125</v>
      </c>
      <c r="K1556" s="66" t="s">
        <v>747</v>
      </c>
      <c r="L1556" s="67">
        <v>82467</v>
      </c>
      <c r="M1556" s="67">
        <v>0</v>
      </c>
      <c r="N1556" s="68">
        <f t="shared" si="102"/>
        <v>82467</v>
      </c>
      <c r="O1556" s="69">
        <f t="shared" si="101"/>
        <v>82467</v>
      </c>
      <c r="P1556" s="42" t="str">
        <f>IFERROR(VLOOKUP(J1556,'Mã NV'!$B:$C,2,0),"")</f>
        <v>XE00547</v>
      </c>
      <c r="Q1556" s="70" t="str">
        <f>IFERROR(VLOOKUP(I1556,'Mã NV'!$J:$K,2,0),"")</f>
        <v>8T</v>
      </c>
      <c r="S1556" s="44">
        <f t="shared" si="100"/>
        <v>12370.05</v>
      </c>
    </row>
    <row r="1557" customHeight="1" spans="1:19">
      <c r="A1557" s="63">
        <f t="shared" si="103"/>
        <v>1551</v>
      </c>
      <c r="B1557" s="64">
        <v>46167</v>
      </c>
      <c r="C1557" s="65"/>
      <c r="D1557" s="66" t="s">
        <v>33</v>
      </c>
      <c r="E1557" s="66" t="s">
        <v>33</v>
      </c>
      <c r="F1557" s="66" t="s">
        <v>985</v>
      </c>
      <c r="G1557" s="66" t="s">
        <v>750</v>
      </c>
      <c r="H1557" s="66" t="s">
        <v>1022</v>
      </c>
      <c r="I1557" s="66" t="s">
        <v>127</v>
      </c>
      <c r="J1557" s="66" t="s">
        <v>125</v>
      </c>
      <c r="K1557" s="66" t="s">
        <v>747</v>
      </c>
      <c r="L1557" s="67">
        <v>2440350</v>
      </c>
      <c r="M1557" s="67">
        <v>0</v>
      </c>
      <c r="N1557" s="68">
        <f t="shared" si="102"/>
        <v>2440350</v>
      </c>
      <c r="O1557" s="69">
        <f t="shared" si="101"/>
        <v>2440350</v>
      </c>
      <c r="P1557" s="42" t="str">
        <f>IFERROR(VLOOKUP(J1557,'Mã NV'!$B:$C,2,0),"")</f>
        <v>XE00547</v>
      </c>
      <c r="Q1557" s="70" t="str">
        <f>IFERROR(VLOOKUP(I1557,'Mã NV'!$J:$K,2,0),"")</f>
        <v>8T</v>
      </c>
      <c r="S1557" s="44">
        <f t="shared" si="100"/>
        <v>366052.5</v>
      </c>
    </row>
    <row r="1558" customHeight="1" spans="1:19">
      <c r="A1558" s="63">
        <f t="shared" si="103"/>
        <v>1552</v>
      </c>
      <c r="B1558" s="64">
        <v>46167</v>
      </c>
      <c r="C1558" s="65"/>
      <c r="D1558" s="66" t="s">
        <v>33</v>
      </c>
      <c r="E1558" s="66" t="s">
        <v>33</v>
      </c>
      <c r="F1558" s="66" t="s">
        <v>985</v>
      </c>
      <c r="G1558" s="66" t="s">
        <v>750</v>
      </c>
      <c r="H1558" s="66" t="s">
        <v>1017</v>
      </c>
      <c r="I1558" s="66" t="s">
        <v>48</v>
      </c>
      <c r="J1558" s="66" t="s">
        <v>324</v>
      </c>
      <c r="K1558" s="66" t="s">
        <v>747</v>
      </c>
      <c r="L1558" s="67">
        <v>17670</v>
      </c>
      <c r="M1558" s="67">
        <v>0</v>
      </c>
      <c r="N1558" s="68">
        <f t="shared" si="102"/>
        <v>17670</v>
      </c>
      <c r="O1558" s="69">
        <f t="shared" si="101"/>
        <v>17670</v>
      </c>
      <c r="P1558" s="42" t="str">
        <f>IFERROR(VLOOKUP(J1558,'Mã NV'!$B:$C,2,0),"")</f>
        <v>XE01620</v>
      </c>
      <c r="Q1558" s="70" t="str">
        <f>IFERROR(VLOOKUP(I1558,'Mã NV'!$J:$K,2,0),"")</f>
        <v>6.5T</v>
      </c>
      <c r="S1558" s="44">
        <f t="shared" si="100"/>
        <v>2650.5</v>
      </c>
    </row>
    <row r="1559" customHeight="1" spans="1:19">
      <c r="A1559" s="63">
        <f t="shared" si="103"/>
        <v>1553</v>
      </c>
      <c r="B1559" s="64">
        <v>46167</v>
      </c>
      <c r="C1559" s="65"/>
      <c r="D1559" s="66" t="s">
        <v>33</v>
      </c>
      <c r="E1559" s="66" t="s">
        <v>33</v>
      </c>
      <c r="F1559" s="66" t="s">
        <v>985</v>
      </c>
      <c r="G1559" s="66" t="s">
        <v>750</v>
      </c>
      <c r="H1559" s="66" t="s">
        <v>1017</v>
      </c>
      <c r="I1559" s="66" t="s">
        <v>48</v>
      </c>
      <c r="J1559" s="66" t="s">
        <v>324</v>
      </c>
      <c r="K1559" s="66" t="s">
        <v>747</v>
      </c>
      <c r="L1559" s="67">
        <v>1767000</v>
      </c>
      <c r="M1559" s="67">
        <v>0</v>
      </c>
      <c r="N1559" s="68">
        <f t="shared" si="102"/>
        <v>1767000</v>
      </c>
      <c r="O1559" s="69">
        <f t="shared" si="101"/>
        <v>1767000</v>
      </c>
      <c r="P1559" s="42" t="str">
        <f>IFERROR(VLOOKUP(J1559,'Mã NV'!$B:$C,2,0),"")</f>
        <v>XE01620</v>
      </c>
      <c r="Q1559" s="70" t="str">
        <f>IFERROR(VLOOKUP(I1559,'Mã NV'!$J:$K,2,0),"")</f>
        <v>6.5T</v>
      </c>
      <c r="S1559" s="44">
        <f t="shared" si="100"/>
        <v>265050</v>
      </c>
    </row>
    <row r="1560" customHeight="1" spans="1:19">
      <c r="A1560" s="63">
        <f t="shared" si="103"/>
        <v>1554</v>
      </c>
      <c r="B1560" s="64">
        <v>46168</v>
      </c>
      <c r="C1560" s="65"/>
      <c r="D1560" s="66" t="s">
        <v>33</v>
      </c>
      <c r="E1560" s="66" t="s">
        <v>33</v>
      </c>
      <c r="F1560" s="66" t="s">
        <v>985</v>
      </c>
      <c r="G1560" s="66" t="s">
        <v>750</v>
      </c>
      <c r="H1560" s="66" t="s">
        <v>1044</v>
      </c>
      <c r="I1560" s="66" t="s">
        <v>76</v>
      </c>
      <c r="J1560" s="66" t="s">
        <v>74</v>
      </c>
      <c r="K1560" s="66" t="s">
        <v>747</v>
      </c>
      <c r="L1560" s="67">
        <v>20834028</v>
      </c>
      <c r="M1560" s="67">
        <v>0</v>
      </c>
      <c r="N1560" s="68">
        <f t="shared" si="102"/>
        <v>20834028</v>
      </c>
      <c r="O1560" s="69">
        <f t="shared" si="101"/>
        <v>20834028</v>
      </c>
      <c r="P1560" s="42" t="str">
        <f>IFERROR(VLOOKUP(J1560,'Mã NV'!$B:$C,2,0),"")</f>
        <v>XE00907</v>
      </c>
      <c r="Q1560" s="70" t="str">
        <f>IFERROR(VLOOKUP(I1560,'Mã NV'!$J:$K,2,0),"")</f>
        <v>Cont 50F</v>
      </c>
      <c r="S1560" s="44">
        <f t="shared" si="100"/>
        <v>3125104.2</v>
      </c>
    </row>
    <row r="1561" customHeight="1" spans="1:19">
      <c r="A1561" s="63">
        <f t="shared" si="103"/>
        <v>1555</v>
      </c>
      <c r="B1561" s="64">
        <v>46168</v>
      </c>
      <c r="C1561" s="65"/>
      <c r="D1561" s="66" t="s">
        <v>33</v>
      </c>
      <c r="E1561" s="66" t="s">
        <v>33</v>
      </c>
      <c r="F1561" s="66" t="s">
        <v>985</v>
      </c>
      <c r="G1561" s="66" t="s">
        <v>750</v>
      </c>
      <c r="H1561" s="66" t="s">
        <v>1044</v>
      </c>
      <c r="I1561" s="66" t="s">
        <v>76</v>
      </c>
      <c r="J1561" s="66" t="s">
        <v>77</v>
      </c>
      <c r="K1561" s="66" t="s">
        <v>747</v>
      </c>
      <c r="L1561" s="67">
        <v>20834028</v>
      </c>
      <c r="M1561" s="67">
        <v>0</v>
      </c>
      <c r="N1561" s="68">
        <f t="shared" si="102"/>
        <v>20834028</v>
      </c>
      <c r="O1561" s="69">
        <f t="shared" si="101"/>
        <v>20834028</v>
      </c>
      <c r="P1561" s="42" t="str">
        <f>IFERROR(VLOOKUP(J1561,'Mã NV'!$B:$C,2,0),"")</f>
        <v>XE00908</v>
      </c>
      <c r="Q1561" s="70" t="str">
        <f>IFERROR(VLOOKUP(I1561,'Mã NV'!$J:$K,2,0),"")</f>
        <v>Cont 50F</v>
      </c>
      <c r="S1561" s="44">
        <f t="shared" si="100"/>
        <v>3125104.2</v>
      </c>
    </row>
    <row r="1562" customHeight="1" spans="1:19">
      <c r="A1562" s="63">
        <f t="shared" si="103"/>
        <v>1556</v>
      </c>
      <c r="B1562" s="64">
        <v>46168</v>
      </c>
      <c r="C1562" s="65"/>
      <c r="D1562" s="66" t="s">
        <v>33</v>
      </c>
      <c r="E1562" s="66" t="s">
        <v>33</v>
      </c>
      <c r="F1562" s="66" t="s">
        <v>985</v>
      </c>
      <c r="G1562" s="66" t="s">
        <v>750</v>
      </c>
      <c r="H1562" s="66" t="s">
        <v>1045</v>
      </c>
      <c r="I1562" s="66" t="s">
        <v>52</v>
      </c>
      <c r="J1562" s="66" t="s">
        <v>128</v>
      </c>
      <c r="K1562" s="66" t="s">
        <v>747</v>
      </c>
      <c r="L1562" s="67">
        <v>5250300</v>
      </c>
      <c r="M1562" s="67">
        <v>0</v>
      </c>
      <c r="N1562" s="68">
        <f t="shared" si="102"/>
        <v>5250300</v>
      </c>
      <c r="O1562" s="69">
        <f t="shared" si="101"/>
        <v>5250300</v>
      </c>
      <c r="P1562" s="42" t="str">
        <f>IFERROR(VLOOKUP(J1562,'Mã NV'!$B:$C,2,0),"")</f>
        <v>XE00953</v>
      </c>
      <c r="Q1562" s="70" t="str">
        <f>IFERROR(VLOOKUP(I1562,'Mã NV'!$J:$K,2,0),"")</f>
        <v>8T</v>
      </c>
      <c r="S1562" s="44">
        <f t="shared" si="100"/>
        <v>787545</v>
      </c>
    </row>
    <row r="1563" customHeight="1" spans="1:19">
      <c r="A1563" s="63">
        <f t="shared" si="103"/>
        <v>1557</v>
      </c>
      <c r="B1563" s="64">
        <v>46168</v>
      </c>
      <c r="C1563" s="65"/>
      <c r="D1563" s="66" t="s">
        <v>33</v>
      </c>
      <c r="E1563" s="66" t="s">
        <v>33</v>
      </c>
      <c r="F1563" s="66" t="s">
        <v>985</v>
      </c>
      <c r="G1563" s="66" t="s">
        <v>750</v>
      </c>
      <c r="H1563" s="66" t="s">
        <v>1046</v>
      </c>
      <c r="I1563" s="66" t="s">
        <v>52</v>
      </c>
      <c r="J1563" s="66" t="s">
        <v>128</v>
      </c>
      <c r="K1563" s="66" t="s">
        <v>747</v>
      </c>
      <c r="L1563" s="67">
        <v>453435</v>
      </c>
      <c r="M1563" s="67">
        <v>0</v>
      </c>
      <c r="N1563" s="68">
        <f t="shared" si="102"/>
        <v>453435</v>
      </c>
      <c r="O1563" s="69">
        <f t="shared" si="101"/>
        <v>453435</v>
      </c>
      <c r="P1563" s="42" t="str">
        <f>IFERROR(VLOOKUP(J1563,'Mã NV'!$B:$C,2,0),"")</f>
        <v>XE00953</v>
      </c>
      <c r="Q1563" s="70" t="str">
        <f>IFERROR(VLOOKUP(I1563,'Mã NV'!$J:$K,2,0),"")</f>
        <v>8T</v>
      </c>
      <c r="S1563" s="44">
        <f t="shared" si="100"/>
        <v>68015.25</v>
      </c>
    </row>
    <row r="1564" customHeight="1" spans="1:19">
      <c r="A1564" s="63">
        <f t="shared" si="103"/>
        <v>1558</v>
      </c>
      <c r="B1564" s="64">
        <v>46168</v>
      </c>
      <c r="C1564" s="65"/>
      <c r="D1564" s="66" t="s">
        <v>33</v>
      </c>
      <c r="E1564" s="66" t="s">
        <v>33</v>
      </c>
      <c r="F1564" s="66" t="s">
        <v>985</v>
      </c>
      <c r="G1564" s="66" t="s">
        <v>750</v>
      </c>
      <c r="H1564" s="66" t="s">
        <v>1047</v>
      </c>
      <c r="I1564" s="66" t="s">
        <v>191</v>
      </c>
      <c r="J1564" s="66" t="s">
        <v>189</v>
      </c>
      <c r="K1564" s="66" t="s">
        <v>747</v>
      </c>
      <c r="L1564" s="67">
        <v>2207700</v>
      </c>
      <c r="M1564" s="67">
        <v>0</v>
      </c>
      <c r="N1564" s="68">
        <f t="shared" si="102"/>
        <v>2207700</v>
      </c>
      <c r="O1564" s="69">
        <f t="shared" si="101"/>
        <v>2207700</v>
      </c>
      <c r="P1564" s="42" t="str">
        <f>IFERROR(VLOOKUP(J1564,'Mã NV'!$B:$C,2,0),"")</f>
        <v>XE00891</v>
      </c>
      <c r="Q1564" s="70" t="str">
        <f>IFERROR(VLOOKUP(I1564,'Mã NV'!$J:$K,2,0),"")</f>
        <v>8T</v>
      </c>
      <c r="S1564" s="44">
        <f t="shared" si="100"/>
        <v>331155</v>
      </c>
    </row>
    <row r="1565" customHeight="1" spans="1:19">
      <c r="A1565" s="63">
        <f t="shared" si="103"/>
        <v>1559</v>
      </c>
      <c r="B1565" s="64">
        <v>46168</v>
      </c>
      <c r="C1565" s="65"/>
      <c r="D1565" s="66" t="s">
        <v>33</v>
      </c>
      <c r="E1565" s="66" t="s">
        <v>33</v>
      </c>
      <c r="F1565" s="66" t="s">
        <v>985</v>
      </c>
      <c r="G1565" s="66" t="s">
        <v>750</v>
      </c>
      <c r="H1565" s="66" t="s">
        <v>1048</v>
      </c>
      <c r="I1565" s="66" t="s">
        <v>191</v>
      </c>
      <c r="J1565" s="66" t="s">
        <v>189</v>
      </c>
      <c r="K1565" s="66" t="s">
        <v>747</v>
      </c>
      <c r="L1565" s="67">
        <v>1655775</v>
      </c>
      <c r="M1565" s="67">
        <v>0</v>
      </c>
      <c r="N1565" s="68">
        <f t="shared" si="102"/>
        <v>1655775</v>
      </c>
      <c r="O1565" s="69">
        <f t="shared" si="101"/>
        <v>1655775</v>
      </c>
      <c r="P1565" s="42" t="str">
        <f>IFERROR(VLOOKUP(J1565,'Mã NV'!$B:$C,2,0),"")</f>
        <v>XE00891</v>
      </c>
      <c r="Q1565" s="70" t="str">
        <f>IFERROR(VLOOKUP(I1565,'Mã NV'!$J:$K,2,0),"")</f>
        <v>8T</v>
      </c>
      <c r="S1565" s="44">
        <f t="shared" si="100"/>
        <v>248366.25</v>
      </c>
    </row>
    <row r="1566" customHeight="1" spans="1:19">
      <c r="A1566" s="63">
        <f t="shared" si="103"/>
        <v>1560</v>
      </c>
      <c r="B1566" s="64">
        <v>46168</v>
      </c>
      <c r="C1566" s="65"/>
      <c r="D1566" s="66" t="s">
        <v>33</v>
      </c>
      <c r="E1566" s="66" t="s">
        <v>33</v>
      </c>
      <c r="F1566" s="66" t="s">
        <v>985</v>
      </c>
      <c r="G1566" s="66" t="s">
        <v>750</v>
      </c>
      <c r="H1566" s="66" t="s">
        <v>1049</v>
      </c>
      <c r="I1566" s="66" t="s">
        <v>191</v>
      </c>
      <c r="J1566" s="66" t="s">
        <v>189</v>
      </c>
      <c r="K1566" s="66" t="s">
        <v>747</v>
      </c>
      <c r="L1566" s="67">
        <v>4714125</v>
      </c>
      <c r="M1566" s="67">
        <v>0</v>
      </c>
      <c r="N1566" s="68">
        <f t="shared" si="102"/>
        <v>4714125</v>
      </c>
      <c r="O1566" s="69">
        <f t="shared" si="101"/>
        <v>4714125</v>
      </c>
      <c r="P1566" s="42" t="str">
        <f>IFERROR(VLOOKUP(J1566,'Mã NV'!$B:$C,2,0),"")</f>
        <v>XE00891</v>
      </c>
      <c r="Q1566" s="70" t="str">
        <f>IFERROR(VLOOKUP(I1566,'Mã NV'!$J:$K,2,0),"")</f>
        <v>8T</v>
      </c>
      <c r="S1566" s="44">
        <f t="shared" si="100"/>
        <v>707118.75</v>
      </c>
    </row>
    <row r="1567" customHeight="1" spans="1:19">
      <c r="A1567" s="63">
        <f t="shared" si="103"/>
        <v>1561</v>
      </c>
      <c r="B1567" s="64">
        <v>46168</v>
      </c>
      <c r="C1567" s="65"/>
      <c r="D1567" s="66" t="s">
        <v>33</v>
      </c>
      <c r="E1567" s="66" t="s">
        <v>33</v>
      </c>
      <c r="F1567" s="66" t="s">
        <v>985</v>
      </c>
      <c r="G1567" s="66" t="s">
        <v>750</v>
      </c>
      <c r="H1567" s="66" t="s">
        <v>1050</v>
      </c>
      <c r="I1567" s="66" t="s">
        <v>84</v>
      </c>
      <c r="J1567" s="66" t="s">
        <v>82</v>
      </c>
      <c r="K1567" s="66" t="s">
        <v>747</v>
      </c>
      <c r="L1567" s="67">
        <v>818598</v>
      </c>
      <c r="M1567" s="67">
        <v>0</v>
      </c>
      <c r="N1567" s="68">
        <f t="shared" si="102"/>
        <v>818598</v>
      </c>
      <c r="O1567" s="69">
        <f t="shared" si="101"/>
        <v>818598</v>
      </c>
      <c r="P1567" s="42" t="str">
        <f>IFERROR(VLOOKUP(J1567,'Mã NV'!$B:$C,2,0),"")</f>
        <v>XE00832</v>
      </c>
      <c r="Q1567" s="70" t="str">
        <f>IFERROR(VLOOKUP(I1567,'Mã NV'!$J:$K,2,0),"")</f>
        <v>6.5T</v>
      </c>
      <c r="S1567" s="44">
        <f t="shared" si="100"/>
        <v>122789.7</v>
      </c>
    </row>
    <row r="1568" customHeight="1" spans="1:19">
      <c r="A1568" s="63">
        <f t="shared" si="103"/>
        <v>1562</v>
      </c>
      <c r="B1568" s="64">
        <v>46168</v>
      </c>
      <c r="C1568" s="65"/>
      <c r="D1568" s="66" t="s">
        <v>33</v>
      </c>
      <c r="E1568" s="66" t="s">
        <v>33</v>
      </c>
      <c r="F1568" s="66" t="s">
        <v>985</v>
      </c>
      <c r="G1568" s="66" t="s">
        <v>750</v>
      </c>
      <c r="H1568" s="66" t="s">
        <v>1051</v>
      </c>
      <c r="I1568" s="66" t="s">
        <v>84</v>
      </c>
      <c r="J1568" s="66" t="s">
        <v>82</v>
      </c>
      <c r="K1568" s="66" t="s">
        <v>747</v>
      </c>
      <c r="L1568" s="67">
        <v>2276780</v>
      </c>
      <c r="M1568" s="67">
        <v>0</v>
      </c>
      <c r="N1568" s="68">
        <f t="shared" si="102"/>
        <v>2276780</v>
      </c>
      <c r="O1568" s="69">
        <f t="shared" si="101"/>
        <v>2276780</v>
      </c>
      <c r="P1568" s="42" t="str">
        <f>IFERROR(VLOOKUP(J1568,'Mã NV'!$B:$C,2,0),"")</f>
        <v>XE00832</v>
      </c>
      <c r="Q1568" s="70" t="str">
        <f>IFERROR(VLOOKUP(I1568,'Mã NV'!$J:$K,2,0),"")</f>
        <v>6.5T</v>
      </c>
      <c r="S1568" s="44">
        <f t="shared" si="100"/>
        <v>341517</v>
      </c>
    </row>
    <row r="1569" customHeight="1" spans="1:19">
      <c r="A1569" s="63">
        <f t="shared" si="103"/>
        <v>1563</v>
      </c>
      <c r="B1569" s="64">
        <v>46168</v>
      </c>
      <c r="C1569" s="65"/>
      <c r="D1569" s="66" t="s">
        <v>33</v>
      </c>
      <c r="E1569" s="66" t="s">
        <v>33</v>
      </c>
      <c r="F1569" s="66" t="s">
        <v>985</v>
      </c>
      <c r="G1569" s="66" t="s">
        <v>750</v>
      </c>
      <c r="H1569" s="66" t="s">
        <v>1052</v>
      </c>
      <c r="I1569" s="66" t="s">
        <v>84</v>
      </c>
      <c r="J1569" s="66" t="s">
        <v>82</v>
      </c>
      <c r="K1569" s="66" t="s">
        <v>747</v>
      </c>
      <c r="L1569" s="67">
        <v>881166</v>
      </c>
      <c r="M1569" s="67">
        <v>0</v>
      </c>
      <c r="N1569" s="68">
        <f t="shared" si="102"/>
        <v>881166</v>
      </c>
      <c r="O1569" s="69">
        <f t="shared" si="101"/>
        <v>881166</v>
      </c>
      <c r="P1569" s="42" t="str">
        <f>IFERROR(VLOOKUP(J1569,'Mã NV'!$B:$C,2,0),"")</f>
        <v>XE00832</v>
      </c>
      <c r="Q1569" s="70" t="str">
        <f>IFERROR(VLOOKUP(I1569,'Mã NV'!$J:$K,2,0),"")</f>
        <v>6.5T</v>
      </c>
      <c r="S1569" s="44">
        <f t="shared" si="100"/>
        <v>132174.9</v>
      </c>
    </row>
    <row r="1570" customHeight="1" spans="1:19">
      <c r="A1570" s="63">
        <f t="shared" si="103"/>
        <v>1564</v>
      </c>
      <c r="B1570" s="64">
        <v>46168</v>
      </c>
      <c r="C1570" s="65"/>
      <c r="D1570" s="66" t="s">
        <v>33</v>
      </c>
      <c r="E1570" s="66" t="s">
        <v>33</v>
      </c>
      <c r="F1570" s="66" t="s">
        <v>985</v>
      </c>
      <c r="G1570" s="66" t="s">
        <v>750</v>
      </c>
      <c r="H1570" s="66" t="s">
        <v>1053</v>
      </c>
      <c r="I1570" s="66" t="s">
        <v>84</v>
      </c>
      <c r="J1570" s="66" t="s">
        <v>82</v>
      </c>
      <c r="K1570" s="66" t="s">
        <v>747</v>
      </c>
      <c r="L1570" s="67">
        <v>17380</v>
      </c>
      <c r="M1570" s="67">
        <v>0</v>
      </c>
      <c r="N1570" s="68">
        <f t="shared" si="102"/>
        <v>17380</v>
      </c>
      <c r="O1570" s="69">
        <f t="shared" si="101"/>
        <v>17380</v>
      </c>
      <c r="P1570" s="42" t="str">
        <f>IFERROR(VLOOKUP(J1570,'Mã NV'!$B:$C,2,0),"")</f>
        <v>XE00832</v>
      </c>
      <c r="Q1570" s="70" t="str">
        <f>IFERROR(VLOOKUP(I1570,'Mã NV'!$J:$K,2,0),"")</f>
        <v>6.5T</v>
      </c>
      <c r="S1570" s="44">
        <f t="shared" si="100"/>
        <v>2607</v>
      </c>
    </row>
    <row r="1571" customHeight="1" spans="1:19">
      <c r="A1571" s="63">
        <f t="shared" si="103"/>
        <v>1565</v>
      </c>
      <c r="B1571" s="64">
        <v>46168</v>
      </c>
      <c r="C1571" s="65"/>
      <c r="D1571" s="66" t="s">
        <v>33</v>
      </c>
      <c r="E1571" s="66" t="s">
        <v>33</v>
      </c>
      <c r="F1571" s="66" t="s">
        <v>985</v>
      </c>
      <c r="G1571" s="66" t="s">
        <v>750</v>
      </c>
      <c r="H1571" s="66" t="s">
        <v>1054</v>
      </c>
      <c r="I1571" s="66" t="s">
        <v>48</v>
      </c>
      <c r="J1571" s="66" t="s">
        <v>401</v>
      </c>
      <c r="K1571" s="66" t="s">
        <v>747</v>
      </c>
      <c r="L1571" s="67">
        <v>3211200</v>
      </c>
      <c r="M1571" s="67">
        <v>0</v>
      </c>
      <c r="N1571" s="68">
        <f t="shared" si="102"/>
        <v>3211200</v>
      </c>
      <c r="O1571" s="69">
        <f t="shared" si="101"/>
        <v>3211200</v>
      </c>
      <c r="P1571" s="42" t="str">
        <f>IFERROR(VLOOKUP(J1571,'Mã NV'!$B:$C,2,0),"")</f>
        <v>XE01466</v>
      </c>
      <c r="Q1571" s="70" t="str">
        <f>IFERROR(VLOOKUP(I1571,'Mã NV'!$J:$K,2,0),"")</f>
        <v>6.5T</v>
      </c>
      <c r="S1571" s="44">
        <f t="shared" si="100"/>
        <v>481680</v>
      </c>
    </row>
    <row r="1572" customHeight="1" spans="1:19">
      <c r="A1572" s="63">
        <f t="shared" si="103"/>
        <v>1566</v>
      </c>
      <c r="B1572" s="64">
        <v>46168</v>
      </c>
      <c r="C1572" s="65"/>
      <c r="D1572" s="66" t="s">
        <v>33</v>
      </c>
      <c r="E1572" s="66" t="s">
        <v>33</v>
      </c>
      <c r="F1572" s="66" t="s">
        <v>985</v>
      </c>
      <c r="G1572" s="66" t="s">
        <v>750</v>
      </c>
      <c r="H1572" s="66" t="s">
        <v>1055</v>
      </c>
      <c r="I1572" s="66" t="s">
        <v>48</v>
      </c>
      <c r="J1572" s="66" t="s">
        <v>401</v>
      </c>
      <c r="K1572" s="66" t="s">
        <v>747</v>
      </c>
      <c r="L1572" s="67">
        <v>1304550</v>
      </c>
      <c r="M1572" s="67">
        <v>0</v>
      </c>
      <c r="N1572" s="68">
        <f t="shared" si="102"/>
        <v>1304550</v>
      </c>
      <c r="O1572" s="69">
        <f t="shared" si="101"/>
        <v>1304550</v>
      </c>
      <c r="P1572" s="42" t="str">
        <f>IFERROR(VLOOKUP(J1572,'Mã NV'!$B:$C,2,0),"")</f>
        <v>XE01466</v>
      </c>
      <c r="Q1572" s="70" t="str">
        <f>IFERROR(VLOOKUP(I1572,'Mã NV'!$J:$K,2,0),"")</f>
        <v>6.5T</v>
      </c>
      <c r="S1572" s="44">
        <f t="shared" si="100"/>
        <v>195682.5</v>
      </c>
    </row>
    <row r="1573" customHeight="1" spans="1:19">
      <c r="A1573" s="63">
        <f t="shared" si="103"/>
        <v>1567</v>
      </c>
      <c r="B1573" s="64">
        <v>46168</v>
      </c>
      <c r="C1573" s="65"/>
      <c r="D1573" s="66" t="s">
        <v>33</v>
      </c>
      <c r="E1573" s="66" t="s">
        <v>33</v>
      </c>
      <c r="F1573" s="66" t="s">
        <v>985</v>
      </c>
      <c r="G1573" s="66" t="s">
        <v>750</v>
      </c>
      <c r="H1573" s="66" t="s">
        <v>1056</v>
      </c>
      <c r="I1573" s="66" t="s">
        <v>115</v>
      </c>
      <c r="J1573" s="66" t="s">
        <v>113</v>
      </c>
      <c r="K1573" s="66" t="s">
        <v>747</v>
      </c>
      <c r="L1573" s="67">
        <v>2085612</v>
      </c>
      <c r="M1573" s="67">
        <v>0</v>
      </c>
      <c r="N1573" s="68">
        <f t="shared" si="102"/>
        <v>2085612</v>
      </c>
      <c r="O1573" s="69">
        <f t="shared" si="101"/>
        <v>2085612</v>
      </c>
      <c r="P1573" s="42" t="str">
        <f>IFERROR(VLOOKUP(J1573,'Mã NV'!$B:$C,2,0),"")</f>
        <v>XE00447</v>
      </c>
      <c r="Q1573" s="70" t="str">
        <f>IFERROR(VLOOKUP(I1573,'Mã NV'!$J:$K,2,0),"")</f>
        <v>8T</v>
      </c>
      <c r="S1573" s="44">
        <f t="shared" si="100"/>
        <v>312841.8</v>
      </c>
    </row>
    <row r="1574" customHeight="1" spans="1:19">
      <c r="A1574" s="63">
        <f t="shared" si="103"/>
        <v>1568</v>
      </c>
      <c r="B1574" s="64">
        <v>46168</v>
      </c>
      <c r="C1574" s="65"/>
      <c r="D1574" s="66" t="s">
        <v>33</v>
      </c>
      <c r="E1574" s="66" t="s">
        <v>33</v>
      </c>
      <c r="F1574" s="66" t="s">
        <v>985</v>
      </c>
      <c r="G1574" s="66" t="s">
        <v>750</v>
      </c>
      <c r="H1574" s="66" t="s">
        <v>1057</v>
      </c>
      <c r="I1574" s="66" t="s">
        <v>115</v>
      </c>
      <c r="J1574" s="66" t="s">
        <v>113</v>
      </c>
      <c r="K1574" s="66" t="s">
        <v>747</v>
      </c>
      <c r="L1574" s="67">
        <v>3341655</v>
      </c>
      <c r="M1574" s="67">
        <v>0</v>
      </c>
      <c r="N1574" s="68">
        <f t="shared" si="102"/>
        <v>3341655</v>
      </c>
      <c r="O1574" s="69">
        <f t="shared" si="101"/>
        <v>3341655</v>
      </c>
      <c r="P1574" s="42" t="str">
        <f>IFERROR(VLOOKUP(J1574,'Mã NV'!$B:$C,2,0),"")</f>
        <v>XE00447</v>
      </c>
      <c r="Q1574" s="70" t="str">
        <f>IFERROR(VLOOKUP(I1574,'Mã NV'!$J:$K,2,0),"")</f>
        <v>8T</v>
      </c>
      <c r="S1574" s="44">
        <f t="shared" si="100"/>
        <v>501248.25</v>
      </c>
    </row>
    <row r="1575" customHeight="1" spans="1:19">
      <c r="A1575" s="63">
        <f t="shared" si="103"/>
        <v>1569</v>
      </c>
      <c r="B1575" s="64">
        <v>46168</v>
      </c>
      <c r="C1575" s="65"/>
      <c r="D1575" s="66" t="s">
        <v>33</v>
      </c>
      <c r="E1575" s="66" t="s">
        <v>33</v>
      </c>
      <c r="F1575" s="66" t="s">
        <v>985</v>
      </c>
      <c r="G1575" s="66" t="s">
        <v>750</v>
      </c>
      <c r="H1575" s="66" t="s">
        <v>1058</v>
      </c>
      <c r="I1575" s="66" t="s">
        <v>127</v>
      </c>
      <c r="J1575" s="66" t="s">
        <v>125</v>
      </c>
      <c r="K1575" s="66" t="s">
        <v>747</v>
      </c>
      <c r="L1575" s="67">
        <v>1651685</v>
      </c>
      <c r="M1575" s="67">
        <v>0</v>
      </c>
      <c r="N1575" s="68">
        <f t="shared" si="102"/>
        <v>1651685</v>
      </c>
      <c r="O1575" s="69">
        <f t="shared" si="101"/>
        <v>1651685</v>
      </c>
      <c r="P1575" s="42" t="str">
        <f>IFERROR(VLOOKUP(J1575,'Mã NV'!$B:$C,2,0),"")</f>
        <v>XE00547</v>
      </c>
      <c r="Q1575" s="70" t="str">
        <f>IFERROR(VLOOKUP(I1575,'Mã NV'!$J:$K,2,0),"")</f>
        <v>8T</v>
      </c>
      <c r="S1575" s="44">
        <f t="shared" si="100"/>
        <v>247752.75</v>
      </c>
    </row>
    <row r="1576" customHeight="1" spans="1:19">
      <c r="A1576" s="63">
        <f t="shared" si="103"/>
        <v>1570</v>
      </c>
      <c r="B1576" s="64">
        <v>46168</v>
      </c>
      <c r="C1576" s="65"/>
      <c r="D1576" s="66" t="s">
        <v>33</v>
      </c>
      <c r="E1576" s="66" t="s">
        <v>33</v>
      </c>
      <c r="F1576" s="66" t="s">
        <v>985</v>
      </c>
      <c r="G1576" s="66" t="s">
        <v>750</v>
      </c>
      <c r="H1576" s="66" t="s">
        <v>1054</v>
      </c>
      <c r="I1576" s="66" t="s">
        <v>127</v>
      </c>
      <c r="J1576" s="66" t="s">
        <v>125</v>
      </c>
      <c r="K1576" s="66" t="s">
        <v>747</v>
      </c>
      <c r="L1576" s="67">
        <v>2488680</v>
      </c>
      <c r="M1576" s="67">
        <v>0</v>
      </c>
      <c r="N1576" s="68">
        <f t="shared" si="102"/>
        <v>2488680</v>
      </c>
      <c r="O1576" s="69">
        <f t="shared" si="101"/>
        <v>2488680</v>
      </c>
      <c r="P1576" s="42" t="str">
        <f>IFERROR(VLOOKUP(J1576,'Mã NV'!$B:$C,2,0),"")</f>
        <v>XE00547</v>
      </c>
      <c r="Q1576" s="70" t="str">
        <f>IFERROR(VLOOKUP(I1576,'Mã NV'!$J:$K,2,0),"")</f>
        <v>8T</v>
      </c>
      <c r="S1576" s="44">
        <f t="shared" si="100"/>
        <v>373302</v>
      </c>
    </row>
    <row r="1577" customHeight="1" spans="1:19">
      <c r="A1577" s="63">
        <f t="shared" si="103"/>
        <v>1571</v>
      </c>
      <c r="B1577" s="64">
        <v>46168</v>
      </c>
      <c r="C1577" s="65"/>
      <c r="D1577" s="66" t="s">
        <v>33</v>
      </c>
      <c r="E1577" s="66" t="s">
        <v>33</v>
      </c>
      <c r="F1577" s="66" t="s">
        <v>985</v>
      </c>
      <c r="G1577" s="66" t="s">
        <v>750</v>
      </c>
      <c r="H1577" s="66" t="s">
        <v>1055</v>
      </c>
      <c r="I1577" s="66" t="s">
        <v>127</v>
      </c>
      <c r="J1577" s="66" t="s">
        <v>125</v>
      </c>
      <c r="K1577" s="66" t="s">
        <v>747</v>
      </c>
      <c r="L1577" s="67">
        <v>531855</v>
      </c>
      <c r="M1577" s="67">
        <v>0</v>
      </c>
      <c r="N1577" s="68">
        <f t="shared" si="102"/>
        <v>531855</v>
      </c>
      <c r="O1577" s="69">
        <f t="shared" si="101"/>
        <v>531855</v>
      </c>
      <c r="P1577" s="42" t="str">
        <f>IFERROR(VLOOKUP(J1577,'Mã NV'!$B:$C,2,0),"")</f>
        <v>XE00547</v>
      </c>
      <c r="Q1577" s="70" t="str">
        <f>IFERROR(VLOOKUP(I1577,'Mã NV'!$J:$K,2,0),"")</f>
        <v>8T</v>
      </c>
      <c r="S1577" s="44">
        <f t="shared" si="100"/>
        <v>79778.25</v>
      </c>
    </row>
    <row r="1578" customHeight="1" spans="1:19">
      <c r="A1578" s="63">
        <f t="shared" si="103"/>
        <v>1572</v>
      </c>
      <c r="B1578" s="64">
        <v>46168</v>
      </c>
      <c r="C1578" s="65"/>
      <c r="D1578" s="66" t="s">
        <v>33</v>
      </c>
      <c r="E1578" s="66" t="s">
        <v>33</v>
      </c>
      <c r="F1578" s="66" t="s">
        <v>985</v>
      </c>
      <c r="G1578" s="66" t="s">
        <v>750</v>
      </c>
      <c r="H1578" s="66" t="s">
        <v>1059</v>
      </c>
      <c r="I1578" s="66" t="s">
        <v>134</v>
      </c>
      <c r="J1578" s="66" t="s">
        <v>359</v>
      </c>
      <c r="K1578" s="66" t="s">
        <v>747</v>
      </c>
      <c r="L1578" s="67">
        <v>729182</v>
      </c>
      <c r="M1578" s="67">
        <v>0</v>
      </c>
      <c r="N1578" s="68">
        <f t="shared" si="102"/>
        <v>729182</v>
      </c>
      <c r="O1578" s="69">
        <f t="shared" si="101"/>
        <v>729182</v>
      </c>
      <c r="P1578" s="42" t="str">
        <f>IFERROR(VLOOKUP(J1578,'Mã NV'!$B:$C,2,0),"")</f>
        <v>XE01639</v>
      </c>
      <c r="Q1578" s="70" t="str">
        <f>IFERROR(VLOOKUP(I1578,'Mã NV'!$J:$K,2,0),"")</f>
        <v>2.5T Lạnh</v>
      </c>
      <c r="S1578" s="44">
        <f t="shared" ref="S1578:S1603" si="104">L1578*15%</f>
        <v>109377.3</v>
      </c>
    </row>
    <row r="1579" customHeight="1" spans="1:19">
      <c r="A1579" s="63">
        <f t="shared" si="103"/>
        <v>1573</v>
      </c>
      <c r="B1579" s="64">
        <v>46168</v>
      </c>
      <c r="C1579" s="65"/>
      <c r="D1579" s="66" t="s">
        <v>33</v>
      </c>
      <c r="E1579" s="66" t="s">
        <v>33</v>
      </c>
      <c r="F1579" s="66" t="s">
        <v>985</v>
      </c>
      <c r="G1579" s="66" t="s">
        <v>750</v>
      </c>
      <c r="H1579" s="66" t="s">
        <v>1060</v>
      </c>
      <c r="I1579" s="66" t="s">
        <v>134</v>
      </c>
      <c r="J1579" s="66" t="s">
        <v>359</v>
      </c>
      <c r="K1579" s="66" t="s">
        <v>747</v>
      </c>
      <c r="L1579" s="67">
        <v>35340</v>
      </c>
      <c r="M1579" s="67">
        <v>0</v>
      </c>
      <c r="N1579" s="68">
        <f t="shared" si="102"/>
        <v>35340</v>
      </c>
      <c r="O1579" s="69">
        <f t="shared" si="101"/>
        <v>35340</v>
      </c>
      <c r="P1579" s="42" t="str">
        <f>IFERROR(VLOOKUP(J1579,'Mã NV'!$B:$C,2,0),"")</f>
        <v>XE01639</v>
      </c>
      <c r="Q1579" s="70" t="str">
        <f>IFERROR(VLOOKUP(I1579,'Mã NV'!$J:$K,2,0),"")</f>
        <v>2.5T Lạnh</v>
      </c>
      <c r="S1579" s="44">
        <f t="shared" si="104"/>
        <v>5301</v>
      </c>
    </row>
    <row r="1580" customHeight="1" spans="1:19">
      <c r="A1580" s="63">
        <f t="shared" si="103"/>
        <v>1574</v>
      </c>
      <c r="B1580" s="64">
        <v>46168</v>
      </c>
      <c r="C1580" s="65"/>
      <c r="D1580" s="66" t="s">
        <v>33</v>
      </c>
      <c r="E1580" s="66" t="s">
        <v>33</v>
      </c>
      <c r="F1580" s="66" t="s">
        <v>985</v>
      </c>
      <c r="G1580" s="66" t="s">
        <v>750</v>
      </c>
      <c r="H1580" s="66" t="s">
        <v>1061</v>
      </c>
      <c r="I1580" s="66" t="s">
        <v>134</v>
      </c>
      <c r="J1580" s="66" t="s">
        <v>359</v>
      </c>
      <c r="K1580" s="66" t="s">
        <v>747</v>
      </c>
      <c r="L1580" s="67">
        <v>11780</v>
      </c>
      <c r="M1580" s="67">
        <v>0</v>
      </c>
      <c r="N1580" s="68">
        <f t="shared" si="102"/>
        <v>11780</v>
      </c>
      <c r="O1580" s="69">
        <f t="shared" si="101"/>
        <v>11780</v>
      </c>
      <c r="P1580" s="42" t="str">
        <f>IFERROR(VLOOKUP(J1580,'Mã NV'!$B:$C,2,0),"")</f>
        <v>XE01639</v>
      </c>
      <c r="Q1580" s="70" t="str">
        <f>IFERROR(VLOOKUP(I1580,'Mã NV'!$J:$K,2,0),"")</f>
        <v>2.5T Lạnh</v>
      </c>
      <c r="S1580" s="44">
        <f t="shared" si="104"/>
        <v>1767</v>
      </c>
    </row>
    <row r="1581" customHeight="1" spans="1:19">
      <c r="A1581" s="63">
        <f t="shared" si="103"/>
        <v>1575</v>
      </c>
      <c r="B1581" s="64">
        <v>46169</v>
      </c>
      <c r="C1581" s="65"/>
      <c r="D1581" s="66" t="s">
        <v>33</v>
      </c>
      <c r="E1581" s="66" t="s">
        <v>33</v>
      </c>
      <c r="F1581" s="66" t="s">
        <v>985</v>
      </c>
      <c r="G1581" s="66" t="s">
        <v>750</v>
      </c>
      <c r="H1581" s="66" t="s">
        <v>1062</v>
      </c>
      <c r="I1581" s="66" t="s">
        <v>164</v>
      </c>
      <c r="J1581" s="66" t="s">
        <v>217</v>
      </c>
      <c r="K1581" s="66" t="s">
        <v>747</v>
      </c>
      <c r="L1581" s="67">
        <v>1756426</v>
      </c>
      <c r="M1581" s="67">
        <v>0</v>
      </c>
      <c r="N1581" s="68">
        <f t="shared" si="102"/>
        <v>1756426</v>
      </c>
      <c r="O1581" s="69">
        <f t="shared" si="101"/>
        <v>1756426</v>
      </c>
      <c r="P1581" s="42" t="str">
        <f>IFERROR(VLOOKUP(J1581,'Mã NV'!$B:$C,2,0),"")</f>
        <v>XE01004</v>
      </c>
      <c r="Q1581" s="70" t="str">
        <f>IFERROR(VLOOKUP(I1581,'Mã NV'!$J:$K,2,0),"")</f>
        <v>6.5T</v>
      </c>
      <c r="S1581" s="44">
        <f t="shared" si="104"/>
        <v>263463.9</v>
      </c>
    </row>
    <row r="1582" customHeight="1" spans="1:19">
      <c r="A1582" s="63">
        <f t="shared" si="103"/>
        <v>1576</v>
      </c>
      <c r="B1582" s="64">
        <v>46169</v>
      </c>
      <c r="C1582" s="65"/>
      <c r="D1582" s="66" t="s">
        <v>33</v>
      </c>
      <c r="E1582" s="66" t="s">
        <v>33</v>
      </c>
      <c r="F1582" s="66" t="s">
        <v>985</v>
      </c>
      <c r="G1582" s="66" t="s">
        <v>750</v>
      </c>
      <c r="H1582" s="66" t="s">
        <v>1060</v>
      </c>
      <c r="I1582" s="66" t="s">
        <v>136</v>
      </c>
      <c r="J1582" s="66" t="s">
        <v>361</v>
      </c>
      <c r="K1582" s="66" t="s">
        <v>747</v>
      </c>
      <c r="L1582" s="67">
        <v>1796450</v>
      </c>
      <c r="M1582" s="67">
        <v>0</v>
      </c>
      <c r="N1582" s="68">
        <f t="shared" si="102"/>
        <v>1796450</v>
      </c>
      <c r="O1582" s="69">
        <f t="shared" si="101"/>
        <v>1796450</v>
      </c>
      <c r="P1582" s="42" t="str">
        <f>IFERROR(VLOOKUP(J1582,'Mã NV'!$B:$C,2,0),"")</f>
        <v>XE01641</v>
      </c>
      <c r="Q1582" s="70" t="str">
        <f>IFERROR(VLOOKUP(I1582,'Mã NV'!$J:$K,2,0),"")</f>
        <v>6.5T</v>
      </c>
      <c r="S1582" s="44">
        <f t="shared" si="104"/>
        <v>269467.5</v>
      </c>
    </row>
    <row r="1583" customHeight="1" spans="1:19">
      <c r="A1583" s="63">
        <f t="shared" si="103"/>
        <v>1577</v>
      </c>
      <c r="B1583" s="64">
        <v>46169</v>
      </c>
      <c r="C1583" s="65"/>
      <c r="D1583" s="66" t="s">
        <v>33</v>
      </c>
      <c r="E1583" s="66" t="s">
        <v>33</v>
      </c>
      <c r="F1583" s="66" t="s">
        <v>985</v>
      </c>
      <c r="G1583" s="66" t="s">
        <v>750</v>
      </c>
      <c r="H1583" s="66" t="s">
        <v>1063</v>
      </c>
      <c r="I1583" s="66" t="s">
        <v>136</v>
      </c>
      <c r="J1583" s="66" t="s">
        <v>361</v>
      </c>
      <c r="K1583" s="66" t="s">
        <v>747</v>
      </c>
      <c r="L1583" s="67">
        <v>1178000</v>
      </c>
      <c r="M1583" s="67">
        <v>0</v>
      </c>
      <c r="N1583" s="68">
        <f t="shared" si="102"/>
        <v>1178000</v>
      </c>
      <c r="O1583" s="69">
        <f t="shared" si="101"/>
        <v>1178000</v>
      </c>
      <c r="P1583" s="42" t="str">
        <f>IFERROR(VLOOKUP(J1583,'Mã NV'!$B:$C,2,0),"")</f>
        <v>XE01641</v>
      </c>
      <c r="Q1583" s="70" t="str">
        <f>IFERROR(VLOOKUP(I1583,'Mã NV'!$J:$K,2,0),"")</f>
        <v>6.5T</v>
      </c>
      <c r="S1583" s="44">
        <f t="shared" si="104"/>
        <v>176700</v>
      </c>
    </row>
    <row r="1584" customHeight="1" spans="1:19">
      <c r="A1584" s="63">
        <f t="shared" si="103"/>
        <v>1578</v>
      </c>
      <c r="B1584" s="64">
        <v>46169</v>
      </c>
      <c r="C1584" s="65"/>
      <c r="D1584" s="66" t="s">
        <v>33</v>
      </c>
      <c r="E1584" s="66" t="s">
        <v>33</v>
      </c>
      <c r="F1584" s="66" t="s">
        <v>985</v>
      </c>
      <c r="G1584" s="66" t="s">
        <v>750</v>
      </c>
      <c r="H1584" s="66" t="s">
        <v>1064</v>
      </c>
      <c r="I1584" s="66" t="s">
        <v>84</v>
      </c>
      <c r="J1584" s="66" t="s">
        <v>82</v>
      </c>
      <c r="K1584" s="66" t="s">
        <v>747</v>
      </c>
      <c r="L1584" s="67">
        <v>3843972</v>
      </c>
      <c r="M1584" s="67">
        <v>0</v>
      </c>
      <c r="N1584" s="68">
        <f t="shared" si="102"/>
        <v>3843972</v>
      </c>
      <c r="O1584" s="69">
        <f t="shared" si="101"/>
        <v>3843972</v>
      </c>
      <c r="P1584" s="42" t="str">
        <f>IFERROR(VLOOKUP(J1584,'Mã NV'!$B:$C,2,0),"")</f>
        <v>XE00832</v>
      </c>
      <c r="Q1584" s="70" t="str">
        <f>IFERROR(VLOOKUP(I1584,'Mã NV'!$J:$K,2,0),"")</f>
        <v>6.5T</v>
      </c>
      <c r="S1584" s="44">
        <f t="shared" si="104"/>
        <v>576595.8</v>
      </c>
    </row>
    <row r="1585" customHeight="1" spans="1:19">
      <c r="A1585" s="63">
        <f t="shared" si="103"/>
        <v>1579</v>
      </c>
      <c r="B1585" s="64">
        <v>46170</v>
      </c>
      <c r="C1585" s="65"/>
      <c r="D1585" s="66" t="s">
        <v>33</v>
      </c>
      <c r="E1585" s="66" t="s">
        <v>33</v>
      </c>
      <c r="F1585" s="66" t="s">
        <v>985</v>
      </c>
      <c r="G1585" s="66" t="s">
        <v>750</v>
      </c>
      <c r="H1585" s="66" t="s">
        <v>1065</v>
      </c>
      <c r="I1585" s="66" t="s">
        <v>191</v>
      </c>
      <c r="J1585" s="66" t="s">
        <v>189</v>
      </c>
      <c r="K1585" s="66" t="s">
        <v>747</v>
      </c>
      <c r="L1585" s="67">
        <v>2691000</v>
      </c>
      <c r="M1585" s="67">
        <v>0</v>
      </c>
      <c r="N1585" s="68">
        <f t="shared" si="102"/>
        <v>2691000</v>
      </c>
      <c r="O1585" s="69">
        <f t="shared" ref="O1585:O1600" si="105">N1585/$P$1</f>
        <v>2691000</v>
      </c>
      <c r="P1585" s="42" t="str">
        <f>IFERROR(VLOOKUP(J1585,'Mã NV'!$B:$C,2,0),"")</f>
        <v>XE00891</v>
      </c>
      <c r="Q1585" s="70" t="str">
        <f>IFERROR(VLOOKUP(I1585,'Mã NV'!$J:$K,2,0),"")</f>
        <v>8T</v>
      </c>
      <c r="S1585" s="44">
        <f t="shared" si="104"/>
        <v>403650</v>
      </c>
    </row>
    <row r="1586" customHeight="1" spans="1:19">
      <c r="A1586" s="63">
        <f t="shared" si="103"/>
        <v>1580</v>
      </c>
      <c r="B1586" s="64">
        <v>46170</v>
      </c>
      <c r="C1586" s="65"/>
      <c r="D1586" s="66" t="s">
        <v>33</v>
      </c>
      <c r="E1586" s="66" t="s">
        <v>33</v>
      </c>
      <c r="F1586" s="66" t="s">
        <v>985</v>
      </c>
      <c r="G1586" s="66" t="s">
        <v>750</v>
      </c>
      <c r="H1586" s="66" t="s">
        <v>1066</v>
      </c>
      <c r="I1586" s="66" t="s">
        <v>84</v>
      </c>
      <c r="J1586" s="66" t="s">
        <v>82</v>
      </c>
      <c r="K1586" s="66" t="s">
        <v>747</v>
      </c>
      <c r="L1586" s="67">
        <v>24680</v>
      </c>
      <c r="M1586" s="67">
        <v>0</v>
      </c>
      <c r="N1586" s="68">
        <f t="shared" ref="N1586:N1600" si="106">L1586-M1586</f>
        <v>24680</v>
      </c>
      <c r="O1586" s="69">
        <f t="shared" si="105"/>
        <v>24680</v>
      </c>
      <c r="P1586" s="42" t="str">
        <f>IFERROR(VLOOKUP(J1586,'Mã NV'!$B:$C,2,0),"")</f>
        <v>XE00832</v>
      </c>
      <c r="Q1586" s="70" t="str">
        <f>IFERROR(VLOOKUP(I1586,'Mã NV'!$J:$K,2,0),"")</f>
        <v>6.5T</v>
      </c>
      <c r="S1586" s="44">
        <f t="shared" si="104"/>
        <v>3702</v>
      </c>
    </row>
    <row r="1587" customHeight="1" spans="1:19">
      <c r="A1587" s="63">
        <f t="shared" si="103"/>
        <v>1581</v>
      </c>
      <c r="B1587" s="64">
        <v>46170</v>
      </c>
      <c r="C1587" s="65"/>
      <c r="D1587" s="66" t="s">
        <v>33</v>
      </c>
      <c r="E1587" s="66" t="s">
        <v>33</v>
      </c>
      <c r="F1587" s="66" t="s">
        <v>985</v>
      </c>
      <c r="G1587" s="66" t="s">
        <v>750</v>
      </c>
      <c r="H1587" s="66" t="s">
        <v>1067</v>
      </c>
      <c r="I1587" s="66" t="s">
        <v>84</v>
      </c>
      <c r="J1587" s="66" t="s">
        <v>82</v>
      </c>
      <c r="K1587" s="66" t="s">
        <v>747</v>
      </c>
      <c r="L1587" s="67">
        <v>154250</v>
      </c>
      <c r="M1587" s="67">
        <v>0</v>
      </c>
      <c r="N1587" s="68">
        <f t="shared" si="106"/>
        <v>154250</v>
      </c>
      <c r="O1587" s="69">
        <f t="shared" si="105"/>
        <v>154250</v>
      </c>
      <c r="P1587" s="42" t="str">
        <f>IFERROR(VLOOKUP(J1587,'Mã NV'!$B:$C,2,0),"")</f>
        <v>XE00832</v>
      </c>
      <c r="Q1587" s="70" t="str">
        <f>IFERROR(VLOOKUP(I1587,'Mã NV'!$J:$K,2,0),"")</f>
        <v>6.5T</v>
      </c>
      <c r="S1587" s="44">
        <f t="shared" si="104"/>
        <v>23137.5</v>
      </c>
    </row>
    <row r="1588" customHeight="1" spans="1:19">
      <c r="A1588" s="63">
        <f t="shared" si="103"/>
        <v>1582</v>
      </c>
      <c r="B1588" s="64">
        <v>46170</v>
      </c>
      <c r="C1588" s="65"/>
      <c r="D1588" s="66" t="s">
        <v>33</v>
      </c>
      <c r="E1588" s="66" t="s">
        <v>33</v>
      </c>
      <c r="F1588" s="66" t="s">
        <v>985</v>
      </c>
      <c r="G1588" s="66" t="s">
        <v>750</v>
      </c>
      <c r="H1588" s="66" t="s">
        <v>1068</v>
      </c>
      <c r="I1588" s="66" t="s">
        <v>84</v>
      </c>
      <c r="J1588" s="66" t="s">
        <v>82</v>
      </c>
      <c r="K1588" s="66" t="s">
        <v>747</v>
      </c>
      <c r="L1588" s="67">
        <v>1755982</v>
      </c>
      <c r="M1588" s="67">
        <v>0</v>
      </c>
      <c r="N1588" s="68">
        <f t="shared" si="106"/>
        <v>1755982</v>
      </c>
      <c r="O1588" s="69">
        <f t="shared" si="105"/>
        <v>1755982</v>
      </c>
      <c r="P1588" s="42" t="str">
        <f>IFERROR(VLOOKUP(J1588,'Mã NV'!$B:$C,2,0),"")</f>
        <v>XE00832</v>
      </c>
      <c r="Q1588" s="70" t="str">
        <f>IFERROR(VLOOKUP(I1588,'Mã NV'!$J:$K,2,0),"")</f>
        <v>6.5T</v>
      </c>
      <c r="S1588" s="44">
        <f t="shared" si="104"/>
        <v>263397.3</v>
      </c>
    </row>
    <row r="1589" customHeight="1" spans="1:19">
      <c r="A1589" s="63">
        <f t="shared" si="103"/>
        <v>1583</v>
      </c>
      <c r="B1589" s="64">
        <v>46170</v>
      </c>
      <c r="C1589" s="65"/>
      <c r="D1589" s="66" t="s">
        <v>33</v>
      </c>
      <c r="E1589" s="66" t="s">
        <v>33</v>
      </c>
      <c r="F1589" s="66" t="s">
        <v>985</v>
      </c>
      <c r="G1589" s="66" t="s">
        <v>750</v>
      </c>
      <c r="H1589" s="66" t="s">
        <v>1053</v>
      </c>
      <c r="I1589" s="66" t="s">
        <v>84</v>
      </c>
      <c r="J1589" s="66" t="s">
        <v>82</v>
      </c>
      <c r="K1589" s="66" t="s">
        <v>747</v>
      </c>
      <c r="L1589" s="67">
        <v>1416470</v>
      </c>
      <c r="M1589" s="67">
        <v>0</v>
      </c>
      <c r="N1589" s="68">
        <f t="shared" si="106"/>
        <v>1416470</v>
      </c>
      <c r="O1589" s="69">
        <f t="shared" si="105"/>
        <v>1416470</v>
      </c>
      <c r="P1589" s="42" t="str">
        <f>IFERROR(VLOOKUP(J1589,'Mã NV'!$B:$C,2,0),"")</f>
        <v>XE00832</v>
      </c>
      <c r="Q1589" s="70" t="str">
        <f>IFERROR(VLOOKUP(I1589,'Mã NV'!$J:$K,2,0),"")</f>
        <v>6.5T</v>
      </c>
      <c r="S1589" s="44">
        <f t="shared" si="104"/>
        <v>212470.5</v>
      </c>
    </row>
    <row r="1590" customHeight="1" spans="1:19">
      <c r="A1590" s="63">
        <f t="shared" si="103"/>
        <v>1584</v>
      </c>
      <c r="B1590" s="64">
        <v>46170</v>
      </c>
      <c r="C1590" s="65"/>
      <c r="D1590" s="66" t="s">
        <v>33</v>
      </c>
      <c r="E1590" s="66" t="s">
        <v>33</v>
      </c>
      <c r="F1590" s="66" t="s">
        <v>985</v>
      </c>
      <c r="G1590" s="66" t="s">
        <v>750</v>
      </c>
      <c r="H1590" s="66" t="s">
        <v>1069</v>
      </c>
      <c r="I1590" s="66" t="s">
        <v>81</v>
      </c>
      <c r="J1590" s="66" t="s">
        <v>79</v>
      </c>
      <c r="K1590" s="66" t="s">
        <v>747</v>
      </c>
      <c r="L1590" s="67">
        <v>710050</v>
      </c>
      <c r="M1590" s="67">
        <v>0</v>
      </c>
      <c r="N1590" s="68">
        <f t="shared" si="106"/>
        <v>710050</v>
      </c>
      <c r="O1590" s="69">
        <f t="shared" si="105"/>
        <v>710050</v>
      </c>
      <c r="P1590" s="42" t="str">
        <f>IFERROR(VLOOKUP(J1590,'Mã NV'!$B:$C,2,0),"")</f>
        <v>XE00777</v>
      </c>
      <c r="Q1590" s="70" t="str">
        <f>IFERROR(VLOOKUP(I1590,'Mã NV'!$J:$K,2,0),"")</f>
        <v>6.5T</v>
      </c>
      <c r="S1590" s="44">
        <f t="shared" si="104"/>
        <v>106507.5</v>
      </c>
    </row>
    <row r="1591" customHeight="1" spans="1:19">
      <c r="A1591" s="63">
        <f t="shared" si="103"/>
        <v>1585</v>
      </c>
      <c r="B1591" s="64">
        <v>46170</v>
      </c>
      <c r="C1591" s="65"/>
      <c r="D1591" s="66" t="s">
        <v>33</v>
      </c>
      <c r="E1591" s="66" t="s">
        <v>33</v>
      </c>
      <c r="F1591" s="66" t="s">
        <v>985</v>
      </c>
      <c r="G1591" s="66" t="s">
        <v>750</v>
      </c>
      <c r="H1591" s="66" t="s">
        <v>1070</v>
      </c>
      <c r="I1591" s="66" t="s">
        <v>81</v>
      </c>
      <c r="J1591" s="66" t="s">
        <v>79</v>
      </c>
      <c r="K1591" s="66" t="s">
        <v>747</v>
      </c>
      <c r="L1591" s="67">
        <v>11780</v>
      </c>
      <c r="M1591" s="67">
        <v>0</v>
      </c>
      <c r="N1591" s="68">
        <f t="shared" si="106"/>
        <v>11780</v>
      </c>
      <c r="O1591" s="69">
        <f t="shared" si="105"/>
        <v>11780</v>
      </c>
      <c r="P1591" s="42" t="str">
        <f>IFERROR(VLOOKUP(J1591,'Mã NV'!$B:$C,2,0),"")</f>
        <v>XE00777</v>
      </c>
      <c r="Q1591" s="70" t="str">
        <f>IFERROR(VLOOKUP(I1591,'Mã NV'!$J:$K,2,0),"")</f>
        <v>6.5T</v>
      </c>
      <c r="S1591" s="44">
        <f t="shared" si="104"/>
        <v>1767</v>
      </c>
    </row>
    <row r="1592" customHeight="1" spans="1:19">
      <c r="A1592" s="63">
        <f t="shared" si="103"/>
        <v>1586</v>
      </c>
      <c r="B1592" s="64">
        <v>46170</v>
      </c>
      <c r="C1592" s="65"/>
      <c r="D1592" s="66" t="s">
        <v>33</v>
      </c>
      <c r="E1592" s="66" t="s">
        <v>33</v>
      </c>
      <c r="F1592" s="66" t="s">
        <v>985</v>
      </c>
      <c r="G1592" s="66" t="s">
        <v>750</v>
      </c>
      <c r="H1592" s="66" t="s">
        <v>1071</v>
      </c>
      <c r="I1592" s="66" t="s">
        <v>81</v>
      </c>
      <c r="J1592" s="66" t="s">
        <v>79</v>
      </c>
      <c r="K1592" s="66" t="s">
        <v>747</v>
      </c>
      <c r="L1592" s="67">
        <v>3335550</v>
      </c>
      <c r="M1592" s="67">
        <v>0</v>
      </c>
      <c r="N1592" s="68">
        <f t="shared" si="106"/>
        <v>3335550</v>
      </c>
      <c r="O1592" s="69">
        <f t="shared" si="105"/>
        <v>3335550</v>
      </c>
      <c r="P1592" s="42" t="str">
        <f>IFERROR(VLOOKUP(J1592,'Mã NV'!$B:$C,2,0),"")</f>
        <v>XE00777</v>
      </c>
      <c r="Q1592" s="70" t="str">
        <f>IFERROR(VLOOKUP(I1592,'Mã NV'!$J:$K,2,0),"")</f>
        <v>6.5T</v>
      </c>
      <c r="S1592" s="44">
        <f t="shared" si="104"/>
        <v>500332.5</v>
      </c>
    </row>
    <row r="1593" customHeight="1" spans="1:19">
      <c r="A1593" s="63">
        <f t="shared" si="103"/>
        <v>1587</v>
      </c>
      <c r="B1593" s="64">
        <v>46170</v>
      </c>
      <c r="C1593" s="65"/>
      <c r="D1593" s="66" t="s">
        <v>33</v>
      </c>
      <c r="E1593" s="66" t="s">
        <v>33</v>
      </c>
      <c r="F1593" s="66" t="s">
        <v>985</v>
      </c>
      <c r="G1593" s="66" t="s">
        <v>750</v>
      </c>
      <c r="H1593" s="66" t="s">
        <v>1072</v>
      </c>
      <c r="I1593" s="66" t="s">
        <v>136</v>
      </c>
      <c r="J1593" s="66" t="s">
        <v>361</v>
      </c>
      <c r="K1593" s="66" t="s">
        <v>747</v>
      </c>
      <c r="L1593" s="67">
        <v>1097350</v>
      </c>
      <c r="M1593" s="67">
        <v>0</v>
      </c>
      <c r="N1593" s="68">
        <f t="shared" si="106"/>
        <v>1097350</v>
      </c>
      <c r="O1593" s="69">
        <f t="shared" si="105"/>
        <v>1097350</v>
      </c>
      <c r="P1593" s="42" t="str">
        <f>IFERROR(VLOOKUP(J1593,'Mã NV'!$B:$C,2,0),"")</f>
        <v>XE01641</v>
      </c>
      <c r="Q1593" s="70" t="str">
        <f>IFERROR(VLOOKUP(I1593,'Mã NV'!$J:$K,2,0),"")</f>
        <v>6.5T</v>
      </c>
      <c r="S1593" s="44">
        <f t="shared" si="104"/>
        <v>164602.5</v>
      </c>
    </row>
    <row r="1594" customHeight="1" spans="1:19">
      <c r="A1594" s="63">
        <f t="shared" si="103"/>
        <v>1588</v>
      </c>
      <c r="B1594" s="64">
        <v>46170</v>
      </c>
      <c r="C1594" s="65"/>
      <c r="D1594" s="66" t="s">
        <v>33</v>
      </c>
      <c r="E1594" s="66" t="s">
        <v>33</v>
      </c>
      <c r="F1594" s="66" t="s">
        <v>985</v>
      </c>
      <c r="G1594" s="66" t="s">
        <v>750</v>
      </c>
      <c r="H1594" s="66" t="s">
        <v>1073</v>
      </c>
      <c r="I1594" s="66" t="s">
        <v>136</v>
      </c>
      <c r="J1594" s="66" t="s">
        <v>361</v>
      </c>
      <c r="K1594" s="66" t="s">
        <v>747</v>
      </c>
      <c r="L1594" s="67">
        <v>11780</v>
      </c>
      <c r="M1594" s="67">
        <v>0</v>
      </c>
      <c r="N1594" s="68">
        <f t="shared" si="106"/>
        <v>11780</v>
      </c>
      <c r="O1594" s="69">
        <f t="shared" si="105"/>
        <v>11780</v>
      </c>
      <c r="P1594" s="42" t="str">
        <f>IFERROR(VLOOKUP(J1594,'Mã NV'!$B:$C,2,0),"")</f>
        <v>XE01641</v>
      </c>
      <c r="Q1594" s="70" t="str">
        <f>IFERROR(VLOOKUP(I1594,'Mã NV'!$J:$K,2,0),"")</f>
        <v>6.5T</v>
      </c>
      <c r="S1594" s="44">
        <f t="shared" si="104"/>
        <v>1767</v>
      </c>
    </row>
    <row r="1595" customHeight="1" spans="1:19">
      <c r="A1595" s="63">
        <f t="shared" si="103"/>
        <v>1589</v>
      </c>
      <c r="B1595" s="64">
        <v>46170</v>
      </c>
      <c r="C1595" s="65"/>
      <c r="D1595" s="66" t="s">
        <v>33</v>
      </c>
      <c r="E1595" s="66" t="s">
        <v>33</v>
      </c>
      <c r="F1595" s="66" t="s">
        <v>985</v>
      </c>
      <c r="G1595" s="66" t="s">
        <v>750</v>
      </c>
      <c r="H1595" s="66" t="s">
        <v>1061</v>
      </c>
      <c r="I1595" s="66" t="s">
        <v>136</v>
      </c>
      <c r="J1595" s="66" t="s">
        <v>361</v>
      </c>
      <c r="K1595" s="66" t="s">
        <v>747</v>
      </c>
      <c r="L1595" s="67">
        <v>500650</v>
      </c>
      <c r="M1595" s="67">
        <v>0</v>
      </c>
      <c r="N1595" s="68">
        <f t="shared" si="106"/>
        <v>500650</v>
      </c>
      <c r="O1595" s="69">
        <f t="shared" si="105"/>
        <v>500650</v>
      </c>
      <c r="P1595" s="42" t="str">
        <f>IFERROR(VLOOKUP(J1595,'Mã NV'!$B:$C,2,0),"")</f>
        <v>XE01641</v>
      </c>
      <c r="Q1595" s="70" t="str">
        <f>IFERROR(VLOOKUP(I1595,'Mã NV'!$J:$K,2,0),"")</f>
        <v>6.5T</v>
      </c>
      <c r="S1595" s="44">
        <f t="shared" si="104"/>
        <v>75097.5</v>
      </c>
    </row>
    <row r="1596" customHeight="1" spans="1:19">
      <c r="A1596" s="63">
        <f t="shared" si="103"/>
        <v>1590</v>
      </c>
      <c r="B1596" s="64">
        <v>46170</v>
      </c>
      <c r="C1596" s="65"/>
      <c r="D1596" s="66" t="s">
        <v>33</v>
      </c>
      <c r="E1596" s="66" t="s">
        <v>33</v>
      </c>
      <c r="F1596" s="66" t="s">
        <v>985</v>
      </c>
      <c r="G1596" s="66" t="s">
        <v>750</v>
      </c>
      <c r="H1596" s="66" t="s">
        <v>1074</v>
      </c>
      <c r="I1596" s="66" t="s">
        <v>136</v>
      </c>
      <c r="J1596" s="66" t="s">
        <v>361</v>
      </c>
      <c r="K1596" s="66" t="s">
        <v>747</v>
      </c>
      <c r="L1596" s="67">
        <v>2364615</v>
      </c>
      <c r="M1596" s="67">
        <v>0</v>
      </c>
      <c r="N1596" s="68">
        <f t="shared" si="106"/>
        <v>2364615</v>
      </c>
      <c r="O1596" s="69">
        <f t="shared" si="105"/>
        <v>2364615</v>
      </c>
      <c r="P1596" s="42" t="str">
        <f>IFERROR(VLOOKUP(J1596,'Mã NV'!$B:$C,2,0),"")</f>
        <v>XE01641</v>
      </c>
      <c r="Q1596" s="70" t="str">
        <f>IFERROR(VLOOKUP(I1596,'Mã NV'!$J:$K,2,0),"")</f>
        <v>6.5T</v>
      </c>
      <c r="S1596" s="44">
        <f t="shared" si="104"/>
        <v>354692.25</v>
      </c>
    </row>
    <row r="1597" customHeight="1" spans="1:19">
      <c r="A1597" s="63">
        <f t="shared" si="103"/>
        <v>1591</v>
      </c>
      <c r="B1597" s="64">
        <v>46170</v>
      </c>
      <c r="C1597" s="65"/>
      <c r="D1597" s="66" t="s">
        <v>33</v>
      </c>
      <c r="E1597" s="66" t="s">
        <v>33</v>
      </c>
      <c r="F1597" s="66" t="s">
        <v>985</v>
      </c>
      <c r="G1597" s="66" t="s">
        <v>750</v>
      </c>
      <c r="H1597" s="66" t="s">
        <v>1044</v>
      </c>
      <c r="I1597" s="66" t="s">
        <v>37</v>
      </c>
      <c r="J1597" s="66" t="s">
        <v>327</v>
      </c>
      <c r="K1597" s="66" t="s">
        <v>747</v>
      </c>
      <c r="L1597" s="67">
        <v>6127000</v>
      </c>
      <c r="M1597" s="67">
        <v>0</v>
      </c>
      <c r="N1597" s="68">
        <f t="shared" si="106"/>
        <v>6127000</v>
      </c>
      <c r="O1597" s="69">
        <f t="shared" si="105"/>
        <v>6127000</v>
      </c>
      <c r="P1597" s="42" t="str">
        <f>IFERROR(VLOOKUP(J1597,'Mã NV'!$B:$C,2,0),"")</f>
        <v>XE01539</v>
      </c>
      <c r="Q1597" s="70" t="str">
        <f>IFERROR(VLOOKUP(I1597,'Mã NV'!$J:$K,2,0),"")</f>
        <v>Cont 50F</v>
      </c>
      <c r="S1597" s="44">
        <f t="shared" si="104"/>
        <v>919050</v>
      </c>
    </row>
    <row r="1598" customHeight="1" spans="1:19">
      <c r="A1598" s="63"/>
      <c r="B1598" s="64">
        <v>46170</v>
      </c>
      <c r="C1598" s="65"/>
      <c r="D1598" s="66" t="s">
        <v>33</v>
      </c>
      <c r="E1598" s="66" t="s">
        <v>33</v>
      </c>
      <c r="F1598" s="66" t="s">
        <v>985</v>
      </c>
      <c r="G1598" s="66" t="s">
        <v>750</v>
      </c>
      <c r="H1598" s="66" t="s">
        <v>1044</v>
      </c>
      <c r="I1598" s="66" t="s">
        <v>37</v>
      </c>
      <c r="J1598" s="66" t="s">
        <v>327</v>
      </c>
      <c r="K1598" s="66" t="s">
        <v>747</v>
      </c>
      <c r="L1598" s="67">
        <v>6127000</v>
      </c>
      <c r="M1598" s="67">
        <v>0</v>
      </c>
      <c r="N1598" s="68">
        <f t="shared" si="106"/>
        <v>6127000</v>
      </c>
      <c r="O1598" s="69">
        <f t="shared" si="105"/>
        <v>6127000</v>
      </c>
      <c r="P1598" s="42" t="str">
        <f>IFERROR(VLOOKUP(J1598,'Mã NV'!$B:$C,2,0),"")</f>
        <v>XE01539</v>
      </c>
      <c r="Q1598" s="70" t="str">
        <f>IFERROR(VLOOKUP(I1598,'Mã NV'!$J:$K,2,0),"")</f>
        <v>Cont 50F</v>
      </c>
      <c r="S1598" s="44">
        <f t="shared" si="104"/>
        <v>919050</v>
      </c>
    </row>
    <row r="1599" customHeight="1" spans="1:19">
      <c r="A1599" s="63"/>
      <c r="B1599" s="64">
        <v>46170</v>
      </c>
      <c r="C1599" s="65"/>
      <c r="D1599" s="66" t="s">
        <v>33</v>
      </c>
      <c r="E1599" s="66" t="s">
        <v>33</v>
      </c>
      <c r="F1599" s="66" t="s">
        <v>985</v>
      </c>
      <c r="G1599" s="66" t="s">
        <v>750</v>
      </c>
      <c r="H1599" s="66" t="s">
        <v>1044</v>
      </c>
      <c r="I1599" s="66" t="s">
        <v>76</v>
      </c>
      <c r="J1599" s="66" t="s">
        <v>368</v>
      </c>
      <c r="K1599" s="66" t="s">
        <v>747</v>
      </c>
      <c r="L1599" s="67">
        <v>6127000</v>
      </c>
      <c r="M1599" s="67"/>
      <c r="N1599" s="68">
        <f t="shared" si="106"/>
        <v>6127000</v>
      </c>
      <c r="O1599" s="69">
        <f t="shared" si="105"/>
        <v>6127000</v>
      </c>
      <c r="P1599" s="42" t="str">
        <f>IFERROR(VLOOKUP(J1599,'Mã NV'!$B:$C,2,0),"")</f>
        <v>XE00907</v>
      </c>
      <c r="Q1599" s="70" t="str">
        <f>IFERROR(VLOOKUP(I1599,'Mã NV'!$J:$K,2,0),"")</f>
        <v>Cont 50F</v>
      </c>
      <c r="S1599" s="44">
        <f t="shared" si="104"/>
        <v>919050</v>
      </c>
    </row>
    <row r="1600" customHeight="1" spans="1:19">
      <c r="A1600" s="63">
        <f>A1597+1</f>
        <v>1592</v>
      </c>
      <c r="B1600" s="64">
        <v>46170</v>
      </c>
      <c r="C1600" s="65"/>
      <c r="D1600" s="66" t="s">
        <v>33</v>
      </c>
      <c r="E1600" s="66" t="s">
        <v>33</v>
      </c>
      <c r="F1600" s="66" t="s">
        <v>985</v>
      </c>
      <c r="G1600" s="66" t="s">
        <v>750</v>
      </c>
      <c r="H1600" s="66" t="s">
        <v>1044</v>
      </c>
      <c r="I1600" s="66" t="s">
        <v>76</v>
      </c>
      <c r="J1600" s="66" t="s">
        <v>369</v>
      </c>
      <c r="K1600" s="66" t="s">
        <v>747</v>
      </c>
      <c r="L1600" s="67">
        <v>6127000</v>
      </c>
      <c r="M1600" s="67">
        <v>0</v>
      </c>
      <c r="N1600" s="68">
        <f t="shared" si="106"/>
        <v>6127000</v>
      </c>
      <c r="O1600" s="69">
        <f t="shared" si="105"/>
        <v>6127000</v>
      </c>
      <c r="P1600" s="42" t="str">
        <f>IFERROR(VLOOKUP(J1600,'Mã NV'!$B:$C,2,0),"")</f>
        <v>XE00908</v>
      </c>
      <c r="Q1600" s="70" t="str">
        <f>IFERROR(VLOOKUP(I1600,'Mã NV'!$J:$K,2,0),"")</f>
        <v>Cont 50F</v>
      </c>
      <c r="S1600" s="44">
        <f t="shared" si="104"/>
        <v>919050</v>
      </c>
    </row>
    <row r="1601" customHeight="1" spans="1:19">
      <c r="A1601" s="63">
        <f t="shared" ref="A1601:A1616" si="107">A1600+1</f>
        <v>1593</v>
      </c>
      <c r="B1601" s="64">
        <v>46171</v>
      </c>
      <c r="C1601" s="65"/>
      <c r="D1601" s="66" t="s">
        <v>33</v>
      </c>
      <c r="E1601" s="66" t="s">
        <v>33</v>
      </c>
      <c r="F1601" s="66" t="s">
        <v>985</v>
      </c>
      <c r="G1601" s="66" t="s">
        <v>750</v>
      </c>
      <c r="H1601" s="66" t="s">
        <v>1075</v>
      </c>
      <c r="I1601" s="66" t="s">
        <v>191</v>
      </c>
      <c r="J1601" s="66" t="s">
        <v>189</v>
      </c>
      <c r="K1601" s="66" t="s">
        <v>747</v>
      </c>
      <c r="L1601" s="67">
        <v>1442331</v>
      </c>
      <c r="M1601" s="67">
        <v>0</v>
      </c>
      <c r="N1601" s="68">
        <f t="shared" ref="N1600:N1651" si="108">L1601-M1601</f>
        <v>1442331</v>
      </c>
      <c r="O1601" s="69">
        <f t="shared" ref="O1600:O1650" si="109">N1601/$P$1</f>
        <v>1442331</v>
      </c>
      <c r="P1601" s="42" t="str">
        <f>IFERROR(VLOOKUP(J1601,'Mã NV'!$B:$C,2,0),"")</f>
        <v>XE00891</v>
      </c>
      <c r="Q1601" s="70" t="str">
        <f>IFERROR(VLOOKUP(I1601,'Mã NV'!$J:$K,2,0),"")</f>
        <v>8T</v>
      </c>
      <c r="S1601" s="44">
        <f t="shared" si="104"/>
        <v>216349.65</v>
      </c>
    </row>
    <row r="1602" customHeight="1" spans="1:19">
      <c r="A1602" s="63">
        <f t="shared" si="107"/>
        <v>1594</v>
      </c>
      <c r="B1602" s="64">
        <v>46171</v>
      </c>
      <c r="C1602" s="65"/>
      <c r="D1602" s="66" t="s">
        <v>33</v>
      </c>
      <c r="E1602" s="66" t="s">
        <v>33</v>
      </c>
      <c r="F1602" s="66" t="s">
        <v>985</v>
      </c>
      <c r="G1602" s="66" t="s">
        <v>750</v>
      </c>
      <c r="H1602" s="66" t="s">
        <v>1071</v>
      </c>
      <c r="I1602" s="66" t="s">
        <v>191</v>
      </c>
      <c r="J1602" s="66" t="s">
        <v>189</v>
      </c>
      <c r="K1602" s="66" t="s">
        <v>747</v>
      </c>
      <c r="L1602" s="67">
        <v>4440000</v>
      </c>
      <c r="M1602" s="67">
        <v>0</v>
      </c>
      <c r="N1602" s="68">
        <f t="shared" si="108"/>
        <v>4440000</v>
      </c>
      <c r="O1602" s="69">
        <f t="shared" si="109"/>
        <v>4440000</v>
      </c>
      <c r="P1602" s="42" t="str">
        <f>IFERROR(VLOOKUP(J1602,'Mã NV'!$B:$C,2,0),"")</f>
        <v>XE00891</v>
      </c>
      <c r="Q1602" s="70" t="str">
        <f>IFERROR(VLOOKUP(I1602,'Mã NV'!$J:$K,2,0),"")</f>
        <v>8T</v>
      </c>
      <c r="S1602" s="44">
        <f t="shared" si="104"/>
        <v>666000</v>
      </c>
    </row>
    <row r="1603" customHeight="1" spans="1:19">
      <c r="A1603" s="63">
        <f t="shared" si="107"/>
        <v>1595</v>
      </c>
      <c r="B1603" s="64">
        <v>46172</v>
      </c>
      <c r="C1603" s="65"/>
      <c r="D1603" s="66" t="s">
        <v>33</v>
      </c>
      <c r="E1603" s="66" t="s">
        <v>33</v>
      </c>
      <c r="F1603" s="66" t="s">
        <v>985</v>
      </c>
      <c r="G1603" s="66" t="s">
        <v>750</v>
      </c>
      <c r="H1603" s="66" t="s">
        <v>1045</v>
      </c>
      <c r="I1603" s="66" t="s">
        <v>197</v>
      </c>
      <c r="J1603" s="66" t="s">
        <v>195</v>
      </c>
      <c r="K1603" s="66" t="s">
        <v>747</v>
      </c>
      <c r="L1603" s="67">
        <v>4661630</v>
      </c>
      <c r="M1603" s="67">
        <v>0</v>
      </c>
      <c r="N1603" s="68">
        <f t="shared" si="108"/>
        <v>4661630</v>
      </c>
      <c r="O1603" s="69">
        <f t="shared" si="109"/>
        <v>4661630</v>
      </c>
      <c r="P1603" s="42" t="str">
        <f>IFERROR(VLOOKUP(J1603,'Mã NV'!$B:$C,2,0),"")</f>
        <v>XE00449</v>
      </c>
      <c r="Q1603" s="70" t="str">
        <f>IFERROR(VLOOKUP(I1603,'Mã NV'!$J:$K,2,0),"")</f>
        <v>8T</v>
      </c>
      <c r="S1603" s="44">
        <f t="shared" si="104"/>
        <v>699244.5</v>
      </c>
    </row>
    <row r="1604" customHeight="1" spans="1:19">
      <c r="A1604" s="63">
        <f t="shared" si="107"/>
        <v>1596</v>
      </c>
      <c r="B1604" s="64">
        <v>46143</v>
      </c>
      <c r="D1604" s="66" t="s">
        <v>58</v>
      </c>
      <c r="E1604" s="66" t="s">
        <v>58</v>
      </c>
      <c r="F1604" s="66" t="s">
        <v>985</v>
      </c>
      <c r="G1604" s="66" t="s">
        <v>1076</v>
      </c>
      <c r="H1604" s="66" t="s">
        <v>1077</v>
      </c>
      <c r="I1604" s="66" t="s">
        <v>57</v>
      </c>
      <c r="J1604" s="66" t="s">
        <v>55</v>
      </c>
      <c r="K1604" s="66" t="s">
        <v>747</v>
      </c>
      <c r="L1604" s="67">
        <v>658189</v>
      </c>
      <c r="M1604" s="67">
        <v>0</v>
      </c>
      <c r="N1604" s="68">
        <f t="shared" si="108"/>
        <v>658189</v>
      </c>
      <c r="O1604" s="69">
        <f t="shared" si="109"/>
        <v>658189</v>
      </c>
      <c r="P1604" s="42" t="str">
        <f>IFERROR(VLOOKUP(J1604,'Mã NV'!$B:$C,2,0),"")</f>
        <v>XE00768</v>
      </c>
      <c r="Q1604" s="70" t="str">
        <f>IFERROR(VLOOKUP(I1604,'Mã NV'!$J:$K,2,0),"")</f>
        <v>2.5T</v>
      </c>
    </row>
    <row r="1605" customHeight="1" spans="1:19">
      <c r="A1605" s="63">
        <f t="shared" si="107"/>
        <v>1597</v>
      </c>
      <c r="B1605" s="64">
        <v>46143</v>
      </c>
      <c r="D1605" s="66" t="s">
        <v>58</v>
      </c>
      <c r="E1605" s="66" t="s">
        <v>58</v>
      </c>
      <c r="F1605" s="66" t="s">
        <v>985</v>
      </c>
      <c r="G1605" s="66" t="s">
        <v>1076</v>
      </c>
      <c r="H1605" s="66" t="s">
        <v>1078</v>
      </c>
      <c r="I1605" s="66" t="s">
        <v>57</v>
      </c>
      <c r="J1605" s="66" t="s">
        <v>55</v>
      </c>
      <c r="K1605" s="66" t="s">
        <v>747</v>
      </c>
      <c r="L1605" s="67">
        <v>338948</v>
      </c>
      <c r="M1605" s="67">
        <v>0</v>
      </c>
      <c r="N1605" s="68">
        <f t="shared" si="108"/>
        <v>338948</v>
      </c>
      <c r="O1605" s="69">
        <f t="shared" si="109"/>
        <v>338948</v>
      </c>
      <c r="P1605" s="42" t="str">
        <f>IFERROR(VLOOKUP(J1605,'Mã NV'!$B:$C,2,0),"")</f>
        <v>XE00768</v>
      </c>
      <c r="Q1605" s="70" t="str">
        <f>IFERROR(VLOOKUP(I1605,'Mã NV'!$J:$K,2,0),"")</f>
        <v>2.5T</v>
      </c>
    </row>
    <row r="1606" customHeight="1" spans="1:19">
      <c r="A1606" s="63">
        <f t="shared" si="107"/>
        <v>1598</v>
      </c>
      <c r="B1606" s="64">
        <v>46143</v>
      </c>
      <c r="D1606" s="66" t="s">
        <v>58</v>
      </c>
      <c r="E1606" s="66" t="s">
        <v>58</v>
      </c>
      <c r="F1606" s="66" t="s">
        <v>985</v>
      </c>
      <c r="G1606" s="66" t="s">
        <v>1076</v>
      </c>
      <c r="H1606" s="66" t="s">
        <v>1079</v>
      </c>
      <c r="I1606" s="66" t="s">
        <v>57</v>
      </c>
      <c r="J1606" s="66" t="s">
        <v>55</v>
      </c>
      <c r="K1606" s="66" t="s">
        <v>747</v>
      </c>
      <c r="L1606" s="67">
        <v>256181</v>
      </c>
      <c r="M1606" s="67">
        <v>0</v>
      </c>
      <c r="N1606" s="68">
        <f t="shared" si="108"/>
        <v>256181</v>
      </c>
      <c r="O1606" s="69">
        <f t="shared" si="109"/>
        <v>256181</v>
      </c>
      <c r="P1606" s="42" t="str">
        <f>IFERROR(VLOOKUP(J1606,'Mã NV'!$B:$C,2,0),"")</f>
        <v>XE00768</v>
      </c>
      <c r="Q1606" s="70" t="str">
        <f>IFERROR(VLOOKUP(I1606,'Mã NV'!$J:$K,2,0),"")</f>
        <v>2.5T</v>
      </c>
    </row>
    <row r="1607" customHeight="1" spans="1:19">
      <c r="A1607" s="63">
        <f t="shared" si="107"/>
        <v>1599</v>
      </c>
      <c r="B1607" s="64">
        <v>46143</v>
      </c>
      <c r="D1607" s="66" t="s">
        <v>58</v>
      </c>
      <c r="E1607" s="66" t="s">
        <v>58</v>
      </c>
      <c r="F1607" s="66" t="s">
        <v>985</v>
      </c>
      <c r="G1607" s="66" t="s">
        <v>1076</v>
      </c>
      <c r="H1607" s="66" t="s">
        <v>1080</v>
      </c>
      <c r="I1607" s="66" t="s">
        <v>403</v>
      </c>
      <c r="J1607" s="66" t="s">
        <v>401</v>
      </c>
      <c r="K1607" s="66" t="s">
        <v>747</v>
      </c>
      <c r="L1607" s="67">
        <v>382301</v>
      </c>
      <c r="M1607" s="67">
        <v>0</v>
      </c>
      <c r="N1607" s="68">
        <f t="shared" si="108"/>
        <v>382301</v>
      </c>
      <c r="O1607" s="69">
        <f t="shared" si="109"/>
        <v>382301</v>
      </c>
      <c r="P1607" s="42" t="str">
        <f>IFERROR(VLOOKUP(J1607,'Mã NV'!$B:$C,2,0),"")</f>
        <v>XE01466</v>
      </c>
      <c r="Q1607" s="70" t="str">
        <f>IFERROR(VLOOKUP(I1607,'Mã NV'!$J:$K,2,0),"")</f>
        <v>3.5T</v>
      </c>
    </row>
    <row r="1608" customHeight="1" spans="1:19">
      <c r="A1608" s="63">
        <f t="shared" si="107"/>
        <v>1600</v>
      </c>
      <c r="B1608" s="64">
        <v>46143</v>
      </c>
      <c r="D1608" s="66" t="s">
        <v>58</v>
      </c>
      <c r="E1608" s="66" t="s">
        <v>58</v>
      </c>
      <c r="F1608" s="66" t="s">
        <v>985</v>
      </c>
      <c r="G1608" s="66" t="s">
        <v>1076</v>
      </c>
      <c r="H1608" s="66" t="s">
        <v>1081</v>
      </c>
      <c r="I1608" s="66" t="s">
        <v>403</v>
      </c>
      <c r="J1608" s="66" t="s">
        <v>401</v>
      </c>
      <c r="K1608" s="66" t="s">
        <v>747</v>
      </c>
      <c r="L1608" s="67">
        <v>386243</v>
      </c>
      <c r="M1608" s="67">
        <v>0</v>
      </c>
      <c r="N1608" s="68">
        <f t="shared" si="108"/>
        <v>386243</v>
      </c>
      <c r="O1608" s="69">
        <f t="shared" si="109"/>
        <v>386243</v>
      </c>
      <c r="P1608" s="42" t="str">
        <f>IFERROR(VLOOKUP(J1608,'Mã NV'!$B:$C,2,0),"")</f>
        <v>XE01466</v>
      </c>
      <c r="Q1608" s="70" t="str">
        <f>IFERROR(VLOOKUP(I1608,'Mã NV'!$J:$K,2,0),"")</f>
        <v>3.5T</v>
      </c>
    </row>
    <row r="1609" customHeight="1" spans="1:19">
      <c r="A1609" s="63">
        <f t="shared" si="107"/>
        <v>1601</v>
      </c>
      <c r="B1609" s="64">
        <v>46143</v>
      </c>
      <c r="D1609" s="66" t="s">
        <v>58</v>
      </c>
      <c r="E1609" s="66" t="s">
        <v>58</v>
      </c>
      <c r="F1609" s="66" t="s">
        <v>985</v>
      </c>
      <c r="G1609" s="66" t="s">
        <v>1076</v>
      </c>
      <c r="H1609" s="66" t="s">
        <v>1082</v>
      </c>
      <c r="I1609" s="66" t="s">
        <v>403</v>
      </c>
      <c r="J1609" s="66" t="s">
        <v>401</v>
      </c>
      <c r="K1609" s="66" t="s">
        <v>747</v>
      </c>
      <c r="L1609" s="67">
        <v>413831</v>
      </c>
      <c r="M1609" s="67">
        <v>0</v>
      </c>
      <c r="N1609" s="68">
        <f t="shared" si="108"/>
        <v>413831</v>
      </c>
      <c r="O1609" s="69">
        <f t="shared" si="109"/>
        <v>413831</v>
      </c>
      <c r="P1609" s="42" t="str">
        <f>IFERROR(VLOOKUP(J1609,'Mã NV'!$B:$C,2,0),"")</f>
        <v>XE01466</v>
      </c>
      <c r="Q1609" s="70" t="str">
        <f>IFERROR(VLOOKUP(I1609,'Mã NV'!$J:$K,2,0),"")</f>
        <v>3.5T</v>
      </c>
    </row>
    <row r="1610" customHeight="1" spans="1:19">
      <c r="A1610" s="63">
        <f t="shared" si="107"/>
        <v>1602</v>
      </c>
      <c r="B1610" s="64">
        <v>46143</v>
      </c>
      <c r="D1610" s="66" t="s">
        <v>58</v>
      </c>
      <c r="E1610" s="66" t="s">
        <v>58</v>
      </c>
      <c r="F1610" s="66" t="s">
        <v>985</v>
      </c>
      <c r="G1610" s="66" t="s">
        <v>1076</v>
      </c>
      <c r="H1610" s="66" t="s">
        <v>1083</v>
      </c>
      <c r="I1610" s="66" t="s">
        <v>403</v>
      </c>
      <c r="J1610" s="66" t="s">
        <v>401</v>
      </c>
      <c r="K1610" s="66" t="s">
        <v>747</v>
      </c>
      <c r="L1610" s="67">
        <v>441420</v>
      </c>
      <c r="M1610" s="67">
        <v>0</v>
      </c>
      <c r="N1610" s="68">
        <f t="shared" si="108"/>
        <v>441420</v>
      </c>
      <c r="O1610" s="69">
        <f t="shared" si="109"/>
        <v>441420</v>
      </c>
      <c r="P1610" s="42" t="str">
        <f>IFERROR(VLOOKUP(J1610,'Mã NV'!$B:$C,2,0),"")</f>
        <v>XE01466</v>
      </c>
      <c r="Q1610" s="70" t="str">
        <f>IFERROR(VLOOKUP(I1610,'Mã NV'!$J:$K,2,0),"")</f>
        <v>3.5T</v>
      </c>
    </row>
    <row r="1611" customHeight="1" spans="1:19">
      <c r="A1611" s="63">
        <f t="shared" si="107"/>
        <v>1603</v>
      </c>
      <c r="B1611" s="64">
        <v>46143</v>
      </c>
      <c r="D1611" s="66" t="s">
        <v>58</v>
      </c>
      <c r="E1611" s="66" t="s">
        <v>58</v>
      </c>
      <c r="F1611" s="66" t="s">
        <v>985</v>
      </c>
      <c r="G1611" s="66" t="s">
        <v>1076</v>
      </c>
      <c r="H1611" s="66" t="s">
        <v>1084</v>
      </c>
      <c r="I1611" s="66" t="s">
        <v>323</v>
      </c>
      <c r="J1611" s="66" t="s">
        <v>321</v>
      </c>
      <c r="K1611" s="66" t="s">
        <v>747</v>
      </c>
      <c r="L1611" s="67">
        <v>394125</v>
      </c>
      <c r="M1611" s="67">
        <v>0</v>
      </c>
      <c r="N1611" s="68">
        <f t="shared" si="108"/>
        <v>394125</v>
      </c>
      <c r="O1611" s="69">
        <f t="shared" si="109"/>
        <v>394125</v>
      </c>
      <c r="P1611" s="42" t="str">
        <f>IFERROR(VLOOKUP(J1611,'Mã NV'!$B:$C,2,0),"")</f>
        <v>XE01537</v>
      </c>
      <c r="Q1611" s="70" t="str">
        <f>IFERROR(VLOOKUP(I1611,'Mã NV'!$J:$K,2,0),"")</f>
        <v>2.5T</v>
      </c>
    </row>
    <row r="1612" customHeight="1" spans="1:19">
      <c r="A1612" s="63">
        <f t="shared" si="107"/>
        <v>1604</v>
      </c>
      <c r="B1612" s="64">
        <v>46143</v>
      </c>
      <c r="D1612" s="66" t="s">
        <v>58</v>
      </c>
      <c r="E1612" s="66" t="s">
        <v>58</v>
      </c>
      <c r="F1612" s="66" t="s">
        <v>985</v>
      </c>
      <c r="G1612" s="66" t="s">
        <v>1076</v>
      </c>
      <c r="H1612" s="66" t="s">
        <v>1085</v>
      </c>
      <c r="I1612" s="66" t="s">
        <v>323</v>
      </c>
      <c r="J1612" s="66" t="s">
        <v>321</v>
      </c>
      <c r="K1612" s="66" t="s">
        <v>747</v>
      </c>
      <c r="L1612" s="67">
        <v>236475</v>
      </c>
      <c r="M1612" s="67">
        <v>0</v>
      </c>
      <c r="N1612" s="68">
        <f t="shared" si="108"/>
        <v>236475</v>
      </c>
      <c r="O1612" s="69">
        <f t="shared" si="109"/>
        <v>236475</v>
      </c>
      <c r="P1612" s="42" t="str">
        <f>IFERROR(VLOOKUP(J1612,'Mã NV'!$B:$C,2,0),"")</f>
        <v>XE01537</v>
      </c>
      <c r="Q1612" s="70" t="str">
        <f>IFERROR(VLOOKUP(I1612,'Mã NV'!$J:$K,2,0),"")</f>
        <v>2.5T</v>
      </c>
    </row>
    <row r="1613" customHeight="1" spans="1:19">
      <c r="A1613" s="63">
        <f t="shared" si="107"/>
        <v>1605</v>
      </c>
      <c r="B1613" s="64">
        <v>46143</v>
      </c>
      <c r="D1613" s="66" t="s">
        <v>58</v>
      </c>
      <c r="E1613" s="66" t="s">
        <v>58</v>
      </c>
      <c r="F1613" s="66" t="s">
        <v>985</v>
      </c>
      <c r="G1613" s="66" t="s">
        <v>1076</v>
      </c>
      <c r="H1613" s="66" t="s">
        <v>1086</v>
      </c>
      <c r="I1613" s="66" t="s">
        <v>323</v>
      </c>
      <c r="J1613" s="66" t="s">
        <v>321</v>
      </c>
      <c r="K1613" s="66" t="s">
        <v>747</v>
      </c>
      <c r="L1613" s="67">
        <v>271946</v>
      </c>
      <c r="M1613" s="67">
        <v>0</v>
      </c>
      <c r="N1613" s="68">
        <f t="shared" si="108"/>
        <v>271946</v>
      </c>
      <c r="O1613" s="69">
        <f t="shared" si="109"/>
        <v>271946</v>
      </c>
      <c r="P1613" s="42" t="str">
        <f>IFERROR(VLOOKUP(J1613,'Mã NV'!$B:$C,2,0),"")</f>
        <v>XE01537</v>
      </c>
      <c r="Q1613" s="70" t="str">
        <f>IFERROR(VLOOKUP(I1613,'Mã NV'!$J:$K,2,0),"")</f>
        <v>2.5T</v>
      </c>
    </row>
    <row r="1614" customHeight="1" spans="1:19">
      <c r="A1614" s="63">
        <f t="shared" si="107"/>
        <v>1606</v>
      </c>
      <c r="B1614" s="64">
        <v>46143</v>
      </c>
      <c r="D1614" s="66" t="s">
        <v>58</v>
      </c>
      <c r="E1614" s="66" t="s">
        <v>58</v>
      </c>
      <c r="F1614" s="66" t="s">
        <v>985</v>
      </c>
      <c r="G1614" s="66" t="s">
        <v>1076</v>
      </c>
      <c r="H1614" s="66" t="s">
        <v>1087</v>
      </c>
      <c r="I1614" s="66" t="s">
        <v>323</v>
      </c>
      <c r="J1614" s="66" t="s">
        <v>321</v>
      </c>
      <c r="K1614" s="66" t="s">
        <v>747</v>
      </c>
      <c r="L1614" s="67">
        <v>252240</v>
      </c>
      <c r="M1614" s="67">
        <v>0</v>
      </c>
      <c r="N1614" s="68">
        <f t="shared" si="108"/>
        <v>252240</v>
      </c>
      <c r="O1614" s="69">
        <f t="shared" si="109"/>
        <v>252240</v>
      </c>
      <c r="P1614" s="42" t="str">
        <f>IFERROR(VLOOKUP(J1614,'Mã NV'!$B:$C,2,0),"")</f>
        <v>XE01537</v>
      </c>
      <c r="Q1614" s="70" t="str">
        <f>IFERROR(VLOOKUP(I1614,'Mã NV'!$J:$K,2,0),"")</f>
        <v>2.5T</v>
      </c>
    </row>
    <row r="1615" customHeight="1" spans="1:19">
      <c r="A1615" s="63">
        <f t="shared" si="107"/>
        <v>1607</v>
      </c>
      <c r="B1615" s="64">
        <v>46143</v>
      </c>
      <c r="D1615" s="66" t="s">
        <v>58</v>
      </c>
      <c r="E1615" s="66" t="s">
        <v>58</v>
      </c>
      <c r="F1615" s="66" t="s">
        <v>985</v>
      </c>
      <c r="G1615" s="66" t="s">
        <v>1076</v>
      </c>
      <c r="H1615" s="66" t="s">
        <v>1088</v>
      </c>
      <c r="I1615" s="66" t="s">
        <v>133</v>
      </c>
      <c r="J1615" s="66" t="s">
        <v>347</v>
      </c>
      <c r="K1615" s="66" t="s">
        <v>747</v>
      </c>
      <c r="L1615" s="67">
        <v>484774</v>
      </c>
      <c r="M1615" s="67">
        <v>0</v>
      </c>
      <c r="N1615" s="68">
        <f t="shared" si="108"/>
        <v>484774</v>
      </c>
      <c r="O1615" s="69">
        <f t="shared" si="109"/>
        <v>484774</v>
      </c>
      <c r="P1615" s="42" t="str">
        <f>IFERROR(VLOOKUP(J1615,'Mã NV'!$B:$C,2,0),"")</f>
        <v>XE01653</v>
      </c>
      <c r="Q1615" s="70" t="str">
        <f>IFERROR(VLOOKUP(I1615,'Mã NV'!$J:$K,2,0),"")</f>
        <v>2.5T</v>
      </c>
    </row>
    <row r="1616" customHeight="1" spans="1:19">
      <c r="A1616" s="63">
        <f t="shared" si="107"/>
        <v>1608</v>
      </c>
      <c r="B1616" s="64">
        <v>46143</v>
      </c>
      <c r="D1616" s="66" t="s">
        <v>58</v>
      </c>
      <c r="E1616" s="66" t="s">
        <v>58</v>
      </c>
      <c r="F1616" s="66" t="s">
        <v>985</v>
      </c>
      <c r="G1616" s="66" t="s">
        <v>1076</v>
      </c>
      <c r="H1616" s="66" t="s">
        <v>1089</v>
      </c>
      <c r="I1616" s="66" t="s">
        <v>133</v>
      </c>
      <c r="J1616" s="66" t="s">
        <v>347</v>
      </c>
      <c r="K1616" s="66" t="s">
        <v>747</v>
      </c>
      <c r="L1616" s="67">
        <v>382301</v>
      </c>
      <c r="M1616" s="67">
        <v>0</v>
      </c>
      <c r="N1616" s="68">
        <f t="shared" si="108"/>
        <v>382301</v>
      </c>
      <c r="O1616" s="69">
        <f t="shared" si="109"/>
        <v>382301</v>
      </c>
      <c r="P1616" s="42" t="str">
        <f>IFERROR(VLOOKUP(J1616,'Mã NV'!$B:$C,2,0),"")</f>
        <v>XE01653</v>
      </c>
      <c r="Q1616" s="70" t="str">
        <f>IFERROR(VLOOKUP(I1616,'Mã NV'!$J:$K,2,0),"")</f>
        <v>2.5T</v>
      </c>
    </row>
    <row r="1617" customHeight="1" spans="1:17">
      <c r="A1617" s="63">
        <f t="shared" ref="A1617:A1680" si="110">A1616+1</f>
        <v>1609</v>
      </c>
      <c r="B1617" s="64">
        <v>46143</v>
      </c>
      <c r="D1617" s="66" t="s">
        <v>58</v>
      </c>
      <c r="E1617" s="66" t="s">
        <v>58</v>
      </c>
      <c r="F1617" s="66" t="s">
        <v>985</v>
      </c>
      <c r="G1617" s="66" t="s">
        <v>1076</v>
      </c>
      <c r="H1617" s="66" t="s">
        <v>1090</v>
      </c>
      <c r="I1617" s="66" t="s">
        <v>133</v>
      </c>
      <c r="J1617" s="66" t="s">
        <v>347</v>
      </c>
      <c r="K1617" s="66" t="s">
        <v>747</v>
      </c>
      <c r="L1617" s="67">
        <v>457185</v>
      </c>
      <c r="M1617" s="67">
        <v>0</v>
      </c>
      <c r="N1617" s="68">
        <f t="shared" si="108"/>
        <v>457185</v>
      </c>
      <c r="O1617" s="69">
        <f t="shared" si="109"/>
        <v>457185</v>
      </c>
      <c r="P1617" s="42" t="str">
        <f>IFERROR(VLOOKUP(J1617,'Mã NV'!$B:$C,2,0),"")</f>
        <v>XE01653</v>
      </c>
      <c r="Q1617" s="70" t="str">
        <f>IFERROR(VLOOKUP(I1617,'Mã NV'!$J:$K,2,0),"")</f>
        <v>2.5T</v>
      </c>
    </row>
    <row r="1618" customHeight="1" spans="1:17">
      <c r="A1618" s="63">
        <f t="shared" si="110"/>
        <v>1610</v>
      </c>
      <c r="B1618" s="64">
        <v>46143</v>
      </c>
      <c r="D1618" s="66" t="s">
        <v>58</v>
      </c>
      <c r="E1618" s="66" t="s">
        <v>58</v>
      </c>
      <c r="F1618" s="66" t="s">
        <v>985</v>
      </c>
      <c r="G1618" s="66" t="s">
        <v>1076</v>
      </c>
      <c r="H1618" s="66" t="s">
        <v>1091</v>
      </c>
      <c r="I1618" s="66" t="s">
        <v>133</v>
      </c>
      <c r="J1618" s="66" t="s">
        <v>347</v>
      </c>
      <c r="K1618" s="66" t="s">
        <v>747</v>
      </c>
      <c r="L1618" s="67">
        <v>378360</v>
      </c>
      <c r="M1618" s="67">
        <v>0</v>
      </c>
      <c r="N1618" s="68">
        <f t="shared" si="108"/>
        <v>378360</v>
      </c>
      <c r="O1618" s="69">
        <f t="shared" si="109"/>
        <v>378360</v>
      </c>
      <c r="P1618" s="42" t="str">
        <f>IFERROR(VLOOKUP(J1618,'Mã NV'!$B:$C,2,0),"")</f>
        <v>XE01653</v>
      </c>
      <c r="Q1618" s="70" t="str">
        <f>IFERROR(VLOOKUP(I1618,'Mã NV'!$J:$K,2,0),"")</f>
        <v>2.5T</v>
      </c>
    </row>
    <row r="1619" customHeight="1" spans="1:17">
      <c r="A1619" s="63">
        <f t="shared" si="110"/>
        <v>1611</v>
      </c>
      <c r="B1619" s="64">
        <v>46143</v>
      </c>
      <c r="D1619" s="66" t="s">
        <v>58</v>
      </c>
      <c r="E1619" s="66" t="s">
        <v>58</v>
      </c>
      <c r="F1619" s="66" t="s">
        <v>985</v>
      </c>
      <c r="G1619" s="66" t="s">
        <v>1076</v>
      </c>
      <c r="H1619" s="66" t="s">
        <v>1092</v>
      </c>
      <c r="I1619" s="66" t="s">
        <v>134</v>
      </c>
      <c r="J1619" s="66" t="s">
        <v>359</v>
      </c>
      <c r="K1619" s="66" t="s">
        <v>747</v>
      </c>
      <c r="L1619" s="67">
        <v>354713</v>
      </c>
      <c r="M1619" s="67">
        <v>0</v>
      </c>
      <c r="N1619" s="68">
        <f t="shared" si="108"/>
        <v>354713</v>
      </c>
      <c r="O1619" s="69">
        <f t="shared" si="109"/>
        <v>354713</v>
      </c>
      <c r="P1619" s="42" t="str">
        <f>IFERROR(VLOOKUP(J1619,'Mã NV'!$B:$C,2,0),"")</f>
        <v>XE01639</v>
      </c>
      <c r="Q1619" s="70" t="str">
        <f>IFERROR(VLOOKUP(I1619,'Mã NV'!$J:$K,2,0),"")</f>
        <v>2.5T Lạnh</v>
      </c>
    </row>
    <row r="1620" customHeight="1" spans="1:17">
      <c r="A1620" s="63">
        <f t="shared" si="110"/>
        <v>1612</v>
      </c>
      <c r="B1620" s="64">
        <v>46143</v>
      </c>
      <c r="D1620" s="66" t="s">
        <v>58</v>
      </c>
      <c r="E1620" s="66" t="s">
        <v>58</v>
      </c>
      <c r="F1620" s="66" t="s">
        <v>985</v>
      </c>
      <c r="G1620" s="66" t="s">
        <v>1076</v>
      </c>
      <c r="H1620" s="66" t="s">
        <v>1093</v>
      </c>
      <c r="I1620" s="66" t="s">
        <v>134</v>
      </c>
      <c r="J1620" s="66" t="s">
        <v>359</v>
      </c>
      <c r="K1620" s="66" t="s">
        <v>747</v>
      </c>
      <c r="L1620" s="67">
        <v>244358</v>
      </c>
      <c r="M1620" s="67">
        <v>0</v>
      </c>
      <c r="N1620" s="68">
        <f t="shared" si="108"/>
        <v>244358</v>
      </c>
      <c r="O1620" s="69">
        <f t="shared" si="109"/>
        <v>244358</v>
      </c>
      <c r="P1620" s="42" t="str">
        <f>IFERROR(VLOOKUP(J1620,'Mã NV'!$B:$C,2,0),"")</f>
        <v>XE01639</v>
      </c>
      <c r="Q1620" s="70" t="str">
        <f>IFERROR(VLOOKUP(I1620,'Mã NV'!$J:$K,2,0),"")</f>
        <v>2.5T Lạnh</v>
      </c>
    </row>
    <row r="1621" customHeight="1" spans="1:17">
      <c r="A1621" s="63">
        <f t="shared" si="110"/>
        <v>1613</v>
      </c>
      <c r="B1621" s="64">
        <v>46143</v>
      </c>
      <c r="D1621" s="66" t="s">
        <v>58</v>
      </c>
      <c r="E1621" s="66" t="s">
        <v>58</v>
      </c>
      <c r="F1621" s="66" t="s">
        <v>985</v>
      </c>
      <c r="G1621" s="66" t="s">
        <v>1076</v>
      </c>
      <c r="H1621" s="66" t="s">
        <v>1094</v>
      </c>
      <c r="I1621" s="66" t="s">
        <v>134</v>
      </c>
      <c r="J1621" s="66" t="s">
        <v>359</v>
      </c>
      <c r="K1621" s="66" t="s">
        <v>747</v>
      </c>
      <c r="L1621" s="67">
        <v>181298</v>
      </c>
      <c r="M1621" s="67">
        <v>0</v>
      </c>
      <c r="N1621" s="68">
        <f t="shared" si="108"/>
        <v>181298</v>
      </c>
      <c r="O1621" s="69">
        <f t="shared" si="109"/>
        <v>181298</v>
      </c>
      <c r="P1621" s="42" t="str">
        <f>IFERROR(VLOOKUP(J1621,'Mã NV'!$B:$C,2,0),"")</f>
        <v>XE01639</v>
      </c>
      <c r="Q1621" s="70" t="str">
        <f>IFERROR(VLOOKUP(I1621,'Mã NV'!$J:$K,2,0),"")</f>
        <v>2.5T Lạnh</v>
      </c>
    </row>
    <row r="1622" customHeight="1" spans="1:17">
      <c r="A1622" s="63">
        <f t="shared" si="110"/>
        <v>1614</v>
      </c>
      <c r="B1622" s="64">
        <v>46143</v>
      </c>
      <c r="D1622" s="66" t="s">
        <v>58</v>
      </c>
      <c r="E1622" s="66" t="s">
        <v>58</v>
      </c>
      <c r="F1622" s="66" t="s">
        <v>985</v>
      </c>
      <c r="G1622" s="66" t="s">
        <v>1076</v>
      </c>
      <c r="H1622" s="66" t="s">
        <v>1094</v>
      </c>
      <c r="I1622" s="66" t="s">
        <v>134</v>
      </c>
      <c r="J1622" s="66" t="s">
        <v>359</v>
      </c>
      <c r="K1622" s="66" t="s">
        <v>747</v>
      </c>
      <c r="L1622" s="67">
        <v>70943</v>
      </c>
      <c r="M1622" s="67">
        <v>0</v>
      </c>
      <c r="N1622" s="68">
        <f t="shared" si="108"/>
        <v>70943</v>
      </c>
      <c r="O1622" s="69">
        <f t="shared" si="109"/>
        <v>70943</v>
      </c>
      <c r="P1622" s="42" t="str">
        <f>IFERROR(VLOOKUP(J1622,'Mã NV'!$B:$C,2,0),"")</f>
        <v>XE01639</v>
      </c>
      <c r="Q1622" s="70" t="str">
        <f>IFERROR(VLOOKUP(I1622,'Mã NV'!$J:$K,2,0),"")</f>
        <v>2.5T Lạnh</v>
      </c>
    </row>
    <row r="1623" customHeight="1" spans="1:17">
      <c r="A1623" s="63">
        <f t="shared" si="110"/>
        <v>1615</v>
      </c>
      <c r="B1623" s="64">
        <v>46143</v>
      </c>
      <c r="D1623" s="66" t="s">
        <v>58</v>
      </c>
      <c r="E1623" s="66" t="s">
        <v>58</v>
      </c>
      <c r="F1623" s="66" t="s">
        <v>985</v>
      </c>
      <c r="G1623" s="66" t="s">
        <v>1076</v>
      </c>
      <c r="H1623" s="66" t="s">
        <v>1095</v>
      </c>
      <c r="I1623" s="66" t="s">
        <v>134</v>
      </c>
      <c r="J1623" s="66" t="s">
        <v>359</v>
      </c>
      <c r="K1623" s="66" t="s">
        <v>747</v>
      </c>
      <c r="L1623" s="67">
        <v>386243</v>
      </c>
      <c r="M1623" s="67">
        <v>0</v>
      </c>
      <c r="N1623" s="68">
        <f t="shared" si="108"/>
        <v>386243</v>
      </c>
      <c r="O1623" s="69">
        <f t="shared" si="109"/>
        <v>386243</v>
      </c>
      <c r="P1623" s="42" t="str">
        <f>IFERROR(VLOOKUP(J1623,'Mã NV'!$B:$C,2,0),"")</f>
        <v>XE01639</v>
      </c>
      <c r="Q1623" s="70" t="str">
        <f>IFERROR(VLOOKUP(I1623,'Mã NV'!$J:$K,2,0),"")</f>
        <v>2.5T Lạnh</v>
      </c>
    </row>
    <row r="1624" customHeight="1" spans="1:17">
      <c r="A1624" s="63">
        <f t="shared" si="110"/>
        <v>1616</v>
      </c>
      <c r="B1624" s="64">
        <v>46143</v>
      </c>
      <c r="D1624" s="66" t="s">
        <v>58</v>
      </c>
      <c r="E1624" s="66" t="s">
        <v>58</v>
      </c>
      <c r="F1624" s="66" t="s">
        <v>985</v>
      </c>
      <c r="G1624" s="66" t="s">
        <v>1076</v>
      </c>
      <c r="H1624" s="66" t="s">
        <v>1095</v>
      </c>
      <c r="I1624" s="66" t="s">
        <v>134</v>
      </c>
      <c r="J1624" s="66" t="s">
        <v>359</v>
      </c>
      <c r="K1624" s="66" t="s">
        <v>747</v>
      </c>
      <c r="L1624" s="67">
        <v>228593</v>
      </c>
      <c r="M1624" s="67">
        <v>0</v>
      </c>
      <c r="N1624" s="68">
        <f t="shared" si="108"/>
        <v>228593</v>
      </c>
      <c r="O1624" s="69">
        <f t="shared" si="109"/>
        <v>228593</v>
      </c>
      <c r="P1624" s="42" t="str">
        <f>IFERROR(VLOOKUP(J1624,'Mã NV'!$B:$C,2,0),"")</f>
        <v>XE01639</v>
      </c>
      <c r="Q1624" s="70" t="str">
        <f>IFERROR(VLOOKUP(I1624,'Mã NV'!$J:$K,2,0),"")</f>
        <v>2.5T Lạnh</v>
      </c>
    </row>
    <row r="1625" customHeight="1" spans="1:17">
      <c r="A1625" s="63">
        <f t="shared" si="110"/>
        <v>1617</v>
      </c>
      <c r="B1625" s="64">
        <v>46143</v>
      </c>
      <c r="D1625" s="66" t="s">
        <v>58</v>
      </c>
      <c r="E1625" s="66" t="s">
        <v>58</v>
      </c>
      <c r="F1625" s="66" t="s">
        <v>985</v>
      </c>
      <c r="G1625" s="66" t="s">
        <v>1076</v>
      </c>
      <c r="H1625" s="66" t="s">
        <v>1096</v>
      </c>
      <c r="I1625" s="66" t="s">
        <v>57</v>
      </c>
      <c r="J1625" s="66" t="s">
        <v>55</v>
      </c>
      <c r="K1625" s="66" t="s">
        <v>747</v>
      </c>
      <c r="L1625" s="67">
        <v>563599</v>
      </c>
      <c r="M1625" s="67">
        <v>0</v>
      </c>
      <c r="N1625" s="68">
        <f t="shared" si="108"/>
        <v>563599</v>
      </c>
      <c r="O1625" s="69">
        <f t="shared" si="109"/>
        <v>563599</v>
      </c>
      <c r="P1625" s="42" t="str">
        <f>IFERROR(VLOOKUP(J1625,'Mã NV'!$B:$C,2,0),"")</f>
        <v>XE00768</v>
      </c>
      <c r="Q1625" s="70" t="str">
        <f>IFERROR(VLOOKUP(I1625,'Mã NV'!$J:$K,2,0),"")</f>
        <v>2.5T</v>
      </c>
    </row>
    <row r="1626" customHeight="1" spans="1:17">
      <c r="A1626" s="63">
        <f t="shared" si="110"/>
        <v>1618</v>
      </c>
      <c r="B1626" s="64">
        <v>46143</v>
      </c>
      <c r="D1626" s="66" t="s">
        <v>58</v>
      </c>
      <c r="E1626" s="66" t="s">
        <v>58</v>
      </c>
      <c r="F1626" s="66" t="s">
        <v>985</v>
      </c>
      <c r="G1626" s="66" t="s">
        <v>1076</v>
      </c>
      <c r="H1626" s="66" t="s">
        <v>1097</v>
      </c>
      <c r="I1626" s="66" t="s">
        <v>57</v>
      </c>
      <c r="J1626" s="66" t="s">
        <v>55</v>
      </c>
      <c r="K1626" s="66" t="s">
        <v>747</v>
      </c>
      <c r="L1626" s="67">
        <v>512363</v>
      </c>
      <c r="M1626" s="67">
        <v>0</v>
      </c>
      <c r="N1626" s="68">
        <f t="shared" si="108"/>
        <v>512363</v>
      </c>
      <c r="O1626" s="69">
        <f t="shared" si="109"/>
        <v>512363</v>
      </c>
      <c r="P1626" s="42" t="str">
        <f>IFERROR(VLOOKUP(J1626,'Mã NV'!$B:$C,2,0),"")</f>
        <v>XE00768</v>
      </c>
      <c r="Q1626" s="70" t="str">
        <f>IFERROR(VLOOKUP(I1626,'Mã NV'!$J:$K,2,0),"")</f>
        <v>2.5T</v>
      </c>
    </row>
    <row r="1627" customHeight="1" spans="1:17">
      <c r="A1627" s="63">
        <f t="shared" si="110"/>
        <v>1619</v>
      </c>
      <c r="B1627" s="64">
        <v>46143</v>
      </c>
      <c r="D1627" s="66" t="s">
        <v>58</v>
      </c>
      <c r="E1627" s="66" t="s">
        <v>58</v>
      </c>
      <c r="F1627" s="66" t="s">
        <v>985</v>
      </c>
      <c r="G1627" s="66" t="s">
        <v>1076</v>
      </c>
      <c r="H1627" s="66" t="s">
        <v>1098</v>
      </c>
      <c r="I1627" s="66" t="s">
        <v>57</v>
      </c>
      <c r="J1627" s="66" t="s">
        <v>55</v>
      </c>
      <c r="K1627" s="66" t="s">
        <v>747</v>
      </c>
      <c r="L1627" s="67">
        <v>342889</v>
      </c>
      <c r="M1627" s="67">
        <v>0</v>
      </c>
      <c r="N1627" s="68">
        <f t="shared" si="108"/>
        <v>342889</v>
      </c>
      <c r="O1627" s="69">
        <f t="shared" si="109"/>
        <v>342889</v>
      </c>
      <c r="P1627" s="42" t="str">
        <f>IFERROR(VLOOKUP(J1627,'Mã NV'!$B:$C,2,0),"")</f>
        <v>XE00768</v>
      </c>
      <c r="Q1627" s="70" t="str">
        <f>IFERROR(VLOOKUP(I1627,'Mã NV'!$J:$K,2,0),"")</f>
        <v>2.5T</v>
      </c>
    </row>
    <row r="1628" customHeight="1" spans="1:17">
      <c r="A1628" s="63">
        <f t="shared" si="110"/>
        <v>1620</v>
      </c>
      <c r="B1628" s="64">
        <v>46143</v>
      </c>
      <c r="D1628" s="66" t="s">
        <v>58</v>
      </c>
      <c r="E1628" s="66" t="s">
        <v>58</v>
      </c>
      <c r="F1628" s="66" t="s">
        <v>985</v>
      </c>
      <c r="G1628" s="66" t="s">
        <v>1076</v>
      </c>
      <c r="H1628" s="66" t="s">
        <v>1099</v>
      </c>
      <c r="I1628" s="66" t="s">
        <v>403</v>
      </c>
      <c r="J1628" s="66" t="s">
        <v>401</v>
      </c>
      <c r="K1628" s="66" t="s">
        <v>747</v>
      </c>
      <c r="L1628" s="67">
        <v>327124</v>
      </c>
      <c r="M1628" s="67">
        <v>0</v>
      </c>
      <c r="N1628" s="68">
        <f t="shared" si="108"/>
        <v>327124</v>
      </c>
      <c r="O1628" s="69">
        <f t="shared" si="109"/>
        <v>327124</v>
      </c>
      <c r="P1628" s="42" t="str">
        <f>IFERROR(VLOOKUP(J1628,'Mã NV'!$B:$C,2,0),"")</f>
        <v>XE01466</v>
      </c>
      <c r="Q1628" s="70" t="str">
        <f>IFERROR(VLOOKUP(I1628,'Mã NV'!$J:$K,2,0),"")</f>
        <v>3.5T</v>
      </c>
    </row>
    <row r="1629" customHeight="1" spans="1:17">
      <c r="A1629" s="63">
        <f t="shared" si="110"/>
        <v>1621</v>
      </c>
      <c r="B1629" s="64">
        <v>46143</v>
      </c>
      <c r="D1629" s="66" t="s">
        <v>58</v>
      </c>
      <c r="E1629" s="66" t="s">
        <v>58</v>
      </c>
      <c r="F1629" s="66" t="s">
        <v>985</v>
      </c>
      <c r="G1629" s="66" t="s">
        <v>1076</v>
      </c>
      <c r="H1629" s="66" t="s">
        <v>1100</v>
      </c>
      <c r="I1629" s="66" t="s">
        <v>403</v>
      </c>
      <c r="J1629" s="66" t="s">
        <v>401</v>
      </c>
      <c r="K1629" s="66" t="s">
        <v>747</v>
      </c>
      <c r="L1629" s="67">
        <v>256181</v>
      </c>
      <c r="M1629" s="67">
        <v>0</v>
      </c>
      <c r="N1629" s="68">
        <f t="shared" si="108"/>
        <v>256181</v>
      </c>
      <c r="O1629" s="69">
        <f t="shared" si="109"/>
        <v>256181</v>
      </c>
      <c r="P1629" s="42" t="str">
        <f>IFERROR(VLOOKUP(J1629,'Mã NV'!$B:$C,2,0),"")</f>
        <v>XE01466</v>
      </c>
      <c r="Q1629" s="70" t="str">
        <f>IFERROR(VLOOKUP(I1629,'Mã NV'!$J:$K,2,0),"")</f>
        <v>3.5T</v>
      </c>
    </row>
    <row r="1630" customHeight="1" spans="1:17">
      <c r="A1630" s="63">
        <f t="shared" si="110"/>
        <v>1622</v>
      </c>
      <c r="B1630" s="64">
        <v>46143</v>
      </c>
      <c r="D1630" s="66" t="s">
        <v>58</v>
      </c>
      <c r="E1630" s="66" t="s">
        <v>58</v>
      </c>
      <c r="F1630" s="66" t="s">
        <v>985</v>
      </c>
      <c r="G1630" s="66" t="s">
        <v>1076</v>
      </c>
      <c r="H1630" s="66" t="s">
        <v>1101</v>
      </c>
      <c r="I1630" s="66" t="s">
        <v>403</v>
      </c>
      <c r="J1630" s="66" t="s">
        <v>401</v>
      </c>
      <c r="K1630" s="66" t="s">
        <v>747</v>
      </c>
      <c r="L1630" s="67">
        <v>161591</v>
      </c>
      <c r="M1630" s="67">
        <v>0</v>
      </c>
      <c r="N1630" s="68">
        <f t="shared" si="108"/>
        <v>161591</v>
      </c>
      <c r="O1630" s="69">
        <f t="shared" si="109"/>
        <v>161591</v>
      </c>
      <c r="P1630" s="42" t="str">
        <f>IFERROR(VLOOKUP(J1630,'Mã NV'!$B:$C,2,0),"")</f>
        <v>XE01466</v>
      </c>
      <c r="Q1630" s="70" t="str">
        <f>IFERROR(VLOOKUP(I1630,'Mã NV'!$J:$K,2,0),"")</f>
        <v>3.5T</v>
      </c>
    </row>
    <row r="1631" customHeight="1" spans="1:17">
      <c r="A1631" s="63">
        <f t="shared" si="110"/>
        <v>1623</v>
      </c>
      <c r="B1631" s="64">
        <v>46143</v>
      </c>
      <c r="D1631" s="66" t="s">
        <v>58</v>
      </c>
      <c r="E1631" s="66" t="s">
        <v>58</v>
      </c>
      <c r="F1631" s="66" t="s">
        <v>985</v>
      </c>
      <c r="G1631" s="66" t="s">
        <v>1076</v>
      </c>
      <c r="H1631" s="66" t="s">
        <v>1102</v>
      </c>
      <c r="I1631" s="66" t="s">
        <v>133</v>
      </c>
      <c r="J1631" s="66" t="s">
        <v>347</v>
      </c>
      <c r="K1631" s="66" t="s">
        <v>747</v>
      </c>
      <c r="L1631" s="67">
        <v>571481</v>
      </c>
      <c r="M1631" s="67">
        <v>0</v>
      </c>
      <c r="N1631" s="68">
        <f t="shared" si="108"/>
        <v>571481</v>
      </c>
      <c r="O1631" s="69">
        <f t="shared" si="109"/>
        <v>571481</v>
      </c>
      <c r="P1631" s="42" t="str">
        <f>IFERROR(VLOOKUP(J1631,'Mã NV'!$B:$C,2,0),"")</f>
        <v>XE01653</v>
      </c>
      <c r="Q1631" s="70" t="str">
        <f>IFERROR(VLOOKUP(I1631,'Mã NV'!$J:$K,2,0),"")</f>
        <v>2.5T</v>
      </c>
    </row>
    <row r="1632" customHeight="1" spans="1:17">
      <c r="A1632" s="63">
        <f t="shared" si="110"/>
        <v>1624</v>
      </c>
      <c r="B1632" s="64">
        <v>46143</v>
      </c>
      <c r="D1632" s="66" t="s">
        <v>58</v>
      </c>
      <c r="E1632" s="66" t="s">
        <v>58</v>
      </c>
      <c r="F1632" s="66" t="s">
        <v>985</v>
      </c>
      <c r="G1632" s="66" t="s">
        <v>1076</v>
      </c>
      <c r="H1632" s="66" t="s">
        <v>1095</v>
      </c>
      <c r="I1632" s="66" t="s">
        <v>133</v>
      </c>
      <c r="J1632" s="66" t="s">
        <v>347</v>
      </c>
      <c r="K1632" s="66" t="s">
        <v>747</v>
      </c>
      <c r="L1632" s="67">
        <v>240416</v>
      </c>
      <c r="M1632" s="67">
        <v>0</v>
      </c>
      <c r="N1632" s="68">
        <f t="shared" si="108"/>
        <v>240416</v>
      </c>
      <c r="O1632" s="69">
        <f t="shared" si="109"/>
        <v>240416</v>
      </c>
      <c r="P1632" s="42" t="str">
        <f>IFERROR(VLOOKUP(J1632,'Mã NV'!$B:$C,2,0),"")</f>
        <v>XE01653</v>
      </c>
      <c r="Q1632" s="70" t="str">
        <f>IFERROR(VLOOKUP(I1632,'Mã NV'!$J:$K,2,0),"")</f>
        <v>2.5T</v>
      </c>
    </row>
    <row r="1633" customHeight="1" spans="1:17">
      <c r="A1633" s="63">
        <f t="shared" si="110"/>
        <v>1625</v>
      </c>
      <c r="B1633" s="64">
        <v>46143</v>
      </c>
      <c r="D1633" s="66" t="s">
        <v>58</v>
      </c>
      <c r="E1633" s="66" t="s">
        <v>58</v>
      </c>
      <c r="F1633" s="66" t="s">
        <v>985</v>
      </c>
      <c r="G1633" s="66" t="s">
        <v>1076</v>
      </c>
      <c r="H1633" s="66" t="s">
        <v>1103</v>
      </c>
      <c r="I1633" s="66" t="s">
        <v>134</v>
      </c>
      <c r="J1633" s="66" t="s">
        <v>359</v>
      </c>
      <c r="K1633" s="66" t="s">
        <v>747</v>
      </c>
      <c r="L1633" s="67">
        <v>256181</v>
      </c>
      <c r="M1633" s="67">
        <v>0</v>
      </c>
      <c r="N1633" s="68">
        <f t="shared" si="108"/>
        <v>256181</v>
      </c>
      <c r="O1633" s="69">
        <f t="shared" si="109"/>
        <v>256181</v>
      </c>
      <c r="P1633" s="42" t="str">
        <f>IFERROR(VLOOKUP(J1633,'Mã NV'!$B:$C,2,0),"")</f>
        <v>XE01639</v>
      </c>
      <c r="Q1633" s="70" t="str">
        <f>IFERROR(VLOOKUP(I1633,'Mã NV'!$J:$K,2,0),"")</f>
        <v>2.5T Lạnh</v>
      </c>
    </row>
    <row r="1634" customHeight="1" spans="1:17">
      <c r="A1634" s="63">
        <f t="shared" si="110"/>
        <v>1626</v>
      </c>
      <c r="B1634" s="64">
        <v>46143</v>
      </c>
      <c r="D1634" s="66" t="s">
        <v>58</v>
      </c>
      <c r="E1634" s="66" t="s">
        <v>58</v>
      </c>
      <c r="F1634" s="66" t="s">
        <v>985</v>
      </c>
      <c r="G1634" s="66" t="s">
        <v>1076</v>
      </c>
      <c r="H1634" s="66" t="s">
        <v>1104</v>
      </c>
      <c r="I1634" s="66" t="s">
        <v>134</v>
      </c>
      <c r="J1634" s="66" t="s">
        <v>359</v>
      </c>
      <c r="K1634" s="66" t="s">
        <v>747</v>
      </c>
      <c r="L1634" s="67">
        <v>532069</v>
      </c>
      <c r="M1634" s="67">
        <v>0</v>
      </c>
      <c r="N1634" s="68">
        <f t="shared" si="108"/>
        <v>532069</v>
      </c>
      <c r="O1634" s="69">
        <f t="shared" si="109"/>
        <v>532069</v>
      </c>
      <c r="P1634" s="42" t="str">
        <f>IFERROR(VLOOKUP(J1634,'Mã NV'!$B:$C,2,0),"")</f>
        <v>XE01639</v>
      </c>
      <c r="Q1634" s="70" t="str">
        <f>IFERROR(VLOOKUP(I1634,'Mã NV'!$J:$K,2,0),"")</f>
        <v>2.5T Lạnh</v>
      </c>
    </row>
    <row r="1635" customHeight="1" spans="1:17">
      <c r="A1635" s="63">
        <f t="shared" si="110"/>
        <v>1627</v>
      </c>
      <c r="B1635" s="64">
        <v>46143</v>
      </c>
      <c r="D1635" s="66" t="s">
        <v>58</v>
      </c>
      <c r="E1635" s="66" t="s">
        <v>58</v>
      </c>
      <c r="F1635" s="66" t="s">
        <v>985</v>
      </c>
      <c r="G1635" s="66" t="s">
        <v>1076</v>
      </c>
      <c r="H1635" s="66" t="s">
        <v>1105</v>
      </c>
      <c r="I1635" s="66" t="s">
        <v>134</v>
      </c>
      <c r="J1635" s="66" t="s">
        <v>359</v>
      </c>
      <c r="K1635" s="66" t="s">
        <v>747</v>
      </c>
      <c r="L1635" s="67">
        <v>697601</v>
      </c>
      <c r="M1635" s="67">
        <v>0</v>
      </c>
      <c r="N1635" s="68">
        <f t="shared" si="108"/>
        <v>697601</v>
      </c>
      <c r="O1635" s="69">
        <f t="shared" si="109"/>
        <v>697601</v>
      </c>
      <c r="P1635" s="42" t="str">
        <f>IFERROR(VLOOKUP(J1635,'Mã NV'!$B:$C,2,0),"")</f>
        <v>XE01639</v>
      </c>
      <c r="Q1635" s="70" t="str">
        <f>IFERROR(VLOOKUP(I1635,'Mã NV'!$J:$K,2,0),"")</f>
        <v>2.5T Lạnh</v>
      </c>
    </row>
    <row r="1636" customHeight="1" spans="1:17">
      <c r="A1636" s="63">
        <f t="shared" si="110"/>
        <v>1628</v>
      </c>
      <c r="B1636" s="64">
        <v>46144</v>
      </c>
      <c r="D1636" s="66" t="s">
        <v>58</v>
      </c>
      <c r="E1636" s="66" t="s">
        <v>58</v>
      </c>
      <c r="F1636" s="66" t="s">
        <v>985</v>
      </c>
      <c r="G1636" s="66" t="s">
        <v>1076</v>
      </c>
      <c r="H1636" s="66" t="s">
        <v>1106</v>
      </c>
      <c r="I1636" s="66" t="s">
        <v>323</v>
      </c>
      <c r="J1636" s="66" t="s">
        <v>321</v>
      </c>
      <c r="K1636" s="66" t="s">
        <v>747</v>
      </c>
      <c r="L1636" s="67">
        <v>851310</v>
      </c>
      <c r="M1636" s="67">
        <v>0</v>
      </c>
      <c r="N1636" s="68">
        <f t="shared" si="108"/>
        <v>851310</v>
      </c>
      <c r="O1636" s="69">
        <f t="shared" si="109"/>
        <v>851310</v>
      </c>
      <c r="P1636" s="42" t="str">
        <f>IFERROR(VLOOKUP(J1636,'Mã NV'!$B:$C,2,0),"")</f>
        <v>XE01537</v>
      </c>
      <c r="Q1636" s="70" t="str">
        <f>IFERROR(VLOOKUP(I1636,'Mã NV'!$J:$K,2,0),"")</f>
        <v>2.5T</v>
      </c>
    </row>
    <row r="1637" customHeight="1" spans="1:17">
      <c r="A1637" s="63">
        <f t="shared" si="110"/>
        <v>1629</v>
      </c>
      <c r="B1637" s="64">
        <v>46144</v>
      </c>
      <c r="D1637" s="66" t="s">
        <v>58</v>
      </c>
      <c r="E1637" s="66" t="s">
        <v>58</v>
      </c>
      <c r="F1637" s="66" t="s">
        <v>985</v>
      </c>
      <c r="G1637" s="66" t="s">
        <v>1076</v>
      </c>
      <c r="H1637" s="66" t="s">
        <v>1083</v>
      </c>
      <c r="I1637" s="66" t="s">
        <v>57</v>
      </c>
      <c r="J1637" s="66" t="s">
        <v>55</v>
      </c>
      <c r="K1637" s="66" t="s">
        <v>747</v>
      </c>
      <c r="L1637" s="67">
        <v>162905</v>
      </c>
      <c r="M1637" s="67">
        <v>0</v>
      </c>
      <c r="N1637" s="68">
        <f t="shared" si="108"/>
        <v>162905</v>
      </c>
      <c r="O1637" s="69">
        <f t="shared" si="109"/>
        <v>162905</v>
      </c>
      <c r="P1637" s="42" t="str">
        <f>IFERROR(VLOOKUP(J1637,'Mã NV'!$B:$C,2,0),"")</f>
        <v>XE00768</v>
      </c>
      <c r="Q1637" s="70" t="str">
        <f>IFERROR(VLOOKUP(I1637,'Mã NV'!$J:$K,2,0),"")</f>
        <v>2.5T</v>
      </c>
    </row>
    <row r="1638" customHeight="1" spans="1:17">
      <c r="A1638" s="63">
        <f t="shared" si="110"/>
        <v>1630</v>
      </c>
      <c r="B1638" s="64">
        <v>46144</v>
      </c>
      <c r="D1638" s="66" t="s">
        <v>58</v>
      </c>
      <c r="E1638" s="66" t="s">
        <v>58</v>
      </c>
      <c r="F1638" s="66" t="s">
        <v>985</v>
      </c>
      <c r="G1638" s="66" t="s">
        <v>1076</v>
      </c>
      <c r="H1638" s="66" t="s">
        <v>1080</v>
      </c>
      <c r="I1638" s="66" t="s">
        <v>57</v>
      </c>
      <c r="J1638" s="66" t="s">
        <v>55</v>
      </c>
      <c r="K1638" s="66" t="s">
        <v>747</v>
      </c>
      <c r="L1638" s="67">
        <v>157650</v>
      </c>
      <c r="M1638" s="67">
        <v>0</v>
      </c>
      <c r="N1638" s="68">
        <f t="shared" si="108"/>
        <v>157650</v>
      </c>
      <c r="O1638" s="69">
        <f t="shared" si="109"/>
        <v>157650</v>
      </c>
      <c r="P1638" s="42" t="str">
        <f>IFERROR(VLOOKUP(J1638,'Mã NV'!$B:$C,2,0),"")</f>
        <v>XE00768</v>
      </c>
      <c r="Q1638" s="70" t="str">
        <f>IFERROR(VLOOKUP(I1638,'Mã NV'!$J:$K,2,0),"")</f>
        <v>2.5T</v>
      </c>
    </row>
    <row r="1639" customHeight="1" spans="1:17">
      <c r="A1639" s="63">
        <f t="shared" si="110"/>
        <v>1631</v>
      </c>
      <c r="B1639" s="64">
        <v>46144</v>
      </c>
      <c r="D1639" s="66" t="s">
        <v>58</v>
      </c>
      <c r="E1639" s="66" t="s">
        <v>58</v>
      </c>
      <c r="F1639" s="66" t="s">
        <v>985</v>
      </c>
      <c r="G1639" s="66" t="s">
        <v>1076</v>
      </c>
      <c r="H1639" s="66" t="s">
        <v>1081</v>
      </c>
      <c r="I1639" s="66" t="s">
        <v>57</v>
      </c>
      <c r="J1639" s="66" t="s">
        <v>55</v>
      </c>
      <c r="K1639" s="66" t="s">
        <v>747</v>
      </c>
      <c r="L1639" s="67">
        <v>204945</v>
      </c>
      <c r="M1639" s="67">
        <v>0</v>
      </c>
      <c r="N1639" s="68">
        <f t="shared" si="108"/>
        <v>204945</v>
      </c>
      <c r="O1639" s="69">
        <f t="shared" si="109"/>
        <v>204945</v>
      </c>
      <c r="P1639" s="42" t="str">
        <f>IFERROR(VLOOKUP(J1639,'Mã NV'!$B:$C,2,0),"")</f>
        <v>XE00768</v>
      </c>
      <c r="Q1639" s="70" t="str">
        <f>IFERROR(VLOOKUP(I1639,'Mã NV'!$J:$K,2,0),"")</f>
        <v>2.5T</v>
      </c>
    </row>
    <row r="1640" customHeight="1" spans="1:17">
      <c r="A1640" s="63">
        <f t="shared" si="110"/>
        <v>1632</v>
      </c>
      <c r="B1640" s="64">
        <v>46144</v>
      </c>
      <c r="D1640" s="66" t="s">
        <v>58</v>
      </c>
      <c r="E1640" s="66" t="s">
        <v>58</v>
      </c>
      <c r="F1640" s="66" t="s">
        <v>985</v>
      </c>
      <c r="G1640" s="66" t="s">
        <v>1076</v>
      </c>
      <c r="H1640" s="66" t="s">
        <v>1082</v>
      </c>
      <c r="I1640" s="66" t="s">
        <v>57</v>
      </c>
      <c r="J1640" s="66" t="s">
        <v>55</v>
      </c>
      <c r="K1640" s="66" t="s">
        <v>747</v>
      </c>
      <c r="L1640" s="67">
        <v>197063</v>
      </c>
      <c r="M1640" s="67">
        <v>0</v>
      </c>
      <c r="N1640" s="68">
        <f t="shared" si="108"/>
        <v>197063</v>
      </c>
      <c r="O1640" s="69">
        <f t="shared" si="109"/>
        <v>197063</v>
      </c>
      <c r="P1640" s="42" t="str">
        <f>IFERROR(VLOOKUP(J1640,'Mã NV'!$B:$C,2,0),"")</f>
        <v>XE00768</v>
      </c>
      <c r="Q1640" s="70" t="str">
        <f>IFERROR(VLOOKUP(I1640,'Mã NV'!$J:$K,2,0),"")</f>
        <v>2.5T</v>
      </c>
    </row>
    <row r="1641" customHeight="1" spans="1:17">
      <c r="A1641" s="63">
        <f t="shared" si="110"/>
        <v>1633</v>
      </c>
      <c r="B1641" s="64">
        <v>46144</v>
      </c>
      <c r="D1641" s="66" t="s">
        <v>58</v>
      </c>
      <c r="E1641" s="66" t="s">
        <v>58</v>
      </c>
      <c r="F1641" s="66" t="s">
        <v>985</v>
      </c>
      <c r="G1641" s="66" t="s">
        <v>1076</v>
      </c>
      <c r="H1641" s="66" t="s">
        <v>1079</v>
      </c>
      <c r="I1641" s="66" t="s">
        <v>57</v>
      </c>
      <c r="J1641" s="66" t="s">
        <v>55</v>
      </c>
      <c r="K1641" s="66" t="s">
        <v>747</v>
      </c>
      <c r="L1641" s="67">
        <v>189180</v>
      </c>
      <c r="M1641" s="67">
        <v>0</v>
      </c>
      <c r="N1641" s="68">
        <f t="shared" si="108"/>
        <v>189180</v>
      </c>
      <c r="O1641" s="69">
        <f t="shared" si="109"/>
        <v>189180</v>
      </c>
      <c r="P1641" s="42" t="str">
        <f>IFERROR(VLOOKUP(J1641,'Mã NV'!$B:$C,2,0),"")</f>
        <v>XE00768</v>
      </c>
      <c r="Q1641" s="70" t="str">
        <f>IFERROR(VLOOKUP(I1641,'Mã NV'!$J:$K,2,0),"")</f>
        <v>2.5T</v>
      </c>
    </row>
    <row r="1642" customHeight="1" spans="1:17">
      <c r="A1642" s="63">
        <f t="shared" si="110"/>
        <v>1634</v>
      </c>
      <c r="B1642" s="64">
        <v>46144</v>
      </c>
      <c r="D1642" s="66" t="s">
        <v>58</v>
      </c>
      <c r="E1642" s="66" t="s">
        <v>58</v>
      </c>
      <c r="F1642" s="66" t="s">
        <v>985</v>
      </c>
      <c r="G1642" s="66" t="s">
        <v>1076</v>
      </c>
      <c r="H1642" s="66" t="s">
        <v>1091</v>
      </c>
      <c r="I1642" s="66" t="s">
        <v>403</v>
      </c>
      <c r="J1642" s="66" t="s">
        <v>401</v>
      </c>
      <c r="K1642" s="66" t="s">
        <v>747</v>
      </c>
      <c r="L1642" s="67">
        <v>593815</v>
      </c>
      <c r="M1642" s="67">
        <v>0</v>
      </c>
      <c r="N1642" s="68">
        <f t="shared" si="108"/>
        <v>593815</v>
      </c>
      <c r="O1642" s="69">
        <f t="shared" si="109"/>
        <v>593815</v>
      </c>
      <c r="P1642" s="42" t="str">
        <f>IFERROR(VLOOKUP(J1642,'Mã NV'!$B:$C,2,0),"")</f>
        <v>XE01466</v>
      </c>
      <c r="Q1642" s="70" t="str">
        <f>IFERROR(VLOOKUP(I1642,'Mã NV'!$J:$K,2,0),"")</f>
        <v>3.5T</v>
      </c>
    </row>
    <row r="1643" customHeight="1" spans="1:17">
      <c r="A1643" s="63">
        <f t="shared" si="110"/>
        <v>1635</v>
      </c>
      <c r="B1643" s="64">
        <v>46144</v>
      </c>
      <c r="D1643" s="66" t="s">
        <v>58</v>
      </c>
      <c r="E1643" s="66" t="s">
        <v>58</v>
      </c>
      <c r="F1643" s="66" t="s">
        <v>985</v>
      </c>
      <c r="G1643" s="66" t="s">
        <v>1076</v>
      </c>
      <c r="H1643" s="66" t="s">
        <v>1088</v>
      </c>
      <c r="I1643" s="66" t="s">
        <v>403</v>
      </c>
      <c r="J1643" s="66" t="s">
        <v>401</v>
      </c>
      <c r="K1643" s="66" t="s">
        <v>747</v>
      </c>
      <c r="L1643" s="67">
        <v>554403</v>
      </c>
      <c r="M1643" s="67">
        <v>0</v>
      </c>
      <c r="N1643" s="68">
        <f t="shared" si="108"/>
        <v>554403</v>
      </c>
      <c r="O1643" s="69">
        <f t="shared" si="109"/>
        <v>554403</v>
      </c>
      <c r="P1643" s="42" t="str">
        <f>IFERROR(VLOOKUP(J1643,'Mã NV'!$B:$C,2,0),"")</f>
        <v>XE01466</v>
      </c>
      <c r="Q1643" s="70" t="str">
        <f>IFERROR(VLOOKUP(I1643,'Mã NV'!$J:$K,2,0),"")</f>
        <v>3.5T</v>
      </c>
    </row>
    <row r="1644" customHeight="1" spans="1:17">
      <c r="A1644" s="63">
        <f t="shared" si="110"/>
        <v>1636</v>
      </c>
      <c r="B1644" s="64">
        <v>46144</v>
      </c>
      <c r="D1644" s="66" t="s">
        <v>58</v>
      </c>
      <c r="E1644" s="66" t="s">
        <v>58</v>
      </c>
      <c r="F1644" s="66" t="s">
        <v>985</v>
      </c>
      <c r="G1644" s="66" t="s">
        <v>1076</v>
      </c>
      <c r="H1644" s="66" t="s">
        <v>1092</v>
      </c>
      <c r="I1644" s="66" t="s">
        <v>403</v>
      </c>
      <c r="J1644" s="66" t="s">
        <v>401</v>
      </c>
      <c r="K1644" s="66" t="s">
        <v>747</v>
      </c>
      <c r="L1644" s="67">
        <v>312673</v>
      </c>
      <c r="M1644" s="67">
        <v>0</v>
      </c>
      <c r="N1644" s="68">
        <f t="shared" si="108"/>
        <v>312673</v>
      </c>
      <c r="O1644" s="69">
        <f t="shared" si="109"/>
        <v>312673</v>
      </c>
      <c r="P1644" s="42" t="str">
        <f>IFERROR(VLOOKUP(J1644,'Mã NV'!$B:$C,2,0),"")</f>
        <v>XE01466</v>
      </c>
      <c r="Q1644" s="70" t="str">
        <f>IFERROR(VLOOKUP(I1644,'Mã NV'!$J:$K,2,0),"")</f>
        <v>3.5T</v>
      </c>
    </row>
    <row r="1645" customHeight="1" spans="1:17">
      <c r="A1645" s="63">
        <f t="shared" si="110"/>
        <v>1637</v>
      </c>
      <c r="B1645" s="64">
        <v>46144</v>
      </c>
      <c r="D1645" s="66" t="s">
        <v>58</v>
      </c>
      <c r="E1645" s="66" t="s">
        <v>58</v>
      </c>
      <c r="F1645" s="66" t="s">
        <v>985</v>
      </c>
      <c r="G1645" s="66" t="s">
        <v>1076</v>
      </c>
      <c r="H1645" s="66" t="s">
        <v>1101</v>
      </c>
      <c r="I1645" s="66" t="s">
        <v>177</v>
      </c>
      <c r="J1645" s="66" t="s">
        <v>174</v>
      </c>
      <c r="K1645" s="66" t="s">
        <v>747</v>
      </c>
      <c r="L1645" s="67">
        <v>289025</v>
      </c>
      <c r="M1645" s="67">
        <v>0</v>
      </c>
      <c r="N1645" s="68">
        <f t="shared" si="108"/>
        <v>289025</v>
      </c>
      <c r="O1645" s="69">
        <f t="shared" si="109"/>
        <v>289025</v>
      </c>
      <c r="P1645" s="42" t="str">
        <f>IFERROR(VLOOKUP(J1645,'Mã NV'!$B:$C,2,0),"")</f>
        <v>XE00975</v>
      </c>
      <c r="Q1645" s="70" t="str">
        <f>IFERROR(VLOOKUP(I1645,'Mã NV'!$J:$K,2,0),"")</f>
        <v>2.5T Lạnh</v>
      </c>
    </row>
    <row r="1646" customHeight="1" spans="1:17">
      <c r="A1646" s="63">
        <f t="shared" si="110"/>
        <v>1638</v>
      </c>
      <c r="B1646" s="64">
        <v>46144</v>
      </c>
      <c r="D1646" s="66" t="s">
        <v>58</v>
      </c>
      <c r="E1646" s="66" t="s">
        <v>58</v>
      </c>
      <c r="F1646" s="66" t="s">
        <v>985</v>
      </c>
      <c r="G1646" s="66" t="s">
        <v>1076</v>
      </c>
      <c r="H1646" s="66" t="s">
        <v>1084</v>
      </c>
      <c r="I1646" s="66" t="s">
        <v>177</v>
      </c>
      <c r="J1646" s="66" t="s">
        <v>174</v>
      </c>
      <c r="K1646" s="66" t="s">
        <v>747</v>
      </c>
      <c r="L1646" s="67">
        <v>139258</v>
      </c>
      <c r="M1646" s="67">
        <v>0</v>
      </c>
      <c r="N1646" s="68">
        <f t="shared" si="108"/>
        <v>139258</v>
      </c>
      <c r="O1646" s="69">
        <f t="shared" si="109"/>
        <v>139258</v>
      </c>
      <c r="P1646" s="42" t="str">
        <f>IFERROR(VLOOKUP(J1646,'Mã NV'!$B:$C,2,0),"")</f>
        <v>XE00975</v>
      </c>
      <c r="Q1646" s="70" t="str">
        <f>IFERROR(VLOOKUP(I1646,'Mã NV'!$J:$K,2,0),"")</f>
        <v>2.5T Lạnh</v>
      </c>
    </row>
    <row r="1647" customHeight="1" spans="1:17">
      <c r="A1647" s="63">
        <f t="shared" si="110"/>
        <v>1639</v>
      </c>
      <c r="B1647" s="64">
        <v>46144</v>
      </c>
      <c r="D1647" s="66" t="s">
        <v>58</v>
      </c>
      <c r="E1647" s="66" t="s">
        <v>58</v>
      </c>
      <c r="F1647" s="66" t="s">
        <v>985</v>
      </c>
      <c r="G1647" s="66" t="s">
        <v>1076</v>
      </c>
      <c r="H1647" s="66" t="s">
        <v>1086</v>
      </c>
      <c r="I1647" s="66" t="s">
        <v>177</v>
      </c>
      <c r="J1647" s="66" t="s">
        <v>174</v>
      </c>
      <c r="K1647" s="66" t="s">
        <v>747</v>
      </c>
      <c r="L1647" s="67">
        <v>155023</v>
      </c>
      <c r="M1647" s="67">
        <v>0</v>
      </c>
      <c r="N1647" s="68">
        <f t="shared" si="108"/>
        <v>155023</v>
      </c>
      <c r="O1647" s="69">
        <f t="shared" si="109"/>
        <v>155023</v>
      </c>
      <c r="P1647" s="42" t="str">
        <f>IFERROR(VLOOKUP(J1647,'Mã NV'!$B:$C,2,0),"")</f>
        <v>XE00975</v>
      </c>
      <c r="Q1647" s="70" t="str">
        <f>IFERROR(VLOOKUP(I1647,'Mã NV'!$J:$K,2,0),"")</f>
        <v>2.5T Lạnh</v>
      </c>
    </row>
    <row r="1648" customHeight="1" spans="1:17">
      <c r="A1648" s="63">
        <f t="shared" si="110"/>
        <v>1640</v>
      </c>
      <c r="B1648" s="64">
        <v>46144</v>
      </c>
      <c r="D1648" s="66" t="s">
        <v>58</v>
      </c>
      <c r="E1648" s="66" t="s">
        <v>58</v>
      </c>
      <c r="F1648" s="66" t="s">
        <v>985</v>
      </c>
      <c r="G1648" s="66" t="s">
        <v>1076</v>
      </c>
      <c r="H1648" s="66" t="s">
        <v>1087</v>
      </c>
      <c r="I1648" s="66" t="s">
        <v>177</v>
      </c>
      <c r="J1648" s="66" t="s">
        <v>174</v>
      </c>
      <c r="K1648" s="66" t="s">
        <v>747</v>
      </c>
      <c r="L1648" s="67">
        <v>115610</v>
      </c>
      <c r="M1648" s="67">
        <v>0</v>
      </c>
      <c r="N1648" s="68">
        <f t="shared" si="108"/>
        <v>115610</v>
      </c>
      <c r="O1648" s="69">
        <f t="shared" si="109"/>
        <v>115610</v>
      </c>
      <c r="P1648" s="42" t="str">
        <f>IFERROR(VLOOKUP(J1648,'Mã NV'!$B:$C,2,0),"")</f>
        <v>XE00975</v>
      </c>
      <c r="Q1648" s="70" t="str">
        <f>IFERROR(VLOOKUP(I1648,'Mã NV'!$J:$K,2,0),"")</f>
        <v>2.5T Lạnh</v>
      </c>
    </row>
    <row r="1649" customHeight="1" spans="1:17">
      <c r="A1649" s="63">
        <f t="shared" si="110"/>
        <v>1641</v>
      </c>
      <c r="B1649" s="64">
        <v>46144</v>
      </c>
      <c r="D1649" s="66" t="s">
        <v>58</v>
      </c>
      <c r="E1649" s="66" t="s">
        <v>58</v>
      </c>
      <c r="F1649" s="66" t="s">
        <v>985</v>
      </c>
      <c r="G1649" s="66" t="s">
        <v>1076</v>
      </c>
      <c r="H1649" s="66" t="s">
        <v>1078</v>
      </c>
      <c r="I1649" s="66" t="s">
        <v>177</v>
      </c>
      <c r="J1649" s="66" t="s">
        <v>174</v>
      </c>
      <c r="K1649" s="66" t="s">
        <v>747</v>
      </c>
      <c r="L1649" s="67">
        <v>165533</v>
      </c>
      <c r="M1649" s="67">
        <v>0</v>
      </c>
      <c r="N1649" s="68">
        <f t="shared" si="108"/>
        <v>165533</v>
      </c>
      <c r="O1649" s="69">
        <f t="shared" si="109"/>
        <v>165533</v>
      </c>
      <c r="P1649" s="42" t="str">
        <f>IFERROR(VLOOKUP(J1649,'Mã NV'!$B:$C,2,0),"")</f>
        <v>XE00975</v>
      </c>
      <c r="Q1649" s="70" t="str">
        <f>IFERROR(VLOOKUP(I1649,'Mã NV'!$J:$K,2,0),"")</f>
        <v>2.5T Lạnh</v>
      </c>
    </row>
    <row r="1650" customHeight="1" spans="1:17">
      <c r="A1650" s="63">
        <f t="shared" si="110"/>
        <v>1642</v>
      </c>
      <c r="B1650" s="64">
        <v>46144</v>
      </c>
      <c r="D1650" s="66" t="s">
        <v>58</v>
      </c>
      <c r="E1650" s="66" t="s">
        <v>58</v>
      </c>
      <c r="F1650" s="66" t="s">
        <v>985</v>
      </c>
      <c r="G1650" s="66" t="s">
        <v>1076</v>
      </c>
      <c r="H1650" s="66" t="s">
        <v>1102</v>
      </c>
      <c r="I1650" s="66" t="s">
        <v>134</v>
      </c>
      <c r="J1650" s="66" t="s">
        <v>359</v>
      </c>
      <c r="K1650" s="66" t="s">
        <v>747</v>
      </c>
      <c r="L1650" s="67">
        <v>199690</v>
      </c>
      <c r="M1650" s="67">
        <v>0</v>
      </c>
      <c r="N1650" s="68">
        <f t="shared" si="108"/>
        <v>199690</v>
      </c>
      <c r="O1650" s="69">
        <f t="shared" si="109"/>
        <v>199690</v>
      </c>
      <c r="P1650" s="42" t="str">
        <f>IFERROR(VLOOKUP(J1650,'Mã NV'!$B:$C,2,0),"")</f>
        <v>XE01639</v>
      </c>
      <c r="Q1650" s="70" t="str">
        <f>IFERROR(VLOOKUP(I1650,'Mã NV'!$J:$K,2,0),"")</f>
        <v>2.5T Lạnh</v>
      </c>
    </row>
    <row r="1651" customHeight="1" spans="1:17">
      <c r="A1651" s="63">
        <f t="shared" si="110"/>
        <v>1643</v>
      </c>
      <c r="B1651" s="64">
        <v>46144</v>
      </c>
      <c r="D1651" s="66" t="s">
        <v>58</v>
      </c>
      <c r="E1651" s="66" t="s">
        <v>58</v>
      </c>
      <c r="F1651" s="66" t="s">
        <v>985</v>
      </c>
      <c r="G1651" s="66" t="s">
        <v>1076</v>
      </c>
      <c r="H1651" s="66" t="s">
        <v>1103</v>
      </c>
      <c r="I1651" s="66" t="s">
        <v>134</v>
      </c>
      <c r="J1651" s="66" t="s">
        <v>359</v>
      </c>
      <c r="K1651" s="66" t="s">
        <v>747</v>
      </c>
      <c r="L1651" s="67">
        <v>165533</v>
      </c>
      <c r="M1651" s="67">
        <v>0</v>
      </c>
      <c r="N1651" s="68">
        <f t="shared" si="108"/>
        <v>165533</v>
      </c>
      <c r="O1651" s="69">
        <f t="shared" ref="O1651:O1714" si="111">N1651/$P$1</f>
        <v>165533</v>
      </c>
      <c r="P1651" s="42" t="str">
        <f>IFERROR(VLOOKUP(J1651,'Mã NV'!$B:$C,2,0),"")</f>
        <v>XE01639</v>
      </c>
      <c r="Q1651" s="70" t="str">
        <f>IFERROR(VLOOKUP(I1651,'Mã NV'!$J:$K,2,0),"")</f>
        <v>2.5T Lạnh</v>
      </c>
    </row>
    <row r="1652" customHeight="1" spans="1:17">
      <c r="A1652" s="63">
        <f t="shared" si="110"/>
        <v>1644</v>
      </c>
      <c r="B1652" s="64">
        <v>46144</v>
      </c>
      <c r="D1652" s="66" t="s">
        <v>58</v>
      </c>
      <c r="E1652" s="66" t="s">
        <v>58</v>
      </c>
      <c r="F1652" s="66" t="s">
        <v>985</v>
      </c>
      <c r="G1652" s="66" t="s">
        <v>1076</v>
      </c>
      <c r="H1652" s="66" t="s">
        <v>1104</v>
      </c>
      <c r="I1652" s="66" t="s">
        <v>134</v>
      </c>
      <c r="J1652" s="66" t="s">
        <v>359</v>
      </c>
      <c r="K1652" s="66" t="s">
        <v>747</v>
      </c>
      <c r="L1652" s="67">
        <v>181298</v>
      </c>
      <c r="M1652" s="67">
        <v>0</v>
      </c>
      <c r="N1652" s="68">
        <f t="shared" ref="N1652:N1715" si="112">L1652-M1652</f>
        <v>181298</v>
      </c>
      <c r="O1652" s="69">
        <f t="shared" si="111"/>
        <v>181298</v>
      </c>
      <c r="P1652" s="42" t="str">
        <f>IFERROR(VLOOKUP(J1652,'Mã NV'!$B:$C,2,0),"")</f>
        <v>XE01639</v>
      </c>
      <c r="Q1652" s="70" t="str">
        <f>IFERROR(VLOOKUP(I1652,'Mã NV'!$J:$K,2,0),"")</f>
        <v>2.5T Lạnh</v>
      </c>
    </row>
    <row r="1653" customHeight="1" spans="1:17">
      <c r="A1653" s="63">
        <f t="shared" si="110"/>
        <v>1645</v>
      </c>
      <c r="B1653" s="64">
        <v>46144</v>
      </c>
      <c r="D1653" s="66" t="s">
        <v>58</v>
      </c>
      <c r="E1653" s="66" t="s">
        <v>58</v>
      </c>
      <c r="F1653" s="66" t="s">
        <v>985</v>
      </c>
      <c r="G1653" s="66" t="s">
        <v>1076</v>
      </c>
      <c r="H1653" s="66" t="s">
        <v>1085</v>
      </c>
      <c r="I1653" s="66" t="s">
        <v>134</v>
      </c>
      <c r="J1653" s="66" t="s">
        <v>359</v>
      </c>
      <c r="K1653" s="66" t="s">
        <v>747</v>
      </c>
      <c r="L1653" s="67">
        <v>123493</v>
      </c>
      <c r="M1653" s="67">
        <v>0</v>
      </c>
      <c r="N1653" s="68">
        <f t="shared" si="112"/>
        <v>123493</v>
      </c>
      <c r="O1653" s="69">
        <f t="shared" si="111"/>
        <v>123493</v>
      </c>
      <c r="P1653" s="42" t="str">
        <f>IFERROR(VLOOKUP(J1653,'Mã NV'!$B:$C,2,0),"")</f>
        <v>XE01639</v>
      </c>
      <c r="Q1653" s="70" t="str">
        <f>IFERROR(VLOOKUP(I1653,'Mã NV'!$J:$K,2,0),"")</f>
        <v>2.5T Lạnh</v>
      </c>
    </row>
    <row r="1654" customHeight="1" spans="1:17">
      <c r="A1654" s="63">
        <f t="shared" si="110"/>
        <v>1646</v>
      </c>
      <c r="B1654" s="64">
        <v>46144</v>
      </c>
      <c r="D1654" s="66" t="s">
        <v>58</v>
      </c>
      <c r="E1654" s="66" t="s">
        <v>58</v>
      </c>
      <c r="F1654" s="66" t="s">
        <v>985</v>
      </c>
      <c r="G1654" s="66" t="s">
        <v>1076</v>
      </c>
      <c r="H1654" s="66" t="s">
        <v>1094</v>
      </c>
      <c r="I1654" s="66" t="s">
        <v>134</v>
      </c>
      <c r="J1654" s="66" t="s">
        <v>359</v>
      </c>
      <c r="K1654" s="66" t="s">
        <v>747</v>
      </c>
      <c r="L1654" s="67">
        <v>70943</v>
      </c>
      <c r="M1654" s="67">
        <v>0</v>
      </c>
      <c r="N1654" s="68">
        <f t="shared" si="112"/>
        <v>70943</v>
      </c>
      <c r="O1654" s="69">
        <f t="shared" si="111"/>
        <v>70943</v>
      </c>
      <c r="P1654" s="42" t="str">
        <f>IFERROR(VLOOKUP(J1654,'Mã NV'!$B:$C,2,0),"")</f>
        <v>XE01639</v>
      </c>
      <c r="Q1654" s="70" t="str">
        <f>IFERROR(VLOOKUP(I1654,'Mã NV'!$J:$K,2,0),"")</f>
        <v>2.5T Lạnh</v>
      </c>
    </row>
    <row r="1655" customHeight="1" spans="1:17">
      <c r="A1655" s="63">
        <f t="shared" si="110"/>
        <v>1647</v>
      </c>
      <c r="B1655" s="64">
        <v>46144</v>
      </c>
      <c r="D1655" s="66" t="s">
        <v>58</v>
      </c>
      <c r="E1655" s="66" t="s">
        <v>58</v>
      </c>
      <c r="F1655" s="66" t="s">
        <v>985</v>
      </c>
      <c r="G1655" s="66" t="s">
        <v>1076</v>
      </c>
      <c r="H1655" s="66" t="s">
        <v>1098</v>
      </c>
      <c r="I1655" s="66" t="s">
        <v>214</v>
      </c>
      <c r="J1655" s="66" t="s">
        <v>212</v>
      </c>
      <c r="K1655" s="66" t="s">
        <v>747</v>
      </c>
      <c r="L1655" s="67">
        <v>199690</v>
      </c>
      <c r="M1655" s="67">
        <v>0</v>
      </c>
      <c r="N1655" s="68">
        <f t="shared" si="112"/>
        <v>199690</v>
      </c>
      <c r="O1655" s="69">
        <f t="shared" si="111"/>
        <v>199690</v>
      </c>
      <c r="P1655" s="42" t="str">
        <f>IFERROR(VLOOKUP(J1655,'Mã NV'!$B:$C,2,0),"")</f>
        <v>XE00977</v>
      </c>
      <c r="Q1655" s="70" t="str">
        <f>IFERROR(VLOOKUP(I1655,'Mã NV'!$J:$K,2,0),"")</f>
        <v>2T5 Lạnh </v>
      </c>
    </row>
    <row r="1656" customHeight="1" spans="1:17">
      <c r="A1656" s="63">
        <f t="shared" si="110"/>
        <v>1648</v>
      </c>
      <c r="B1656" s="64">
        <v>46144</v>
      </c>
      <c r="D1656" s="66" t="s">
        <v>58</v>
      </c>
      <c r="E1656" s="66" t="s">
        <v>58</v>
      </c>
      <c r="F1656" s="66" t="s">
        <v>985</v>
      </c>
      <c r="G1656" s="66" t="s">
        <v>1076</v>
      </c>
      <c r="H1656" s="66" t="s">
        <v>1097</v>
      </c>
      <c r="I1656" s="66" t="s">
        <v>214</v>
      </c>
      <c r="J1656" s="66" t="s">
        <v>212</v>
      </c>
      <c r="K1656" s="66" t="s">
        <v>747</v>
      </c>
      <c r="L1656" s="67">
        <v>246985</v>
      </c>
      <c r="M1656" s="67">
        <v>0</v>
      </c>
      <c r="N1656" s="68">
        <f t="shared" si="112"/>
        <v>246985</v>
      </c>
      <c r="O1656" s="69">
        <f t="shared" si="111"/>
        <v>246985</v>
      </c>
      <c r="P1656" s="42" t="str">
        <f>IFERROR(VLOOKUP(J1656,'Mã NV'!$B:$C,2,0),"")</f>
        <v>XE00977</v>
      </c>
      <c r="Q1656" s="70" t="str">
        <f>IFERROR(VLOOKUP(I1656,'Mã NV'!$J:$K,2,0),"")</f>
        <v>2T5 Lạnh </v>
      </c>
    </row>
    <row r="1657" customHeight="1" spans="1:17">
      <c r="A1657" s="63">
        <f t="shared" si="110"/>
        <v>1649</v>
      </c>
      <c r="B1657" s="64">
        <v>46144</v>
      </c>
      <c r="D1657" s="66" t="s">
        <v>58</v>
      </c>
      <c r="E1657" s="66" t="s">
        <v>58</v>
      </c>
      <c r="F1657" s="66" t="s">
        <v>985</v>
      </c>
      <c r="G1657" s="66" t="s">
        <v>1076</v>
      </c>
      <c r="H1657" s="66" t="s">
        <v>1089</v>
      </c>
      <c r="I1657" s="66" t="s">
        <v>214</v>
      </c>
      <c r="J1657" s="66" t="s">
        <v>212</v>
      </c>
      <c r="K1657" s="66" t="s">
        <v>747</v>
      </c>
      <c r="L1657" s="67">
        <v>289025</v>
      </c>
      <c r="M1657" s="67">
        <v>0</v>
      </c>
      <c r="N1657" s="68">
        <f t="shared" si="112"/>
        <v>289025</v>
      </c>
      <c r="O1657" s="69">
        <f t="shared" si="111"/>
        <v>289025</v>
      </c>
      <c r="P1657" s="42" t="str">
        <f>IFERROR(VLOOKUP(J1657,'Mã NV'!$B:$C,2,0),"")</f>
        <v>XE00977</v>
      </c>
      <c r="Q1657" s="70" t="str">
        <f>IFERROR(VLOOKUP(I1657,'Mã NV'!$J:$K,2,0),"")</f>
        <v>2T5 Lạnh </v>
      </c>
    </row>
    <row r="1658" customHeight="1" spans="1:17">
      <c r="A1658" s="63">
        <f t="shared" si="110"/>
        <v>1650</v>
      </c>
      <c r="B1658" s="64">
        <v>46144</v>
      </c>
      <c r="D1658" s="66" t="s">
        <v>58</v>
      </c>
      <c r="E1658" s="66" t="s">
        <v>58</v>
      </c>
      <c r="F1658" s="66" t="s">
        <v>985</v>
      </c>
      <c r="G1658" s="66" t="s">
        <v>1076</v>
      </c>
      <c r="H1658" s="66" t="s">
        <v>1099</v>
      </c>
      <c r="I1658" s="66" t="s">
        <v>403</v>
      </c>
      <c r="J1658" s="66" t="s">
        <v>401</v>
      </c>
      <c r="K1658" s="66" t="s">
        <v>747</v>
      </c>
      <c r="L1658" s="67">
        <v>81453</v>
      </c>
      <c r="M1658" s="67">
        <v>0</v>
      </c>
      <c r="N1658" s="68">
        <f t="shared" si="112"/>
        <v>81453</v>
      </c>
      <c r="O1658" s="69">
        <f t="shared" si="111"/>
        <v>81453</v>
      </c>
      <c r="P1658" s="42" t="str">
        <f>IFERROR(VLOOKUP(J1658,'Mã NV'!$B:$C,2,0),"")</f>
        <v>XE01466</v>
      </c>
      <c r="Q1658" s="70" t="str">
        <f>IFERROR(VLOOKUP(I1658,'Mã NV'!$J:$K,2,0),"")</f>
        <v>3.5T</v>
      </c>
    </row>
    <row r="1659" customHeight="1" spans="1:17">
      <c r="A1659" s="63">
        <f t="shared" si="110"/>
        <v>1651</v>
      </c>
      <c r="B1659" s="64">
        <v>46144</v>
      </c>
      <c r="D1659" s="66" t="s">
        <v>58</v>
      </c>
      <c r="E1659" s="66" t="s">
        <v>58</v>
      </c>
      <c r="F1659" s="66" t="s">
        <v>985</v>
      </c>
      <c r="G1659" s="66" t="s">
        <v>1076</v>
      </c>
      <c r="H1659" s="66" t="s">
        <v>1100</v>
      </c>
      <c r="I1659" s="66" t="s">
        <v>403</v>
      </c>
      <c r="J1659" s="66" t="s">
        <v>401</v>
      </c>
      <c r="K1659" s="66" t="s">
        <v>747</v>
      </c>
      <c r="L1659" s="67">
        <v>307418</v>
      </c>
      <c r="M1659" s="67">
        <v>0</v>
      </c>
      <c r="N1659" s="68">
        <f t="shared" si="112"/>
        <v>307418</v>
      </c>
      <c r="O1659" s="69">
        <f t="shared" si="111"/>
        <v>307418</v>
      </c>
      <c r="P1659" s="42" t="str">
        <f>IFERROR(VLOOKUP(J1659,'Mã NV'!$B:$C,2,0),"")</f>
        <v>XE01466</v>
      </c>
      <c r="Q1659" s="70" t="str">
        <f>IFERROR(VLOOKUP(I1659,'Mã NV'!$J:$K,2,0),"")</f>
        <v>3.5T</v>
      </c>
    </row>
    <row r="1660" customHeight="1" spans="1:17">
      <c r="A1660" s="63">
        <f t="shared" si="110"/>
        <v>1652</v>
      </c>
      <c r="B1660" s="64">
        <v>46144</v>
      </c>
      <c r="D1660" s="66" t="s">
        <v>58</v>
      </c>
      <c r="E1660" s="66" t="s">
        <v>58</v>
      </c>
      <c r="F1660" s="66" t="s">
        <v>985</v>
      </c>
      <c r="G1660" s="66" t="s">
        <v>1076</v>
      </c>
      <c r="H1660" s="66" t="s">
        <v>1077</v>
      </c>
      <c r="I1660" s="66" t="s">
        <v>403</v>
      </c>
      <c r="J1660" s="66" t="s">
        <v>401</v>
      </c>
      <c r="K1660" s="66" t="s">
        <v>747</v>
      </c>
      <c r="L1660" s="67">
        <v>294280</v>
      </c>
      <c r="M1660" s="67">
        <v>0</v>
      </c>
      <c r="N1660" s="68">
        <f t="shared" si="112"/>
        <v>294280</v>
      </c>
      <c r="O1660" s="69">
        <f t="shared" si="111"/>
        <v>294280</v>
      </c>
      <c r="P1660" s="42" t="str">
        <f>IFERROR(VLOOKUP(J1660,'Mã NV'!$B:$C,2,0),"")</f>
        <v>XE01466</v>
      </c>
      <c r="Q1660" s="70" t="str">
        <f>IFERROR(VLOOKUP(I1660,'Mã NV'!$J:$K,2,0),"")</f>
        <v>3.5T</v>
      </c>
    </row>
    <row r="1661" customHeight="1" spans="1:17">
      <c r="A1661" s="63">
        <f t="shared" si="110"/>
        <v>1653</v>
      </c>
      <c r="B1661" s="64">
        <v>46144</v>
      </c>
      <c r="D1661" s="66" t="s">
        <v>58</v>
      </c>
      <c r="E1661" s="66" t="s">
        <v>58</v>
      </c>
      <c r="F1661" s="66" t="s">
        <v>985</v>
      </c>
      <c r="G1661" s="66" t="s">
        <v>1076</v>
      </c>
      <c r="H1661" s="66" t="s">
        <v>1096</v>
      </c>
      <c r="I1661" s="66" t="s">
        <v>403</v>
      </c>
      <c r="J1661" s="66" t="s">
        <v>401</v>
      </c>
      <c r="K1661" s="66" t="s">
        <v>747</v>
      </c>
      <c r="L1661" s="67">
        <v>409890</v>
      </c>
      <c r="M1661" s="67">
        <v>0</v>
      </c>
      <c r="N1661" s="68">
        <f t="shared" si="112"/>
        <v>409890</v>
      </c>
      <c r="O1661" s="69">
        <f t="shared" si="111"/>
        <v>409890</v>
      </c>
      <c r="P1661" s="42" t="str">
        <f>IFERROR(VLOOKUP(J1661,'Mã NV'!$B:$C,2,0),"")</f>
        <v>XE01466</v>
      </c>
      <c r="Q1661" s="70" t="str">
        <f>IFERROR(VLOOKUP(I1661,'Mã NV'!$J:$K,2,0),"")</f>
        <v>3.5T</v>
      </c>
    </row>
    <row r="1662" customHeight="1" spans="1:17">
      <c r="A1662" s="63">
        <f t="shared" si="110"/>
        <v>1654</v>
      </c>
      <c r="B1662" s="64">
        <v>46144</v>
      </c>
      <c r="D1662" s="66" t="s">
        <v>58</v>
      </c>
      <c r="E1662" s="66" t="s">
        <v>58</v>
      </c>
      <c r="F1662" s="66" t="s">
        <v>985</v>
      </c>
      <c r="G1662" s="66" t="s">
        <v>1076</v>
      </c>
      <c r="H1662" s="66" t="s">
        <v>1095</v>
      </c>
      <c r="I1662" s="66" t="s">
        <v>57</v>
      </c>
      <c r="J1662" s="66" t="s">
        <v>55</v>
      </c>
      <c r="K1662" s="66" t="s">
        <v>747</v>
      </c>
      <c r="L1662" s="67">
        <v>289025</v>
      </c>
      <c r="M1662" s="67">
        <v>0</v>
      </c>
      <c r="N1662" s="68">
        <f t="shared" si="112"/>
        <v>289025</v>
      </c>
      <c r="O1662" s="69">
        <f t="shared" si="111"/>
        <v>289025</v>
      </c>
      <c r="P1662" s="42" t="str">
        <f>IFERROR(VLOOKUP(J1662,'Mã NV'!$B:$C,2,0),"")</f>
        <v>XE00768</v>
      </c>
      <c r="Q1662" s="70" t="str">
        <f>IFERROR(VLOOKUP(I1662,'Mã NV'!$J:$K,2,0),"")</f>
        <v>2.5T</v>
      </c>
    </row>
    <row r="1663" customHeight="1" spans="1:17">
      <c r="A1663" s="63">
        <f t="shared" si="110"/>
        <v>1655</v>
      </c>
      <c r="B1663" s="64">
        <v>46144</v>
      </c>
      <c r="D1663" s="66" t="s">
        <v>58</v>
      </c>
      <c r="E1663" s="66" t="s">
        <v>58</v>
      </c>
      <c r="F1663" s="66" t="s">
        <v>985</v>
      </c>
      <c r="G1663" s="66" t="s">
        <v>1076</v>
      </c>
      <c r="H1663" s="66" t="s">
        <v>1093</v>
      </c>
      <c r="I1663" s="66" t="s">
        <v>57</v>
      </c>
      <c r="J1663" s="66" t="s">
        <v>55</v>
      </c>
      <c r="K1663" s="66" t="s">
        <v>747</v>
      </c>
      <c r="L1663" s="67">
        <v>294280</v>
      </c>
      <c r="M1663" s="67">
        <v>0</v>
      </c>
      <c r="N1663" s="68">
        <f t="shared" si="112"/>
        <v>294280</v>
      </c>
      <c r="O1663" s="69">
        <f t="shared" si="111"/>
        <v>294280</v>
      </c>
      <c r="P1663" s="42" t="str">
        <f>IFERROR(VLOOKUP(J1663,'Mã NV'!$B:$C,2,0),"")</f>
        <v>XE00768</v>
      </c>
      <c r="Q1663" s="70" t="str">
        <f>IFERROR(VLOOKUP(I1663,'Mã NV'!$J:$K,2,0),"")</f>
        <v>2.5T</v>
      </c>
    </row>
    <row r="1664" customHeight="1" spans="1:17">
      <c r="A1664" s="63">
        <f t="shared" si="110"/>
        <v>1656</v>
      </c>
      <c r="B1664" s="64">
        <v>46144</v>
      </c>
      <c r="D1664" s="66" t="s">
        <v>58</v>
      </c>
      <c r="E1664" s="66" t="s">
        <v>58</v>
      </c>
      <c r="F1664" s="66" t="s">
        <v>985</v>
      </c>
      <c r="G1664" s="66" t="s">
        <v>1076</v>
      </c>
      <c r="H1664" s="66" t="s">
        <v>1090</v>
      </c>
      <c r="I1664" s="66" t="s">
        <v>57</v>
      </c>
      <c r="J1664" s="66" t="s">
        <v>55</v>
      </c>
      <c r="K1664" s="66" t="s">
        <v>747</v>
      </c>
      <c r="L1664" s="67">
        <v>493970</v>
      </c>
      <c r="M1664" s="67">
        <v>0</v>
      </c>
      <c r="N1664" s="68">
        <f t="shared" si="112"/>
        <v>493970</v>
      </c>
      <c r="O1664" s="69">
        <f t="shared" si="111"/>
        <v>493970</v>
      </c>
      <c r="P1664" s="42" t="str">
        <f>IFERROR(VLOOKUP(J1664,'Mã NV'!$B:$C,2,0),"")</f>
        <v>XE00768</v>
      </c>
      <c r="Q1664" s="70" t="str">
        <f>IFERROR(VLOOKUP(I1664,'Mã NV'!$J:$K,2,0),"")</f>
        <v>2.5T</v>
      </c>
    </row>
    <row r="1665" customHeight="1" spans="1:17">
      <c r="A1665" s="63">
        <f t="shared" si="110"/>
        <v>1657</v>
      </c>
      <c r="B1665" s="64">
        <v>46146</v>
      </c>
      <c r="D1665" s="66" t="s">
        <v>58</v>
      </c>
      <c r="E1665" s="66" t="s">
        <v>58</v>
      </c>
      <c r="F1665" s="66" t="s">
        <v>985</v>
      </c>
      <c r="G1665" s="66" t="s">
        <v>1076</v>
      </c>
      <c r="H1665" s="66" t="s">
        <v>1080</v>
      </c>
      <c r="I1665" s="66" t="s">
        <v>57</v>
      </c>
      <c r="J1665" s="66" t="s">
        <v>55</v>
      </c>
      <c r="K1665" s="66" t="s">
        <v>747</v>
      </c>
      <c r="L1665" s="67">
        <v>289025</v>
      </c>
      <c r="M1665" s="67">
        <v>0</v>
      </c>
      <c r="N1665" s="68">
        <f t="shared" si="112"/>
        <v>289025</v>
      </c>
      <c r="O1665" s="69">
        <f t="shared" si="111"/>
        <v>289025</v>
      </c>
      <c r="P1665" s="42" t="str">
        <f>IFERROR(VLOOKUP(J1665,'Mã NV'!$B:$C,2,0),"")</f>
        <v>XE00768</v>
      </c>
      <c r="Q1665" s="70" t="str">
        <f>IFERROR(VLOOKUP(I1665,'Mã NV'!$J:$K,2,0),"")</f>
        <v>2.5T</v>
      </c>
    </row>
    <row r="1666" customHeight="1" spans="1:17">
      <c r="A1666" s="63">
        <f t="shared" si="110"/>
        <v>1658</v>
      </c>
      <c r="B1666" s="64">
        <v>46146</v>
      </c>
      <c r="D1666" s="66" t="s">
        <v>58</v>
      </c>
      <c r="E1666" s="66" t="s">
        <v>58</v>
      </c>
      <c r="F1666" s="66" t="s">
        <v>985</v>
      </c>
      <c r="G1666" s="66" t="s">
        <v>1076</v>
      </c>
      <c r="H1666" s="66" t="s">
        <v>1081</v>
      </c>
      <c r="I1666" s="66" t="s">
        <v>57</v>
      </c>
      <c r="J1666" s="66" t="s">
        <v>55</v>
      </c>
      <c r="K1666" s="66" t="s">
        <v>747</v>
      </c>
      <c r="L1666" s="67">
        <v>289025</v>
      </c>
      <c r="M1666" s="67">
        <v>0</v>
      </c>
      <c r="N1666" s="68">
        <f t="shared" si="112"/>
        <v>289025</v>
      </c>
      <c r="O1666" s="69">
        <f t="shared" si="111"/>
        <v>289025</v>
      </c>
      <c r="P1666" s="42" t="str">
        <f>IFERROR(VLOOKUP(J1666,'Mã NV'!$B:$C,2,0),"")</f>
        <v>XE00768</v>
      </c>
      <c r="Q1666" s="70" t="str">
        <f>IFERROR(VLOOKUP(I1666,'Mã NV'!$J:$K,2,0),"")</f>
        <v>2.5T</v>
      </c>
    </row>
    <row r="1667" customHeight="1" spans="1:17">
      <c r="A1667" s="63">
        <f t="shared" si="110"/>
        <v>1659</v>
      </c>
      <c r="B1667" s="64">
        <v>46146</v>
      </c>
      <c r="D1667" s="66" t="s">
        <v>58</v>
      </c>
      <c r="E1667" s="66" t="s">
        <v>58</v>
      </c>
      <c r="F1667" s="66" t="s">
        <v>985</v>
      </c>
      <c r="G1667" s="66" t="s">
        <v>1076</v>
      </c>
      <c r="H1667" s="66" t="s">
        <v>1082</v>
      </c>
      <c r="I1667" s="66" t="s">
        <v>57</v>
      </c>
      <c r="J1667" s="66" t="s">
        <v>55</v>
      </c>
      <c r="K1667" s="66" t="s">
        <v>747</v>
      </c>
      <c r="L1667" s="67">
        <v>349458</v>
      </c>
      <c r="M1667" s="67">
        <v>0</v>
      </c>
      <c r="N1667" s="68">
        <f t="shared" si="112"/>
        <v>349458</v>
      </c>
      <c r="O1667" s="69">
        <f t="shared" si="111"/>
        <v>349458</v>
      </c>
      <c r="P1667" s="42" t="str">
        <f>IFERROR(VLOOKUP(J1667,'Mã NV'!$B:$C,2,0),"")</f>
        <v>XE00768</v>
      </c>
      <c r="Q1667" s="70" t="str">
        <f>IFERROR(VLOOKUP(I1667,'Mã NV'!$J:$K,2,0),"")</f>
        <v>2.5T</v>
      </c>
    </row>
    <row r="1668" customHeight="1" spans="1:17">
      <c r="A1668" s="63">
        <f t="shared" si="110"/>
        <v>1660</v>
      </c>
      <c r="B1668" s="64">
        <v>46146</v>
      </c>
      <c r="D1668" s="66" t="s">
        <v>58</v>
      </c>
      <c r="E1668" s="66" t="s">
        <v>58</v>
      </c>
      <c r="F1668" s="66" t="s">
        <v>985</v>
      </c>
      <c r="G1668" s="66" t="s">
        <v>1076</v>
      </c>
      <c r="H1668" s="66" t="s">
        <v>1089</v>
      </c>
      <c r="I1668" s="66" t="s">
        <v>403</v>
      </c>
      <c r="J1668" s="66" t="s">
        <v>401</v>
      </c>
      <c r="K1668" s="66" t="s">
        <v>747</v>
      </c>
      <c r="L1668" s="67">
        <v>549148</v>
      </c>
      <c r="M1668" s="67">
        <v>0</v>
      </c>
      <c r="N1668" s="68">
        <f t="shared" si="112"/>
        <v>549148</v>
      </c>
      <c r="O1668" s="69">
        <f t="shared" si="111"/>
        <v>549148</v>
      </c>
      <c r="P1668" s="42" t="str">
        <f>IFERROR(VLOOKUP(J1668,'Mã NV'!$B:$C,2,0),"")</f>
        <v>XE01466</v>
      </c>
      <c r="Q1668" s="70" t="str">
        <f>IFERROR(VLOOKUP(I1668,'Mã NV'!$J:$K,2,0),"")</f>
        <v>3.5T</v>
      </c>
    </row>
    <row r="1669" customHeight="1" spans="1:17">
      <c r="A1669" s="63">
        <f t="shared" si="110"/>
        <v>1661</v>
      </c>
      <c r="B1669" s="64">
        <v>46146</v>
      </c>
      <c r="D1669" s="66" t="s">
        <v>58</v>
      </c>
      <c r="E1669" s="66" t="s">
        <v>58</v>
      </c>
      <c r="F1669" s="66" t="s">
        <v>985</v>
      </c>
      <c r="G1669" s="66" t="s">
        <v>1076</v>
      </c>
      <c r="H1669" s="66" t="s">
        <v>1091</v>
      </c>
      <c r="I1669" s="66" t="s">
        <v>403</v>
      </c>
      <c r="J1669" s="66" t="s">
        <v>401</v>
      </c>
      <c r="K1669" s="66" t="s">
        <v>747</v>
      </c>
      <c r="L1669" s="67">
        <v>404635</v>
      </c>
      <c r="M1669" s="67">
        <v>0</v>
      </c>
      <c r="N1669" s="68">
        <f t="shared" si="112"/>
        <v>404635</v>
      </c>
      <c r="O1669" s="69">
        <f t="shared" si="111"/>
        <v>404635</v>
      </c>
      <c r="P1669" s="42" t="str">
        <f>IFERROR(VLOOKUP(J1669,'Mã NV'!$B:$C,2,0),"")</f>
        <v>XE01466</v>
      </c>
      <c r="Q1669" s="70" t="str">
        <f>IFERROR(VLOOKUP(I1669,'Mã NV'!$J:$K,2,0),"")</f>
        <v>3.5T</v>
      </c>
    </row>
    <row r="1670" customHeight="1" spans="1:17">
      <c r="A1670" s="63">
        <f t="shared" si="110"/>
        <v>1662</v>
      </c>
      <c r="B1670" s="64">
        <v>46146</v>
      </c>
      <c r="D1670" s="66" t="s">
        <v>58</v>
      </c>
      <c r="E1670" s="66" t="s">
        <v>58</v>
      </c>
      <c r="F1670" s="66" t="s">
        <v>985</v>
      </c>
      <c r="G1670" s="66" t="s">
        <v>1076</v>
      </c>
      <c r="H1670" s="66" t="s">
        <v>1096</v>
      </c>
      <c r="I1670" s="66" t="s">
        <v>403</v>
      </c>
      <c r="J1670" s="66" t="s">
        <v>401</v>
      </c>
      <c r="K1670" s="66" t="s">
        <v>747</v>
      </c>
      <c r="L1670" s="67">
        <v>415145</v>
      </c>
      <c r="M1670" s="67">
        <v>0</v>
      </c>
      <c r="N1670" s="68">
        <f t="shared" si="112"/>
        <v>415145</v>
      </c>
      <c r="O1670" s="69">
        <f t="shared" si="111"/>
        <v>415145</v>
      </c>
      <c r="P1670" s="42" t="str">
        <f>IFERROR(VLOOKUP(J1670,'Mã NV'!$B:$C,2,0),"")</f>
        <v>XE01466</v>
      </c>
      <c r="Q1670" s="70" t="str">
        <f>IFERROR(VLOOKUP(I1670,'Mã NV'!$J:$K,2,0),"")</f>
        <v>3.5T</v>
      </c>
    </row>
    <row r="1671" customHeight="1" spans="1:17">
      <c r="A1671" s="63">
        <f t="shared" si="110"/>
        <v>1663</v>
      </c>
      <c r="B1671" s="64">
        <v>46146</v>
      </c>
      <c r="D1671" s="66" t="s">
        <v>58</v>
      </c>
      <c r="E1671" s="66" t="s">
        <v>58</v>
      </c>
      <c r="F1671" s="66" t="s">
        <v>985</v>
      </c>
      <c r="G1671" s="66" t="s">
        <v>1076</v>
      </c>
      <c r="H1671" s="66" t="s">
        <v>1102</v>
      </c>
      <c r="I1671" s="66" t="s">
        <v>134</v>
      </c>
      <c r="J1671" s="66" t="s">
        <v>359</v>
      </c>
      <c r="K1671" s="66" t="s">
        <v>747</v>
      </c>
      <c r="L1671" s="67">
        <v>388870</v>
      </c>
      <c r="M1671" s="67">
        <v>0</v>
      </c>
      <c r="N1671" s="68">
        <f t="shared" si="112"/>
        <v>388870</v>
      </c>
      <c r="O1671" s="69">
        <f t="shared" si="111"/>
        <v>388870</v>
      </c>
      <c r="P1671" s="42" t="str">
        <f>IFERROR(VLOOKUP(J1671,'Mã NV'!$B:$C,2,0),"")</f>
        <v>XE01639</v>
      </c>
      <c r="Q1671" s="70" t="str">
        <f>IFERROR(VLOOKUP(I1671,'Mã NV'!$J:$K,2,0),"")</f>
        <v>2.5T Lạnh</v>
      </c>
    </row>
    <row r="1672" customHeight="1" spans="1:17">
      <c r="A1672" s="63">
        <f t="shared" si="110"/>
        <v>1664</v>
      </c>
      <c r="B1672" s="64">
        <v>46146</v>
      </c>
      <c r="D1672" s="66" t="s">
        <v>58</v>
      </c>
      <c r="E1672" s="66" t="s">
        <v>58</v>
      </c>
      <c r="F1672" s="66" t="s">
        <v>985</v>
      </c>
      <c r="G1672" s="66" t="s">
        <v>1076</v>
      </c>
      <c r="H1672" s="66" t="s">
        <v>1104</v>
      </c>
      <c r="I1672" s="66" t="s">
        <v>134</v>
      </c>
      <c r="J1672" s="66" t="s">
        <v>359</v>
      </c>
      <c r="K1672" s="66" t="s">
        <v>747</v>
      </c>
      <c r="L1672" s="67">
        <v>375733</v>
      </c>
      <c r="M1672" s="67">
        <v>0</v>
      </c>
      <c r="N1672" s="68">
        <f t="shared" si="112"/>
        <v>375733</v>
      </c>
      <c r="O1672" s="69">
        <f t="shared" si="111"/>
        <v>375733</v>
      </c>
      <c r="P1672" s="42" t="str">
        <f>IFERROR(VLOOKUP(J1672,'Mã NV'!$B:$C,2,0),"")</f>
        <v>XE01639</v>
      </c>
      <c r="Q1672" s="70" t="str">
        <f>IFERROR(VLOOKUP(I1672,'Mã NV'!$J:$K,2,0),"")</f>
        <v>2.5T Lạnh</v>
      </c>
    </row>
    <row r="1673" customHeight="1" spans="1:17">
      <c r="A1673" s="63">
        <f t="shared" si="110"/>
        <v>1665</v>
      </c>
      <c r="B1673" s="64">
        <v>46146</v>
      </c>
      <c r="D1673" s="66" t="s">
        <v>58</v>
      </c>
      <c r="E1673" s="66" t="s">
        <v>58</v>
      </c>
      <c r="F1673" s="66" t="s">
        <v>985</v>
      </c>
      <c r="G1673" s="66" t="s">
        <v>1076</v>
      </c>
      <c r="H1673" s="66" t="s">
        <v>1085</v>
      </c>
      <c r="I1673" s="66" t="s">
        <v>134</v>
      </c>
      <c r="J1673" s="66" t="s">
        <v>359</v>
      </c>
      <c r="K1673" s="66" t="s">
        <v>747</v>
      </c>
      <c r="L1673" s="67">
        <v>189180</v>
      </c>
      <c r="M1673" s="67">
        <v>0</v>
      </c>
      <c r="N1673" s="68">
        <f t="shared" si="112"/>
        <v>189180</v>
      </c>
      <c r="O1673" s="69">
        <f t="shared" si="111"/>
        <v>189180</v>
      </c>
      <c r="P1673" s="42" t="str">
        <f>IFERROR(VLOOKUP(J1673,'Mã NV'!$B:$C,2,0),"")</f>
        <v>XE01639</v>
      </c>
      <c r="Q1673" s="70" t="str">
        <f>IFERROR(VLOOKUP(I1673,'Mã NV'!$J:$K,2,0),"")</f>
        <v>2.5T Lạnh</v>
      </c>
    </row>
    <row r="1674" customHeight="1" spans="1:17">
      <c r="A1674" s="63">
        <f t="shared" si="110"/>
        <v>1666</v>
      </c>
      <c r="B1674" s="64">
        <v>46146</v>
      </c>
      <c r="D1674" s="66" t="s">
        <v>58</v>
      </c>
      <c r="E1674" s="66" t="s">
        <v>58</v>
      </c>
      <c r="F1674" s="66" t="s">
        <v>985</v>
      </c>
      <c r="G1674" s="66" t="s">
        <v>1076</v>
      </c>
      <c r="H1674" s="66" t="s">
        <v>1077</v>
      </c>
      <c r="I1674" s="66" t="s">
        <v>358</v>
      </c>
      <c r="J1674" s="66" t="s">
        <v>356</v>
      </c>
      <c r="K1674" s="66" t="s">
        <v>747</v>
      </c>
      <c r="L1674" s="67">
        <v>578050</v>
      </c>
      <c r="M1674" s="67">
        <v>0</v>
      </c>
      <c r="N1674" s="68">
        <f t="shared" si="112"/>
        <v>578050</v>
      </c>
      <c r="O1674" s="69">
        <f t="shared" si="111"/>
        <v>578050</v>
      </c>
      <c r="P1674" s="42" t="str">
        <f>IFERROR(VLOOKUP(J1674,'Mã NV'!$B:$C,2,0),"")</f>
        <v>XE01616</v>
      </c>
      <c r="Q1674" s="70" t="str">
        <f>IFERROR(VLOOKUP(I1674,'Mã NV'!$J:$K,2,0),"")</f>
        <v>2.5T Lạnh</v>
      </c>
    </row>
    <row r="1675" customHeight="1" spans="1:17">
      <c r="A1675" s="63">
        <f t="shared" si="110"/>
        <v>1667</v>
      </c>
      <c r="B1675" s="64">
        <v>46146</v>
      </c>
      <c r="D1675" s="66" t="s">
        <v>58</v>
      </c>
      <c r="E1675" s="66" t="s">
        <v>1107</v>
      </c>
      <c r="F1675" s="66" t="s">
        <v>985</v>
      </c>
      <c r="G1675" s="66" t="s">
        <v>1076</v>
      </c>
      <c r="H1675" s="66" t="s">
        <v>1078</v>
      </c>
      <c r="I1675" s="66" t="s">
        <v>358</v>
      </c>
      <c r="J1675" s="66" t="s">
        <v>356</v>
      </c>
      <c r="K1675" s="66" t="s">
        <v>747</v>
      </c>
      <c r="L1675" s="67">
        <v>296908</v>
      </c>
      <c r="M1675" s="67">
        <v>0</v>
      </c>
      <c r="N1675" s="68">
        <f t="shared" si="112"/>
        <v>296908</v>
      </c>
      <c r="O1675" s="69">
        <f t="shared" si="111"/>
        <v>296908</v>
      </c>
      <c r="P1675" s="42" t="str">
        <f>IFERROR(VLOOKUP(J1675,'Mã NV'!$B:$C,2,0),"")</f>
        <v>XE01616</v>
      </c>
      <c r="Q1675" s="70" t="str">
        <f>IFERROR(VLOOKUP(I1675,'Mã NV'!$J:$K,2,0),"")</f>
        <v>2.5T Lạnh</v>
      </c>
    </row>
    <row r="1676" customHeight="1" spans="1:17">
      <c r="A1676" s="63">
        <f t="shared" si="110"/>
        <v>1668</v>
      </c>
      <c r="B1676" s="64">
        <v>46146</v>
      </c>
      <c r="D1676" s="66" t="s">
        <v>58</v>
      </c>
      <c r="E1676" s="66" t="s">
        <v>58</v>
      </c>
      <c r="F1676" s="66" t="s">
        <v>985</v>
      </c>
      <c r="G1676" s="66" t="s">
        <v>1076</v>
      </c>
      <c r="H1676" s="66" t="s">
        <v>1079</v>
      </c>
      <c r="I1676" s="66" t="s">
        <v>358</v>
      </c>
      <c r="J1676" s="66" t="s">
        <v>356</v>
      </c>
      <c r="K1676" s="66" t="s">
        <v>747</v>
      </c>
      <c r="L1676" s="67">
        <v>212828</v>
      </c>
      <c r="M1676" s="67">
        <v>0</v>
      </c>
      <c r="N1676" s="68">
        <f t="shared" si="112"/>
        <v>212828</v>
      </c>
      <c r="O1676" s="69">
        <f t="shared" si="111"/>
        <v>212828</v>
      </c>
      <c r="P1676" s="42" t="str">
        <f>IFERROR(VLOOKUP(J1676,'Mã NV'!$B:$C,2,0),"")</f>
        <v>XE01616</v>
      </c>
      <c r="Q1676" s="70" t="str">
        <f>IFERROR(VLOOKUP(I1676,'Mã NV'!$J:$K,2,0),"")</f>
        <v>2.5T Lạnh</v>
      </c>
    </row>
    <row r="1677" customHeight="1" spans="1:17">
      <c r="A1677" s="63">
        <f t="shared" si="110"/>
        <v>1669</v>
      </c>
      <c r="B1677" s="64">
        <v>46146</v>
      </c>
      <c r="D1677" s="66" t="s">
        <v>58</v>
      </c>
      <c r="E1677" s="66" t="s">
        <v>58</v>
      </c>
      <c r="F1677" s="66" t="s">
        <v>985</v>
      </c>
      <c r="G1677" s="66" t="s">
        <v>1076</v>
      </c>
      <c r="H1677" s="66" t="s">
        <v>1101</v>
      </c>
      <c r="I1677" s="66" t="s">
        <v>177</v>
      </c>
      <c r="J1677" s="66" t="s">
        <v>174</v>
      </c>
      <c r="K1677" s="66" t="s">
        <v>747</v>
      </c>
      <c r="L1677" s="67">
        <v>346830</v>
      </c>
      <c r="M1677" s="67">
        <v>0</v>
      </c>
      <c r="N1677" s="68">
        <f t="shared" si="112"/>
        <v>346830</v>
      </c>
      <c r="O1677" s="69">
        <f t="shared" si="111"/>
        <v>346830</v>
      </c>
      <c r="P1677" s="42" t="str">
        <f>IFERROR(VLOOKUP(J1677,'Mã NV'!$B:$C,2,0),"")</f>
        <v>XE00975</v>
      </c>
      <c r="Q1677" s="70" t="str">
        <f>IFERROR(VLOOKUP(I1677,'Mã NV'!$J:$K,2,0),"")</f>
        <v>2.5T Lạnh</v>
      </c>
    </row>
    <row r="1678" customHeight="1" spans="1:17">
      <c r="A1678" s="63">
        <f t="shared" si="110"/>
        <v>1670</v>
      </c>
      <c r="B1678" s="64">
        <v>46146</v>
      </c>
      <c r="D1678" s="66" t="s">
        <v>58</v>
      </c>
      <c r="E1678" s="66" t="s">
        <v>58</v>
      </c>
      <c r="F1678" s="66" t="s">
        <v>985</v>
      </c>
      <c r="G1678" s="66" t="s">
        <v>1076</v>
      </c>
      <c r="H1678" s="66" t="s">
        <v>1084</v>
      </c>
      <c r="I1678" s="66" t="s">
        <v>177</v>
      </c>
      <c r="J1678" s="66" t="s">
        <v>174</v>
      </c>
      <c r="K1678" s="66" t="s">
        <v>747</v>
      </c>
      <c r="L1678" s="67">
        <v>312673</v>
      </c>
      <c r="M1678" s="67">
        <v>0</v>
      </c>
      <c r="N1678" s="68">
        <f t="shared" si="112"/>
        <v>312673</v>
      </c>
      <c r="O1678" s="69">
        <f t="shared" si="111"/>
        <v>312673</v>
      </c>
      <c r="P1678" s="42" t="str">
        <f>IFERROR(VLOOKUP(J1678,'Mã NV'!$B:$C,2,0),"")</f>
        <v>XE00975</v>
      </c>
      <c r="Q1678" s="70" t="str">
        <f>IFERROR(VLOOKUP(I1678,'Mã NV'!$J:$K,2,0),"")</f>
        <v>2.5T Lạnh</v>
      </c>
    </row>
    <row r="1679" customHeight="1" spans="1:17">
      <c r="A1679" s="63">
        <f t="shared" si="110"/>
        <v>1671</v>
      </c>
      <c r="B1679" s="64">
        <v>46146</v>
      </c>
      <c r="D1679" s="66" t="s">
        <v>58</v>
      </c>
      <c r="E1679" s="66" t="s">
        <v>58</v>
      </c>
      <c r="F1679" s="66" t="s">
        <v>985</v>
      </c>
      <c r="G1679" s="66" t="s">
        <v>1076</v>
      </c>
      <c r="H1679" s="66" t="s">
        <v>1092</v>
      </c>
      <c r="I1679" s="66" t="s">
        <v>177</v>
      </c>
      <c r="J1679" s="66" t="s">
        <v>174</v>
      </c>
      <c r="K1679" s="66" t="s">
        <v>747</v>
      </c>
      <c r="L1679" s="67">
        <v>323183</v>
      </c>
      <c r="M1679" s="67">
        <v>0</v>
      </c>
      <c r="N1679" s="68">
        <f t="shared" si="112"/>
        <v>323183</v>
      </c>
      <c r="O1679" s="69">
        <f t="shared" si="111"/>
        <v>323183</v>
      </c>
      <c r="P1679" s="42" t="str">
        <f>IFERROR(VLOOKUP(J1679,'Mã NV'!$B:$C,2,0),"")</f>
        <v>XE00975</v>
      </c>
      <c r="Q1679" s="70" t="str">
        <f>IFERROR(VLOOKUP(I1679,'Mã NV'!$J:$K,2,0),"")</f>
        <v>2.5T Lạnh</v>
      </c>
    </row>
    <row r="1680" customHeight="1" spans="1:17">
      <c r="A1680" s="63">
        <f t="shared" si="110"/>
        <v>1672</v>
      </c>
      <c r="B1680" s="64">
        <v>46146</v>
      </c>
      <c r="D1680" s="66" t="s">
        <v>58</v>
      </c>
      <c r="E1680" s="66" t="s">
        <v>58</v>
      </c>
      <c r="F1680" s="66" t="s">
        <v>985</v>
      </c>
      <c r="G1680" s="66" t="s">
        <v>1076</v>
      </c>
      <c r="H1680" s="66" t="s">
        <v>1103</v>
      </c>
      <c r="I1680" s="66" t="s">
        <v>323</v>
      </c>
      <c r="J1680" s="66" t="s">
        <v>321</v>
      </c>
      <c r="K1680" s="66" t="s">
        <v>747</v>
      </c>
      <c r="L1680" s="67">
        <v>218083</v>
      </c>
      <c r="M1680" s="67">
        <v>0</v>
      </c>
      <c r="N1680" s="68">
        <f t="shared" si="112"/>
        <v>218083</v>
      </c>
      <c r="O1680" s="69">
        <f t="shared" si="111"/>
        <v>218083</v>
      </c>
      <c r="P1680" s="42" t="str">
        <f>IFERROR(VLOOKUP(J1680,'Mã NV'!$B:$C,2,0),"")</f>
        <v>XE01537</v>
      </c>
      <c r="Q1680" s="70" t="str">
        <f>IFERROR(VLOOKUP(I1680,'Mã NV'!$J:$K,2,0),"")</f>
        <v>2.5T</v>
      </c>
    </row>
    <row r="1681" customHeight="1" spans="1:17">
      <c r="A1681" s="63">
        <f t="shared" ref="A1681:A1744" si="113">A1680+1</f>
        <v>1673</v>
      </c>
      <c r="B1681" s="64">
        <v>46146</v>
      </c>
      <c r="D1681" s="66" t="s">
        <v>58</v>
      </c>
      <c r="E1681" s="66" t="s">
        <v>58</v>
      </c>
      <c r="F1681" s="66" t="s">
        <v>985</v>
      </c>
      <c r="G1681" s="66" t="s">
        <v>1076</v>
      </c>
      <c r="H1681" s="66" t="s">
        <v>1086</v>
      </c>
      <c r="I1681" s="66" t="s">
        <v>323</v>
      </c>
      <c r="J1681" s="66" t="s">
        <v>321</v>
      </c>
      <c r="K1681" s="66" t="s">
        <v>747</v>
      </c>
      <c r="L1681" s="67">
        <v>273260</v>
      </c>
      <c r="M1681" s="67">
        <v>0</v>
      </c>
      <c r="N1681" s="68">
        <f t="shared" si="112"/>
        <v>273260</v>
      </c>
      <c r="O1681" s="69">
        <f t="shared" si="111"/>
        <v>273260</v>
      </c>
      <c r="P1681" s="42" t="str">
        <f>IFERROR(VLOOKUP(J1681,'Mã NV'!$B:$C,2,0),"")</f>
        <v>XE01537</v>
      </c>
      <c r="Q1681" s="70" t="str">
        <f>IFERROR(VLOOKUP(I1681,'Mã NV'!$J:$K,2,0),"")</f>
        <v>2.5T</v>
      </c>
    </row>
    <row r="1682" customHeight="1" spans="1:17">
      <c r="A1682" s="63">
        <f t="shared" si="113"/>
        <v>1674</v>
      </c>
      <c r="B1682" s="64">
        <v>46146</v>
      </c>
      <c r="D1682" s="66" t="s">
        <v>58</v>
      </c>
      <c r="E1682" s="66" t="s">
        <v>58</v>
      </c>
      <c r="F1682" s="66" t="s">
        <v>985</v>
      </c>
      <c r="G1682" s="66" t="s">
        <v>1076</v>
      </c>
      <c r="H1682" s="66" t="s">
        <v>1087</v>
      </c>
      <c r="I1682" s="66" t="s">
        <v>323</v>
      </c>
      <c r="J1682" s="66" t="s">
        <v>321</v>
      </c>
      <c r="K1682" s="66" t="s">
        <v>747</v>
      </c>
      <c r="L1682" s="67">
        <v>152395</v>
      </c>
      <c r="M1682" s="67">
        <v>0</v>
      </c>
      <c r="N1682" s="68">
        <f t="shared" si="112"/>
        <v>152395</v>
      </c>
      <c r="O1682" s="69">
        <f t="shared" si="111"/>
        <v>152395</v>
      </c>
      <c r="P1682" s="42" t="str">
        <f>IFERROR(VLOOKUP(J1682,'Mã NV'!$B:$C,2,0),"")</f>
        <v>XE01537</v>
      </c>
      <c r="Q1682" s="70" t="str">
        <f>IFERROR(VLOOKUP(I1682,'Mã NV'!$J:$K,2,0),"")</f>
        <v>2.5T</v>
      </c>
    </row>
    <row r="1683" customHeight="1" spans="1:17">
      <c r="A1683" s="63">
        <f t="shared" si="113"/>
        <v>1675</v>
      </c>
      <c r="B1683" s="64">
        <v>46146</v>
      </c>
      <c r="D1683" s="66" t="s">
        <v>58</v>
      </c>
      <c r="E1683" s="66" t="s">
        <v>58</v>
      </c>
      <c r="F1683" s="66" t="s">
        <v>985</v>
      </c>
      <c r="G1683" s="66" t="s">
        <v>1076</v>
      </c>
      <c r="H1683" s="66" t="s">
        <v>1083</v>
      </c>
      <c r="I1683" s="66" t="s">
        <v>323</v>
      </c>
      <c r="J1683" s="66" t="s">
        <v>321</v>
      </c>
      <c r="K1683" s="66" t="s">
        <v>747</v>
      </c>
      <c r="L1683" s="67">
        <v>233848</v>
      </c>
      <c r="M1683" s="67">
        <v>0</v>
      </c>
      <c r="N1683" s="68">
        <f t="shared" si="112"/>
        <v>233848</v>
      </c>
      <c r="O1683" s="69">
        <f t="shared" si="111"/>
        <v>233848</v>
      </c>
      <c r="P1683" s="42" t="str">
        <f>IFERROR(VLOOKUP(J1683,'Mã NV'!$B:$C,2,0),"")</f>
        <v>XE01537</v>
      </c>
      <c r="Q1683" s="70" t="str">
        <f>IFERROR(VLOOKUP(I1683,'Mã NV'!$J:$K,2,0),"")</f>
        <v>2.5T</v>
      </c>
    </row>
    <row r="1684" customHeight="1" spans="1:17">
      <c r="A1684" s="63">
        <f t="shared" si="113"/>
        <v>1676</v>
      </c>
      <c r="B1684" s="64">
        <v>46146</v>
      </c>
      <c r="D1684" s="66" t="s">
        <v>58</v>
      </c>
      <c r="E1684" s="66" t="s">
        <v>58</v>
      </c>
      <c r="F1684" s="66" t="s">
        <v>985</v>
      </c>
      <c r="G1684" s="66" t="s">
        <v>1076</v>
      </c>
      <c r="H1684" s="66" t="s">
        <v>1097</v>
      </c>
      <c r="I1684" s="66" t="s">
        <v>154</v>
      </c>
      <c r="J1684" s="66" t="s">
        <v>152</v>
      </c>
      <c r="K1684" s="66" t="s">
        <v>747</v>
      </c>
      <c r="L1684" s="67">
        <v>438793</v>
      </c>
      <c r="M1684" s="67">
        <v>0</v>
      </c>
      <c r="N1684" s="68">
        <f t="shared" si="112"/>
        <v>438793</v>
      </c>
      <c r="O1684" s="69">
        <f t="shared" si="111"/>
        <v>438793</v>
      </c>
      <c r="P1684" s="42" t="str">
        <f>IFERROR(VLOOKUP(J1684,'Mã NV'!$B:$C,2,0),"")</f>
        <v>XE00730</v>
      </c>
      <c r="Q1684" s="70" t="str">
        <f>IFERROR(VLOOKUP(I1684,'Mã NV'!$J:$K,2,0),"")</f>
        <v> 3T5 Lạnh </v>
      </c>
    </row>
    <row r="1685" customHeight="1" spans="1:17">
      <c r="A1685" s="63">
        <f t="shared" si="113"/>
        <v>1677</v>
      </c>
      <c r="B1685" s="64">
        <v>46146</v>
      </c>
      <c r="D1685" s="66" t="s">
        <v>58</v>
      </c>
      <c r="E1685" s="66" t="s">
        <v>58</v>
      </c>
      <c r="F1685" s="66" t="s">
        <v>985</v>
      </c>
      <c r="G1685" s="66" t="s">
        <v>1076</v>
      </c>
      <c r="H1685" s="66" t="s">
        <v>1098</v>
      </c>
      <c r="I1685" s="66" t="s">
        <v>154</v>
      </c>
      <c r="J1685" s="66" t="s">
        <v>152</v>
      </c>
      <c r="K1685" s="66" t="s">
        <v>747</v>
      </c>
      <c r="L1685" s="67">
        <v>283770</v>
      </c>
      <c r="M1685" s="67">
        <v>0</v>
      </c>
      <c r="N1685" s="68">
        <f t="shared" si="112"/>
        <v>283770</v>
      </c>
      <c r="O1685" s="69">
        <f t="shared" si="111"/>
        <v>283770</v>
      </c>
      <c r="P1685" s="42" t="str">
        <f>IFERROR(VLOOKUP(J1685,'Mã NV'!$B:$C,2,0),"")</f>
        <v>XE00730</v>
      </c>
      <c r="Q1685" s="70" t="str">
        <f>IFERROR(VLOOKUP(I1685,'Mã NV'!$J:$K,2,0),"")</f>
        <v> 3T5 Lạnh </v>
      </c>
    </row>
    <row r="1686" customHeight="1" spans="1:17">
      <c r="A1686" s="63">
        <f t="shared" si="113"/>
        <v>1678</v>
      </c>
      <c r="B1686" s="64">
        <v>46146</v>
      </c>
      <c r="D1686" s="66" t="s">
        <v>58</v>
      </c>
      <c r="E1686" s="66" t="s">
        <v>58</v>
      </c>
      <c r="F1686" s="66" t="s">
        <v>985</v>
      </c>
      <c r="G1686" s="66" t="s">
        <v>1076</v>
      </c>
      <c r="H1686" s="66" t="s">
        <v>1088</v>
      </c>
      <c r="I1686" s="66" t="s">
        <v>154</v>
      </c>
      <c r="J1686" s="66" t="s">
        <v>152</v>
      </c>
      <c r="K1686" s="66" t="s">
        <v>747</v>
      </c>
      <c r="L1686" s="67">
        <v>380988</v>
      </c>
      <c r="M1686" s="67">
        <v>0</v>
      </c>
      <c r="N1686" s="68">
        <f t="shared" si="112"/>
        <v>380988</v>
      </c>
      <c r="O1686" s="69">
        <f t="shared" si="111"/>
        <v>380988</v>
      </c>
      <c r="P1686" s="42" t="str">
        <f>IFERROR(VLOOKUP(J1686,'Mã NV'!$B:$C,2,0),"")</f>
        <v>XE00730</v>
      </c>
      <c r="Q1686" s="70" t="str">
        <f>IFERROR(VLOOKUP(I1686,'Mã NV'!$J:$K,2,0),"")</f>
        <v> 3T5 Lạnh </v>
      </c>
    </row>
    <row r="1687" customHeight="1" spans="1:17">
      <c r="A1687" s="63">
        <f t="shared" si="113"/>
        <v>1679</v>
      </c>
      <c r="B1687" s="64">
        <v>46146</v>
      </c>
      <c r="D1687" s="66" t="s">
        <v>58</v>
      </c>
      <c r="E1687" s="66" t="s">
        <v>58</v>
      </c>
      <c r="F1687" s="66" t="s">
        <v>985</v>
      </c>
      <c r="G1687" s="66" t="s">
        <v>1076</v>
      </c>
      <c r="H1687" s="66" t="s">
        <v>1094</v>
      </c>
      <c r="I1687" s="66" t="s">
        <v>57</v>
      </c>
      <c r="J1687" s="66" t="s">
        <v>55</v>
      </c>
      <c r="K1687" s="66" t="s">
        <v>747</v>
      </c>
      <c r="L1687" s="67">
        <v>183925</v>
      </c>
      <c r="M1687" s="67">
        <v>0</v>
      </c>
      <c r="N1687" s="68">
        <f t="shared" si="112"/>
        <v>183925</v>
      </c>
      <c r="O1687" s="69">
        <f t="shared" si="111"/>
        <v>183925</v>
      </c>
      <c r="P1687" s="42" t="str">
        <f>IFERROR(VLOOKUP(J1687,'Mã NV'!$B:$C,2,0),"")</f>
        <v>XE00768</v>
      </c>
      <c r="Q1687" s="70" t="str">
        <f>IFERROR(VLOOKUP(I1687,'Mã NV'!$J:$K,2,0),"")</f>
        <v>2.5T</v>
      </c>
    </row>
    <row r="1688" customHeight="1" spans="1:17">
      <c r="A1688" s="63">
        <f t="shared" si="113"/>
        <v>1680</v>
      </c>
      <c r="B1688" s="64">
        <v>46146</v>
      </c>
      <c r="D1688" s="66" t="s">
        <v>58</v>
      </c>
      <c r="E1688" s="66" t="s">
        <v>58</v>
      </c>
      <c r="F1688" s="66" t="s">
        <v>985</v>
      </c>
      <c r="G1688" s="66" t="s">
        <v>1076</v>
      </c>
      <c r="H1688" s="66" t="s">
        <v>1095</v>
      </c>
      <c r="I1688" s="66" t="s">
        <v>57</v>
      </c>
      <c r="J1688" s="66" t="s">
        <v>55</v>
      </c>
      <c r="K1688" s="66" t="s">
        <v>747</v>
      </c>
      <c r="L1688" s="67">
        <v>436165</v>
      </c>
      <c r="M1688" s="67">
        <v>0</v>
      </c>
      <c r="N1688" s="68">
        <f t="shared" si="112"/>
        <v>436165</v>
      </c>
      <c r="O1688" s="69">
        <f t="shared" si="111"/>
        <v>436165</v>
      </c>
      <c r="P1688" s="42" t="str">
        <f>IFERROR(VLOOKUP(J1688,'Mã NV'!$B:$C,2,0),"")</f>
        <v>XE00768</v>
      </c>
      <c r="Q1688" s="70" t="str">
        <f>IFERROR(VLOOKUP(I1688,'Mã NV'!$J:$K,2,0),"")</f>
        <v>2.5T</v>
      </c>
    </row>
    <row r="1689" customHeight="1" spans="1:17">
      <c r="A1689" s="63">
        <f t="shared" si="113"/>
        <v>1681</v>
      </c>
      <c r="B1689" s="64">
        <v>46146</v>
      </c>
      <c r="D1689" s="66" t="s">
        <v>58</v>
      </c>
      <c r="E1689" s="66" t="s">
        <v>58</v>
      </c>
      <c r="F1689" s="66" t="s">
        <v>985</v>
      </c>
      <c r="G1689" s="66" t="s">
        <v>1076</v>
      </c>
      <c r="H1689" s="66" t="s">
        <v>1090</v>
      </c>
      <c r="I1689" s="66" t="s">
        <v>57</v>
      </c>
      <c r="J1689" s="66" t="s">
        <v>55</v>
      </c>
      <c r="K1689" s="66" t="s">
        <v>747</v>
      </c>
      <c r="L1689" s="67">
        <v>486088</v>
      </c>
      <c r="M1689" s="67">
        <v>0</v>
      </c>
      <c r="N1689" s="68">
        <f t="shared" si="112"/>
        <v>486088</v>
      </c>
      <c r="O1689" s="69">
        <f t="shared" si="111"/>
        <v>486088</v>
      </c>
      <c r="P1689" s="42" t="str">
        <f>IFERROR(VLOOKUP(J1689,'Mã NV'!$B:$C,2,0),"")</f>
        <v>XE00768</v>
      </c>
      <c r="Q1689" s="70" t="str">
        <f>IFERROR(VLOOKUP(I1689,'Mã NV'!$J:$K,2,0),"")</f>
        <v>2.5T</v>
      </c>
    </row>
    <row r="1690" customHeight="1" spans="1:17">
      <c r="A1690" s="63">
        <f t="shared" si="113"/>
        <v>1682</v>
      </c>
      <c r="B1690" s="64">
        <v>46146</v>
      </c>
      <c r="D1690" s="66" t="s">
        <v>58</v>
      </c>
      <c r="E1690" s="66" t="s">
        <v>58</v>
      </c>
      <c r="F1690" s="66" t="s">
        <v>985</v>
      </c>
      <c r="G1690" s="66" t="s">
        <v>1076</v>
      </c>
      <c r="H1690" s="66" t="s">
        <v>1099</v>
      </c>
      <c r="I1690" s="66" t="s">
        <v>403</v>
      </c>
      <c r="J1690" s="66" t="s">
        <v>401</v>
      </c>
      <c r="K1690" s="66" t="s">
        <v>747</v>
      </c>
      <c r="L1690" s="67">
        <v>181298</v>
      </c>
      <c r="M1690" s="67">
        <v>0</v>
      </c>
      <c r="N1690" s="68">
        <f t="shared" si="112"/>
        <v>181298</v>
      </c>
      <c r="O1690" s="69">
        <f t="shared" si="111"/>
        <v>181298</v>
      </c>
      <c r="P1690" s="42" t="str">
        <f>IFERROR(VLOOKUP(J1690,'Mã NV'!$B:$C,2,0),"")</f>
        <v>XE01466</v>
      </c>
      <c r="Q1690" s="70" t="str">
        <f>IFERROR(VLOOKUP(I1690,'Mã NV'!$J:$K,2,0),"")</f>
        <v>3.5T</v>
      </c>
    </row>
    <row r="1691" customHeight="1" spans="1:17">
      <c r="A1691" s="63">
        <f t="shared" si="113"/>
        <v>1683</v>
      </c>
      <c r="B1691" s="64">
        <v>46146</v>
      </c>
      <c r="D1691" s="66" t="s">
        <v>58</v>
      </c>
      <c r="E1691" s="66" t="s">
        <v>58</v>
      </c>
      <c r="F1691" s="66" t="s">
        <v>985</v>
      </c>
      <c r="G1691" s="66" t="s">
        <v>1076</v>
      </c>
      <c r="H1691" s="66" t="s">
        <v>1100</v>
      </c>
      <c r="I1691" s="66" t="s">
        <v>403</v>
      </c>
      <c r="J1691" s="66" t="s">
        <v>401</v>
      </c>
      <c r="K1691" s="66" t="s">
        <v>747</v>
      </c>
      <c r="L1691" s="67">
        <v>373105</v>
      </c>
      <c r="M1691" s="67">
        <v>0</v>
      </c>
      <c r="N1691" s="68">
        <f t="shared" si="112"/>
        <v>373105</v>
      </c>
      <c r="O1691" s="69">
        <f t="shared" si="111"/>
        <v>373105</v>
      </c>
      <c r="P1691" s="42" t="str">
        <f>IFERROR(VLOOKUP(J1691,'Mã NV'!$B:$C,2,0),"")</f>
        <v>XE01466</v>
      </c>
      <c r="Q1691" s="70" t="str">
        <f>IFERROR(VLOOKUP(I1691,'Mã NV'!$J:$K,2,0),"")</f>
        <v>3.5T</v>
      </c>
    </row>
    <row r="1692" customHeight="1" spans="1:17">
      <c r="A1692" s="63">
        <f t="shared" si="113"/>
        <v>1684</v>
      </c>
      <c r="B1692" s="64">
        <v>46146</v>
      </c>
      <c r="D1692" s="66" t="s">
        <v>58</v>
      </c>
      <c r="E1692" s="66" t="s">
        <v>58</v>
      </c>
      <c r="F1692" s="66" t="s">
        <v>985</v>
      </c>
      <c r="G1692" s="66" t="s">
        <v>1076</v>
      </c>
      <c r="H1692" s="66" t="s">
        <v>1093</v>
      </c>
      <c r="I1692" s="66" t="s">
        <v>403</v>
      </c>
      <c r="J1692" s="66" t="s">
        <v>401</v>
      </c>
      <c r="K1692" s="66" t="s">
        <v>747</v>
      </c>
      <c r="L1692" s="67">
        <v>304790</v>
      </c>
      <c r="M1692" s="67">
        <v>0</v>
      </c>
      <c r="N1692" s="68">
        <f t="shared" si="112"/>
        <v>304790</v>
      </c>
      <c r="O1692" s="69">
        <f t="shared" si="111"/>
        <v>304790</v>
      </c>
      <c r="P1692" s="42" t="str">
        <f>IFERROR(VLOOKUP(J1692,'Mã NV'!$B:$C,2,0),"")</f>
        <v>XE01466</v>
      </c>
      <c r="Q1692" s="70" t="str">
        <f>IFERROR(VLOOKUP(I1692,'Mã NV'!$J:$K,2,0),"")</f>
        <v>3.5T</v>
      </c>
    </row>
    <row r="1693" customHeight="1" spans="1:17">
      <c r="A1693" s="63">
        <f t="shared" si="113"/>
        <v>1685</v>
      </c>
      <c r="B1693" s="64">
        <v>46147</v>
      </c>
      <c r="D1693" s="66" t="s">
        <v>58</v>
      </c>
      <c r="E1693" s="66" t="s">
        <v>58</v>
      </c>
      <c r="F1693" s="66" t="s">
        <v>985</v>
      </c>
      <c r="G1693" s="66" t="s">
        <v>1076</v>
      </c>
      <c r="H1693" s="66" t="s">
        <v>1106</v>
      </c>
      <c r="I1693" s="66" t="s">
        <v>57</v>
      </c>
      <c r="J1693" s="66" t="s">
        <v>55</v>
      </c>
      <c r="K1693" s="66" t="s">
        <v>747</v>
      </c>
      <c r="L1693" s="67">
        <v>78825</v>
      </c>
      <c r="M1693" s="67">
        <v>0</v>
      </c>
      <c r="N1693" s="68">
        <f t="shared" si="112"/>
        <v>78825</v>
      </c>
      <c r="O1693" s="69">
        <f t="shared" si="111"/>
        <v>78825</v>
      </c>
      <c r="P1693" s="42" t="str">
        <f>IFERROR(VLOOKUP(J1693,'Mã NV'!$B:$C,2,0),"")</f>
        <v>XE00768</v>
      </c>
      <c r="Q1693" s="70" t="str">
        <f>IFERROR(VLOOKUP(I1693,'Mã NV'!$J:$K,2,0),"")</f>
        <v>2.5T</v>
      </c>
    </row>
    <row r="1694" customHeight="1" spans="1:17">
      <c r="A1694" s="63">
        <f t="shared" si="113"/>
        <v>1686</v>
      </c>
      <c r="B1694" s="64">
        <v>46147</v>
      </c>
      <c r="D1694" s="66" t="s">
        <v>58</v>
      </c>
      <c r="E1694" s="66" t="s">
        <v>58</v>
      </c>
      <c r="F1694" s="66" t="s">
        <v>985</v>
      </c>
      <c r="G1694" s="66" t="s">
        <v>1076</v>
      </c>
      <c r="H1694" s="66" t="s">
        <v>1108</v>
      </c>
      <c r="I1694" s="66" t="s">
        <v>57</v>
      </c>
      <c r="J1694" s="66" t="s">
        <v>55</v>
      </c>
      <c r="K1694" s="66" t="s">
        <v>747</v>
      </c>
      <c r="L1694" s="67">
        <v>987940</v>
      </c>
      <c r="M1694" s="67">
        <v>0</v>
      </c>
      <c r="N1694" s="68">
        <f t="shared" si="112"/>
        <v>987940</v>
      </c>
      <c r="O1694" s="69">
        <f t="shared" si="111"/>
        <v>987940</v>
      </c>
      <c r="P1694" s="42" t="str">
        <f>IFERROR(VLOOKUP(J1694,'Mã NV'!$B:$C,2,0),"")</f>
        <v>XE00768</v>
      </c>
      <c r="Q1694" s="70" t="str">
        <f>IFERROR(VLOOKUP(I1694,'Mã NV'!$J:$K,2,0),"")</f>
        <v>2.5T</v>
      </c>
    </row>
    <row r="1695" customHeight="1" spans="1:17">
      <c r="A1695" s="63">
        <f t="shared" si="113"/>
        <v>1687</v>
      </c>
      <c r="B1695" s="64">
        <v>46147</v>
      </c>
      <c r="D1695" s="66" t="s">
        <v>58</v>
      </c>
      <c r="E1695" s="66" t="s">
        <v>58</v>
      </c>
      <c r="F1695" s="66" t="s">
        <v>985</v>
      </c>
      <c r="G1695" s="66" t="s">
        <v>1076</v>
      </c>
      <c r="H1695" s="66" t="s">
        <v>1080</v>
      </c>
      <c r="I1695" s="66" t="s">
        <v>403</v>
      </c>
      <c r="J1695" s="66" t="s">
        <v>401</v>
      </c>
      <c r="K1695" s="66" t="s">
        <v>747</v>
      </c>
      <c r="L1695" s="67">
        <v>373105</v>
      </c>
      <c r="M1695" s="67">
        <v>0</v>
      </c>
      <c r="N1695" s="68">
        <f t="shared" si="112"/>
        <v>373105</v>
      </c>
      <c r="O1695" s="69">
        <f t="shared" si="111"/>
        <v>373105</v>
      </c>
      <c r="P1695" s="42" t="str">
        <f>IFERROR(VLOOKUP(J1695,'Mã NV'!$B:$C,2,0),"")</f>
        <v>XE01466</v>
      </c>
      <c r="Q1695" s="70" t="str">
        <f>IFERROR(VLOOKUP(I1695,'Mã NV'!$J:$K,2,0),"")</f>
        <v>3.5T</v>
      </c>
    </row>
    <row r="1696" customHeight="1" spans="1:17">
      <c r="A1696" s="63">
        <f t="shared" si="113"/>
        <v>1688</v>
      </c>
      <c r="B1696" s="64">
        <v>46147</v>
      </c>
      <c r="D1696" s="66" t="s">
        <v>58</v>
      </c>
      <c r="E1696" s="66" t="s">
        <v>58</v>
      </c>
      <c r="F1696" s="66" t="s">
        <v>985</v>
      </c>
      <c r="G1696" s="66" t="s">
        <v>1076</v>
      </c>
      <c r="H1696" s="66" t="s">
        <v>1081</v>
      </c>
      <c r="I1696" s="66" t="s">
        <v>403</v>
      </c>
      <c r="J1696" s="66" t="s">
        <v>401</v>
      </c>
      <c r="K1696" s="66" t="s">
        <v>747</v>
      </c>
      <c r="L1696" s="67">
        <v>296908</v>
      </c>
      <c r="M1696" s="67">
        <v>0</v>
      </c>
      <c r="N1696" s="68">
        <f t="shared" si="112"/>
        <v>296908</v>
      </c>
      <c r="O1696" s="69">
        <f t="shared" si="111"/>
        <v>296908</v>
      </c>
      <c r="P1696" s="42" t="str">
        <f>IFERROR(VLOOKUP(J1696,'Mã NV'!$B:$C,2,0),"")</f>
        <v>XE01466</v>
      </c>
      <c r="Q1696" s="70" t="str">
        <f>IFERROR(VLOOKUP(I1696,'Mã NV'!$J:$K,2,0),"")</f>
        <v>3.5T</v>
      </c>
    </row>
    <row r="1697" customHeight="1" spans="1:17">
      <c r="A1697" s="63">
        <f t="shared" si="113"/>
        <v>1689</v>
      </c>
      <c r="B1697" s="64">
        <v>46147</v>
      </c>
      <c r="D1697" s="66" t="s">
        <v>58</v>
      </c>
      <c r="E1697" s="66" t="s">
        <v>58</v>
      </c>
      <c r="F1697" s="66" t="s">
        <v>985</v>
      </c>
      <c r="G1697" s="66" t="s">
        <v>1076</v>
      </c>
      <c r="H1697" s="66" t="s">
        <v>1082</v>
      </c>
      <c r="I1697" s="66" t="s">
        <v>403</v>
      </c>
      <c r="J1697" s="66" t="s">
        <v>401</v>
      </c>
      <c r="K1697" s="66" t="s">
        <v>747</v>
      </c>
      <c r="L1697" s="67">
        <v>370478</v>
      </c>
      <c r="M1697" s="67">
        <v>0</v>
      </c>
      <c r="N1697" s="68">
        <f t="shared" si="112"/>
        <v>370478</v>
      </c>
      <c r="O1697" s="69">
        <f t="shared" si="111"/>
        <v>370478</v>
      </c>
      <c r="P1697" s="42" t="str">
        <f>IFERROR(VLOOKUP(J1697,'Mã NV'!$B:$C,2,0),"")</f>
        <v>XE01466</v>
      </c>
      <c r="Q1697" s="70" t="str">
        <f>IFERROR(VLOOKUP(I1697,'Mã NV'!$J:$K,2,0),"")</f>
        <v>3.5T</v>
      </c>
    </row>
    <row r="1698" customHeight="1" spans="1:17">
      <c r="A1698" s="63">
        <f t="shared" si="113"/>
        <v>1690</v>
      </c>
      <c r="B1698" s="64">
        <v>46147</v>
      </c>
      <c r="D1698" s="66" t="s">
        <v>58</v>
      </c>
      <c r="E1698" s="66" t="s">
        <v>58</v>
      </c>
      <c r="F1698" s="66" t="s">
        <v>985</v>
      </c>
      <c r="G1698" s="66" t="s">
        <v>1076</v>
      </c>
      <c r="H1698" s="66" t="s">
        <v>1083</v>
      </c>
      <c r="I1698" s="66" t="s">
        <v>403</v>
      </c>
      <c r="J1698" s="66" t="s">
        <v>401</v>
      </c>
      <c r="K1698" s="66" t="s">
        <v>747</v>
      </c>
      <c r="L1698" s="67">
        <v>362595</v>
      </c>
      <c r="M1698" s="67">
        <v>0</v>
      </c>
      <c r="N1698" s="68">
        <f t="shared" si="112"/>
        <v>362595</v>
      </c>
      <c r="O1698" s="69">
        <f t="shared" si="111"/>
        <v>362595</v>
      </c>
      <c r="P1698" s="42" t="str">
        <f>IFERROR(VLOOKUP(J1698,'Mã NV'!$B:$C,2,0),"")</f>
        <v>XE01466</v>
      </c>
      <c r="Q1698" s="70" t="str">
        <f>IFERROR(VLOOKUP(I1698,'Mã NV'!$J:$K,2,0),"")</f>
        <v>3.5T</v>
      </c>
    </row>
    <row r="1699" customHeight="1" spans="1:17">
      <c r="A1699" s="63">
        <f t="shared" si="113"/>
        <v>1691</v>
      </c>
      <c r="B1699" s="64">
        <v>46147</v>
      </c>
      <c r="D1699" s="66" t="s">
        <v>58</v>
      </c>
      <c r="E1699" s="66" t="s">
        <v>58</v>
      </c>
      <c r="F1699" s="66" t="s">
        <v>985</v>
      </c>
      <c r="G1699" s="66" t="s">
        <v>1076</v>
      </c>
      <c r="H1699" s="66" t="s">
        <v>1086</v>
      </c>
      <c r="I1699" s="66" t="s">
        <v>323</v>
      </c>
      <c r="J1699" s="66" t="s">
        <v>321</v>
      </c>
      <c r="K1699" s="66" t="s">
        <v>747</v>
      </c>
      <c r="L1699" s="67">
        <v>291653</v>
      </c>
      <c r="M1699" s="67">
        <v>0</v>
      </c>
      <c r="N1699" s="68">
        <f t="shared" si="112"/>
        <v>291653</v>
      </c>
      <c r="O1699" s="69">
        <f t="shared" si="111"/>
        <v>291653</v>
      </c>
      <c r="P1699" s="42" t="str">
        <f>IFERROR(VLOOKUP(J1699,'Mã NV'!$B:$C,2,0),"")</f>
        <v>XE01537</v>
      </c>
      <c r="Q1699" s="70" t="str">
        <f>IFERROR(VLOOKUP(I1699,'Mã NV'!$J:$K,2,0),"")</f>
        <v>2.5T</v>
      </c>
    </row>
    <row r="1700" customHeight="1" spans="1:17">
      <c r="A1700" s="63">
        <f t="shared" si="113"/>
        <v>1692</v>
      </c>
      <c r="B1700" s="64">
        <v>46147</v>
      </c>
      <c r="D1700" s="66" t="s">
        <v>58</v>
      </c>
      <c r="E1700" s="66" t="s">
        <v>58</v>
      </c>
      <c r="F1700" s="66" t="s">
        <v>985</v>
      </c>
      <c r="G1700" s="66" t="s">
        <v>1076</v>
      </c>
      <c r="H1700" s="66" t="s">
        <v>1087</v>
      </c>
      <c r="I1700" s="66" t="s">
        <v>323</v>
      </c>
      <c r="J1700" s="66" t="s">
        <v>321</v>
      </c>
      <c r="K1700" s="66" t="s">
        <v>747</v>
      </c>
      <c r="L1700" s="67">
        <v>233848</v>
      </c>
      <c r="M1700" s="67">
        <v>0</v>
      </c>
      <c r="N1700" s="68">
        <f t="shared" si="112"/>
        <v>233848</v>
      </c>
      <c r="O1700" s="69">
        <f t="shared" si="111"/>
        <v>233848</v>
      </c>
      <c r="P1700" s="42" t="str">
        <f>IFERROR(VLOOKUP(J1700,'Mã NV'!$B:$C,2,0),"")</f>
        <v>XE01537</v>
      </c>
      <c r="Q1700" s="70" t="str">
        <f>IFERROR(VLOOKUP(I1700,'Mã NV'!$J:$K,2,0),"")</f>
        <v>2.5T</v>
      </c>
    </row>
    <row r="1701" customHeight="1" spans="1:17">
      <c r="A1701" s="63">
        <f t="shared" si="113"/>
        <v>1693</v>
      </c>
      <c r="B1701" s="64">
        <v>46147</v>
      </c>
      <c r="D1701" s="66" t="s">
        <v>58</v>
      </c>
      <c r="E1701" s="66" t="s">
        <v>58</v>
      </c>
      <c r="F1701" s="66" t="s">
        <v>985</v>
      </c>
      <c r="G1701" s="66" t="s">
        <v>1076</v>
      </c>
      <c r="H1701" s="66" t="s">
        <v>1078</v>
      </c>
      <c r="I1701" s="66" t="s">
        <v>323</v>
      </c>
      <c r="J1701" s="66" t="s">
        <v>321</v>
      </c>
      <c r="K1701" s="66" t="s">
        <v>747</v>
      </c>
      <c r="L1701" s="67">
        <v>260123</v>
      </c>
      <c r="M1701" s="67">
        <v>0</v>
      </c>
      <c r="N1701" s="68">
        <f t="shared" si="112"/>
        <v>260123</v>
      </c>
      <c r="O1701" s="69">
        <f t="shared" si="111"/>
        <v>260123</v>
      </c>
      <c r="P1701" s="42" t="str">
        <f>IFERROR(VLOOKUP(J1701,'Mã NV'!$B:$C,2,0),"")</f>
        <v>XE01537</v>
      </c>
      <c r="Q1701" s="70" t="str">
        <f>IFERROR(VLOOKUP(I1701,'Mã NV'!$J:$K,2,0),"")</f>
        <v>2.5T</v>
      </c>
    </row>
    <row r="1702" customHeight="1" spans="1:17">
      <c r="A1702" s="63">
        <f t="shared" si="113"/>
        <v>1694</v>
      </c>
      <c r="B1702" s="64">
        <v>46147</v>
      </c>
      <c r="D1702" s="66" t="s">
        <v>58</v>
      </c>
      <c r="E1702" s="66" t="s">
        <v>58</v>
      </c>
      <c r="F1702" s="66" t="s">
        <v>985</v>
      </c>
      <c r="G1702" s="66" t="s">
        <v>1076</v>
      </c>
      <c r="H1702" s="66" t="s">
        <v>1079</v>
      </c>
      <c r="I1702" s="66" t="s">
        <v>323</v>
      </c>
      <c r="J1702" s="66" t="s">
        <v>321</v>
      </c>
      <c r="K1702" s="66" t="s">
        <v>747</v>
      </c>
      <c r="L1702" s="67">
        <v>323183</v>
      </c>
      <c r="M1702" s="67">
        <v>0</v>
      </c>
      <c r="N1702" s="68">
        <f t="shared" si="112"/>
        <v>323183</v>
      </c>
      <c r="O1702" s="69">
        <f t="shared" si="111"/>
        <v>323183</v>
      </c>
      <c r="P1702" s="42" t="str">
        <f>IFERROR(VLOOKUP(J1702,'Mã NV'!$B:$C,2,0),"")</f>
        <v>XE01537</v>
      </c>
      <c r="Q1702" s="70" t="str">
        <f>IFERROR(VLOOKUP(I1702,'Mã NV'!$J:$K,2,0),"")</f>
        <v>2.5T</v>
      </c>
    </row>
    <row r="1703" customHeight="1" spans="1:17">
      <c r="A1703" s="63">
        <f t="shared" si="113"/>
        <v>1695</v>
      </c>
      <c r="B1703" s="64">
        <v>46147</v>
      </c>
      <c r="D1703" s="66" t="s">
        <v>58</v>
      </c>
      <c r="E1703" s="66" t="s">
        <v>58</v>
      </c>
      <c r="F1703" s="66" t="s">
        <v>985</v>
      </c>
      <c r="G1703" s="66" t="s">
        <v>1076</v>
      </c>
      <c r="H1703" s="66" t="s">
        <v>1101</v>
      </c>
      <c r="I1703" s="66" t="s">
        <v>358</v>
      </c>
      <c r="J1703" s="66" t="s">
        <v>356</v>
      </c>
      <c r="K1703" s="66" t="s">
        <v>747</v>
      </c>
      <c r="L1703" s="67">
        <v>430910</v>
      </c>
      <c r="M1703" s="67">
        <v>0</v>
      </c>
      <c r="N1703" s="68">
        <f t="shared" si="112"/>
        <v>430910</v>
      </c>
      <c r="O1703" s="69">
        <f t="shared" si="111"/>
        <v>430910</v>
      </c>
      <c r="P1703" s="42" t="str">
        <f>IFERROR(VLOOKUP(J1703,'Mã NV'!$B:$C,2,0),"")</f>
        <v>XE01616</v>
      </c>
      <c r="Q1703" s="70" t="str">
        <f>IFERROR(VLOOKUP(I1703,'Mã NV'!$J:$K,2,0),"")</f>
        <v>2.5T Lạnh</v>
      </c>
    </row>
    <row r="1704" customHeight="1" spans="1:17">
      <c r="A1704" s="63">
        <f t="shared" si="113"/>
        <v>1696</v>
      </c>
      <c r="B1704" s="64">
        <v>46147</v>
      </c>
      <c r="D1704" s="66" t="s">
        <v>58</v>
      </c>
      <c r="E1704" s="66" t="s">
        <v>58</v>
      </c>
      <c r="F1704" s="66" t="s">
        <v>985</v>
      </c>
      <c r="G1704" s="66" t="s">
        <v>1076</v>
      </c>
      <c r="H1704" s="66" t="s">
        <v>1084</v>
      </c>
      <c r="I1704" s="66" t="s">
        <v>358</v>
      </c>
      <c r="J1704" s="66" t="s">
        <v>356</v>
      </c>
      <c r="K1704" s="66" t="s">
        <v>747</v>
      </c>
      <c r="L1704" s="67">
        <v>286398</v>
      </c>
      <c r="M1704" s="67">
        <v>0</v>
      </c>
      <c r="N1704" s="68">
        <f t="shared" si="112"/>
        <v>286398</v>
      </c>
      <c r="O1704" s="69">
        <f t="shared" si="111"/>
        <v>286398</v>
      </c>
      <c r="P1704" s="42" t="str">
        <f>IFERROR(VLOOKUP(J1704,'Mã NV'!$B:$C,2,0),"")</f>
        <v>XE01616</v>
      </c>
      <c r="Q1704" s="70" t="str">
        <f>IFERROR(VLOOKUP(I1704,'Mã NV'!$J:$K,2,0),"")</f>
        <v>2.5T Lạnh</v>
      </c>
    </row>
    <row r="1705" customHeight="1" spans="1:17">
      <c r="A1705" s="63">
        <f t="shared" si="113"/>
        <v>1697</v>
      </c>
      <c r="B1705" s="64">
        <v>46147</v>
      </c>
      <c r="D1705" s="66" t="s">
        <v>58</v>
      </c>
      <c r="E1705" s="66" t="s">
        <v>58</v>
      </c>
      <c r="F1705" s="66" t="s">
        <v>985</v>
      </c>
      <c r="G1705" s="66" t="s">
        <v>1076</v>
      </c>
      <c r="H1705" s="66" t="s">
        <v>1085</v>
      </c>
      <c r="I1705" s="66" t="s">
        <v>358</v>
      </c>
      <c r="J1705" s="66" t="s">
        <v>356</v>
      </c>
      <c r="K1705" s="66" t="s">
        <v>747</v>
      </c>
      <c r="L1705" s="67">
        <v>257495</v>
      </c>
      <c r="M1705" s="67">
        <v>0</v>
      </c>
      <c r="N1705" s="68">
        <f t="shared" si="112"/>
        <v>257495</v>
      </c>
      <c r="O1705" s="69">
        <f t="shared" si="111"/>
        <v>257495</v>
      </c>
      <c r="P1705" s="42" t="str">
        <f>IFERROR(VLOOKUP(J1705,'Mã NV'!$B:$C,2,0),"")</f>
        <v>XE01616</v>
      </c>
      <c r="Q1705" s="70" t="str">
        <f>IFERROR(VLOOKUP(I1705,'Mã NV'!$J:$K,2,0),"")</f>
        <v>2.5T Lạnh</v>
      </c>
    </row>
    <row r="1706" customHeight="1" spans="1:17">
      <c r="A1706" s="63">
        <f t="shared" si="113"/>
        <v>1698</v>
      </c>
      <c r="B1706" s="64">
        <v>46147</v>
      </c>
      <c r="D1706" s="66" t="s">
        <v>58</v>
      </c>
      <c r="E1706" s="66" t="s">
        <v>58</v>
      </c>
      <c r="F1706" s="66" t="s">
        <v>985</v>
      </c>
      <c r="G1706" s="66" t="s">
        <v>1076</v>
      </c>
      <c r="H1706" s="66" t="s">
        <v>1102</v>
      </c>
      <c r="I1706" s="66" t="s">
        <v>177</v>
      </c>
      <c r="J1706" s="66" t="s">
        <v>174</v>
      </c>
      <c r="K1706" s="66" t="s">
        <v>747</v>
      </c>
      <c r="L1706" s="67">
        <v>344203</v>
      </c>
      <c r="M1706" s="67">
        <v>0</v>
      </c>
      <c r="N1706" s="68">
        <f t="shared" si="112"/>
        <v>344203</v>
      </c>
      <c r="O1706" s="69">
        <f t="shared" si="111"/>
        <v>344203</v>
      </c>
      <c r="P1706" s="42" t="str">
        <f>IFERROR(VLOOKUP(J1706,'Mã NV'!$B:$C,2,0),"")</f>
        <v>XE00975</v>
      </c>
      <c r="Q1706" s="70" t="str">
        <f>IFERROR(VLOOKUP(I1706,'Mã NV'!$J:$K,2,0),"")</f>
        <v>2.5T Lạnh</v>
      </c>
    </row>
    <row r="1707" customHeight="1" spans="1:17">
      <c r="A1707" s="63">
        <f t="shared" si="113"/>
        <v>1699</v>
      </c>
      <c r="B1707" s="64">
        <v>46147</v>
      </c>
      <c r="D1707" s="66" t="s">
        <v>58</v>
      </c>
      <c r="E1707" s="66" t="s">
        <v>58</v>
      </c>
      <c r="F1707" s="66" t="s">
        <v>985</v>
      </c>
      <c r="G1707" s="66" t="s">
        <v>1076</v>
      </c>
      <c r="H1707" s="66" t="s">
        <v>1103</v>
      </c>
      <c r="I1707" s="66" t="s">
        <v>177</v>
      </c>
      <c r="J1707" s="66" t="s">
        <v>174</v>
      </c>
      <c r="K1707" s="66" t="s">
        <v>747</v>
      </c>
      <c r="L1707" s="67">
        <v>197063</v>
      </c>
      <c r="M1707" s="67">
        <v>0</v>
      </c>
      <c r="N1707" s="68">
        <f t="shared" si="112"/>
        <v>197063</v>
      </c>
      <c r="O1707" s="69">
        <f t="shared" si="111"/>
        <v>197063</v>
      </c>
      <c r="P1707" s="42" t="str">
        <f>IFERROR(VLOOKUP(J1707,'Mã NV'!$B:$C,2,0),"")</f>
        <v>XE00975</v>
      </c>
      <c r="Q1707" s="70" t="str">
        <f>IFERROR(VLOOKUP(I1707,'Mã NV'!$J:$K,2,0),"")</f>
        <v>2.5T Lạnh</v>
      </c>
    </row>
    <row r="1708" customHeight="1" spans="1:17">
      <c r="A1708" s="63">
        <f t="shared" si="113"/>
        <v>1700</v>
      </c>
      <c r="B1708" s="64">
        <v>46147</v>
      </c>
      <c r="D1708" s="66" t="s">
        <v>58</v>
      </c>
      <c r="E1708" s="66" t="s">
        <v>58</v>
      </c>
      <c r="F1708" s="66" t="s">
        <v>985</v>
      </c>
      <c r="G1708" s="66" t="s">
        <v>1076</v>
      </c>
      <c r="H1708" s="66" t="s">
        <v>1104</v>
      </c>
      <c r="I1708" s="66" t="s">
        <v>177</v>
      </c>
      <c r="J1708" s="66" t="s">
        <v>174</v>
      </c>
      <c r="K1708" s="66" t="s">
        <v>747</v>
      </c>
      <c r="L1708" s="67">
        <v>352085</v>
      </c>
      <c r="M1708" s="67">
        <v>0</v>
      </c>
      <c r="N1708" s="68">
        <f t="shared" si="112"/>
        <v>352085</v>
      </c>
      <c r="O1708" s="69">
        <f t="shared" si="111"/>
        <v>352085</v>
      </c>
      <c r="P1708" s="42" t="str">
        <f>IFERROR(VLOOKUP(J1708,'Mã NV'!$B:$C,2,0),"")</f>
        <v>XE00975</v>
      </c>
      <c r="Q1708" s="70" t="str">
        <f>IFERROR(VLOOKUP(I1708,'Mã NV'!$J:$K,2,0),"")</f>
        <v>2.5T Lạnh</v>
      </c>
    </row>
    <row r="1709" customHeight="1" spans="1:17">
      <c r="A1709" s="63">
        <f t="shared" si="113"/>
        <v>1701</v>
      </c>
      <c r="B1709" s="64">
        <v>46147</v>
      </c>
      <c r="D1709" s="66" t="s">
        <v>58</v>
      </c>
      <c r="E1709" s="66" t="s">
        <v>58</v>
      </c>
      <c r="F1709" s="66" t="s">
        <v>985</v>
      </c>
      <c r="G1709" s="66" t="s">
        <v>1076</v>
      </c>
      <c r="H1709" s="66" t="s">
        <v>1098</v>
      </c>
      <c r="I1709" s="66" t="s">
        <v>214</v>
      </c>
      <c r="J1709" s="66" t="s">
        <v>212</v>
      </c>
      <c r="K1709" s="66" t="s">
        <v>747</v>
      </c>
      <c r="L1709" s="67">
        <v>218083</v>
      </c>
      <c r="M1709" s="67">
        <v>0</v>
      </c>
      <c r="N1709" s="68">
        <f t="shared" si="112"/>
        <v>218083</v>
      </c>
      <c r="O1709" s="69">
        <f t="shared" si="111"/>
        <v>218083</v>
      </c>
      <c r="P1709" s="42" t="str">
        <f>IFERROR(VLOOKUP(J1709,'Mã NV'!$B:$C,2,0),"")</f>
        <v>XE00977</v>
      </c>
      <c r="Q1709" s="70" t="str">
        <f>IFERROR(VLOOKUP(I1709,'Mã NV'!$J:$K,2,0),"")</f>
        <v>2T5 Lạnh </v>
      </c>
    </row>
    <row r="1710" customHeight="1" spans="1:17">
      <c r="A1710" s="63">
        <f t="shared" si="113"/>
        <v>1702</v>
      </c>
      <c r="B1710" s="64">
        <v>46147</v>
      </c>
      <c r="D1710" s="66" t="s">
        <v>58</v>
      </c>
      <c r="E1710" s="66" t="s">
        <v>58</v>
      </c>
      <c r="F1710" s="66" t="s">
        <v>985</v>
      </c>
      <c r="G1710" s="66" t="s">
        <v>1076</v>
      </c>
      <c r="H1710" s="66" t="s">
        <v>1096</v>
      </c>
      <c r="I1710" s="66" t="s">
        <v>214</v>
      </c>
      <c r="J1710" s="66" t="s">
        <v>212</v>
      </c>
      <c r="K1710" s="66" t="s">
        <v>747</v>
      </c>
      <c r="L1710" s="67">
        <v>273260</v>
      </c>
      <c r="M1710" s="67">
        <v>0</v>
      </c>
      <c r="N1710" s="68">
        <f t="shared" si="112"/>
        <v>273260</v>
      </c>
      <c r="O1710" s="69">
        <f t="shared" si="111"/>
        <v>273260</v>
      </c>
      <c r="P1710" s="42" t="str">
        <f>IFERROR(VLOOKUP(J1710,'Mã NV'!$B:$C,2,0),"")</f>
        <v>XE00977</v>
      </c>
      <c r="Q1710" s="70" t="str">
        <f>IFERROR(VLOOKUP(I1710,'Mã NV'!$J:$K,2,0),"")</f>
        <v>2T5 Lạnh </v>
      </c>
    </row>
    <row r="1711" customHeight="1" spans="1:17">
      <c r="A1711" s="63">
        <f t="shared" si="113"/>
        <v>1703</v>
      </c>
      <c r="B1711" s="64">
        <v>46147</v>
      </c>
      <c r="D1711" s="66" t="s">
        <v>58</v>
      </c>
      <c r="E1711" s="66" t="s">
        <v>58</v>
      </c>
      <c r="F1711" s="66" t="s">
        <v>985</v>
      </c>
      <c r="G1711" s="66" t="s">
        <v>1076</v>
      </c>
      <c r="H1711" s="66" t="s">
        <v>1091</v>
      </c>
      <c r="I1711" s="66" t="s">
        <v>214</v>
      </c>
      <c r="J1711" s="66" t="s">
        <v>212</v>
      </c>
      <c r="K1711" s="66" t="s">
        <v>747</v>
      </c>
      <c r="L1711" s="67">
        <v>388870</v>
      </c>
      <c r="M1711" s="67">
        <v>0</v>
      </c>
      <c r="N1711" s="68">
        <f t="shared" si="112"/>
        <v>388870</v>
      </c>
      <c r="O1711" s="69">
        <f t="shared" si="111"/>
        <v>388870</v>
      </c>
      <c r="P1711" s="42" t="str">
        <f>IFERROR(VLOOKUP(J1711,'Mã NV'!$B:$C,2,0),"")</f>
        <v>XE00977</v>
      </c>
      <c r="Q1711" s="70" t="str">
        <f>IFERROR(VLOOKUP(I1711,'Mã NV'!$J:$K,2,0),"")</f>
        <v>2T5 Lạnh </v>
      </c>
    </row>
    <row r="1712" customHeight="1" spans="1:17">
      <c r="A1712" s="63">
        <f t="shared" si="113"/>
        <v>1704</v>
      </c>
      <c r="B1712" s="64">
        <v>46147</v>
      </c>
      <c r="D1712" s="66" t="s">
        <v>58</v>
      </c>
      <c r="E1712" s="66" t="s">
        <v>58</v>
      </c>
      <c r="F1712" s="66" t="s">
        <v>985</v>
      </c>
      <c r="G1712" s="66" t="s">
        <v>1076</v>
      </c>
      <c r="H1712" s="66" t="s">
        <v>1099</v>
      </c>
      <c r="I1712" s="66" t="s">
        <v>403</v>
      </c>
      <c r="J1712" s="66" t="s">
        <v>401</v>
      </c>
      <c r="K1712" s="66" t="s">
        <v>747</v>
      </c>
      <c r="L1712" s="67">
        <v>183925</v>
      </c>
      <c r="M1712" s="67">
        <v>0</v>
      </c>
      <c r="N1712" s="68">
        <f t="shared" si="112"/>
        <v>183925</v>
      </c>
      <c r="O1712" s="69">
        <f t="shared" si="111"/>
        <v>183925</v>
      </c>
      <c r="P1712" s="42" t="str">
        <f>IFERROR(VLOOKUP(J1712,'Mã NV'!$B:$C,2,0),"")</f>
        <v>XE01466</v>
      </c>
      <c r="Q1712" s="70" t="str">
        <f>IFERROR(VLOOKUP(I1712,'Mã NV'!$J:$K,2,0),"")</f>
        <v>3.5T</v>
      </c>
    </row>
    <row r="1713" customHeight="1" spans="1:17">
      <c r="A1713" s="63">
        <f t="shared" si="113"/>
        <v>1705</v>
      </c>
      <c r="B1713" s="64">
        <v>46147</v>
      </c>
      <c r="D1713" s="66" t="s">
        <v>58</v>
      </c>
      <c r="E1713" s="66" t="s">
        <v>58</v>
      </c>
      <c r="F1713" s="66" t="s">
        <v>985</v>
      </c>
      <c r="G1713" s="66" t="s">
        <v>1076</v>
      </c>
      <c r="H1713" s="66" t="s">
        <v>1100</v>
      </c>
      <c r="I1713" s="66" t="s">
        <v>403</v>
      </c>
      <c r="J1713" s="66" t="s">
        <v>401</v>
      </c>
      <c r="K1713" s="66" t="s">
        <v>747</v>
      </c>
      <c r="L1713" s="67">
        <v>252240</v>
      </c>
      <c r="M1713" s="67">
        <v>0</v>
      </c>
      <c r="N1713" s="68">
        <f t="shared" si="112"/>
        <v>252240</v>
      </c>
      <c r="O1713" s="69">
        <f t="shared" si="111"/>
        <v>252240</v>
      </c>
      <c r="P1713" s="42" t="str">
        <f>IFERROR(VLOOKUP(J1713,'Mã NV'!$B:$C,2,0),"")</f>
        <v>XE01466</v>
      </c>
      <c r="Q1713" s="70" t="str">
        <f>IFERROR(VLOOKUP(I1713,'Mã NV'!$J:$K,2,0),"")</f>
        <v>3.5T</v>
      </c>
    </row>
    <row r="1714" customHeight="1" spans="1:17">
      <c r="A1714" s="63">
        <f t="shared" si="113"/>
        <v>1706</v>
      </c>
      <c r="B1714" s="64">
        <v>46147</v>
      </c>
      <c r="D1714" s="66" t="s">
        <v>58</v>
      </c>
      <c r="E1714" s="66" t="s">
        <v>58</v>
      </c>
      <c r="F1714" s="66" t="s">
        <v>985</v>
      </c>
      <c r="G1714" s="66" t="s">
        <v>1076</v>
      </c>
      <c r="H1714" s="66" t="s">
        <v>1077</v>
      </c>
      <c r="I1714" s="66" t="s">
        <v>403</v>
      </c>
      <c r="J1714" s="66" t="s">
        <v>401</v>
      </c>
      <c r="K1714" s="66" t="s">
        <v>747</v>
      </c>
      <c r="L1714" s="67">
        <v>648993</v>
      </c>
      <c r="M1714" s="67">
        <v>0</v>
      </c>
      <c r="N1714" s="68">
        <f t="shared" si="112"/>
        <v>648993</v>
      </c>
      <c r="O1714" s="69">
        <f t="shared" si="111"/>
        <v>648993</v>
      </c>
      <c r="P1714" s="42" t="str">
        <f>IFERROR(VLOOKUP(J1714,'Mã NV'!$B:$C,2,0),"")</f>
        <v>XE01466</v>
      </c>
      <c r="Q1714" s="70" t="str">
        <f>IFERROR(VLOOKUP(I1714,'Mã NV'!$J:$K,2,0),"")</f>
        <v>3.5T</v>
      </c>
    </row>
    <row r="1715" customHeight="1" spans="1:17">
      <c r="A1715" s="63">
        <f t="shared" si="113"/>
        <v>1707</v>
      </c>
      <c r="B1715" s="64">
        <v>46147</v>
      </c>
      <c r="D1715" s="66" t="s">
        <v>58</v>
      </c>
      <c r="E1715" s="66" t="s">
        <v>58</v>
      </c>
      <c r="F1715" s="66" t="s">
        <v>985</v>
      </c>
      <c r="G1715" s="66" t="s">
        <v>1076</v>
      </c>
      <c r="H1715" s="66" t="s">
        <v>1093</v>
      </c>
      <c r="I1715" s="66" t="s">
        <v>403</v>
      </c>
      <c r="J1715" s="66" t="s">
        <v>401</v>
      </c>
      <c r="K1715" s="66" t="s">
        <v>747</v>
      </c>
      <c r="L1715" s="67">
        <v>291653</v>
      </c>
      <c r="M1715" s="67">
        <v>0</v>
      </c>
      <c r="N1715" s="68">
        <f t="shared" si="112"/>
        <v>291653</v>
      </c>
      <c r="O1715" s="69">
        <f t="shared" ref="O1715:O1778" si="114">N1715/$P$1</f>
        <v>291653</v>
      </c>
      <c r="P1715" s="42" t="str">
        <f>IFERROR(VLOOKUP(J1715,'Mã NV'!$B:$C,2,0),"")</f>
        <v>XE01466</v>
      </c>
      <c r="Q1715" s="70" t="str">
        <f>IFERROR(VLOOKUP(I1715,'Mã NV'!$J:$K,2,0),"")</f>
        <v>3.5T</v>
      </c>
    </row>
    <row r="1716" customHeight="1" spans="1:17">
      <c r="A1716" s="63">
        <f t="shared" si="113"/>
        <v>1708</v>
      </c>
      <c r="B1716" s="64">
        <v>46147</v>
      </c>
      <c r="D1716" s="66" t="s">
        <v>58</v>
      </c>
      <c r="E1716" s="66" t="s">
        <v>58</v>
      </c>
      <c r="F1716" s="66" t="s">
        <v>985</v>
      </c>
      <c r="G1716" s="66" t="s">
        <v>1076</v>
      </c>
      <c r="H1716" s="66" t="s">
        <v>1094</v>
      </c>
      <c r="I1716" s="66" t="s">
        <v>57</v>
      </c>
      <c r="J1716" s="66" t="s">
        <v>55</v>
      </c>
      <c r="K1716" s="66" t="s">
        <v>747</v>
      </c>
      <c r="L1716" s="67">
        <v>84080</v>
      </c>
      <c r="M1716" s="67">
        <v>0</v>
      </c>
      <c r="N1716" s="68">
        <f t="shared" ref="N1716:N1779" si="115">L1716-M1716</f>
        <v>84080</v>
      </c>
      <c r="O1716" s="69">
        <f t="shared" si="114"/>
        <v>84080</v>
      </c>
      <c r="P1716" s="42" t="str">
        <f>IFERROR(VLOOKUP(J1716,'Mã NV'!$B:$C,2,0),"")</f>
        <v>XE00768</v>
      </c>
      <c r="Q1716" s="70" t="str">
        <f>IFERROR(VLOOKUP(I1716,'Mã NV'!$J:$K,2,0),"")</f>
        <v>2.5T</v>
      </c>
    </row>
    <row r="1717" customHeight="1" spans="1:17">
      <c r="A1717" s="63">
        <f t="shared" si="113"/>
        <v>1709</v>
      </c>
      <c r="B1717" s="64">
        <v>46147</v>
      </c>
      <c r="D1717" s="66" t="s">
        <v>58</v>
      </c>
      <c r="E1717" s="66" t="s">
        <v>58</v>
      </c>
      <c r="F1717" s="66" t="s">
        <v>985</v>
      </c>
      <c r="G1717" s="66" t="s">
        <v>1076</v>
      </c>
      <c r="H1717" s="66" t="s">
        <v>1092</v>
      </c>
      <c r="I1717" s="66" t="s">
        <v>57</v>
      </c>
      <c r="J1717" s="66" t="s">
        <v>55</v>
      </c>
      <c r="K1717" s="66" t="s">
        <v>747</v>
      </c>
      <c r="L1717" s="67">
        <v>294280</v>
      </c>
      <c r="M1717" s="67">
        <v>0</v>
      </c>
      <c r="N1717" s="68">
        <f t="shared" si="115"/>
        <v>294280</v>
      </c>
      <c r="O1717" s="69">
        <f t="shared" si="114"/>
        <v>294280</v>
      </c>
      <c r="P1717" s="42" t="str">
        <f>IFERROR(VLOOKUP(J1717,'Mã NV'!$B:$C,2,0),"")</f>
        <v>XE00768</v>
      </c>
      <c r="Q1717" s="70" t="str">
        <f>IFERROR(VLOOKUP(I1717,'Mã NV'!$J:$K,2,0),"")</f>
        <v>2.5T</v>
      </c>
    </row>
    <row r="1718" customHeight="1" spans="1:17">
      <c r="A1718" s="63">
        <f t="shared" si="113"/>
        <v>1710</v>
      </c>
      <c r="B1718" s="64">
        <v>46147</v>
      </c>
      <c r="D1718" s="66" t="s">
        <v>58</v>
      </c>
      <c r="E1718" s="66" t="s">
        <v>58</v>
      </c>
      <c r="F1718" s="66" t="s">
        <v>985</v>
      </c>
      <c r="G1718" s="66" t="s">
        <v>1076</v>
      </c>
      <c r="H1718" s="66" t="s">
        <v>1095</v>
      </c>
      <c r="I1718" s="66" t="s">
        <v>57</v>
      </c>
      <c r="J1718" s="66" t="s">
        <v>55</v>
      </c>
      <c r="K1718" s="66" t="s">
        <v>747</v>
      </c>
      <c r="L1718" s="67">
        <v>307418</v>
      </c>
      <c r="M1718" s="67">
        <v>0</v>
      </c>
      <c r="N1718" s="68">
        <f t="shared" si="115"/>
        <v>307418</v>
      </c>
      <c r="O1718" s="69">
        <f t="shared" si="114"/>
        <v>307418</v>
      </c>
      <c r="P1718" s="42" t="str">
        <f>IFERROR(VLOOKUP(J1718,'Mã NV'!$B:$C,2,0),"")</f>
        <v>XE00768</v>
      </c>
      <c r="Q1718" s="70" t="str">
        <f>IFERROR(VLOOKUP(I1718,'Mã NV'!$J:$K,2,0),"")</f>
        <v>2.5T</v>
      </c>
    </row>
    <row r="1719" customHeight="1" spans="1:17">
      <c r="A1719" s="63">
        <f t="shared" si="113"/>
        <v>1711</v>
      </c>
      <c r="B1719" s="64">
        <v>46147</v>
      </c>
      <c r="D1719" s="66" t="s">
        <v>58</v>
      </c>
      <c r="E1719" s="66" t="s">
        <v>58</v>
      </c>
      <c r="F1719" s="66" t="s">
        <v>985</v>
      </c>
      <c r="G1719" s="66" t="s">
        <v>1076</v>
      </c>
      <c r="H1719" s="66" t="s">
        <v>1090</v>
      </c>
      <c r="I1719" s="66" t="s">
        <v>57</v>
      </c>
      <c r="J1719" s="66" t="s">
        <v>55</v>
      </c>
      <c r="K1719" s="66" t="s">
        <v>747</v>
      </c>
      <c r="L1719" s="67">
        <v>394125</v>
      </c>
      <c r="M1719" s="67">
        <v>0</v>
      </c>
      <c r="N1719" s="68">
        <f t="shared" si="115"/>
        <v>394125</v>
      </c>
      <c r="O1719" s="69">
        <f t="shared" si="114"/>
        <v>394125</v>
      </c>
      <c r="P1719" s="42" t="str">
        <f>IFERROR(VLOOKUP(J1719,'Mã NV'!$B:$C,2,0),"")</f>
        <v>XE00768</v>
      </c>
      <c r="Q1719" s="70" t="str">
        <f>IFERROR(VLOOKUP(I1719,'Mã NV'!$J:$K,2,0),"")</f>
        <v>2.5T</v>
      </c>
    </row>
    <row r="1720" customHeight="1" spans="1:17">
      <c r="A1720" s="63">
        <f t="shared" si="113"/>
        <v>1712</v>
      </c>
      <c r="B1720" s="64">
        <v>46147</v>
      </c>
      <c r="D1720" s="66" t="s">
        <v>58</v>
      </c>
      <c r="E1720" s="66" t="s">
        <v>58</v>
      </c>
      <c r="F1720" s="66" t="s">
        <v>985</v>
      </c>
      <c r="G1720" s="66" t="s">
        <v>1076</v>
      </c>
      <c r="H1720" s="66" t="s">
        <v>1089</v>
      </c>
      <c r="I1720" s="66" t="s">
        <v>323</v>
      </c>
      <c r="J1720" s="66" t="s">
        <v>321</v>
      </c>
      <c r="K1720" s="66" t="s">
        <v>747</v>
      </c>
      <c r="L1720" s="67">
        <v>278515</v>
      </c>
      <c r="M1720" s="67">
        <v>0</v>
      </c>
      <c r="N1720" s="68">
        <f t="shared" si="115"/>
        <v>278515</v>
      </c>
      <c r="O1720" s="69">
        <f t="shared" si="114"/>
        <v>278515</v>
      </c>
      <c r="P1720" s="42" t="str">
        <f>IFERROR(VLOOKUP(J1720,'Mã NV'!$B:$C,2,0),"")</f>
        <v>XE01537</v>
      </c>
      <c r="Q1720" s="70" t="str">
        <f>IFERROR(VLOOKUP(I1720,'Mã NV'!$J:$K,2,0),"")</f>
        <v>2.5T</v>
      </c>
    </row>
    <row r="1721" customHeight="1" spans="1:17">
      <c r="A1721" s="63">
        <f t="shared" si="113"/>
        <v>1713</v>
      </c>
      <c r="B1721" s="64">
        <v>46147</v>
      </c>
      <c r="D1721" s="66" t="s">
        <v>58</v>
      </c>
      <c r="E1721" s="66" t="s">
        <v>58</v>
      </c>
      <c r="F1721" s="66" t="s">
        <v>985</v>
      </c>
      <c r="G1721" s="66" t="s">
        <v>1076</v>
      </c>
      <c r="H1721" s="66" t="s">
        <v>1097</v>
      </c>
      <c r="I1721" s="66" t="s">
        <v>323</v>
      </c>
      <c r="J1721" s="66" t="s">
        <v>321</v>
      </c>
      <c r="K1721" s="66" t="s">
        <v>747</v>
      </c>
      <c r="L1721" s="67">
        <v>191808</v>
      </c>
      <c r="M1721" s="67">
        <v>0</v>
      </c>
      <c r="N1721" s="68">
        <f t="shared" si="115"/>
        <v>191808</v>
      </c>
      <c r="O1721" s="69">
        <f t="shared" si="114"/>
        <v>191808</v>
      </c>
      <c r="P1721" s="42" t="str">
        <f>IFERROR(VLOOKUP(J1721,'Mã NV'!$B:$C,2,0),"")</f>
        <v>XE01537</v>
      </c>
      <c r="Q1721" s="70" t="str">
        <f>IFERROR(VLOOKUP(I1721,'Mã NV'!$J:$K,2,0),"")</f>
        <v>2.5T</v>
      </c>
    </row>
    <row r="1722" customHeight="1" spans="1:17">
      <c r="A1722" s="63">
        <f t="shared" si="113"/>
        <v>1714</v>
      </c>
      <c r="B1722" s="64">
        <v>46147</v>
      </c>
      <c r="D1722" s="66" t="s">
        <v>58</v>
      </c>
      <c r="E1722" s="66" t="s">
        <v>58</v>
      </c>
      <c r="F1722" s="66" t="s">
        <v>985</v>
      </c>
      <c r="G1722" s="66" t="s">
        <v>1076</v>
      </c>
      <c r="H1722" s="66" t="s">
        <v>1088</v>
      </c>
      <c r="I1722" s="66" t="s">
        <v>323</v>
      </c>
      <c r="J1722" s="66" t="s">
        <v>321</v>
      </c>
      <c r="K1722" s="66" t="s">
        <v>747</v>
      </c>
      <c r="L1722" s="67">
        <v>189180</v>
      </c>
      <c r="M1722" s="67">
        <v>0</v>
      </c>
      <c r="N1722" s="68">
        <f t="shared" si="115"/>
        <v>189180</v>
      </c>
      <c r="O1722" s="69">
        <f t="shared" si="114"/>
        <v>189180</v>
      </c>
      <c r="P1722" s="42" t="str">
        <f>IFERROR(VLOOKUP(J1722,'Mã NV'!$B:$C,2,0),"")</f>
        <v>XE01537</v>
      </c>
      <c r="Q1722" s="70" t="str">
        <f>IFERROR(VLOOKUP(I1722,'Mã NV'!$J:$K,2,0),"")</f>
        <v>2.5T</v>
      </c>
    </row>
    <row r="1723" customHeight="1" spans="1:17">
      <c r="A1723" s="63">
        <f t="shared" si="113"/>
        <v>1715</v>
      </c>
      <c r="B1723" s="64">
        <v>46148</v>
      </c>
      <c r="D1723" s="66" t="s">
        <v>58</v>
      </c>
      <c r="E1723" s="66" t="s">
        <v>58</v>
      </c>
      <c r="F1723" s="66" t="s">
        <v>985</v>
      </c>
      <c r="G1723" s="66" t="s">
        <v>1076</v>
      </c>
      <c r="H1723" s="66" t="s">
        <v>1080</v>
      </c>
      <c r="I1723" s="66" t="s">
        <v>177</v>
      </c>
      <c r="J1723" s="66" t="s">
        <v>174</v>
      </c>
      <c r="K1723" s="66" t="s">
        <v>747</v>
      </c>
      <c r="L1723" s="67">
        <v>249613</v>
      </c>
      <c r="M1723" s="67">
        <v>0</v>
      </c>
      <c r="N1723" s="68">
        <f t="shared" si="115"/>
        <v>249613</v>
      </c>
      <c r="O1723" s="69">
        <f t="shared" si="114"/>
        <v>249613</v>
      </c>
      <c r="P1723" s="42" t="str">
        <f>IFERROR(VLOOKUP(J1723,'Mã NV'!$B:$C,2,0),"")</f>
        <v>XE00975</v>
      </c>
      <c r="Q1723" s="70" t="str">
        <f>IFERROR(VLOOKUP(I1723,'Mã NV'!$J:$K,2,0),"")</f>
        <v>2.5T Lạnh</v>
      </c>
    </row>
    <row r="1724" customHeight="1" spans="1:17">
      <c r="A1724" s="63">
        <f t="shared" si="113"/>
        <v>1716</v>
      </c>
      <c r="B1724" s="64">
        <v>46148</v>
      </c>
      <c r="D1724" s="66" t="s">
        <v>58</v>
      </c>
      <c r="E1724" s="66" t="s">
        <v>58</v>
      </c>
      <c r="F1724" s="66" t="s">
        <v>985</v>
      </c>
      <c r="G1724" s="66" t="s">
        <v>1076</v>
      </c>
      <c r="H1724" s="66" t="s">
        <v>1081</v>
      </c>
      <c r="I1724" s="66" t="s">
        <v>177</v>
      </c>
      <c r="J1724" s="66" t="s">
        <v>174</v>
      </c>
      <c r="K1724" s="66" t="s">
        <v>747</v>
      </c>
      <c r="L1724" s="67">
        <v>218083</v>
      </c>
      <c r="M1724" s="67">
        <v>0</v>
      </c>
      <c r="N1724" s="68">
        <f t="shared" si="115"/>
        <v>218083</v>
      </c>
      <c r="O1724" s="69">
        <f t="shared" si="114"/>
        <v>218083</v>
      </c>
      <c r="P1724" s="42" t="str">
        <f>IFERROR(VLOOKUP(J1724,'Mã NV'!$B:$C,2,0),"")</f>
        <v>XE00975</v>
      </c>
      <c r="Q1724" s="70" t="str">
        <f>IFERROR(VLOOKUP(I1724,'Mã NV'!$J:$K,2,0),"")</f>
        <v>2.5T Lạnh</v>
      </c>
    </row>
    <row r="1725" customHeight="1" spans="1:17">
      <c r="A1725" s="63">
        <f t="shared" si="113"/>
        <v>1717</v>
      </c>
      <c r="B1725" s="64">
        <v>46148</v>
      </c>
      <c r="D1725" s="66" t="s">
        <v>58</v>
      </c>
      <c r="E1725" s="66" t="s">
        <v>58</v>
      </c>
      <c r="F1725" s="66" t="s">
        <v>985</v>
      </c>
      <c r="G1725" s="66" t="s">
        <v>1076</v>
      </c>
      <c r="H1725" s="66" t="s">
        <v>1082</v>
      </c>
      <c r="I1725" s="66" t="s">
        <v>177</v>
      </c>
      <c r="J1725" s="66" t="s">
        <v>174</v>
      </c>
      <c r="K1725" s="66" t="s">
        <v>747</v>
      </c>
      <c r="L1725" s="67">
        <v>260123</v>
      </c>
      <c r="M1725" s="67">
        <v>0</v>
      </c>
      <c r="N1725" s="68">
        <f t="shared" si="115"/>
        <v>260123</v>
      </c>
      <c r="O1725" s="69">
        <f t="shared" si="114"/>
        <v>260123</v>
      </c>
      <c r="P1725" s="42" t="str">
        <f>IFERROR(VLOOKUP(J1725,'Mã NV'!$B:$C,2,0),"")</f>
        <v>XE00975</v>
      </c>
      <c r="Q1725" s="70" t="str">
        <f>IFERROR(VLOOKUP(I1725,'Mã NV'!$J:$K,2,0),"")</f>
        <v>2.5T Lạnh</v>
      </c>
    </row>
    <row r="1726" customHeight="1" spans="1:17">
      <c r="A1726" s="63">
        <f t="shared" si="113"/>
        <v>1718</v>
      </c>
      <c r="B1726" s="64">
        <v>46148</v>
      </c>
      <c r="D1726" s="66" t="s">
        <v>58</v>
      </c>
      <c r="E1726" s="66" t="s">
        <v>58</v>
      </c>
      <c r="F1726" s="66" t="s">
        <v>985</v>
      </c>
      <c r="G1726" s="66" t="s">
        <v>1076</v>
      </c>
      <c r="H1726" s="66" t="s">
        <v>1083</v>
      </c>
      <c r="I1726" s="66" t="s">
        <v>177</v>
      </c>
      <c r="J1726" s="66" t="s">
        <v>174</v>
      </c>
      <c r="K1726" s="66" t="s">
        <v>747</v>
      </c>
      <c r="L1726" s="67">
        <v>186553</v>
      </c>
      <c r="M1726" s="67">
        <v>0</v>
      </c>
      <c r="N1726" s="68">
        <f t="shared" si="115"/>
        <v>186553</v>
      </c>
      <c r="O1726" s="69">
        <f t="shared" si="114"/>
        <v>186553</v>
      </c>
      <c r="P1726" s="42" t="str">
        <f>IFERROR(VLOOKUP(J1726,'Mã NV'!$B:$C,2,0),"")</f>
        <v>XE00975</v>
      </c>
      <c r="Q1726" s="70" t="str">
        <f>IFERROR(VLOOKUP(I1726,'Mã NV'!$J:$K,2,0),"")</f>
        <v>2.5T Lạnh</v>
      </c>
    </row>
    <row r="1727" customHeight="1" spans="1:17">
      <c r="A1727" s="63">
        <f t="shared" si="113"/>
        <v>1719</v>
      </c>
      <c r="B1727" s="64">
        <v>46148</v>
      </c>
      <c r="D1727" s="66" t="s">
        <v>58</v>
      </c>
      <c r="E1727" s="66" t="s">
        <v>58</v>
      </c>
      <c r="F1727" s="66" t="s">
        <v>985</v>
      </c>
      <c r="G1727" s="66" t="s">
        <v>1076</v>
      </c>
      <c r="H1727" s="66" t="s">
        <v>1086</v>
      </c>
      <c r="I1727" s="66" t="s">
        <v>323</v>
      </c>
      <c r="J1727" s="66" t="s">
        <v>321</v>
      </c>
      <c r="K1727" s="66" t="s">
        <v>747</v>
      </c>
      <c r="L1727" s="67">
        <v>194435</v>
      </c>
      <c r="M1727" s="67">
        <v>0</v>
      </c>
      <c r="N1727" s="68">
        <f t="shared" si="115"/>
        <v>194435</v>
      </c>
      <c r="O1727" s="69">
        <f t="shared" si="114"/>
        <v>194435</v>
      </c>
      <c r="P1727" s="42" t="str">
        <f>IFERROR(VLOOKUP(J1727,'Mã NV'!$B:$C,2,0),"")</f>
        <v>XE01537</v>
      </c>
      <c r="Q1727" s="70" t="str">
        <f>IFERROR(VLOOKUP(I1727,'Mã NV'!$J:$K,2,0),"")</f>
        <v>2.5T</v>
      </c>
    </row>
    <row r="1728" customHeight="1" spans="1:17">
      <c r="A1728" s="63">
        <f t="shared" si="113"/>
        <v>1720</v>
      </c>
      <c r="B1728" s="64">
        <v>46148</v>
      </c>
      <c r="D1728" s="66" t="s">
        <v>58</v>
      </c>
      <c r="E1728" s="66" t="s">
        <v>58</v>
      </c>
      <c r="F1728" s="66" t="s">
        <v>985</v>
      </c>
      <c r="G1728" s="66" t="s">
        <v>1076</v>
      </c>
      <c r="H1728" s="66" t="s">
        <v>1087</v>
      </c>
      <c r="I1728" s="66" t="s">
        <v>323</v>
      </c>
      <c r="J1728" s="66" t="s">
        <v>321</v>
      </c>
      <c r="K1728" s="66" t="s">
        <v>747</v>
      </c>
      <c r="L1728" s="67">
        <v>139258</v>
      </c>
      <c r="M1728" s="67">
        <v>0</v>
      </c>
      <c r="N1728" s="68">
        <f t="shared" si="115"/>
        <v>139258</v>
      </c>
      <c r="O1728" s="69">
        <f t="shared" si="114"/>
        <v>139258</v>
      </c>
      <c r="P1728" s="42" t="str">
        <f>IFERROR(VLOOKUP(J1728,'Mã NV'!$B:$C,2,0),"")</f>
        <v>XE01537</v>
      </c>
      <c r="Q1728" s="70" t="str">
        <f>IFERROR(VLOOKUP(I1728,'Mã NV'!$J:$K,2,0),"")</f>
        <v>2.5T</v>
      </c>
    </row>
    <row r="1729" customHeight="1" spans="1:17">
      <c r="A1729" s="63">
        <f t="shared" si="113"/>
        <v>1721</v>
      </c>
      <c r="B1729" s="64">
        <v>46148</v>
      </c>
      <c r="D1729" s="66" t="s">
        <v>58</v>
      </c>
      <c r="E1729" s="66" t="s">
        <v>58</v>
      </c>
      <c r="F1729" s="66" t="s">
        <v>985</v>
      </c>
      <c r="G1729" s="66" t="s">
        <v>1076</v>
      </c>
      <c r="H1729" s="66" t="s">
        <v>1078</v>
      </c>
      <c r="I1729" s="66" t="s">
        <v>323</v>
      </c>
      <c r="J1729" s="66" t="s">
        <v>321</v>
      </c>
      <c r="K1729" s="66" t="s">
        <v>747</v>
      </c>
      <c r="L1729" s="67">
        <v>344203</v>
      </c>
      <c r="M1729" s="67">
        <v>0</v>
      </c>
      <c r="N1729" s="68">
        <f t="shared" si="115"/>
        <v>344203</v>
      </c>
      <c r="O1729" s="69">
        <f t="shared" si="114"/>
        <v>344203</v>
      </c>
      <c r="P1729" s="42" t="str">
        <f>IFERROR(VLOOKUP(J1729,'Mã NV'!$B:$C,2,0),"")</f>
        <v>XE01537</v>
      </c>
      <c r="Q1729" s="70" t="str">
        <f>IFERROR(VLOOKUP(I1729,'Mã NV'!$J:$K,2,0),"")</f>
        <v>2.5T</v>
      </c>
    </row>
    <row r="1730" customHeight="1" spans="1:17">
      <c r="A1730" s="63">
        <f t="shared" si="113"/>
        <v>1722</v>
      </c>
      <c r="B1730" s="64">
        <v>46148</v>
      </c>
      <c r="D1730" s="66" t="s">
        <v>58</v>
      </c>
      <c r="E1730" s="66" t="s">
        <v>58</v>
      </c>
      <c r="F1730" s="66" t="s">
        <v>985</v>
      </c>
      <c r="G1730" s="66" t="s">
        <v>1076</v>
      </c>
      <c r="H1730" s="66" t="s">
        <v>1079</v>
      </c>
      <c r="I1730" s="66" t="s">
        <v>323</v>
      </c>
      <c r="J1730" s="66" t="s">
        <v>321</v>
      </c>
      <c r="K1730" s="66" t="s">
        <v>747</v>
      </c>
      <c r="L1730" s="67">
        <v>181298</v>
      </c>
      <c r="M1730" s="67">
        <v>0</v>
      </c>
      <c r="N1730" s="68">
        <f t="shared" si="115"/>
        <v>181298</v>
      </c>
      <c r="O1730" s="69">
        <f t="shared" si="114"/>
        <v>181298</v>
      </c>
      <c r="P1730" s="42" t="str">
        <f>IFERROR(VLOOKUP(J1730,'Mã NV'!$B:$C,2,0),"")</f>
        <v>XE01537</v>
      </c>
      <c r="Q1730" s="70" t="str">
        <f>IFERROR(VLOOKUP(I1730,'Mã NV'!$J:$K,2,0),"")</f>
        <v>2.5T</v>
      </c>
    </row>
    <row r="1731" customHeight="1" spans="1:17">
      <c r="A1731" s="63">
        <f t="shared" si="113"/>
        <v>1723</v>
      </c>
      <c r="B1731" s="64">
        <v>46148</v>
      </c>
      <c r="D1731" s="66" t="s">
        <v>58</v>
      </c>
      <c r="E1731" s="66" t="s">
        <v>58</v>
      </c>
      <c r="F1731" s="66" t="s">
        <v>985</v>
      </c>
      <c r="G1731" s="66" t="s">
        <v>1076</v>
      </c>
      <c r="H1731" s="66" t="s">
        <v>1101</v>
      </c>
      <c r="I1731" s="66" t="s">
        <v>133</v>
      </c>
      <c r="J1731" s="66" t="s">
        <v>347</v>
      </c>
      <c r="K1731" s="66" t="s">
        <v>747</v>
      </c>
      <c r="L1731" s="67">
        <v>236475</v>
      </c>
      <c r="M1731" s="67">
        <v>0</v>
      </c>
      <c r="N1731" s="68">
        <f t="shared" si="115"/>
        <v>236475</v>
      </c>
      <c r="O1731" s="69">
        <f t="shared" si="114"/>
        <v>236475</v>
      </c>
      <c r="P1731" s="42" t="str">
        <f>IFERROR(VLOOKUP(J1731,'Mã NV'!$B:$C,2,0),"")</f>
        <v>XE01653</v>
      </c>
      <c r="Q1731" s="70" t="str">
        <f>IFERROR(VLOOKUP(I1731,'Mã NV'!$J:$K,2,0),"")</f>
        <v>2.5T</v>
      </c>
    </row>
    <row r="1732" customHeight="1" spans="1:17">
      <c r="A1732" s="63">
        <f t="shared" si="113"/>
        <v>1724</v>
      </c>
      <c r="B1732" s="64">
        <v>46148</v>
      </c>
      <c r="D1732" s="66" t="s">
        <v>58</v>
      </c>
      <c r="E1732" s="66" t="s">
        <v>58</v>
      </c>
      <c r="F1732" s="66" t="s">
        <v>985</v>
      </c>
      <c r="G1732" s="66" t="s">
        <v>1076</v>
      </c>
      <c r="H1732" s="66" t="s">
        <v>1084</v>
      </c>
      <c r="I1732" s="66" t="s">
        <v>133</v>
      </c>
      <c r="J1732" s="66" t="s">
        <v>347</v>
      </c>
      <c r="K1732" s="66" t="s">
        <v>747</v>
      </c>
      <c r="L1732" s="67">
        <v>220710</v>
      </c>
      <c r="M1732" s="67">
        <v>0</v>
      </c>
      <c r="N1732" s="68">
        <f t="shared" si="115"/>
        <v>220710</v>
      </c>
      <c r="O1732" s="69">
        <f t="shared" si="114"/>
        <v>220710</v>
      </c>
      <c r="P1732" s="42" t="str">
        <f>IFERROR(VLOOKUP(J1732,'Mã NV'!$B:$C,2,0),"")</f>
        <v>XE01653</v>
      </c>
      <c r="Q1732" s="70" t="str">
        <f>IFERROR(VLOOKUP(I1732,'Mã NV'!$J:$K,2,0),"")</f>
        <v>2.5T</v>
      </c>
    </row>
    <row r="1733" customHeight="1" spans="1:17">
      <c r="A1733" s="63">
        <f t="shared" si="113"/>
        <v>1725</v>
      </c>
      <c r="B1733" s="64">
        <v>46148</v>
      </c>
      <c r="D1733" s="66" t="s">
        <v>58</v>
      </c>
      <c r="E1733" s="66" t="s">
        <v>58</v>
      </c>
      <c r="F1733" s="66" t="s">
        <v>985</v>
      </c>
      <c r="G1733" s="66" t="s">
        <v>1076</v>
      </c>
      <c r="H1733" s="66" t="s">
        <v>1085</v>
      </c>
      <c r="I1733" s="66" t="s">
        <v>133</v>
      </c>
      <c r="J1733" s="66" t="s">
        <v>347</v>
      </c>
      <c r="K1733" s="66" t="s">
        <v>747</v>
      </c>
      <c r="L1733" s="67">
        <v>239103</v>
      </c>
      <c r="M1733" s="67">
        <v>0</v>
      </c>
      <c r="N1733" s="68">
        <f t="shared" si="115"/>
        <v>239103</v>
      </c>
      <c r="O1733" s="69">
        <f t="shared" si="114"/>
        <v>239103</v>
      </c>
      <c r="P1733" s="42" t="str">
        <f>IFERROR(VLOOKUP(J1733,'Mã NV'!$B:$C,2,0),"")</f>
        <v>XE01653</v>
      </c>
      <c r="Q1733" s="70" t="str">
        <f>IFERROR(VLOOKUP(I1733,'Mã NV'!$J:$K,2,0),"")</f>
        <v>2.5T</v>
      </c>
    </row>
    <row r="1734" customHeight="1" spans="1:17">
      <c r="A1734" s="63">
        <f t="shared" si="113"/>
        <v>1726</v>
      </c>
      <c r="B1734" s="64">
        <v>46148</v>
      </c>
      <c r="D1734" s="66" t="s">
        <v>58</v>
      </c>
      <c r="E1734" s="66" t="s">
        <v>58</v>
      </c>
      <c r="F1734" s="66" t="s">
        <v>985</v>
      </c>
      <c r="G1734" s="66" t="s">
        <v>1076</v>
      </c>
      <c r="H1734" s="66" t="s">
        <v>1090</v>
      </c>
      <c r="I1734" s="66" t="s">
        <v>133</v>
      </c>
      <c r="J1734" s="66" t="s">
        <v>347</v>
      </c>
      <c r="K1734" s="66" t="s">
        <v>747</v>
      </c>
      <c r="L1734" s="67">
        <v>317928</v>
      </c>
      <c r="M1734" s="67">
        <v>0</v>
      </c>
      <c r="N1734" s="68">
        <f t="shared" si="115"/>
        <v>317928</v>
      </c>
      <c r="O1734" s="69">
        <f t="shared" si="114"/>
        <v>317928</v>
      </c>
      <c r="P1734" s="42" t="str">
        <f>IFERROR(VLOOKUP(J1734,'Mã NV'!$B:$C,2,0),"")</f>
        <v>XE01653</v>
      </c>
      <c r="Q1734" s="70" t="str">
        <f>IFERROR(VLOOKUP(I1734,'Mã NV'!$J:$K,2,0),"")</f>
        <v>2.5T</v>
      </c>
    </row>
    <row r="1735" customHeight="1" spans="1:17">
      <c r="A1735" s="63">
        <f t="shared" si="113"/>
        <v>1727</v>
      </c>
      <c r="B1735" s="64">
        <v>46148</v>
      </c>
      <c r="D1735" s="66" t="s">
        <v>58</v>
      </c>
      <c r="E1735" s="66" t="s">
        <v>58</v>
      </c>
      <c r="F1735" s="66" t="s">
        <v>985</v>
      </c>
      <c r="G1735" s="66" t="s">
        <v>1076</v>
      </c>
      <c r="H1735" s="66" t="s">
        <v>1089</v>
      </c>
      <c r="I1735" s="66" t="s">
        <v>358</v>
      </c>
      <c r="J1735" s="66" t="s">
        <v>356</v>
      </c>
      <c r="K1735" s="66" t="s">
        <v>747</v>
      </c>
      <c r="L1735" s="67">
        <v>493970</v>
      </c>
      <c r="M1735" s="67">
        <v>0</v>
      </c>
      <c r="N1735" s="68">
        <f t="shared" si="115"/>
        <v>493970</v>
      </c>
      <c r="O1735" s="69">
        <f t="shared" si="114"/>
        <v>493970</v>
      </c>
      <c r="P1735" s="42" t="str">
        <f>IFERROR(VLOOKUP(J1735,'Mã NV'!$B:$C,2,0),"")</f>
        <v>XE01616</v>
      </c>
      <c r="Q1735" s="70" t="str">
        <f>IFERROR(VLOOKUP(I1735,'Mã NV'!$J:$K,2,0),"")</f>
        <v>2.5T Lạnh</v>
      </c>
    </row>
    <row r="1736" customHeight="1" spans="1:17">
      <c r="A1736" s="63">
        <f t="shared" si="113"/>
        <v>1728</v>
      </c>
      <c r="B1736" s="64">
        <v>46148</v>
      </c>
      <c r="D1736" s="66" t="s">
        <v>58</v>
      </c>
      <c r="E1736" s="66" t="s">
        <v>58</v>
      </c>
      <c r="F1736" s="66" t="s">
        <v>985</v>
      </c>
      <c r="G1736" s="66" t="s">
        <v>1076</v>
      </c>
      <c r="H1736" s="66" t="s">
        <v>1088</v>
      </c>
      <c r="I1736" s="66" t="s">
        <v>358</v>
      </c>
      <c r="J1736" s="66" t="s">
        <v>356</v>
      </c>
      <c r="K1736" s="66" t="s">
        <v>747</v>
      </c>
      <c r="L1736" s="67">
        <v>365223</v>
      </c>
      <c r="M1736" s="67">
        <v>0</v>
      </c>
      <c r="N1736" s="68">
        <f t="shared" si="115"/>
        <v>365223</v>
      </c>
      <c r="O1736" s="69">
        <f t="shared" si="114"/>
        <v>365223</v>
      </c>
      <c r="P1736" s="42" t="str">
        <f>IFERROR(VLOOKUP(J1736,'Mã NV'!$B:$C,2,0),"")</f>
        <v>XE01616</v>
      </c>
      <c r="Q1736" s="70" t="str">
        <f>IFERROR(VLOOKUP(I1736,'Mã NV'!$J:$K,2,0),"")</f>
        <v>2.5T Lạnh</v>
      </c>
    </row>
    <row r="1737" customHeight="1" spans="1:17">
      <c r="A1737" s="63">
        <f t="shared" si="113"/>
        <v>1729</v>
      </c>
      <c r="B1737" s="64">
        <v>46148</v>
      </c>
      <c r="D1737" s="66" t="s">
        <v>58</v>
      </c>
      <c r="E1737" s="66" t="s">
        <v>58</v>
      </c>
      <c r="F1737" s="66" t="s">
        <v>985</v>
      </c>
      <c r="G1737" s="66" t="s">
        <v>1076</v>
      </c>
      <c r="H1737" s="66" t="s">
        <v>1096</v>
      </c>
      <c r="I1737" s="66" t="s">
        <v>214</v>
      </c>
      <c r="J1737" s="66" t="s">
        <v>212</v>
      </c>
      <c r="K1737" s="66" t="s">
        <v>747</v>
      </c>
      <c r="L1737" s="67">
        <v>189180</v>
      </c>
      <c r="M1737" s="67">
        <v>0</v>
      </c>
      <c r="N1737" s="68">
        <f t="shared" si="115"/>
        <v>189180</v>
      </c>
      <c r="O1737" s="69">
        <f t="shared" si="114"/>
        <v>189180</v>
      </c>
      <c r="P1737" s="42" t="str">
        <f>IFERROR(VLOOKUP(J1737,'Mã NV'!$B:$C,2,0),"")</f>
        <v>XE00977</v>
      </c>
      <c r="Q1737" s="70" t="str">
        <f>IFERROR(VLOOKUP(I1737,'Mã NV'!$J:$K,2,0),"")</f>
        <v>2T5 Lạnh </v>
      </c>
    </row>
    <row r="1738" customHeight="1" spans="1:17">
      <c r="A1738" s="63">
        <f t="shared" si="113"/>
        <v>1730</v>
      </c>
      <c r="B1738" s="64">
        <v>46148</v>
      </c>
      <c r="D1738" s="66" t="s">
        <v>58</v>
      </c>
      <c r="E1738" s="66" t="s">
        <v>58</v>
      </c>
      <c r="F1738" s="66" t="s">
        <v>985</v>
      </c>
      <c r="G1738" s="66" t="s">
        <v>1076</v>
      </c>
      <c r="H1738" s="66" t="s">
        <v>1091</v>
      </c>
      <c r="I1738" s="66" t="s">
        <v>214</v>
      </c>
      <c r="J1738" s="66" t="s">
        <v>212</v>
      </c>
      <c r="K1738" s="66" t="s">
        <v>747</v>
      </c>
      <c r="L1738" s="67">
        <v>231220</v>
      </c>
      <c r="M1738" s="67">
        <v>0</v>
      </c>
      <c r="N1738" s="68">
        <f t="shared" si="115"/>
        <v>231220</v>
      </c>
      <c r="O1738" s="69">
        <f t="shared" si="114"/>
        <v>231220</v>
      </c>
      <c r="P1738" s="42" t="str">
        <f>IFERROR(VLOOKUP(J1738,'Mã NV'!$B:$C,2,0),"")</f>
        <v>XE00977</v>
      </c>
      <c r="Q1738" s="70" t="str">
        <f>IFERROR(VLOOKUP(I1738,'Mã NV'!$J:$K,2,0),"")</f>
        <v>2T5 Lạnh </v>
      </c>
    </row>
    <row r="1739" customHeight="1" spans="1:17">
      <c r="A1739" s="63">
        <f t="shared" si="113"/>
        <v>1731</v>
      </c>
      <c r="B1739" s="64">
        <v>46148</v>
      </c>
      <c r="D1739" s="66" t="s">
        <v>58</v>
      </c>
      <c r="E1739" s="66" t="s">
        <v>58</v>
      </c>
      <c r="F1739" s="66" t="s">
        <v>985</v>
      </c>
      <c r="G1739" s="66" t="s">
        <v>1076</v>
      </c>
      <c r="H1739" s="66" t="s">
        <v>1097</v>
      </c>
      <c r="I1739" s="66" t="s">
        <v>214</v>
      </c>
      <c r="J1739" s="66" t="s">
        <v>212</v>
      </c>
      <c r="K1739" s="66" t="s">
        <v>747</v>
      </c>
      <c r="L1739" s="67">
        <v>239103</v>
      </c>
      <c r="M1739" s="67">
        <v>0</v>
      </c>
      <c r="N1739" s="68">
        <f t="shared" si="115"/>
        <v>239103</v>
      </c>
      <c r="O1739" s="69">
        <f t="shared" si="114"/>
        <v>239103</v>
      </c>
      <c r="P1739" s="42" t="str">
        <f>IFERROR(VLOOKUP(J1739,'Mã NV'!$B:$C,2,0),"")</f>
        <v>XE00977</v>
      </c>
      <c r="Q1739" s="70" t="str">
        <f>IFERROR(VLOOKUP(I1739,'Mã NV'!$J:$K,2,0),"")</f>
        <v>2T5 Lạnh </v>
      </c>
    </row>
    <row r="1740" customHeight="1" spans="1:17">
      <c r="A1740" s="63">
        <f t="shared" si="113"/>
        <v>1732</v>
      </c>
      <c r="B1740" s="64">
        <v>46148</v>
      </c>
      <c r="D1740" s="66" t="s">
        <v>58</v>
      </c>
      <c r="E1740" s="66" t="s">
        <v>58</v>
      </c>
      <c r="F1740" s="66" t="s">
        <v>985</v>
      </c>
      <c r="G1740" s="66" t="s">
        <v>1076</v>
      </c>
      <c r="H1740" s="66" t="s">
        <v>1077</v>
      </c>
      <c r="I1740" s="66" t="s">
        <v>177</v>
      </c>
      <c r="J1740" s="66" t="s">
        <v>174</v>
      </c>
      <c r="K1740" s="66" t="s">
        <v>747</v>
      </c>
      <c r="L1740" s="67">
        <v>281143</v>
      </c>
      <c r="M1740" s="67">
        <v>0</v>
      </c>
      <c r="N1740" s="68">
        <f t="shared" si="115"/>
        <v>281143</v>
      </c>
      <c r="O1740" s="69">
        <f t="shared" si="114"/>
        <v>281143</v>
      </c>
      <c r="P1740" s="42" t="str">
        <f>IFERROR(VLOOKUP(J1740,'Mã NV'!$B:$C,2,0),"")</f>
        <v>XE00975</v>
      </c>
      <c r="Q1740" s="70" t="str">
        <f>IFERROR(VLOOKUP(I1740,'Mã NV'!$J:$K,2,0),"")</f>
        <v>2.5T Lạnh</v>
      </c>
    </row>
    <row r="1741" customHeight="1" spans="1:17">
      <c r="A1741" s="63">
        <f t="shared" si="113"/>
        <v>1733</v>
      </c>
      <c r="B1741" s="64">
        <v>46148</v>
      </c>
      <c r="D1741" s="66" t="s">
        <v>58</v>
      </c>
      <c r="E1741" s="66" t="s">
        <v>58</v>
      </c>
      <c r="F1741" s="66" t="s">
        <v>985</v>
      </c>
      <c r="G1741" s="66" t="s">
        <v>1076</v>
      </c>
      <c r="H1741" s="66" t="s">
        <v>1092</v>
      </c>
      <c r="I1741" s="66" t="s">
        <v>177</v>
      </c>
      <c r="J1741" s="66" t="s">
        <v>174</v>
      </c>
      <c r="K1741" s="66" t="s">
        <v>747</v>
      </c>
      <c r="L1741" s="67">
        <v>199690</v>
      </c>
      <c r="M1741" s="67">
        <v>0</v>
      </c>
      <c r="N1741" s="68">
        <f t="shared" si="115"/>
        <v>199690</v>
      </c>
      <c r="O1741" s="69">
        <f t="shared" si="114"/>
        <v>199690</v>
      </c>
      <c r="P1741" s="42" t="str">
        <f>IFERROR(VLOOKUP(J1741,'Mã NV'!$B:$C,2,0),"")</f>
        <v>XE00975</v>
      </c>
      <c r="Q1741" s="70" t="str">
        <f>IFERROR(VLOOKUP(I1741,'Mã NV'!$J:$K,2,0),"")</f>
        <v>2.5T Lạnh</v>
      </c>
    </row>
    <row r="1742" customHeight="1" spans="1:17">
      <c r="A1742" s="63">
        <f t="shared" si="113"/>
        <v>1734</v>
      </c>
      <c r="B1742" s="64">
        <v>46148</v>
      </c>
      <c r="D1742" s="66" t="s">
        <v>58</v>
      </c>
      <c r="E1742" s="66" t="s">
        <v>58</v>
      </c>
      <c r="F1742" s="66" t="s">
        <v>985</v>
      </c>
      <c r="G1742" s="66" t="s">
        <v>1076</v>
      </c>
      <c r="H1742" s="66" t="s">
        <v>1098</v>
      </c>
      <c r="I1742" s="66" t="s">
        <v>177</v>
      </c>
      <c r="J1742" s="66" t="s">
        <v>174</v>
      </c>
      <c r="K1742" s="66" t="s">
        <v>747</v>
      </c>
      <c r="L1742" s="67">
        <v>168160</v>
      </c>
      <c r="M1742" s="67">
        <v>0</v>
      </c>
      <c r="N1742" s="68">
        <f t="shared" si="115"/>
        <v>168160</v>
      </c>
      <c r="O1742" s="69">
        <f t="shared" si="114"/>
        <v>168160</v>
      </c>
      <c r="P1742" s="42" t="str">
        <f>IFERROR(VLOOKUP(J1742,'Mã NV'!$B:$C,2,0),"")</f>
        <v>XE00975</v>
      </c>
      <c r="Q1742" s="70" t="str">
        <f>IFERROR(VLOOKUP(I1742,'Mã NV'!$J:$K,2,0),"")</f>
        <v>2.5T Lạnh</v>
      </c>
    </row>
    <row r="1743" customHeight="1" spans="1:17">
      <c r="A1743" s="63">
        <f t="shared" si="113"/>
        <v>1735</v>
      </c>
      <c r="B1743" s="64">
        <v>46148</v>
      </c>
      <c r="D1743" s="66" t="s">
        <v>58</v>
      </c>
      <c r="E1743" s="66" t="s">
        <v>58</v>
      </c>
      <c r="F1743" s="66" t="s">
        <v>985</v>
      </c>
      <c r="G1743" s="66" t="s">
        <v>1076</v>
      </c>
      <c r="H1743" s="66" t="s">
        <v>1095</v>
      </c>
      <c r="I1743" s="66" t="s">
        <v>323</v>
      </c>
      <c r="J1743" s="66" t="s">
        <v>321</v>
      </c>
      <c r="K1743" s="66" t="s">
        <v>747</v>
      </c>
      <c r="L1743" s="67">
        <v>252240</v>
      </c>
      <c r="M1743" s="67">
        <v>0</v>
      </c>
      <c r="N1743" s="68">
        <f t="shared" si="115"/>
        <v>252240</v>
      </c>
      <c r="O1743" s="69">
        <f t="shared" si="114"/>
        <v>252240</v>
      </c>
      <c r="P1743" s="42" t="str">
        <f>IFERROR(VLOOKUP(J1743,'Mã NV'!$B:$C,2,0),"")</f>
        <v>XE01537</v>
      </c>
      <c r="Q1743" s="70" t="str">
        <f>IFERROR(VLOOKUP(I1743,'Mã NV'!$J:$K,2,0),"")</f>
        <v>2.5T</v>
      </c>
    </row>
    <row r="1744" customHeight="1" spans="1:17">
      <c r="A1744" s="63">
        <f t="shared" si="113"/>
        <v>1736</v>
      </c>
      <c r="B1744" s="64">
        <v>46148</v>
      </c>
      <c r="D1744" s="66" t="s">
        <v>58</v>
      </c>
      <c r="E1744" s="66" t="s">
        <v>58</v>
      </c>
      <c r="F1744" s="66" t="s">
        <v>985</v>
      </c>
      <c r="G1744" s="66" t="s">
        <v>1076</v>
      </c>
      <c r="H1744" s="66" t="s">
        <v>1094</v>
      </c>
      <c r="I1744" s="66" t="s">
        <v>323</v>
      </c>
      <c r="J1744" s="66" t="s">
        <v>321</v>
      </c>
      <c r="K1744" s="66" t="s">
        <v>747</v>
      </c>
      <c r="L1744" s="67">
        <v>91963</v>
      </c>
      <c r="M1744" s="67">
        <v>0</v>
      </c>
      <c r="N1744" s="68">
        <f t="shared" si="115"/>
        <v>91963</v>
      </c>
      <c r="O1744" s="69">
        <f t="shared" si="114"/>
        <v>91963</v>
      </c>
      <c r="P1744" s="42" t="str">
        <f>IFERROR(VLOOKUP(J1744,'Mã NV'!$B:$C,2,0),"")</f>
        <v>XE01537</v>
      </c>
      <c r="Q1744" s="70" t="str">
        <f>IFERROR(VLOOKUP(I1744,'Mã NV'!$J:$K,2,0),"")</f>
        <v>2.5T</v>
      </c>
    </row>
    <row r="1745" customHeight="1" spans="1:17">
      <c r="A1745" s="63">
        <f t="shared" ref="A1745:A1808" si="116">A1744+1</f>
        <v>1737</v>
      </c>
      <c r="B1745" s="64">
        <v>46148</v>
      </c>
      <c r="D1745" s="66" t="s">
        <v>58</v>
      </c>
      <c r="E1745" s="66" t="s">
        <v>58</v>
      </c>
      <c r="F1745" s="66" t="s">
        <v>985</v>
      </c>
      <c r="G1745" s="66" t="s">
        <v>1076</v>
      </c>
      <c r="H1745" s="66" t="s">
        <v>1093</v>
      </c>
      <c r="I1745" s="66" t="s">
        <v>323</v>
      </c>
      <c r="J1745" s="66" t="s">
        <v>321</v>
      </c>
      <c r="K1745" s="66" t="s">
        <v>747</v>
      </c>
      <c r="L1745" s="67">
        <v>207573</v>
      </c>
      <c r="M1745" s="67">
        <v>0</v>
      </c>
      <c r="N1745" s="68">
        <f t="shared" si="115"/>
        <v>207573</v>
      </c>
      <c r="O1745" s="69">
        <f t="shared" si="114"/>
        <v>207573</v>
      </c>
      <c r="P1745" s="42" t="str">
        <f>IFERROR(VLOOKUP(J1745,'Mã NV'!$B:$C,2,0),"")</f>
        <v>XE01537</v>
      </c>
      <c r="Q1745" s="70" t="str">
        <f>IFERROR(VLOOKUP(I1745,'Mã NV'!$J:$K,2,0),"")</f>
        <v>2.5T</v>
      </c>
    </row>
    <row r="1746" customHeight="1" spans="1:17">
      <c r="A1746" s="63">
        <f t="shared" si="116"/>
        <v>1738</v>
      </c>
      <c r="B1746" s="64">
        <v>46148</v>
      </c>
      <c r="D1746" s="66" t="s">
        <v>58</v>
      </c>
      <c r="E1746" s="66" t="s">
        <v>58</v>
      </c>
      <c r="F1746" s="66" t="s">
        <v>985</v>
      </c>
      <c r="G1746" s="66" t="s">
        <v>1076</v>
      </c>
      <c r="H1746" s="66" t="s">
        <v>1102</v>
      </c>
      <c r="I1746" s="66" t="s">
        <v>133</v>
      </c>
      <c r="J1746" s="66" t="s">
        <v>347</v>
      </c>
      <c r="K1746" s="66" t="s">
        <v>747</v>
      </c>
      <c r="L1746" s="67">
        <v>239103</v>
      </c>
      <c r="M1746" s="67">
        <v>0</v>
      </c>
      <c r="N1746" s="68">
        <f t="shared" si="115"/>
        <v>239103</v>
      </c>
      <c r="O1746" s="69">
        <f t="shared" si="114"/>
        <v>239103</v>
      </c>
      <c r="P1746" s="42" t="str">
        <f>IFERROR(VLOOKUP(J1746,'Mã NV'!$B:$C,2,0),"")</f>
        <v>XE01653</v>
      </c>
      <c r="Q1746" s="70" t="str">
        <f>IFERROR(VLOOKUP(I1746,'Mã NV'!$J:$K,2,0),"")</f>
        <v>2.5T</v>
      </c>
    </row>
    <row r="1747" customHeight="1" spans="1:17">
      <c r="A1747" s="63">
        <f t="shared" si="116"/>
        <v>1739</v>
      </c>
      <c r="B1747" s="64">
        <v>46148</v>
      </c>
      <c r="D1747" s="66" t="s">
        <v>58</v>
      </c>
      <c r="E1747" s="66" t="s">
        <v>58</v>
      </c>
      <c r="F1747" s="66" t="s">
        <v>985</v>
      </c>
      <c r="G1747" s="66" t="s">
        <v>1076</v>
      </c>
      <c r="H1747" s="66" t="s">
        <v>1103</v>
      </c>
      <c r="I1747" s="66" t="s">
        <v>133</v>
      </c>
      <c r="J1747" s="66" t="s">
        <v>347</v>
      </c>
      <c r="K1747" s="66" t="s">
        <v>747</v>
      </c>
      <c r="L1747" s="67">
        <v>99845</v>
      </c>
      <c r="M1747" s="67">
        <v>0</v>
      </c>
      <c r="N1747" s="68">
        <f t="shared" si="115"/>
        <v>99845</v>
      </c>
      <c r="O1747" s="69">
        <f t="shared" si="114"/>
        <v>99845</v>
      </c>
      <c r="P1747" s="42" t="str">
        <f>IFERROR(VLOOKUP(J1747,'Mã NV'!$B:$C,2,0),"")</f>
        <v>XE01653</v>
      </c>
      <c r="Q1747" s="70" t="str">
        <f>IFERROR(VLOOKUP(I1747,'Mã NV'!$J:$K,2,0),"")</f>
        <v>2.5T</v>
      </c>
    </row>
    <row r="1748" customHeight="1" spans="1:17">
      <c r="A1748" s="63">
        <f t="shared" si="116"/>
        <v>1740</v>
      </c>
      <c r="B1748" s="64">
        <v>46148</v>
      </c>
      <c r="D1748" s="66" t="s">
        <v>58</v>
      </c>
      <c r="E1748" s="66" t="s">
        <v>58</v>
      </c>
      <c r="F1748" s="66" t="s">
        <v>985</v>
      </c>
      <c r="G1748" s="66" t="s">
        <v>1076</v>
      </c>
      <c r="H1748" s="66" t="s">
        <v>1104</v>
      </c>
      <c r="I1748" s="66" t="s">
        <v>133</v>
      </c>
      <c r="J1748" s="66" t="s">
        <v>347</v>
      </c>
      <c r="K1748" s="66" t="s">
        <v>747</v>
      </c>
      <c r="L1748" s="67">
        <v>273260</v>
      </c>
      <c r="M1748" s="67">
        <v>0</v>
      </c>
      <c r="N1748" s="68">
        <f t="shared" si="115"/>
        <v>273260</v>
      </c>
      <c r="O1748" s="69">
        <f t="shared" si="114"/>
        <v>273260</v>
      </c>
      <c r="P1748" s="42" t="str">
        <f>IFERROR(VLOOKUP(J1748,'Mã NV'!$B:$C,2,0),"")</f>
        <v>XE01653</v>
      </c>
      <c r="Q1748" s="70" t="str">
        <f>IFERROR(VLOOKUP(I1748,'Mã NV'!$J:$K,2,0),"")</f>
        <v>2.5T</v>
      </c>
    </row>
    <row r="1749" customHeight="1" spans="1:17">
      <c r="A1749" s="63">
        <f t="shared" si="116"/>
        <v>1741</v>
      </c>
      <c r="B1749" s="64">
        <v>46148</v>
      </c>
      <c r="D1749" s="66" t="s">
        <v>58</v>
      </c>
      <c r="E1749" s="66" t="s">
        <v>58</v>
      </c>
      <c r="F1749" s="66" t="s">
        <v>985</v>
      </c>
      <c r="G1749" s="66" t="s">
        <v>1076</v>
      </c>
      <c r="H1749" s="66" t="s">
        <v>1099</v>
      </c>
      <c r="I1749" s="66" t="s">
        <v>133</v>
      </c>
      <c r="J1749" s="66" t="s">
        <v>347</v>
      </c>
      <c r="K1749" s="66" t="s">
        <v>747</v>
      </c>
      <c r="L1749" s="67">
        <v>168160</v>
      </c>
      <c r="M1749" s="67">
        <v>0</v>
      </c>
      <c r="N1749" s="68">
        <f t="shared" si="115"/>
        <v>168160</v>
      </c>
      <c r="O1749" s="69">
        <f t="shared" si="114"/>
        <v>168160</v>
      </c>
      <c r="P1749" s="42" t="str">
        <f>IFERROR(VLOOKUP(J1749,'Mã NV'!$B:$C,2,0),"")</f>
        <v>XE01653</v>
      </c>
      <c r="Q1749" s="70" t="str">
        <f>IFERROR(VLOOKUP(I1749,'Mã NV'!$J:$K,2,0),"")</f>
        <v>2.5T</v>
      </c>
    </row>
    <row r="1750" customHeight="1" spans="1:17">
      <c r="A1750" s="63">
        <f t="shared" si="116"/>
        <v>1742</v>
      </c>
      <c r="B1750" s="64">
        <v>46148</v>
      </c>
      <c r="D1750" s="66" t="s">
        <v>58</v>
      </c>
      <c r="E1750" s="66" t="s">
        <v>58</v>
      </c>
      <c r="F1750" s="66" t="s">
        <v>985</v>
      </c>
      <c r="G1750" s="66" t="s">
        <v>1076</v>
      </c>
      <c r="H1750" s="66" t="s">
        <v>1100</v>
      </c>
      <c r="I1750" s="66" t="s">
        <v>133</v>
      </c>
      <c r="J1750" s="66" t="s">
        <v>347</v>
      </c>
      <c r="K1750" s="66" t="s">
        <v>747</v>
      </c>
      <c r="L1750" s="67">
        <v>176043</v>
      </c>
      <c r="M1750" s="67">
        <v>0</v>
      </c>
      <c r="N1750" s="68">
        <f t="shared" si="115"/>
        <v>176043</v>
      </c>
      <c r="O1750" s="69">
        <f t="shared" si="114"/>
        <v>176043</v>
      </c>
      <c r="P1750" s="42" t="str">
        <f>IFERROR(VLOOKUP(J1750,'Mã NV'!$B:$C,2,0),"")</f>
        <v>XE01653</v>
      </c>
      <c r="Q1750" s="70" t="str">
        <f>IFERROR(VLOOKUP(I1750,'Mã NV'!$J:$K,2,0),"")</f>
        <v>2.5T</v>
      </c>
    </row>
    <row r="1751" customHeight="1" spans="1:17">
      <c r="A1751" s="63">
        <f t="shared" si="116"/>
        <v>1743</v>
      </c>
      <c r="B1751" s="64">
        <v>46149</v>
      </c>
      <c r="D1751" s="66" t="s">
        <v>58</v>
      </c>
      <c r="E1751" s="66" t="s">
        <v>58</v>
      </c>
      <c r="F1751" s="66" t="s">
        <v>985</v>
      </c>
      <c r="G1751" s="66" t="s">
        <v>1076</v>
      </c>
      <c r="H1751" s="66" t="s">
        <v>1080</v>
      </c>
      <c r="I1751" s="66" t="s">
        <v>57</v>
      </c>
      <c r="J1751" s="66" t="s">
        <v>55</v>
      </c>
      <c r="K1751" s="66" t="s">
        <v>747</v>
      </c>
      <c r="L1751" s="67">
        <v>207573</v>
      </c>
      <c r="M1751" s="67">
        <v>0</v>
      </c>
      <c r="N1751" s="68">
        <f t="shared" si="115"/>
        <v>207573</v>
      </c>
      <c r="O1751" s="69">
        <f t="shared" si="114"/>
        <v>207573</v>
      </c>
      <c r="P1751" s="42" t="str">
        <f>IFERROR(VLOOKUP(J1751,'Mã NV'!$B:$C,2,0),"")</f>
        <v>XE00768</v>
      </c>
      <c r="Q1751" s="70" t="str">
        <f>IFERROR(VLOOKUP(I1751,'Mã NV'!$J:$K,2,0),"")</f>
        <v>2.5T</v>
      </c>
    </row>
    <row r="1752" customHeight="1" spans="1:17">
      <c r="A1752" s="63">
        <f t="shared" si="116"/>
        <v>1744</v>
      </c>
      <c r="B1752" s="64">
        <v>46149</v>
      </c>
      <c r="D1752" s="66" t="s">
        <v>58</v>
      </c>
      <c r="E1752" s="66" t="s">
        <v>58</v>
      </c>
      <c r="F1752" s="66" t="s">
        <v>985</v>
      </c>
      <c r="G1752" s="66" t="s">
        <v>1076</v>
      </c>
      <c r="H1752" s="66" t="s">
        <v>1081</v>
      </c>
      <c r="I1752" s="66" t="s">
        <v>57</v>
      </c>
      <c r="J1752" s="66" t="s">
        <v>55</v>
      </c>
      <c r="K1752" s="66" t="s">
        <v>747</v>
      </c>
      <c r="L1752" s="67">
        <v>212828</v>
      </c>
      <c r="M1752" s="67">
        <v>0</v>
      </c>
      <c r="N1752" s="68">
        <f t="shared" si="115"/>
        <v>212828</v>
      </c>
      <c r="O1752" s="69">
        <f t="shared" si="114"/>
        <v>212828</v>
      </c>
      <c r="P1752" s="42" t="str">
        <f>IFERROR(VLOOKUP(J1752,'Mã NV'!$B:$C,2,0),"")</f>
        <v>XE00768</v>
      </c>
      <c r="Q1752" s="70" t="str">
        <f>IFERROR(VLOOKUP(I1752,'Mã NV'!$J:$K,2,0),"")</f>
        <v>2.5T</v>
      </c>
    </row>
    <row r="1753" customHeight="1" spans="1:17">
      <c r="A1753" s="63">
        <f t="shared" si="116"/>
        <v>1745</v>
      </c>
      <c r="B1753" s="64">
        <v>46149</v>
      </c>
      <c r="D1753" s="66" t="s">
        <v>58</v>
      </c>
      <c r="E1753" s="66" t="s">
        <v>58</v>
      </c>
      <c r="F1753" s="66" t="s">
        <v>985</v>
      </c>
      <c r="G1753" s="66" t="s">
        <v>1076</v>
      </c>
      <c r="H1753" s="66" t="s">
        <v>1082</v>
      </c>
      <c r="I1753" s="66" t="s">
        <v>57</v>
      </c>
      <c r="J1753" s="66" t="s">
        <v>55</v>
      </c>
      <c r="K1753" s="66" t="s">
        <v>747</v>
      </c>
      <c r="L1753" s="67">
        <v>299535</v>
      </c>
      <c r="M1753" s="67">
        <v>0</v>
      </c>
      <c r="N1753" s="68">
        <f t="shared" si="115"/>
        <v>299535</v>
      </c>
      <c r="O1753" s="69">
        <f t="shared" si="114"/>
        <v>299535</v>
      </c>
      <c r="P1753" s="42" t="str">
        <f>IFERROR(VLOOKUP(J1753,'Mã NV'!$B:$C,2,0),"")</f>
        <v>XE00768</v>
      </c>
      <c r="Q1753" s="70" t="str">
        <f>IFERROR(VLOOKUP(I1753,'Mã NV'!$J:$K,2,0),"")</f>
        <v>2.5T</v>
      </c>
    </row>
    <row r="1754" customHeight="1" spans="1:17">
      <c r="A1754" s="63">
        <f t="shared" si="116"/>
        <v>1746</v>
      </c>
      <c r="B1754" s="64">
        <v>46149</v>
      </c>
      <c r="D1754" s="66" t="s">
        <v>58</v>
      </c>
      <c r="E1754" s="66" t="s">
        <v>58</v>
      </c>
      <c r="F1754" s="66" t="s">
        <v>985</v>
      </c>
      <c r="G1754" s="66" t="s">
        <v>1076</v>
      </c>
      <c r="H1754" s="66" t="s">
        <v>1083</v>
      </c>
      <c r="I1754" s="66" t="s">
        <v>57</v>
      </c>
      <c r="J1754" s="66" t="s">
        <v>55</v>
      </c>
      <c r="K1754" s="66" t="s">
        <v>747</v>
      </c>
      <c r="L1754" s="67">
        <v>160278</v>
      </c>
      <c r="M1754" s="67">
        <v>0</v>
      </c>
      <c r="N1754" s="68">
        <f t="shared" si="115"/>
        <v>160278</v>
      </c>
      <c r="O1754" s="69">
        <f t="shared" si="114"/>
        <v>160278</v>
      </c>
      <c r="P1754" s="42" t="str">
        <f>IFERROR(VLOOKUP(J1754,'Mã NV'!$B:$C,2,0),"")</f>
        <v>XE00768</v>
      </c>
      <c r="Q1754" s="70" t="str">
        <f>IFERROR(VLOOKUP(I1754,'Mã NV'!$J:$K,2,0),"")</f>
        <v>2.5T</v>
      </c>
    </row>
    <row r="1755" customHeight="1" spans="1:17">
      <c r="A1755" s="63">
        <f t="shared" si="116"/>
        <v>1747</v>
      </c>
      <c r="B1755" s="64">
        <v>46149</v>
      </c>
      <c r="D1755" s="66" t="s">
        <v>58</v>
      </c>
      <c r="E1755" s="66" t="s">
        <v>58</v>
      </c>
      <c r="F1755" s="66" t="s">
        <v>985</v>
      </c>
      <c r="G1755" s="66" t="s">
        <v>1076</v>
      </c>
      <c r="H1755" s="66" t="s">
        <v>1089</v>
      </c>
      <c r="I1755" s="66" t="s">
        <v>403</v>
      </c>
      <c r="J1755" s="66" t="s">
        <v>401</v>
      </c>
      <c r="K1755" s="66" t="s">
        <v>747</v>
      </c>
      <c r="L1755" s="67">
        <v>493970</v>
      </c>
      <c r="M1755" s="67">
        <v>0</v>
      </c>
      <c r="N1755" s="68">
        <f t="shared" si="115"/>
        <v>493970</v>
      </c>
      <c r="O1755" s="69">
        <f t="shared" si="114"/>
        <v>493970</v>
      </c>
      <c r="P1755" s="42" t="str">
        <f>IFERROR(VLOOKUP(J1755,'Mã NV'!$B:$C,2,0),"")</f>
        <v>XE01466</v>
      </c>
      <c r="Q1755" s="70" t="str">
        <f>IFERROR(VLOOKUP(I1755,'Mã NV'!$J:$K,2,0),"")</f>
        <v>3.5T</v>
      </c>
    </row>
    <row r="1756" customHeight="1" spans="1:17">
      <c r="A1756" s="63">
        <f t="shared" si="116"/>
        <v>1748</v>
      </c>
      <c r="B1756" s="64">
        <v>46149</v>
      </c>
      <c r="D1756" s="66" t="s">
        <v>58</v>
      </c>
      <c r="E1756" s="66" t="s">
        <v>58</v>
      </c>
      <c r="F1756" s="66" t="s">
        <v>985</v>
      </c>
      <c r="G1756" s="66" t="s">
        <v>1076</v>
      </c>
      <c r="H1756" s="66" t="s">
        <v>1096</v>
      </c>
      <c r="I1756" s="66" t="s">
        <v>403</v>
      </c>
      <c r="J1756" s="66" t="s">
        <v>401</v>
      </c>
      <c r="K1756" s="66" t="s">
        <v>747</v>
      </c>
      <c r="L1756" s="67">
        <v>194435</v>
      </c>
      <c r="M1756" s="67">
        <v>0</v>
      </c>
      <c r="N1756" s="68">
        <f t="shared" si="115"/>
        <v>194435</v>
      </c>
      <c r="O1756" s="69">
        <f t="shared" si="114"/>
        <v>194435</v>
      </c>
      <c r="P1756" s="42" t="str">
        <f>IFERROR(VLOOKUP(J1756,'Mã NV'!$B:$C,2,0),"")</f>
        <v>XE01466</v>
      </c>
      <c r="Q1756" s="70" t="str">
        <f>IFERROR(VLOOKUP(I1756,'Mã NV'!$J:$K,2,0),"")</f>
        <v>3.5T</v>
      </c>
    </row>
    <row r="1757" customHeight="1" spans="1:17">
      <c r="A1757" s="63">
        <f t="shared" si="116"/>
        <v>1749</v>
      </c>
      <c r="B1757" s="64">
        <v>46149</v>
      </c>
      <c r="D1757" s="66" t="s">
        <v>58</v>
      </c>
      <c r="E1757" s="66" t="s">
        <v>58</v>
      </c>
      <c r="F1757" s="66" t="s">
        <v>985</v>
      </c>
      <c r="G1757" s="66" t="s">
        <v>1076</v>
      </c>
      <c r="H1757" s="66" t="s">
        <v>1097</v>
      </c>
      <c r="I1757" s="66" t="s">
        <v>403</v>
      </c>
      <c r="J1757" s="66" t="s">
        <v>401</v>
      </c>
      <c r="K1757" s="66" t="s">
        <v>747</v>
      </c>
      <c r="L1757" s="67">
        <v>320555</v>
      </c>
      <c r="M1757" s="67">
        <v>0</v>
      </c>
      <c r="N1757" s="68">
        <f t="shared" si="115"/>
        <v>320555</v>
      </c>
      <c r="O1757" s="69">
        <f t="shared" si="114"/>
        <v>320555</v>
      </c>
      <c r="P1757" s="42" t="str">
        <f>IFERROR(VLOOKUP(J1757,'Mã NV'!$B:$C,2,0),"")</f>
        <v>XE01466</v>
      </c>
      <c r="Q1757" s="70" t="str">
        <f>IFERROR(VLOOKUP(I1757,'Mã NV'!$J:$K,2,0),"")</f>
        <v>3.5T</v>
      </c>
    </row>
    <row r="1758" customHeight="1" spans="1:17">
      <c r="A1758" s="63">
        <f t="shared" si="116"/>
        <v>1750</v>
      </c>
      <c r="B1758" s="64">
        <v>46149</v>
      </c>
      <c r="D1758" s="66" t="s">
        <v>58</v>
      </c>
      <c r="E1758" s="66" t="s">
        <v>58</v>
      </c>
      <c r="F1758" s="66" t="s">
        <v>985</v>
      </c>
      <c r="G1758" s="66" t="s">
        <v>1076</v>
      </c>
      <c r="H1758" s="66" t="s">
        <v>1098</v>
      </c>
      <c r="I1758" s="66" t="s">
        <v>403</v>
      </c>
      <c r="J1758" s="66" t="s">
        <v>401</v>
      </c>
      <c r="K1758" s="66" t="s">
        <v>747</v>
      </c>
      <c r="L1758" s="67">
        <v>160278</v>
      </c>
      <c r="M1758" s="67">
        <v>0</v>
      </c>
      <c r="N1758" s="68">
        <f t="shared" si="115"/>
        <v>160278</v>
      </c>
      <c r="O1758" s="69">
        <f t="shared" si="114"/>
        <v>160278</v>
      </c>
      <c r="P1758" s="42" t="str">
        <f>IFERROR(VLOOKUP(J1758,'Mã NV'!$B:$C,2,0),"")</f>
        <v>XE01466</v>
      </c>
      <c r="Q1758" s="70" t="str">
        <f>IFERROR(VLOOKUP(I1758,'Mã NV'!$J:$K,2,0),"")</f>
        <v>3.5T</v>
      </c>
    </row>
    <row r="1759" customHeight="1" spans="1:17">
      <c r="A1759" s="63">
        <f t="shared" si="116"/>
        <v>1751</v>
      </c>
      <c r="B1759" s="64">
        <v>46149</v>
      </c>
      <c r="D1759" s="66" t="s">
        <v>58</v>
      </c>
      <c r="E1759" s="66" t="s">
        <v>58</v>
      </c>
      <c r="F1759" s="66" t="s">
        <v>985</v>
      </c>
      <c r="G1759" s="66" t="s">
        <v>1076</v>
      </c>
      <c r="H1759" s="66" t="s">
        <v>1088</v>
      </c>
      <c r="I1759" s="66" t="s">
        <v>403</v>
      </c>
      <c r="J1759" s="66" t="s">
        <v>401</v>
      </c>
      <c r="K1759" s="66" t="s">
        <v>747</v>
      </c>
      <c r="L1759" s="67">
        <v>281143</v>
      </c>
      <c r="M1759" s="67">
        <v>0</v>
      </c>
      <c r="N1759" s="68">
        <f t="shared" si="115"/>
        <v>281143</v>
      </c>
      <c r="O1759" s="69">
        <f t="shared" si="114"/>
        <v>281143</v>
      </c>
      <c r="P1759" s="42" t="str">
        <f>IFERROR(VLOOKUP(J1759,'Mã NV'!$B:$C,2,0),"")</f>
        <v>XE01466</v>
      </c>
      <c r="Q1759" s="70" t="str">
        <f>IFERROR(VLOOKUP(I1759,'Mã NV'!$J:$K,2,0),"")</f>
        <v>3.5T</v>
      </c>
    </row>
    <row r="1760" customHeight="1" spans="1:17">
      <c r="A1760" s="63">
        <f t="shared" si="116"/>
        <v>1752</v>
      </c>
      <c r="B1760" s="64">
        <v>46149</v>
      </c>
      <c r="D1760" s="66" t="s">
        <v>58</v>
      </c>
      <c r="E1760" s="66" t="s">
        <v>58</v>
      </c>
      <c r="F1760" s="66" t="s">
        <v>985</v>
      </c>
      <c r="G1760" s="66" t="s">
        <v>1076</v>
      </c>
      <c r="H1760" s="66" t="s">
        <v>1102</v>
      </c>
      <c r="I1760" s="66" t="s">
        <v>177</v>
      </c>
      <c r="J1760" s="66" t="s">
        <v>174</v>
      </c>
      <c r="K1760" s="66" t="s">
        <v>747</v>
      </c>
      <c r="L1760" s="67">
        <v>265378</v>
      </c>
      <c r="M1760" s="67">
        <v>0</v>
      </c>
      <c r="N1760" s="68">
        <f t="shared" si="115"/>
        <v>265378</v>
      </c>
      <c r="O1760" s="69">
        <f t="shared" si="114"/>
        <v>265378</v>
      </c>
      <c r="P1760" s="42" t="str">
        <f>IFERROR(VLOOKUP(J1760,'Mã NV'!$B:$C,2,0),"")</f>
        <v>XE00975</v>
      </c>
      <c r="Q1760" s="70" t="str">
        <f>IFERROR(VLOOKUP(I1760,'Mã NV'!$J:$K,2,0),"")</f>
        <v>2.5T Lạnh</v>
      </c>
    </row>
    <row r="1761" customHeight="1" spans="1:17">
      <c r="A1761" s="63">
        <f t="shared" si="116"/>
        <v>1753</v>
      </c>
      <c r="B1761" s="64">
        <v>46149</v>
      </c>
      <c r="D1761" s="66" t="s">
        <v>58</v>
      </c>
      <c r="E1761" s="66" t="s">
        <v>58</v>
      </c>
      <c r="F1761" s="66" t="s">
        <v>985</v>
      </c>
      <c r="G1761" s="66" t="s">
        <v>1076</v>
      </c>
      <c r="H1761" s="66" t="s">
        <v>1103</v>
      </c>
      <c r="I1761" s="66" t="s">
        <v>177</v>
      </c>
      <c r="J1761" s="66" t="s">
        <v>174</v>
      </c>
      <c r="K1761" s="66" t="s">
        <v>747</v>
      </c>
      <c r="L1761" s="67">
        <v>128748</v>
      </c>
      <c r="M1761" s="67">
        <v>0</v>
      </c>
      <c r="N1761" s="68">
        <f t="shared" si="115"/>
        <v>128748</v>
      </c>
      <c r="O1761" s="69">
        <f t="shared" si="114"/>
        <v>128748</v>
      </c>
      <c r="P1761" s="42" t="str">
        <f>IFERROR(VLOOKUP(J1761,'Mã NV'!$B:$C,2,0),"")</f>
        <v>XE00975</v>
      </c>
      <c r="Q1761" s="70" t="str">
        <f>IFERROR(VLOOKUP(I1761,'Mã NV'!$J:$K,2,0),"")</f>
        <v>2.5T Lạnh</v>
      </c>
    </row>
    <row r="1762" customHeight="1" spans="1:17">
      <c r="A1762" s="63">
        <f t="shared" si="116"/>
        <v>1754</v>
      </c>
      <c r="B1762" s="64">
        <v>46149</v>
      </c>
      <c r="D1762" s="66" t="s">
        <v>58</v>
      </c>
      <c r="E1762" s="66" t="s">
        <v>58</v>
      </c>
      <c r="F1762" s="66" t="s">
        <v>985</v>
      </c>
      <c r="G1762" s="66" t="s">
        <v>1076</v>
      </c>
      <c r="H1762" s="66" t="s">
        <v>1104</v>
      </c>
      <c r="I1762" s="66" t="s">
        <v>177</v>
      </c>
      <c r="J1762" s="66" t="s">
        <v>174</v>
      </c>
      <c r="K1762" s="66" t="s">
        <v>747</v>
      </c>
      <c r="L1762" s="67">
        <v>270633</v>
      </c>
      <c r="M1762" s="67">
        <v>0</v>
      </c>
      <c r="N1762" s="68">
        <f t="shared" si="115"/>
        <v>270633</v>
      </c>
      <c r="O1762" s="69">
        <f t="shared" si="114"/>
        <v>270633</v>
      </c>
      <c r="P1762" s="42" t="str">
        <f>IFERROR(VLOOKUP(J1762,'Mã NV'!$B:$C,2,0),"")</f>
        <v>XE00975</v>
      </c>
      <c r="Q1762" s="70" t="str">
        <f>IFERROR(VLOOKUP(I1762,'Mã NV'!$J:$K,2,0),"")</f>
        <v>2.5T Lạnh</v>
      </c>
    </row>
    <row r="1763" customHeight="1" spans="1:17">
      <c r="A1763" s="63">
        <f t="shared" si="116"/>
        <v>1755</v>
      </c>
      <c r="B1763" s="64">
        <v>46149</v>
      </c>
      <c r="D1763" s="66" t="s">
        <v>58</v>
      </c>
      <c r="E1763" s="66" t="s">
        <v>58</v>
      </c>
      <c r="F1763" s="66" t="s">
        <v>985</v>
      </c>
      <c r="G1763" s="66" t="s">
        <v>1076</v>
      </c>
      <c r="H1763" s="66" t="s">
        <v>1087</v>
      </c>
      <c r="I1763" s="66" t="s">
        <v>177</v>
      </c>
      <c r="J1763" s="66" t="s">
        <v>174</v>
      </c>
      <c r="K1763" s="66" t="s">
        <v>747</v>
      </c>
      <c r="L1763" s="67">
        <v>157650</v>
      </c>
      <c r="M1763" s="67">
        <v>0</v>
      </c>
      <c r="N1763" s="68">
        <f t="shared" si="115"/>
        <v>157650</v>
      </c>
      <c r="O1763" s="69">
        <f t="shared" si="114"/>
        <v>157650</v>
      </c>
      <c r="P1763" s="42" t="str">
        <f>IFERROR(VLOOKUP(J1763,'Mã NV'!$B:$C,2,0),"")</f>
        <v>XE00975</v>
      </c>
      <c r="Q1763" s="70" t="str">
        <f>IFERROR(VLOOKUP(I1763,'Mã NV'!$J:$K,2,0),"")</f>
        <v>2.5T Lạnh</v>
      </c>
    </row>
    <row r="1764" customHeight="1" spans="1:17">
      <c r="A1764" s="63">
        <f t="shared" si="116"/>
        <v>1756</v>
      </c>
      <c r="B1764" s="64">
        <v>46149</v>
      </c>
      <c r="D1764" s="66" t="s">
        <v>58</v>
      </c>
      <c r="E1764" s="66" t="s">
        <v>58</v>
      </c>
      <c r="F1764" s="66" t="s">
        <v>985</v>
      </c>
      <c r="G1764" s="66" t="s">
        <v>1076</v>
      </c>
      <c r="H1764" s="66" t="s">
        <v>1086</v>
      </c>
      <c r="I1764" s="66" t="s">
        <v>358</v>
      </c>
      <c r="J1764" s="66" t="s">
        <v>356</v>
      </c>
      <c r="K1764" s="66" t="s">
        <v>747</v>
      </c>
      <c r="L1764" s="67">
        <v>210200</v>
      </c>
      <c r="M1764" s="67">
        <v>0</v>
      </c>
      <c r="N1764" s="68">
        <f t="shared" si="115"/>
        <v>210200</v>
      </c>
      <c r="O1764" s="69">
        <f t="shared" si="114"/>
        <v>210200</v>
      </c>
      <c r="P1764" s="42" t="str">
        <f>IFERROR(VLOOKUP(J1764,'Mã NV'!$B:$C,2,0),"")</f>
        <v>XE01616</v>
      </c>
      <c r="Q1764" s="70" t="str">
        <f>IFERROR(VLOOKUP(I1764,'Mã NV'!$J:$K,2,0),"")</f>
        <v>2.5T Lạnh</v>
      </c>
    </row>
    <row r="1765" customHeight="1" spans="1:17">
      <c r="A1765" s="63">
        <f t="shared" si="116"/>
        <v>1757</v>
      </c>
      <c r="B1765" s="64">
        <v>46149</v>
      </c>
      <c r="D1765" s="66" t="s">
        <v>58</v>
      </c>
      <c r="E1765" s="66" t="s">
        <v>58</v>
      </c>
      <c r="F1765" s="66" t="s">
        <v>985</v>
      </c>
      <c r="G1765" s="66" t="s">
        <v>1076</v>
      </c>
      <c r="H1765" s="66" t="s">
        <v>1084</v>
      </c>
      <c r="I1765" s="66" t="s">
        <v>358</v>
      </c>
      <c r="J1765" s="66" t="s">
        <v>356</v>
      </c>
      <c r="K1765" s="66" t="s">
        <v>747</v>
      </c>
      <c r="L1765" s="67">
        <v>246985</v>
      </c>
      <c r="M1765" s="67">
        <v>0</v>
      </c>
      <c r="N1765" s="68">
        <f t="shared" si="115"/>
        <v>246985</v>
      </c>
      <c r="O1765" s="69">
        <f t="shared" si="114"/>
        <v>246985</v>
      </c>
      <c r="P1765" s="42" t="str">
        <f>IFERROR(VLOOKUP(J1765,'Mã NV'!$B:$C,2,0),"")</f>
        <v>XE01616</v>
      </c>
      <c r="Q1765" s="70" t="str">
        <f>IFERROR(VLOOKUP(I1765,'Mã NV'!$J:$K,2,0),"")</f>
        <v>2.5T Lạnh</v>
      </c>
    </row>
    <row r="1766" customHeight="1" spans="1:17">
      <c r="A1766" s="63">
        <f t="shared" si="116"/>
        <v>1758</v>
      </c>
      <c r="B1766" s="64">
        <v>46149</v>
      </c>
      <c r="D1766" s="66" t="s">
        <v>58</v>
      </c>
      <c r="E1766" s="66" t="s">
        <v>58</v>
      </c>
      <c r="F1766" s="66" t="s">
        <v>985</v>
      </c>
      <c r="G1766" s="66" t="s">
        <v>1076</v>
      </c>
      <c r="H1766" s="66" t="s">
        <v>1085</v>
      </c>
      <c r="I1766" s="66" t="s">
        <v>358</v>
      </c>
      <c r="J1766" s="66" t="s">
        <v>356</v>
      </c>
      <c r="K1766" s="66" t="s">
        <v>747</v>
      </c>
      <c r="L1766" s="67">
        <v>176043</v>
      </c>
      <c r="M1766" s="67">
        <v>0</v>
      </c>
      <c r="N1766" s="68">
        <f t="shared" si="115"/>
        <v>176043</v>
      </c>
      <c r="O1766" s="69">
        <f t="shared" si="114"/>
        <v>176043</v>
      </c>
      <c r="P1766" s="42" t="str">
        <f>IFERROR(VLOOKUP(J1766,'Mã NV'!$B:$C,2,0),"")</f>
        <v>XE01616</v>
      </c>
      <c r="Q1766" s="70" t="str">
        <f>IFERROR(VLOOKUP(I1766,'Mã NV'!$J:$K,2,0),"")</f>
        <v>2.5T Lạnh</v>
      </c>
    </row>
    <row r="1767" customHeight="1" spans="1:17">
      <c r="A1767" s="63">
        <f t="shared" si="116"/>
        <v>1759</v>
      </c>
      <c r="B1767" s="64">
        <v>46149</v>
      </c>
      <c r="D1767" s="66" t="s">
        <v>58</v>
      </c>
      <c r="E1767" s="66" t="s">
        <v>58</v>
      </c>
      <c r="F1767" s="66" t="s">
        <v>985</v>
      </c>
      <c r="G1767" s="66" t="s">
        <v>1076</v>
      </c>
      <c r="H1767" s="66" t="s">
        <v>1079</v>
      </c>
      <c r="I1767" s="66" t="s">
        <v>358</v>
      </c>
      <c r="J1767" s="66" t="s">
        <v>356</v>
      </c>
      <c r="K1767" s="66" t="s">
        <v>747</v>
      </c>
      <c r="L1767" s="67">
        <v>236475</v>
      </c>
      <c r="M1767" s="67">
        <v>0</v>
      </c>
      <c r="N1767" s="68">
        <f t="shared" si="115"/>
        <v>236475</v>
      </c>
      <c r="O1767" s="69">
        <f t="shared" si="114"/>
        <v>236475</v>
      </c>
      <c r="P1767" s="42" t="str">
        <f>IFERROR(VLOOKUP(J1767,'Mã NV'!$B:$C,2,0),"")</f>
        <v>XE01616</v>
      </c>
      <c r="Q1767" s="70" t="str">
        <f>IFERROR(VLOOKUP(I1767,'Mã NV'!$J:$K,2,0),"")</f>
        <v>2.5T Lạnh</v>
      </c>
    </row>
    <row r="1768" customHeight="1" spans="1:17">
      <c r="A1768" s="63">
        <f t="shared" si="116"/>
        <v>1760</v>
      </c>
      <c r="B1768" s="64">
        <v>46149</v>
      </c>
      <c r="D1768" s="66" t="s">
        <v>58</v>
      </c>
      <c r="E1768" s="66" t="s">
        <v>58</v>
      </c>
      <c r="F1768" s="66" t="s">
        <v>985</v>
      </c>
      <c r="G1768" s="66" t="s">
        <v>1076</v>
      </c>
      <c r="H1768" s="66" t="s">
        <v>1093</v>
      </c>
      <c r="I1768" s="66" t="s">
        <v>57</v>
      </c>
      <c r="J1768" s="66" t="s">
        <v>55</v>
      </c>
      <c r="K1768" s="66" t="s">
        <v>747</v>
      </c>
      <c r="L1768" s="67">
        <v>228593</v>
      </c>
      <c r="M1768" s="67">
        <v>0</v>
      </c>
      <c r="N1768" s="68">
        <f t="shared" si="115"/>
        <v>228593</v>
      </c>
      <c r="O1768" s="69">
        <f t="shared" si="114"/>
        <v>228593</v>
      </c>
      <c r="P1768" s="42" t="str">
        <f>IFERROR(VLOOKUP(J1768,'Mã NV'!$B:$C,2,0),"")</f>
        <v>XE00768</v>
      </c>
      <c r="Q1768" s="70" t="str">
        <f>IFERROR(VLOOKUP(I1768,'Mã NV'!$J:$K,2,0),"")</f>
        <v>2.5T</v>
      </c>
    </row>
    <row r="1769" customHeight="1" spans="1:17">
      <c r="A1769" s="63">
        <f t="shared" si="116"/>
        <v>1761</v>
      </c>
      <c r="B1769" s="64">
        <v>46149</v>
      </c>
      <c r="D1769" s="66" t="s">
        <v>58</v>
      </c>
      <c r="E1769" s="66" t="s">
        <v>58</v>
      </c>
      <c r="F1769" s="66" t="s">
        <v>985</v>
      </c>
      <c r="G1769" s="66" t="s">
        <v>1076</v>
      </c>
      <c r="H1769" s="66" t="s">
        <v>1092</v>
      </c>
      <c r="I1769" s="66" t="s">
        <v>57</v>
      </c>
      <c r="J1769" s="66" t="s">
        <v>55</v>
      </c>
      <c r="K1769" s="66" t="s">
        <v>747</v>
      </c>
      <c r="L1769" s="67">
        <v>220710</v>
      </c>
      <c r="M1769" s="67">
        <v>0</v>
      </c>
      <c r="N1769" s="68">
        <f t="shared" si="115"/>
        <v>220710</v>
      </c>
      <c r="O1769" s="69">
        <f t="shared" si="114"/>
        <v>220710</v>
      </c>
      <c r="P1769" s="42" t="str">
        <f>IFERROR(VLOOKUP(J1769,'Mã NV'!$B:$C,2,0),"")</f>
        <v>XE00768</v>
      </c>
      <c r="Q1769" s="70" t="str">
        <f>IFERROR(VLOOKUP(I1769,'Mã NV'!$J:$K,2,0),"")</f>
        <v>2.5T</v>
      </c>
    </row>
    <row r="1770" customHeight="1" spans="1:17">
      <c r="A1770" s="63">
        <f t="shared" si="116"/>
        <v>1762</v>
      </c>
      <c r="B1770" s="64">
        <v>46149</v>
      </c>
      <c r="D1770" s="66" t="s">
        <v>58</v>
      </c>
      <c r="E1770" s="66" t="s">
        <v>58</v>
      </c>
      <c r="F1770" s="66" t="s">
        <v>985</v>
      </c>
      <c r="G1770" s="66" t="s">
        <v>1076</v>
      </c>
      <c r="H1770" s="66" t="s">
        <v>1091</v>
      </c>
      <c r="I1770" s="66" t="s">
        <v>57</v>
      </c>
      <c r="J1770" s="66" t="s">
        <v>55</v>
      </c>
      <c r="K1770" s="66" t="s">
        <v>747</v>
      </c>
      <c r="L1770" s="67">
        <v>291653</v>
      </c>
      <c r="M1770" s="67">
        <v>0</v>
      </c>
      <c r="N1770" s="68">
        <f t="shared" si="115"/>
        <v>291653</v>
      </c>
      <c r="O1770" s="69">
        <f t="shared" si="114"/>
        <v>291653</v>
      </c>
      <c r="P1770" s="42" t="str">
        <f>IFERROR(VLOOKUP(J1770,'Mã NV'!$B:$C,2,0),"")</f>
        <v>XE00768</v>
      </c>
      <c r="Q1770" s="70" t="str">
        <f>IFERROR(VLOOKUP(I1770,'Mã NV'!$J:$K,2,0),"")</f>
        <v>2.5T</v>
      </c>
    </row>
    <row r="1771" customHeight="1" spans="1:17">
      <c r="A1771" s="63">
        <f t="shared" si="116"/>
        <v>1763</v>
      </c>
      <c r="B1771" s="64">
        <v>46149</v>
      </c>
      <c r="D1771" s="66" t="s">
        <v>58</v>
      </c>
      <c r="E1771" s="66" t="s">
        <v>58</v>
      </c>
      <c r="F1771" s="66" t="s">
        <v>985</v>
      </c>
      <c r="G1771" s="66" t="s">
        <v>1076</v>
      </c>
      <c r="H1771" s="66" t="s">
        <v>1088</v>
      </c>
      <c r="I1771" s="66" t="s">
        <v>57</v>
      </c>
      <c r="J1771" s="66" t="s">
        <v>55</v>
      </c>
      <c r="K1771" s="66" t="s">
        <v>747</v>
      </c>
      <c r="L1771" s="67">
        <v>126120</v>
      </c>
      <c r="M1771" s="67">
        <v>0</v>
      </c>
      <c r="N1771" s="68">
        <f t="shared" si="115"/>
        <v>126120</v>
      </c>
      <c r="O1771" s="69">
        <f t="shared" si="114"/>
        <v>126120</v>
      </c>
      <c r="P1771" s="42" t="str">
        <f>IFERROR(VLOOKUP(J1771,'Mã NV'!$B:$C,2,0),"")</f>
        <v>XE00768</v>
      </c>
      <c r="Q1771" s="70" t="str">
        <f>IFERROR(VLOOKUP(I1771,'Mã NV'!$J:$K,2,0),"")</f>
        <v>2.5T</v>
      </c>
    </row>
    <row r="1772" customHeight="1" spans="1:17">
      <c r="A1772" s="63">
        <f t="shared" si="116"/>
        <v>1764</v>
      </c>
      <c r="B1772" s="64">
        <v>46149</v>
      </c>
      <c r="D1772" s="66" t="s">
        <v>58</v>
      </c>
      <c r="E1772" s="66" t="s">
        <v>58</v>
      </c>
      <c r="F1772" s="66" t="s">
        <v>985</v>
      </c>
      <c r="G1772" s="66" t="s">
        <v>1076</v>
      </c>
      <c r="H1772" s="66" t="s">
        <v>1099</v>
      </c>
      <c r="I1772" s="66" t="s">
        <v>403</v>
      </c>
      <c r="J1772" s="66" t="s">
        <v>401</v>
      </c>
      <c r="K1772" s="66" t="s">
        <v>747</v>
      </c>
      <c r="L1772" s="67">
        <v>136630</v>
      </c>
      <c r="M1772" s="67">
        <v>0</v>
      </c>
      <c r="N1772" s="68">
        <f t="shared" si="115"/>
        <v>136630</v>
      </c>
      <c r="O1772" s="69">
        <f t="shared" si="114"/>
        <v>136630</v>
      </c>
      <c r="P1772" s="42" t="str">
        <f>IFERROR(VLOOKUP(J1772,'Mã NV'!$B:$C,2,0),"")</f>
        <v>XE01466</v>
      </c>
      <c r="Q1772" s="70" t="str">
        <f>IFERROR(VLOOKUP(I1772,'Mã NV'!$J:$K,2,0),"")</f>
        <v>3.5T</v>
      </c>
    </row>
    <row r="1773" customHeight="1" spans="1:17">
      <c r="A1773" s="63">
        <f t="shared" si="116"/>
        <v>1765</v>
      </c>
      <c r="B1773" s="64">
        <v>46149</v>
      </c>
      <c r="D1773" s="66" t="s">
        <v>58</v>
      </c>
      <c r="E1773" s="66" t="s">
        <v>58</v>
      </c>
      <c r="F1773" s="66" t="s">
        <v>985</v>
      </c>
      <c r="G1773" s="66" t="s">
        <v>1076</v>
      </c>
      <c r="H1773" s="66" t="s">
        <v>1100</v>
      </c>
      <c r="I1773" s="66" t="s">
        <v>403</v>
      </c>
      <c r="J1773" s="66" t="s">
        <v>401</v>
      </c>
      <c r="K1773" s="66" t="s">
        <v>747</v>
      </c>
      <c r="L1773" s="67">
        <v>207573</v>
      </c>
      <c r="M1773" s="67">
        <v>0</v>
      </c>
      <c r="N1773" s="68">
        <f t="shared" si="115"/>
        <v>207573</v>
      </c>
      <c r="O1773" s="69">
        <f t="shared" si="114"/>
        <v>207573</v>
      </c>
      <c r="P1773" s="42" t="str">
        <f>IFERROR(VLOOKUP(J1773,'Mã NV'!$B:$C,2,0),"")</f>
        <v>XE01466</v>
      </c>
      <c r="Q1773" s="70" t="str">
        <f>IFERROR(VLOOKUP(I1773,'Mã NV'!$J:$K,2,0),"")</f>
        <v>3.5T</v>
      </c>
    </row>
    <row r="1774" customHeight="1" spans="1:17">
      <c r="A1774" s="63">
        <f t="shared" si="116"/>
        <v>1766</v>
      </c>
      <c r="B1774" s="64">
        <v>46149</v>
      </c>
      <c r="D1774" s="66" t="s">
        <v>58</v>
      </c>
      <c r="E1774" s="66" t="s">
        <v>58</v>
      </c>
      <c r="F1774" s="66" t="s">
        <v>985</v>
      </c>
      <c r="G1774" s="66" t="s">
        <v>1076</v>
      </c>
      <c r="H1774" s="66" t="s">
        <v>1101</v>
      </c>
      <c r="I1774" s="66" t="s">
        <v>403</v>
      </c>
      <c r="J1774" s="66" t="s">
        <v>401</v>
      </c>
      <c r="K1774" s="66" t="s">
        <v>747</v>
      </c>
      <c r="L1774" s="67">
        <v>249613</v>
      </c>
      <c r="M1774" s="67">
        <v>0</v>
      </c>
      <c r="N1774" s="68">
        <f t="shared" si="115"/>
        <v>249613</v>
      </c>
      <c r="O1774" s="69">
        <f t="shared" si="114"/>
        <v>249613</v>
      </c>
      <c r="P1774" s="42" t="str">
        <f>IFERROR(VLOOKUP(J1774,'Mã NV'!$B:$C,2,0),"")</f>
        <v>XE01466</v>
      </c>
      <c r="Q1774" s="70" t="str">
        <f>IFERROR(VLOOKUP(I1774,'Mã NV'!$J:$K,2,0),"")</f>
        <v>3.5T</v>
      </c>
    </row>
    <row r="1775" customHeight="1" spans="1:17">
      <c r="A1775" s="63">
        <f t="shared" si="116"/>
        <v>1767</v>
      </c>
      <c r="B1775" s="64">
        <v>46149</v>
      </c>
      <c r="D1775" s="66" t="s">
        <v>58</v>
      </c>
      <c r="E1775" s="66" t="s">
        <v>58</v>
      </c>
      <c r="F1775" s="66" t="s">
        <v>985</v>
      </c>
      <c r="G1775" s="66" t="s">
        <v>1076</v>
      </c>
      <c r="H1775" s="66" t="s">
        <v>1094</v>
      </c>
      <c r="I1775" s="66" t="s">
        <v>403</v>
      </c>
      <c r="J1775" s="66" t="s">
        <v>401</v>
      </c>
      <c r="K1775" s="66" t="s">
        <v>747</v>
      </c>
      <c r="L1775" s="67">
        <v>97218</v>
      </c>
      <c r="M1775" s="67">
        <v>0</v>
      </c>
      <c r="N1775" s="68">
        <f t="shared" si="115"/>
        <v>97218</v>
      </c>
      <c r="O1775" s="69">
        <f t="shared" si="114"/>
        <v>97218</v>
      </c>
      <c r="P1775" s="42" t="str">
        <f>IFERROR(VLOOKUP(J1775,'Mã NV'!$B:$C,2,0),"")</f>
        <v>XE01466</v>
      </c>
      <c r="Q1775" s="70" t="str">
        <f>IFERROR(VLOOKUP(I1775,'Mã NV'!$J:$K,2,0),"")</f>
        <v>3.5T</v>
      </c>
    </row>
    <row r="1776" customHeight="1" spans="1:17">
      <c r="A1776" s="63">
        <f t="shared" si="116"/>
        <v>1768</v>
      </c>
      <c r="B1776" s="64">
        <v>46149</v>
      </c>
      <c r="D1776" s="66" t="s">
        <v>58</v>
      </c>
      <c r="E1776" s="66" t="s">
        <v>58</v>
      </c>
      <c r="F1776" s="66" t="s">
        <v>985</v>
      </c>
      <c r="G1776" s="66" t="s">
        <v>1076</v>
      </c>
      <c r="H1776" s="66" t="s">
        <v>1090</v>
      </c>
      <c r="I1776" s="66" t="s">
        <v>403</v>
      </c>
      <c r="J1776" s="66" t="s">
        <v>401</v>
      </c>
      <c r="K1776" s="66" t="s">
        <v>747</v>
      </c>
      <c r="L1776" s="67">
        <v>320555</v>
      </c>
      <c r="M1776" s="67">
        <v>0</v>
      </c>
      <c r="N1776" s="68">
        <f t="shared" si="115"/>
        <v>320555</v>
      </c>
      <c r="O1776" s="69">
        <f t="shared" si="114"/>
        <v>320555</v>
      </c>
      <c r="P1776" s="42" t="str">
        <f>IFERROR(VLOOKUP(J1776,'Mã NV'!$B:$C,2,0),"")</f>
        <v>XE01466</v>
      </c>
      <c r="Q1776" s="70" t="str">
        <f>IFERROR(VLOOKUP(I1776,'Mã NV'!$J:$K,2,0),"")</f>
        <v>3.5T</v>
      </c>
    </row>
    <row r="1777" customHeight="1" spans="1:17">
      <c r="A1777" s="63">
        <f t="shared" si="116"/>
        <v>1769</v>
      </c>
      <c r="B1777" s="64">
        <v>46149</v>
      </c>
      <c r="D1777" s="66" t="s">
        <v>58</v>
      </c>
      <c r="E1777" s="66" t="s">
        <v>58</v>
      </c>
      <c r="F1777" s="66" t="s">
        <v>985</v>
      </c>
      <c r="G1777" s="66" t="s">
        <v>1076</v>
      </c>
      <c r="H1777" s="66" t="s">
        <v>1077</v>
      </c>
      <c r="I1777" s="66" t="s">
        <v>177</v>
      </c>
      <c r="J1777" s="66" t="s">
        <v>174</v>
      </c>
      <c r="K1777" s="66" t="s">
        <v>747</v>
      </c>
      <c r="L1777" s="67">
        <v>310045</v>
      </c>
      <c r="M1777" s="67">
        <v>0</v>
      </c>
      <c r="N1777" s="68">
        <f t="shared" si="115"/>
        <v>310045</v>
      </c>
      <c r="O1777" s="69">
        <f t="shared" si="114"/>
        <v>310045</v>
      </c>
      <c r="P1777" s="42" t="str">
        <f>IFERROR(VLOOKUP(J1777,'Mã NV'!$B:$C,2,0),"")</f>
        <v>XE00975</v>
      </c>
      <c r="Q1777" s="70" t="str">
        <f>IFERROR(VLOOKUP(I1777,'Mã NV'!$J:$K,2,0),"")</f>
        <v>2.5T Lạnh</v>
      </c>
    </row>
    <row r="1778" customHeight="1" spans="1:17">
      <c r="A1778" s="63">
        <f t="shared" si="116"/>
        <v>1770</v>
      </c>
      <c r="B1778" s="64">
        <v>46149</v>
      </c>
      <c r="D1778" s="66" t="s">
        <v>58</v>
      </c>
      <c r="E1778" s="66" t="s">
        <v>58</v>
      </c>
      <c r="F1778" s="66" t="s">
        <v>985</v>
      </c>
      <c r="G1778" s="66" t="s">
        <v>1076</v>
      </c>
      <c r="H1778" s="66" t="s">
        <v>1078</v>
      </c>
      <c r="I1778" s="66" t="s">
        <v>177</v>
      </c>
      <c r="J1778" s="66" t="s">
        <v>174</v>
      </c>
      <c r="K1778" s="66" t="s">
        <v>747</v>
      </c>
      <c r="L1778" s="67">
        <v>249613</v>
      </c>
      <c r="M1778" s="67">
        <v>0</v>
      </c>
      <c r="N1778" s="68">
        <f t="shared" si="115"/>
        <v>249613</v>
      </c>
      <c r="O1778" s="69">
        <f t="shared" si="114"/>
        <v>249613</v>
      </c>
      <c r="P1778" s="42" t="str">
        <f>IFERROR(VLOOKUP(J1778,'Mã NV'!$B:$C,2,0),"")</f>
        <v>XE00975</v>
      </c>
      <c r="Q1778" s="70" t="str">
        <f>IFERROR(VLOOKUP(I1778,'Mã NV'!$J:$K,2,0),"")</f>
        <v>2.5T Lạnh</v>
      </c>
    </row>
    <row r="1779" customHeight="1" spans="1:17">
      <c r="A1779" s="63">
        <f t="shared" si="116"/>
        <v>1771</v>
      </c>
      <c r="B1779" s="64">
        <v>46149</v>
      </c>
      <c r="D1779" s="66" t="s">
        <v>58</v>
      </c>
      <c r="E1779" s="66" t="s">
        <v>58</v>
      </c>
      <c r="F1779" s="66" t="s">
        <v>985</v>
      </c>
      <c r="G1779" s="66" t="s">
        <v>1076</v>
      </c>
      <c r="H1779" s="66" t="s">
        <v>1095</v>
      </c>
      <c r="I1779" s="66" t="s">
        <v>177</v>
      </c>
      <c r="J1779" s="66" t="s">
        <v>174</v>
      </c>
      <c r="K1779" s="66" t="s">
        <v>747</v>
      </c>
      <c r="L1779" s="67">
        <v>341575</v>
      </c>
      <c r="M1779" s="67">
        <v>0</v>
      </c>
      <c r="N1779" s="68">
        <f t="shared" si="115"/>
        <v>341575</v>
      </c>
      <c r="O1779" s="69">
        <f t="shared" ref="O1779:O1842" si="117">N1779/$P$1</f>
        <v>341575</v>
      </c>
      <c r="P1779" s="42" t="str">
        <f>IFERROR(VLOOKUP(J1779,'Mã NV'!$B:$C,2,0),"")</f>
        <v>XE00975</v>
      </c>
      <c r="Q1779" s="70" t="str">
        <f>IFERROR(VLOOKUP(I1779,'Mã NV'!$J:$K,2,0),"")</f>
        <v>2.5T Lạnh</v>
      </c>
    </row>
    <row r="1780" customHeight="1" spans="1:17">
      <c r="A1780" s="63">
        <f t="shared" si="116"/>
        <v>1772</v>
      </c>
      <c r="B1780" s="64">
        <v>46149</v>
      </c>
      <c r="D1780" s="66" t="s">
        <v>58</v>
      </c>
      <c r="E1780" s="66" t="s">
        <v>58</v>
      </c>
      <c r="F1780" s="66" t="s">
        <v>985</v>
      </c>
      <c r="G1780" s="66" t="s">
        <v>1076</v>
      </c>
      <c r="H1780" s="66" t="s">
        <v>1106</v>
      </c>
      <c r="I1780" s="66" t="s">
        <v>323</v>
      </c>
      <c r="J1780" s="66" t="s">
        <v>321</v>
      </c>
      <c r="K1780" s="66" t="s">
        <v>747</v>
      </c>
      <c r="L1780" s="67">
        <v>1061510</v>
      </c>
      <c r="M1780" s="67">
        <v>0</v>
      </c>
      <c r="N1780" s="68">
        <f t="shared" ref="N1780:N1843" si="118">L1780-M1780</f>
        <v>1061510</v>
      </c>
      <c r="O1780" s="69">
        <f t="shared" si="117"/>
        <v>1061510</v>
      </c>
      <c r="P1780" s="42" t="str">
        <f>IFERROR(VLOOKUP(J1780,'Mã NV'!$B:$C,2,0),"")</f>
        <v>XE01537</v>
      </c>
      <c r="Q1780" s="70" t="str">
        <f>IFERROR(VLOOKUP(I1780,'Mã NV'!$J:$K,2,0),"")</f>
        <v>2.5T</v>
      </c>
    </row>
    <row r="1781" customHeight="1" spans="1:17">
      <c r="A1781" s="63">
        <f t="shared" si="116"/>
        <v>1773</v>
      </c>
      <c r="B1781" s="64">
        <v>46150</v>
      </c>
      <c r="D1781" s="66" t="s">
        <v>58</v>
      </c>
      <c r="E1781" s="66" t="s">
        <v>58</v>
      </c>
      <c r="F1781" s="66" t="s">
        <v>985</v>
      </c>
      <c r="G1781" s="66" t="s">
        <v>1076</v>
      </c>
      <c r="H1781" s="66" t="s">
        <v>1080</v>
      </c>
      <c r="I1781" s="66" t="s">
        <v>57</v>
      </c>
      <c r="J1781" s="66" t="s">
        <v>55</v>
      </c>
      <c r="K1781" s="66" t="s">
        <v>747</v>
      </c>
      <c r="L1781" s="67">
        <v>207960</v>
      </c>
      <c r="M1781" s="67">
        <v>0</v>
      </c>
      <c r="N1781" s="68">
        <f t="shared" si="118"/>
        <v>207960</v>
      </c>
      <c r="O1781" s="69">
        <f t="shared" si="117"/>
        <v>207960</v>
      </c>
      <c r="P1781" s="42" t="str">
        <f>IFERROR(VLOOKUP(J1781,'Mã NV'!$B:$C,2,0),"")</f>
        <v>XE00768</v>
      </c>
      <c r="Q1781" s="70" t="str">
        <f>IFERROR(VLOOKUP(I1781,'Mã NV'!$J:$K,2,0),"")</f>
        <v>2.5T</v>
      </c>
    </row>
    <row r="1782" customHeight="1" spans="1:17">
      <c r="A1782" s="63">
        <f t="shared" si="116"/>
        <v>1774</v>
      </c>
      <c r="B1782" s="64">
        <v>46150</v>
      </c>
      <c r="D1782" s="66" t="s">
        <v>58</v>
      </c>
      <c r="E1782" s="66" t="s">
        <v>58</v>
      </c>
      <c r="F1782" s="66" t="s">
        <v>985</v>
      </c>
      <c r="G1782" s="66" t="s">
        <v>1076</v>
      </c>
      <c r="H1782" s="66" t="s">
        <v>1081</v>
      </c>
      <c r="I1782" s="66" t="s">
        <v>57</v>
      </c>
      <c r="J1782" s="66" t="s">
        <v>55</v>
      </c>
      <c r="K1782" s="66" t="s">
        <v>747</v>
      </c>
      <c r="L1782" s="67">
        <v>226157</v>
      </c>
      <c r="M1782" s="67">
        <v>0</v>
      </c>
      <c r="N1782" s="68">
        <f t="shared" si="118"/>
        <v>226157</v>
      </c>
      <c r="O1782" s="69">
        <f t="shared" si="117"/>
        <v>226157</v>
      </c>
      <c r="P1782" s="42" t="str">
        <f>IFERROR(VLOOKUP(J1782,'Mã NV'!$B:$C,2,0),"")</f>
        <v>XE00768</v>
      </c>
      <c r="Q1782" s="70" t="str">
        <f>IFERROR(VLOOKUP(I1782,'Mã NV'!$J:$K,2,0),"")</f>
        <v>2.5T</v>
      </c>
    </row>
    <row r="1783" customHeight="1" spans="1:17">
      <c r="A1783" s="63">
        <f t="shared" si="116"/>
        <v>1775</v>
      </c>
      <c r="B1783" s="64">
        <v>46150</v>
      </c>
      <c r="D1783" s="66" t="s">
        <v>58</v>
      </c>
      <c r="E1783" s="66" t="s">
        <v>58</v>
      </c>
      <c r="F1783" s="66" t="s">
        <v>985</v>
      </c>
      <c r="G1783" s="66" t="s">
        <v>1076</v>
      </c>
      <c r="H1783" s="66" t="s">
        <v>1082</v>
      </c>
      <c r="I1783" s="66" t="s">
        <v>57</v>
      </c>
      <c r="J1783" s="66" t="s">
        <v>55</v>
      </c>
      <c r="K1783" s="66" t="s">
        <v>747</v>
      </c>
      <c r="L1783" s="67">
        <v>278147</v>
      </c>
      <c r="M1783" s="67">
        <v>0</v>
      </c>
      <c r="N1783" s="68">
        <f t="shared" si="118"/>
        <v>278147</v>
      </c>
      <c r="O1783" s="69">
        <f t="shared" si="117"/>
        <v>278147</v>
      </c>
      <c r="P1783" s="42" t="str">
        <f>IFERROR(VLOOKUP(J1783,'Mã NV'!$B:$C,2,0),"")</f>
        <v>XE00768</v>
      </c>
      <c r="Q1783" s="70" t="str">
        <f>IFERROR(VLOOKUP(I1783,'Mã NV'!$J:$K,2,0),"")</f>
        <v>2.5T</v>
      </c>
    </row>
    <row r="1784" customHeight="1" spans="1:17">
      <c r="A1784" s="63">
        <f t="shared" si="116"/>
        <v>1776</v>
      </c>
      <c r="B1784" s="64">
        <v>46150</v>
      </c>
      <c r="D1784" s="66" t="s">
        <v>58</v>
      </c>
      <c r="E1784" s="66" t="s">
        <v>58</v>
      </c>
      <c r="F1784" s="66" t="s">
        <v>985</v>
      </c>
      <c r="G1784" s="66" t="s">
        <v>1076</v>
      </c>
      <c r="H1784" s="66" t="s">
        <v>1083</v>
      </c>
      <c r="I1784" s="66" t="s">
        <v>57</v>
      </c>
      <c r="J1784" s="66" t="s">
        <v>55</v>
      </c>
      <c r="K1784" s="66" t="s">
        <v>747</v>
      </c>
      <c r="L1784" s="67">
        <v>189764</v>
      </c>
      <c r="M1784" s="67">
        <v>0</v>
      </c>
      <c r="N1784" s="68">
        <f t="shared" si="118"/>
        <v>189764</v>
      </c>
      <c r="O1784" s="69">
        <f t="shared" si="117"/>
        <v>189764</v>
      </c>
      <c r="P1784" s="42" t="str">
        <f>IFERROR(VLOOKUP(J1784,'Mã NV'!$B:$C,2,0),"")</f>
        <v>XE00768</v>
      </c>
      <c r="Q1784" s="70" t="str">
        <f>IFERROR(VLOOKUP(I1784,'Mã NV'!$J:$K,2,0),"")</f>
        <v>2.5T</v>
      </c>
    </row>
    <row r="1785" customHeight="1" spans="1:17">
      <c r="A1785" s="63">
        <f t="shared" si="116"/>
        <v>1777</v>
      </c>
      <c r="B1785" s="64">
        <v>46150</v>
      </c>
      <c r="D1785" s="66" t="s">
        <v>58</v>
      </c>
      <c r="E1785" s="66" t="s">
        <v>58</v>
      </c>
      <c r="F1785" s="66" t="s">
        <v>985</v>
      </c>
      <c r="G1785" s="66" t="s">
        <v>1076</v>
      </c>
      <c r="H1785" s="66" t="s">
        <v>1089</v>
      </c>
      <c r="I1785" s="66" t="s">
        <v>403</v>
      </c>
      <c r="J1785" s="66" t="s">
        <v>401</v>
      </c>
      <c r="K1785" s="66" t="s">
        <v>747</v>
      </c>
      <c r="L1785" s="67">
        <v>236555</v>
      </c>
      <c r="M1785" s="67">
        <v>0</v>
      </c>
      <c r="N1785" s="68">
        <f t="shared" si="118"/>
        <v>236555</v>
      </c>
      <c r="O1785" s="69">
        <f t="shared" si="117"/>
        <v>236555</v>
      </c>
      <c r="P1785" s="42" t="str">
        <f>IFERROR(VLOOKUP(J1785,'Mã NV'!$B:$C,2,0),"")</f>
        <v>XE01466</v>
      </c>
      <c r="Q1785" s="70" t="str">
        <f>IFERROR(VLOOKUP(I1785,'Mã NV'!$J:$K,2,0),"")</f>
        <v>3.5T</v>
      </c>
    </row>
    <row r="1786" customHeight="1" spans="1:17">
      <c r="A1786" s="63">
        <f t="shared" si="116"/>
        <v>1778</v>
      </c>
      <c r="B1786" s="64">
        <v>46150</v>
      </c>
      <c r="D1786" s="66" t="s">
        <v>58</v>
      </c>
      <c r="E1786" s="66" t="s">
        <v>58</v>
      </c>
      <c r="F1786" s="66" t="s">
        <v>985</v>
      </c>
      <c r="G1786" s="66" t="s">
        <v>1076</v>
      </c>
      <c r="H1786" s="66" t="s">
        <v>1091</v>
      </c>
      <c r="I1786" s="66" t="s">
        <v>403</v>
      </c>
      <c r="J1786" s="66" t="s">
        <v>401</v>
      </c>
      <c r="K1786" s="66" t="s">
        <v>747</v>
      </c>
      <c r="L1786" s="67">
        <v>210560</v>
      </c>
      <c r="M1786" s="67">
        <v>0</v>
      </c>
      <c r="N1786" s="68">
        <f t="shared" si="118"/>
        <v>210560</v>
      </c>
      <c r="O1786" s="69">
        <f t="shared" si="117"/>
        <v>210560</v>
      </c>
      <c r="P1786" s="42" t="str">
        <f>IFERROR(VLOOKUP(J1786,'Mã NV'!$B:$C,2,0),"")</f>
        <v>XE01466</v>
      </c>
      <c r="Q1786" s="70" t="str">
        <f>IFERROR(VLOOKUP(I1786,'Mã NV'!$J:$K,2,0),"")</f>
        <v>3.5T</v>
      </c>
    </row>
    <row r="1787" customHeight="1" spans="1:17">
      <c r="A1787" s="63">
        <f t="shared" si="116"/>
        <v>1779</v>
      </c>
      <c r="B1787" s="64">
        <v>46150</v>
      </c>
      <c r="D1787" s="66" t="s">
        <v>58</v>
      </c>
      <c r="E1787" s="66" t="s">
        <v>58</v>
      </c>
      <c r="F1787" s="66" t="s">
        <v>985</v>
      </c>
      <c r="G1787" s="66" t="s">
        <v>1076</v>
      </c>
      <c r="H1787" s="66" t="s">
        <v>1096</v>
      </c>
      <c r="I1787" s="66" t="s">
        <v>403</v>
      </c>
      <c r="J1787" s="66" t="s">
        <v>401</v>
      </c>
      <c r="K1787" s="66" t="s">
        <v>747</v>
      </c>
      <c r="L1787" s="67">
        <v>187164</v>
      </c>
      <c r="M1787" s="67">
        <v>0</v>
      </c>
      <c r="N1787" s="68">
        <f t="shared" si="118"/>
        <v>187164</v>
      </c>
      <c r="O1787" s="69">
        <f t="shared" si="117"/>
        <v>187164</v>
      </c>
      <c r="P1787" s="42" t="str">
        <f>IFERROR(VLOOKUP(J1787,'Mã NV'!$B:$C,2,0),"")</f>
        <v>XE01466</v>
      </c>
      <c r="Q1787" s="70" t="str">
        <f>IFERROR(VLOOKUP(I1787,'Mã NV'!$J:$K,2,0),"")</f>
        <v>3.5T</v>
      </c>
    </row>
    <row r="1788" customHeight="1" spans="1:17">
      <c r="A1788" s="63">
        <f t="shared" si="116"/>
        <v>1780</v>
      </c>
      <c r="B1788" s="64">
        <v>46150</v>
      </c>
      <c r="D1788" s="66" t="s">
        <v>58</v>
      </c>
      <c r="E1788" s="66" t="s">
        <v>58</v>
      </c>
      <c r="F1788" s="66" t="s">
        <v>985</v>
      </c>
      <c r="G1788" s="66" t="s">
        <v>1076</v>
      </c>
      <c r="H1788" s="66" t="s">
        <v>1097</v>
      </c>
      <c r="I1788" s="66" t="s">
        <v>403</v>
      </c>
      <c r="J1788" s="66" t="s">
        <v>401</v>
      </c>
      <c r="K1788" s="66" t="s">
        <v>747</v>
      </c>
      <c r="L1788" s="67">
        <v>220958</v>
      </c>
      <c r="M1788" s="67">
        <v>0</v>
      </c>
      <c r="N1788" s="68">
        <f t="shared" si="118"/>
        <v>220958</v>
      </c>
      <c r="O1788" s="69">
        <f t="shared" si="117"/>
        <v>220958</v>
      </c>
      <c r="P1788" s="42" t="str">
        <f>IFERROR(VLOOKUP(J1788,'Mã NV'!$B:$C,2,0),"")</f>
        <v>XE01466</v>
      </c>
      <c r="Q1788" s="70" t="str">
        <f>IFERROR(VLOOKUP(I1788,'Mã NV'!$J:$K,2,0),"")</f>
        <v>3.5T</v>
      </c>
    </row>
    <row r="1789" customHeight="1" spans="1:17">
      <c r="A1789" s="63">
        <f t="shared" si="116"/>
        <v>1781</v>
      </c>
      <c r="B1789" s="64">
        <v>46150</v>
      </c>
      <c r="D1789" s="66" t="s">
        <v>58</v>
      </c>
      <c r="E1789" s="66" t="s">
        <v>58</v>
      </c>
      <c r="F1789" s="66" t="s">
        <v>985</v>
      </c>
      <c r="G1789" s="66" t="s">
        <v>1076</v>
      </c>
      <c r="H1789" s="66" t="s">
        <v>1098</v>
      </c>
      <c r="I1789" s="66" t="s">
        <v>403</v>
      </c>
      <c r="J1789" s="66" t="s">
        <v>401</v>
      </c>
      <c r="K1789" s="66" t="s">
        <v>747</v>
      </c>
      <c r="L1789" s="67">
        <v>140373</v>
      </c>
      <c r="M1789" s="67">
        <v>0</v>
      </c>
      <c r="N1789" s="68">
        <f t="shared" si="118"/>
        <v>140373</v>
      </c>
      <c r="O1789" s="69">
        <f t="shared" si="117"/>
        <v>140373</v>
      </c>
      <c r="P1789" s="42" t="str">
        <f>IFERROR(VLOOKUP(J1789,'Mã NV'!$B:$C,2,0),"")</f>
        <v>XE01466</v>
      </c>
      <c r="Q1789" s="70" t="str">
        <f>IFERROR(VLOOKUP(I1789,'Mã NV'!$J:$K,2,0),"")</f>
        <v>3.5T</v>
      </c>
    </row>
    <row r="1790" customHeight="1" spans="1:17">
      <c r="A1790" s="63">
        <f t="shared" si="116"/>
        <v>1782</v>
      </c>
      <c r="B1790" s="64">
        <v>46150</v>
      </c>
      <c r="D1790" s="66" t="s">
        <v>58</v>
      </c>
      <c r="E1790" s="66" t="s">
        <v>58</v>
      </c>
      <c r="F1790" s="66" t="s">
        <v>985</v>
      </c>
      <c r="G1790" s="66" t="s">
        <v>1076</v>
      </c>
      <c r="H1790" s="66" t="s">
        <v>1101</v>
      </c>
      <c r="I1790" s="66" t="s">
        <v>177</v>
      </c>
      <c r="J1790" s="66" t="s">
        <v>174</v>
      </c>
      <c r="K1790" s="66" t="s">
        <v>747</v>
      </c>
      <c r="L1790" s="67">
        <v>223557</v>
      </c>
      <c r="M1790" s="67">
        <v>0</v>
      </c>
      <c r="N1790" s="68">
        <f t="shared" si="118"/>
        <v>223557</v>
      </c>
      <c r="O1790" s="69">
        <f t="shared" si="117"/>
        <v>223557</v>
      </c>
      <c r="P1790" s="42" t="str">
        <f>IFERROR(VLOOKUP(J1790,'Mã NV'!$B:$C,2,0),"")</f>
        <v>XE00975</v>
      </c>
      <c r="Q1790" s="70" t="str">
        <f>IFERROR(VLOOKUP(I1790,'Mã NV'!$J:$K,2,0),"")</f>
        <v>2.5T Lạnh</v>
      </c>
    </row>
    <row r="1791" customHeight="1" spans="1:17">
      <c r="A1791" s="63">
        <f t="shared" si="116"/>
        <v>1783</v>
      </c>
      <c r="B1791" s="64">
        <v>46150</v>
      </c>
      <c r="D1791" s="66" t="s">
        <v>58</v>
      </c>
      <c r="E1791" s="66" t="s">
        <v>58</v>
      </c>
      <c r="F1791" s="66" t="s">
        <v>985</v>
      </c>
      <c r="G1791" s="66" t="s">
        <v>1076</v>
      </c>
      <c r="H1791" s="66" t="s">
        <v>1084</v>
      </c>
      <c r="I1791" s="66" t="s">
        <v>177</v>
      </c>
      <c r="J1791" s="66" t="s">
        <v>174</v>
      </c>
      <c r="K1791" s="66" t="s">
        <v>747</v>
      </c>
      <c r="L1791" s="67">
        <v>280746</v>
      </c>
      <c r="M1791" s="67">
        <v>0</v>
      </c>
      <c r="N1791" s="68">
        <f t="shared" si="118"/>
        <v>280746</v>
      </c>
      <c r="O1791" s="69">
        <f t="shared" si="117"/>
        <v>280746</v>
      </c>
      <c r="P1791" s="42" t="str">
        <f>IFERROR(VLOOKUP(J1791,'Mã NV'!$B:$C,2,0),"")</f>
        <v>XE00975</v>
      </c>
      <c r="Q1791" s="70" t="str">
        <f>IFERROR(VLOOKUP(I1791,'Mã NV'!$J:$K,2,0),"")</f>
        <v>2.5T Lạnh</v>
      </c>
    </row>
    <row r="1792" customHeight="1" spans="1:17">
      <c r="A1792" s="63">
        <f t="shared" si="116"/>
        <v>1784</v>
      </c>
      <c r="B1792" s="64">
        <v>46150</v>
      </c>
      <c r="D1792" s="66" t="s">
        <v>58</v>
      </c>
      <c r="E1792" s="66" t="s">
        <v>58</v>
      </c>
      <c r="F1792" s="66" t="s">
        <v>985</v>
      </c>
      <c r="G1792" s="66" t="s">
        <v>1076</v>
      </c>
      <c r="H1792" s="66" t="s">
        <v>1085</v>
      </c>
      <c r="I1792" s="66" t="s">
        <v>177</v>
      </c>
      <c r="J1792" s="66" t="s">
        <v>174</v>
      </c>
      <c r="K1792" s="66" t="s">
        <v>747</v>
      </c>
      <c r="L1792" s="67">
        <v>150771</v>
      </c>
      <c r="M1792" s="67">
        <v>0</v>
      </c>
      <c r="N1792" s="68">
        <f t="shared" si="118"/>
        <v>150771</v>
      </c>
      <c r="O1792" s="69">
        <f t="shared" si="117"/>
        <v>150771</v>
      </c>
      <c r="P1792" s="42" t="str">
        <f>IFERROR(VLOOKUP(J1792,'Mã NV'!$B:$C,2,0),"")</f>
        <v>XE00975</v>
      </c>
      <c r="Q1792" s="70" t="str">
        <f>IFERROR(VLOOKUP(I1792,'Mã NV'!$J:$K,2,0),"")</f>
        <v>2.5T Lạnh</v>
      </c>
    </row>
    <row r="1793" customHeight="1" spans="1:17">
      <c r="A1793" s="63">
        <f t="shared" si="116"/>
        <v>1785</v>
      </c>
      <c r="B1793" s="64">
        <v>46150</v>
      </c>
      <c r="D1793" s="66" t="s">
        <v>58</v>
      </c>
      <c r="E1793" s="66" t="s">
        <v>58</v>
      </c>
      <c r="F1793" s="66" t="s">
        <v>985</v>
      </c>
      <c r="G1793" s="66" t="s">
        <v>1076</v>
      </c>
      <c r="H1793" s="66" t="s">
        <v>1087</v>
      </c>
      <c r="I1793" s="66" t="s">
        <v>177</v>
      </c>
      <c r="J1793" s="66" t="s">
        <v>174</v>
      </c>
      <c r="K1793" s="66" t="s">
        <v>747</v>
      </c>
      <c r="L1793" s="67">
        <v>129975</v>
      </c>
      <c r="M1793" s="67">
        <v>0</v>
      </c>
      <c r="N1793" s="68">
        <f t="shared" si="118"/>
        <v>129975</v>
      </c>
      <c r="O1793" s="69">
        <f t="shared" si="117"/>
        <v>129975</v>
      </c>
      <c r="P1793" s="42" t="str">
        <f>IFERROR(VLOOKUP(J1793,'Mã NV'!$B:$C,2,0),"")</f>
        <v>XE00975</v>
      </c>
      <c r="Q1793" s="70" t="str">
        <f>IFERROR(VLOOKUP(I1793,'Mã NV'!$J:$K,2,0),"")</f>
        <v>2.5T Lạnh</v>
      </c>
    </row>
    <row r="1794" customHeight="1" spans="1:17">
      <c r="A1794" s="63">
        <f t="shared" si="116"/>
        <v>1786</v>
      </c>
      <c r="B1794" s="64">
        <v>46150</v>
      </c>
      <c r="D1794" s="66" t="s">
        <v>58</v>
      </c>
      <c r="E1794" s="66" t="s">
        <v>58</v>
      </c>
      <c r="F1794" s="66" t="s">
        <v>985</v>
      </c>
      <c r="G1794" s="66" t="s">
        <v>1076</v>
      </c>
      <c r="H1794" s="66" t="s">
        <v>1104</v>
      </c>
      <c r="I1794" s="66" t="s">
        <v>323</v>
      </c>
      <c r="J1794" s="66" t="s">
        <v>321</v>
      </c>
      <c r="K1794" s="66" t="s">
        <v>747</v>
      </c>
      <c r="L1794" s="67">
        <v>280746</v>
      </c>
      <c r="M1794" s="67">
        <v>0</v>
      </c>
      <c r="N1794" s="68">
        <f t="shared" si="118"/>
        <v>280746</v>
      </c>
      <c r="O1794" s="69">
        <f t="shared" si="117"/>
        <v>280746</v>
      </c>
      <c r="P1794" s="42" t="str">
        <f>IFERROR(VLOOKUP(J1794,'Mã NV'!$B:$C,2,0),"")</f>
        <v>XE01537</v>
      </c>
      <c r="Q1794" s="70" t="str">
        <f>IFERROR(VLOOKUP(I1794,'Mã NV'!$J:$K,2,0),"")</f>
        <v>2.5T</v>
      </c>
    </row>
    <row r="1795" customHeight="1" spans="1:17">
      <c r="A1795" s="63">
        <f t="shared" si="116"/>
        <v>1787</v>
      </c>
      <c r="B1795" s="64">
        <v>46150</v>
      </c>
      <c r="D1795" s="66" t="s">
        <v>58</v>
      </c>
      <c r="E1795" s="66" t="s">
        <v>58</v>
      </c>
      <c r="F1795" s="66" t="s">
        <v>985</v>
      </c>
      <c r="G1795" s="66" t="s">
        <v>1076</v>
      </c>
      <c r="H1795" s="66" t="s">
        <v>1102</v>
      </c>
      <c r="I1795" s="66" t="s">
        <v>323</v>
      </c>
      <c r="J1795" s="66" t="s">
        <v>321</v>
      </c>
      <c r="K1795" s="66" t="s">
        <v>747</v>
      </c>
      <c r="L1795" s="67">
        <v>218358</v>
      </c>
      <c r="M1795" s="67">
        <v>0</v>
      </c>
      <c r="N1795" s="68">
        <f t="shared" si="118"/>
        <v>218358</v>
      </c>
      <c r="O1795" s="69">
        <f t="shared" si="117"/>
        <v>218358</v>
      </c>
      <c r="P1795" s="42" t="str">
        <f>IFERROR(VLOOKUP(J1795,'Mã NV'!$B:$C,2,0),"")</f>
        <v>XE01537</v>
      </c>
      <c r="Q1795" s="70" t="str">
        <f>IFERROR(VLOOKUP(I1795,'Mã NV'!$J:$K,2,0),"")</f>
        <v>2.5T</v>
      </c>
    </row>
    <row r="1796" customHeight="1" spans="1:17">
      <c r="A1796" s="63">
        <f t="shared" si="116"/>
        <v>1788</v>
      </c>
      <c r="B1796" s="64">
        <v>46150</v>
      </c>
      <c r="D1796" s="66" t="s">
        <v>58</v>
      </c>
      <c r="E1796" s="66" t="s">
        <v>58</v>
      </c>
      <c r="F1796" s="66" t="s">
        <v>985</v>
      </c>
      <c r="G1796" s="66" t="s">
        <v>1076</v>
      </c>
      <c r="H1796" s="66" t="s">
        <v>1103</v>
      </c>
      <c r="I1796" s="66" t="s">
        <v>323</v>
      </c>
      <c r="J1796" s="66" t="s">
        <v>321</v>
      </c>
      <c r="K1796" s="66" t="s">
        <v>747</v>
      </c>
      <c r="L1796" s="67">
        <v>57189</v>
      </c>
      <c r="M1796" s="67">
        <v>0</v>
      </c>
      <c r="N1796" s="68">
        <f t="shared" si="118"/>
        <v>57189</v>
      </c>
      <c r="O1796" s="69">
        <f t="shared" si="117"/>
        <v>57189</v>
      </c>
      <c r="P1796" s="42" t="str">
        <f>IFERROR(VLOOKUP(J1796,'Mã NV'!$B:$C,2,0),"")</f>
        <v>XE01537</v>
      </c>
      <c r="Q1796" s="70" t="str">
        <f>IFERROR(VLOOKUP(I1796,'Mã NV'!$J:$K,2,0),"")</f>
        <v>2.5T</v>
      </c>
    </row>
    <row r="1797" customHeight="1" spans="1:17">
      <c r="A1797" s="63">
        <f t="shared" si="116"/>
        <v>1789</v>
      </c>
      <c r="B1797" s="64">
        <v>46150</v>
      </c>
      <c r="D1797" s="66" t="s">
        <v>58</v>
      </c>
      <c r="E1797" s="66" t="s">
        <v>58</v>
      </c>
      <c r="F1797" s="66" t="s">
        <v>985</v>
      </c>
      <c r="G1797" s="66" t="s">
        <v>1076</v>
      </c>
      <c r="H1797" s="66" t="s">
        <v>1086</v>
      </c>
      <c r="I1797" s="66" t="s">
        <v>323</v>
      </c>
      <c r="J1797" s="66" t="s">
        <v>321</v>
      </c>
      <c r="K1797" s="66" t="s">
        <v>747</v>
      </c>
      <c r="L1797" s="67">
        <v>111779</v>
      </c>
      <c r="M1797" s="67">
        <v>0</v>
      </c>
      <c r="N1797" s="68">
        <f t="shared" si="118"/>
        <v>111779</v>
      </c>
      <c r="O1797" s="69">
        <f t="shared" si="117"/>
        <v>111779</v>
      </c>
      <c r="P1797" s="42" t="str">
        <f>IFERROR(VLOOKUP(J1797,'Mã NV'!$B:$C,2,0),"")</f>
        <v>XE01537</v>
      </c>
      <c r="Q1797" s="70" t="str">
        <f>IFERROR(VLOOKUP(I1797,'Mã NV'!$J:$K,2,0),"")</f>
        <v>2.5T</v>
      </c>
    </row>
    <row r="1798" customHeight="1" spans="1:17">
      <c r="A1798" s="63">
        <f t="shared" si="116"/>
        <v>1790</v>
      </c>
      <c r="B1798" s="64">
        <v>46150</v>
      </c>
      <c r="D1798" s="66" t="s">
        <v>58</v>
      </c>
      <c r="E1798" s="66" t="s">
        <v>58</v>
      </c>
      <c r="F1798" s="66" t="s">
        <v>985</v>
      </c>
      <c r="G1798" s="66" t="s">
        <v>1076</v>
      </c>
      <c r="H1798" s="66" t="s">
        <v>1088</v>
      </c>
      <c r="I1798" s="66" t="s">
        <v>57</v>
      </c>
      <c r="J1798" s="66" t="s">
        <v>55</v>
      </c>
      <c r="K1798" s="66" t="s">
        <v>747</v>
      </c>
      <c r="L1798" s="67">
        <v>278147</v>
      </c>
      <c r="M1798" s="67">
        <v>0</v>
      </c>
      <c r="N1798" s="68">
        <f t="shared" si="118"/>
        <v>278147</v>
      </c>
      <c r="O1798" s="69">
        <f t="shared" si="117"/>
        <v>278147</v>
      </c>
      <c r="P1798" s="42" t="str">
        <f>IFERROR(VLOOKUP(J1798,'Mã NV'!$B:$C,2,0),"")</f>
        <v>XE00768</v>
      </c>
      <c r="Q1798" s="70" t="str">
        <f>IFERROR(VLOOKUP(I1798,'Mã NV'!$J:$K,2,0),"")</f>
        <v>2.5T</v>
      </c>
    </row>
    <row r="1799" customHeight="1" spans="1:17">
      <c r="A1799" s="63">
        <f t="shared" si="116"/>
        <v>1791</v>
      </c>
      <c r="B1799" s="64">
        <v>46150</v>
      </c>
      <c r="D1799" s="66" t="s">
        <v>58</v>
      </c>
      <c r="E1799" s="66" t="s">
        <v>58</v>
      </c>
      <c r="F1799" s="66" t="s">
        <v>985</v>
      </c>
      <c r="G1799" s="66" t="s">
        <v>1076</v>
      </c>
      <c r="H1799" s="66" t="s">
        <v>1092</v>
      </c>
      <c r="I1799" s="66" t="s">
        <v>57</v>
      </c>
      <c r="J1799" s="66" t="s">
        <v>55</v>
      </c>
      <c r="K1799" s="66" t="s">
        <v>747</v>
      </c>
      <c r="L1799" s="67">
        <v>335336</v>
      </c>
      <c r="M1799" s="67">
        <v>0</v>
      </c>
      <c r="N1799" s="68">
        <f t="shared" si="118"/>
        <v>335336</v>
      </c>
      <c r="O1799" s="69">
        <f t="shared" si="117"/>
        <v>335336</v>
      </c>
      <c r="P1799" s="42" t="str">
        <f>IFERROR(VLOOKUP(J1799,'Mã NV'!$B:$C,2,0),"")</f>
        <v>XE00768</v>
      </c>
      <c r="Q1799" s="70" t="str">
        <f>IFERROR(VLOOKUP(I1799,'Mã NV'!$J:$K,2,0),"")</f>
        <v>2.5T</v>
      </c>
    </row>
    <row r="1800" customHeight="1" spans="1:17">
      <c r="A1800" s="63">
        <f t="shared" si="116"/>
        <v>1792</v>
      </c>
      <c r="B1800" s="64">
        <v>46150</v>
      </c>
      <c r="D1800" s="66" t="s">
        <v>58</v>
      </c>
      <c r="E1800" s="66" t="s">
        <v>58</v>
      </c>
      <c r="F1800" s="66" t="s">
        <v>985</v>
      </c>
      <c r="G1800" s="66" t="s">
        <v>1076</v>
      </c>
      <c r="H1800" s="66" t="s">
        <v>1090</v>
      </c>
      <c r="I1800" s="66" t="s">
        <v>57</v>
      </c>
      <c r="J1800" s="66" t="s">
        <v>55</v>
      </c>
      <c r="K1800" s="66" t="s">
        <v>747</v>
      </c>
      <c r="L1800" s="67">
        <v>392525</v>
      </c>
      <c r="M1800" s="67">
        <v>0</v>
      </c>
      <c r="N1800" s="68">
        <f t="shared" si="118"/>
        <v>392525</v>
      </c>
      <c r="O1800" s="69">
        <f t="shared" si="117"/>
        <v>392525</v>
      </c>
      <c r="P1800" s="42" t="str">
        <f>IFERROR(VLOOKUP(J1800,'Mã NV'!$B:$C,2,0),"")</f>
        <v>XE00768</v>
      </c>
      <c r="Q1800" s="70" t="str">
        <f>IFERROR(VLOOKUP(I1800,'Mã NV'!$J:$K,2,0),"")</f>
        <v>2.5T</v>
      </c>
    </row>
    <row r="1801" customHeight="1" spans="1:17">
      <c r="A1801" s="63">
        <f t="shared" si="116"/>
        <v>1793</v>
      </c>
      <c r="B1801" s="64">
        <v>46150</v>
      </c>
      <c r="D1801" s="66" t="s">
        <v>58</v>
      </c>
      <c r="E1801" s="66" t="s">
        <v>58</v>
      </c>
      <c r="F1801" s="66" t="s">
        <v>985</v>
      </c>
      <c r="G1801" s="66" t="s">
        <v>1076</v>
      </c>
      <c r="H1801" s="66" t="s">
        <v>1099</v>
      </c>
      <c r="I1801" s="66" t="s">
        <v>403</v>
      </c>
      <c r="J1801" s="66" t="s">
        <v>401</v>
      </c>
      <c r="K1801" s="66" t="s">
        <v>747</v>
      </c>
      <c r="L1801" s="67">
        <v>171567</v>
      </c>
      <c r="M1801" s="67">
        <v>0</v>
      </c>
      <c r="N1801" s="68">
        <f t="shared" si="118"/>
        <v>171567</v>
      </c>
      <c r="O1801" s="69">
        <f t="shared" si="117"/>
        <v>171567</v>
      </c>
      <c r="P1801" s="42" t="str">
        <f>IFERROR(VLOOKUP(J1801,'Mã NV'!$B:$C,2,0),"")</f>
        <v>XE01466</v>
      </c>
      <c r="Q1801" s="70" t="str">
        <f>IFERROR(VLOOKUP(I1801,'Mã NV'!$J:$K,2,0),"")</f>
        <v>3.5T</v>
      </c>
    </row>
    <row r="1802" customHeight="1" spans="1:17">
      <c r="A1802" s="63">
        <f t="shared" si="116"/>
        <v>1794</v>
      </c>
      <c r="B1802" s="64">
        <v>46150</v>
      </c>
      <c r="D1802" s="66" t="s">
        <v>58</v>
      </c>
      <c r="E1802" s="66" t="s">
        <v>58</v>
      </c>
      <c r="F1802" s="66" t="s">
        <v>985</v>
      </c>
      <c r="G1802" s="66" t="s">
        <v>1076</v>
      </c>
      <c r="H1802" s="66" t="s">
        <v>1100</v>
      </c>
      <c r="I1802" s="66" t="s">
        <v>403</v>
      </c>
      <c r="J1802" s="66" t="s">
        <v>401</v>
      </c>
      <c r="K1802" s="66" t="s">
        <v>747</v>
      </c>
      <c r="L1802" s="67">
        <v>168968</v>
      </c>
      <c r="M1802" s="67">
        <v>0</v>
      </c>
      <c r="N1802" s="68">
        <f t="shared" si="118"/>
        <v>168968</v>
      </c>
      <c r="O1802" s="69">
        <f t="shared" si="117"/>
        <v>168968</v>
      </c>
      <c r="P1802" s="42" t="str">
        <f>IFERROR(VLOOKUP(J1802,'Mã NV'!$B:$C,2,0),"")</f>
        <v>XE01466</v>
      </c>
      <c r="Q1802" s="70" t="str">
        <f>IFERROR(VLOOKUP(I1802,'Mã NV'!$J:$K,2,0),"")</f>
        <v>3.5T</v>
      </c>
    </row>
    <row r="1803" customHeight="1" spans="1:17">
      <c r="A1803" s="63">
        <f t="shared" si="116"/>
        <v>1795</v>
      </c>
      <c r="B1803" s="64">
        <v>46150</v>
      </c>
      <c r="D1803" s="66" t="s">
        <v>58</v>
      </c>
      <c r="E1803" s="66" t="s">
        <v>58</v>
      </c>
      <c r="F1803" s="66" t="s">
        <v>985</v>
      </c>
      <c r="G1803" s="66" t="s">
        <v>1076</v>
      </c>
      <c r="H1803" s="66" t="s">
        <v>1094</v>
      </c>
      <c r="I1803" s="66" t="s">
        <v>403</v>
      </c>
      <c r="J1803" s="66" t="s">
        <v>401</v>
      </c>
      <c r="K1803" s="66" t="s">
        <v>747</v>
      </c>
      <c r="L1803" s="67">
        <v>67587</v>
      </c>
      <c r="M1803" s="67">
        <v>0</v>
      </c>
      <c r="N1803" s="68">
        <f t="shared" si="118"/>
        <v>67587</v>
      </c>
      <c r="O1803" s="69">
        <f t="shared" si="117"/>
        <v>67587</v>
      </c>
      <c r="P1803" s="42" t="str">
        <f>IFERROR(VLOOKUP(J1803,'Mã NV'!$B:$C,2,0),"")</f>
        <v>XE01466</v>
      </c>
      <c r="Q1803" s="70" t="str">
        <f>IFERROR(VLOOKUP(I1803,'Mã NV'!$J:$K,2,0),"")</f>
        <v>3.5T</v>
      </c>
    </row>
    <row r="1804" customHeight="1" spans="1:17">
      <c r="A1804" s="63">
        <f t="shared" si="116"/>
        <v>1796</v>
      </c>
      <c r="B1804" s="64">
        <v>46150</v>
      </c>
      <c r="D1804" s="66" t="s">
        <v>58</v>
      </c>
      <c r="E1804" s="66" t="s">
        <v>58</v>
      </c>
      <c r="F1804" s="66" t="s">
        <v>985</v>
      </c>
      <c r="G1804" s="66" t="s">
        <v>1076</v>
      </c>
      <c r="H1804" s="66" t="s">
        <v>1093</v>
      </c>
      <c r="I1804" s="66" t="s">
        <v>403</v>
      </c>
      <c r="J1804" s="66" t="s">
        <v>401</v>
      </c>
      <c r="K1804" s="66" t="s">
        <v>747</v>
      </c>
      <c r="L1804" s="67">
        <v>192363</v>
      </c>
      <c r="M1804" s="67">
        <v>0</v>
      </c>
      <c r="N1804" s="68">
        <f t="shared" si="118"/>
        <v>192363</v>
      </c>
      <c r="O1804" s="69">
        <f t="shared" si="117"/>
        <v>192363</v>
      </c>
      <c r="P1804" s="42" t="str">
        <f>IFERROR(VLOOKUP(J1804,'Mã NV'!$B:$C,2,0),"")</f>
        <v>XE01466</v>
      </c>
      <c r="Q1804" s="70" t="str">
        <f>IFERROR(VLOOKUP(I1804,'Mã NV'!$J:$K,2,0),"")</f>
        <v>3.5T</v>
      </c>
    </row>
    <row r="1805" customHeight="1" spans="1:17">
      <c r="A1805" s="63">
        <f t="shared" si="116"/>
        <v>1797</v>
      </c>
      <c r="B1805" s="64">
        <v>46150</v>
      </c>
      <c r="D1805" s="66" t="s">
        <v>58</v>
      </c>
      <c r="E1805" s="66" t="s">
        <v>58</v>
      </c>
      <c r="F1805" s="66" t="s">
        <v>985</v>
      </c>
      <c r="G1805" s="66" t="s">
        <v>1076</v>
      </c>
      <c r="H1805" s="66" t="s">
        <v>1095</v>
      </c>
      <c r="I1805" s="66" t="s">
        <v>403</v>
      </c>
      <c r="J1805" s="66" t="s">
        <v>401</v>
      </c>
      <c r="K1805" s="66" t="s">
        <v>747</v>
      </c>
      <c r="L1805" s="67">
        <v>259950</v>
      </c>
      <c r="M1805" s="67">
        <v>0</v>
      </c>
      <c r="N1805" s="68">
        <f t="shared" si="118"/>
        <v>259950</v>
      </c>
      <c r="O1805" s="69">
        <f t="shared" si="117"/>
        <v>259950</v>
      </c>
      <c r="P1805" s="42" t="str">
        <f>IFERROR(VLOOKUP(J1805,'Mã NV'!$B:$C,2,0),"")</f>
        <v>XE01466</v>
      </c>
      <c r="Q1805" s="70" t="str">
        <f>IFERROR(VLOOKUP(I1805,'Mã NV'!$J:$K,2,0),"")</f>
        <v>3.5T</v>
      </c>
    </row>
    <row r="1806" customHeight="1" spans="1:17">
      <c r="A1806" s="63">
        <f t="shared" si="116"/>
        <v>1798</v>
      </c>
      <c r="B1806" s="64">
        <v>46150</v>
      </c>
      <c r="D1806" s="66" t="s">
        <v>58</v>
      </c>
      <c r="E1806" s="66" t="s">
        <v>58</v>
      </c>
      <c r="F1806" s="66" t="s">
        <v>985</v>
      </c>
      <c r="G1806" s="66" t="s">
        <v>1076</v>
      </c>
      <c r="H1806" s="66" t="s">
        <v>1077</v>
      </c>
      <c r="I1806" s="66" t="s">
        <v>177</v>
      </c>
      <c r="J1806" s="66" t="s">
        <v>174</v>
      </c>
      <c r="K1806" s="66" t="s">
        <v>747</v>
      </c>
      <c r="L1806" s="67">
        <v>252152</v>
      </c>
      <c r="M1806" s="67">
        <v>0</v>
      </c>
      <c r="N1806" s="68">
        <f t="shared" si="118"/>
        <v>252152</v>
      </c>
      <c r="O1806" s="69">
        <f t="shared" si="117"/>
        <v>252152</v>
      </c>
      <c r="P1806" s="42" t="str">
        <f>IFERROR(VLOOKUP(J1806,'Mã NV'!$B:$C,2,0),"")</f>
        <v>XE00975</v>
      </c>
      <c r="Q1806" s="70" t="str">
        <f>IFERROR(VLOOKUP(I1806,'Mã NV'!$J:$K,2,0),"")</f>
        <v>2.5T Lạnh</v>
      </c>
    </row>
    <row r="1807" customHeight="1" spans="1:17">
      <c r="A1807" s="63">
        <f t="shared" si="116"/>
        <v>1799</v>
      </c>
      <c r="B1807" s="64">
        <v>46150</v>
      </c>
      <c r="D1807" s="66" t="s">
        <v>58</v>
      </c>
      <c r="E1807" s="66" t="s">
        <v>58</v>
      </c>
      <c r="F1807" s="66" t="s">
        <v>985</v>
      </c>
      <c r="G1807" s="66" t="s">
        <v>1076</v>
      </c>
      <c r="H1807" s="66" t="s">
        <v>1078</v>
      </c>
      <c r="I1807" s="66" t="s">
        <v>177</v>
      </c>
      <c r="J1807" s="66" t="s">
        <v>174</v>
      </c>
      <c r="K1807" s="66" t="s">
        <v>747</v>
      </c>
      <c r="L1807" s="67">
        <v>176766</v>
      </c>
      <c r="M1807" s="67">
        <v>0</v>
      </c>
      <c r="N1807" s="68">
        <f t="shared" si="118"/>
        <v>176766</v>
      </c>
      <c r="O1807" s="69">
        <f t="shared" si="117"/>
        <v>176766</v>
      </c>
      <c r="P1807" s="42" t="str">
        <f>IFERROR(VLOOKUP(J1807,'Mã NV'!$B:$C,2,0),"")</f>
        <v>XE00975</v>
      </c>
      <c r="Q1807" s="70" t="str">
        <f>IFERROR(VLOOKUP(I1807,'Mã NV'!$J:$K,2,0),"")</f>
        <v>2.5T Lạnh</v>
      </c>
    </row>
    <row r="1808" customHeight="1" spans="1:17">
      <c r="A1808" s="63">
        <f t="shared" si="116"/>
        <v>1800</v>
      </c>
      <c r="B1808" s="64">
        <v>46150</v>
      </c>
      <c r="D1808" s="66" t="s">
        <v>58</v>
      </c>
      <c r="E1808" s="66" t="s">
        <v>58</v>
      </c>
      <c r="F1808" s="66" t="s">
        <v>985</v>
      </c>
      <c r="G1808" s="66" t="s">
        <v>1076</v>
      </c>
      <c r="H1808" s="66" t="s">
        <v>1079</v>
      </c>
      <c r="I1808" s="66" t="s">
        <v>177</v>
      </c>
      <c r="J1808" s="66" t="s">
        <v>174</v>
      </c>
      <c r="K1808" s="66" t="s">
        <v>747</v>
      </c>
      <c r="L1808" s="67">
        <v>163769</v>
      </c>
      <c r="M1808" s="67">
        <v>0</v>
      </c>
      <c r="N1808" s="68">
        <f t="shared" si="118"/>
        <v>163769</v>
      </c>
      <c r="O1808" s="69">
        <f t="shared" si="117"/>
        <v>163769</v>
      </c>
      <c r="P1808" s="42" t="str">
        <f>IFERROR(VLOOKUP(J1808,'Mã NV'!$B:$C,2,0),"")</f>
        <v>XE00975</v>
      </c>
      <c r="Q1808" s="70" t="str">
        <f>IFERROR(VLOOKUP(I1808,'Mã NV'!$J:$K,2,0),"")</f>
        <v>2.5T Lạnh</v>
      </c>
    </row>
    <row r="1809" customHeight="1" spans="1:17">
      <c r="A1809" s="63">
        <f t="shared" ref="A1809:A1872" si="119">A1808+1</f>
        <v>1801</v>
      </c>
      <c r="B1809" s="64">
        <v>46151</v>
      </c>
      <c r="D1809" s="66" t="s">
        <v>58</v>
      </c>
      <c r="E1809" s="66" t="s">
        <v>58</v>
      </c>
      <c r="F1809" s="66" t="s">
        <v>985</v>
      </c>
      <c r="G1809" s="66" t="s">
        <v>1076</v>
      </c>
      <c r="H1809" s="66" t="s">
        <v>1106</v>
      </c>
      <c r="I1809" s="66" t="s">
        <v>134</v>
      </c>
      <c r="J1809" s="66" t="s">
        <v>359</v>
      </c>
      <c r="K1809" s="66" t="s">
        <v>747</v>
      </c>
      <c r="L1809" s="67">
        <v>738258</v>
      </c>
      <c r="M1809" s="67">
        <v>0</v>
      </c>
      <c r="N1809" s="68">
        <f t="shared" si="118"/>
        <v>738258</v>
      </c>
      <c r="O1809" s="69">
        <f t="shared" si="117"/>
        <v>738258</v>
      </c>
      <c r="P1809" s="42" t="str">
        <f>IFERROR(VLOOKUP(J1809,'Mã NV'!$B:$C,2,0),"")</f>
        <v>XE01639</v>
      </c>
      <c r="Q1809" s="70" t="str">
        <f>IFERROR(VLOOKUP(I1809,'Mã NV'!$J:$K,2,0),"")</f>
        <v>2.5T Lạnh</v>
      </c>
    </row>
    <row r="1810" customHeight="1" spans="1:17">
      <c r="A1810" s="63">
        <f t="shared" si="119"/>
        <v>1802</v>
      </c>
      <c r="B1810" s="64">
        <v>46151</v>
      </c>
      <c r="D1810" s="66" t="s">
        <v>58</v>
      </c>
      <c r="E1810" s="66" t="s">
        <v>58</v>
      </c>
      <c r="F1810" s="66" t="s">
        <v>985</v>
      </c>
      <c r="G1810" s="66" t="s">
        <v>1076</v>
      </c>
      <c r="H1810" s="66" t="s">
        <v>1080</v>
      </c>
      <c r="I1810" s="66" t="s">
        <v>57</v>
      </c>
      <c r="J1810" s="66" t="s">
        <v>55</v>
      </c>
      <c r="K1810" s="66" t="s">
        <v>747</v>
      </c>
      <c r="L1810" s="67">
        <v>262550</v>
      </c>
      <c r="M1810" s="67">
        <v>0</v>
      </c>
      <c r="N1810" s="68">
        <f t="shared" si="118"/>
        <v>262550</v>
      </c>
      <c r="O1810" s="69">
        <f t="shared" si="117"/>
        <v>262550</v>
      </c>
      <c r="P1810" s="42" t="str">
        <f>IFERROR(VLOOKUP(J1810,'Mã NV'!$B:$C,2,0),"")</f>
        <v>XE00768</v>
      </c>
      <c r="Q1810" s="70" t="str">
        <f>IFERROR(VLOOKUP(I1810,'Mã NV'!$J:$K,2,0),"")</f>
        <v>2.5T</v>
      </c>
    </row>
    <row r="1811" customHeight="1" spans="1:17">
      <c r="A1811" s="63">
        <f t="shared" si="119"/>
        <v>1803</v>
      </c>
      <c r="B1811" s="64">
        <v>46151</v>
      </c>
      <c r="D1811" s="66" t="s">
        <v>58</v>
      </c>
      <c r="E1811" s="66" t="s">
        <v>58</v>
      </c>
      <c r="F1811" s="66" t="s">
        <v>985</v>
      </c>
      <c r="G1811" s="66" t="s">
        <v>1076</v>
      </c>
      <c r="H1811" s="66" t="s">
        <v>1081</v>
      </c>
      <c r="I1811" s="66" t="s">
        <v>57</v>
      </c>
      <c r="J1811" s="66" t="s">
        <v>55</v>
      </c>
      <c r="K1811" s="66" t="s">
        <v>747</v>
      </c>
      <c r="L1811" s="67">
        <v>202761</v>
      </c>
      <c r="M1811" s="67">
        <v>0</v>
      </c>
      <c r="N1811" s="68">
        <f t="shared" si="118"/>
        <v>202761</v>
      </c>
      <c r="O1811" s="69">
        <f t="shared" si="117"/>
        <v>202761</v>
      </c>
      <c r="P1811" s="42" t="str">
        <f>IFERROR(VLOOKUP(J1811,'Mã NV'!$B:$C,2,0),"")</f>
        <v>XE00768</v>
      </c>
      <c r="Q1811" s="70" t="str">
        <f>IFERROR(VLOOKUP(I1811,'Mã NV'!$J:$K,2,0),"")</f>
        <v>2.5T</v>
      </c>
    </row>
    <row r="1812" customHeight="1" spans="1:17">
      <c r="A1812" s="63">
        <f t="shared" si="119"/>
        <v>1804</v>
      </c>
      <c r="B1812" s="64">
        <v>46151</v>
      </c>
      <c r="D1812" s="66" t="s">
        <v>58</v>
      </c>
      <c r="E1812" s="66" t="s">
        <v>58</v>
      </c>
      <c r="F1812" s="66" t="s">
        <v>985</v>
      </c>
      <c r="G1812" s="66" t="s">
        <v>1076</v>
      </c>
      <c r="H1812" s="66" t="s">
        <v>1082</v>
      </c>
      <c r="I1812" s="66" t="s">
        <v>57</v>
      </c>
      <c r="J1812" s="66" t="s">
        <v>55</v>
      </c>
      <c r="K1812" s="66" t="s">
        <v>747</v>
      </c>
      <c r="L1812" s="67">
        <v>298943</v>
      </c>
      <c r="M1812" s="67">
        <v>0</v>
      </c>
      <c r="N1812" s="68">
        <f t="shared" si="118"/>
        <v>298943</v>
      </c>
      <c r="O1812" s="69">
        <f t="shared" si="117"/>
        <v>298943</v>
      </c>
      <c r="P1812" s="42" t="str">
        <f>IFERROR(VLOOKUP(J1812,'Mã NV'!$B:$C,2,0),"")</f>
        <v>XE00768</v>
      </c>
      <c r="Q1812" s="70" t="str">
        <f>IFERROR(VLOOKUP(I1812,'Mã NV'!$J:$K,2,0),"")</f>
        <v>2.5T</v>
      </c>
    </row>
    <row r="1813" customHeight="1" spans="1:17">
      <c r="A1813" s="63">
        <f t="shared" si="119"/>
        <v>1805</v>
      </c>
      <c r="B1813" s="64">
        <v>46151</v>
      </c>
      <c r="D1813" s="66" t="s">
        <v>58</v>
      </c>
      <c r="E1813" s="66" t="s">
        <v>58</v>
      </c>
      <c r="F1813" s="66" t="s">
        <v>985</v>
      </c>
      <c r="G1813" s="66" t="s">
        <v>1076</v>
      </c>
      <c r="H1813" s="66" t="s">
        <v>1083</v>
      </c>
      <c r="I1813" s="66" t="s">
        <v>57</v>
      </c>
      <c r="J1813" s="66" t="s">
        <v>55</v>
      </c>
      <c r="K1813" s="66" t="s">
        <v>747</v>
      </c>
      <c r="L1813" s="67">
        <v>205361</v>
      </c>
      <c r="M1813" s="67">
        <v>0</v>
      </c>
      <c r="N1813" s="68">
        <f t="shared" si="118"/>
        <v>205361</v>
      </c>
      <c r="O1813" s="69">
        <f t="shared" si="117"/>
        <v>205361</v>
      </c>
      <c r="P1813" s="42" t="str">
        <f>IFERROR(VLOOKUP(J1813,'Mã NV'!$B:$C,2,0),"")</f>
        <v>XE00768</v>
      </c>
      <c r="Q1813" s="70" t="str">
        <f>IFERROR(VLOOKUP(I1813,'Mã NV'!$J:$K,2,0),"")</f>
        <v>2.5T</v>
      </c>
    </row>
    <row r="1814" customHeight="1" spans="1:17">
      <c r="A1814" s="63">
        <f t="shared" si="119"/>
        <v>1806</v>
      </c>
      <c r="B1814" s="64">
        <v>46151</v>
      </c>
      <c r="D1814" s="66" t="s">
        <v>58</v>
      </c>
      <c r="E1814" s="66" t="s">
        <v>58</v>
      </c>
      <c r="F1814" s="66" t="s">
        <v>985</v>
      </c>
      <c r="G1814" s="66" t="s">
        <v>1076</v>
      </c>
      <c r="H1814" s="66" t="s">
        <v>1091</v>
      </c>
      <c r="I1814" s="66" t="s">
        <v>403</v>
      </c>
      <c r="J1814" s="66" t="s">
        <v>401</v>
      </c>
      <c r="K1814" s="66" t="s">
        <v>747</v>
      </c>
      <c r="L1814" s="67">
        <v>337935</v>
      </c>
      <c r="M1814" s="67">
        <v>0</v>
      </c>
      <c r="N1814" s="68">
        <f t="shared" si="118"/>
        <v>337935</v>
      </c>
      <c r="O1814" s="69">
        <f t="shared" si="117"/>
        <v>337935</v>
      </c>
      <c r="P1814" s="42" t="str">
        <f>IFERROR(VLOOKUP(J1814,'Mã NV'!$B:$C,2,0),"")</f>
        <v>XE01466</v>
      </c>
      <c r="Q1814" s="70" t="str">
        <f>IFERROR(VLOOKUP(I1814,'Mã NV'!$J:$K,2,0),"")</f>
        <v>3.5T</v>
      </c>
    </row>
    <row r="1815" customHeight="1" spans="1:17">
      <c r="A1815" s="63">
        <f t="shared" si="119"/>
        <v>1807</v>
      </c>
      <c r="B1815" s="64">
        <v>46151</v>
      </c>
      <c r="D1815" s="66" t="s">
        <v>58</v>
      </c>
      <c r="E1815" s="66" t="s">
        <v>58</v>
      </c>
      <c r="F1815" s="66" t="s">
        <v>985</v>
      </c>
      <c r="G1815" s="66" t="s">
        <v>1076</v>
      </c>
      <c r="H1815" s="66" t="s">
        <v>1096</v>
      </c>
      <c r="I1815" s="66" t="s">
        <v>403</v>
      </c>
      <c r="J1815" s="66" t="s">
        <v>401</v>
      </c>
      <c r="K1815" s="66" t="s">
        <v>747</v>
      </c>
      <c r="L1815" s="67">
        <v>179366</v>
      </c>
      <c r="M1815" s="67">
        <v>0</v>
      </c>
      <c r="N1815" s="68">
        <f t="shared" si="118"/>
        <v>179366</v>
      </c>
      <c r="O1815" s="69">
        <f t="shared" si="117"/>
        <v>179366</v>
      </c>
      <c r="P1815" s="42" t="str">
        <f>IFERROR(VLOOKUP(J1815,'Mã NV'!$B:$C,2,0),"")</f>
        <v>XE01466</v>
      </c>
      <c r="Q1815" s="70" t="str">
        <f>IFERROR(VLOOKUP(I1815,'Mã NV'!$J:$K,2,0),"")</f>
        <v>3.5T</v>
      </c>
    </row>
    <row r="1816" customHeight="1" spans="1:17">
      <c r="A1816" s="63">
        <f t="shared" si="119"/>
        <v>1808</v>
      </c>
      <c r="B1816" s="64">
        <v>46151</v>
      </c>
      <c r="D1816" s="66" t="s">
        <v>58</v>
      </c>
      <c r="E1816" s="66" t="s">
        <v>58</v>
      </c>
      <c r="F1816" s="66" t="s">
        <v>985</v>
      </c>
      <c r="G1816" s="66" t="s">
        <v>1076</v>
      </c>
      <c r="H1816" s="66" t="s">
        <v>1097</v>
      </c>
      <c r="I1816" s="66" t="s">
        <v>403</v>
      </c>
      <c r="J1816" s="66" t="s">
        <v>401</v>
      </c>
      <c r="K1816" s="66" t="s">
        <v>747</v>
      </c>
      <c r="L1816" s="67">
        <v>163769</v>
      </c>
      <c r="M1816" s="67">
        <v>0</v>
      </c>
      <c r="N1816" s="68">
        <f t="shared" si="118"/>
        <v>163769</v>
      </c>
      <c r="O1816" s="69">
        <f t="shared" si="117"/>
        <v>163769</v>
      </c>
      <c r="P1816" s="42" t="str">
        <f>IFERROR(VLOOKUP(J1816,'Mã NV'!$B:$C,2,0),"")</f>
        <v>XE01466</v>
      </c>
      <c r="Q1816" s="70" t="str">
        <f>IFERROR(VLOOKUP(I1816,'Mã NV'!$J:$K,2,0),"")</f>
        <v>3.5T</v>
      </c>
    </row>
    <row r="1817" customHeight="1" spans="1:17">
      <c r="A1817" s="63">
        <f t="shared" si="119"/>
        <v>1809</v>
      </c>
      <c r="B1817" s="64">
        <v>46151</v>
      </c>
      <c r="D1817" s="66" t="s">
        <v>58</v>
      </c>
      <c r="E1817" s="66" t="s">
        <v>58</v>
      </c>
      <c r="F1817" s="66" t="s">
        <v>985</v>
      </c>
      <c r="G1817" s="66" t="s">
        <v>1076</v>
      </c>
      <c r="H1817" s="66" t="s">
        <v>1098</v>
      </c>
      <c r="I1817" s="66" t="s">
        <v>403</v>
      </c>
      <c r="J1817" s="66" t="s">
        <v>401</v>
      </c>
      <c r="K1817" s="66" t="s">
        <v>747</v>
      </c>
      <c r="L1817" s="67">
        <v>116978</v>
      </c>
      <c r="M1817" s="67">
        <v>0</v>
      </c>
      <c r="N1817" s="68">
        <f t="shared" si="118"/>
        <v>116978</v>
      </c>
      <c r="O1817" s="69">
        <f t="shared" si="117"/>
        <v>116978</v>
      </c>
      <c r="P1817" s="42" t="str">
        <f>IFERROR(VLOOKUP(J1817,'Mã NV'!$B:$C,2,0),"")</f>
        <v>XE01466</v>
      </c>
      <c r="Q1817" s="70" t="str">
        <f>IFERROR(VLOOKUP(I1817,'Mã NV'!$J:$K,2,0),"")</f>
        <v>3.5T</v>
      </c>
    </row>
    <row r="1818" customHeight="1" spans="1:17">
      <c r="A1818" s="63">
        <f t="shared" si="119"/>
        <v>1810</v>
      </c>
      <c r="B1818" s="64">
        <v>46151</v>
      </c>
      <c r="D1818" s="66" t="s">
        <v>58</v>
      </c>
      <c r="E1818" s="66" t="s">
        <v>58</v>
      </c>
      <c r="F1818" s="66" t="s">
        <v>985</v>
      </c>
      <c r="G1818" s="66" t="s">
        <v>1076</v>
      </c>
      <c r="H1818" s="66" t="s">
        <v>1088</v>
      </c>
      <c r="I1818" s="66" t="s">
        <v>403</v>
      </c>
      <c r="J1818" s="66" t="s">
        <v>401</v>
      </c>
      <c r="K1818" s="66" t="s">
        <v>747</v>
      </c>
      <c r="L1818" s="67">
        <v>358731</v>
      </c>
      <c r="M1818" s="67">
        <v>0</v>
      </c>
      <c r="N1818" s="68">
        <f t="shared" si="118"/>
        <v>358731</v>
      </c>
      <c r="O1818" s="69">
        <f t="shared" si="117"/>
        <v>358731</v>
      </c>
      <c r="P1818" s="42" t="str">
        <f>IFERROR(VLOOKUP(J1818,'Mã NV'!$B:$C,2,0),"")</f>
        <v>XE01466</v>
      </c>
      <c r="Q1818" s="70" t="str">
        <f>IFERROR(VLOOKUP(I1818,'Mã NV'!$J:$K,2,0),"")</f>
        <v>3.5T</v>
      </c>
    </row>
    <row r="1819" customHeight="1" spans="1:17">
      <c r="A1819" s="63">
        <f t="shared" si="119"/>
        <v>1811</v>
      </c>
      <c r="B1819" s="64">
        <v>46151</v>
      </c>
      <c r="D1819" s="66" t="s">
        <v>58</v>
      </c>
      <c r="E1819" s="66" t="s">
        <v>58</v>
      </c>
      <c r="F1819" s="66" t="s">
        <v>985</v>
      </c>
      <c r="G1819" s="66" t="s">
        <v>1076</v>
      </c>
      <c r="H1819" s="66" t="s">
        <v>1104</v>
      </c>
      <c r="I1819" s="66" t="s">
        <v>323</v>
      </c>
      <c r="J1819" s="66" t="s">
        <v>321</v>
      </c>
      <c r="K1819" s="66" t="s">
        <v>747</v>
      </c>
      <c r="L1819" s="67">
        <v>249552</v>
      </c>
      <c r="M1819" s="67">
        <v>0</v>
      </c>
      <c r="N1819" s="68">
        <f t="shared" si="118"/>
        <v>249552</v>
      </c>
      <c r="O1819" s="69">
        <f t="shared" si="117"/>
        <v>249552</v>
      </c>
      <c r="P1819" s="42" t="str">
        <f>IFERROR(VLOOKUP(J1819,'Mã NV'!$B:$C,2,0),"")</f>
        <v>XE01537</v>
      </c>
      <c r="Q1819" s="70" t="str">
        <f>IFERROR(VLOOKUP(I1819,'Mã NV'!$J:$K,2,0),"")</f>
        <v>2.5T</v>
      </c>
    </row>
    <row r="1820" customHeight="1" spans="1:17">
      <c r="A1820" s="63">
        <f t="shared" si="119"/>
        <v>1812</v>
      </c>
      <c r="B1820" s="64">
        <v>46151</v>
      </c>
      <c r="D1820" s="66" t="s">
        <v>58</v>
      </c>
      <c r="E1820" s="66" t="s">
        <v>58</v>
      </c>
      <c r="F1820" s="66" t="s">
        <v>985</v>
      </c>
      <c r="G1820" s="66" t="s">
        <v>1076</v>
      </c>
      <c r="H1820" s="66" t="s">
        <v>1085</v>
      </c>
      <c r="I1820" s="66" t="s">
        <v>323</v>
      </c>
      <c r="J1820" s="66" t="s">
        <v>321</v>
      </c>
      <c r="K1820" s="66" t="s">
        <v>747</v>
      </c>
      <c r="L1820" s="67">
        <v>192363</v>
      </c>
      <c r="M1820" s="67">
        <v>0</v>
      </c>
      <c r="N1820" s="68">
        <f t="shared" si="118"/>
        <v>192363</v>
      </c>
      <c r="O1820" s="69">
        <f t="shared" si="117"/>
        <v>192363</v>
      </c>
      <c r="P1820" s="42" t="str">
        <f>IFERROR(VLOOKUP(J1820,'Mã NV'!$B:$C,2,0),"")</f>
        <v>XE01537</v>
      </c>
      <c r="Q1820" s="70" t="str">
        <f>IFERROR(VLOOKUP(I1820,'Mã NV'!$J:$K,2,0),"")</f>
        <v>2.5T</v>
      </c>
    </row>
    <row r="1821" customHeight="1" spans="1:17">
      <c r="A1821" s="63">
        <f t="shared" si="119"/>
        <v>1813</v>
      </c>
      <c r="B1821" s="64">
        <v>46151</v>
      </c>
      <c r="D1821" s="66" t="s">
        <v>58</v>
      </c>
      <c r="E1821" s="66" t="s">
        <v>58</v>
      </c>
      <c r="F1821" s="66" t="s">
        <v>985</v>
      </c>
      <c r="G1821" s="66" t="s">
        <v>1076</v>
      </c>
      <c r="H1821" s="66" t="s">
        <v>1084</v>
      </c>
      <c r="I1821" s="66" t="s">
        <v>323</v>
      </c>
      <c r="J1821" s="66" t="s">
        <v>321</v>
      </c>
      <c r="K1821" s="66" t="s">
        <v>747</v>
      </c>
      <c r="L1821" s="67">
        <v>233955</v>
      </c>
      <c r="M1821" s="67">
        <v>0</v>
      </c>
      <c r="N1821" s="68">
        <f t="shared" si="118"/>
        <v>233955</v>
      </c>
      <c r="O1821" s="69">
        <f t="shared" si="117"/>
        <v>233955</v>
      </c>
      <c r="P1821" s="42" t="str">
        <f>IFERROR(VLOOKUP(J1821,'Mã NV'!$B:$C,2,0),"")</f>
        <v>XE01537</v>
      </c>
      <c r="Q1821" s="70" t="str">
        <f>IFERROR(VLOOKUP(I1821,'Mã NV'!$J:$K,2,0),"")</f>
        <v>2.5T</v>
      </c>
    </row>
    <row r="1822" customHeight="1" spans="1:17">
      <c r="A1822" s="63">
        <f t="shared" si="119"/>
        <v>1814</v>
      </c>
      <c r="B1822" s="64">
        <v>46151</v>
      </c>
      <c r="D1822" s="66" t="s">
        <v>58</v>
      </c>
      <c r="E1822" s="66" t="s">
        <v>58</v>
      </c>
      <c r="F1822" s="66" t="s">
        <v>985</v>
      </c>
      <c r="G1822" s="66" t="s">
        <v>1076</v>
      </c>
      <c r="H1822" s="66" t="s">
        <v>1078</v>
      </c>
      <c r="I1822" s="66" t="s">
        <v>323</v>
      </c>
      <c r="J1822" s="66" t="s">
        <v>321</v>
      </c>
      <c r="K1822" s="66" t="s">
        <v>747</v>
      </c>
      <c r="L1822" s="67">
        <v>176766</v>
      </c>
      <c r="M1822" s="67">
        <v>0</v>
      </c>
      <c r="N1822" s="68">
        <f t="shared" si="118"/>
        <v>176766</v>
      </c>
      <c r="O1822" s="69">
        <f t="shared" si="117"/>
        <v>176766</v>
      </c>
      <c r="P1822" s="42" t="str">
        <f>IFERROR(VLOOKUP(J1822,'Mã NV'!$B:$C,2,0),"")</f>
        <v>XE01537</v>
      </c>
      <c r="Q1822" s="70" t="str">
        <f>IFERROR(VLOOKUP(I1822,'Mã NV'!$J:$K,2,0),"")</f>
        <v>2.5T</v>
      </c>
    </row>
    <row r="1823" customHeight="1" spans="1:17">
      <c r="A1823" s="63">
        <f t="shared" si="119"/>
        <v>1815</v>
      </c>
      <c r="B1823" s="64">
        <v>46151</v>
      </c>
      <c r="D1823" s="66" t="s">
        <v>58</v>
      </c>
      <c r="E1823" s="66" t="s">
        <v>58</v>
      </c>
      <c r="F1823" s="66" t="s">
        <v>985</v>
      </c>
      <c r="G1823" s="66" t="s">
        <v>1076</v>
      </c>
      <c r="H1823" s="66" t="s">
        <v>1094</v>
      </c>
      <c r="I1823" s="66" t="s">
        <v>134</v>
      </c>
      <c r="J1823" s="66" t="s">
        <v>359</v>
      </c>
      <c r="K1823" s="66" t="s">
        <v>747</v>
      </c>
      <c r="L1823" s="67">
        <v>135174</v>
      </c>
      <c r="M1823" s="67">
        <v>0</v>
      </c>
      <c r="N1823" s="68">
        <f t="shared" si="118"/>
        <v>135174</v>
      </c>
      <c r="O1823" s="69">
        <f t="shared" si="117"/>
        <v>135174</v>
      </c>
      <c r="P1823" s="42" t="str">
        <f>IFERROR(VLOOKUP(J1823,'Mã NV'!$B:$C,2,0),"")</f>
        <v>XE01639</v>
      </c>
      <c r="Q1823" s="70" t="str">
        <f>IFERROR(VLOOKUP(I1823,'Mã NV'!$J:$K,2,0),"")</f>
        <v>2.5T Lạnh</v>
      </c>
    </row>
    <row r="1824" customHeight="1" spans="1:17">
      <c r="A1824" s="63">
        <f t="shared" si="119"/>
        <v>1816</v>
      </c>
      <c r="B1824" s="64">
        <v>46151</v>
      </c>
      <c r="D1824" s="66" t="s">
        <v>58</v>
      </c>
      <c r="E1824" s="66" t="s">
        <v>58</v>
      </c>
      <c r="F1824" s="66" t="s">
        <v>985</v>
      </c>
      <c r="G1824" s="66" t="s">
        <v>1076</v>
      </c>
      <c r="H1824" s="66" t="s">
        <v>1095</v>
      </c>
      <c r="I1824" s="66" t="s">
        <v>134</v>
      </c>
      <c r="J1824" s="66" t="s">
        <v>359</v>
      </c>
      <c r="K1824" s="66" t="s">
        <v>747</v>
      </c>
      <c r="L1824" s="67">
        <v>298943</v>
      </c>
      <c r="M1824" s="67">
        <v>0</v>
      </c>
      <c r="N1824" s="68">
        <f t="shared" si="118"/>
        <v>298943</v>
      </c>
      <c r="O1824" s="69">
        <f t="shared" si="117"/>
        <v>298943</v>
      </c>
      <c r="P1824" s="42" t="str">
        <f>IFERROR(VLOOKUP(J1824,'Mã NV'!$B:$C,2,0),"")</f>
        <v>XE01639</v>
      </c>
      <c r="Q1824" s="70" t="str">
        <f>IFERROR(VLOOKUP(I1824,'Mã NV'!$J:$K,2,0),"")</f>
        <v>2.5T Lạnh</v>
      </c>
    </row>
    <row r="1825" customHeight="1" spans="1:17">
      <c r="A1825" s="63">
        <f t="shared" si="119"/>
        <v>1817</v>
      </c>
      <c r="B1825" s="64">
        <v>46151</v>
      </c>
      <c r="D1825" s="66" t="s">
        <v>58</v>
      </c>
      <c r="E1825" s="66" t="s">
        <v>58</v>
      </c>
      <c r="F1825" s="66" t="s">
        <v>985</v>
      </c>
      <c r="G1825" s="66" t="s">
        <v>1076</v>
      </c>
      <c r="H1825" s="66" t="s">
        <v>1079</v>
      </c>
      <c r="I1825" s="66" t="s">
        <v>134</v>
      </c>
      <c r="J1825" s="66" t="s">
        <v>359</v>
      </c>
      <c r="K1825" s="66" t="s">
        <v>747</v>
      </c>
      <c r="L1825" s="67">
        <v>142973</v>
      </c>
      <c r="M1825" s="67">
        <v>0</v>
      </c>
      <c r="N1825" s="68">
        <f t="shared" si="118"/>
        <v>142973</v>
      </c>
      <c r="O1825" s="69">
        <f t="shared" si="117"/>
        <v>142973</v>
      </c>
      <c r="P1825" s="42" t="str">
        <f>IFERROR(VLOOKUP(J1825,'Mã NV'!$B:$C,2,0),"")</f>
        <v>XE01639</v>
      </c>
      <c r="Q1825" s="70" t="str">
        <f>IFERROR(VLOOKUP(I1825,'Mã NV'!$J:$K,2,0),"")</f>
        <v>2.5T Lạnh</v>
      </c>
    </row>
    <row r="1826" customHeight="1" spans="1:17">
      <c r="A1826" s="63">
        <f t="shared" si="119"/>
        <v>1818</v>
      </c>
      <c r="B1826" s="64">
        <v>46151</v>
      </c>
      <c r="D1826" s="66" t="s">
        <v>58</v>
      </c>
      <c r="E1826" s="66" t="s">
        <v>58</v>
      </c>
      <c r="F1826" s="66" t="s">
        <v>985</v>
      </c>
      <c r="G1826" s="66" t="s">
        <v>1076</v>
      </c>
      <c r="H1826" s="66" t="s">
        <v>1102</v>
      </c>
      <c r="I1826" s="66" t="s">
        <v>177</v>
      </c>
      <c r="J1826" s="66" t="s">
        <v>174</v>
      </c>
      <c r="K1826" s="66" t="s">
        <v>747</v>
      </c>
      <c r="L1826" s="67">
        <v>376928</v>
      </c>
      <c r="M1826" s="67">
        <v>0</v>
      </c>
      <c r="N1826" s="68">
        <f t="shared" si="118"/>
        <v>376928</v>
      </c>
      <c r="O1826" s="69">
        <f t="shared" si="117"/>
        <v>376928</v>
      </c>
      <c r="P1826" s="42" t="str">
        <f>IFERROR(VLOOKUP(J1826,'Mã NV'!$B:$C,2,0),"")</f>
        <v>XE00975</v>
      </c>
      <c r="Q1826" s="70" t="str">
        <f>IFERROR(VLOOKUP(I1826,'Mã NV'!$J:$K,2,0),"")</f>
        <v>2.5T Lạnh</v>
      </c>
    </row>
    <row r="1827" customHeight="1" spans="1:17">
      <c r="A1827" s="63">
        <f t="shared" si="119"/>
        <v>1819</v>
      </c>
      <c r="B1827" s="64">
        <v>46151</v>
      </c>
      <c r="D1827" s="66" t="s">
        <v>58</v>
      </c>
      <c r="E1827" s="66" t="s">
        <v>58</v>
      </c>
      <c r="F1827" s="66" t="s">
        <v>985</v>
      </c>
      <c r="G1827" s="66" t="s">
        <v>1076</v>
      </c>
      <c r="H1827" s="66" t="s">
        <v>1103</v>
      </c>
      <c r="I1827" s="66" t="s">
        <v>177</v>
      </c>
      <c r="J1827" s="66" t="s">
        <v>174</v>
      </c>
      <c r="K1827" s="66" t="s">
        <v>747</v>
      </c>
      <c r="L1827" s="67">
        <v>218358</v>
      </c>
      <c r="M1827" s="67">
        <v>0</v>
      </c>
      <c r="N1827" s="68">
        <f t="shared" si="118"/>
        <v>218358</v>
      </c>
      <c r="O1827" s="69">
        <f t="shared" si="117"/>
        <v>218358</v>
      </c>
      <c r="P1827" s="42" t="str">
        <f>IFERROR(VLOOKUP(J1827,'Mã NV'!$B:$C,2,0),"")</f>
        <v>XE00975</v>
      </c>
      <c r="Q1827" s="70" t="str">
        <f>IFERROR(VLOOKUP(I1827,'Mã NV'!$J:$K,2,0),"")</f>
        <v>2.5T Lạnh</v>
      </c>
    </row>
    <row r="1828" customHeight="1" spans="1:17">
      <c r="A1828" s="63">
        <f t="shared" si="119"/>
        <v>1820</v>
      </c>
      <c r="B1828" s="64">
        <v>46151</v>
      </c>
      <c r="D1828" s="66" t="s">
        <v>58</v>
      </c>
      <c r="E1828" s="66" t="s">
        <v>58</v>
      </c>
      <c r="F1828" s="66" t="s">
        <v>985</v>
      </c>
      <c r="G1828" s="66" t="s">
        <v>1076</v>
      </c>
      <c r="H1828" s="66" t="s">
        <v>1086</v>
      </c>
      <c r="I1828" s="66" t="s">
        <v>177</v>
      </c>
      <c r="J1828" s="66" t="s">
        <v>174</v>
      </c>
      <c r="K1828" s="66" t="s">
        <v>747</v>
      </c>
      <c r="L1828" s="67">
        <v>213159</v>
      </c>
      <c r="M1828" s="67">
        <v>0</v>
      </c>
      <c r="N1828" s="68">
        <f t="shared" si="118"/>
        <v>213159</v>
      </c>
      <c r="O1828" s="69">
        <f t="shared" si="117"/>
        <v>213159</v>
      </c>
      <c r="P1828" s="42" t="str">
        <f>IFERROR(VLOOKUP(J1828,'Mã NV'!$B:$C,2,0),"")</f>
        <v>XE00975</v>
      </c>
      <c r="Q1828" s="70" t="str">
        <f>IFERROR(VLOOKUP(I1828,'Mã NV'!$J:$K,2,0),"")</f>
        <v>2.5T Lạnh</v>
      </c>
    </row>
    <row r="1829" customHeight="1" spans="1:17">
      <c r="A1829" s="63">
        <f t="shared" si="119"/>
        <v>1821</v>
      </c>
      <c r="B1829" s="64">
        <v>46151</v>
      </c>
      <c r="D1829" s="66" t="s">
        <v>58</v>
      </c>
      <c r="E1829" s="66" t="s">
        <v>58</v>
      </c>
      <c r="F1829" s="66" t="s">
        <v>985</v>
      </c>
      <c r="G1829" s="66" t="s">
        <v>1076</v>
      </c>
      <c r="H1829" s="66" t="s">
        <v>1087</v>
      </c>
      <c r="I1829" s="66" t="s">
        <v>177</v>
      </c>
      <c r="J1829" s="66" t="s">
        <v>174</v>
      </c>
      <c r="K1829" s="66" t="s">
        <v>747</v>
      </c>
      <c r="L1829" s="67">
        <v>140373</v>
      </c>
      <c r="M1829" s="67">
        <v>0</v>
      </c>
      <c r="N1829" s="68">
        <f t="shared" si="118"/>
        <v>140373</v>
      </c>
      <c r="O1829" s="69">
        <f t="shared" si="117"/>
        <v>140373</v>
      </c>
      <c r="P1829" s="42" t="str">
        <f>IFERROR(VLOOKUP(J1829,'Mã NV'!$B:$C,2,0),"")</f>
        <v>XE00975</v>
      </c>
      <c r="Q1829" s="70" t="str">
        <f>IFERROR(VLOOKUP(I1829,'Mã NV'!$J:$K,2,0),"")</f>
        <v>2.5T Lạnh</v>
      </c>
    </row>
    <row r="1830" customHeight="1" spans="1:17">
      <c r="A1830" s="63">
        <f t="shared" si="119"/>
        <v>1822</v>
      </c>
      <c r="B1830" s="64">
        <v>46151</v>
      </c>
      <c r="D1830" s="66" t="s">
        <v>58</v>
      </c>
      <c r="E1830" s="66" t="s">
        <v>58</v>
      </c>
      <c r="F1830" s="66" t="s">
        <v>985</v>
      </c>
      <c r="G1830" s="66" t="s">
        <v>1076</v>
      </c>
      <c r="H1830" s="66" t="s">
        <v>1089</v>
      </c>
      <c r="I1830" s="66" t="s">
        <v>57</v>
      </c>
      <c r="J1830" s="66" t="s">
        <v>55</v>
      </c>
      <c r="K1830" s="66" t="s">
        <v>747</v>
      </c>
      <c r="L1830" s="67">
        <v>309341</v>
      </c>
      <c r="M1830" s="67">
        <v>0</v>
      </c>
      <c r="N1830" s="68">
        <f t="shared" si="118"/>
        <v>309341</v>
      </c>
      <c r="O1830" s="69">
        <f t="shared" si="117"/>
        <v>309341</v>
      </c>
      <c r="P1830" s="42" t="str">
        <f>IFERROR(VLOOKUP(J1830,'Mã NV'!$B:$C,2,0),"")</f>
        <v>XE00768</v>
      </c>
      <c r="Q1830" s="70" t="str">
        <f>IFERROR(VLOOKUP(I1830,'Mã NV'!$J:$K,2,0),"")</f>
        <v>2.5T</v>
      </c>
    </row>
    <row r="1831" customHeight="1" spans="1:17">
      <c r="A1831" s="63">
        <f t="shared" si="119"/>
        <v>1823</v>
      </c>
      <c r="B1831" s="64">
        <v>46151</v>
      </c>
      <c r="D1831" s="66" t="s">
        <v>58</v>
      </c>
      <c r="E1831" s="66" t="s">
        <v>58</v>
      </c>
      <c r="F1831" s="66" t="s">
        <v>985</v>
      </c>
      <c r="G1831" s="66" t="s">
        <v>1076</v>
      </c>
      <c r="H1831" s="66" t="s">
        <v>1093</v>
      </c>
      <c r="I1831" s="66" t="s">
        <v>57</v>
      </c>
      <c r="J1831" s="66" t="s">
        <v>55</v>
      </c>
      <c r="K1831" s="66" t="s">
        <v>747</v>
      </c>
      <c r="L1831" s="67">
        <v>233955</v>
      </c>
      <c r="M1831" s="67">
        <v>0</v>
      </c>
      <c r="N1831" s="68">
        <f t="shared" si="118"/>
        <v>233955</v>
      </c>
      <c r="O1831" s="69">
        <f t="shared" si="117"/>
        <v>233955</v>
      </c>
      <c r="P1831" s="42" t="str">
        <f>IFERROR(VLOOKUP(J1831,'Mã NV'!$B:$C,2,0),"")</f>
        <v>XE00768</v>
      </c>
      <c r="Q1831" s="70" t="str">
        <f>IFERROR(VLOOKUP(I1831,'Mã NV'!$J:$K,2,0),"")</f>
        <v>2.5T</v>
      </c>
    </row>
    <row r="1832" customHeight="1" spans="1:17">
      <c r="A1832" s="63">
        <f t="shared" si="119"/>
        <v>1824</v>
      </c>
      <c r="B1832" s="64">
        <v>46151</v>
      </c>
      <c r="D1832" s="66" t="s">
        <v>58</v>
      </c>
      <c r="E1832" s="66" t="s">
        <v>58</v>
      </c>
      <c r="F1832" s="66" t="s">
        <v>985</v>
      </c>
      <c r="G1832" s="66" t="s">
        <v>1076</v>
      </c>
      <c r="H1832" s="66" t="s">
        <v>1092</v>
      </c>
      <c r="I1832" s="66" t="s">
        <v>57</v>
      </c>
      <c r="J1832" s="66" t="s">
        <v>55</v>
      </c>
      <c r="K1832" s="66" t="s">
        <v>747</v>
      </c>
      <c r="L1832" s="67">
        <v>207960</v>
      </c>
      <c r="M1832" s="67">
        <v>0</v>
      </c>
      <c r="N1832" s="68">
        <f t="shared" si="118"/>
        <v>207960</v>
      </c>
      <c r="O1832" s="69">
        <f t="shared" si="117"/>
        <v>207960</v>
      </c>
      <c r="P1832" s="42" t="str">
        <f>IFERROR(VLOOKUP(J1832,'Mã NV'!$B:$C,2,0),"")</f>
        <v>XE00768</v>
      </c>
      <c r="Q1832" s="70" t="str">
        <f>IFERROR(VLOOKUP(I1832,'Mã NV'!$J:$K,2,0),"")</f>
        <v>2.5T</v>
      </c>
    </row>
    <row r="1833" customHeight="1" spans="1:17">
      <c r="A1833" s="63">
        <f t="shared" si="119"/>
        <v>1825</v>
      </c>
      <c r="B1833" s="64">
        <v>46151</v>
      </c>
      <c r="D1833" s="66" t="s">
        <v>58</v>
      </c>
      <c r="E1833" s="66" t="s">
        <v>58</v>
      </c>
      <c r="F1833" s="66" t="s">
        <v>985</v>
      </c>
      <c r="G1833" s="66" t="s">
        <v>1076</v>
      </c>
      <c r="H1833" s="66" t="s">
        <v>1090</v>
      </c>
      <c r="I1833" s="66" t="s">
        <v>57</v>
      </c>
      <c r="J1833" s="66" t="s">
        <v>55</v>
      </c>
      <c r="K1833" s="66" t="s">
        <v>747</v>
      </c>
      <c r="L1833" s="67">
        <v>301542</v>
      </c>
      <c r="M1833" s="67">
        <v>0</v>
      </c>
      <c r="N1833" s="68">
        <f t="shared" si="118"/>
        <v>301542</v>
      </c>
      <c r="O1833" s="69">
        <f t="shared" si="117"/>
        <v>301542</v>
      </c>
      <c r="P1833" s="42" t="str">
        <f>IFERROR(VLOOKUP(J1833,'Mã NV'!$B:$C,2,0),"")</f>
        <v>XE00768</v>
      </c>
      <c r="Q1833" s="70" t="str">
        <f>IFERROR(VLOOKUP(I1833,'Mã NV'!$J:$K,2,0),"")</f>
        <v>2.5T</v>
      </c>
    </row>
    <row r="1834" customHeight="1" spans="1:17">
      <c r="A1834" s="63">
        <f t="shared" si="119"/>
        <v>1826</v>
      </c>
      <c r="B1834" s="64">
        <v>46151</v>
      </c>
      <c r="D1834" s="66" t="s">
        <v>58</v>
      </c>
      <c r="E1834" s="66" t="s">
        <v>58</v>
      </c>
      <c r="F1834" s="66" t="s">
        <v>985</v>
      </c>
      <c r="G1834" s="66" t="s">
        <v>1076</v>
      </c>
      <c r="H1834" s="66" t="s">
        <v>1099</v>
      </c>
      <c r="I1834" s="66" t="s">
        <v>403</v>
      </c>
      <c r="J1834" s="66" t="s">
        <v>401</v>
      </c>
      <c r="K1834" s="66" t="s">
        <v>747</v>
      </c>
      <c r="L1834" s="67">
        <v>142973</v>
      </c>
      <c r="M1834" s="67">
        <v>0</v>
      </c>
      <c r="N1834" s="68">
        <f t="shared" si="118"/>
        <v>142973</v>
      </c>
      <c r="O1834" s="69">
        <f t="shared" si="117"/>
        <v>142973</v>
      </c>
      <c r="P1834" s="42" t="str">
        <f>IFERROR(VLOOKUP(J1834,'Mã NV'!$B:$C,2,0),"")</f>
        <v>XE01466</v>
      </c>
      <c r="Q1834" s="70" t="str">
        <f>IFERROR(VLOOKUP(I1834,'Mã NV'!$J:$K,2,0),"")</f>
        <v>3.5T</v>
      </c>
    </row>
    <row r="1835" customHeight="1" spans="1:17">
      <c r="A1835" s="63">
        <f t="shared" si="119"/>
        <v>1827</v>
      </c>
      <c r="B1835" s="64">
        <v>46151</v>
      </c>
      <c r="D1835" s="66" t="s">
        <v>58</v>
      </c>
      <c r="E1835" s="66" t="s">
        <v>58</v>
      </c>
      <c r="F1835" s="66" t="s">
        <v>985</v>
      </c>
      <c r="G1835" s="66" t="s">
        <v>1076</v>
      </c>
      <c r="H1835" s="66" t="s">
        <v>1100</v>
      </c>
      <c r="I1835" s="66" t="s">
        <v>403</v>
      </c>
      <c r="J1835" s="66" t="s">
        <v>401</v>
      </c>
      <c r="K1835" s="66" t="s">
        <v>747</v>
      </c>
      <c r="L1835" s="67">
        <v>220958</v>
      </c>
      <c r="M1835" s="67">
        <v>0</v>
      </c>
      <c r="N1835" s="68">
        <f t="shared" si="118"/>
        <v>220958</v>
      </c>
      <c r="O1835" s="69">
        <f t="shared" si="117"/>
        <v>220958</v>
      </c>
      <c r="P1835" s="42" t="str">
        <f>IFERROR(VLOOKUP(J1835,'Mã NV'!$B:$C,2,0),"")</f>
        <v>XE01466</v>
      </c>
      <c r="Q1835" s="70" t="str">
        <f>IFERROR(VLOOKUP(I1835,'Mã NV'!$J:$K,2,0),"")</f>
        <v>3.5T</v>
      </c>
    </row>
    <row r="1836" customHeight="1" spans="1:17">
      <c r="A1836" s="63">
        <f t="shared" si="119"/>
        <v>1828</v>
      </c>
      <c r="B1836" s="64">
        <v>46151</v>
      </c>
      <c r="D1836" s="66" t="s">
        <v>58</v>
      </c>
      <c r="E1836" s="66" t="s">
        <v>58</v>
      </c>
      <c r="F1836" s="66" t="s">
        <v>985</v>
      </c>
      <c r="G1836" s="66" t="s">
        <v>1076</v>
      </c>
      <c r="H1836" s="66" t="s">
        <v>1101</v>
      </c>
      <c r="I1836" s="66" t="s">
        <v>403</v>
      </c>
      <c r="J1836" s="66" t="s">
        <v>401</v>
      </c>
      <c r="K1836" s="66" t="s">
        <v>747</v>
      </c>
      <c r="L1836" s="67">
        <v>241754</v>
      </c>
      <c r="M1836" s="67">
        <v>0</v>
      </c>
      <c r="N1836" s="68">
        <f t="shared" si="118"/>
        <v>241754</v>
      </c>
      <c r="O1836" s="69">
        <f t="shared" si="117"/>
        <v>241754</v>
      </c>
      <c r="P1836" s="42" t="str">
        <f>IFERROR(VLOOKUP(J1836,'Mã NV'!$B:$C,2,0),"")</f>
        <v>XE01466</v>
      </c>
      <c r="Q1836" s="70" t="str">
        <f>IFERROR(VLOOKUP(I1836,'Mã NV'!$J:$K,2,0),"")</f>
        <v>3.5T</v>
      </c>
    </row>
    <row r="1837" customHeight="1" spans="1:17">
      <c r="A1837" s="63">
        <f t="shared" si="119"/>
        <v>1829</v>
      </c>
      <c r="B1837" s="64">
        <v>46151</v>
      </c>
      <c r="D1837" s="66" t="s">
        <v>58</v>
      </c>
      <c r="E1837" s="66" t="s">
        <v>58</v>
      </c>
      <c r="F1837" s="66" t="s">
        <v>985</v>
      </c>
      <c r="G1837" s="66" t="s">
        <v>1076</v>
      </c>
      <c r="H1837" s="66" t="s">
        <v>1077</v>
      </c>
      <c r="I1837" s="66" t="s">
        <v>403</v>
      </c>
      <c r="J1837" s="66" t="s">
        <v>401</v>
      </c>
      <c r="K1837" s="66" t="s">
        <v>747</v>
      </c>
      <c r="L1837" s="67">
        <v>343134</v>
      </c>
      <c r="M1837" s="67">
        <v>0</v>
      </c>
      <c r="N1837" s="68">
        <f t="shared" si="118"/>
        <v>343134</v>
      </c>
      <c r="O1837" s="69">
        <f t="shared" si="117"/>
        <v>343134</v>
      </c>
      <c r="P1837" s="42" t="str">
        <f>IFERROR(VLOOKUP(J1837,'Mã NV'!$B:$C,2,0),"")</f>
        <v>XE01466</v>
      </c>
      <c r="Q1837" s="70" t="str">
        <f>IFERROR(VLOOKUP(I1837,'Mã NV'!$J:$K,2,0),"")</f>
        <v>3.5T</v>
      </c>
    </row>
    <row r="1838" customHeight="1" spans="1:17">
      <c r="A1838" s="63">
        <f t="shared" si="119"/>
        <v>1830</v>
      </c>
      <c r="B1838" s="64">
        <v>46153</v>
      </c>
      <c r="D1838" s="66" t="s">
        <v>58</v>
      </c>
      <c r="E1838" s="66" t="s">
        <v>58</v>
      </c>
      <c r="F1838" s="66" t="s">
        <v>985</v>
      </c>
      <c r="G1838" s="66" t="s">
        <v>1076</v>
      </c>
      <c r="H1838" s="66" t="s">
        <v>1109</v>
      </c>
      <c r="I1838" s="66" t="s">
        <v>133</v>
      </c>
      <c r="J1838" s="66" t="s">
        <v>347</v>
      </c>
      <c r="K1838" s="66" t="s">
        <v>747</v>
      </c>
      <c r="L1838" s="67">
        <v>1104788</v>
      </c>
      <c r="M1838" s="67">
        <v>0</v>
      </c>
      <c r="N1838" s="68">
        <f t="shared" si="118"/>
        <v>1104788</v>
      </c>
      <c r="O1838" s="69">
        <f t="shared" si="117"/>
        <v>1104788</v>
      </c>
      <c r="P1838" s="42" t="str">
        <f>IFERROR(VLOOKUP(J1838,'Mã NV'!$B:$C,2,0),"")</f>
        <v>XE01653</v>
      </c>
      <c r="Q1838" s="70" t="str">
        <f>IFERROR(VLOOKUP(I1838,'Mã NV'!$J:$K,2,0),"")</f>
        <v>2.5T</v>
      </c>
    </row>
    <row r="1839" customHeight="1" spans="1:17">
      <c r="A1839" s="63">
        <f t="shared" si="119"/>
        <v>1831</v>
      </c>
      <c r="B1839" s="64">
        <v>46153</v>
      </c>
      <c r="D1839" s="66" t="s">
        <v>58</v>
      </c>
      <c r="E1839" s="66" t="s">
        <v>58</v>
      </c>
      <c r="F1839" s="66" t="s">
        <v>985</v>
      </c>
      <c r="G1839" s="66" t="s">
        <v>1076</v>
      </c>
      <c r="H1839" s="66" t="s">
        <v>1109</v>
      </c>
      <c r="I1839" s="66" t="s">
        <v>134</v>
      </c>
      <c r="J1839" s="66" t="s">
        <v>359</v>
      </c>
      <c r="K1839" s="66" t="s">
        <v>747</v>
      </c>
      <c r="L1839" s="67">
        <v>569291</v>
      </c>
      <c r="M1839" s="67">
        <v>0</v>
      </c>
      <c r="N1839" s="68">
        <f t="shared" si="118"/>
        <v>569291</v>
      </c>
      <c r="O1839" s="69">
        <f t="shared" si="117"/>
        <v>569291</v>
      </c>
      <c r="P1839" s="42" t="str">
        <f>IFERROR(VLOOKUP(J1839,'Mã NV'!$B:$C,2,0),"")</f>
        <v>XE01639</v>
      </c>
      <c r="Q1839" s="70" t="str">
        <f>IFERROR(VLOOKUP(I1839,'Mã NV'!$J:$K,2,0),"")</f>
        <v>2.5T Lạnh</v>
      </c>
    </row>
    <row r="1840" customHeight="1" spans="1:17">
      <c r="A1840" s="63">
        <f t="shared" si="119"/>
        <v>1832</v>
      </c>
      <c r="B1840" s="64">
        <v>46153</v>
      </c>
      <c r="D1840" s="66" t="s">
        <v>58</v>
      </c>
      <c r="E1840" s="66" t="s">
        <v>58</v>
      </c>
      <c r="F1840" s="66" t="s">
        <v>985</v>
      </c>
      <c r="G1840" s="66" t="s">
        <v>1076</v>
      </c>
      <c r="H1840" s="66" t="s">
        <v>1080</v>
      </c>
      <c r="I1840" s="66" t="s">
        <v>57</v>
      </c>
      <c r="J1840" s="66" t="s">
        <v>55</v>
      </c>
      <c r="K1840" s="66" t="s">
        <v>747</v>
      </c>
      <c r="L1840" s="67">
        <v>262550</v>
      </c>
      <c r="M1840" s="67">
        <v>0</v>
      </c>
      <c r="N1840" s="68">
        <f t="shared" si="118"/>
        <v>262550</v>
      </c>
      <c r="O1840" s="69">
        <f t="shared" si="117"/>
        <v>262550</v>
      </c>
      <c r="P1840" s="42" t="str">
        <f>IFERROR(VLOOKUP(J1840,'Mã NV'!$B:$C,2,0),"")</f>
        <v>XE00768</v>
      </c>
      <c r="Q1840" s="70" t="str">
        <f>IFERROR(VLOOKUP(I1840,'Mã NV'!$J:$K,2,0),"")</f>
        <v>2.5T</v>
      </c>
    </row>
    <row r="1841" customHeight="1" spans="1:17">
      <c r="A1841" s="63">
        <f t="shared" si="119"/>
        <v>1833</v>
      </c>
      <c r="B1841" s="64">
        <v>46153</v>
      </c>
      <c r="D1841" s="66" t="s">
        <v>58</v>
      </c>
      <c r="E1841" s="66" t="s">
        <v>58</v>
      </c>
      <c r="F1841" s="66" t="s">
        <v>985</v>
      </c>
      <c r="G1841" s="66" t="s">
        <v>1076</v>
      </c>
      <c r="H1841" s="66" t="s">
        <v>1083</v>
      </c>
      <c r="I1841" s="66" t="s">
        <v>57</v>
      </c>
      <c r="J1841" s="66" t="s">
        <v>55</v>
      </c>
      <c r="K1841" s="66" t="s">
        <v>747</v>
      </c>
      <c r="L1841" s="67">
        <v>340535</v>
      </c>
      <c r="M1841" s="67">
        <v>0</v>
      </c>
      <c r="N1841" s="68">
        <f t="shared" si="118"/>
        <v>340535</v>
      </c>
      <c r="O1841" s="69">
        <f t="shared" si="117"/>
        <v>340535</v>
      </c>
      <c r="P1841" s="42" t="str">
        <f>IFERROR(VLOOKUP(J1841,'Mã NV'!$B:$C,2,0),"")</f>
        <v>XE00768</v>
      </c>
      <c r="Q1841" s="70" t="str">
        <f>IFERROR(VLOOKUP(I1841,'Mã NV'!$J:$K,2,0),"")</f>
        <v>2.5T</v>
      </c>
    </row>
    <row r="1842" customHeight="1" spans="1:17">
      <c r="A1842" s="63">
        <f t="shared" si="119"/>
        <v>1834</v>
      </c>
      <c r="B1842" s="64">
        <v>46153</v>
      </c>
      <c r="D1842" s="66" t="s">
        <v>58</v>
      </c>
      <c r="E1842" s="66" t="s">
        <v>58</v>
      </c>
      <c r="F1842" s="66" t="s">
        <v>985</v>
      </c>
      <c r="G1842" s="66" t="s">
        <v>1076</v>
      </c>
      <c r="H1842" s="66" t="s">
        <v>1079</v>
      </c>
      <c r="I1842" s="66" t="s">
        <v>57</v>
      </c>
      <c r="J1842" s="66" t="s">
        <v>55</v>
      </c>
      <c r="K1842" s="66" t="s">
        <v>747</v>
      </c>
      <c r="L1842" s="67">
        <v>267749</v>
      </c>
      <c r="M1842" s="67">
        <v>0</v>
      </c>
      <c r="N1842" s="68">
        <f t="shared" si="118"/>
        <v>267749</v>
      </c>
      <c r="O1842" s="69">
        <f t="shared" si="117"/>
        <v>267749</v>
      </c>
      <c r="P1842" s="42" t="str">
        <f>IFERROR(VLOOKUP(J1842,'Mã NV'!$B:$C,2,0),"")</f>
        <v>XE00768</v>
      </c>
      <c r="Q1842" s="70" t="str">
        <f>IFERROR(VLOOKUP(I1842,'Mã NV'!$J:$K,2,0),"")</f>
        <v>2.5T</v>
      </c>
    </row>
    <row r="1843" customHeight="1" spans="1:17">
      <c r="A1843" s="63">
        <f t="shared" si="119"/>
        <v>1835</v>
      </c>
      <c r="B1843" s="64">
        <v>46153</v>
      </c>
      <c r="D1843" s="66" t="s">
        <v>58</v>
      </c>
      <c r="E1843" s="66" t="s">
        <v>58</v>
      </c>
      <c r="F1843" s="66" t="s">
        <v>985</v>
      </c>
      <c r="G1843" s="66" t="s">
        <v>1076</v>
      </c>
      <c r="H1843" s="66" t="s">
        <v>1081</v>
      </c>
      <c r="I1843" s="66" t="s">
        <v>177</v>
      </c>
      <c r="J1843" s="66" t="s">
        <v>174</v>
      </c>
      <c r="K1843" s="66" t="s">
        <v>747</v>
      </c>
      <c r="L1843" s="67">
        <v>366530</v>
      </c>
      <c r="M1843" s="67">
        <v>0</v>
      </c>
      <c r="N1843" s="68">
        <f t="shared" si="118"/>
        <v>366530</v>
      </c>
      <c r="O1843" s="69">
        <f t="shared" ref="O1843:O1906" si="120">N1843/$P$1</f>
        <v>366530</v>
      </c>
      <c r="P1843" s="42" t="str">
        <f>IFERROR(VLOOKUP(J1843,'Mã NV'!$B:$C,2,0),"")</f>
        <v>XE00975</v>
      </c>
      <c r="Q1843" s="70" t="str">
        <f>IFERROR(VLOOKUP(I1843,'Mã NV'!$J:$K,2,0),"")</f>
        <v>2.5T Lạnh</v>
      </c>
    </row>
    <row r="1844" customHeight="1" spans="1:17">
      <c r="A1844" s="63">
        <f t="shared" si="119"/>
        <v>1836</v>
      </c>
      <c r="B1844" s="64">
        <v>46153</v>
      </c>
      <c r="D1844" s="66" t="s">
        <v>58</v>
      </c>
      <c r="E1844" s="66" t="s">
        <v>58</v>
      </c>
      <c r="F1844" s="66" t="s">
        <v>985</v>
      </c>
      <c r="G1844" s="66" t="s">
        <v>1076</v>
      </c>
      <c r="H1844" s="66" t="s">
        <v>1082</v>
      </c>
      <c r="I1844" s="66" t="s">
        <v>177</v>
      </c>
      <c r="J1844" s="66" t="s">
        <v>174</v>
      </c>
      <c r="K1844" s="66" t="s">
        <v>747</v>
      </c>
      <c r="L1844" s="67">
        <v>408122</v>
      </c>
      <c r="M1844" s="67">
        <v>0</v>
      </c>
      <c r="N1844" s="68">
        <f t="shared" ref="N1844:N1907" si="121">L1844-M1844</f>
        <v>408122</v>
      </c>
      <c r="O1844" s="69">
        <f t="shared" si="120"/>
        <v>408122</v>
      </c>
      <c r="P1844" s="42" t="str">
        <f>IFERROR(VLOOKUP(J1844,'Mã NV'!$B:$C,2,0),"")</f>
        <v>XE00975</v>
      </c>
      <c r="Q1844" s="70" t="str">
        <f>IFERROR(VLOOKUP(I1844,'Mã NV'!$J:$K,2,0),"")</f>
        <v>2.5T Lạnh</v>
      </c>
    </row>
    <row r="1845" customHeight="1" spans="1:17">
      <c r="A1845" s="63">
        <f t="shared" si="119"/>
        <v>1837</v>
      </c>
      <c r="B1845" s="64">
        <v>46153</v>
      </c>
      <c r="D1845" s="66" t="s">
        <v>58</v>
      </c>
      <c r="E1845" s="66" t="s">
        <v>58</v>
      </c>
      <c r="F1845" s="66" t="s">
        <v>985</v>
      </c>
      <c r="G1845" s="66" t="s">
        <v>1076</v>
      </c>
      <c r="H1845" s="66" t="s">
        <v>1087</v>
      </c>
      <c r="I1845" s="66" t="s">
        <v>323</v>
      </c>
      <c r="J1845" s="66" t="s">
        <v>321</v>
      </c>
      <c r="K1845" s="66" t="s">
        <v>747</v>
      </c>
      <c r="L1845" s="67">
        <v>210560</v>
      </c>
      <c r="M1845" s="67">
        <v>0</v>
      </c>
      <c r="N1845" s="68">
        <f t="shared" si="121"/>
        <v>210560</v>
      </c>
      <c r="O1845" s="69">
        <f t="shared" si="120"/>
        <v>210560</v>
      </c>
      <c r="P1845" s="42" t="str">
        <f>IFERROR(VLOOKUP(J1845,'Mã NV'!$B:$C,2,0),"")</f>
        <v>XE01537</v>
      </c>
      <c r="Q1845" s="70" t="str">
        <f>IFERROR(VLOOKUP(I1845,'Mã NV'!$J:$K,2,0),"")</f>
        <v>2.5T</v>
      </c>
    </row>
    <row r="1846" customHeight="1" spans="1:17">
      <c r="A1846" s="63">
        <f t="shared" si="119"/>
        <v>1838</v>
      </c>
      <c r="B1846" s="64">
        <v>46153</v>
      </c>
      <c r="D1846" s="66" t="s">
        <v>58</v>
      </c>
      <c r="E1846" s="66" t="s">
        <v>58</v>
      </c>
      <c r="F1846" s="66" t="s">
        <v>985</v>
      </c>
      <c r="G1846" s="66" t="s">
        <v>1076</v>
      </c>
      <c r="H1846" s="66" t="s">
        <v>1078</v>
      </c>
      <c r="I1846" s="66" t="s">
        <v>323</v>
      </c>
      <c r="J1846" s="66" t="s">
        <v>321</v>
      </c>
      <c r="K1846" s="66" t="s">
        <v>747</v>
      </c>
      <c r="L1846" s="67">
        <v>402923</v>
      </c>
      <c r="M1846" s="67">
        <v>0</v>
      </c>
      <c r="N1846" s="68">
        <f t="shared" si="121"/>
        <v>402923</v>
      </c>
      <c r="O1846" s="69">
        <f t="shared" si="120"/>
        <v>402923</v>
      </c>
      <c r="P1846" s="42" t="str">
        <f>IFERROR(VLOOKUP(J1846,'Mã NV'!$B:$C,2,0),"")</f>
        <v>XE01537</v>
      </c>
      <c r="Q1846" s="70" t="str">
        <f>IFERROR(VLOOKUP(I1846,'Mã NV'!$J:$K,2,0),"")</f>
        <v>2.5T</v>
      </c>
    </row>
    <row r="1847" customHeight="1" spans="1:17">
      <c r="A1847" s="63">
        <f t="shared" si="119"/>
        <v>1839</v>
      </c>
      <c r="B1847" s="64">
        <v>46153</v>
      </c>
      <c r="D1847" s="66" t="s">
        <v>58</v>
      </c>
      <c r="E1847" s="66" t="s">
        <v>58</v>
      </c>
      <c r="F1847" s="66" t="s">
        <v>985</v>
      </c>
      <c r="G1847" s="66" t="s">
        <v>1076</v>
      </c>
      <c r="H1847" s="66" t="s">
        <v>1094</v>
      </c>
      <c r="I1847" s="66" t="s">
        <v>323</v>
      </c>
      <c r="J1847" s="66" t="s">
        <v>321</v>
      </c>
      <c r="K1847" s="66" t="s">
        <v>747</v>
      </c>
      <c r="L1847" s="67">
        <v>168968</v>
      </c>
      <c r="M1847" s="67">
        <v>0</v>
      </c>
      <c r="N1847" s="68">
        <f t="shared" si="121"/>
        <v>168968</v>
      </c>
      <c r="O1847" s="69">
        <f t="shared" si="120"/>
        <v>168968</v>
      </c>
      <c r="P1847" s="42" t="str">
        <f>IFERROR(VLOOKUP(J1847,'Mã NV'!$B:$C,2,0),"")</f>
        <v>XE01537</v>
      </c>
      <c r="Q1847" s="70" t="str">
        <f>IFERROR(VLOOKUP(I1847,'Mã NV'!$J:$K,2,0),"")</f>
        <v>2.5T</v>
      </c>
    </row>
    <row r="1848" customHeight="1" spans="1:17">
      <c r="A1848" s="63">
        <f t="shared" si="119"/>
        <v>1840</v>
      </c>
      <c r="B1848" s="64">
        <v>46153</v>
      </c>
      <c r="D1848" s="66" t="s">
        <v>58</v>
      </c>
      <c r="E1848" s="66" t="s">
        <v>58</v>
      </c>
      <c r="F1848" s="66" t="s">
        <v>985</v>
      </c>
      <c r="G1848" s="66" t="s">
        <v>1076</v>
      </c>
      <c r="H1848" s="66" t="s">
        <v>1096</v>
      </c>
      <c r="I1848" s="66" t="s">
        <v>84</v>
      </c>
      <c r="J1848" s="66" t="s">
        <v>82</v>
      </c>
      <c r="K1848" s="66" t="s">
        <v>747</v>
      </c>
      <c r="L1848" s="67">
        <v>421119</v>
      </c>
      <c r="M1848" s="67">
        <v>0</v>
      </c>
      <c r="N1848" s="68">
        <f t="shared" si="121"/>
        <v>421119</v>
      </c>
      <c r="O1848" s="69">
        <f t="shared" si="120"/>
        <v>421119</v>
      </c>
      <c r="P1848" s="42" t="str">
        <f>IFERROR(VLOOKUP(J1848,'Mã NV'!$B:$C,2,0),"")</f>
        <v>XE00832</v>
      </c>
      <c r="Q1848" s="70" t="str">
        <f>IFERROR(VLOOKUP(I1848,'Mã NV'!$J:$K,2,0),"")</f>
        <v>6.5T</v>
      </c>
    </row>
    <row r="1849" customHeight="1" spans="1:17">
      <c r="A1849" s="63">
        <f t="shared" si="119"/>
        <v>1841</v>
      </c>
      <c r="B1849" s="64">
        <v>46153</v>
      </c>
      <c r="D1849" s="66" t="s">
        <v>58</v>
      </c>
      <c r="E1849" s="66" t="s">
        <v>58</v>
      </c>
      <c r="F1849" s="66" t="s">
        <v>985</v>
      </c>
      <c r="G1849" s="66" t="s">
        <v>1076</v>
      </c>
      <c r="H1849" s="66" t="s">
        <v>1089</v>
      </c>
      <c r="I1849" s="66" t="s">
        <v>84</v>
      </c>
      <c r="J1849" s="66" t="s">
        <v>82</v>
      </c>
      <c r="K1849" s="66" t="s">
        <v>747</v>
      </c>
      <c r="L1849" s="67">
        <v>532898</v>
      </c>
      <c r="M1849" s="67">
        <v>0</v>
      </c>
      <c r="N1849" s="68">
        <f t="shared" si="121"/>
        <v>532898</v>
      </c>
      <c r="O1849" s="69">
        <f t="shared" si="120"/>
        <v>532898</v>
      </c>
      <c r="P1849" s="42" t="str">
        <f>IFERROR(VLOOKUP(J1849,'Mã NV'!$B:$C,2,0),"")</f>
        <v>XE00832</v>
      </c>
      <c r="Q1849" s="70" t="str">
        <f>IFERROR(VLOOKUP(I1849,'Mã NV'!$J:$K,2,0),"")</f>
        <v>6.5T</v>
      </c>
    </row>
    <row r="1850" customHeight="1" spans="1:17">
      <c r="A1850" s="63">
        <f t="shared" si="119"/>
        <v>1842</v>
      </c>
      <c r="B1850" s="64">
        <v>46153</v>
      </c>
      <c r="D1850" s="66" t="s">
        <v>58</v>
      </c>
      <c r="E1850" s="66" t="s">
        <v>58</v>
      </c>
      <c r="F1850" s="66" t="s">
        <v>985</v>
      </c>
      <c r="G1850" s="66" t="s">
        <v>1076</v>
      </c>
      <c r="H1850" s="66" t="s">
        <v>1091</v>
      </c>
      <c r="I1850" s="66" t="s">
        <v>84</v>
      </c>
      <c r="J1850" s="66" t="s">
        <v>82</v>
      </c>
      <c r="K1850" s="66" t="s">
        <v>747</v>
      </c>
      <c r="L1850" s="67">
        <v>379527</v>
      </c>
      <c r="M1850" s="67">
        <v>0</v>
      </c>
      <c r="N1850" s="68">
        <f t="shared" si="121"/>
        <v>379527</v>
      </c>
      <c r="O1850" s="69">
        <f t="shared" si="120"/>
        <v>379527</v>
      </c>
      <c r="P1850" s="42" t="str">
        <f>IFERROR(VLOOKUP(J1850,'Mã NV'!$B:$C,2,0),"")</f>
        <v>XE00832</v>
      </c>
      <c r="Q1850" s="70" t="str">
        <f>IFERROR(VLOOKUP(I1850,'Mã NV'!$J:$K,2,0),"")</f>
        <v>6.5T</v>
      </c>
    </row>
    <row r="1851" customHeight="1" spans="1:17">
      <c r="A1851" s="63">
        <f t="shared" si="119"/>
        <v>1843</v>
      </c>
      <c r="B1851" s="64">
        <v>46153</v>
      </c>
      <c r="D1851" s="66" t="s">
        <v>58</v>
      </c>
      <c r="E1851" s="66" t="s">
        <v>58</v>
      </c>
      <c r="F1851" s="66" t="s">
        <v>985</v>
      </c>
      <c r="G1851" s="66" t="s">
        <v>1076</v>
      </c>
      <c r="H1851" s="66" t="s">
        <v>1095</v>
      </c>
      <c r="I1851" s="66" t="s">
        <v>134</v>
      </c>
      <c r="J1851" s="66" t="s">
        <v>359</v>
      </c>
      <c r="K1851" s="66" t="s">
        <v>747</v>
      </c>
      <c r="L1851" s="67">
        <v>382127</v>
      </c>
      <c r="M1851" s="67">
        <v>0</v>
      </c>
      <c r="N1851" s="68">
        <f t="shared" si="121"/>
        <v>382127</v>
      </c>
      <c r="O1851" s="69">
        <f t="shared" si="120"/>
        <v>382127</v>
      </c>
      <c r="P1851" s="42" t="str">
        <f>IFERROR(VLOOKUP(J1851,'Mã NV'!$B:$C,2,0),"")</f>
        <v>XE01639</v>
      </c>
      <c r="Q1851" s="70" t="str">
        <f>IFERROR(VLOOKUP(I1851,'Mã NV'!$J:$K,2,0),"")</f>
        <v>2.5T Lạnh</v>
      </c>
    </row>
    <row r="1852" customHeight="1" spans="1:17">
      <c r="A1852" s="63">
        <f t="shared" si="119"/>
        <v>1844</v>
      </c>
      <c r="B1852" s="64">
        <v>46153</v>
      </c>
      <c r="D1852" s="66" t="s">
        <v>58</v>
      </c>
      <c r="E1852" s="66" t="s">
        <v>58</v>
      </c>
      <c r="F1852" s="66" t="s">
        <v>985</v>
      </c>
      <c r="G1852" s="66" t="s">
        <v>1076</v>
      </c>
      <c r="H1852" s="66" t="s">
        <v>1092</v>
      </c>
      <c r="I1852" s="66" t="s">
        <v>134</v>
      </c>
      <c r="J1852" s="66" t="s">
        <v>359</v>
      </c>
      <c r="K1852" s="66" t="s">
        <v>747</v>
      </c>
      <c r="L1852" s="67">
        <v>428918</v>
      </c>
      <c r="M1852" s="67">
        <v>0</v>
      </c>
      <c r="N1852" s="68">
        <f t="shared" si="121"/>
        <v>428918</v>
      </c>
      <c r="O1852" s="69">
        <f t="shared" si="120"/>
        <v>428918</v>
      </c>
      <c r="P1852" s="42" t="str">
        <f>IFERROR(VLOOKUP(J1852,'Mã NV'!$B:$C,2,0),"")</f>
        <v>XE01639</v>
      </c>
      <c r="Q1852" s="70" t="str">
        <f>IFERROR(VLOOKUP(I1852,'Mã NV'!$J:$K,2,0),"")</f>
        <v>2.5T Lạnh</v>
      </c>
    </row>
    <row r="1853" customHeight="1" spans="1:17">
      <c r="A1853" s="63">
        <f t="shared" si="119"/>
        <v>1845</v>
      </c>
      <c r="B1853" s="64">
        <v>46153</v>
      </c>
      <c r="D1853" s="66" t="s">
        <v>58</v>
      </c>
      <c r="E1853" s="66" t="s">
        <v>58</v>
      </c>
      <c r="F1853" s="66" t="s">
        <v>985</v>
      </c>
      <c r="G1853" s="66" t="s">
        <v>1076</v>
      </c>
      <c r="H1853" s="66" t="s">
        <v>1097</v>
      </c>
      <c r="I1853" s="66" t="s">
        <v>133</v>
      </c>
      <c r="J1853" s="66" t="s">
        <v>347</v>
      </c>
      <c r="K1853" s="66" t="s">
        <v>747</v>
      </c>
      <c r="L1853" s="67">
        <v>402923</v>
      </c>
      <c r="M1853" s="67">
        <v>0</v>
      </c>
      <c r="N1853" s="68">
        <f t="shared" si="121"/>
        <v>402923</v>
      </c>
      <c r="O1853" s="69">
        <f t="shared" si="120"/>
        <v>402923</v>
      </c>
      <c r="P1853" s="42" t="str">
        <f>IFERROR(VLOOKUP(J1853,'Mã NV'!$B:$C,2,0),"")</f>
        <v>XE01653</v>
      </c>
      <c r="Q1853" s="70" t="str">
        <f>IFERROR(VLOOKUP(I1853,'Mã NV'!$J:$K,2,0),"")</f>
        <v>2.5T</v>
      </c>
    </row>
    <row r="1854" customHeight="1" spans="1:17">
      <c r="A1854" s="63">
        <f t="shared" si="119"/>
        <v>1846</v>
      </c>
      <c r="B1854" s="64">
        <v>46153</v>
      </c>
      <c r="D1854" s="66" t="s">
        <v>58</v>
      </c>
      <c r="E1854" s="66" t="s">
        <v>58</v>
      </c>
      <c r="F1854" s="66" t="s">
        <v>985</v>
      </c>
      <c r="G1854" s="66" t="s">
        <v>1076</v>
      </c>
      <c r="H1854" s="66" t="s">
        <v>1088</v>
      </c>
      <c r="I1854" s="66" t="s">
        <v>133</v>
      </c>
      <c r="J1854" s="66" t="s">
        <v>347</v>
      </c>
      <c r="K1854" s="66" t="s">
        <v>747</v>
      </c>
      <c r="L1854" s="67">
        <v>538097</v>
      </c>
      <c r="M1854" s="67">
        <v>0</v>
      </c>
      <c r="N1854" s="68">
        <f t="shared" si="121"/>
        <v>538097</v>
      </c>
      <c r="O1854" s="69">
        <f t="shared" si="120"/>
        <v>538097</v>
      </c>
      <c r="P1854" s="42" t="str">
        <f>IFERROR(VLOOKUP(J1854,'Mã NV'!$B:$C,2,0),"")</f>
        <v>XE01653</v>
      </c>
      <c r="Q1854" s="70" t="str">
        <f>IFERROR(VLOOKUP(I1854,'Mã NV'!$J:$K,2,0),"")</f>
        <v>2.5T</v>
      </c>
    </row>
    <row r="1855" customHeight="1" spans="1:17">
      <c r="A1855" s="63">
        <f t="shared" si="119"/>
        <v>1847</v>
      </c>
      <c r="B1855" s="64">
        <v>46153</v>
      </c>
      <c r="D1855" s="66" t="s">
        <v>58</v>
      </c>
      <c r="E1855" s="66" t="s">
        <v>58</v>
      </c>
      <c r="F1855" s="66" t="s">
        <v>985</v>
      </c>
      <c r="G1855" s="66" t="s">
        <v>1076</v>
      </c>
      <c r="H1855" s="66" t="s">
        <v>1098</v>
      </c>
      <c r="I1855" s="66" t="s">
        <v>358</v>
      </c>
      <c r="J1855" s="66" t="s">
        <v>356</v>
      </c>
      <c r="K1855" s="66" t="s">
        <v>747</v>
      </c>
      <c r="L1855" s="67">
        <v>288545</v>
      </c>
      <c r="M1855" s="67">
        <v>0</v>
      </c>
      <c r="N1855" s="68">
        <f t="shared" si="121"/>
        <v>288545</v>
      </c>
      <c r="O1855" s="69">
        <f t="shared" si="120"/>
        <v>288545</v>
      </c>
      <c r="P1855" s="42" t="str">
        <f>IFERROR(VLOOKUP(J1855,'Mã NV'!$B:$C,2,0),"")</f>
        <v>XE01616</v>
      </c>
      <c r="Q1855" s="70" t="str">
        <f>IFERROR(VLOOKUP(I1855,'Mã NV'!$J:$K,2,0),"")</f>
        <v>2.5T Lạnh</v>
      </c>
    </row>
    <row r="1856" customHeight="1" spans="1:17">
      <c r="A1856" s="63">
        <f t="shared" si="119"/>
        <v>1848</v>
      </c>
      <c r="B1856" s="64">
        <v>46153</v>
      </c>
      <c r="D1856" s="66" t="s">
        <v>58</v>
      </c>
      <c r="E1856" s="66" t="s">
        <v>58</v>
      </c>
      <c r="F1856" s="66" t="s">
        <v>985</v>
      </c>
      <c r="G1856" s="66" t="s">
        <v>1076</v>
      </c>
      <c r="H1856" s="66" t="s">
        <v>1093</v>
      </c>
      <c r="I1856" s="66" t="s">
        <v>358</v>
      </c>
      <c r="J1856" s="66" t="s">
        <v>356</v>
      </c>
      <c r="K1856" s="66" t="s">
        <v>747</v>
      </c>
      <c r="L1856" s="67">
        <v>366530</v>
      </c>
      <c r="M1856" s="67">
        <v>0</v>
      </c>
      <c r="N1856" s="68">
        <f t="shared" si="121"/>
        <v>366530</v>
      </c>
      <c r="O1856" s="69">
        <f t="shared" si="120"/>
        <v>366530</v>
      </c>
      <c r="P1856" s="42" t="str">
        <f>IFERROR(VLOOKUP(J1856,'Mã NV'!$B:$C,2,0),"")</f>
        <v>XE01616</v>
      </c>
      <c r="Q1856" s="70" t="str">
        <f>IFERROR(VLOOKUP(I1856,'Mã NV'!$J:$K,2,0),"")</f>
        <v>2.5T Lạnh</v>
      </c>
    </row>
    <row r="1857" customHeight="1" spans="1:17">
      <c r="A1857" s="63">
        <f t="shared" si="119"/>
        <v>1849</v>
      </c>
      <c r="B1857" s="64">
        <v>46153</v>
      </c>
      <c r="D1857" s="66" t="s">
        <v>58</v>
      </c>
      <c r="E1857" s="66" t="s">
        <v>58</v>
      </c>
      <c r="F1857" s="66" t="s">
        <v>985</v>
      </c>
      <c r="G1857" s="66" t="s">
        <v>1076</v>
      </c>
      <c r="H1857" s="66" t="s">
        <v>1090</v>
      </c>
      <c r="I1857" s="66" t="s">
        <v>154</v>
      </c>
      <c r="J1857" s="66" t="s">
        <v>152</v>
      </c>
      <c r="K1857" s="66" t="s">
        <v>747</v>
      </c>
      <c r="L1857" s="67">
        <v>574490</v>
      </c>
      <c r="M1857" s="67">
        <v>0</v>
      </c>
      <c r="N1857" s="68">
        <f t="shared" si="121"/>
        <v>574490</v>
      </c>
      <c r="O1857" s="69">
        <f t="shared" si="120"/>
        <v>574490</v>
      </c>
      <c r="P1857" s="42" t="str">
        <f>IFERROR(VLOOKUP(J1857,'Mã NV'!$B:$C,2,0),"")</f>
        <v>XE00730</v>
      </c>
      <c r="Q1857" s="70" t="str">
        <f>IFERROR(VLOOKUP(I1857,'Mã NV'!$J:$K,2,0),"")</f>
        <v> 3T5 Lạnh </v>
      </c>
    </row>
    <row r="1858" customHeight="1" spans="1:17">
      <c r="A1858" s="63">
        <f t="shared" si="119"/>
        <v>1850</v>
      </c>
      <c r="B1858" s="64">
        <v>46153</v>
      </c>
      <c r="D1858" s="66" t="s">
        <v>58</v>
      </c>
      <c r="E1858" s="66" t="s">
        <v>58</v>
      </c>
      <c r="F1858" s="66" t="s">
        <v>985</v>
      </c>
      <c r="G1858" s="66" t="s">
        <v>1076</v>
      </c>
      <c r="H1858" s="66" t="s">
        <v>1077</v>
      </c>
      <c r="I1858" s="66" t="s">
        <v>57</v>
      </c>
      <c r="J1858" s="66" t="s">
        <v>55</v>
      </c>
      <c r="K1858" s="66" t="s">
        <v>747</v>
      </c>
      <c r="L1858" s="67">
        <v>592686</v>
      </c>
      <c r="M1858" s="67">
        <v>0</v>
      </c>
      <c r="N1858" s="68">
        <f t="shared" si="121"/>
        <v>592686</v>
      </c>
      <c r="O1858" s="69">
        <f t="shared" si="120"/>
        <v>592686</v>
      </c>
      <c r="P1858" s="42" t="str">
        <f>IFERROR(VLOOKUP(J1858,'Mã NV'!$B:$C,2,0),"")</f>
        <v>XE00768</v>
      </c>
      <c r="Q1858" s="70" t="str">
        <f>IFERROR(VLOOKUP(I1858,'Mã NV'!$J:$K,2,0),"")</f>
        <v>2.5T</v>
      </c>
    </row>
    <row r="1859" customHeight="1" spans="1:17">
      <c r="A1859" s="63">
        <f t="shared" si="119"/>
        <v>1851</v>
      </c>
      <c r="B1859" s="64">
        <v>46153</v>
      </c>
      <c r="D1859" s="66" t="s">
        <v>58</v>
      </c>
      <c r="E1859" s="66" t="s">
        <v>58</v>
      </c>
      <c r="F1859" s="66" t="s">
        <v>985</v>
      </c>
      <c r="G1859" s="66" t="s">
        <v>1076</v>
      </c>
      <c r="H1859" s="66" t="s">
        <v>1101</v>
      </c>
      <c r="I1859" s="66" t="s">
        <v>177</v>
      </c>
      <c r="J1859" s="66" t="s">
        <v>174</v>
      </c>
      <c r="K1859" s="66" t="s">
        <v>747</v>
      </c>
      <c r="L1859" s="67">
        <v>408122</v>
      </c>
      <c r="M1859" s="67">
        <v>0</v>
      </c>
      <c r="N1859" s="68">
        <f t="shared" si="121"/>
        <v>408122</v>
      </c>
      <c r="O1859" s="69">
        <f t="shared" si="120"/>
        <v>408122</v>
      </c>
      <c r="P1859" s="42" t="str">
        <f>IFERROR(VLOOKUP(J1859,'Mã NV'!$B:$C,2,0),"")</f>
        <v>XE00975</v>
      </c>
      <c r="Q1859" s="70" t="str">
        <f>IFERROR(VLOOKUP(I1859,'Mã NV'!$J:$K,2,0),"")</f>
        <v>2.5T Lạnh</v>
      </c>
    </row>
    <row r="1860" customHeight="1" spans="1:17">
      <c r="A1860" s="63">
        <f t="shared" si="119"/>
        <v>1852</v>
      </c>
      <c r="B1860" s="64">
        <v>46153</v>
      </c>
      <c r="D1860" s="66" t="s">
        <v>58</v>
      </c>
      <c r="E1860" s="66" t="s">
        <v>58</v>
      </c>
      <c r="F1860" s="66" t="s">
        <v>985</v>
      </c>
      <c r="G1860" s="66" t="s">
        <v>1076</v>
      </c>
      <c r="H1860" s="66" t="s">
        <v>1084</v>
      </c>
      <c r="I1860" s="66" t="s">
        <v>177</v>
      </c>
      <c r="J1860" s="66" t="s">
        <v>174</v>
      </c>
      <c r="K1860" s="66" t="s">
        <v>747</v>
      </c>
      <c r="L1860" s="67">
        <v>322338</v>
      </c>
      <c r="M1860" s="67">
        <v>0</v>
      </c>
      <c r="N1860" s="68">
        <f t="shared" si="121"/>
        <v>322338</v>
      </c>
      <c r="O1860" s="69">
        <f t="shared" si="120"/>
        <v>322338</v>
      </c>
      <c r="P1860" s="42" t="str">
        <f>IFERROR(VLOOKUP(J1860,'Mã NV'!$B:$C,2,0),"")</f>
        <v>XE00975</v>
      </c>
      <c r="Q1860" s="70" t="str">
        <f>IFERROR(VLOOKUP(I1860,'Mã NV'!$J:$K,2,0),"")</f>
        <v>2.5T Lạnh</v>
      </c>
    </row>
    <row r="1861" customHeight="1" spans="1:17">
      <c r="A1861" s="63">
        <f t="shared" si="119"/>
        <v>1853</v>
      </c>
      <c r="B1861" s="64">
        <v>46153</v>
      </c>
      <c r="D1861" s="66" t="s">
        <v>58</v>
      </c>
      <c r="E1861" s="66" t="s">
        <v>58</v>
      </c>
      <c r="F1861" s="66" t="s">
        <v>985</v>
      </c>
      <c r="G1861" s="66" t="s">
        <v>1076</v>
      </c>
      <c r="H1861" s="66" t="s">
        <v>1086</v>
      </c>
      <c r="I1861" s="66" t="s">
        <v>323</v>
      </c>
      <c r="J1861" s="66" t="s">
        <v>321</v>
      </c>
      <c r="K1861" s="66" t="s">
        <v>747</v>
      </c>
      <c r="L1861" s="67">
        <v>350933</v>
      </c>
      <c r="M1861" s="67">
        <v>0</v>
      </c>
      <c r="N1861" s="68">
        <f t="shared" si="121"/>
        <v>350933</v>
      </c>
      <c r="O1861" s="69">
        <f t="shared" si="120"/>
        <v>350933</v>
      </c>
      <c r="P1861" s="42" t="str">
        <f>IFERROR(VLOOKUP(J1861,'Mã NV'!$B:$C,2,0),"")</f>
        <v>XE01537</v>
      </c>
      <c r="Q1861" s="70" t="str">
        <f>IFERROR(VLOOKUP(I1861,'Mã NV'!$J:$K,2,0),"")</f>
        <v>2.5T</v>
      </c>
    </row>
    <row r="1862" customHeight="1" spans="1:17">
      <c r="A1862" s="63">
        <f t="shared" si="119"/>
        <v>1854</v>
      </c>
      <c r="B1862" s="64">
        <v>46153</v>
      </c>
      <c r="D1862" s="66" t="s">
        <v>58</v>
      </c>
      <c r="E1862" s="66" t="s">
        <v>58</v>
      </c>
      <c r="F1862" s="66" t="s">
        <v>985</v>
      </c>
      <c r="G1862" s="66" t="s">
        <v>1076</v>
      </c>
      <c r="H1862" s="66" t="s">
        <v>1099</v>
      </c>
      <c r="I1862" s="66" t="s">
        <v>323</v>
      </c>
      <c r="J1862" s="66" t="s">
        <v>321</v>
      </c>
      <c r="K1862" s="66" t="s">
        <v>747</v>
      </c>
      <c r="L1862" s="67">
        <v>205361</v>
      </c>
      <c r="M1862" s="67">
        <v>0</v>
      </c>
      <c r="N1862" s="68">
        <f t="shared" si="121"/>
        <v>205361</v>
      </c>
      <c r="O1862" s="69">
        <f t="shared" si="120"/>
        <v>205361</v>
      </c>
      <c r="P1862" s="42" t="str">
        <f>IFERROR(VLOOKUP(J1862,'Mã NV'!$B:$C,2,0),"")</f>
        <v>XE01537</v>
      </c>
      <c r="Q1862" s="70" t="str">
        <f>IFERROR(VLOOKUP(I1862,'Mã NV'!$J:$K,2,0),"")</f>
        <v>2.5T</v>
      </c>
    </row>
    <row r="1863" customHeight="1" spans="1:17">
      <c r="A1863" s="63">
        <f t="shared" si="119"/>
        <v>1855</v>
      </c>
      <c r="B1863" s="64">
        <v>46153</v>
      </c>
      <c r="D1863" s="66" t="s">
        <v>58</v>
      </c>
      <c r="E1863" s="66" t="s">
        <v>58</v>
      </c>
      <c r="F1863" s="66" t="s">
        <v>985</v>
      </c>
      <c r="G1863" s="66" t="s">
        <v>1076</v>
      </c>
      <c r="H1863" s="66" t="s">
        <v>1100</v>
      </c>
      <c r="I1863" s="66" t="s">
        <v>323</v>
      </c>
      <c r="J1863" s="66" t="s">
        <v>321</v>
      </c>
      <c r="K1863" s="66" t="s">
        <v>747</v>
      </c>
      <c r="L1863" s="67">
        <v>353532</v>
      </c>
      <c r="M1863" s="67">
        <v>0</v>
      </c>
      <c r="N1863" s="68">
        <f t="shared" si="121"/>
        <v>353532</v>
      </c>
      <c r="O1863" s="69">
        <f t="shared" si="120"/>
        <v>353532</v>
      </c>
      <c r="P1863" s="42" t="str">
        <f>IFERROR(VLOOKUP(J1863,'Mã NV'!$B:$C,2,0),"")</f>
        <v>XE01537</v>
      </c>
      <c r="Q1863" s="70" t="str">
        <f>IFERROR(VLOOKUP(I1863,'Mã NV'!$J:$K,2,0),"")</f>
        <v>2.5T</v>
      </c>
    </row>
    <row r="1864" customHeight="1" spans="1:17">
      <c r="A1864" s="63">
        <f t="shared" si="119"/>
        <v>1856</v>
      </c>
      <c r="B1864" s="64">
        <v>46153</v>
      </c>
      <c r="D1864" s="66" t="s">
        <v>58</v>
      </c>
      <c r="E1864" s="66" t="s">
        <v>58</v>
      </c>
      <c r="F1864" s="66" t="s">
        <v>985</v>
      </c>
      <c r="G1864" s="66" t="s">
        <v>1076</v>
      </c>
      <c r="H1864" s="66" t="s">
        <v>1104</v>
      </c>
      <c r="I1864" s="66" t="s">
        <v>133</v>
      </c>
      <c r="J1864" s="66" t="s">
        <v>347</v>
      </c>
      <c r="K1864" s="66" t="s">
        <v>747</v>
      </c>
      <c r="L1864" s="67">
        <v>530298</v>
      </c>
      <c r="M1864" s="67">
        <v>0</v>
      </c>
      <c r="N1864" s="68">
        <f t="shared" si="121"/>
        <v>530298</v>
      </c>
      <c r="O1864" s="69">
        <f t="shared" si="120"/>
        <v>530298</v>
      </c>
      <c r="P1864" s="42" t="str">
        <f>IFERROR(VLOOKUP(J1864,'Mã NV'!$B:$C,2,0),"")</f>
        <v>XE01653</v>
      </c>
      <c r="Q1864" s="70" t="str">
        <f>IFERROR(VLOOKUP(I1864,'Mã NV'!$J:$K,2,0),"")</f>
        <v>2.5T</v>
      </c>
    </row>
    <row r="1865" customHeight="1" spans="1:17">
      <c r="A1865" s="63">
        <f t="shared" si="119"/>
        <v>1857</v>
      </c>
      <c r="B1865" s="64">
        <v>46153</v>
      </c>
      <c r="D1865" s="66" t="s">
        <v>58</v>
      </c>
      <c r="E1865" s="66" t="s">
        <v>58</v>
      </c>
      <c r="F1865" s="66" t="s">
        <v>985</v>
      </c>
      <c r="G1865" s="66" t="s">
        <v>1076</v>
      </c>
      <c r="H1865" s="66" t="s">
        <v>1085</v>
      </c>
      <c r="I1865" s="66" t="s">
        <v>133</v>
      </c>
      <c r="J1865" s="66" t="s">
        <v>347</v>
      </c>
      <c r="K1865" s="66" t="s">
        <v>747</v>
      </c>
      <c r="L1865" s="67">
        <v>231356</v>
      </c>
      <c r="M1865" s="67">
        <v>0</v>
      </c>
      <c r="N1865" s="68">
        <f t="shared" si="121"/>
        <v>231356</v>
      </c>
      <c r="O1865" s="69">
        <f t="shared" si="120"/>
        <v>231356</v>
      </c>
      <c r="P1865" s="42" t="str">
        <f>IFERROR(VLOOKUP(J1865,'Mã NV'!$B:$C,2,0),"")</f>
        <v>XE01653</v>
      </c>
      <c r="Q1865" s="70" t="str">
        <f>IFERROR(VLOOKUP(I1865,'Mã NV'!$J:$K,2,0),"")</f>
        <v>2.5T</v>
      </c>
    </row>
    <row r="1866" customHeight="1" spans="1:17">
      <c r="A1866" s="63">
        <f t="shared" si="119"/>
        <v>1858</v>
      </c>
      <c r="B1866" s="64">
        <v>46153</v>
      </c>
      <c r="D1866" s="66" t="s">
        <v>58</v>
      </c>
      <c r="E1866" s="66" t="s">
        <v>58</v>
      </c>
      <c r="F1866" s="66" t="s">
        <v>985</v>
      </c>
      <c r="G1866" s="66" t="s">
        <v>1076</v>
      </c>
      <c r="H1866" s="66" t="s">
        <v>1102</v>
      </c>
      <c r="I1866" s="66" t="s">
        <v>134</v>
      </c>
      <c r="J1866" s="66" t="s">
        <v>359</v>
      </c>
      <c r="K1866" s="66" t="s">
        <v>747</v>
      </c>
      <c r="L1866" s="67">
        <v>447114</v>
      </c>
      <c r="M1866" s="67">
        <v>0</v>
      </c>
      <c r="N1866" s="68">
        <f t="shared" si="121"/>
        <v>447114</v>
      </c>
      <c r="O1866" s="69">
        <f t="shared" si="120"/>
        <v>447114</v>
      </c>
      <c r="P1866" s="42" t="str">
        <f>IFERROR(VLOOKUP(J1866,'Mã NV'!$B:$C,2,0),"")</f>
        <v>XE01639</v>
      </c>
      <c r="Q1866" s="70" t="str">
        <f>IFERROR(VLOOKUP(I1866,'Mã NV'!$J:$K,2,0),"")</f>
        <v>2.5T Lạnh</v>
      </c>
    </row>
    <row r="1867" customHeight="1" spans="1:17">
      <c r="A1867" s="63">
        <f t="shared" si="119"/>
        <v>1859</v>
      </c>
      <c r="B1867" s="64">
        <v>46153</v>
      </c>
      <c r="D1867" s="66" t="s">
        <v>58</v>
      </c>
      <c r="E1867" s="66" t="s">
        <v>58</v>
      </c>
      <c r="F1867" s="66" t="s">
        <v>985</v>
      </c>
      <c r="G1867" s="66" t="s">
        <v>1076</v>
      </c>
      <c r="H1867" s="66" t="s">
        <v>1103</v>
      </c>
      <c r="I1867" s="66" t="s">
        <v>134</v>
      </c>
      <c r="J1867" s="66" t="s">
        <v>359</v>
      </c>
      <c r="K1867" s="66" t="s">
        <v>747</v>
      </c>
      <c r="L1867" s="67">
        <v>301542</v>
      </c>
      <c r="M1867" s="67">
        <v>0</v>
      </c>
      <c r="N1867" s="68">
        <f t="shared" si="121"/>
        <v>301542</v>
      </c>
      <c r="O1867" s="69">
        <f t="shared" si="120"/>
        <v>301542</v>
      </c>
      <c r="P1867" s="42" t="str">
        <f>IFERROR(VLOOKUP(J1867,'Mã NV'!$B:$C,2,0),"")</f>
        <v>XE01639</v>
      </c>
      <c r="Q1867" s="70" t="str">
        <f>IFERROR(VLOOKUP(I1867,'Mã NV'!$J:$K,2,0),"")</f>
        <v>2.5T Lạnh</v>
      </c>
    </row>
    <row r="1868" customHeight="1" spans="1:17">
      <c r="A1868" s="63">
        <f t="shared" si="119"/>
        <v>1860</v>
      </c>
      <c r="B1868" s="64">
        <v>46154</v>
      </c>
      <c r="D1868" s="66" t="s">
        <v>58</v>
      </c>
      <c r="E1868" s="66" t="s">
        <v>58</v>
      </c>
      <c r="F1868" s="66" t="s">
        <v>985</v>
      </c>
      <c r="G1868" s="66" t="s">
        <v>1076</v>
      </c>
      <c r="H1868" s="66" t="s">
        <v>1110</v>
      </c>
      <c r="I1868" s="66" t="s">
        <v>323</v>
      </c>
      <c r="J1868" s="66" t="s">
        <v>321</v>
      </c>
      <c r="K1868" s="66" t="s">
        <v>747</v>
      </c>
      <c r="L1868" s="67">
        <v>701865</v>
      </c>
      <c r="M1868" s="67">
        <v>0</v>
      </c>
      <c r="N1868" s="68">
        <f t="shared" si="121"/>
        <v>701865</v>
      </c>
      <c r="O1868" s="69">
        <f t="shared" si="120"/>
        <v>701865</v>
      </c>
      <c r="P1868" s="42" t="str">
        <f>IFERROR(VLOOKUP(J1868,'Mã NV'!$B:$C,2,0),"")</f>
        <v>XE01537</v>
      </c>
      <c r="Q1868" s="70" t="str">
        <f>IFERROR(VLOOKUP(I1868,'Mã NV'!$J:$K,2,0),"")</f>
        <v>2.5T</v>
      </c>
    </row>
    <row r="1869" customHeight="1" spans="1:17">
      <c r="A1869" s="63">
        <f t="shared" si="119"/>
        <v>1861</v>
      </c>
      <c r="B1869" s="64">
        <v>46154</v>
      </c>
      <c r="D1869" s="66" t="s">
        <v>58</v>
      </c>
      <c r="E1869" s="66" t="s">
        <v>58</v>
      </c>
      <c r="F1869" s="66" t="s">
        <v>985</v>
      </c>
      <c r="G1869" s="66" t="s">
        <v>1076</v>
      </c>
      <c r="H1869" s="66" t="s">
        <v>1106</v>
      </c>
      <c r="I1869" s="66" t="s">
        <v>57</v>
      </c>
      <c r="J1869" s="66" t="s">
        <v>55</v>
      </c>
      <c r="K1869" s="66" t="s">
        <v>747</v>
      </c>
      <c r="L1869" s="67">
        <v>1154178</v>
      </c>
      <c r="M1869" s="67">
        <v>0</v>
      </c>
      <c r="N1869" s="68">
        <f t="shared" si="121"/>
        <v>1154178</v>
      </c>
      <c r="O1869" s="69">
        <f t="shared" si="120"/>
        <v>1154178</v>
      </c>
      <c r="P1869" s="42" t="str">
        <f>IFERROR(VLOOKUP(J1869,'Mã NV'!$B:$C,2,0),"")</f>
        <v>XE00768</v>
      </c>
      <c r="Q1869" s="70" t="str">
        <f>IFERROR(VLOOKUP(I1869,'Mã NV'!$J:$K,2,0),"")</f>
        <v>2.5T</v>
      </c>
    </row>
    <row r="1870" customHeight="1" spans="1:17">
      <c r="A1870" s="63">
        <f t="shared" si="119"/>
        <v>1862</v>
      </c>
      <c r="B1870" s="64">
        <v>46154</v>
      </c>
      <c r="D1870" s="66" t="s">
        <v>58</v>
      </c>
      <c r="E1870" s="66" t="s">
        <v>58</v>
      </c>
      <c r="F1870" s="66" t="s">
        <v>985</v>
      </c>
      <c r="G1870" s="66" t="s">
        <v>1076</v>
      </c>
      <c r="H1870" s="66" t="s">
        <v>1109</v>
      </c>
      <c r="I1870" s="66" t="s">
        <v>177</v>
      </c>
      <c r="J1870" s="66" t="s">
        <v>174</v>
      </c>
      <c r="K1870" s="66" t="s">
        <v>747</v>
      </c>
      <c r="L1870" s="67">
        <v>982611</v>
      </c>
      <c r="M1870" s="67">
        <v>0</v>
      </c>
      <c r="N1870" s="68">
        <f t="shared" si="121"/>
        <v>982611</v>
      </c>
      <c r="O1870" s="69">
        <f t="shared" si="120"/>
        <v>982611</v>
      </c>
      <c r="P1870" s="42" t="str">
        <f>IFERROR(VLOOKUP(J1870,'Mã NV'!$B:$C,2,0),"")</f>
        <v>XE00975</v>
      </c>
      <c r="Q1870" s="70" t="str">
        <f>IFERROR(VLOOKUP(I1870,'Mã NV'!$J:$K,2,0),"")</f>
        <v>2.5T Lạnh</v>
      </c>
    </row>
    <row r="1871" customHeight="1" spans="1:17">
      <c r="A1871" s="63">
        <f t="shared" si="119"/>
        <v>1863</v>
      </c>
      <c r="B1871" s="64">
        <v>46154</v>
      </c>
      <c r="D1871" s="66" t="s">
        <v>58</v>
      </c>
      <c r="E1871" s="66" t="s">
        <v>58</v>
      </c>
      <c r="F1871" s="66" t="s">
        <v>985</v>
      </c>
      <c r="G1871" s="66" t="s">
        <v>1076</v>
      </c>
      <c r="H1871" s="66" t="s">
        <v>1080</v>
      </c>
      <c r="I1871" s="66" t="s">
        <v>403</v>
      </c>
      <c r="J1871" s="66" t="s">
        <v>401</v>
      </c>
      <c r="K1871" s="66" t="s">
        <v>747</v>
      </c>
      <c r="L1871" s="67">
        <v>332736</v>
      </c>
      <c r="M1871" s="67">
        <v>0</v>
      </c>
      <c r="N1871" s="68">
        <f t="shared" si="121"/>
        <v>332736</v>
      </c>
      <c r="O1871" s="69">
        <f t="shared" si="120"/>
        <v>332736</v>
      </c>
      <c r="P1871" s="42" t="str">
        <f>IFERROR(VLOOKUP(J1871,'Mã NV'!$B:$C,2,0),"")</f>
        <v>XE01466</v>
      </c>
      <c r="Q1871" s="70" t="str">
        <f>IFERROR(VLOOKUP(I1871,'Mã NV'!$J:$K,2,0),"")</f>
        <v>3.5T</v>
      </c>
    </row>
    <row r="1872" customHeight="1" spans="1:17">
      <c r="A1872" s="63">
        <f t="shared" si="119"/>
        <v>1864</v>
      </c>
      <c r="B1872" s="64">
        <v>46154</v>
      </c>
      <c r="D1872" s="66" t="s">
        <v>58</v>
      </c>
      <c r="E1872" s="66" t="s">
        <v>58</v>
      </c>
      <c r="F1872" s="66" t="s">
        <v>985</v>
      </c>
      <c r="G1872" s="66" t="s">
        <v>1076</v>
      </c>
      <c r="H1872" s="66" t="s">
        <v>1081</v>
      </c>
      <c r="I1872" s="66" t="s">
        <v>403</v>
      </c>
      <c r="J1872" s="66" t="s">
        <v>401</v>
      </c>
      <c r="K1872" s="66" t="s">
        <v>747</v>
      </c>
      <c r="L1872" s="67">
        <v>327537</v>
      </c>
      <c r="M1872" s="67">
        <v>0</v>
      </c>
      <c r="N1872" s="68">
        <f t="shared" si="121"/>
        <v>327537</v>
      </c>
      <c r="O1872" s="69">
        <f t="shared" si="120"/>
        <v>327537</v>
      </c>
      <c r="P1872" s="42" t="str">
        <f>IFERROR(VLOOKUP(J1872,'Mã NV'!$B:$C,2,0),"")</f>
        <v>XE01466</v>
      </c>
      <c r="Q1872" s="70" t="str">
        <f>IFERROR(VLOOKUP(I1872,'Mã NV'!$J:$K,2,0),"")</f>
        <v>3.5T</v>
      </c>
    </row>
    <row r="1873" customHeight="1" spans="1:17">
      <c r="A1873" s="63">
        <f t="shared" ref="A1873:A1936" si="122">A1872+1</f>
        <v>1865</v>
      </c>
      <c r="B1873" s="64">
        <v>46154</v>
      </c>
      <c r="D1873" s="66" t="s">
        <v>58</v>
      </c>
      <c r="E1873" s="66" t="s">
        <v>58</v>
      </c>
      <c r="F1873" s="66" t="s">
        <v>985</v>
      </c>
      <c r="G1873" s="66" t="s">
        <v>1076</v>
      </c>
      <c r="H1873" s="66" t="s">
        <v>1082</v>
      </c>
      <c r="I1873" s="66" t="s">
        <v>403</v>
      </c>
      <c r="J1873" s="66" t="s">
        <v>401</v>
      </c>
      <c r="K1873" s="66" t="s">
        <v>747</v>
      </c>
      <c r="L1873" s="67">
        <v>317139</v>
      </c>
      <c r="M1873" s="67">
        <v>0</v>
      </c>
      <c r="N1873" s="68">
        <f t="shared" si="121"/>
        <v>317139</v>
      </c>
      <c r="O1873" s="69">
        <f t="shared" si="120"/>
        <v>317139</v>
      </c>
      <c r="P1873" s="42" t="str">
        <f>IFERROR(VLOOKUP(J1873,'Mã NV'!$B:$C,2,0),"")</f>
        <v>XE01466</v>
      </c>
      <c r="Q1873" s="70" t="str">
        <f>IFERROR(VLOOKUP(I1873,'Mã NV'!$J:$K,2,0),"")</f>
        <v>3.5T</v>
      </c>
    </row>
    <row r="1874" customHeight="1" spans="1:17">
      <c r="A1874" s="63">
        <f t="shared" si="122"/>
        <v>1866</v>
      </c>
      <c r="B1874" s="64">
        <v>46154</v>
      </c>
      <c r="D1874" s="66" t="s">
        <v>58</v>
      </c>
      <c r="E1874" s="66" t="s">
        <v>58</v>
      </c>
      <c r="F1874" s="66" t="s">
        <v>985</v>
      </c>
      <c r="G1874" s="66" t="s">
        <v>1076</v>
      </c>
      <c r="H1874" s="66" t="s">
        <v>1083</v>
      </c>
      <c r="I1874" s="66" t="s">
        <v>403</v>
      </c>
      <c r="J1874" s="66" t="s">
        <v>401</v>
      </c>
      <c r="K1874" s="66" t="s">
        <v>747</v>
      </c>
      <c r="L1874" s="67">
        <v>239154</v>
      </c>
      <c r="M1874" s="67">
        <v>0</v>
      </c>
      <c r="N1874" s="68">
        <f t="shared" si="121"/>
        <v>239154</v>
      </c>
      <c r="O1874" s="69">
        <f t="shared" si="120"/>
        <v>239154</v>
      </c>
      <c r="P1874" s="42" t="str">
        <f>IFERROR(VLOOKUP(J1874,'Mã NV'!$B:$C,2,0),"")</f>
        <v>XE01466</v>
      </c>
      <c r="Q1874" s="70" t="str">
        <f>IFERROR(VLOOKUP(I1874,'Mã NV'!$J:$K,2,0),"")</f>
        <v>3.5T</v>
      </c>
    </row>
    <row r="1875" customHeight="1" spans="1:17">
      <c r="A1875" s="63">
        <f t="shared" si="122"/>
        <v>1867</v>
      </c>
      <c r="B1875" s="64">
        <v>46154</v>
      </c>
      <c r="D1875" s="66" t="s">
        <v>58</v>
      </c>
      <c r="E1875" s="66" t="s">
        <v>58</v>
      </c>
      <c r="F1875" s="66" t="s">
        <v>985</v>
      </c>
      <c r="G1875" s="66" t="s">
        <v>1076</v>
      </c>
      <c r="H1875" s="66" t="s">
        <v>1084</v>
      </c>
      <c r="I1875" s="66" t="s">
        <v>323</v>
      </c>
      <c r="J1875" s="66" t="s">
        <v>321</v>
      </c>
      <c r="K1875" s="66" t="s">
        <v>747</v>
      </c>
      <c r="L1875" s="67">
        <v>262550</v>
      </c>
      <c r="M1875" s="67">
        <v>0</v>
      </c>
      <c r="N1875" s="68">
        <f t="shared" si="121"/>
        <v>262550</v>
      </c>
      <c r="O1875" s="69">
        <f t="shared" si="120"/>
        <v>262550</v>
      </c>
      <c r="P1875" s="42" t="str">
        <f>IFERROR(VLOOKUP(J1875,'Mã NV'!$B:$C,2,0),"")</f>
        <v>XE01537</v>
      </c>
      <c r="Q1875" s="70" t="str">
        <f>IFERROR(VLOOKUP(I1875,'Mã NV'!$J:$K,2,0),"")</f>
        <v>2.5T</v>
      </c>
    </row>
    <row r="1876" customHeight="1" spans="1:17">
      <c r="A1876" s="63">
        <f t="shared" si="122"/>
        <v>1868</v>
      </c>
      <c r="B1876" s="64">
        <v>46154</v>
      </c>
      <c r="D1876" s="66" t="s">
        <v>58</v>
      </c>
      <c r="E1876" s="66" t="s">
        <v>58</v>
      </c>
      <c r="F1876" s="66" t="s">
        <v>985</v>
      </c>
      <c r="G1876" s="66" t="s">
        <v>1076</v>
      </c>
      <c r="H1876" s="66" t="s">
        <v>1085</v>
      </c>
      <c r="I1876" s="66" t="s">
        <v>323</v>
      </c>
      <c r="J1876" s="66" t="s">
        <v>321</v>
      </c>
      <c r="K1876" s="66" t="s">
        <v>747</v>
      </c>
      <c r="L1876" s="67">
        <v>280746</v>
      </c>
      <c r="M1876" s="67">
        <v>0</v>
      </c>
      <c r="N1876" s="68">
        <f t="shared" si="121"/>
        <v>280746</v>
      </c>
      <c r="O1876" s="69">
        <f t="shared" si="120"/>
        <v>280746</v>
      </c>
      <c r="P1876" s="42" t="str">
        <f>IFERROR(VLOOKUP(J1876,'Mã NV'!$B:$C,2,0),"")</f>
        <v>XE01537</v>
      </c>
      <c r="Q1876" s="70" t="str">
        <f>IFERROR(VLOOKUP(I1876,'Mã NV'!$J:$K,2,0),"")</f>
        <v>2.5T</v>
      </c>
    </row>
    <row r="1877" customHeight="1" spans="1:17">
      <c r="A1877" s="63">
        <f t="shared" si="122"/>
        <v>1869</v>
      </c>
      <c r="B1877" s="64">
        <v>46154</v>
      </c>
      <c r="D1877" s="66" t="s">
        <v>58</v>
      </c>
      <c r="E1877" s="66" t="s">
        <v>58</v>
      </c>
      <c r="F1877" s="66" t="s">
        <v>985</v>
      </c>
      <c r="G1877" s="66" t="s">
        <v>1076</v>
      </c>
      <c r="H1877" s="66" t="s">
        <v>1086</v>
      </c>
      <c r="I1877" s="66" t="s">
        <v>323</v>
      </c>
      <c r="J1877" s="66" t="s">
        <v>321</v>
      </c>
      <c r="K1877" s="66" t="s">
        <v>747</v>
      </c>
      <c r="L1877" s="67">
        <v>244353</v>
      </c>
      <c r="M1877" s="67">
        <v>0</v>
      </c>
      <c r="N1877" s="68">
        <f t="shared" si="121"/>
        <v>244353</v>
      </c>
      <c r="O1877" s="69">
        <f t="shared" si="120"/>
        <v>244353</v>
      </c>
      <c r="P1877" s="42" t="str">
        <f>IFERROR(VLOOKUP(J1877,'Mã NV'!$B:$C,2,0),"")</f>
        <v>XE01537</v>
      </c>
      <c r="Q1877" s="70" t="str">
        <f>IFERROR(VLOOKUP(I1877,'Mã NV'!$J:$K,2,0),"")</f>
        <v>2.5T</v>
      </c>
    </row>
    <row r="1878" customHeight="1" spans="1:17">
      <c r="A1878" s="63">
        <f t="shared" si="122"/>
        <v>1870</v>
      </c>
      <c r="B1878" s="64">
        <v>46154</v>
      </c>
      <c r="D1878" s="66" t="s">
        <v>58</v>
      </c>
      <c r="E1878" s="66" t="s">
        <v>58</v>
      </c>
      <c r="F1878" s="66" t="s">
        <v>985</v>
      </c>
      <c r="G1878" s="66" t="s">
        <v>1076</v>
      </c>
      <c r="H1878" s="66" t="s">
        <v>1087</v>
      </c>
      <c r="I1878" s="66" t="s">
        <v>323</v>
      </c>
      <c r="J1878" s="66" t="s">
        <v>321</v>
      </c>
      <c r="K1878" s="66" t="s">
        <v>747</v>
      </c>
      <c r="L1878" s="67">
        <v>236555</v>
      </c>
      <c r="M1878" s="67">
        <v>0</v>
      </c>
      <c r="N1878" s="68">
        <f t="shared" si="121"/>
        <v>236555</v>
      </c>
      <c r="O1878" s="69">
        <f t="shared" si="120"/>
        <v>236555</v>
      </c>
      <c r="P1878" s="42" t="str">
        <f>IFERROR(VLOOKUP(J1878,'Mã NV'!$B:$C,2,0),"")</f>
        <v>XE01537</v>
      </c>
      <c r="Q1878" s="70" t="str">
        <f>IFERROR(VLOOKUP(I1878,'Mã NV'!$J:$K,2,0),"")</f>
        <v>2.5T</v>
      </c>
    </row>
    <row r="1879" customHeight="1" spans="1:17">
      <c r="A1879" s="63">
        <f t="shared" si="122"/>
        <v>1871</v>
      </c>
      <c r="B1879" s="64">
        <v>46154</v>
      </c>
      <c r="D1879" s="66" t="s">
        <v>58</v>
      </c>
      <c r="E1879" s="66" t="s">
        <v>58</v>
      </c>
      <c r="F1879" s="66" t="s">
        <v>985</v>
      </c>
      <c r="G1879" s="66" t="s">
        <v>1076</v>
      </c>
      <c r="H1879" s="66" t="s">
        <v>1078</v>
      </c>
      <c r="I1879" s="66" t="s">
        <v>358</v>
      </c>
      <c r="J1879" s="66" t="s">
        <v>356</v>
      </c>
      <c r="K1879" s="66" t="s">
        <v>747</v>
      </c>
      <c r="L1879" s="67">
        <v>244353</v>
      </c>
      <c r="M1879" s="67">
        <v>0</v>
      </c>
      <c r="N1879" s="68">
        <f t="shared" si="121"/>
        <v>244353</v>
      </c>
      <c r="O1879" s="69">
        <f t="shared" si="120"/>
        <v>244353</v>
      </c>
      <c r="P1879" s="42" t="str">
        <f>IFERROR(VLOOKUP(J1879,'Mã NV'!$B:$C,2,0),"")</f>
        <v>XE01616</v>
      </c>
      <c r="Q1879" s="70" t="str">
        <f>IFERROR(VLOOKUP(I1879,'Mã NV'!$J:$K,2,0),"")</f>
        <v>2.5T Lạnh</v>
      </c>
    </row>
    <row r="1880" customHeight="1" spans="1:17">
      <c r="A1880" s="63">
        <f t="shared" si="122"/>
        <v>1872</v>
      </c>
      <c r="B1880" s="64">
        <v>46154</v>
      </c>
      <c r="D1880" s="66" t="s">
        <v>58</v>
      </c>
      <c r="E1880" s="66" t="s">
        <v>58</v>
      </c>
      <c r="F1880" s="66" t="s">
        <v>985</v>
      </c>
      <c r="G1880" s="66" t="s">
        <v>1076</v>
      </c>
      <c r="H1880" s="66" t="s">
        <v>1111</v>
      </c>
      <c r="I1880" s="66" t="s">
        <v>358</v>
      </c>
      <c r="J1880" s="66" t="s">
        <v>356</v>
      </c>
      <c r="K1880" s="66" t="s">
        <v>747</v>
      </c>
      <c r="L1880" s="67">
        <v>205361</v>
      </c>
      <c r="M1880" s="67">
        <v>0</v>
      </c>
      <c r="N1880" s="68">
        <f t="shared" si="121"/>
        <v>205361</v>
      </c>
      <c r="O1880" s="69">
        <f t="shared" si="120"/>
        <v>205361</v>
      </c>
      <c r="P1880" s="42" t="str">
        <f>IFERROR(VLOOKUP(J1880,'Mã NV'!$B:$C,2,0),"")</f>
        <v>XE01616</v>
      </c>
      <c r="Q1880" s="70" t="str">
        <f>IFERROR(VLOOKUP(I1880,'Mã NV'!$J:$K,2,0),"")</f>
        <v>2.5T Lạnh</v>
      </c>
    </row>
    <row r="1881" customHeight="1" spans="1:17">
      <c r="A1881" s="63">
        <f t="shared" si="122"/>
        <v>1873</v>
      </c>
      <c r="B1881" s="64">
        <v>46154</v>
      </c>
      <c r="D1881" s="66" t="s">
        <v>58</v>
      </c>
      <c r="E1881" s="66" t="s">
        <v>58</v>
      </c>
      <c r="F1881" s="66" t="s">
        <v>985</v>
      </c>
      <c r="G1881" s="66" t="s">
        <v>1076</v>
      </c>
      <c r="H1881" s="66" t="s">
        <v>1079</v>
      </c>
      <c r="I1881" s="66" t="s">
        <v>358</v>
      </c>
      <c r="J1881" s="66" t="s">
        <v>356</v>
      </c>
      <c r="K1881" s="66" t="s">
        <v>747</v>
      </c>
      <c r="L1881" s="67">
        <v>213159</v>
      </c>
      <c r="M1881" s="67">
        <v>0</v>
      </c>
      <c r="N1881" s="68">
        <f t="shared" si="121"/>
        <v>213159</v>
      </c>
      <c r="O1881" s="69">
        <f t="shared" si="120"/>
        <v>213159</v>
      </c>
      <c r="P1881" s="42" t="str">
        <f>IFERROR(VLOOKUP(J1881,'Mã NV'!$B:$C,2,0),"")</f>
        <v>XE01616</v>
      </c>
      <c r="Q1881" s="70" t="str">
        <f>IFERROR(VLOOKUP(I1881,'Mã NV'!$J:$K,2,0),"")</f>
        <v>2.5T Lạnh</v>
      </c>
    </row>
    <row r="1882" customHeight="1" spans="1:17">
      <c r="A1882" s="63">
        <f t="shared" si="122"/>
        <v>1874</v>
      </c>
      <c r="B1882" s="64">
        <v>46154</v>
      </c>
      <c r="D1882" s="66" t="s">
        <v>58</v>
      </c>
      <c r="E1882" s="66" t="s">
        <v>58</v>
      </c>
      <c r="F1882" s="66" t="s">
        <v>985</v>
      </c>
      <c r="G1882" s="66" t="s">
        <v>1076</v>
      </c>
      <c r="H1882" s="66" t="s">
        <v>1097</v>
      </c>
      <c r="I1882" s="66" t="s">
        <v>358</v>
      </c>
      <c r="J1882" s="66" t="s">
        <v>356</v>
      </c>
      <c r="K1882" s="66" t="s">
        <v>747</v>
      </c>
      <c r="L1882" s="67">
        <v>140373</v>
      </c>
      <c r="M1882" s="67">
        <v>0</v>
      </c>
      <c r="N1882" s="68">
        <f t="shared" si="121"/>
        <v>140373</v>
      </c>
      <c r="O1882" s="69">
        <f t="shared" si="120"/>
        <v>140373</v>
      </c>
      <c r="P1882" s="42" t="str">
        <f>IFERROR(VLOOKUP(J1882,'Mã NV'!$B:$C,2,0),"")</f>
        <v>XE01616</v>
      </c>
      <c r="Q1882" s="70" t="str">
        <f>IFERROR(VLOOKUP(I1882,'Mã NV'!$J:$K,2,0),"")</f>
        <v>2.5T Lạnh</v>
      </c>
    </row>
    <row r="1883" customHeight="1" spans="1:17">
      <c r="A1883" s="63">
        <f t="shared" si="122"/>
        <v>1875</v>
      </c>
      <c r="B1883" s="64">
        <v>46154</v>
      </c>
      <c r="D1883" s="66" t="s">
        <v>58</v>
      </c>
      <c r="E1883" s="66" t="s">
        <v>58</v>
      </c>
      <c r="F1883" s="66" t="s">
        <v>985</v>
      </c>
      <c r="G1883" s="66" t="s">
        <v>1076</v>
      </c>
      <c r="H1883" s="66" t="s">
        <v>1091</v>
      </c>
      <c r="I1883" s="66" t="s">
        <v>214</v>
      </c>
      <c r="J1883" s="66" t="s">
        <v>212</v>
      </c>
      <c r="K1883" s="66" t="s">
        <v>747</v>
      </c>
      <c r="L1883" s="67">
        <v>249552</v>
      </c>
      <c r="M1883" s="67">
        <v>0</v>
      </c>
      <c r="N1883" s="68">
        <f t="shared" si="121"/>
        <v>249552</v>
      </c>
      <c r="O1883" s="69">
        <f t="shared" si="120"/>
        <v>249552</v>
      </c>
      <c r="P1883" s="42" t="str">
        <f>IFERROR(VLOOKUP(J1883,'Mã NV'!$B:$C,2,0),"")</f>
        <v>XE00977</v>
      </c>
      <c r="Q1883" s="70" t="str">
        <f>IFERROR(VLOOKUP(I1883,'Mã NV'!$J:$K,2,0),"")</f>
        <v>2T5 Lạnh </v>
      </c>
    </row>
    <row r="1884" customHeight="1" spans="1:17">
      <c r="A1884" s="63">
        <f t="shared" si="122"/>
        <v>1876</v>
      </c>
      <c r="B1884" s="64">
        <v>46154</v>
      </c>
      <c r="D1884" s="66" t="s">
        <v>58</v>
      </c>
      <c r="E1884" s="66" t="s">
        <v>58</v>
      </c>
      <c r="F1884" s="66" t="s">
        <v>985</v>
      </c>
      <c r="G1884" s="66" t="s">
        <v>1076</v>
      </c>
      <c r="H1884" s="66" t="s">
        <v>1097</v>
      </c>
      <c r="I1884" s="66" t="s">
        <v>214</v>
      </c>
      <c r="J1884" s="66" t="s">
        <v>212</v>
      </c>
      <c r="K1884" s="66" t="s">
        <v>747</v>
      </c>
      <c r="L1884" s="67">
        <v>142973</v>
      </c>
      <c r="M1884" s="67">
        <v>0</v>
      </c>
      <c r="N1884" s="68">
        <f t="shared" si="121"/>
        <v>142973</v>
      </c>
      <c r="O1884" s="69">
        <f t="shared" si="120"/>
        <v>142973</v>
      </c>
      <c r="P1884" s="42" t="str">
        <f>IFERROR(VLOOKUP(J1884,'Mã NV'!$B:$C,2,0),"")</f>
        <v>XE00977</v>
      </c>
      <c r="Q1884" s="70" t="str">
        <f>IFERROR(VLOOKUP(I1884,'Mã NV'!$J:$K,2,0),"")</f>
        <v>2T5 Lạnh </v>
      </c>
    </row>
    <row r="1885" customHeight="1" spans="1:17">
      <c r="A1885" s="63">
        <f t="shared" si="122"/>
        <v>1877</v>
      </c>
      <c r="B1885" s="64">
        <v>46154</v>
      </c>
      <c r="D1885" s="66" t="s">
        <v>58</v>
      </c>
      <c r="E1885" s="66" t="s">
        <v>58</v>
      </c>
      <c r="F1885" s="66" t="s">
        <v>985</v>
      </c>
      <c r="G1885" s="66" t="s">
        <v>1076</v>
      </c>
      <c r="H1885" s="66" t="s">
        <v>1089</v>
      </c>
      <c r="I1885" s="66" t="s">
        <v>214</v>
      </c>
      <c r="J1885" s="66" t="s">
        <v>212</v>
      </c>
      <c r="K1885" s="66" t="s">
        <v>747</v>
      </c>
      <c r="L1885" s="67">
        <v>434117</v>
      </c>
      <c r="M1885" s="67">
        <v>0</v>
      </c>
      <c r="N1885" s="68">
        <f t="shared" si="121"/>
        <v>434117</v>
      </c>
      <c r="O1885" s="69">
        <f t="shared" si="120"/>
        <v>434117</v>
      </c>
      <c r="P1885" s="42" t="str">
        <f>IFERROR(VLOOKUP(J1885,'Mã NV'!$B:$C,2,0),"")</f>
        <v>XE00977</v>
      </c>
      <c r="Q1885" s="70" t="str">
        <f>IFERROR(VLOOKUP(I1885,'Mã NV'!$J:$K,2,0),"")</f>
        <v>2T5 Lạnh </v>
      </c>
    </row>
    <row r="1886" customHeight="1" spans="1:17">
      <c r="A1886" s="63">
        <f t="shared" si="122"/>
        <v>1878</v>
      </c>
      <c r="B1886" s="64">
        <v>46154</v>
      </c>
      <c r="D1886" s="66" t="s">
        <v>58</v>
      </c>
      <c r="E1886" s="66" t="s">
        <v>58</v>
      </c>
      <c r="F1886" s="66" t="s">
        <v>985</v>
      </c>
      <c r="G1886" s="66" t="s">
        <v>1076</v>
      </c>
      <c r="H1886" s="66" t="s">
        <v>1096</v>
      </c>
      <c r="I1886" s="66" t="s">
        <v>154</v>
      </c>
      <c r="J1886" s="66" t="s">
        <v>152</v>
      </c>
      <c r="K1886" s="66" t="s">
        <v>747</v>
      </c>
      <c r="L1886" s="67">
        <v>179366</v>
      </c>
      <c r="M1886" s="67">
        <v>0</v>
      </c>
      <c r="N1886" s="68">
        <f t="shared" si="121"/>
        <v>179366</v>
      </c>
      <c r="O1886" s="69">
        <f t="shared" si="120"/>
        <v>179366</v>
      </c>
      <c r="P1886" s="42" t="str">
        <f>IFERROR(VLOOKUP(J1886,'Mã NV'!$B:$C,2,0),"")</f>
        <v>XE00730</v>
      </c>
      <c r="Q1886" s="70" t="str">
        <f>IFERROR(VLOOKUP(I1886,'Mã NV'!$J:$K,2,0),"")</f>
        <v> 3T5 Lạnh </v>
      </c>
    </row>
    <row r="1887" customHeight="1" spans="1:17">
      <c r="A1887" s="63">
        <f t="shared" si="122"/>
        <v>1879</v>
      </c>
      <c r="B1887" s="64">
        <v>46154</v>
      </c>
      <c r="D1887" s="66" t="s">
        <v>58</v>
      </c>
      <c r="E1887" s="66" t="s">
        <v>58</v>
      </c>
      <c r="F1887" s="66" t="s">
        <v>985</v>
      </c>
      <c r="G1887" s="66" t="s">
        <v>1076</v>
      </c>
      <c r="H1887" s="66" t="s">
        <v>1098</v>
      </c>
      <c r="I1887" s="66" t="s">
        <v>154</v>
      </c>
      <c r="J1887" s="66" t="s">
        <v>152</v>
      </c>
      <c r="K1887" s="66" t="s">
        <v>747</v>
      </c>
      <c r="L1887" s="67">
        <v>189764</v>
      </c>
      <c r="M1887" s="67">
        <v>0</v>
      </c>
      <c r="N1887" s="68">
        <f t="shared" si="121"/>
        <v>189764</v>
      </c>
      <c r="O1887" s="69">
        <f t="shared" si="120"/>
        <v>189764</v>
      </c>
      <c r="P1887" s="42" t="str">
        <f>IFERROR(VLOOKUP(J1887,'Mã NV'!$B:$C,2,0),"")</f>
        <v>XE00730</v>
      </c>
      <c r="Q1887" s="70" t="str">
        <f>IFERROR(VLOOKUP(I1887,'Mã NV'!$J:$K,2,0),"")</f>
        <v> 3T5 Lạnh </v>
      </c>
    </row>
    <row r="1888" customHeight="1" spans="1:17">
      <c r="A1888" s="63">
        <f t="shared" si="122"/>
        <v>1880</v>
      </c>
      <c r="B1888" s="64">
        <v>46154</v>
      </c>
      <c r="D1888" s="66" t="s">
        <v>58</v>
      </c>
      <c r="E1888" s="66" t="s">
        <v>58</v>
      </c>
      <c r="F1888" s="66" t="s">
        <v>985</v>
      </c>
      <c r="G1888" s="66" t="s">
        <v>1076</v>
      </c>
      <c r="H1888" s="66" t="s">
        <v>1088</v>
      </c>
      <c r="I1888" s="66" t="s">
        <v>154</v>
      </c>
      <c r="J1888" s="66" t="s">
        <v>152</v>
      </c>
      <c r="K1888" s="66" t="s">
        <v>747</v>
      </c>
      <c r="L1888" s="67">
        <v>317139</v>
      </c>
      <c r="M1888" s="67">
        <v>0</v>
      </c>
      <c r="N1888" s="68">
        <f t="shared" si="121"/>
        <v>317139</v>
      </c>
      <c r="O1888" s="69">
        <f t="shared" si="120"/>
        <v>317139</v>
      </c>
      <c r="P1888" s="42" t="str">
        <f>IFERROR(VLOOKUP(J1888,'Mã NV'!$B:$C,2,0),"")</f>
        <v>XE00730</v>
      </c>
      <c r="Q1888" s="70" t="str">
        <f>IFERROR(VLOOKUP(I1888,'Mã NV'!$J:$K,2,0),"")</f>
        <v> 3T5 Lạnh </v>
      </c>
    </row>
    <row r="1889" customHeight="1" spans="1:17">
      <c r="A1889" s="63">
        <f t="shared" si="122"/>
        <v>1881</v>
      </c>
      <c r="B1889" s="64">
        <v>46154</v>
      </c>
      <c r="D1889" s="66" t="s">
        <v>58</v>
      </c>
      <c r="E1889" s="66" t="s">
        <v>58</v>
      </c>
      <c r="F1889" s="66" t="s">
        <v>985</v>
      </c>
      <c r="G1889" s="66" t="s">
        <v>1076</v>
      </c>
      <c r="H1889" s="66" t="s">
        <v>1090</v>
      </c>
      <c r="I1889" s="66" t="s">
        <v>154</v>
      </c>
      <c r="J1889" s="66" t="s">
        <v>152</v>
      </c>
      <c r="K1889" s="66" t="s">
        <v>747</v>
      </c>
      <c r="L1889" s="67">
        <v>337935</v>
      </c>
      <c r="M1889" s="67">
        <v>0</v>
      </c>
      <c r="N1889" s="68">
        <f t="shared" si="121"/>
        <v>337935</v>
      </c>
      <c r="O1889" s="69">
        <f t="shared" si="120"/>
        <v>337935</v>
      </c>
      <c r="P1889" s="42" t="str">
        <f>IFERROR(VLOOKUP(J1889,'Mã NV'!$B:$C,2,0),"")</f>
        <v>XE00730</v>
      </c>
      <c r="Q1889" s="70" t="str">
        <f>IFERROR(VLOOKUP(I1889,'Mã NV'!$J:$K,2,0),"")</f>
        <v> 3T5 Lạnh </v>
      </c>
    </row>
    <row r="1890" customHeight="1" spans="1:17">
      <c r="A1890" s="63">
        <f t="shared" si="122"/>
        <v>1882</v>
      </c>
      <c r="B1890" s="64">
        <v>46154</v>
      </c>
      <c r="D1890" s="66" t="s">
        <v>58</v>
      </c>
      <c r="E1890" s="66" t="s">
        <v>58</v>
      </c>
      <c r="F1890" s="66" t="s">
        <v>985</v>
      </c>
      <c r="G1890" s="66" t="s">
        <v>1076</v>
      </c>
      <c r="H1890" s="66" t="s">
        <v>1095</v>
      </c>
      <c r="I1890" s="66" t="s">
        <v>57</v>
      </c>
      <c r="J1890" s="66" t="s">
        <v>55</v>
      </c>
      <c r="K1890" s="66" t="s">
        <v>747</v>
      </c>
      <c r="L1890" s="67">
        <v>285945</v>
      </c>
      <c r="M1890" s="67">
        <v>0</v>
      </c>
      <c r="N1890" s="68">
        <f t="shared" si="121"/>
        <v>285945</v>
      </c>
      <c r="O1890" s="69">
        <f t="shared" si="120"/>
        <v>285945</v>
      </c>
      <c r="P1890" s="42" t="str">
        <f>IFERROR(VLOOKUP(J1890,'Mã NV'!$B:$C,2,0),"")</f>
        <v>XE00768</v>
      </c>
      <c r="Q1890" s="70" t="str">
        <f>IFERROR(VLOOKUP(I1890,'Mã NV'!$J:$K,2,0),"")</f>
        <v>2.5T</v>
      </c>
    </row>
    <row r="1891" customHeight="1" spans="1:17">
      <c r="A1891" s="63">
        <f t="shared" si="122"/>
        <v>1883</v>
      </c>
      <c r="B1891" s="64">
        <v>46154</v>
      </c>
      <c r="D1891" s="66" t="s">
        <v>58</v>
      </c>
      <c r="E1891" s="66" t="s">
        <v>58</v>
      </c>
      <c r="F1891" s="66" t="s">
        <v>985</v>
      </c>
      <c r="G1891" s="66" t="s">
        <v>1076</v>
      </c>
      <c r="H1891" s="66" t="s">
        <v>1093</v>
      </c>
      <c r="I1891" s="66" t="s">
        <v>57</v>
      </c>
      <c r="J1891" s="66" t="s">
        <v>55</v>
      </c>
      <c r="K1891" s="66" t="s">
        <v>747</v>
      </c>
      <c r="L1891" s="67">
        <v>202761</v>
      </c>
      <c r="M1891" s="67">
        <v>0</v>
      </c>
      <c r="N1891" s="68">
        <f t="shared" si="121"/>
        <v>202761</v>
      </c>
      <c r="O1891" s="69">
        <f t="shared" si="120"/>
        <v>202761</v>
      </c>
      <c r="P1891" s="42" t="str">
        <f>IFERROR(VLOOKUP(J1891,'Mã NV'!$B:$C,2,0),"")</f>
        <v>XE00768</v>
      </c>
      <c r="Q1891" s="70" t="str">
        <f>IFERROR(VLOOKUP(I1891,'Mã NV'!$J:$K,2,0),"")</f>
        <v>2.5T</v>
      </c>
    </row>
    <row r="1892" customHeight="1" spans="1:17">
      <c r="A1892" s="63">
        <f t="shared" si="122"/>
        <v>1884</v>
      </c>
      <c r="B1892" s="64">
        <v>46154</v>
      </c>
      <c r="D1892" s="66" t="s">
        <v>58</v>
      </c>
      <c r="E1892" s="66" t="s">
        <v>58</v>
      </c>
      <c r="F1892" s="66" t="s">
        <v>985</v>
      </c>
      <c r="G1892" s="66" t="s">
        <v>1076</v>
      </c>
      <c r="H1892" s="66" t="s">
        <v>1092</v>
      </c>
      <c r="I1892" s="66" t="s">
        <v>57</v>
      </c>
      <c r="J1892" s="66" t="s">
        <v>55</v>
      </c>
      <c r="K1892" s="66" t="s">
        <v>747</v>
      </c>
      <c r="L1892" s="67">
        <v>241754</v>
      </c>
      <c r="M1892" s="67">
        <v>0</v>
      </c>
      <c r="N1892" s="68">
        <f t="shared" si="121"/>
        <v>241754</v>
      </c>
      <c r="O1892" s="69">
        <f t="shared" si="120"/>
        <v>241754</v>
      </c>
      <c r="P1892" s="42" t="str">
        <f>IFERROR(VLOOKUP(J1892,'Mã NV'!$B:$C,2,0),"")</f>
        <v>XE00768</v>
      </c>
      <c r="Q1892" s="70" t="str">
        <f>IFERROR(VLOOKUP(I1892,'Mã NV'!$J:$K,2,0),"")</f>
        <v>2.5T</v>
      </c>
    </row>
    <row r="1893" customHeight="1" spans="1:17">
      <c r="A1893" s="63">
        <f t="shared" si="122"/>
        <v>1885</v>
      </c>
      <c r="B1893" s="64">
        <v>46154</v>
      </c>
      <c r="D1893" s="66" t="s">
        <v>58</v>
      </c>
      <c r="E1893" s="66" t="s">
        <v>58</v>
      </c>
      <c r="F1893" s="66" t="s">
        <v>985</v>
      </c>
      <c r="G1893" s="66" t="s">
        <v>1076</v>
      </c>
      <c r="H1893" s="66" t="s">
        <v>1094</v>
      </c>
      <c r="I1893" s="66" t="s">
        <v>57</v>
      </c>
      <c r="J1893" s="66" t="s">
        <v>55</v>
      </c>
      <c r="K1893" s="66" t="s">
        <v>747</v>
      </c>
      <c r="L1893" s="67">
        <v>145572</v>
      </c>
      <c r="M1893" s="67">
        <v>0</v>
      </c>
      <c r="N1893" s="68">
        <f t="shared" si="121"/>
        <v>145572</v>
      </c>
      <c r="O1893" s="69">
        <f t="shared" si="120"/>
        <v>145572</v>
      </c>
      <c r="P1893" s="42" t="str">
        <f>IFERROR(VLOOKUP(J1893,'Mã NV'!$B:$C,2,0),"")</f>
        <v>XE00768</v>
      </c>
      <c r="Q1893" s="70" t="str">
        <f>IFERROR(VLOOKUP(I1893,'Mã NV'!$J:$K,2,0),"")</f>
        <v>2.5T</v>
      </c>
    </row>
    <row r="1894" customHeight="1" spans="1:17">
      <c r="A1894" s="63">
        <f t="shared" si="122"/>
        <v>1886</v>
      </c>
      <c r="B1894" s="64">
        <v>46154</v>
      </c>
      <c r="D1894" s="66" t="s">
        <v>58</v>
      </c>
      <c r="E1894" s="66" t="s">
        <v>58</v>
      </c>
      <c r="F1894" s="66" t="s">
        <v>985</v>
      </c>
      <c r="G1894" s="66" t="s">
        <v>1076</v>
      </c>
      <c r="H1894" s="66" t="s">
        <v>1102</v>
      </c>
      <c r="I1894" s="66" t="s">
        <v>403</v>
      </c>
      <c r="J1894" s="66" t="s">
        <v>401</v>
      </c>
      <c r="K1894" s="66" t="s">
        <v>747</v>
      </c>
      <c r="L1894" s="67">
        <v>343134</v>
      </c>
      <c r="M1894" s="67">
        <v>0</v>
      </c>
      <c r="N1894" s="68">
        <f t="shared" si="121"/>
        <v>343134</v>
      </c>
      <c r="O1894" s="69">
        <f t="shared" si="120"/>
        <v>343134</v>
      </c>
      <c r="P1894" s="42" t="str">
        <f>IFERROR(VLOOKUP(J1894,'Mã NV'!$B:$C,2,0),"")</f>
        <v>XE01466</v>
      </c>
      <c r="Q1894" s="70" t="str">
        <f>IFERROR(VLOOKUP(I1894,'Mã NV'!$J:$K,2,0),"")</f>
        <v>3.5T</v>
      </c>
    </row>
    <row r="1895" customHeight="1" spans="1:17">
      <c r="A1895" s="63">
        <f t="shared" si="122"/>
        <v>1887</v>
      </c>
      <c r="B1895" s="64">
        <v>46154</v>
      </c>
      <c r="D1895" s="66" t="s">
        <v>58</v>
      </c>
      <c r="E1895" s="66" t="s">
        <v>58</v>
      </c>
      <c r="F1895" s="66" t="s">
        <v>985</v>
      </c>
      <c r="G1895" s="66" t="s">
        <v>1076</v>
      </c>
      <c r="H1895" s="66" t="s">
        <v>1099</v>
      </c>
      <c r="I1895" s="66" t="s">
        <v>403</v>
      </c>
      <c r="J1895" s="66" t="s">
        <v>401</v>
      </c>
      <c r="K1895" s="66" t="s">
        <v>747</v>
      </c>
      <c r="L1895" s="67">
        <v>189764</v>
      </c>
      <c r="M1895" s="67">
        <v>0</v>
      </c>
      <c r="N1895" s="68">
        <f t="shared" si="121"/>
        <v>189764</v>
      </c>
      <c r="O1895" s="69">
        <f t="shared" si="120"/>
        <v>189764</v>
      </c>
      <c r="P1895" s="42" t="str">
        <f>IFERROR(VLOOKUP(J1895,'Mã NV'!$B:$C,2,0),"")</f>
        <v>XE01466</v>
      </c>
      <c r="Q1895" s="70" t="str">
        <f>IFERROR(VLOOKUP(I1895,'Mã NV'!$J:$K,2,0),"")</f>
        <v>3.5T</v>
      </c>
    </row>
    <row r="1896" customHeight="1" spans="1:17">
      <c r="A1896" s="63">
        <f t="shared" si="122"/>
        <v>1888</v>
      </c>
      <c r="B1896" s="64">
        <v>46154</v>
      </c>
      <c r="D1896" s="66" t="s">
        <v>58</v>
      </c>
      <c r="E1896" s="66" t="s">
        <v>58</v>
      </c>
      <c r="F1896" s="66" t="s">
        <v>985</v>
      </c>
      <c r="G1896" s="66" t="s">
        <v>1076</v>
      </c>
      <c r="H1896" s="66" t="s">
        <v>1100</v>
      </c>
      <c r="I1896" s="66" t="s">
        <v>403</v>
      </c>
      <c r="J1896" s="66" t="s">
        <v>401</v>
      </c>
      <c r="K1896" s="66" t="s">
        <v>747</v>
      </c>
      <c r="L1896" s="67">
        <v>213159</v>
      </c>
      <c r="M1896" s="67">
        <v>0</v>
      </c>
      <c r="N1896" s="68">
        <f t="shared" si="121"/>
        <v>213159</v>
      </c>
      <c r="O1896" s="69">
        <f t="shared" si="120"/>
        <v>213159</v>
      </c>
      <c r="P1896" s="42" t="str">
        <f>IFERROR(VLOOKUP(J1896,'Mã NV'!$B:$C,2,0),"")</f>
        <v>XE01466</v>
      </c>
      <c r="Q1896" s="70" t="str">
        <f>IFERROR(VLOOKUP(I1896,'Mã NV'!$J:$K,2,0),"")</f>
        <v>3.5T</v>
      </c>
    </row>
    <row r="1897" customHeight="1" spans="1:17">
      <c r="A1897" s="63">
        <f t="shared" si="122"/>
        <v>1889</v>
      </c>
      <c r="B1897" s="64">
        <v>46154</v>
      </c>
      <c r="D1897" s="66" t="s">
        <v>58</v>
      </c>
      <c r="E1897" s="66" t="s">
        <v>58</v>
      </c>
      <c r="F1897" s="66" t="s">
        <v>985</v>
      </c>
      <c r="G1897" s="66" t="s">
        <v>1076</v>
      </c>
      <c r="H1897" s="66" t="s">
        <v>1077</v>
      </c>
      <c r="I1897" s="66" t="s">
        <v>403</v>
      </c>
      <c r="J1897" s="66" t="s">
        <v>401</v>
      </c>
      <c r="K1897" s="66" t="s">
        <v>747</v>
      </c>
      <c r="L1897" s="67">
        <v>405522</v>
      </c>
      <c r="M1897" s="67">
        <v>0</v>
      </c>
      <c r="N1897" s="68">
        <f t="shared" si="121"/>
        <v>405522</v>
      </c>
      <c r="O1897" s="69">
        <f t="shared" si="120"/>
        <v>405522</v>
      </c>
      <c r="P1897" s="42" t="str">
        <f>IFERROR(VLOOKUP(J1897,'Mã NV'!$B:$C,2,0),"")</f>
        <v>XE01466</v>
      </c>
      <c r="Q1897" s="70" t="str">
        <f>IFERROR(VLOOKUP(I1897,'Mã NV'!$J:$K,2,0),"")</f>
        <v>3.5T</v>
      </c>
    </row>
    <row r="1898" customHeight="1" spans="1:17">
      <c r="A1898" s="63">
        <f t="shared" si="122"/>
        <v>1890</v>
      </c>
      <c r="B1898" s="64">
        <v>46154</v>
      </c>
      <c r="D1898" s="66" t="s">
        <v>58</v>
      </c>
      <c r="E1898" s="66" t="s">
        <v>58</v>
      </c>
      <c r="F1898" s="66" t="s">
        <v>985</v>
      </c>
      <c r="G1898" s="66" t="s">
        <v>1076</v>
      </c>
      <c r="H1898" s="66" t="s">
        <v>1103</v>
      </c>
      <c r="I1898" s="66" t="s">
        <v>177</v>
      </c>
      <c r="J1898" s="66" t="s">
        <v>174</v>
      </c>
      <c r="K1898" s="66" t="s">
        <v>747</v>
      </c>
      <c r="L1898" s="67">
        <v>205361</v>
      </c>
      <c r="M1898" s="67">
        <v>0</v>
      </c>
      <c r="N1898" s="68">
        <f t="shared" si="121"/>
        <v>205361</v>
      </c>
      <c r="O1898" s="69">
        <f t="shared" si="120"/>
        <v>205361</v>
      </c>
      <c r="P1898" s="42" t="str">
        <f>IFERROR(VLOOKUP(J1898,'Mã NV'!$B:$C,2,0),"")</f>
        <v>XE00975</v>
      </c>
      <c r="Q1898" s="70" t="str">
        <f>IFERROR(VLOOKUP(I1898,'Mã NV'!$J:$K,2,0),"")</f>
        <v>2.5T Lạnh</v>
      </c>
    </row>
    <row r="1899" customHeight="1" spans="1:17">
      <c r="A1899" s="63">
        <f t="shared" si="122"/>
        <v>1891</v>
      </c>
      <c r="B1899" s="64">
        <v>46154</v>
      </c>
      <c r="D1899" s="66" t="s">
        <v>58</v>
      </c>
      <c r="E1899" s="66" t="s">
        <v>58</v>
      </c>
      <c r="F1899" s="66" t="s">
        <v>985</v>
      </c>
      <c r="G1899" s="66" t="s">
        <v>1076</v>
      </c>
      <c r="H1899" s="66" t="s">
        <v>1104</v>
      </c>
      <c r="I1899" s="66" t="s">
        <v>177</v>
      </c>
      <c r="J1899" s="66" t="s">
        <v>174</v>
      </c>
      <c r="K1899" s="66" t="s">
        <v>747</v>
      </c>
      <c r="L1899" s="67">
        <v>280746</v>
      </c>
      <c r="M1899" s="67">
        <v>0</v>
      </c>
      <c r="N1899" s="68">
        <f t="shared" si="121"/>
        <v>280746</v>
      </c>
      <c r="O1899" s="69">
        <f t="shared" si="120"/>
        <v>280746</v>
      </c>
      <c r="P1899" s="42" t="str">
        <f>IFERROR(VLOOKUP(J1899,'Mã NV'!$B:$C,2,0),"")</f>
        <v>XE00975</v>
      </c>
      <c r="Q1899" s="70" t="str">
        <f>IFERROR(VLOOKUP(I1899,'Mã NV'!$J:$K,2,0),"")</f>
        <v>2.5T Lạnh</v>
      </c>
    </row>
    <row r="1900" customHeight="1" spans="1:17">
      <c r="A1900" s="63">
        <f t="shared" si="122"/>
        <v>1892</v>
      </c>
      <c r="B1900" s="64">
        <v>46154</v>
      </c>
      <c r="D1900" s="66" t="s">
        <v>58</v>
      </c>
      <c r="E1900" s="66" t="s">
        <v>58</v>
      </c>
      <c r="F1900" s="66" t="s">
        <v>985</v>
      </c>
      <c r="G1900" s="66" t="s">
        <v>1076</v>
      </c>
      <c r="H1900" s="66" t="s">
        <v>1101</v>
      </c>
      <c r="I1900" s="66" t="s">
        <v>177</v>
      </c>
      <c r="J1900" s="66" t="s">
        <v>174</v>
      </c>
      <c r="K1900" s="66" t="s">
        <v>747</v>
      </c>
      <c r="L1900" s="67">
        <v>363930</v>
      </c>
      <c r="M1900" s="67">
        <v>0</v>
      </c>
      <c r="N1900" s="68">
        <f t="shared" si="121"/>
        <v>363930</v>
      </c>
      <c r="O1900" s="69">
        <f t="shared" si="120"/>
        <v>363930</v>
      </c>
      <c r="P1900" s="42" t="str">
        <f>IFERROR(VLOOKUP(J1900,'Mã NV'!$B:$C,2,0),"")</f>
        <v>XE00975</v>
      </c>
      <c r="Q1900" s="70" t="str">
        <f>IFERROR(VLOOKUP(I1900,'Mã NV'!$J:$K,2,0),"")</f>
        <v>2.5T Lạnh</v>
      </c>
    </row>
    <row r="1901" customHeight="1" spans="1:17">
      <c r="A1901" s="63">
        <f t="shared" si="122"/>
        <v>1893</v>
      </c>
      <c r="B1901" s="64">
        <v>46155</v>
      </c>
      <c r="D1901" s="66" t="s">
        <v>58</v>
      </c>
      <c r="E1901" s="66" t="s">
        <v>58</v>
      </c>
      <c r="F1901" s="66" t="s">
        <v>985</v>
      </c>
      <c r="G1901" s="66" t="s">
        <v>1076</v>
      </c>
      <c r="H1901" s="66" t="s">
        <v>1108</v>
      </c>
      <c r="I1901" s="66" t="s">
        <v>57</v>
      </c>
      <c r="J1901" s="66" t="s">
        <v>55</v>
      </c>
      <c r="K1901" s="66" t="s">
        <v>747</v>
      </c>
      <c r="L1901" s="67">
        <v>1050198</v>
      </c>
      <c r="M1901" s="67">
        <v>0</v>
      </c>
      <c r="N1901" s="68">
        <f t="shared" si="121"/>
        <v>1050198</v>
      </c>
      <c r="O1901" s="69">
        <f t="shared" si="120"/>
        <v>1050198</v>
      </c>
      <c r="P1901" s="42" t="str">
        <f>IFERROR(VLOOKUP(J1901,'Mã NV'!$B:$C,2,0),"")</f>
        <v>XE00768</v>
      </c>
      <c r="Q1901" s="70" t="str">
        <f>IFERROR(VLOOKUP(I1901,'Mã NV'!$J:$K,2,0),"")</f>
        <v>2.5T</v>
      </c>
    </row>
    <row r="1902" customHeight="1" spans="1:17">
      <c r="A1902" s="63">
        <f t="shared" si="122"/>
        <v>1894</v>
      </c>
      <c r="B1902" s="64">
        <v>46155</v>
      </c>
      <c r="D1902" s="66" t="s">
        <v>58</v>
      </c>
      <c r="E1902" s="66" t="s">
        <v>58</v>
      </c>
      <c r="F1902" s="66" t="s">
        <v>985</v>
      </c>
      <c r="G1902" s="66" t="s">
        <v>1076</v>
      </c>
      <c r="H1902" s="66" t="s">
        <v>1106</v>
      </c>
      <c r="I1902" s="66" t="s">
        <v>57</v>
      </c>
      <c r="J1902" s="66" t="s">
        <v>55</v>
      </c>
      <c r="K1902" s="66" t="s">
        <v>747</v>
      </c>
      <c r="L1902" s="67">
        <v>496505</v>
      </c>
      <c r="M1902" s="67">
        <v>0</v>
      </c>
      <c r="N1902" s="68">
        <f t="shared" si="121"/>
        <v>496505</v>
      </c>
      <c r="O1902" s="69">
        <f t="shared" si="120"/>
        <v>496505</v>
      </c>
      <c r="P1902" s="42" t="str">
        <f>IFERROR(VLOOKUP(J1902,'Mã NV'!$B:$C,2,0),"")</f>
        <v>XE00768</v>
      </c>
      <c r="Q1902" s="70" t="str">
        <f>IFERROR(VLOOKUP(I1902,'Mã NV'!$J:$K,2,0),"")</f>
        <v>2.5T</v>
      </c>
    </row>
    <row r="1903" customHeight="1" spans="1:17">
      <c r="A1903" s="63">
        <f t="shared" si="122"/>
        <v>1895</v>
      </c>
      <c r="B1903" s="64">
        <v>46155</v>
      </c>
      <c r="D1903" s="66" t="s">
        <v>58</v>
      </c>
      <c r="E1903" s="66" t="s">
        <v>58</v>
      </c>
      <c r="F1903" s="66" t="s">
        <v>985</v>
      </c>
      <c r="G1903" s="66" t="s">
        <v>1076</v>
      </c>
      <c r="H1903" s="66" t="s">
        <v>1109</v>
      </c>
      <c r="I1903" s="66" t="s">
        <v>134</v>
      </c>
      <c r="J1903" s="66" t="s">
        <v>359</v>
      </c>
      <c r="K1903" s="66" t="s">
        <v>747</v>
      </c>
      <c r="L1903" s="67">
        <v>727860</v>
      </c>
      <c r="M1903" s="67">
        <v>0</v>
      </c>
      <c r="N1903" s="68">
        <f t="shared" si="121"/>
        <v>727860</v>
      </c>
      <c r="O1903" s="69">
        <f t="shared" si="120"/>
        <v>727860</v>
      </c>
      <c r="P1903" s="42" t="str">
        <f>IFERROR(VLOOKUP(J1903,'Mã NV'!$B:$C,2,0),"")</f>
        <v>XE01639</v>
      </c>
      <c r="Q1903" s="70" t="str">
        <f>IFERROR(VLOOKUP(I1903,'Mã NV'!$J:$K,2,0),"")</f>
        <v>2.5T Lạnh</v>
      </c>
    </row>
    <row r="1904" customHeight="1" spans="1:17">
      <c r="A1904" s="63">
        <f t="shared" si="122"/>
        <v>1896</v>
      </c>
      <c r="B1904" s="64">
        <v>46155</v>
      </c>
      <c r="D1904" s="66" t="s">
        <v>58</v>
      </c>
      <c r="E1904" s="66" t="s">
        <v>58</v>
      </c>
      <c r="F1904" s="66" t="s">
        <v>985</v>
      </c>
      <c r="G1904" s="66" t="s">
        <v>1076</v>
      </c>
      <c r="H1904" s="66" t="s">
        <v>1080</v>
      </c>
      <c r="I1904" s="66" t="s">
        <v>403</v>
      </c>
      <c r="J1904" s="66" t="s">
        <v>401</v>
      </c>
      <c r="K1904" s="66" t="s">
        <v>747</v>
      </c>
      <c r="L1904" s="67">
        <v>252152</v>
      </c>
      <c r="M1904" s="67">
        <v>0</v>
      </c>
      <c r="N1904" s="68">
        <f t="shared" si="121"/>
        <v>252152</v>
      </c>
      <c r="O1904" s="69">
        <f t="shared" si="120"/>
        <v>252152</v>
      </c>
      <c r="P1904" s="42" t="str">
        <f>IFERROR(VLOOKUP(J1904,'Mã NV'!$B:$C,2,0),"")</f>
        <v>XE01466</v>
      </c>
      <c r="Q1904" s="70" t="str">
        <f>IFERROR(VLOOKUP(I1904,'Mã NV'!$J:$K,2,0),"")</f>
        <v>3.5T</v>
      </c>
    </row>
    <row r="1905" customHeight="1" spans="1:17">
      <c r="A1905" s="63">
        <f t="shared" si="122"/>
        <v>1897</v>
      </c>
      <c r="B1905" s="64">
        <v>46155</v>
      </c>
      <c r="D1905" s="66" t="s">
        <v>58</v>
      </c>
      <c r="E1905" s="66" t="s">
        <v>58</v>
      </c>
      <c r="F1905" s="66" t="s">
        <v>985</v>
      </c>
      <c r="G1905" s="66" t="s">
        <v>1076</v>
      </c>
      <c r="H1905" s="66" t="s">
        <v>1081</v>
      </c>
      <c r="I1905" s="66" t="s">
        <v>403</v>
      </c>
      <c r="J1905" s="66" t="s">
        <v>401</v>
      </c>
      <c r="K1905" s="66" t="s">
        <v>747</v>
      </c>
      <c r="L1905" s="67">
        <v>241754</v>
      </c>
      <c r="M1905" s="67">
        <v>0</v>
      </c>
      <c r="N1905" s="68">
        <f t="shared" si="121"/>
        <v>241754</v>
      </c>
      <c r="O1905" s="69">
        <f t="shared" si="120"/>
        <v>241754</v>
      </c>
      <c r="P1905" s="42" t="str">
        <f>IFERROR(VLOOKUP(J1905,'Mã NV'!$B:$C,2,0),"")</f>
        <v>XE01466</v>
      </c>
      <c r="Q1905" s="70" t="str">
        <f>IFERROR(VLOOKUP(I1905,'Mã NV'!$J:$K,2,0),"")</f>
        <v>3.5T</v>
      </c>
    </row>
    <row r="1906" customHeight="1" spans="1:17">
      <c r="A1906" s="63">
        <f t="shared" si="122"/>
        <v>1898</v>
      </c>
      <c r="B1906" s="64">
        <v>46155</v>
      </c>
      <c r="D1906" s="66" t="s">
        <v>58</v>
      </c>
      <c r="E1906" s="66" t="s">
        <v>58</v>
      </c>
      <c r="F1906" s="66" t="s">
        <v>985</v>
      </c>
      <c r="G1906" s="66" t="s">
        <v>1076</v>
      </c>
      <c r="H1906" s="66" t="s">
        <v>1082</v>
      </c>
      <c r="I1906" s="66" t="s">
        <v>403</v>
      </c>
      <c r="J1906" s="66" t="s">
        <v>401</v>
      </c>
      <c r="K1906" s="66" t="s">
        <v>747</v>
      </c>
      <c r="L1906" s="67">
        <v>270348</v>
      </c>
      <c r="M1906" s="67">
        <v>0</v>
      </c>
      <c r="N1906" s="68">
        <f t="shared" si="121"/>
        <v>270348</v>
      </c>
      <c r="O1906" s="69">
        <f t="shared" si="120"/>
        <v>270348</v>
      </c>
      <c r="P1906" s="42" t="str">
        <f>IFERROR(VLOOKUP(J1906,'Mã NV'!$B:$C,2,0),"")</f>
        <v>XE01466</v>
      </c>
      <c r="Q1906" s="70" t="str">
        <f>IFERROR(VLOOKUP(I1906,'Mã NV'!$J:$K,2,0),"")</f>
        <v>3.5T</v>
      </c>
    </row>
    <row r="1907" customHeight="1" spans="1:17">
      <c r="A1907" s="63">
        <f t="shared" si="122"/>
        <v>1899</v>
      </c>
      <c r="B1907" s="64">
        <v>46155</v>
      </c>
      <c r="D1907" s="66" t="s">
        <v>58</v>
      </c>
      <c r="E1907" s="66" t="s">
        <v>58</v>
      </c>
      <c r="F1907" s="66" t="s">
        <v>985</v>
      </c>
      <c r="G1907" s="66" t="s">
        <v>1076</v>
      </c>
      <c r="H1907" s="66" t="s">
        <v>1083</v>
      </c>
      <c r="I1907" s="66" t="s">
        <v>403</v>
      </c>
      <c r="J1907" s="66" t="s">
        <v>401</v>
      </c>
      <c r="K1907" s="66" t="s">
        <v>747</v>
      </c>
      <c r="L1907" s="67">
        <v>194963</v>
      </c>
      <c r="M1907" s="67">
        <v>0</v>
      </c>
      <c r="N1907" s="68">
        <f t="shared" si="121"/>
        <v>194963</v>
      </c>
      <c r="O1907" s="69">
        <f t="shared" ref="O1907:O1970" si="123">N1907/$P$1</f>
        <v>194963</v>
      </c>
      <c r="P1907" s="42" t="str">
        <f>IFERROR(VLOOKUP(J1907,'Mã NV'!$B:$C,2,0),"")</f>
        <v>XE01466</v>
      </c>
      <c r="Q1907" s="70" t="str">
        <f>IFERROR(VLOOKUP(I1907,'Mã NV'!$J:$K,2,0),"")</f>
        <v>3.5T</v>
      </c>
    </row>
    <row r="1908" customHeight="1" spans="1:17">
      <c r="A1908" s="63">
        <f t="shared" si="122"/>
        <v>1900</v>
      </c>
      <c r="B1908" s="64">
        <v>46155</v>
      </c>
      <c r="D1908" s="66" t="s">
        <v>58</v>
      </c>
      <c r="E1908" s="66" t="s">
        <v>58</v>
      </c>
      <c r="F1908" s="66" t="s">
        <v>985</v>
      </c>
      <c r="G1908" s="66" t="s">
        <v>1076</v>
      </c>
      <c r="H1908" s="66" t="s">
        <v>1079</v>
      </c>
      <c r="I1908" s="66" t="s">
        <v>403</v>
      </c>
      <c r="J1908" s="66" t="s">
        <v>401</v>
      </c>
      <c r="K1908" s="66" t="s">
        <v>747</v>
      </c>
      <c r="L1908" s="67">
        <v>179366</v>
      </c>
      <c r="M1908" s="67">
        <v>0</v>
      </c>
      <c r="N1908" s="68">
        <f t="shared" ref="N1908:N1971" si="124">L1908-M1908</f>
        <v>179366</v>
      </c>
      <c r="O1908" s="69">
        <f t="shared" si="123"/>
        <v>179366</v>
      </c>
      <c r="P1908" s="42" t="str">
        <f>IFERROR(VLOOKUP(J1908,'Mã NV'!$B:$C,2,0),"")</f>
        <v>XE01466</v>
      </c>
      <c r="Q1908" s="70" t="str">
        <f>IFERROR(VLOOKUP(I1908,'Mã NV'!$J:$K,2,0),"")</f>
        <v>3.5T</v>
      </c>
    </row>
    <row r="1909" customHeight="1" spans="1:17">
      <c r="A1909" s="63">
        <f t="shared" si="122"/>
        <v>1901</v>
      </c>
      <c r="B1909" s="64">
        <v>46155</v>
      </c>
      <c r="D1909" s="66" t="s">
        <v>58</v>
      </c>
      <c r="E1909" s="66" t="s">
        <v>58</v>
      </c>
      <c r="F1909" s="66" t="s">
        <v>985</v>
      </c>
      <c r="G1909" s="66" t="s">
        <v>1076</v>
      </c>
      <c r="H1909" s="66" t="s">
        <v>1084</v>
      </c>
      <c r="I1909" s="66" t="s">
        <v>177</v>
      </c>
      <c r="J1909" s="66" t="s">
        <v>174</v>
      </c>
      <c r="K1909" s="66" t="s">
        <v>747</v>
      </c>
      <c r="L1909" s="67">
        <v>189764</v>
      </c>
      <c r="M1909" s="67">
        <v>0</v>
      </c>
      <c r="N1909" s="68">
        <f t="shared" si="124"/>
        <v>189764</v>
      </c>
      <c r="O1909" s="69">
        <f t="shared" si="123"/>
        <v>189764</v>
      </c>
      <c r="P1909" s="42" t="str">
        <f>IFERROR(VLOOKUP(J1909,'Mã NV'!$B:$C,2,0),"")</f>
        <v>XE00975</v>
      </c>
      <c r="Q1909" s="70" t="str">
        <f>IFERROR(VLOOKUP(I1909,'Mã NV'!$J:$K,2,0),"")</f>
        <v>2.5T Lạnh</v>
      </c>
    </row>
    <row r="1910" customHeight="1" spans="1:17">
      <c r="A1910" s="63">
        <f t="shared" si="122"/>
        <v>1902</v>
      </c>
      <c r="B1910" s="64">
        <v>46155</v>
      </c>
      <c r="D1910" s="66" t="s">
        <v>58</v>
      </c>
      <c r="E1910" s="66" t="s">
        <v>58</v>
      </c>
      <c r="F1910" s="66" t="s">
        <v>985</v>
      </c>
      <c r="G1910" s="66" t="s">
        <v>1076</v>
      </c>
      <c r="H1910" s="66" t="s">
        <v>1085</v>
      </c>
      <c r="I1910" s="66" t="s">
        <v>177</v>
      </c>
      <c r="J1910" s="66" t="s">
        <v>174</v>
      </c>
      <c r="K1910" s="66" t="s">
        <v>747</v>
      </c>
      <c r="L1910" s="67">
        <v>285945</v>
      </c>
      <c r="M1910" s="67">
        <v>0</v>
      </c>
      <c r="N1910" s="68">
        <f t="shared" si="124"/>
        <v>285945</v>
      </c>
      <c r="O1910" s="69">
        <f t="shared" si="123"/>
        <v>285945</v>
      </c>
      <c r="P1910" s="42" t="str">
        <f>IFERROR(VLOOKUP(J1910,'Mã NV'!$B:$C,2,0),"")</f>
        <v>XE00975</v>
      </c>
      <c r="Q1910" s="70" t="str">
        <f>IFERROR(VLOOKUP(I1910,'Mã NV'!$J:$K,2,0),"")</f>
        <v>2.5T Lạnh</v>
      </c>
    </row>
    <row r="1911" customHeight="1" spans="1:17">
      <c r="A1911" s="63">
        <f t="shared" si="122"/>
        <v>1903</v>
      </c>
      <c r="B1911" s="64">
        <v>46155</v>
      </c>
      <c r="D1911" s="66" t="s">
        <v>58</v>
      </c>
      <c r="E1911" s="66" t="s">
        <v>58</v>
      </c>
      <c r="F1911" s="66" t="s">
        <v>985</v>
      </c>
      <c r="G1911" s="66" t="s">
        <v>1076</v>
      </c>
      <c r="H1911" s="66" t="s">
        <v>1087</v>
      </c>
      <c r="I1911" s="66" t="s">
        <v>177</v>
      </c>
      <c r="J1911" s="66" t="s">
        <v>174</v>
      </c>
      <c r="K1911" s="66" t="s">
        <v>747</v>
      </c>
      <c r="L1911" s="67">
        <v>153371</v>
      </c>
      <c r="M1911" s="67">
        <v>0</v>
      </c>
      <c r="N1911" s="68">
        <f t="shared" si="124"/>
        <v>153371</v>
      </c>
      <c r="O1911" s="69">
        <f t="shared" si="123"/>
        <v>153371</v>
      </c>
      <c r="P1911" s="42" t="str">
        <f>IFERROR(VLOOKUP(J1911,'Mã NV'!$B:$C,2,0),"")</f>
        <v>XE00975</v>
      </c>
      <c r="Q1911" s="70" t="str">
        <f>IFERROR(VLOOKUP(I1911,'Mã NV'!$J:$K,2,0),"")</f>
        <v>2.5T Lạnh</v>
      </c>
    </row>
    <row r="1912" customHeight="1" spans="1:17">
      <c r="A1912" s="63">
        <f t="shared" si="122"/>
        <v>1904</v>
      </c>
      <c r="B1912" s="64">
        <v>46155</v>
      </c>
      <c r="D1912" s="66" t="s">
        <v>58</v>
      </c>
      <c r="E1912" s="66" t="s">
        <v>58</v>
      </c>
      <c r="F1912" s="66" t="s">
        <v>985</v>
      </c>
      <c r="G1912" s="66" t="s">
        <v>1076</v>
      </c>
      <c r="H1912" s="66" t="s">
        <v>1101</v>
      </c>
      <c r="I1912" s="66" t="s">
        <v>177</v>
      </c>
      <c r="J1912" s="66" t="s">
        <v>174</v>
      </c>
      <c r="K1912" s="66" t="s">
        <v>747</v>
      </c>
      <c r="L1912" s="67">
        <v>187164</v>
      </c>
      <c r="M1912" s="67">
        <v>0</v>
      </c>
      <c r="N1912" s="68">
        <f t="shared" si="124"/>
        <v>187164</v>
      </c>
      <c r="O1912" s="69">
        <f t="shared" si="123"/>
        <v>187164</v>
      </c>
      <c r="P1912" s="42" t="str">
        <f>IFERROR(VLOOKUP(J1912,'Mã NV'!$B:$C,2,0),"")</f>
        <v>XE00975</v>
      </c>
      <c r="Q1912" s="70" t="str">
        <f>IFERROR(VLOOKUP(I1912,'Mã NV'!$J:$K,2,0),"")</f>
        <v>2.5T Lạnh</v>
      </c>
    </row>
    <row r="1913" customHeight="1" spans="1:17">
      <c r="A1913" s="63">
        <f t="shared" si="122"/>
        <v>1905</v>
      </c>
      <c r="B1913" s="64">
        <v>46155</v>
      </c>
      <c r="D1913" s="66" t="s">
        <v>58</v>
      </c>
      <c r="E1913" s="66" t="s">
        <v>58</v>
      </c>
      <c r="F1913" s="66" t="s">
        <v>985</v>
      </c>
      <c r="G1913" s="66" t="s">
        <v>1076</v>
      </c>
      <c r="H1913" s="66" t="s">
        <v>1077</v>
      </c>
      <c r="I1913" s="66" t="s">
        <v>358</v>
      </c>
      <c r="J1913" s="66" t="s">
        <v>356</v>
      </c>
      <c r="K1913" s="66" t="s">
        <v>747</v>
      </c>
      <c r="L1913" s="67">
        <v>363930</v>
      </c>
      <c r="M1913" s="67">
        <v>0</v>
      </c>
      <c r="N1913" s="68">
        <f t="shared" si="124"/>
        <v>363930</v>
      </c>
      <c r="O1913" s="69">
        <f t="shared" si="123"/>
        <v>363930</v>
      </c>
      <c r="P1913" s="42" t="str">
        <f>IFERROR(VLOOKUP(J1913,'Mã NV'!$B:$C,2,0),"")</f>
        <v>XE01616</v>
      </c>
      <c r="Q1913" s="70" t="str">
        <f>IFERROR(VLOOKUP(I1913,'Mã NV'!$J:$K,2,0),"")</f>
        <v>2.5T Lạnh</v>
      </c>
    </row>
    <row r="1914" customHeight="1" spans="1:17">
      <c r="A1914" s="63">
        <f t="shared" si="122"/>
        <v>1906</v>
      </c>
      <c r="B1914" s="64">
        <v>46155</v>
      </c>
      <c r="D1914" s="66" t="s">
        <v>58</v>
      </c>
      <c r="E1914" s="66" t="s">
        <v>58</v>
      </c>
      <c r="F1914" s="66" t="s">
        <v>985</v>
      </c>
      <c r="G1914" s="66" t="s">
        <v>1076</v>
      </c>
      <c r="H1914" s="66" t="s">
        <v>1078</v>
      </c>
      <c r="I1914" s="66" t="s">
        <v>358</v>
      </c>
      <c r="J1914" s="66" t="s">
        <v>356</v>
      </c>
      <c r="K1914" s="66" t="s">
        <v>747</v>
      </c>
      <c r="L1914" s="67">
        <v>166368</v>
      </c>
      <c r="M1914" s="67">
        <v>0</v>
      </c>
      <c r="N1914" s="68">
        <f t="shared" si="124"/>
        <v>166368</v>
      </c>
      <c r="O1914" s="69">
        <f t="shared" si="123"/>
        <v>166368</v>
      </c>
      <c r="P1914" s="42" t="str">
        <f>IFERROR(VLOOKUP(J1914,'Mã NV'!$B:$C,2,0),"")</f>
        <v>XE01616</v>
      </c>
      <c r="Q1914" s="70" t="str">
        <f>IFERROR(VLOOKUP(I1914,'Mã NV'!$J:$K,2,0),"")</f>
        <v>2.5T Lạnh</v>
      </c>
    </row>
    <row r="1915" customHeight="1" spans="1:17">
      <c r="A1915" s="63">
        <f t="shared" si="122"/>
        <v>1907</v>
      </c>
      <c r="B1915" s="64">
        <v>46155</v>
      </c>
      <c r="D1915" s="66" t="s">
        <v>58</v>
      </c>
      <c r="E1915" s="66" t="s">
        <v>58</v>
      </c>
      <c r="F1915" s="66" t="s">
        <v>985</v>
      </c>
      <c r="G1915" s="66" t="s">
        <v>1076</v>
      </c>
      <c r="H1915" s="66" t="s">
        <v>1090</v>
      </c>
      <c r="I1915" s="66" t="s">
        <v>358</v>
      </c>
      <c r="J1915" s="66" t="s">
        <v>356</v>
      </c>
      <c r="K1915" s="66" t="s">
        <v>747</v>
      </c>
      <c r="L1915" s="67">
        <v>280746</v>
      </c>
      <c r="M1915" s="67">
        <v>0</v>
      </c>
      <c r="N1915" s="68">
        <f t="shared" si="124"/>
        <v>280746</v>
      </c>
      <c r="O1915" s="69">
        <f t="shared" si="123"/>
        <v>280746</v>
      </c>
      <c r="P1915" s="42" t="str">
        <f>IFERROR(VLOOKUP(J1915,'Mã NV'!$B:$C,2,0),"")</f>
        <v>XE01616</v>
      </c>
      <c r="Q1915" s="70" t="str">
        <f>IFERROR(VLOOKUP(I1915,'Mã NV'!$J:$K,2,0),"")</f>
        <v>2.5T Lạnh</v>
      </c>
    </row>
    <row r="1916" customHeight="1" spans="1:17">
      <c r="A1916" s="63">
        <f t="shared" si="122"/>
        <v>1908</v>
      </c>
      <c r="B1916" s="64">
        <v>46155</v>
      </c>
      <c r="D1916" s="66" t="s">
        <v>58</v>
      </c>
      <c r="E1916" s="66" t="s">
        <v>58</v>
      </c>
      <c r="F1916" s="66" t="s">
        <v>985</v>
      </c>
      <c r="G1916" s="66" t="s">
        <v>1076</v>
      </c>
      <c r="H1916" s="66" t="s">
        <v>1089</v>
      </c>
      <c r="I1916" s="66" t="s">
        <v>134</v>
      </c>
      <c r="J1916" s="66" t="s">
        <v>359</v>
      </c>
      <c r="K1916" s="66" t="s">
        <v>747</v>
      </c>
      <c r="L1916" s="67">
        <v>205361</v>
      </c>
      <c r="M1916" s="67">
        <v>0</v>
      </c>
      <c r="N1916" s="68">
        <f t="shared" si="124"/>
        <v>205361</v>
      </c>
      <c r="O1916" s="69">
        <f t="shared" si="123"/>
        <v>205361</v>
      </c>
      <c r="P1916" s="42" t="str">
        <f>IFERROR(VLOOKUP(J1916,'Mã NV'!$B:$C,2,0),"")</f>
        <v>XE01639</v>
      </c>
      <c r="Q1916" s="70" t="str">
        <f>IFERROR(VLOOKUP(I1916,'Mã NV'!$J:$K,2,0),"")</f>
        <v>2.5T Lạnh</v>
      </c>
    </row>
    <row r="1917" customHeight="1" spans="1:17">
      <c r="A1917" s="63">
        <f t="shared" si="122"/>
        <v>1909</v>
      </c>
      <c r="B1917" s="64">
        <v>46155</v>
      </c>
      <c r="D1917" s="66" t="s">
        <v>58</v>
      </c>
      <c r="E1917" s="66" t="s">
        <v>58</v>
      </c>
      <c r="F1917" s="66" t="s">
        <v>985</v>
      </c>
      <c r="G1917" s="66" t="s">
        <v>1076</v>
      </c>
      <c r="H1917" s="66" t="s">
        <v>1091</v>
      </c>
      <c r="I1917" s="66" t="s">
        <v>134</v>
      </c>
      <c r="J1917" s="66" t="s">
        <v>359</v>
      </c>
      <c r="K1917" s="66" t="s">
        <v>747</v>
      </c>
      <c r="L1917" s="67">
        <v>166368</v>
      </c>
      <c r="M1917" s="67">
        <v>0</v>
      </c>
      <c r="N1917" s="68">
        <f t="shared" si="124"/>
        <v>166368</v>
      </c>
      <c r="O1917" s="69">
        <f t="shared" si="123"/>
        <v>166368</v>
      </c>
      <c r="P1917" s="42" t="str">
        <f>IFERROR(VLOOKUP(J1917,'Mã NV'!$B:$C,2,0),"")</f>
        <v>XE01639</v>
      </c>
      <c r="Q1917" s="70" t="str">
        <f>IFERROR(VLOOKUP(I1917,'Mã NV'!$J:$K,2,0),"")</f>
        <v>2.5T Lạnh</v>
      </c>
    </row>
    <row r="1918" customHeight="1" spans="1:17">
      <c r="A1918" s="63">
        <f t="shared" si="122"/>
        <v>1910</v>
      </c>
      <c r="B1918" s="64">
        <v>46155</v>
      </c>
      <c r="D1918" s="66" t="s">
        <v>58</v>
      </c>
      <c r="E1918" s="66" t="s">
        <v>58</v>
      </c>
      <c r="F1918" s="66" t="s">
        <v>985</v>
      </c>
      <c r="G1918" s="66" t="s">
        <v>1076</v>
      </c>
      <c r="H1918" s="66" t="s">
        <v>1096</v>
      </c>
      <c r="I1918" s="66" t="s">
        <v>134</v>
      </c>
      <c r="J1918" s="66" t="s">
        <v>359</v>
      </c>
      <c r="K1918" s="66" t="s">
        <v>747</v>
      </c>
      <c r="L1918" s="67">
        <v>142973</v>
      </c>
      <c r="M1918" s="67">
        <v>0</v>
      </c>
      <c r="N1918" s="68">
        <f t="shared" si="124"/>
        <v>142973</v>
      </c>
      <c r="O1918" s="69">
        <f t="shared" si="123"/>
        <v>142973</v>
      </c>
      <c r="P1918" s="42" t="str">
        <f>IFERROR(VLOOKUP(J1918,'Mã NV'!$B:$C,2,0),"")</f>
        <v>XE01639</v>
      </c>
      <c r="Q1918" s="70" t="str">
        <f>IFERROR(VLOOKUP(I1918,'Mã NV'!$J:$K,2,0),"")</f>
        <v>2.5T Lạnh</v>
      </c>
    </row>
    <row r="1919" customHeight="1" spans="1:17">
      <c r="A1919" s="63">
        <f t="shared" si="122"/>
        <v>1911</v>
      </c>
      <c r="B1919" s="64">
        <v>46155</v>
      </c>
      <c r="D1919" s="66" t="s">
        <v>58</v>
      </c>
      <c r="E1919" s="66" t="s">
        <v>58</v>
      </c>
      <c r="F1919" s="66" t="s">
        <v>985</v>
      </c>
      <c r="G1919" s="66" t="s">
        <v>1076</v>
      </c>
      <c r="H1919" s="66" t="s">
        <v>1097</v>
      </c>
      <c r="I1919" s="66" t="s">
        <v>57</v>
      </c>
      <c r="J1919" s="66" t="s">
        <v>55</v>
      </c>
      <c r="K1919" s="66" t="s">
        <v>747</v>
      </c>
      <c r="L1919" s="67">
        <v>249552</v>
      </c>
      <c r="M1919" s="67">
        <v>0</v>
      </c>
      <c r="N1919" s="68">
        <f t="shared" si="124"/>
        <v>249552</v>
      </c>
      <c r="O1919" s="69">
        <f t="shared" si="123"/>
        <v>249552</v>
      </c>
      <c r="P1919" s="42" t="str">
        <f>IFERROR(VLOOKUP(J1919,'Mã NV'!$B:$C,2,0),"")</f>
        <v>XE00768</v>
      </c>
      <c r="Q1919" s="70" t="str">
        <f>IFERROR(VLOOKUP(I1919,'Mã NV'!$J:$K,2,0),"")</f>
        <v>2.5T</v>
      </c>
    </row>
    <row r="1920" customHeight="1" spans="1:17">
      <c r="A1920" s="63">
        <f t="shared" si="122"/>
        <v>1912</v>
      </c>
      <c r="B1920" s="64">
        <v>46155</v>
      </c>
      <c r="D1920" s="66" t="s">
        <v>58</v>
      </c>
      <c r="E1920" s="66" t="s">
        <v>58</v>
      </c>
      <c r="F1920" s="66" t="s">
        <v>985</v>
      </c>
      <c r="G1920" s="66" t="s">
        <v>1076</v>
      </c>
      <c r="H1920" s="66" t="s">
        <v>1098</v>
      </c>
      <c r="I1920" s="66" t="s">
        <v>57</v>
      </c>
      <c r="J1920" s="66" t="s">
        <v>55</v>
      </c>
      <c r="K1920" s="66" t="s">
        <v>747</v>
      </c>
      <c r="L1920" s="67">
        <v>153371</v>
      </c>
      <c r="M1920" s="67">
        <v>0</v>
      </c>
      <c r="N1920" s="68">
        <f t="shared" si="124"/>
        <v>153371</v>
      </c>
      <c r="O1920" s="69">
        <f t="shared" si="123"/>
        <v>153371</v>
      </c>
      <c r="P1920" s="42" t="str">
        <f>IFERROR(VLOOKUP(J1920,'Mã NV'!$B:$C,2,0),"")</f>
        <v>XE00768</v>
      </c>
      <c r="Q1920" s="70" t="str">
        <f>IFERROR(VLOOKUP(I1920,'Mã NV'!$J:$K,2,0),"")</f>
        <v>2.5T</v>
      </c>
    </row>
    <row r="1921" customHeight="1" spans="1:17">
      <c r="A1921" s="63">
        <f t="shared" si="122"/>
        <v>1913</v>
      </c>
      <c r="B1921" s="64">
        <v>46155</v>
      </c>
      <c r="D1921" s="66" t="s">
        <v>58</v>
      </c>
      <c r="E1921" s="66" t="s">
        <v>58</v>
      </c>
      <c r="F1921" s="66" t="s">
        <v>985</v>
      </c>
      <c r="G1921" s="66" t="s">
        <v>1076</v>
      </c>
      <c r="H1921" s="66" t="s">
        <v>1088</v>
      </c>
      <c r="I1921" s="66" t="s">
        <v>57</v>
      </c>
      <c r="J1921" s="66" t="s">
        <v>55</v>
      </c>
      <c r="K1921" s="66" t="s">
        <v>747</v>
      </c>
      <c r="L1921" s="67">
        <v>371729</v>
      </c>
      <c r="M1921" s="67">
        <v>0</v>
      </c>
      <c r="N1921" s="68">
        <f t="shared" si="124"/>
        <v>371729</v>
      </c>
      <c r="O1921" s="69">
        <f t="shared" si="123"/>
        <v>371729</v>
      </c>
      <c r="P1921" s="42" t="str">
        <f>IFERROR(VLOOKUP(J1921,'Mã NV'!$B:$C,2,0),"")</f>
        <v>XE00768</v>
      </c>
      <c r="Q1921" s="70" t="str">
        <f>IFERROR(VLOOKUP(I1921,'Mã NV'!$J:$K,2,0),"")</f>
        <v>2.5T</v>
      </c>
    </row>
    <row r="1922" customHeight="1" spans="1:17">
      <c r="A1922" s="63">
        <f t="shared" si="122"/>
        <v>1914</v>
      </c>
      <c r="B1922" s="64">
        <v>46155</v>
      </c>
      <c r="D1922" s="66" t="s">
        <v>58</v>
      </c>
      <c r="E1922" s="66" t="s">
        <v>58</v>
      </c>
      <c r="F1922" s="66" t="s">
        <v>985</v>
      </c>
      <c r="G1922" s="66" t="s">
        <v>1076</v>
      </c>
      <c r="H1922" s="66" t="s">
        <v>1102</v>
      </c>
      <c r="I1922" s="66" t="s">
        <v>403</v>
      </c>
      <c r="J1922" s="66" t="s">
        <v>401</v>
      </c>
      <c r="K1922" s="66" t="s">
        <v>747</v>
      </c>
      <c r="L1922" s="67">
        <v>223557</v>
      </c>
      <c r="M1922" s="67">
        <v>0</v>
      </c>
      <c r="N1922" s="68">
        <f t="shared" si="124"/>
        <v>223557</v>
      </c>
      <c r="O1922" s="69">
        <f t="shared" si="123"/>
        <v>223557</v>
      </c>
      <c r="P1922" s="42" t="str">
        <f>IFERROR(VLOOKUP(J1922,'Mã NV'!$B:$C,2,0),"")</f>
        <v>XE01466</v>
      </c>
      <c r="Q1922" s="70" t="str">
        <f>IFERROR(VLOOKUP(I1922,'Mã NV'!$J:$K,2,0),"")</f>
        <v>3.5T</v>
      </c>
    </row>
    <row r="1923" customHeight="1" spans="1:17">
      <c r="A1923" s="63">
        <f t="shared" si="122"/>
        <v>1915</v>
      </c>
      <c r="B1923" s="64">
        <v>46155</v>
      </c>
      <c r="D1923" s="66" t="s">
        <v>58</v>
      </c>
      <c r="E1923" s="66" t="s">
        <v>58</v>
      </c>
      <c r="F1923" s="66" t="s">
        <v>985</v>
      </c>
      <c r="G1923" s="66" t="s">
        <v>1076</v>
      </c>
      <c r="H1923" s="66" t="s">
        <v>1099</v>
      </c>
      <c r="I1923" s="66" t="s">
        <v>403</v>
      </c>
      <c r="J1923" s="66" t="s">
        <v>401</v>
      </c>
      <c r="K1923" s="66" t="s">
        <v>747</v>
      </c>
      <c r="L1923" s="67">
        <v>161169</v>
      </c>
      <c r="M1923" s="67">
        <v>0</v>
      </c>
      <c r="N1923" s="68">
        <f t="shared" si="124"/>
        <v>161169</v>
      </c>
      <c r="O1923" s="69">
        <f t="shared" si="123"/>
        <v>161169</v>
      </c>
      <c r="P1923" s="42" t="str">
        <f>IFERROR(VLOOKUP(J1923,'Mã NV'!$B:$C,2,0),"")</f>
        <v>XE01466</v>
      </c>
      <c r="Q1923" s="70" t="str">
        <f>IFERROR(VLOOKUP(I1923,'Mã NV'!$J:$K,2,0),"")</f>
        <v>3.5T</v>
      </c>
    </row>
    <row r="1924" customHeight="1" spans="1:17">
      <c r="A1924" s="63">
        <f t="shared" si="122"/>
        <v>1916</v>
      </c>
      <c r="B1924" s="64">
        <v>46155</v>
      </c>
      <c r="D1924" s="66" t="s">
        <v>58</v>
      </c>
      <c r="E1924" s="66" t="s">
        <v>58</v>
      </c>
      <c r="F1924" s="66" t="s">
        <v>985</v>
      </c>
      <c r="G1924" s="66" t="s">
        <v>1076</v>
      </c>
      <c r="H1924" s="66" t="s">
        <v>1100</v>
      </c>
      <c r="I1924" s="66" t="s">
        <v>403</v>
      </c>
      <c r="J1924" s="66" t="s">
        <v>401</v>
      </c>
      <c r="K1924" s="66" t="s">
        <v>747</v>
      </c>
      <c r="L1924" s="67">
        <v>205361</v>
      </c>
      <c r="M1924" s="67">
        <v>0</v>
      </c>
      <c r="N1924" s="68">
        <f t="shared" si="124"/>
        <v>205361</v>
      </c>
      <c r="O1924" s="69">
        <f t="shared" si="123"/>
        <v>205361</v>
      </c>
      <c r="P1924" s="42" t="str">
        <f>IFERROR(VLOOKUP(J1924,'Mã NV'!$B:$C,2,0),"")</f>
        <v>XE01466</v>
      </c>
      <c r="Q1924" s="70" t="str">
        <f>IFERROR(VLOOKUP(I1924,'Mã NV'!$J:$K,2,0),"")</f>
        <v>3.5T</v>
      </c>
    </row>
    <row r="1925" customHeight="1" spans="1:17">
      <c r="A1925" s="63">
        <f t="shared" si="122"/>
        <v>1917</v>
      </c>
      <c r="B1925" s="64">
        <v>46155</v>
      </c>
      <c r="D1925" s="66" t="s">
        <v>58</v>
      </c>
      <c r="E1925" s="66" t="s">
        <v>58</v>
      </c>
      <c r="F1925" s="66" t="s">
        <v>985</v>
      </c>
      <c r="G1925" s="66" t="s">
        <v>1076</v>
      </c>
      <c r="H1925" s="66" t="s">
        <v>1094</v>
      </c>
      <c r="I1925" s="66" t="s">
        <v>403</v>
      </c>
      <c r="J1925" s="66" t="s">
        <v>401</v>
      </c>
      <c r="K1925" s="66" t="s">
        <v>747</v>
      </c>
      <c r="L1925" s="67">
        <v>106580</v>
      </c>
      <c r="M1925" s="67">
        <v>0</v>
      </c>
      <c r="N1925" s="68">
        <f t="shared" si="124"/>
        <v>106580</v>
      </c>
      <c r="O1925" s="69">
        <f t="shared" si="123"/>
        <v>106580</v>
      </c>
      <c r="P1925" s="42" t="str">
        <f>IFERROR(VLOOKUP(J1925,'Mã NV'!$B:$C,2,0),"")</f>
        <v>XE01466</v>
      </c>
      <c r="Q1925" s="70" t="str">
        <f>IFERROR(VLOOKUP(I1925,'Mã NV'!$J:$K,2,0),"")</f>
        <v>3.5T</v>
      </c>
    </row>
    <row r="1926" customHeight="1" spans="1:17">
      <c r="A1926" s="63">
        <f t="shared" si="122"/>
        <v>1918</v>
      </c>
      <c r="B1926" s="64">
        <v>46155</v>
      </c>
      <c r="D1926" s="66" t="s">
        <v>58</v>
      </c>
      <c r="E1926" s="66" t="s">
        <v>58</v>
      </c>
      <c r="F1926" s="66" t="s">
        <v>985</v>
      </c>
      <c r="G1926" s="66" t="s">
        <v>1076</v>
      </c>
      <c r="H1926" s="66" t="s">
        <v>1093</v>
      </c>
      <c r="I1926" s="66" t="s">
        <v>177</v>
      </c>
      <c r="J1926" s="66" t="s">
        <v>174</v>
      </c>
      <c r="K1926" s="66" t="s">
        <v>747</v>
      </c>
      <c r="L1926" s="67">
        <v>226157</v>
      </c>
      <c r="M1926" s="67">
        <v>0</v>
      </c>
      <c r="N1926" s="68">
        <f t="shared" si="124"/>
        <v>226157</v>
      </c>
      <c r="O1926" s="69">
        <f t="shared" si="123"/>
        <v>226157</v>
      </c>
      <c r="P1926" s="42" t="str">
        <f>IFERROR(VLOOKUP(J1926,'Mã NV'!$B:$C,2,0),"")</f>
        <v>XE00975</v>
      </c>
      <c r="Q1926" s="70" t="str">
        <f>IFERROR(VLOOKUP(I1926,'Mã NV'!$J:$K,2,0),"")</f>
        <v>2.5T Lạnh</v>
      </c>
    </row>
    <row r="1927" customHeight="1" spans="1:17">
      <c r="A1927" s="63">
        <f t="shared" si="122"/>
        <v>1919</v>
      </c>
      <c r="B1927" s="64">
        <v>46155</v>
      </c>
      <c r="D1927" s="66" t="s">
        <v>58</v>
      </c>
      <c r="E1927" s="66" t="s">
        <v>58</v>
      </c>
      <c r="F1927" s="66" t="s">
        <v>985</v>
      </c>
      <c r="G1927" s="66" t="s">
        <v>1076</v>
      </c>
      <c r="H1927" s="66" t="s">
        <v>1095</v>
      </c>
      <c r="I1927" s="66" t="s">
        <v>177</v>
      </c>
      <c r="J1927" s="66" t="s">
        <v>174</v>
      </c>
      <c r="K1927" s="66" t="s">
        <v>747</v>
      </c>
      <c r="L1927" s="67">
        <v>246953</v>
      </c>
      <c r="M1927" s="67">
        <v>0</v>
      </c>
      <c r="N1927" s="68">
        <f t="shared" si="124"/>
        <v>246953</v>
      </c>
      <c r="O1927" s="69">
        <f t="shared" si="123"/>
        <v>246953</v>
      </c>
      <c r="P1927" s="42" t="str">
        <f>IFERROR(VLOOKUP(J1927,'Mã NV'!$B:$C,2,0),"")</f>
        <v>XE00975</v>
      </c>
      <c r="Q1927" s="70" t="str">
        <f>IFERROR(VLOOKUP(I1927,'Mã NV'!$J:$K,2,0),"")</f>
        <v>2.5T Lạnh</v>
      </c>
    </row>
    <row r="1928" customHeight="1" spans="1:17">
      <c r="A1928" s="63">
        <f t="shared" si="122"/>
        <v>1920</v>
      </c>
      <c r="B1928" s="64">
        <v>46155</v>
      </c>
      <c r="D1928" s="66" t="s">
        <v>58</v>
      </c>
      <c r="E1928" s="66" t="s">
        <v>58</v>
      </c>
      <c r="F1928" s="66" t="s">
        <v>985</v>
      </c>
      <c r="G1928" s="66" t="s">
        <v>1076</v>
      </c>
      <c r="H1928" s="66" t="s">
        <v>1092</v>
      </c>
      <c r="I1928" s="66" t="s">
        <v>177</v>
      </c>
      <c r="J1928" s="66" t="s">
        <v>174</v>
      </c>
      <c r="K1928" s="66" t="s">
        <v>747</v>
      </c>
      <c r="L1928" s="67">
        <v>301542</v>
      </c>
      <c r="M1928" s="67">
        <v>0</v>
      </c>
      <c r="N1928" s="68">
        <f t="shared" si="124"/>
        <v>301542</v>
      </c>
      <c r="O1928" s="69">
        <f t="shared" si="123"/>
        <v>301542</v>
      </c>
      <c r="P1928" s="42" t="str">
        <f>IFERROR(VLOOKUP(J1928,'Mã NV'!$B:$C,2,0),"")</f>
        <v>XE00975</v>
      </c>
      <c r="Q1928" s="70" t="str">
        <f>IFERROR(VLOOKUP(I1928,'Mã NV'!$J:$K,2,0),"")</f>
        <v>2.5T Lạnh</v>
      </c>
    </row>
    <row r="1929" customHeight="1" spans="1:17">
      <c r="A1929" s="63">
        <f t="shared" si="122"/>
        <v>1921</v>
      </c>
      <c r="B1929" s="64">
        <v>46155</v>
      </c>
      <c r="D1929" s="66" t="s">
        <v>58</v>
      </c>
      <c r="E1929" s="66" t="s">
        <v>58</v>
      </c>
      <c r="F1929" s="66" t="s">
        <v>985</v>
      </c>
      <c r="G1929" s="66" t="s">
        <v>1076</v>
      </c>
      <c r="H1929" s="66" t="s">
        <v>1103</v>
      </c>
      <c r="I1929" s="66" t="s">
        <v>134</v>
      </c>
      <c r="J1929" s="66" t="s">
        <v>359</v>
      </c>
      <c r="K1929" s="66" t="s">
        <v>747</v>
      </c>
      <c r="L1929" s="67">
        <v>236555</v>
      </c>
      <c r="M1929" s="67">
        <v>0</v>
      </c>
      <c r="N1929" s="68">
        <f t="shared" si="124"/>
        <v>236555</v>
      </c>
      <c r="O1929" s="69">
        <f t="shared" si="123"/>
        <v>236555</v>
      </c>
      <c r="P1929" s="42" t="str">
        <f>IFERROR(VLOOKUP(J1929,'Mã NV'!$B:$C,2,0),"")</f>
        <v>XE01639</v>
      </c>
      <c r="Q1929" s="70" t="str">
        <f>IFERROR(VLOOKUP(I1929,'Mã NV'!$J:$K,2,0),"")</f>
        <v>2.5T Lạnh</v>
      </c>
    </row>
    <row r="1930" customHeight="1" spans="1:17">
      <c r="A1930" s="63">
        <f t="shared" si="122"/>
        <v>1922</v>
      </c>
      <c r="B1930" s="64">
        <v>46155</v>
      </c>
      <c r="D1930" s="66" t="s">
        <v>58</v>
      </c>
      <c r="E1930" s="66" t="s">
        <v>58</v>
      </c>
      <c r="F1930" s="66" t="s">
        <v>985</v>
      </c>
      <c r="G1930" s="66" t="s">
        <v>1076</v>
      </c>
      <c r="H1930" s="66" t="s">
        <v>1086</v>
      </c>
      <c r="I1930" s="66" t="s">
        <v>134</v>
      </c>
      <c r="J1930" s="66" t="s">
        <v>359</v>
      </c>
      <c r="K1930" s="66" t="s">
        <v>747</v>
      </c>
      <c r="L1930" s="67">
        <v>194963</v>
      </c>
      <c r="M1930" s="67">
        <v>0</v>
      </c>
      <c r="N1930" s="68">
        <f t="shared" si="124"/>
        <v>194963</v>
      </c>
      <c r="O1930" s="69">
        <f t="shared" si="123"/>
        <v>194963</v>
      </c>
      <c r="P1930" s="42" t="str">
        <f>IFERROR(VLOOKUP(J1930,'Mã NV'!$B:$C,2,0),"")</f>
        <v>XE01639</v>
      </c>
      <c r="Q1930" s="70" t="str">
        <f>IFERROR(VLOOKUP(I1930,'Mã NV'!$J:$K,2,0),"")</f>
        <v>2.5T Lạnh</v>
      </c>
    </row>
    <row r="1931" customHeight="1" spans="1:17">
      <c r="A1931" s="63">
        <f t="shared" si="122"/>
        <v>1923</v>
      </c>
      <c r="B1931" s="64">
        <v>46155</v>
      </c>
      <c r="D1931" s="66" t="s">
        <v>58</v>
      </c>
      <c r="E1931" s="66" t="s">
        <v>58</v>
      </c>
      <c r="F1931" s="66" t="s">
        <v>985</v>
      </c>
      <c r="G1931" s="66" t="s">
        <v>1076</v>
      </c>
      <c r="H1931" s="66" t="s">
        <v>1104</v>
      </c>
      <c r="I1931" s="66" t="s">
        <v>134</v>
      </c>
      <c r="J1931" s="66" t="s">
        <v>359</v>
      </c>
      <c r="K1931" s="66" t="s">
        <v>747</v>
      </c>
      <c r="L1931" s="67">
        <v>207960</v>
      </c>
      <c r="M1931" s="67">
        <v>0</v>
      </c>
      <c r="N1931" s="68">
        <f t="shared" si="124"/>
        <v>207960</v>
      </c>
      <c r="O1931" s="69">
        <f t="shared" si="123"/>
        <v>207960</v>
      </c>
      <c r="P1931" s="42" t="str">
        <f>IFERROR(VLOOKUP(J1931,'Mã NV'!$B:$C,2,0),"")</f>
        <v>XE01639</v>
      </c>
      <c r="Q1931" s="70" t="str">
        <f>IFERROR(VLOOKUP(I1931,'Mã NV'!$J:$K,2,0),"")</f>
        <v>2.5T Lạnh</v>
      </c>
    </row>
    <row r="1932" customHeight="1" spans="1:17">
      <c r="A1932" s="63">
        <f t="shared" si="122"/>
        <v>1924</v>
      </c>
      <c r="B1932" s="64">
        <v>46156</v>
      </c>
      <c r="D1932" s="66" t="s">
        <v>58</v>
      </c>
      <c r="E1932" s="66" t="s">
        <v>58</v>
      </c>
      <c r="F1932" s="66" t="s">
        <v>985</v>
      </c>
      <c r="G1932" s="66" t="s">
        <v>1076</v>
      </c>
      <c r="H1932" s="66" t="s">
        <v>1106</v>
      </c>
      <c r="I1932" s="66" t="s">
        <v>57</v>
      </c>
      <c r="J1932" s="66" t="s">
        <v>55</v>
      </c>
      <c r="K1932" s="66" t="s">
        <v>747</v>
      </c>
      <c r="L1932" s="67">
        <v>579689</v>
      </c>
      <c r="M1932" s="67">
        <v>0</v>
      </c>
      <c r="N1932" s="68">
        <f t="shared" si="124"/>
        <v>579689</v>
      </c>
      <c r="O1932" s="69">
        <f t="shared" si="123"/>
        <v>579689</v>
      </c>
      <c r="P1932" s="42" t="str">
        <f>IFERROR(VLOOKUP(J1932,'Mã NV'!$B:$C,2,0),"")</f>
        <v>XE00768</v>
      </c>
      <c r="Q1932" s="70" t="str">
        <f>IFERROR(VLOOKUP(I1932,'Mã NV'!$J:$K,2,0),"")</f>
        <v>2.5T</v>
      </c>
    </row>
    <row r="1933" customHeight="1" spans="1:17">
      <c r="A1933" s="63">
        <f t="shared" si="122"/>
        <v>1925</v>
      </c>
      <c r="B1933" s="64">
        <v>46156</v>
      </c>
      <c r="D1933" s="66" t="s">
        <v>58</v>
      </c>
      <c r="E1933" s="66" t="s">
        <v>58</v>
      </c>
      <c r="F1933" s="66" t="s">
        <v>985</v>
      </c>
      <c r="G1933" s="66" t="s">
        <v>1076</v>
      </c>
      <c r="H1933" s="66" t="s">
        <v>1109</v>
      </c>
      <c r="I1933" s="66" t="s">
        <v>57</v>
      </c>
      <c r="J1933" s="66" t="s">
        <v>55</v>
      </c>
      <c r="K1933" s="66" t="s">
        <v>747</v>
      </c>
      <c r="L1933" s="67">
        <v>319739</v>
      </c>
      <c r="M1933" s="67">
        <v>0</v>
      </c>
      <c r="N1933" s="68">
        <f t="shared" si="124"/>
        <v>319739</v>
      </c>
      <c r="O1933" s="69">
        <f t="shared" si="123"/>
        <v>319739</v>
      </c>
      <c r="P1933" s="42" t="str">
        <f>IFERROR(VLOOKUP(J1933,'Mã NV'!$B:$C,2,0),"")</f>
        <v>XE00768</v>
      </c>
      <c r="Q1933" s="70" t="str">
        <f>IFERROR(VLOOKUP(I1933,'Mã NV'!$J:$K,2,0),"")</f>
        <v>2.5T</v>
      </c>
    </row>
    <row r="1934" customHeight="1" spans="1:17">
      <c r="A1934" s="63">
        <f t="shared" si="122"/>
        <v>1926</v>
      </c>
      <c r="B1934" s="64">
        <v>46156</v>
      </c>
      <c r="D1934" s="66" t="s">
        <v>58</v>
      </c>
      <c r="E1934" s="66" t="s">
        <v>58</v>
      </c>
      <c r="F1934" s="66" t="s">
        <v>985</v>
      </c>
      <c r="G1934" s="66" t="s">
        <v>1076</v>
      </c>
      <c r="H1934" s="66" t="s">
        <v>1080</v>
      </c>
      <c r="I1934" s="66" t="s">
        <v>403</v>
      </c>
      <c r="J1934" s="66" t="s">
        <v>401</v>
      </c>
      <c r="K1934" s="66" t="s">
        <v>747</v>
      </c>
      <c r="L1934" s="67">
        <v>210560</v>
      </c>
      <c r="M1934" s="67">
        <v>0</v>
      </c>
      <c r="N1934" s="68">
        <f t="shared" si="124"/>
        <v>210560</v>
      </c>
      <c r="O1934" s="69">
        <f t="shared" si="123"/>
        <v>210560</v>
      </c>
      <c r="P1934" s="42" t="str">
        <f>IFERROR(VLOOKUP(J1934,'Mã NV'!$B:$C,2,0),"")</f>
        <v>XE01466</v>
      </c>
      <c r="Q1934" s="70" t="str">
        <f>IFERROR(VLOOKUP(I1934,'Mã NV'!$J:$K,2,0),"")</f>
        <v>3.5T</v>
      </c>
    </row>
    <row r="1935" customHeight="1" spans="1:17">
      <c r="A1935" s="63">
        <f t="shared" si="122"/>
        <v>1927</v>
      </c>
      <c r="B1935" s="64">
        <v>46156</v>
      </c>
      <c r="D1935" s="66" t="s">
        <v>58</v>
      </c>
      <c r="E1935" s="66" t="s">
        <v>58</v>
      </c>
      <c r="F1935" s="66" t="s">
        <v>985</v>
      </c>
      <c r="G1935" s="66" t="s">
        <v>1076</v>
      </c>
      <c r="H1935" s="66" t="s">
        <v>1081</v>
      </c>
      <c r="I1935" s="66" t="s">
        <v>403</v>
      </c>
      <c r="J1935" s="66" t="s">
        <v>401</v>
      </c>
      <c r="K1935" s="66" t="s">
        <v>747</v>
      </c>
      <c r="L1935" s="67">
        <v>174167</v>
      </c>
      <c r="M1935" s="67">
        <v>0</v>
      </c>
      <c r="N1935" s="68">
        <f t="shared" si="124"/>
        <v>174167</v>
      </c>
      <c r="O1935" s="69">
        <f t="shared" si="123"/>
        <v>174167</v>
      </c>
      <c r="P1935" s="42" t="str">
        <f>IFERROR(VLOOKUP(J1935,'Mã NV'!$B:$C,2,0),"")</f>
        <v>XE01466</v>
      </c>
      <c r="Q1935" s="70" t="str">
        <f>IFERROR(VLOOKUP(I1935,'Mã NV'!$J:$K,2,0),"")</f>
        <v>3.5T</v>
      </c>
    </row>
    <row r="1936" customHeight="1" spans="1:17">
      <c r="A1936" s="63">
        <f t="shared" si="122"/>
        <v>1928</v>
      </c>
      <c r="B1936" s="64">
        <v>46156</v>
      </c>
      <c r="D1936" s="66" t="s">
        <v>58</v>
      </c>
      <c r="E1936" s="66" t="s">
        <v>58</v>
      </c>
      <c r="F1936" s="66" t="s">
        <v>985</v>
      </c>
      <c r="G1936" s="66" t="s">
        <v>1076</v>
      </c>
      <c r="H1936" s="66" t="s">
        <v>1082</v>
      </c>
      <c r="I1936" s="66" t="s">
        <v>403</v>
      </c>
      <c r="J1936" s="66" t="s">
        <v>401</v>
      </c>
      <c r="K1936" s="66" t="s">
        <v>747</v>
      </c>
      <c r="L1936" s="67">
        <v>244353</v>
      </c>
      <c r="M1936" s="67">
        <v>0</v>
      </c>
      <c r="N1936" s="68">
        <f t="shared" si="124"/>
        <v>244353</v>
      </c>
      <c r="O1936" s="69">
        <f t="shared" si="123"/>
        <v>244353</v>
      </c>
      <c r="P1936" s="42" t="str">
        <f>IFERROR(VLOOKUP(J1936,'Mã NV'!$B:$C,2,0),"")</f>
        <v>XE01466</v>
      </c>
      <c r="Q1936" s="70" t="str">
        <f>IFERROR(VLOOKUP(I1936,'Mã NV'!$J:$K,2,0),"")</f>
        <v>3.5T</v>
      </c>
    </row>
    <row r="1937" customHeight="1" spans="1:17">
      <c r="A1937" s="63">
        <f t="shared" ref="A1937:A2000" si="125">A1936+1</f>
        <v>1929</v>
      </c>
      <c r="B1937" s="64">
        <v>46156</v>
      </c>
      <c r="D1937" s="66" t="s">
        <v>58</v>
      </c>
      <c r="E1937" s="66" t="s">
        <v>58</v>
      </c>
      <c r="F1937" s="66" t="s">
        <v>985</v>
      </c>
      <c r="G1937" s="66" t="s">
        <v>1076</v>
      </c>
      <c r="H1937" s="66" t="s">
        <v>1083</v>
      </c>
      <c r="I1937" s="66" t="s">
        <v>403</v>
      </c>
      <c r="J1937" s="66" t="s">
        <v>401</v>
      </c>
      <c r="K1937" s="66" t="s">
        <v>747</v>
      </c>
      <c r="L1937" s="67">
        <v>283346</v>
      </c>
      <c r="M1937" s="67">
        <v>0</v>
      </c>
      <c r="N1937" s="68">
        <f t="shared" si="124"/>
        <v>283346</v>
      </c>
      <c r="O1937" s="69">
        <f t="shared" si="123"/>
        <v>283346</v>
      </c>
      <c r="P1937" s="42" t="str">
        <f>IFERROR(VLOOKUP(J1937,'Mã NV'!$B:$C,2,0),"")</f>
        <v>XE01466</v>
      </c>
      <c r="Q1937" s="70" t="str">
        <f>IFERROR(VLOOKUP(I1937,'Mã NV'!$J:$K,2,0),"")</f>
        <v>3.5T</v>
      </c>
    </row>
    <row r="1938" customHeight="1" spans="1:17">
      <c r="A1938" s="63">
        <f t="shared" si="125"/>
        <v>1930</v>
      </c>
      <c r="B1938" s="64">
        <v>46156</v>
      </c>
      <c r="D1938" s="66" t="s">
        <v>58</v>
      </c>
      <c r="E1938" s="66" t="s">
        <v>58</v>
      </c>
      <c r="F1938" s="66" t="s">
        <v>985</v>
      </c>
      <c r="G1938" s="66" t="s">
        <v>1076</v>
      </c>
      <c r="H1938" s="66" t="s">
        <v>1079</v>
      </c>
      <c r="I1938" s="66" t="s">
        <v>403</v>
      </c>
      <c r="J1938" s="66" t="s">
        <v>401</v>
      </c>
      <c r="K1938" s="66" t="s">
        <v>747</v>
      </c>
      <c r="L1938" s="67">
        <v>101381</v>
      </c>
      <c r="M1938" s="67">
        <v>0</v>
      </c>
      <c r="N1938" s="68">
        <f t="shared" si="124"/>
        <v>101381</v>
      </c>
      <c r="O1938" s="69">
        <f t="shared" si="123"/>
        <v>101381</v>
      </c>
      <c r="P1938" s="42" t="str">
        <f>IFERROR(VLOOKUP(J1938,'Mã NV'!$B:$C,2,0),"")</f>
        <v>XE01466</v>
      </c>
      <c r="Q1938" s="70" t="str">
        <f>IFERROR(VLOOKUP(I1938,'Mã NV'!$J:$K,2,0),"")</f>
        <v>3.5T</v>
      </c>
    </row>
    <row r="1939" customHeight="1" spans="1:17">
      <c r="A1939" s="63">
        <f t="shared" si="125"/>
        <v>1931</v>
      </c>
      <c r="B1939" s="64">
        <v>46156</v>
      </c>
      <c r="D1939" s="66" t="s">
        <v>58</v>
      </c>
      <c r="E1939" s="66" t="s">
        <v>58</v>
      </c>
      <c r="F1939" s="66" t="s">
        <v>985</v>
      </c>
      <c r="G1939" s="66" t="s">
        <v>1076</v>
      </c>
      <c r="H1939" s="66" t="s">
        <v>1102</v>
      </c>
      <c r="I1939" s="66" t="s">
        <v>177</v>
      </c>
      <c r="J1939" s="66" t="s">
        <v>174</v>
      </c>
      <c r="K1939" s="66" t="s">
        <v>747</v>
      </c>
      <c r="L1939" s="67">
        <v>202761</v>
      </c>
      <c r="M1939" s="67">
        <v>0</v>
      </c>
      <c r="N1939" s="68">
        <f t="shared" si="124"/>
        <v>202761</v>
      </c>
      <c r="O1939" s="69">
        <f t="shared" si="123"/>
        <v>202761</v>
      </c>
      <c r="P1939" s="42" t="str">
        <f>IFERROR(VLOOKUP(J1939,'Mã NV'!$B:$C,2,0),"")</f>
        <v>XE00975</v>
      </c>
      <c r="Q1939" s="70" t="str">
        <f>IFERROR(VLOOKUP(I1939,'Mã NV'!$J:$K,2,0),"")</f>
        <v>2.5T Lạnh</v>
      </c>
    </row>
    <row r="1940" customHeight="1" spans="1:17">
      <c r="A1940" s="63">
        <f t="shared" si="125"/>
        <v>1932</v>
      </c>
      <c r="B1940" s="64">
        <v>46156</v>
      </c>
      <c r="D1940" s="66" t="s">
        <v>58</v>
      </c>
      <c r="E1940" s="66" t="s">
        <v>58</v>
      </c>
      <c r="F1940" s="66" t="s">
        <v>985</v>
      </c>
      <c r="G1940" s="66" t="s">
        <v>1076</v>
      </c>
      <c r="H1940" s="66" t="s">
        <v>1103</v>
      </c>
      <c r="I1940" s="66" t="s">
        <v>177</v>
      </c>
      <c r="J1940" s="66" t="s">
        <v>174</v>
      </c>
      <c r="K1940" s="66" t="s">
        <v>747</v>
      </c>
      <c r="L1940" s="67">
        <v>90983</v>
      </c>
      <c r="M1940" s="67">
        <v>0</v>
      </c>
      <c r="N1940" s="68">
        <f t="shared" si="124"/>
        <v>90983</v>
      </c>
      <c r="O1940" s="69">
        <f t="shared" si="123"/>
        <v>90983</v>
      </c>
      <c r="P1940" s="42" t="str">
        <f>IFERROR(VLOOKUP(J1940,'Mã NV'!$B:$C,2,0),"")</f>
        <v>XE00975</v>
      </c>
      <c r="Q1940" s="70" t="str">
        <f>IFERROR(VLOOKUP(I1940,'Mã NV'!$J:$K,2,0),"")</f>
        <v>2.5T Lạnh</v>
      </c>
    </row>
    <row r="1941" customHeight="1" spans="1:17">
      <c r="A1941" s="63">
        <f t="shared" si="125"/>
        <v>1933</v>
      </c>
      <c r="B1941" s="64">
        <v>46156</v>
      </c>
      <c r="D1941" s="66" t="s">
        <v>58</v>
      </c>
      <c r="E1941" s="66" t="s">
        <v>58</v>
      </c>
      <c r="F1941" s="66" t="s">
        <v>985</v>
      </c>
      <c r="G1941" s="66" t="s">
        <v>1076</v>
      </c>
      <c r="H1941" s="66" t="s">
        <v>1086</v>
      </c>
      <c r="I1941" s="66" t="s">
        <v>177</v>
      </c>
      <c r="J1941" s="66" t="s">
        <v>174</v>
      </c>
      <c r="K1941" s="66" t="s">
        <v>747</v>
      </c>
      <c r="L1941" s="67">
        <v>124776</v>
      </c>
      <c r="M1941" s="67">
        <v>0</v>
      </c>
      <c r="N1941" s="68">
        <f t="shared" si="124"/>
        <v>124776</v>
      </c>
      <c r="O1941" s="69">
        <f t="shared" si="123"/>
        <v>124776</v>
      </c>
      <c r="P1941" s="42" t="str">
        <f>IFERROR(VLOOKUP(J1941,'Mã NV'!$B:$C,2,0),"")</f>
        <v>XE00975</v>
      </c>
      <c r="Q1941" s="70" t="str">
        <f>IFERROR(VLOOKUP(I1941,'Mã NV'!$J:$K,2,0),"")</f>
        <v>2.5T Lạnh</v>
      </c>
    </row>
    <row r="1942" customHeight="1" spans="1:17">
      <c r="A1942" s="63">
        <f t="shared" si="125"/>
        <v>1934</v>
      </c>
      <c r="B1942" s="64">
        <v>46156</v>
      </c>
      <c r="D1942" s="66" t="s">
        <v>58</v>
      </c>
      <c r="E1942" s="66" t="s">
        <v>58</v>
      </c>
      <c r="F1942" s="66" t="s">
        <v>985</v>
      </c>
      <c r="G1942" s="66" t="s">
        <v>1076</v>
      </c>
      <c r="H1942" s="66" t="s">
        <v>1104</v>
      </c>
      <c r="I1942" s="66" t="s">
        <v>177</v>
      </c>
      <c r="J1942" s="66" t="s">
        <v>174</v>
      </c>
      <c r="K1942" s="66" t="s">
        <v>747</v>
      </c>
      <c r="L1942" s="67">
        <v>168968</v>
      </c>
      <c r="M1942" s="67">
        <v>0</v>
      </c>
      <c r="N1942" s="68">
        <f t="shared" si="124"/>
        <v>168968</v>
      </c>
      <c r="O1942" s="69">
        <f t="shared" si="123"/>
        <v>168968</v>
      </c>
      <c r="P1942" s="42" t="str">
        <f>IFERROR(VLOOKUP(J1942,'Mã NV'!$B:$C,2,0),"")</f>
        <v>XE00975</v>
      </c>
      <c r="Q1942" s="70" t="str">
        <f>IFERROR(VLOOKUP(I1942,'Mã NV'!$J:$K,2,0),"")</f>
        <v>2.5T Lạnh</v>
      </c>
    </row>
    <row r="1943" customHeight="1" spans="1:17">
      <c r="A1943" s="63">
        <f t="shared" si="125"/>
        <v>1935</v>
      </c>
      <c r="B1943" s="64">
        <v>46156</v>
      </c>
      <c r="D1943" s="66" t="s">
        <v>58</v>
      </c>
      <c r="E1943" s="66" t="s">
        <v>58</v>
      </c>
      <c r="F1943" s="66" t="s">
        <v>985</v>
      </c>
      <c r="G1943" s="66" t="s">
        <v>1076</v>
      </c>
      <c r="H1943" s="66" t="s">
        <v>1077</v>
      </c>
      <c r="I1943" s="66" t="s">
        <v>323</v>
      </c>
      <c r="J1943" s="66" t="s">
        <v>321</v>
      </c>
      <c r="K1943" s="66" t="s">
        <v>747</v>
      </c>
      <c r="L1943" s="67">
        <v>189764</v>
      </c>
      <c r="M1943" s="67">
        <v>0</v>
      </c>
      <c r="N1943" s="68">
        <f t="shared" si="124"/>
        <v>189764</v>
      </c>
      <c r="O1943" s="69">
        <f t="shared" si="123"/>
        <v>189764</v>
      </c>
      <c r="P1943" s="42" t="str">
        <f>IFERROR(VLOOKUP(J1943,'Mã NV'!$B:$C,2,0),"")</f>
        <v>XE01537</v>
      </c>
      <c r="Q1943" s="70" t="str">
        <f>IFERROR(VLOOKUP(I1943,'Mã NV'!$J:$K,2,0),"")</f>
        <v>2.5T</v>
      </c>
    </row>
    <row r="1944" customHeight="1" spans="1:17">
      <c r="A1944" s="63">
        <f t="shared" si="125"/>
        <v>1936</v>
      </c>
      <c r="B1944" s="64">
        <v>46156</v>
      </c>
      <c r="D1944" s="66" t="s">
        <v>58</v>
      </c>
      <c r="E1944" s="66" t="s">
        <v>58</v>
      </c>
      <c r="F1944" s="66" t="s">
        <v>985</v>
      </c>
      <c r="G1944" s="66" t="s">
        <v>1076</v>
      </c>
      <c r="H1944" s="66" t="s">
        <v>1101</v>
      </c>
      <c r="I1944" s="66" t="s">
        <v>323</v>
      </c>
      <c r="J1944" s="66" t="s">
        <v>321</v>
      </c>
      <c r="K1944" s="66" t="s">
        <v>747</v>
      </c>
      <c r="L1944" s="67">
        <v>142973</v>
      </c>
      <c r="M1944" s="67">
        <v>0</v>
      </c>
      <c r="N1944" s="68">
        <f t="shared" si="124"/>
        <v>142973</v>
      </c>
      <c r="O1944" s="69">
        <f t="shared" si="123"/>
        <v>142973</v>
      </c>
      <c r="P1944" s="42" t="str">
        <f>IFERROR(VLOOKUP(J1944,'Mã NV'!$B:$C,2,0),"")</f>
        <v>XE01537</v>
      </c>
      <c r="Q1944" s="70" t="str">
        <f>IFERROR(VLOOKUP(I1944,'Mã NV'!$J:$K,2,0),"")</f>
        <v>2.5T</v>
      </c>
    </row>
    <row r="1945" customHeight="1" spans="1:17">
      <c r="A1945" s="63">
        <f t="shared" si="125"/>
        <v>1937</v>
      </c>
      <c r="B1945" s="64">
        <v>46156</v>
      </c>
      <c r="D1945" s="66" t="s">
        <v>58</v>
      </c>
      <c r="E1945" s="66" t="s">
        <v>58</v>
      </c>
      <c r="F1945" s="66" t="s">
        <v>985</v>
      </c>
      <c r="G1945" s="66" t="s">
        <v>1076</v>
      </c>
      <c r="H1945" s="66" t="s">
        <v>1084</v>
      </c>
      <c r="I1945" s="66" t="s">
        <v>323</v>
      </c>
      <c r="J1945" s="66" t="s">
        <v>321</v>
      </c>
      <c r="K1945" s="66" t="s">
        <v>747</v>
      </c>
      <c r="L1945" s="67">
        <v>150771</v>
      </c>
      <c r="M1945" s="67">
        <v>0</v>
      </c>
      <c r="N1945" s="68">
        <f t="shared" si="124"/>
        <v>150771</v>
      </c>
      <c r="O1945" s="69">
        <f t="shared" si="123"/>
        <v>150771</v>
      </c>
      <c r="P1945" s="42" t="str">
        <f>IFERROR(VLOOKUP(J1945,'Mã NV'!$B:$C,2,0),"")</f>
        <v>XE01537</v>
      </c>
      <c r="Q1945" s="70" t="str">
        <f>IFERROR(VLOOKUP(I1945,'Mã NV'!$J:$K,2,0),"")</f>
        <v>2.5T</v>
      </c>
    </row>
    <row r="1946" customHeight="1" spans="1:17">
      <c r="A1946" s="63">
        <f t="shared" si="125"/>
        <v>1938</v>
      </c>
      <c r="B1946" s="64">
        <v>46156</v>
      </c>
      <c r="D1946" s="66" t="s">
        <v>58</v>
      </c>
      <c r="E1946" s="66" t="s">
        <v>58</v>
      </c>
      <c r="F1946" s="66" t="s">
        <v>985</v>
      </c>
      <c r="G1946" s="66" t="s">
        <v>1076</v>
      </c>
      <c r="H1946" s="66" t="s">
        <v>1085</v>
      </c>
      <c r="I1946" s="66" t="s">
        <v>323</v>
      </c>
      <c r="J1946" s="66" t="s">
        <v>321</v>
      </c>
      <c r="K1946" s="66" t="s">
        <v>747</v>
      </c>
      <c r="L1946" s="67">
        <v>93582</v>
      </c>
      <c r="M1946" s="67">
        <v>0</v>
      </c>
      <c r="N1946" s="68">
        <f t="shared" si="124"/>
        <v>93582</v>
      </c>
      <c r="O1946" s="69">
        <f t="shared" si="123"/>
        <v>93582</v>
      </c>
      <c r="P1946" s="42" t="str">
        <f>IFERROR(VLOOKUP(J1946,'Mã NV'!$B:$C,2,0),"")</f>
        <v>XE01537</v>
      </c>
      <c r="Q1946" s="70" t="str">
        <f>IFERROR(VLOOKUP(I1946,'Mã NV'!$J:$K,2,0),"")</f>
        <v>2.5T</v>
      </c>
    </row>
    <row r="1947" customHeight="1" spans="1:17">
      <c r="A1947" s="63">
        <f t="shared" si="125"/>
        <v>1939</v>
      </c>
      <c r="B1947" s="64">
        <v>46156</v>
      </c>
      <c r="D1947" s="66" t="s">
        <v>58</v>
      </c>
      <c r="E1947" s="66" t="s">
        <v>58</v>
      </c>
      <c r="F1947" s="66" t="s">
        <v>985</v>
      </c>
      <c r="G1947" s="66" t="s">
        <v>1076</v>
      </c>
      <c r="H1947" s="66" t="s">
        <v>1087</v>
      </c>
      <c r="I1947" s="66" t="s">
        <v>323</v>
      </c>
      <c r="J1947" s="66" t="s">
        <v>321</v>
      </c>
      <c r="K1947" s="66" t="s">
        <v>747</v>
      </c>
      <c r="L1947" s="67">
        <v>103980</v>
      </c>
      <c r="M1947" s="67">
        <v>0</v>
      </c>
      <c r="N1947" s="68">
        <f t="shared" si="124"/>
        <v>103980</v>
      </c>
      <c r="O1947" s="69">
        <f t="shared" si="123"/>
        <v>103980</v>
      </c>
      <c r="P1947" s="42" t="str">
        <f>IFERROR(VLOOKUP(J1947,'Mã NV'!$B:$C,2,0),"")</f>
        <v>XE01537</v>
      </c>
      <c r="Q1947" s="70" t="str">
        <f>IFERROR(VLOOKUP(I1947,'Mã NV'!$J:$K,2,0),"")</f>
        <v>2.5T</v>
      </c>
    </row>
    <row r="1948" customHeight="1" spans="1:17">
      <c r="A1948" s="63">
        <f t="shared" si="125"/>
        <v>1940</v>
      </c>
      <c r="B1948" s="64">
        <v>46156</v>
      </c>
      <c r="D1948" s="66" t="s">
        <v>58</v>
      </c>
      <c r="E1948" s="66" t="s">
        <v>58</v>
      </c>
      <c r="F1948" s="66" t="s">
        <v>985</v>
      </c>
      <c r="G1948" s="66" t="s">
        <v>1076</v>
      </c>
      <c r="H1948" s="66" t="s">
        <v>1096</v>
      </c>
      <c r="I1948" s="66" t="s">
        <v>57</v>
      </c>
      <c r="J1948" s="66" t="s">
        <v>55</v>
      </c>
      <c r="K1948" s="66" t="s">
        <v>747</v>
      </c>
      <c r="L1948" s="67">
        <v>246953</v>
      </c>
      <c r="M1948" s="67">
        <v>0</v>
      </c>
      <c r="N1948" s="68">
        <f t="shared" si="124"/>
        <v>246953</v>
      </c>
      <c r="O1948" s="69">
        <f t="shared" si="123"/>
        <v>246953</v>
      </c>
      <c r="P1948" s="42" t="str">
        <f>IFERROR(VLOOKUP(J1948,'Mã NV'!$B:$C,2,0),"")</f>
        <v>XE00768</v>
      </c>
      <c r="Q1948" s="70" t="str">
        <f>IFERROR(VLOOKUP(I1948,'Mã NV'!$J:$K,2,0),"")</f>
        <v>2.5T</v>
      </c>
    </row>
    <row r="1949" customHeight="1" spans="1:17">
      <c r="A1949" s="63">
        <f t="shared" si="125"/>
        <v>1941</v>
      </c>
      <c r="B1949" s="64">
        <v>46156</v>
      </c>
      <c r="D1949" s="66" t="s">
        <v>58</v>
      </c>
      <c r="E1949" s="66" t="s">
        <v>58</v>
      </c>
      <c r="F1949" s="66" t="s">
        <v>985</v>
      </c>
      <c r="G1949" s="66" t="s">
        <v>1076</v>
      </c>
      <c r="H1949" s="66" t="s">
        <v>1091</v>
      </c>
      <c r="I1949" s="66" t="s">
        <v>57</v>
      </c>
      <c r="J1949" s="66" t="s">
        <v>55</v>
      </c>
      <c r="K1949" s="66" t="s">
        <v>747</v>
      </c>
      <c r="L1949" s="67">
        <v>231356</v>
      </c>
      <c r="M1949" s="67">
        <v>0</v>
      </c>
      <c r="N1949" s="68">
        <f t="shared" si="124"/>
        <v>231356</v>
      </c>
      <c r="O1949" s="69">
        <f t="shared" si="123"/>
        <v>231356</v>
      </c>
      <c r="P1949" s="42" t="str">
        <f>IFERROR(VLOOKUP(J1949,'Mã NV'!$B:$C,2,0),"")</f>
        <v>XE00768</v>
      </c>
      <c r="Q1949" s="70" t="str">
        <f>IFERROR(VLOOKUP(I1949,'Mã NV'!$J:$K,2,0),"")</f>
        <v>2.5T</v>
      </c>
    </row>
    <row r="1950" customHeight="1" spans="1:17">
      <c r="A1950" s="63">
        <f t="shared" si="125"/>
        <v>1942</v>
      </c>
      <c r="B1950" s="64">
        <v>46156</v>
      </c>
      <c r="D1950" s="66" t="s">
        <v>58</v>
      </c>
      <c r="E1950" s="66" t="s">
        <v>58</v>
      </c>
      <c r="F1950" s="66" t="s">
        <v>985</v>
      </c>
      <c r="G1950" s="66" t="s">
        <v>1076</v>
      </c>
      <c r="H1950" s="66" t="s">
        <v>1089</v>
      </c>
      <c r="I1950" s="66" t="s">
        <v>57</v>
      </c>
      <c r="J1950" s="66" t="s">
        <v>55</v>
      </c>
      <c r="K1950" s="66" t="s">
        <v>747</v>
      </c>
      <c r="L1950" s="67">
        <v>327537</v>
      </c>
      <c r="M1950" s="67">
        <v>0</v>
      </c>
      <c r="N1950" s="68">
        <f t="shared" si="124"/>
        <v>327537</v>
      </c>
      <c r="O1950" s="69">
        <f t="shared" si="123"/>
        <v>327537</v>
      </c>
      <c r="P1950" s="42" t="str">
        <f>IFERROR(VLOOKUP(J1950,'Mã NV'!$B:$C,2,0),"")</f>
        <v>XE00768</v>
      </c>
      <c r="Q1950" s="70" t="str">
        <f>IFERROR(VLOOKUP(I1950,'Mã NV'!$J:$K,2,0),"")</f>
        <v>2.5T</v>
      </c>
    </row>
    <row r="1951" customHeight="1" spans="1:17">
      <c r="A1951" s="63">
        <f t="shared" si="125"/>
        <v>1943</v>
      </c>
      <c r="B1951" s="64">
        <v>46156</v>
      </c>
      <c r="D1951" s="66" t="s">
        <v>58</v>
      </c>
      <c r="E1951" s="66" t="s">
        <v>58</v>
      </c>
      <c r="F1951" s="66" t="s">
        <v>985</v>
      </c>
      <c r="G1951" s="66" t="s">
        <v>1076</v>
      </c>
      <c r="H1951" s="66" t="s">
        <v>1099</v>
      </c>
      <c r="I1951" s="66" t="s">
        <v>403</v>
      </c>
      <c r="J1951" s="66" t="s">
        <v>401</v>
      </c>
      <c r="K1951" s="66" t="s">
        <v>747</v>
      </c>
      <c r="L1951" s="67">
        <v>202761</v>
      </c>
      <c r="M1951" s="67">
        <v>0</v>
      </c>
      <c r="N1951" s="68">
        <f t="shared" si="124"/>
        <v>202761</v>
      </c>
      <c r="O1951" s="69">
        <f t="shared" si="123"/>
        <v>202761</v>
      </c>
      <c r="P1951" s="42" t="str">
        <f>IFERROR(VLOOKUP(J1951,'Mã NV'!$B:$C,2,0),"")</f>
        <v>XE01466</v>
      </c>
      <c r="Q1951" s="70" t="str">
        <f>IFERROR(VLOOKUP(I1951,'Mã NV'!$J:$K,2,0),"")</f>
        <v>3.5T</v>
      </c>
    </row>
    <row r="1952" customHeight="1" spans="1:17">
      <c r="A1952" s="63">
        <f t="shared" si="125"/>
        <v>1944</v>
      </c>
      <c r="B1952" s="64">
        <v>46156</v>
      </c>
      <c r="D1952" s="66" t="s">
        <v>58</v>
      </c>
      <c r="E1952" s="66" t="s">
        <v>58</v>
      </c>
      <c r="F1952" s="66" t="s">
        <v>985</v>
      </c>
      <c r="G1952" s="66" t="s">
        <v>1076</v>
      </c>
      <c r="H1952" s="66" t="s">
        <v>1100</v>
      </c>
      <c r="I1952" s="66" t="s">
        <v>403</v>
      </c>
      <c r="J1952" s="66" t="s">
        <v>401</v>
      </c>
      <c r="K1952" s="66" t="s">
        <v>747</v>
      </c>
      <c r="L1952" s="67">
        <v>119577</v>
      </c>
      <c r="M1952" s="67">
        <v>0</v>
      </c>
      <c r="N1952" s="68">
        <f t="shared" si="124"/>
        <v>119577</v>
      </c>
      <c r="O1952" s="69">
        <f t="shared" si="123"/>
        <v>119577</v>
      </c>
      <c r="P1952" s="42" t="str">
        <f>IFERROR(VLOOKUP(J1952,'Mã NV'!$B:$C,2,0),"")</f>
        <v>XE01466</v>
      </c>
      <c r="Q1952" s="70" t="str">
        <f>IFERROR(VLOOKUP(I1952,'Mã NV'!$J:$K,2,0),"")</f>
        <v>3.5T</v>
      </c>
    </row>
    <row r="1953" customHeight="1" spans="1:17">
      <c r="A1953" s="63">
        <f t="shared" si="125"/>
        <v>1945</v>
      </c>
      <c r="B1953" s="64">
        <v>46156</v>
      </c>
      <c r="D1953" s="66" t="s">
        <v>58</v>
      </c>
      <c r="E1953" s="66" t="s">
        <v>58</v>
      </c>
      <c r="F1953" s="66" t="s">
        <v>985</v>
      </c>
      <c r="G1953" s="66" t="s">
        <v>1076</v>
      </c>
      <c r="H1953" s="66" t="s">
        <v>1092</v>
      </c>
      <c r="I1953" s="66" t="s">
        <v>403</v>
      </c>
      <c r="J1953" s="66" t="s">
        <v>401</v>
      </c>
      <c r="K1953" s="66" t="s">
        <v>747</v>
      </c>
      <c r="L1953" s="67">
        <v>168968</v>
      </c>
      <c r="M1953" s="67">
        <v>0</v>
      </c>
      <c r="N1953" s="68">
        <f t="shared" si="124"/>
        <v>168968</v>
      </c>
      <c r="O1953" s="69">
        <f t="shared" si="123"/>
        <v>168968</v>
      </c>
      <c r="P1953" s="42" t="str">
        <f>IFERROR(VLOOKUP(J1953,'Mã NV'!$B:$C,2,0),"")</f>
        <v>XE01466</v>
      </c>
      <c r="Q1953" s="70" t="str">
        <f>IFERROR(VLOOKUP(I1953,'Mã NV'!$J:$K,2,0),"")</f>
        <v>3.5T</v>
      </c>
    </row>
    <row r="1954" customHeight="1" spans="1:17">
      <c r="A1954" s="63">
        <f t="shared" si="125"/>
        <v>1946</v>
      </c>
      <c r="B1954" s="64">
        <v>46156</v>
      </c>
      <c r="D1954" s="66" t="s">
        <v>58</v>
      </c>
      <c r="E1954" s="66" t="s">
        <v>58</v>
      </c>
      <c r="F1954" s="66" t="s">
        <v>985</v>
      </c>
      <c r="G1954" s="66" t="s">
        <v>1076</v>
      </c>
      <c r="H1954" s="66" t="s">
        <v>1090</v>
      </c>
      <c r="I1954" s="66" t="s">
        <v>403</v>
      </c>
      <c r="J1954" s="66" t="s">
        <v>401</v>
      </c>
      <c r="K1954" s="66" t="s">
        <v>747</v>
      </c>
      <c r="L1954" s="67">
        <v>187164</v>
      </c>
      <c r="M1954" s="67">
        <v>0</v>
      </c>
      <c r="N1954" s="68">
        <f t="shared" si="124"/>
        <v>187164</v>
      </c>
      <c r="O1954" s="69">
        <f t="shared" si="123"/>
        <v>187164</v>
      </c>
      <c r="P1954" s="42" t="str">
        <f>IFERROR(VLOOKUP(J1954,'Mã NV'!$B:$C,2,0),"")</f>
        <v>XE01466</v>
      </c>
      <c r="Q1954" s="70" t="str">
        <f>IFERROR(VLOOKUP(I1954,'Mã NV'!$J:$K,2,0),"")</f>
        <v>3.5T</v>
      </c>
    </row>
    <row r="1955" customHeight="1" spans="1:17">
      <c r="A1955" s="63">
        <f t="shared" si="125"/>
        <v>1947</v>
      </c>
      <c r="B1955" s="64">
        <v>46156</v>
      </c>
      <c r="D1955" s="66" t="s">
        <v>58</v>
      </c>
      <c r="E1955" s="66" t="s">
        <v>58</v>
      </c>
      <c r="F1955" s="66" t="s">
        <v>985</v>
      </c>
      <c r="G1955" s="66" t="s">
        <v>1076</v>
      </c>
      <c r="H1955" s="66" t="s">
        <v>1078</v>
      </c>
      <c r="I1955" s="66" t="s">
        <v>177</v>
      </c>
      <c r="J1955" s="66" t="s">
        <v>174</v>
      </c>
      <c r="K1955" s="66" t="s">
        <v>747</v>
      </c>
      <c r="L1955" s="67">
        <v>171567</v>
      </c>
      <c r="M1955" s="67">
        <v>0</v>
      </c>
      <c r="N1955" s="68">
        <f t="shared" si="124"/>
        <v>171567</v>
      </c>
      <c r="O1955" s="69">
        <f t="shared" si="123"/>
        <v>171567</v>
      </c>
      <c r="P1955" s="42" t="str">
        <f>IFERROR(VLOOKUP(J1955,'Mã NV'!$B:$C,2,0),"")</f>
        <v>XE00975</v>
      </c>
      <c r="Q1955" s="70" t="str">
        <f>IFERROR(VLOOKUP(I1955,'Mã NV'!$J:$K,2,0),"")</f>
        <v>2.5T Lạnh</v>
      </c>
    </row>
    <row r="1956" customHeight="1" spans="1:17">
      <c r="A1956" s="63">
        <f t="shared" si="125"/>
        <v>1948</v>
      </c>
      <c r="B1956" s="64">
        <v>46156</v>
      </c>
      <c r="D1956" s="66" t="s">
        <v>58</v>
      </c>
      <c r="E1956" s="66" t="s">
        <v>58</v>
      </c>
      <c r="F1956" s="66" t="s">
        <v>985</v>
      </c>
      <c r="G1956" s="66" t="s">
        <v>1076</v>
      </c>
      <c r="H1956" s="66" t="s">
        <v>1111</v>
      </c>
      <c r="I1956" s="66" t="s">
        <v>177</v>
      </c>
      <c r="J1956" s="66" t="s">
        <v>174</v>
      </c>
      <c r="K1956" s="66" t="s">
        <v>747</v>
      </c>
      <c r="L1956" s="67">
        <v>41592</v>
      </c>
      <c r="M1956" s="67">
        <v>0</v>
      </c>
      <c r="N1956" s="68">
        <f t="shared" si="124"/>
        <v>41592</v>
      </c>
      <c r="O1956" s="69">
        <f t="shared" si="123"/>
        <v>41592</v>
      </c>
      <c r="P1956" s="42" t="str">
        <f>IFERROR(VLOOKUP(J1956,'Mã NV'!$B:$C,2,0),"")</f>
        <v>XE00975</v>
      </c>
      <c r="Q1956" s="70" t="str">
        <f>IFERROR(VLOOKUP(I1956,'Mã NV'!$J:$K,2,0),"")</f>
        <v>2.5T Lạnh</v>
      </c>
    </row>
    <row r="1957" customHeight="1" spans="1:17">
      <c r="A1957" s="63">
        <f t="shared" si="125"/>
        <v>1949</v>
      </c>
      <c r="B1957" s="64">
        <v>46156</v>
      </c>
      <c r="D1957" s="66" t="s">
        <v>58</v>
      </c>
      <c r="E1957" s="66" t="s">
        <v>58</v>
      </c>
      <c r="F1957" s="66" t="s">
        <v>985</v>
      </c>
      <c r="G1957" s="66" t="s">
        <v>1076</v>
      </c>
      <c r="H1957" s="66" t="s">
        <v>1095</v>
      </c>
      <c r="I1957" s="66" t="s">
        <v>177</v>
      </c>
      <c r="J1957" s="66" t="s">
        <v>174</v>
      </c>
      <c r="K1957" s="66" t="s">
        <v>747</v>
      </c>
      <c r="L1957" s="67">
        <v>236555</v>
      </c>
      <c r="M1957" s="67">
        <v>0</v>
      </c>
      <c r="N1957" s="68">
        <f t="shared" si="124"/>
        <v>236555</v>
      </c>
      <c r="O1957" s="69">
        <f t="shared" si="123"/>
        <v>236555</v>
      </c>
      <c r="P1957" s="42" t="str">
        <f>IFERROR(VLOOKUP(J1957,'Mã NV'!$B:$C,2,0),"")</f>
        <v>XE00975</v>
      </c>
      <c r="Q1957" s="70" t="str">
        <f>IFERROR(VLOOKUP(I1957,'Mã NV'!$J:$K,2,0),"")</f>
        <v>2.5T Lạnh</v>
      </c>
    </row>
    <row r="1958" customHeight="1" spans="1:17">
      <c r="A1958" s="63">
        <f t="shared" si="125"/>
        <v>1950</v>
      </c>
      <c r="B1958" s="64">
        <v>46156</v>
      </c>
      <c r="D1958" s="66" t="s">
        <v>58</v>
      </c>
      <c r="E1958" s="66" t="s">
        <v>58</v>
      </c>
      <c r="F1958" s="66" t="s">
        <v>985</v>
      </c>
      <c r="G1958" s="66" t="s">
        <v>1076</v>
      </c>
      <c r="H1958" s="66" t="s">
        <v>1094</v>
      </c>
      <c r="I1958" s="66" t="s">
        <v>177</v>
      </c>
      <c r="J1958" s="66" t="s">
        <v>174</v>
      </c>
      <c r="K1958" s="66" t="s">
        <v>747</v>
      </c>
      <c r="L1958" s="67">
        <v>88383</v>
      </c>
      <c r="M1958" s="67">
        <v>0</v>
      </c>
      <c r="N1958" s="68">
        <f t="shared" si="124"/>
        <v>88383</v>
      </c>
      <c r="O1958" s="69">
        <f t="shared" si="123"/>
        <v>88383</v>
      </c>
      <c r="P1958" s="42" t="str">
        <f>IFERROR(VLOOKUP(J1958,'Mã NV'!$B:$C,2,0),"")</f>
        <v>XE00975</v>
      </c>
      <c r="Q1958" s="70" t="str">
        <f>IFERROR(VLOOKUP(I1958,'Mã NV'!$J:$K,2,0),"")</f>
        <v>2.5T Lạnh</v>
      </c>
    </row>
    <row r="1959" customHeight="1" spans="1:17">
      <c r="A1959" s="63">
        <f t="shared" si="125"/>
        <v>1951</v>
      </c>
      <c r="B1959" s="64">
        <v>46156</v>
      </c>
      <c r="D1959" s="66" t="s">
        <v>58</v>
      </c>
      <c r="E1959" s="66" t="s">
        <v>58</v>
      </c>
      <c r="F1959" s="66" t="s">
        <v>985</v>
      </c>
      <c r="G1959" s="66" t="s">
        <v>1076</v>
      </c>
      <c r="H1959" s="66" t="s">
        <v>1097</v>
      </c>
      <c r="I1959" s="66" t="s">
        <v>323</v>
      </c>
      <c r="J1959" s="66" t="s">
        <v>321</v>
      </c>
      <c r="K1959" s="66" t="s">
        <v>747</v>
      </c>
      <c r="L1959" s="67">
        <v>122177</v>
      </c>
      <c r="M1959" s="67">
        <v>0</v>
      </c>
      <c r="N1959" s="68">
        <f t="shared" si="124"/>
        <v>122177</v>
      </c>
      <c r="O1959" s="69">
        <f t="shared" si="123"/>
        <v>122177</v>
      </c>
      <c r="P1959" s="42" t="str">
        <f>IFERROR(VLOOKUP(J1959,'Mã NV'!$B:$C,2,0),"")</f>
        <v>XE01537</v>
      </c>
      <c r="Q1959" s="70" t="str">
        <f>IFERROR(VLOOKUP(I1959,'Mã NV'!$J:$K,2,0),"")</f>
        <v>2.5T</v>
      </c>
    </row>
    <row r="1960" customHeight="1" spans="1:17">
      <c r="A1960" s="63">
        <f t="shared" si="125"/>
        <v>1952</v>
      </c>
      <c r="B1960" s="64">
        <v>46156</v>
      </c>
      <c r="D1960" s="66" t="s">
        <v>58</v>
      </c>
      <c r="E1960" s="66" t="s">
        <v>58</v>
      </c>
      <c r="F1960" s="66" t="s">
        <v>985</v>
      </c>
      <c r="G1960" s="66" t="s">
        <v>1076</v>
      </c>
      <c r="H1960" s="66" t="s">
        <v>1098</v>
      </c>
      <c r="I1960" s="66" t="s">
        <v>323</v>
      </c>
      <c r="J1960" s="66" t="s">
        <v>321</v>
      </c>
      <c r="K1960" s="66" t="s">
        <v>747</v>
      </c>
      <c r="L1960" s="67">
        <v>106580</v>
      </c>
      <c r="M1960" s="67">
        <v>0</v>
      </c>
      <c r="N1960" s="68">
        <f t="shared" si="124"/>
        <v>106580</v>
      </c>
      <c r="O1960" s="69">
        <f t="shared" si="123"/>
        <v>106580</v>
      </c>
      <c r="P1960" s="42" t="str">
        <f>IFERROR(VLOOKUP(J1960,'Mã NV'!$B:$C,2,0),"")</f>
        <v>XE01537</v>
      </c>
      <c r="Q1960" s="70" t="str">
        <f>IFERROR(VLOOKUP(I1960,'Mã NV'!$J:$K,2,0),"")</f>
        <v>2.5T</v>
      </c>
    </row>
    <row r="1961" customHeight="1" spans="1:17">
      <c r="A1961" s="63">
        <f t="shared" si="125"/>
        <v>1953</v>
      </c>
      <c r="B1961" s="64">
        <v>46156</v>
      </c>
      <c r="D1961" s="66" t="s">
        <v>58</v>
      </c>
      <c r="E1961" s="66" t="s">
        <v>58</v>
      </c>
      <c r="F1961" s="66" t="s">
        <v>985</v>
      </c>
      <c r="G1961" s="66" t="s">
        <v>1076</v>
      </c>
      <c r="H1961" s="66" t="s">
        <v>1088</v>
      </c>
      <c r="I1961" s="66" t="s">
        <v>323</v>
      </c>
      <c r="J1961" s="66" t="s">
        <v>321</v>
      </c>
      <c r="K1961" s="66" t="s">
        <v>747</v>
      </c>
      <c r="L1961" s="67">
        <v>213159</v>
      </c>
      <c r="M1961" s="67">
        <v>0</v>
      </c>
      <c r="N1961" s="68">
        <f t="shared" si="124"/>
        <v>213159</v>
      </c>
      <c r="O1961" s="69">
        <f t="shared" si="123"/>
        <v>213159</v>
      </c>
      <c r="P1961" s="42" t="str">
        <f>IFERROR(VLOOKUP(J1961,'Mã NV'!$B:$C,2,0),"")</f>
        <v>XE01537</v>
      </c>
      <c r="Q1961" s="70" t="str">
        <f>IFERROR(VLOOKUP(I1961,'Mã NV'!$J:$K,2,0),"")</f>
        <v>2.5T</v>
      </c>
    </row>
    <row r="1962" customHeight="1" spans="1:17">
      <c r="A1962" s="63">
        <f t="shared" si="125"/>
        <v>1954</v>
      </c>
      <c r="B1962" s="64">
        <v>46156</v>
      </c>
      <c r="D1962" s="66" t="s">
        <v>58</v>
      </c>
      <c r="E1962" s="66" t="s">
        <v>58</v>
      </c>
      <c r="F1962" s="66" t="s">
        <v>985</v>
      </c>
      <c r="G1962" s="66" t="s">
        <v>1076</v>
      </c>
      <c r="H1962" s="66" t="s">
        <v>1093</v>
      </c>
      <c r="I1962" s="66" t="s">
        <v>323</v>
      </c>
      <c r="J1962" s="66" t="s">
        <v>321</v>
      </c>
      <c r="K1962" s="66" t="s">
        <v>747</v>
      </c>
      <c r="L1962" s="67">
        <v>142973</v>
      </c>
      <c r="M1962" s="67">
        <v>0</v>
      </c>
      <c r="N1962" s="68">
        <f t="shared" si="124"/>
        <v>142973</v>
      </c>
      <c r="O1962" s="69">
        <f t="shared" si="123"/>
        <v>142973</v>
      </c>
      <c r="P1962" s="42" t="str">
        <f>IFERROR(VLOOKUP(J1962,'Mã NV'!$B:$C,2,0),"")</f>
        <v>XE01537</v>
      </c>
      <c r="Q1962" s="70" t="str">
        <f>IFERROR(VLOOKUP(I1962,'Mã NV'!$J:$K,2,0),"")</f>
        <v>2.5T</v>
      </c>
    </row>
    <row r="1963" customHeight="1" spans="1:17">
      <c r="A1963" s="63">
        <f t="shared" si="125"/>
        <v>1955</v>
      </c>
      <c r="B1963" s="64">
        <v>46157</v>
      </c>
      <c r="D1963" s="66" t="s">
        <v>58</v>
      </c>
      <c r="E1963" s="66" t="s">
        <v>58</v>
      </c>
      <c r="F1963" s="66" t="s">
        <v>985</v>
      </c>
      <c r="G1963" s="66" t="s">
        <v>1076</v>
      </c>
      <c r="H1963" s="66" t="s">
        <v>1109</v>
      </c>
      <c r="I1963" s="66" t="s">
        <v>57</v>
      </c>
      <c r="J1963" s="66" t="s">
        <v>55</v>
      </c>
      <c r="K1963" s="66" t="s">
        <v>747</v>
      </c>
      <c r="L1963" s="67">
        <v>295089</v>
      </c>
      <c r="M1963" s="67">
        <v>0</v>
      </c>
      <c r="N1963" s="68">
        <f t="shared" si="124"/>
        <v>295089</v>
      </c>
      <c r="O1963" s="69">
        <f t="shared" si="123"/>
        <v>295089</v>
      </c>
      <c r="P1963" s="42" t="str">
        <f>IFERROR(VLOOKUP(J1963,'Mã NV'!$B:$C,2,0),"")</f>
        <v>XE00768</v>
      </c>
      <c r="Q1963" s="70" t="str">
        <f>IFERROR(VLOOKUP(I1963,'Mã NV'!$J:$K,2,0),"")</f>
        <v>2.5T</v>
      </c>
    </row>
    <row r="1964" customHeight="1" spans="1:17">
      <c r="A1964" s="63">
        <f t="shared" si="125"/>
        <v>1956</v>
      </c>
      <c r="B1964" s="64">
        <v>46157</v>
      </c>
      <c r="D1964" s="66" t="s">
        <v>58</v>
      </c>
      <c r="E1964" s="66" t="s">
        <v>58</v>
      </c>
      <c r="F1964" s="66" t="s">
        <v>985</v>
      </c>
      <c r="G1964" s="66" t="s">
        <v>1076</v>
      </c>
      <c r="H1964" s="66" t="s">
        <v>1083</v>
      </c>
      <c r="I1964" s="66" t="s">
        <v>57</v>
      </c>
      <c r="J1964" s="66" t="s">
        <v>55</v>
      </c>
      <c r="K1964" s="66" t="s">
        <v>747</v>
      </c>
      <c r="L1964" s="67">
        <v>346859</v>
      </c>
      <c r="M1964" s="67">
        <v>0</v>
      </c>
      <c r="N1964" s="68">
        <f t="shared" si="124"/>
        <v>346859</v>
      </c>
      <c r="O1964" s="69">
        <f t="shared" si="123"/>
        <v>346859</v>
      </c>
      <c r="P1964" s="42" t="str">
        <f>IFERROR(VLOOKUP(J1964,'Mã NV'!$B:$C,2,0),"")</f>
        <v>XE00768</v>
      </c>
      <c r="Q1964" s="70" t="str">
        <f>IFERROR(VLOOKUP(I1964,'Mã NV'!$J:$K,2,0),"")</f>
        <v>2.5T</v>
      </c>
    </row>
    <row r="1965" customHeight="1" spans="1:17">
      <c r="A1965" s="63">
        <f t="shared" si="125"/>
        <v>1957</v>
      </c>
      <c r="B1965" s="64">
        <v>46157</v>
      </c>
      <c r="D1965" s="66" t="s">
        <v>58</v>
      </c>
      <c r="E1965" s="66" t="s">
        <v>58</v>
      </c>
      <c r="F1965" s="66" t="s">
        <v>985</v>
      </c>
      <c r="G1965" s="66" t="s">
        <v>1076</v>
      </c>
      <c r="H1965" s="66" t="s">
        <v>1082</v>
      </c>
      <c r="I1965" s="66" t="s">
        <v>57</v>
      </c>
      <c r="J1965" s="66" t="s">
        <v>55</v>
      </c>
      <c r="K1965" s="66" t="s">
        <v>747</v>
      </c>
      <c r="L1965" s="67">
        <v>276970</v>
      </c>
      <c r="M1965" s="67">
        <v>0</v>
      </c>
      <c r="N1965" s="68">
        <f t="shared" si="124"/>
        <v>276970</v>
      </c>
      <c r="O1965" s="69">
        <f t="shared" si="123"/>
        <v>276970</v>
      </c>
      <c r="P1965" s="42" t="str">
        <f>IFERROR(VLOOKUP(J1965,'Mã NV'!$B:$C,2,0),"")</f>
        <v>XE00768</v>
      </c>
      <c r="Q1965" s="70" t="str">
        <f>IFERROR(VLOOKUP(I1965,'Mã NV'!$J:$K,2,0),"")</f>
        <v>2.5T</v>
      </c>
    </row>
    <row r="1966" customHeight="1" spans="1:17">
      <c r="A1966" s="63">
        <f t="shared" si="125"/>
        <v>1958</v>
      </c>
      <c r="B1966" s="64">
        <v>46157</v>
      </c>
      <c r="D1966" s="66" t="s">
        <v>58</v>
      </c>
      <c r="E1966" s="66" t="s">
        <v>58</v>
      </c>
      <c r="F1966" s="66" t="s">
        <v>985</v>
      </c>
      <c r="G1966" s="66" t="s">
        <v>1076</v>
      </c>
      <c r="H1966" s="66" t="s">
        <v>1080</v>
      </c>
      <c r="I1966" s="66" t="s">
        <v>403</v>
      </c>
      <c r="J1966" s="66" t="s">
        <v>401</v>
      </c>
      <c r="K1966" s="66" t="s">
        <v>747</v>
      </c>
      <c r="L1966" s="67">
        <v>266616</v>
      </c>
      <c r="M1966" s="67">
        <v>0</v>
      </c>
      <c r="N1966" s="68">
        <f t="shared" si="124"/>
        <v>266616</v>
      </c>
      <c r="O1966" s="69">
        <f t="shared" si="123"/>
        <v>266616</v>
      </c>
      <c r="P1966" s="42" t="str">
        <f>IFERROR(VLOOKUP(J1966,'Mã NV'!$B:$C,2,0),"")</f>
        <v>XE01466</v>
      </c>
      <c r="Q1966" s="70" t="str">
        <f>IFERROR(VLOOKUP(I1966,'Mã NV'!$J:$K,2,0),"")</f>
        <v>3.5T</v>
      </c>
    </row>
    <row r="1967" customHeight="1" spans="1:17">
      <c r="A1967" s="63">
        <f t="shared" si="125"/>
        <v>1959</v>
      </c>
      <c r="B1967" s="64">
        <v>46157</v>
      </c>
      <c r="D1967" s="66" t="s">
        <v>58</v>
      </c>
      <c r="E1967" s="66" t="s">
        <v>58</v>
      </c>
      <c r="F1967" s="66" t="s">
        <v>985</v>
      </c>
      <c r="G1967" s="66" t="s">
        <v>1076</v>
      </c>
      <c r="H1967" s="66" t="s">
        <v>1081</v>
      </c>
      <c r="I1967" s="66" t="s">
        <v>403</v>
      </c>
      <c r="J1967" s="66" t="s">
        <v>401</v>
      </c>
      <c r="K1967" s="66" t="s">
        <v>747</v>
      </c>
      <c r="L1967" s="67">
        <v>225200</v>
      </c>
      <c r="M1967" s="67">
        <v>0</v>
      </c>
      <c r="N1967" s="68">
        <f t="shared" si="124"/>
        <v>225200</v>
      </c>
      <c r="O1967" s="69">
        <f t="shared" si="123"/>
        <v>225200</v>
      </c>
      <c r="P1967" s="42" t="str">
        <f>IFERROR(VLOOKUP(J1967,'Mã NV'!$B:$C,2,0),"")</f>
        <v>XE01466</v>
      </c>
      <c r="Q1967" s="70" t="str">
        <f>IFERROR(VLOOKUP(I1967,'Mã NV'!$J:$K,2,0),"")</f>
        <v>3.5T</v>
      </c>
    </row>
    <row r="1968" customHeight="1" spans="1:17">
      <c r="A1968" s="63">
        <f t="shared" si="125"/>
        <v>1960</v>
      </c>
      <c r="B1968" s="64">
        <v>46157</v>
      </c>
      <c r="D1968" s="66" t="s">
        <v>58</v>
      </c>
      <c r="E1968" s="66" t="s">
        <v>58</v>
      </c>
      <c r="F1968" s="66" t="s">
        <v>985</v>
      </c>
      <c r="G1968" s="66" t="s">
        <v>1076</v>
      </c>
      <c r="H1968" s="66" t="s">
        <v>1079</v>
      </c>
      <c r="I1968" s="66" t="s">
        <v>403</v>
      </c>
      <c r="J1968" s="66" t="s">
        <v>401</v>
      </c>
      <c r="K1968" s="66" t="s">
        <v>747</v>
      </c>
      <c r="L1968" s="67">
        <v>188961</v>
      </c>
      <c r="M1968" s="67">
        <v>0</v>
      </c>
      <c r="N1968" s="68">
        <f t="shared" si="124"/>
        <v>188961</v>
      </c>
      <c r="O1968" s="69">
        <f t="shared" si="123"/>
        <v>188961</v>
      </c>
      <c r="P1968" s="42" t="str">
        <f>IFERROR(VLOOKUP(J1968,'Mã NV'!$B:$C,2,0),"")</f>
        <v>XE01466</v>
      </c>
      <c r="Q1968" s="70" t="str">
        <f>IFERROR(VLOOKUP(I1968,'Mã NV'!$J:$K,2,0),"")</f>
        <v>3.5T</v>
      </c>
    </row>
    <row r="1969" customHeight="1" spans="1:17">
      <c r="A1969" s="63">
        <f t="shared" si="125"/>
        <v>1961</v>
      </c>
      <c r="B1969" s="64">
        <v>46157</v>
      </c>
      <c r="D1969" s="66" t="s">
        <v>58</v>
      </c>
      <c r="E1969" s="66" t="s">
        <v>58</v>
      </c>
      <c r="F1969" s="66" t="s">
        <v>985</v>
      </c>
      <c r="G1969" s="66" t="s">
        <v>1076</v>
      </c>
      <c r="H1969" s="66" t="s">
        <v>1090</v>
      </c>
      <c r="I1969" s="66" t="s">
        <v>403</v>
      </c>
      <c r="J1969" s="66" t="s">
        <v>401</v>
      </c>
      <c r="K1969" s="66" t="s">
        <v>747</v>
      </c>
      <c r="L1969" s="67">
        <v>323563</v>
      </c>
      <c r="M1969" s="67">
        <v>0</v>
      </c>
      <c r="N1969" s="68">
        <f t="shared" si="124"/>
        <v>323563</v>
      </c>
      <c r="O1969" s="69">
        <f t="shared" si="123"/>
        <v>323563</v>
      </c>
      <c r="P1969" s="42" t="str">
        <f>IFERROR(VLOOKUP(J1969,'Mã NV'!$B:$C,2,0),"")</f>
        <v>XE01466</v>
      </c>
      <c r="Q1969" s="70" t="str">
        <f>IFERROR(VLOOKUP(I1969,'Mã NV'!$J:$K,2,0),"")</f>
        <v>3.5T</v>
      </c>
    </row>
    <row r="1970" customHeight="1" spans="1:17">
      <c r="A1970" s="63">
        <f t="shared" si="125"/>
        <v>1962</v>
      </c>
      <c r="B1970" s="64">
        <v>46157</v>
      </c>
      <c r="D1970" s="66" t="s">
        <v>58</v>
      </c>
      <c r="E1970" s="66" t="s">
        <v>58</v>
      </c>
      <c r="F1970" s="66" t="s">
        <v>985</v>
      </c>
      <c r="G1970" s="66" t="s">
        <v>1076</v>
      </c>
      <c r="H1970" s="66" t="s">
        <v>1077</v>
      </c>
      <c r="I1970" s="66" t="s">
        <v>133</v>
      </c>
      <c r="J1970" s="66" t="s">
        <v>347</v>
      </c>
      <c r="K1970" s="66" t="s">
        <v>747</v>
      </c>
      <c r="L1970" s="67">
        <v>416749</v>
      </c>
      <c r="M1970" s="67">
        <v>0</v>
      </c>
      <c r="N1970" s="68">
        <f t="shared" si="124"/>
        <v>416749</v>
      </c>
      <c r="O1970" s="69">
        <f t="shared" si="123"/>
        <v>416749</v>
      </c>
      <c r="P1970" s="42" t="str">
        <f>IFERROR(VLOOKUP(J1970,'Mã NV'!$B:$C,2,0),"")</f>
        <v>XE01653</v>
      </c>
      <c r="Q1970" s="70" t="str">
        <f>IFERROR(VLOOKUP(I1970,'Mã NV'!$J:$K,2,0),"")</f>
        <v>2.5T</v>
      </c>
    </row>
    <row r="1971" customHeight="1" spans="1:17">
      <c r="A1971" s="63">
        <f t="shared" si="125"/>
        <v>1963</v>
      </c>
      <c r="B1971" s="64">
        <v>46157</v>
      </c>
      <c r="D1971" s="66" t="s">
        <v>58</v>
      </c>
      <c r="E1971" s="66" t="s">
        <v>58</v>
      </c>
      <c r="F1971" s="66" t="s">
        <v>985</v>
      </c>
      <c r="G1971" s="66" t="s">
        <v>1076</v>
      </c>
      <c r="H1971" s="66" t="s">
        <v>1078</v>
      </c>
      <c r="I1971" s="66" t="s">
        <v>133</v>
      </c>
      <c r="J1971" s="66" t="s">
        <v>347</v>
      </c>
      <c r="K1971" s="66" t="s">
        <v>747</v>
      </c>
      <c r="L1971" s="67">
        <v>207080</v>
      </c>
      <c r="M1971" s="67">
        <v>0</v>
      </c>
      <c r="N1971" s="68">
        <f t="shared" si="124"/>
        <v>207080</v>
      </c>
      <c r="O1971" s="69">
        <f t="shared" ref="O1971:O2034" si="126">N1971/$P$1</f>
        <v>207080</v>
      </c>
      <c r="P1971" s="42" t="str">
        <f>IFERROR(VLOOKUP(J1971,'Mã NV'!$B:$C,2,0),"")</f>
        <v>XE01653</v>
      </c>
      <c r="Q1971" s="70" t="str">
        <f>IFERROR(VLOOKUP(I1971,'Mã NV'!$J:$K,2,0),"")</f>
        <v>2.5T</v>
      </c>
    </row>
    <row r="1972" customHeight="1" spans="1:17">
      <c r="A1972" s="63">
        <f t="shared" si="125"/>
        <v>1964</v>
      </c>
      <c r="B1972" s="64">
        <v>46157</v>
      </c>
      <c r="D1972" s="66" t="s">
        <v>58</v>
      </c>
      <c r="E1972" s="66" t="s">
        <v>58</v>
      </c>
      <c r="F1972" s="66" t="s">
        <v>985</v>
      </c>
      <c r="G1972" s="66" t="s">
        <v>1076</v>
      </c>
      <c r="H1972" s="66" t="s">
        <v>1111</v>
      </c>
      <c r="I1972" s="66" t="s">
        <v>133</v>
      </c>
      <c r="J1972" s="66" t="s">
        <v>347</v>
      </c>
      <c r="K1972" s="66" t="s">
        <v>747</v>
      </c>
      <c r="L1972" s="67">
        <v>51770</v>
      </c>
      <c r="M1972" s="67">
        <v>0</v>
      </c>
      <c r="N1972" s="68">
        <f t="shared" ref="N1972:N2035" si="127">L1972-M1972</f>
        <v>51770</v>
      </c>
      <c r="O1972" s="69">
        <f t="shared" si="126"/>
        <v>51770</v>
      </c>
      <c r="P1972" s="42" t="str">
        <f>IFERROR(VLOOKUP(J1972,'Mã NV'!$B:$C,2,0),"")</f>
        <v>XE01653</v>
      </c>
      <c r="Q1972" s="70" t="str">
        <f>IFERROR(VLOOKUP(I1972,'Mã NV'!$J:$K,2,0),"")</f>
        <v>2.5T</v>
      </c>
    </row>
    <row r="1973" customHeight="1" spans="1:17">
      <c r="A1973" s="63">
        <f t="shared" si="125"/>
        <v>1965</v>
      </c>
      <c r="B1973" s="64">
        <v>46157</v>
      </c>
      <c r="D1973" s="66" t="s">
        <v>58</v>
      </c>
      <c r="E1973" s="66" t="s">
        <v>58</v>
      </c>
      <c r="F1973" s="66" t="s">
        <v>985</v>
      </c>
      <c r="G1973" s="66" t="s">
        <v>1076</v>
      </c>
      <c r="H1973" s="66" t="s">
        <v>1093</v>
      </c>
      <c r="I1973" s="66" t="s">
        <v>133</v>
      </c>
      <c r="J1973" s="66" t="s">
        <v>347</v>
      </c>
      <c r="K1973" s="66" t="s">
        <v>747</v>
      </c>
      <c r="L1973" s="67">
        <v>251085</v>
      </c>
      <c r="M1973" s="67">
        <v>0</v>
      </c>
      <c r="N1973" s="68">
        <f t="shared" si="127"/>
        <v>251085</v>
      </c>
      <c r="O1973" s="69">
        <f t="shared" si="126"/>
        <v>251085</v>
      </c>
      <c r="P1973" s="42" t="str">
        <f>IFERROR(VLOOKUP(J1973,'Mã NV'!$B:$C,2,0),"")</f>
        <v>XE01653</v>
      </c>
      <c r="Q1973" s="70" t="str">
        <f>IFERROR(VLOOKUP(I1973,'Mã NV'!$J:$K,2,0),"")</f>
        <v>2.5T</v>
      </c>
    </row>
    <row r="1974" customHeight="1" spans="1:17">
      <c r="A1974" s="63">
        <f t="shared" si="125"/>
        <v>1966</v>
      </c>
      <c r="B1974" s="64">
        <v>46157</v>
      </c>
      <c r="D1974" s="66" t="s">
        <v>58</v>
      </c>
      <c r="E1974" s="66" t="s">
        <v>58</v>
      </c>
      <c r="F1974" s="66" t="s">
        <v>985</v>
      </c>
      <c r="G1974" s="66" t="s">
        <v>1076</v>
      </c>
      <c r="H1974" s="66" t="s">
        <v>1087</v>
      </c>
      <c r="I1974" s="66" t="s">
        <v>134</v>
      </c>
      <c r="J1974" s="66" t="s">
        <v>359</v>
      </c>
      <c r="K1974" s="66" t="s">
        <v>747</v>
      </c>
      <c r="L1974" s="67">
        <v>232965</v>
      </c>
      <c r="M1974" s="67">
        <v>0</v>
      </c>
      <c r="N1974" s="68">
        <f t="shared" si="127"/>
        <v>232965</v>
      </c>
      <c r="O1974" s="69">
        <f t="shared" si="126"/>
        <v>232965</v>
      </c>
      <c r="P1974" s="42" t="str">
        <f>IFERROR(VLOOKUP(J1974,'Mã NV'!$B:$C,2,0),"")</f>
        <v>XE01639</v>
      </c>
      <c r="Q1974" s="70" t="str">
        <f>IFERROR(VLOOKUP(I1974,'Mã NV'!$J:$K,2,0),"")</f>
        <v>2.5T Lạnh</v>
      </c>
    </row>
    <row r="1975" customHeight="1" spans="1:17">
      <c r="A1975" s="63">
        <f t="shared" si="125"/>
        <v>1967</v>
      </c>
      <c r="B1975" s="64">
        <v>46157</v>
      </c>
      <c r="D1975" s="66" t="s">
        <v>58</v>
      </c>
      <c r="E1975" s="66" t="s">
        <v>58</v>
      </c>
      <c r="F1975" s="66" t="s">
        <v>985</v>
      </c>
      <c r="G1975" s="66" t="s">
        <v>1076</v>
      </c>
      <c r="H1975" s="66" t="s">
        <v>1085</v>
      </c>
      <c r="I1975" s="66" t="s">
        <v>134</v>
      </c>
      <c r="J1975" s="66" t="s">
        <v>359</v>
      </c>
      <c r="K1975" s="66" t="s">
        <v>747</v>
      </c>
      <c r="L1975" s="67">
        <v>204492</v>
      </c>
      <c r="M1975" s="67">
        <v>0</v>
      </c>
      <c r="N1975" s="68">
        <f t="shared" si="127"/>
        <v>204492</v>
      </c>
      <c r="O1975" s="69">
        <f t="shared" si="126"/>
        <v>204492</v>
      </c>
      <c r="P1975" s="42" t="str">
        <f>IFERROR(VLOOKUP(J1975,'Mã NV'!$B:$C,2,0),"")</f>
        <v>XE01639</v>
      </c>
      <c r="Q1975" s="70" t="str">
        <f>IFERROR(VLOOKUP(I1975,'Mã NV'!$J:$K,2,0),"")</f>
        <v>2.5T Lạnh</v>
      </c>
    </row>
    <row r="1976" customHeight="1" spans="1:17">
      <c r="A1976" s="63">
        <f t="shared" si="125"/>
        <v>1968</v>
      </c>
      <c r="B1976" s="64">
        <v>46157</v>
      </c>
      <c r="D1976" s="66" t="s">
        <v>58</v>
      </c>
      <c r="E1976" s="66" t="s">
        <v>58</v>
      </c>
      <c r="F1976" s="66" t="s">
        <v>985</v>
      </c>
      <c r="G1976" s="66" t="s">
        <v>1076</v>
      </c>
      <c r="H1976" s="66" t="s">
        <v>1101</v>
      </c>
      <c r="I1976" s="66" t="s">
        <v>134</v>
      </c>
      <c r="J1976" s="66" t="s">
        <v>359</v>
      </c>
      <c r="K1976" s="66" t="s">
        <v>747</v>
      </c>
      <c r="L1976" s="67">
        <v>199315</v>
      </c>
      <c r="M1976" s="67">
        <v>0</v>
      </c>
      <c r="N1976" s="68">
        <f t="shared" si="127"/>
        <v>199315</v>
      </c>
      <c r="O1976" s="69">
        <f t="shared" si="126"/>
        <v>199315</v>
      </c>
      <c r="P1976" s="42" t="str">
        <f>IFERROR(VLOOKUP(J1976,'Mã NV'!$B:$C,2,0),"")</f>
        <v>XE01639</v>
      </c>
      <c r="Q1976" s="70" t="str">
        <f>IFERROR(VLOOKUP(I1976,'Mã NV'!$J:$K,2,0),"")</f>
        <v>2.5T Lạnh</v>
      </c>
    </row>
    <row r="1977" customHeight="1" spans="1:17">
      <c r="A1977" s="63">
        <f t="shared" si="125"/>
        <v>1969</v>
      </c>
      <c r="B1977" s="64">
        <v>46157</v>
      </c>
      <c r="D1977" s="66" t="s">
        <v>58</v>
      </c>
      <c r="E1977" s="66" t="s">
        <v>58</v>
      </c>
      <c r="F1977" s="66" t="s">
        <v>985</v>
      </c>
      <c r="G1977" s="66" t="s">
        <v>1076</v>
      </c>
      <c r="H1977" s="66" t="s">
        <v>1084</v>
      </c>
      <c r="I1977" s="66" t="s">
        <v>134</v>
      </c>
      <c r="J1977" s="66" t="s">
        <v>359</v>
      </c>
      <c r="K1977" s="66" t="s">
        <v>747</v>
      </c>
      <c r="L1977" s="67">
        <v>194138</v>
      </c>
      <c r="M1977" s="67">
        <v>0</v>
      </c>
      <c r="N1977" s="68">
        <f t="shared" si="127"/>
        <v>194138</v>
      </c>
      <c r="O1977" s="69">
        <f t="shared" si="126"/>
        <v>194138</v>
      </c>
      <c r="P1977" s="42" t="str">
        <f>IFERROR(VLOOKUP(J1977,'Mã NV'!$B:$C,2,0),"")</f>
        <v>XE01639</v>
      </c>
      <c r="Q1977" s="70" t="str">
        <f>IFERROR(VLOOKUP(I1977,'Mã NV'!$J:$K,2,0),"")</f>
        <v>2.5T Lạnh</v>
      </c>
    </row>
    <row r="1978" customHeight="1" spans="1:17">
      <c r="A1978" s="63">
        <f t="shared" si="125"/>
        <v>1970</v>
      </c>
      <c r="B1978" s="64">
        <v>46157</v>
      </c>
      <c r="D1978" s="66" t="s">
        <v>58</v>
      </c>
      <c r="E1978" s="66" t="s">
        <v>58</v>
      </c>
      <c r="F1978" s="66" t="s">
        <v>985</v>
      </c>
      <c r="G1978" s="66" t="s">
        <v>1076</v>
      </c>
      <c r="H1978" s="66" t="s">
        <v>1098</v>
      </c>
      <c r="I1978" s="66" t="s">
        <v>358</v>
      </c>
      <c r="J1978" s="66" t="s">
        <v>356</v>
      </c>
      <c r="K1978" s="66" t="s">
        <v>747</v>
      </c>
      <c r="L1978" s="67">
        <v>150133</v>
      </c>
      <c r="M1978" s="67">
        <v>0</v>
      </c>
      <c r="N1978" s="68">
        <f t="shared" si="127"/>
        <v>150133</v>
      </c>
      <c r="O1978" s="69">
        <f t="shared" si="126"/>
        <v>150133</v>
      </c>
      <c r="P1978" s="42" t="str">
        <f>IFERROR(VLOOKUP(J1978,'Mã NV'!$B:$C,2,0),"")</f>
        <v>XE01616</v>
      </c>
      <c r="Q1978" s="70" t="str">
        <f>IFERROR(VLOOKUP(I1978,'Mã NV'!$J:$K,2,0),"")</f>
        <v>2.5T Lạnh</v>
      </c>
    </row>
    <row r="1979" customHeight="1" spans="1:17">
      <c r="A1979" s="63">
        <f t="shared" si="125"/>
        <v>1971</v>
      </c>
      <c r="B1979" s="64">
        <v>46157</v>
      </c>
      <c r="D1979" s="66" t="s">
        <v>58</v>
      </c>
      <c r="E1979" s="66" t="s">
        <v>58</v>
      </c>
      <c r="F1979" s="66" t="s">
        <v>985</v>
      </c>
      <c r="G1979" s="66" t="s">
        <v>1076</v>
      </c>
      <c r="H1979" s="66" t="s">
        <v>1089</v>
      </c>
      <c r="I1979" s="66" t="s">
        <v>358</v>
      </c>
      <c r="J1979" s="66" t="s">
        <v>356</v>
      </c>
      <c r="K1979" s="66" t="s">
        <v>747</v>
      </c>
      <c r="L1979" s="67">
        <v>271793</v>
      </c>
      <c r="M1979" s="67">
        <v>0</v>
      </c>
      <c r="N1979" s="68">
        <f t="shared" si="127"/>
        <v>271793</v>
      </c>
      <c r="O1979" s="69">
        <f t="shared" si="126"/>
        <v>271793</v>
      </c>
      <c r="P1979" s="42" t="str">
        <f>IFERROR(VLOOKUP(J1979,'Mã NV'!$B:$C,2,0),"")</f>
        <v>XE01616</v>
      </c>
      <c r="Q1979" s="70" t="str">
        <f>IFERROR(VLOOKUP(I1979,'Mã NV'!$J:$K,2,0),"")</f>
        <v>2.5T Lạnh</v>
      </c>
    </row>
    <row r="1980" customHeight="1" spans="1:17">
      <c r="A1980" s="63">
        <f t="shared" si="125"/>
        <v>1972</v>
      </c>
      <c r="B1980" s="64">
        <v>46157</v>
      </c>
      <c r="D1980" s="66" t="s">
        <v>58</v>
      </c>
      <c r="E1980" s="66" t="s">
        <v>58</v>
      </c>
      <c r="F1980" s="66" t="s">
        <v>985</v>
      </c>
      <c r="G1980" s="66" t="s">
        <v>1076</v>
      </c>
      <c r="H1980" s="66" t="s">
        <v>1088</v>
      </c>
      <c r="I1980" s="66" t="s">
        <v>358</v>
      </c>
      <c r="J1980" s="66" t="s">
        <v>356</v>
      </c>
      <c r="K1980" s="66" t="s">
        <v>747</v>
      </c>
      <c r="L1980" s="67">
        <v>315797</v>
      </c>
      <c r="M1980" s="67">
        <v>0</v>
      </c>
      <c r="N1980" s="68">
        <f t="shared" si="127"/>
        <v>315797</v>
      </c>
      <c r="O1980" s="69">
        <f t="shared" si="126"/>
        <v>315797</v>
      </c>
      <c r="P1980" s="42" t="str">
        <f>IFERROR(VLOOKUP(J1980,'Mã NV'!$B:$C,2,0),"")</f>
        <v>XE01616</v>
      </c>
      <c r="Q1980" s="70" t="str">
        <f>IFERROR(VLOOKUP(I1980,'Mã NV'!$J:$K,2,0),"")</f>
        <v>2.5T Lạnh</v>
      </c>
    </row>
    <row r="1981" customHeight="1" spans="1:17">
      <c r="A1981" s="63">
        <f t="shared" si="125"/>
        <v>1973</v>
      </c>
      <c r="B1981" s="64">
        <v>46157</v>
      </c>
      <c r="D1981" s="66" t="s">
        <v>58</v>
      </c>
      <c r="E1981" s="66" t="s">
        <v>58</v>
      </c>
      <c r="F1981" s="66" t="s">
        <v>985</v>
      </c>
      <c r="G1981" s="66" t="s">
        <v>1076</v>
      </c>
      <c r="H1981" s="66" t="s">
        <v>1091</v>
      </c>
      <c r="I1981" s="66" t="s">
        <v>57</v>
      </c>
      <c r="J1981" s="66" t="s">
        <v>55</v>
      </c>
      <c r="K1981" s="66" t="s">
        <v>747</v>
      </c>
      <c r="L1981" s="67">
        <v>214846</v>
      </c>
      <c r="M1981" s="67">
        <v>0</v>
      </c>
      <c r="N1981" s="68">
        <f t="shared" si="127"/>
        <v>214846</v>
      </c>
      <c r="O1981" s="69">
        <f t="shared" si="126"/>
        <v>214846</v>
      </c>
      <c r="P1981" s="42" t="str">
        <f>IFERROR(VLOOKUP(J1981,'Mã NV'!$B:$C,2,0),"")</f>
        <v>XE00768</v>
      </c>
      <c r="Q1981" s="70" t="str">
        <f>IFERROR(VLOOKUP(I1981,'Mã NV'!$J:$K,2,0),"")</f>
        <v>2.5T</v>
      </c>
    </row>
    <row r="1982" customHeight="1" spans="1:17">
      <c r="A1982" s="63">
        <f t="shared" si="125"/>
        <v>1974</v>
      </c>
      <c r="B1982" s="64">
        <v>46157</v>
      </c>
      <c r="D1982" s="66" t="s">
        <v>58</v>
      </c>
      <c r="E1982" s="66" t="s">
        <v>58</v>
      </c>
      <c r="F1982" s="66" t="s">
        <v>985</v>
      </c>
      <c r="G1982" s="66" t="s">
        <v>1076</v>
      </c>
      <c r="H1982" s="66" t="s">
        <v>1096</v>
      </c>
      <c r="I1982" s="66" t="s">
        <v>57</v>
      </c>
      <c r="J1982" s="66" t="s">
        <v>55</v>
      </c>
      <c r="K1982" s="66" t="s">
        <v>747</v>
      </c>
      <c r="L1982" s="67">
        <v>186372</v>
      </c>
      <c r="M1982" s="67">
        <v>0</v>
      </c>
      <c r="N1982" s="68">
        <f t="shared" si="127"/>
        <v>186372</v>
      </c>
      <c r="O1982" s="69">
        <f t="shared" si="126"/>
        <v>186372</v>
      </c>
      <c r="P1982" s="42" t="str">
        <f>IFERROR(VLOOKUP(J1982,'Mã NV'!$B:$C,2,0),"")</f>
        <v>XE00768</v>
      </c>
      <c r="Q1982" s="70" t="str">
        <f>IFERROR(VLOOKUP(I1982,'Mã NV'!$J:$K,2,0),"")</f>
        <v>2.5T</v>
      </c>
    </row>
    <row r="1983" customHeight="1" spans="1:17">
      <c r="A1983" s="63">
        <f t="shared" si="125"/>
        <v>1975</v>
      </c>
      <c r="B1983" s="64">
        <v>46157</v>
      </c>
      <c r="D1983" s="66" t="s">
        <v>58</v>
      </c>
      <c r="E1983" s="66" t="s">
        <v>58</v>
      </c>
      <c r="F1983" s="66" t="s">
        <v>985</v>
      </c>
      <c r="G1983" s="66" t="s">
        <v>1076</v>
      </c>
      <c r="H1983" s="66" t="s">
        <v>1097</v>
      </c>
      <c r="I1983" s="66" t="s">
        <v>57</v>
      </c>
      <c r="J1983" s="66" t="s">
        <v>55</v>
      </c>
      <c r="K1983" s="66" t="s">
        <v>747</v>
      </c>
      <c r="L1983" s="67">
        <v>194138</v>
      </c>
      <c r="M1983" s="67">
        <v>0</v>
      </c>
      <c r="N1983" s="68">
        <f t="shared" si="127"/>
        <v>194138</v>
      </c>
      <c r="O1983" s="69">
        <f t="shared" si="126"/>
        <v>194138</v>
      </c>
      <c r="P1983" s="42" t="str">
        <f>IFERROR(VLOOKUP(J1983,'Mã NV'!$B:$C,2,0),"")</f>
        <v>XE00768</v>
      </c>
      <c r="Q1983" s="70" t="str">
        <f>IFERROR(VLOOKUP(I1983,'Mã NV'!$J:$K,2,0),"")</f>
        <v>2.5T</v>
      </c>
    </row>
    <row r="1984" customHeight="1" spans="1:17">
      <c r="A1984" s="63">
        <f t="shared" si="125"/>
        <v>1976</v>
      </c>
      <c r="B1984" s="64">
        <v>46157</v>
      </c>
      <c r="D1984" s="66" t="s">
        <v>58</v>
      </c>
      <c r="E1984" s="66" t="s">
        <v>58</v>
      </c>
      <c r="F1984" s="66" t="s">
        <v>985</v>
      </c>
      <c r="G1984" s="66" t="s">
        <v>1076</v>
      </c>
      <c r="H1984" s="66" t="s">
        <v>1092</v>
      </c>
      <c r="I1984" s="66" t="s">
        <v>57</v>
      </c>
      <c r="J1984" s="66" t="s">
        <v>55</v>
      </c>
      <c r="K1984" s="66" t="s">
        <v>747</v>
      </c>
      <c r="L1984" s="67">
        <v>300266</v>
      </c>
      <c r="M1984" s="67">
        <v>0</v>
      </c>
      <c r="N1984" s="68">
        <f t="shared" si="127"/>
        <v>300266</v>
      </c>
      <c r="O1984" s="69">
        <f t="shared" si="126"/>
        <v>300266</v>
      </c>
      <c r="P1984" s="42" t="str">
        <f>IFERROR(VLOOKUP(J1984,'Mã NV'!$B:$C,2,0),"")</f>
        <v>XE00768</v>
      </c>
      <c r="Q1984" s="70" t="str">
        <f>IFERROR(VLOOKUP(I1984,'Mã NV'!$J:$K,2,0),"")</f>
        <v>2.5T</v>
      </c>
    </row>
    <row r="1985" customHeight="1" spans="1:17">
      <c r="A1985" s="63">
        <f t="shared" si="125"/>
        <v>1977</v>
      </c>
      <c r="B1985" s="64">
        <v>46157</v>
      </c>
      <c r="D1985" s="66" t="s">
        <v>58</v>
      </c>
      <c r="E1985" s="66" t="s">
        <v>58</v>
      </c>
      <c r="F1985" s="66" t="s">
        <v>985</v>
      </c>
      <c r="G1985" s="66" t="s">
        <v>1076</v>
      </c>
      <c r="H1985" s="66" t="s">
        <v>1102</v>
      </c>
      <c r="I1985" s="66" t="s">
        <v>133</v>
      </c>
      <c r="J1985" s="66" t="s">
        <v>347</v>
      </c>
      <c r="K1985" s="66" t="s">
        <v>747</v>
      </c>
      <c r="L1985" s="67">
        <v>222611</v>
      </c>
      <c r="M1985" s="67">
        <v>0</v>
      </c>
      <c r="N1985" s="68">
        <f t="shared" si="127"/>
        <v>222611</v>
      </c>
      <c r="O1985" s="69">
        <f t="shared" si="126"/>
        <v>222611</v>
      </c>
      <c r="P1985" s="42" t="str">
        <f>IFERROR(VLOOKUP(J1985,'Mã NV'!$B:$C,2,0),"")</f>
        <v>XE01653</v>
      </c>
      <c r="Q1985" s="70" t="str">
        <f>IFERROR(VLOOKUP(I1985,'Mã NV'!$J:$K,2,0),"")</f>
        <v>2.5T</v>
      </c>
    </row>
    <row r="1986" customHeight="1" spans="1:17">
      <c r="A1986" s="63">
        <f t="shared" si="125"/>
        <v>1978</v>
      </c>
      <c r="B1986" s="64">
        <v>46157</v>
      </c>
      <c r="D1986" s="66" t="s">
        <v>58</v>
      </c>
      <c r="E1986" s="66" t="s">
        <v>58</v>
      </c>
      <c r="F1986" s="66" t="s">
        <v>985</v>
      </c>
      <c r="G1986" s="66" t="s">
        <v>1076</v>
      </c>
      <c r="H1986" s="66" t="s">
        <v>1104</v>
      </c>
      <c r="I1986" s="66" t="s">
        <v>133</v>
      </c>
      <c r="J1986" s="66" t="s">
        <v>347</v>
      </c>
      <c r="K1986" s="66" t="s">
        <v>747</v>
      </c>
      <c r="L1986" s="67">
        <v>253673</v>
      </c>
      <c r="M1986" s="67">
        <v>0</v>
      </c>
      <c r="N1986" s="68">
        <f t="shared" si="127"/>
        <v>253673</v>
      </c>
      <c r="O1986" s="69">
        <f t="shared" si="126"/>
        <v>253673</v>
      </c>
      <c r="P1986" s="42" t="str">
        <f>IFERROR(VLOOKUP(J1986,'Mã NV'!$B:$C,2,0),"")</f>
        <v>XE01653</v>
      </c>
      <c r="Q1986" s="70" t="str">
        <f>IFERROR(VLOOKUP(I1986,'Mã NV'!$J:$K,2,0),"")</f>
        <v>2.5T</v>
      </c>
    </row>
    <row r="1987" customHeight="1" spans="1:17">
      <c r="A1987" s="63">
        <f t="shared" si="125"/>
        <v>1979</v>
      </c>
      <c r="B1987" s="64">
        <v>46157</v>
      </c>
      <c r="D1987" s="66" t="s">
        <v>58</v>
      </c>
      <c r="E1987" s="66" t="s">
        <v>58</v>
      </c>
      <c r="F1987" s="66" t="s">
        <v>985</v>
      </c>
      <c r="G1987" s="66" t="s">
        <v>1076</v>
      </c>
      <c r="H1987" s="66" t="s">
        <v>1103</v>
      </c>
      <c r="I1987" s="66" t="s">
        <v>133</v>
      </c>
      <c r="J1987" s="66" t="s">
        <v>347</v>
      </c>
      <c r="K1987" s="66" t="s">
        <v>747</v>
      </c>
      <c r="L1987" s="67">
        <v>134602</v>
      </c>
      <c r="M1987" s="67">
        <v>0</v>
      </c>
      <c r="N1987" s="68">
        <f t="shared" si="127"/>
        <v>134602</v>
      </c>
      <c r="O1987" s="69">
        <f t="shared" si="126"/>
        <v>134602</v>
      </c>
      <c r="P1987" s="42" t="str">
        <f>IFERROR(VLOOKUP(J1987,'Mã NV'!$B:$C,2,0),"")</f>
        <v>XE01653</v>
      </c>
      <c r="Q1987" s="70" t="str">
        <f>IFERROR(VLOOKUP(I1987,'Mã NV'!$J:$K,2,0),"")</f>
        <v>2.5T</v>
      </c>
    </row>
    <row r="1988" customHeight="1" spans="1:17">
      <c r="A1988" s="63">
        <f t="shared" si="125"/>
        <v>1980</v>
      </c>
      <c r="B1988" s="64">
        <v>46157</v>
      </c>
      <c r="D1988" s="66" t="s">
        <v>58</v>
      </c>
      <c r="E1988" s="66" t="s">
        <v>58</v>
      </c>
      <c r="F1988" s="66" t="s">
        <v>985</v>
      </c>
      <c r="G1988" s="66" t="s">
        <v>1076</v>
      </c>
      <c r="H1988" s="66" t="s">
        <v>1086</v>
      </c>
      <c r="I1988" s="66" t="s">
        <v>133</v>
      </c>
      <c r="J1988" s="66" t="s">
        <v>347</v>
      </c>
      <c r="K1988" s="66" t="s">
        <v>747</v>
      </c>
      <c r="L1988" s="67">
        <v>222611</v>
      </c>
      <c r="M1988" s="67">
        <v>0</v>
      </c>
      <c r="N1988" s="68">
        <f t="shared" si="127"/>
        <v>222611</v>
      </c>
      <c r="O1988" s="69">
        <f t="shared" si="126"/>
        <v>222611</v>
      </c>
      <c r="P1988" s="42" t="str">
        <f>IFERROR(VLOOKUP(J1988,'Mã NV'!$B:$C,2,0),"")</f>
        <v>XE01653</v>
      </c>
      <c r="Q1988" s="70" t="str">
        <f>IFERROR(VLOOKUP(I1988,'Mã NV'!$J:$K,2,0),"")</f>
        <v>2.5T</v>
      </c>
    </row>
    <row r="1989" customHeight="1" spans="1:17">
      <c r="A1989" s="63">
        <f t="shared" si="125"/>
        <v>1981</v>
      </c>
      <c r="B1989" s="64">
        <v>46157</v>
      </c>
      <c r="D1989" s="66" t="s">
        <v>58</v>
      </c>
      <c r="E1989" s="66" t="s">
        <v>58</v>
      </c>
      <c r="F1989" s="66" t="s">
        <v>985</v>
      </c>
      <c r="G1989" s="66" t="s">
        <v>1076</v>
      </c>
      <c r="H1989" s="66" t="s">
        <v>1099</v>
      </c>
      <c r="I1989" s="66" t="s">
        <v>403</v>
      </c>
      <c r="J1989" s="66" t="s">
        <v>401</v>
      </c>
      <c r="K1989" s="66" t="s">
        <v>747</v>
      </c>
      <c r="L1989" s="67">
        <v>170841</v>
      </c>
      <c r="M1989" s="67">
        <v>0</v>
      </c>
      <c r="N1989" s="68">
        <f t="shared" si="127"/>
        <v>170841</v>
      </c>
      <c r="O1989" s="69">
        <f t="shared" si="126"/>
        <v>170841</v>
      </c>
      <c r="P1989" s="42" t="str">
        <f>IFERROR(VLOOKUP(J1989,'Mã NV'!$B:$C,2,0),"")</f>
        <v>XE01466</v>
      </c>
      <c r="Q1989" s="70" t="str">
        <f>IFERROR(VLOOKUP(I1989,'Mã NV'!$J:$K,2,0),"")</f>
        <v>3.5T</v>
      </c>
    </row>
    <row r="1990" customHeight="1" spans="1:17">
      <c r="A1990" s="63">
        <f t="shared" si="125"/>
        <v>1982</v>
      </c>
      <c r="B1990" s="64">
        <v>46157</v>
      </c>
      <c r="D1990" s="66" t="s">
        <v>58</v>
      </c>
      <c r="E1990" s="66" t="s">
        <v>58</v>
      </c>
      <c r="F1990" s="66" t="s">
        <v>985</v>
      </c>
      <c r="G1990" s="66" t="s">
        <v>1076</v>
      </c>
      <c r="H1990" s="66" t="s">
        <v>1100</v>
      </c>
      <c r="I1990" s="66" t="s">
        <v>403</v>
      </c>
      <c r="J1990" s="66" t="s">
        <v>401</v>
      </c>
      <c r="K1990" s="66" t="s">
        <v>747</v>
      </c>
      <c r="L1990" s="67">
        <v>359802</v>
      </c>
      <c r="M1990" s="67">
        <v>0</v>
      </c>
      <c r="N1990" s="68">
        <f t="shared" si="127"/>
        <v>359802</v>
      </c>
      <c r="O1990" s="69">
        <f t="shared" si="126"/>
        <v>359802</v>
      </c>
      <c r="P1990" s="42" t="str">
        <f>IFERROR(VLOOKUP(J1990,'Mã NV'!$B:$C,2,0),"")</f>
        <v>XE01466</v>
      </c>
      <c r="Q1990" s="70" t="str">
        <f>IFERROR(VLOOKUP(I1990,'Mã NV'!$J:$K,2,0),"")</f>
        <v>3.5T</v>
      </c>
    </row>
    <row r="1991" customHeight="1" spans="1:17">
      <c r="A1991" s="63">
        <f t="shared" si="125"/>
        <v>1983</v>
      </c>
      <c r="B1991" s="64">
        <v>46157</v>
      </c>
      <c r="D1991" s="66" t="s">
        <v>58</v>
      </c>
      <c r="E1991" s="66" t="s">
        <v>58</v>
      </c>
      <c r="F1991" s="66" t="s">
        <v>985</v>
      </c>
      <c r="G1991" s="66" t="s">
        <v>1076</v>
      </c>
      <c r="H1991" s="66" t="s">
        <v>1095</v>
      </c>
      <c r="I1991" s="66" t="s">
        <v>403</v>
      </c>
      <c r="J1991" s="66" t="s">
        <v>401</v>
      </c>
      <c r="K1991" s="66" t="s">
        <v>747</v>
      </c>
      <c r="L1991" s="67">
        <v>310620</v>
      </c>
      <c r="M1991" s="67">
        <v>0</v>
      </c>
      <c r="N1991" s="68">
        <f t="shared" si="127"/>
        <v>310620</v>
      </c>
      <c r="O1991" s="69">
        <f t="shared" si="126"/>
        <v>310620</v>
      </c>
      <c r="P1991" s="42" t="str">
        <f>IFERROR(VLOOKUP(J1991,'Mã NV'!$B:$C,2,0),"")</f>
        <v>XE01466</v>
      </c>
      <c r="Q1991" s="70" t="str">
        <f>IFERROR(VLOOKUP(I1991,'Mã NV'!$J:$K,2,0),"")</f>
        <v>3.5T</v>
      </c>
    </row>
    <row r="1992" customHeight="1" spans="1:17">
      <c r="A1992" s="63">
        <f t="shared" si="125"/>
        <v>1984</v>
      </c>
      <c r="B1992" s="64">
        <v>46157</v>
      </c>
      <c r="D1992" s="66" t="s">
        <v>58</v>
      </c>
      <c r="E1992" s="66" t="s">
        <v>58</v>
      </c>
      <c r="F1992" s="66" t="s">
        <v>985</v>
      </c>
      <c r="G1992" s="66" t="s">
        <v>1076</v>
      </c>
      <c r="H1992" s="66" t="s">
        <v>1094</v>
      </c>
      <c r="I1992" s="66" t="s">
        <v>403</v>
      </c>
      <c r="J1992" s="66" t="s">
        <v>401</v>
      </c>
      <c r="K1992" s="66" t="s">
        <v>747</v>
      </c>
      <c r="L1992" s="67">
        <v>121660</v>
      </c>
      <c r="M1992" s="67">
        <v>0</v>
      </c>
      <c r="N1992" s="68">
        <f t="shared" si="127"/>
        <v>121660</v>
      </c>
      <c r="O1992" s="69">
        <f t="shared" si="126"/>
        <v>121660</v>
      </c>
      <c r="P1992" s="42" t="str">
        <f>IFERROR(VLOOKUP(J1992,'Mã NV'!$B:$C,2,0),"")</f>
        <v>XE01466</v>
      </c>
      <c r="Q1992" s="70" t="str">
        <f>IFERROR(VLOOKUP(I1992,'Mã NV'!$J:$K,2,0),"")</f>
        <v>3.5T</v>
      </c>
    </row>
    <row r="1993" customHeight="1" spans="1:17">
      <c r="A1993" s="63">
        <f t="shared" si="125"/>
        <v>1985</v>
      </c>
      <c r="B1993" s="64">
        <v>46158</v>
      </c>
      <c r="D1993" s="66" t="s">
        <v>58</v>
      </c>
      <c r="E1993" s="66" t="s">
        <v>58</v>
      </c>
      <c r="F1993" s="66" t="s">
        <v>985</v>
      </c>
      <c r="G1993" s="66" t="s">
        <v>1076</v>
      </c>
      <c r="H1993" s="66" t="s">
        <v>1111</v>
      </c>
      <c r="I1993" s="66" t="s">
        <v>57</v>
      </c>
      <c r="J1993" s="66" t="s">
        <v>55</v>
      </c>
      <c r="K1993" s="66" t="s">
        <v>747</v>
      </c>
      <c r="L1993" s="67">
        <v>1056108</v>
      </c>
      <c r="M1993" s="67">
        <v>0</v>
      </c>
      <c r="N1993" s="68">
        <f t="shared" si="127"/>
        <v>1056108</v>
      </c>
      <c r="O1993" s="69">
        <f t="shared" si="126"/>
        <v>1056108</v>
      </c>
      <c r="P1993" s="42" t="str">
        <f>IFERROR(VLOOKUP(J1993,'Mã NV'!$B:$C,2,0),"")</f>
        <v>XE00768</v>
      </c>
      <c r="Q1993" s="70" t="str">
        <f>IFERROR(VLOOKUP(I1993,'Mã NV'!$J:$K,2,0),"")</f>
        <v>2.5T</v>
      </c>
    </row>
    <row r="1994" customHeight="1" spans="1:17">
      <c r="A1994" s="63">
        <f t="shared" si="125"/>
        <v>1986</v>
      </c>
      <c r="B1994" s="64">
        <v>46158</v>
      </c>
      <c r="D1994" s="66" t="s">
        <v>58</v>
      </c>
      <c r="E1994" s="66" t="s">
        <v>58</v>
      </c>
      <c r="F1994" s="66" t="s">
        <v>985</v>
      </c>
      <c r="G1994" s="66" t="s">
        <v>1076</v>
      </c>
      <c r="H1994" s="66" t="s">
        <v>1080</v>
      </c>
      <c r="I1994" s="66" t="s">
        <v>403</v>
      </c>
      <c r="J1994" s="66" t="s">
        <v>401</v>
      </c>
      <c r="K1994" s="66" t="s">
        <v>747</v>
      </c>
      <c r="L1994" s="67">
        <v>385687</v>
      </c>
      <c r="M1994" s="67">
        <v>0</v>
      </c>
      <c r="N1994" s="68">
        <f t="shared" si="127"/>
        <v>385687</v>
      </c>
      <c r="O1994" s="69">
        <f t="shared" si="126"/>
        <v>385687</v>
      </c>
      <c r="P1994" s="42" t="str">
        <f>IFERROR(VLOOKUP(J1994,'Mã NV'!$B:$C,2,0),"")</f>
        <v>XE01466</v>
      </c>
      <c r="Q1994" s="70" t="str">
        <f>IFERROR(VLOOKUP(I1994,'Mã NV'!$J:$K,2,0),"")</f>
        <v>3.5T</v>
      </c>
    </row>
    <row r="1995" customHeight="1" spans="1:17">
      <c r="A1995" s="63">
        <f t="shared" si="125"/>
        <v>1987</v>
      </c>
      <c r="B1995" s="64">
        <v>46158</v>
      </c>
      <c r="D1995" s="66" t="s">
        <v>58</v>
      </c>
      <c r="E1995" s="66" t="s">
        <v>58</v>
      </c>
      <c r="F1995" s="66" t="s">
        <v>985</v>
      </c>
      <c r="G1995" s="66" t="s">
        <v>1076</v>
      </c>
      <c r="H1995" s="66" t="s">
        <v>1081</v>
      </c>
      <c r="I1995" s="66" t="s">
        <v>403</v>
      </c>
      <c r="J1995" s="66" t="s">
        <v>401</v>
      </c>
      <c r="K1995" s="66" t="s">
        <v>747</v>
      </c>
      <c r="L1995" s="67">
        <v>398629</v>
      </c>
      <c r="M1995" s="67">
        <v>0</v>
      </c>
      <c r="N1995" s="68">
        <f t="shared" si="127"/>
        <v>398629</v>
      </c>
      <c r="O1995" s="69">
        <f t="shared" si="126"/>
        <v>398629</v>
      </c>
      <c r="P1995" s="42" t="str">
        <f>IFERROR(VLOOKUP(J1995,'Mã NV'!$B:$C,2,0),"")</f>
        <v>XE01466</v>
      </c>
      <c r="Q1995" s="70" t="str">
        <f>IFERROR(VLOOKUP(I1995,'Mã NV'!$J:$K,2,0),"")</f>
        <v>3.5T</v>
      </c>
    </row>
    <row r="1996" customHeight="1" spans="1:17">
      <c r="A1996" s="63">
        <f t="shared" si="125"/>
        <v>1988</v>
      </c>
      <c r="B1996" s="64">
        <v>46158</v>
      </c>
      <c r="D1996" s="66" t="s">
        <v>58</v>
      </c>
      <c r="E1996" s="66" t="s">
        <v>58</v>
      </c>
      <c r="F1996" s="66" t="s">
        <v>985</v>
      </c>
      <c r="G1996" s="66" t="s">
        <v>1076</v>
      </c>
      <c r="H1996" s="66" t="s">
        <v>1082</v>
      </c>
      <c r="I1996" s="66" t="s">
        <v>403</v>
      </c>
      <c r="J1996" s="66" t="s">
        <v>401</v>
      </c>
      <c r="K1996" s="66" t="s">
        <v>747</v>
      </c>
      <c r="L1996" s="67">
        <v>292501</v>
      </c>
      <c r="M1996" s="67">
        <v>0</v>
      </c>
      <c r="N1996" s="68">
        <f t="shared" si="127"/>
        <v>292501</v>
      </c>
      <c r="O1996" s="69">
        <f t="shared" si="126"/>
        <v>292501</v>
      </c>
      <c r="P1996" s="42" t="str">
        <f>IFERROR(VLOOKUP(J1996,'Mã NV'!$B:$C,2,0),"")</f>
        <v>XE01466</v>
      </c>
      <c r="Q1996" s="70" t="str">
        <f>IFERROR(VLOOKUP(I1996,'Mã NV'!$J:$K,2,0),"")</f>
        <v>3.5T</v>
      </c>
    </row>
    <row r="1997" customHeight="1" spans="1:17">
      <c r="A1997" s="63">
        <f t="shared" si="125"/>
        <v>1989</v>
      </c>
      <c r="B1997" s="64">
        <v>46158</v>
      </c>
      <c r="D1997" s="66" t="s">
        <v>58</v>
      </c>
      <c r="E1997" s="66" t="s">
        <v>58</v>
      </c>
      <c r="F1997" s="66" t="s">
        <v>985</v>
      </c>
      <c r="G1997" s="66" t="s">
        <v>1076</v>
      </c>
      <c r="H1997" s="66" t="s">
        <v>1079</v>
      </c>
      <c r="I1997" s="66" t="s">
        <v>403</v>
      </c>
      <c r="J1997" s="66" t="s">
        <v>401</v>
      </c>
      <c r="K1997" s="66" t="s">
        <v>747</v>
      </c>
      <c r="L1997" s="67">
        <v>240731</v>
      </c>
      <c r="M1997" s="67">
        <v>0</v>
      </c>
      <c r="N1997" s="68">
        <f t="shared" si="127"/>
        <v>240731</v>
      </c>
      <c r="O1997" s="69">
        <f t="shared" si="126"/>
        <v>240731</v>
      </c>
      <c r="P1997" s="42" t="str">
        <f>IFERROR(VLOOKUP(J1997,'Mã NV'!$B:$C,2,0),"")</f>
        <v>XE01466</v>
      </c>
      <c r="Q1997" s="70" t="str">
        <f>IFERROR(VLOOKUP(I1997,'Mã NV'!$J:$K,2,0),"")</f>
        <v>3.5T</v>
      </c>
    </row>
    <row r="1998" customHeight="1" spans="1:17">
      <c r="A1998" s="63">
        <f t="shared" si="125"/>
        <v>1990</v>
      </c>
      <c r="B1998" s="64">
        <v>46158</v>
      </c>
      <c r="D1998" s="66" t="s">
        <v>58</v>
      </c>
      <c r="E1998" s="66" t="s">
        <v>58</v>
      </c>
      <c r="F1998" s="66" t="s">
        <v>985</v>
      </c>
      <c r="G1998" s="66" t="s">
        <v>1076</v>
      </c>
      <c r="H1998" s="66" t="s">
        <v>1106</v>
      </c>
      <c r="I1998" s="66" t="s">
        <v>323</v>
      </c>
      <c r="J1998" s="66" t="s">
        <v>321</v>
      </c>
      <c r="K1998" s="66" t="s">
        <v>747</v>
      </c>
      <c r="L1998" s="67">
        <v>561705</v>
      </c>
      <c r="M1998" s="67">
        <v>0</v>
      </c>
      <c r="N1998" s="68">
        <f t="shared" si="127"/>
        <v>561705</v>
      </c>
      <c r="O1998" s="69">
        <f t="shared" si="126"/>
        <v>561705</v>
      </c>
      <c r="P1998" s="42" t="str">
        <f>IFERROR(VLOOKUP(J1998,'Mã NV'!$B:$C,2,0),"")</f>
        <v>XE01537</v>
      </c>
      <c r="Q1998" s="70" t="str">
        <f>IFERROR(VLOOKUP(I1998,'Mã NV'!$J:$K,2,0),"")</f>
        <v>2.5T</v>
      </c>
    </row>
    <row r="1999" customHeight="1" spans="1:17">
      <c r="A1999" s="63">
        <f t="shared" si="125"/>
        <v>1991</v>
      </c>
      <c r="B1999" s="64">
        <v>46158</v>
      </c>
      <c r="D1999" s="66" t="s">
        <v>58</v>
      </c>
      <c r="E1999" s="66" t="s">
        <v>58</v>
      </c>
      <c r="F1999" s="66" t="s">
        <v>985</v>
      </c>
      <c r="G1999" s="66" t="s">
        <v>1076</v>
      </c>
      <c r="H1999" s="66" t="s">
        <v>1083</v>
      </c>
      <c r="I1999" s="66" t="s">
        <v>323</v>
      </c>
      <c r="J1999" s="66" t="s">
        <v>321</v>
      </c>
      <c r="K1999" s="66" t="s">
        <v>747</v>
      </c>
      <c r="L1999" s="67">
        <v>230377</v>
      </c>
      <c r="M1999" s="67">
        <v>0</v>
      </c>
      <c r="N1999" s="68">
        <f t="shared" si="127"/>
        <v>230377</v>
      </c>
      <c r="O1999" s="69">
        <f t="shared" si="126"/>
        <v>230377</v>
      </c>
      <c r="P1999" s="42" t="str">
        <f>IFERROR(VLOOKUP(J1999,'Mã NV'!$B:$C,2,0),"")</f>
        <v>XE01537</v>
      </c>
      <c r="Q1999" s="70" t="str">
        <f>IFERROR(VLOOKUP(I1999,'Mã NV'!$J:$K,2,0),"")</f>
        <v>2.5T</v>
      </c>
    </row>
    <row r="2000" customHeight="1" spans="1:17">
      <c r="A2000" s="63">
        <f t="shared" si="125"/>
        <v>1992</v>
      </c>
      <c r="B2000" s="64">
        <v>46158</v>
      </c>
      <c r="D2000" s="66" t="s">
        <v>58</v>
      </c>
      <c r="E2000" s="66" t="s">
        <v>58</v>
      </c>
      <c r="F2000" s="66" t="s">
        <v>985</v>
      </c>
      <c r="G2000" s="66" t="s">
        <v>1076</v>
      </c>
      <c r="H2000" s="66" t="s">
        <v>1087</v>
      </c>
      <c r="I2000" s="66" t="s">
        <v>323</v>
      </c>
      <c r="J2000" s="66" t="s">
        <v>321</v>
      </c>
      <c r="K2000" s="66" t="s">
        <v>747</v>
      </c>
      <c r="L2000" s="67">
        <v>243319</v>
      </c>
      <c r="M2000" s="67">
        <v>0</v>
      </c>
      <c r="N2000" s="68">
        <f t="shared" si="127"/>
        <v>243319</v>
      </c>
      <c r="O2000" s="69">
        <f t="shared" si="126"/>
        <v>243319</v>
      </c>
      <c r="P2000" s="42" t="str">
        <f>IFERROR(VLOOKUP(J2000,'Mã NV'!$B:$C,2,0),"")</f>
        <v>XE01537</v>
      </c>
      <c r="Q2000" s="70" t="str">
        <f>IFERROR(VLOOKUP(I2000,'Mã NV'!$J:$K,2,0),"")</f>
        <v>2.5T</v>
      </c>
    </row>
    <row r="2001" customHeight="1" spans="1:17">
      <c r="A2001" s="63">
        <f t="shared" ref="A2001:A2064" si="128">A2000+1</f>
        <v>1993</v>
      </c>
      <c r="B2001" s="64">
        <v>46158</v>
      </c>
      <c r="D2001" s="66" t="s">
        <v>58</v>
      </c>
      <c r="E2001" s="66" t="s">
        <v>58</v>
      </c>
      <c r="F2001" s="66" t="s">
        <v>985</v>
      </c>
      <c r="G2001" s="66" t="s">
        <v>1076</v>
      </c>
      <c r="H2001" s="66" t="s">
        <v>1102</v>
      </c>
      <c r="I2001" s="66" t="s">
        <v>134</v>
      </c>
      <c r="J2001" s="66" t="s">
        <v>359</v>
      </c>
      <c r="K2001" s="66" t="s">
        <v>747</v>
      </c>
      <c r="L2001" s="67">
        <v>230377</v>
      </c>
      <c r="M2001" s="67">
        <v>0</v>
      </c>
      <c r="N2001" s="68">
        <f t="shared" si="127"/>
        <v>230377</v>
      </c>
      <c r="O2001" s="69">
        <f t="shared" si="126"/>
        <v>230377</v>
      </c>
      <c r="P2001" s="42" t="str">
        <f>IFERROR(VLOOKUP(J2001,'Mã NV'!$B:$C,2,0),"")</f>
        <v>XE01639</v>
      </c>
      <c r="Q2001" s="70" t="str">
        <f>IFERROR(VLOOKUP(I2001,'Mã NV'!$J:$K,2,0),"")</f>
        <v>2.5T Lạnh</v>
      </c>
    </row>
    <row r="2002" customHeight="1" spans="1:17">
      <c r="A2002" s="63">
        <f t="shared" si="128"/>
        <v>1994</v>
      </c>
      <c r="B2002" s="64">
        <v>46158</v>
      </c>
      <c r="D2002" s="66" t="s">
        <v>58</v>
      </c>
      <c r="E2002" s="66" t="s">
        <v>58</v>
      </c>
      <c r="F2002" s="66" t="s">
        <v>985</v>
      </c>
      <c r="G2002" s="66" t="s">
        <v>1076</v>
      </c>
      <c r="H2002" s="66" t="s">
        <v>1103</v>
      </c>
      <c r="I2002" s="66" t="s">
        <v>134</v>
      </c>
      <c r="J2002" s="66" t="s">
        <v>359</v>
      </c>
      <c r="K2002" s="66" t="s">
        <v>747</v>
      </c>
      <c r="L2002" s="67">
        <v>155310</v>
      </c>
      <c r="M2002" s="67">
        <v>0</v>
      </c>
      <c r="N2002" s="68">
        <f t="shared" si="127"/>
        <v>155310</v>
      </c>
      <c r="O2002" s="69">
        <f t="shared" si="126"/>
        <v>155310</v>
      </c>
      <c r="P2002" s="42" t="str">
        <f>IFERROR(VLOOKUP(J2002,'Mã NV'!$B:$C,2,0),"")</f>
        <v>XE01639</v>
      </c>
      <c r="Q2002" s="70" t="str">
        <f>IFERROR(VLOOKUP(I2002,'Mã NV'!$J:$K,2,0),"")</f>
        <v>2.5T Lạnh</v>
      </c>
    </row>
    <row r="2003" customHeight="1" spans="1:17">
      <c r="A2003" s="63">
        <f t="shared" si="128"/>
        <v>1995</v>
      </c>
      <c r="B2003" s="64">
        <v>46158</v>
      </c>
      <c r="D2003" s="66" t="s">
        <v>58</v>
      </c>
      <c r="E2003" s="66" t="s">
        <v>58</v>
      </c>
      <c r="F2003" s="66" t="s">
        <v>985</v>
      </c>
      <c r="G2003" s="66" t="s">
        <v>1076</v>
      </c>
      <c r="H2003" s="66" t="s">
        <v>1104</v>
      </c>
      <c r="I2003" s="66" t="s">
        <v>134</v>
      </c>
      <c r="J2003" s="66" t="s">
        <v>359</v>
      </c>
      <c r="K2003" s="66" t="s">
        <v>747</v>
      </c>
      <c r="L2003" s="67">
        <v>297678</v>
      </c>
      <c r="M2003" s="67">
        <v>0</v>
      </c>
      <c r="N2003" s="68">
        <f t="shared" si="127"/>
        <v>297678</v>
      </c>
      <c r="O2003" s="69">
        <f t="shared" si="126"/>
        <v>297678</v>
      </c>
      <c r="P2003" s="42" t="str">
        <f>IFERROR(VLOOKUP(J2003,'Mã NV'!$B:$C,2,0),"")</f>
        <v>XE01639</v>
      </c>
      <c r="Q2003" s="70" t="str">
        <f>IFERROR(VLOOKUP(I2003,'Mã NV'!$J:$K,2,0),"")</f>
        <v>2.5T Lạnh</v>
      </c>
    </row>
    <row r="2004" customHeight="1" spans="1:17">
      <c r="A2004" s="63">
        <f t="shared" si="128"/>
        <v>1996</v>
      </c>
      <c r="B2004" s="64">
        <v>46158</v>
      </c>
      <c r="D2004" s="66" t="s">
        <v>58</v>
      </c>
      <c r="E2004" s="66" t="s">
        <v>58</v>
      </c>
      <c r="F2004" s="66" t="s">
        <v>985</v>
      </c>
      <c r="G2004" s="66" t="s">
        <v>1076</v>
      </c>
      <c r="H2004" s="66" t="s">
        <v>1084</v>
      </c>
      <c r="I2004" s="66" t="s">
        <v>134</v>
      </c>
      <c r="J2004" s="66" t="s">
        <v>359</v>
      </c>
      <c r="K2004" s="66" t="s">
        <v>747</v>
      </c>
      <c r="L2004" s="67">
        <v>235554</v>
      </c>
      <c r="M2004" s="67">
        <v>0</v>
      </c>
      <c r="N2004" s="68">
        <f t="shared" si="127"/>
        <v>235554</v>
      </c>
      <c r="O2004" s="69">
        <f t="shared" si="126"/>
        <v>235554</v>
      </c>
      <c r="P2004" s="42" t="str">
        <f>IFERROR(VLOOKUP(J2004,'Mã NV'!$B:$C,2,0),"")</f>
        <v>XE01639</v>
      </c>
      <c r="Q2004" s="70" t="str">
        <f>IFERROR(VLOOKUP(I2004,'Mã NV'!$J:$K,2,0),"")</f>
        <v>2.5T Lạnh</v>
      </c>
    </row>
    <row r="2005" customHeight="1" spans="1:17">
      <c r="A2005" s="63">
        <f t="shared" si="128"/>
        <v>1997</v>
      </c>
      <c r="B2005" s="64">
        <v>46158</v>
      </c>
      <c r="D2005" s="66" t="s">
        <v>58</v>
      </c>
      <c r="E2005" s="66" t="s">
        <v>58</v>
      </c>
      <c r="F2005" s="66" t="s">
        <v>985</v>
      </c>
      <c r="G2005" s="66" t="s">
        <v>1076</v>
      </c>
      <c r="H2005" s="66" t="s">
        <v>1089</v>
      </c>
      <c r="I2005" s="66" t="s">
        <v>154</v>
      </c>
      <c r="J2005" s="66" t="s">
        <v>152</v>
      </c>
      <c r="K2005" s="66" t="s">
        <v>747</v>
      </c>
      <c r="L2005" s="67">
        <v>289912</v>
      </c>
      <c r="M2005" s="67">
        <v>0</v>
      </c>
      <c r="N2005" s="68">
        <f t="shared" si="127"/>
        <v>289912</v>
      </c>
      <c r="O2005" s="69">
        <f t="shared" si="126"/>
        <v>289912</v>
      </c>
      <c r="P2005" s="42" t="str">
        <f>IFERROR(VLOOKUP(J2005,'Mã NV'!$B:$C,2,0),"")</f>
        <v>XE00730</v>
      </c>
      <c r="Q2005" s="70" t="str">
        <f>IFERROR(VLOOKUP(I2005,'Mã NV'!$J:$K,2,0),"")</f>
        <v> 3T5 Lạnh </v>
      </c>
    </row>
    <row r="2006" customHeight="1" spans="1:17">
      <c r="A2006" s="63">
        <f t="shared" si="128"/>
        <v>1998</v>
      </c>
      <c r="B2006" s="64">
        <v>46158</v>
      </c>
      <c r="D2006" s="66" t="s">
        <v>58</v>
      </c>
      <c r="E2006" s="66" t="s">
        <v>58</v>
      </c>
      <c r="F2006" s="66" t="s">
        <v>985</v>
      </c>
      <c r="G2006" s="66" t="s">
        <v>1076</v>
      </c>
      <c r="H2006" s="66" t="s">
        <v>1098</v>
      </c>
      <c r="I2006" s="66" t="s">
        <v>154</v>
      </c>
      <c r="J2006" s="66" t="s">
        <v>152</v>
      </c>
      <c r="K2006" s="66" t="s">
        <v>747</v>
      </c>
      <c r="L2006" s="67">
        <v>160487</v>
      </c>
      <c r="M2006" s="67">
        <v>0</v>
      </c>
      <c r="N2006" s="68">
        <f t="shared" si="127"/>
        <v>160487</v>
      </c>
      <c r="O2006" s="69">
        <f t="shared" si="126"/>
        <v>160487</v>
      </c>
      <c r="P2006" s="42" t="str">
        <f>IFERROR(VLOOKUP(J2006,'Mã NV'!$B:$C,2,0),"")</f>
        <v>XE00730</v>
      </c>
      <c r="Q2006" s="70" t="str">
        <f>IFERROR(VLOOKUP(I2006,'Mã NV'!$J:$K,2,0),"")</f>
        <v> 3T5 Lạnh </v>
      </c>
    </row>
    <row r="2007" customHeight="1" spans="1:17">
      <c r="A2007" s="63">
        <f t="shared" si="128"/>
        <v>1999</v>
      </c>
      <c r="B2007" s="64">
        <v>46158</v>
      </c>
      <c r="D2007" s="66" t="s">
        <v>58</v>
      </c>
      <c r="E2007" s="66" t="s">
        <v>58</v>
      </c>
      <c r="F2007" s="66" t="s">
        <v>985</v>
      </c>
      <c r="G2007" s="66" t="s">
        <v>1076</v>
      </c>
      <c r="H2007" s="66" t="s">
        <v>1088</v>
      </c>
      <c r="I2007" s="66" t="s">
        <v>154</v>
      </c>
      <c r="J2007" s="66" t="s">
        <v>152</v>
      </c>
      <c r="K2007" s="66" t="s">
        <v>747</v>
      </c>
      <c r="L2007" s="67">
        <v>284735</v>
      </c>
      <c r="M2007" s="67">
        <v>0</v>
      </c>
      <c r="N2007" s="68">
        <f t="shared" si="127"/>
        <v>284735</v>
      </c>
      <c r="O2007" s="69">
        <f t="shared" si="126"/>
        <v>284735</v>
      </c>
      <c r="P2007" s="42" t="str">
        <f>IFERROR(VLOOKUP(J2007,'Mã NV'!$B:$C,2,0),"")</f>
        <v>XE00730</v>
      </c>
      <c r="Q2007" s="70" t="str">
        <f>IFERROR(VLOOKUP(I2007,'Mã NV'!$J:$K,2,0),"")</f>
        <v> 3T5 Lạnh </v>
      </c>
    </row>
    <row r="2008" customHeight="1" spans="1:17">
      <c r="A2008" s="63">
        <f t="shared" si="128"/>
        <v>2000</v>
      </c>
      <c r="B2008" s="64">
        <v>46158</v>
      </c>
      <c r="D2008" s="66" t="s">
        <v>58</v>
      </c>
      <c r="E2008" s="66" t="s">
        <v>58</v>
      </c>
      <c r="F2008" s="66" t="s">
        <v>985</v>
      </c>
      <c r="G2008" s="66" t="s">
        <v>1076</v>
      </c>
      <c r="H2008" s="66" t="s">
        <v>1093</v>
      </c>
      <c r="I2008" s="66" t="s">
        <v>57</v>
      </c>
      <c r="J2008" s="66" t="s">
        <v>55</v>
      </c>
      <c r="K2008" s="66" t="s">
        <v>747</v>
      </c>
      <c r="L2008" s="67">
        <v>243319</v>
      </c>
      <c r="M2008" s="67">
        <v>0</v>
      </c>
      <c r="N2008" s="68">
        <f t="shared" si="127"/>
        <v>243319</v>
      </c>
      <c r="O2008" s="69">
        <f t="shared" si="126"/>
        <v>243319</v>
      </c>
      <c r="P2008" s="42" t="str">
        <f>IFERROR(VLOOKUP(J2008,'Mã NV'!$B:$C,2,0),"")</f>
        <v>XE00768</v>
      </c>
      <c r="Q2008" s="70" t="str">
        <f>IFERROR(VLOOKUP(I2008,'Mã NV'!$J:$K,2,0),"")</f>
        <v>2.5T</v>
      </c>
    </row>
    <row r="2009" customHeight="1" spans="1:17">
      <c r="A2009" s="63">
        <f t="shared" si="128"/>
        <v>2001</v>
      </c>
      <c r="B2009" s="64">
        <v>46158</v>
      </c>
      <c r="D2009" s="66" t="s">
        <v>58</v>
      </c>
      <c r="E2009" s="66" t="s">
        <v>58</v>
      </c>
      <c r="F2009" s="66" t="s">
        <v>985</v>
      </c>
      <c r="G2009" s="66" t="s">
        <v>1076</v>
      </c>
      <c r="H2009" s="66" t="s">
        <v>1091</v>
      </c>
      <c r="I2009" s="66" t="s">
        <v>57</v>
      </c>
      <c r="J2009" s="66" t="s">
        <v>55</v>
      </c>
      <c r="K2009" s="66" t="s">
        <v>747</v>
      </c>
      <c r="L2009" s="67">
        <v>243319</v>
      </c>
      <c r="M2009" s="67">
        <v>0</v>
      </c>
      <c r="N2009" s="68">
        <f t="shared" si="127"/>
        <v>243319</v>
      </c>
      <c r="O2009" s="69">
        <f t="shared" si="126"/>
        <v>243319</v>
      </c>
      <c r="P2009" s="42" t="str">
        <f>IFERROR(VLOOKUP(J2009,'Mã NV'!$B:$C,2,0),"")</f>
        <v>XE00768</v>
      </c>
      <c r="Q2009" s="70" t="str">
        <f>IFERROR(VLOOKUP(I2009,'Mã NV'!$J:$K,2,0),"")</f>
        <v>2.5T</v>
      </c>
    </row>
    <row r="2010" customHeight="1" spans="1:17">
      <c r="A2010" s="63">
        <f t="shared" si="128"/>
        <v>2002</v>
      </c>
      <c r="B2010" s="64">
        <v>46158</v>
      </c>
      <c r="D2010" s="66" t="s">
        <v>58</v>
      </c>
      <c r="E2010" s="66" t="s">
        <v>58</v>
      </c>
      <c r="F2010" s="66" t="s">
        <v>985</v>
      </c>
      <c r="G2010" s="66" t="s">
        <v>1076</v>
      </c>
      <c r="H2010" s="66" t="s">
        <v>1096</v>
      </c>
      <c r="I2010" s="66" t="s">
        <v>57</v>
      </c>
      <c r="J2010" s="66" t="s">
        <v>55</v>
      </c>
      <c r="K2010" s="66" t="s">
        <v>747</v>
      </c>
      <c r="L2010" s="67">
        <v>214846</v>
      </c>
      <c r="M2010" s="67">
        <v>0</v>
      </c>
      <c r="N2010" s="68">
        <f t="shared" si="127"/>
        <v>214846</v>
      </c>
      <c r="O2010" s="69">
        <f t="shared" si="126"/>
        <v>214846</v>
      </c>
      <c r="P2010" s="42" t="str">
        <f>IFERROR(VLOOKUP(J2010,'Mã NV'!$B:$C,2,0),"")</f>
        <v>XE00768</v>
      </c>
      <c r="Q2010" s="70" t="str">
        <f>IFERROR(VLOOKUP(I2010,'Mã NV'!$J:$K,2,0),"")</f>
        <v>2.5T</v>
      </c>
    </row>
    <row r="2011" customHeight="1" spans="1:17">
      <c r="A2011" s="63">
        <f t="shared" si="128"/>
        <v>2003</v>
      </c>
      <c r="B2011" s="64">
        <v>46158</v>
      </c>
      <c r="D2011" s="66" t="s">
        <v>58</v>
      </c>
      <c r="E2011" s="66" t="s">
        <v>58</v>
      </c>
      <c r="F2011" s="66" t="s">
        <v>985</v>
      </c>
      <c r="G2011" s="66" t="s">
        <v>1076</v>
      </c>
      <c r="H2011" s="66" t="s">
        <v>1097</v>
      </c>
      <c r="I2011" s="66" t="s">
        <v>57</v>
      </c>
      <c r="J2011" s="66" t="s">
        <v>55</v>
      </c>
      <c r="K2011" s="66" t="s">
        <v>747</v>
      </c>
      <c r="L2011" s="67">
        <v>261439</v>
      </c>
      <c r="M2011" s="67">
        <v>0</v>
      </c>
      <c r="N2011" s="68">
        <f t="shared" si="127"/>
        <v>261439</v>
      </c>
      <c r="O2011" s="69">
        <f t="shared" si="126"/>
        <v>261439</v>
      </c>
      <c r="P2011" s="42" t="str">
        <f>IFERROR(VLOOKUP(J2011,'Mã NV'!$B:$C,2,0),"")</f>
        <v>XE00768</v>
      </c>
      <c r="Q2011" s="70" t="str">
        <f>IFERROR(VLOOKUP(I2011,'Mã NV'!$J:$K,2,0),"")</f>
        <v>2.5T</v>
      </c>
    </row>
    <row r="2012" customHeight="1" spans="1:17">
      <c r="A2012" s="63">
        <f t="shared" si="128"/>
        <v>2004</v>
      </c>
      <c r="B2012" s="64">
        <v>46158</v>
      </c>
      <c r="D2012" s="66" t="s">
        <v>58</v>
      </c>
      <c r="E2012" s="66" t="s">
        <v>58</v>
      </c>
      <c r="F2012" s="66" t="s">
        <v>985</v>
      </c>
      <c r="G2012" s="66" t="s">
        <v>1076</v>
      </c>
      <c r="H2012" s="66" t="s">
        <v>1099</v>
      </c>
      <c r="I2012" s="66" t="s">
        <v>403</v>
      </c>
      <c r="J2012" s="66" t="s">
        <v>401</v>
      </c>
      <c r="K2012" s="66" t="s">
        <v>747</v>
      </c>
      <c r="L2012" s="67">
        <v>176018</v>
      </c>
      <c r="M2012" s="67">
        <v>0</v>
      </c>
      <c r="N2012" s="68">
        <f t="shared" si="127"/>
        <v>176018</v>
      </c>
      <c r="O2012" s="69">
        <f t="shared" si="126"/>
        <v>176018</v>
      </c>
      <c r="P2012" s="42" t="str">
        <f>IFERROR(VLOOKUP(J2012,'Mã NV'!$B:$C,2,0),"")</f>
        <v>XE01466</v>
      </c>
      <c r="Q2012" s="70" t="str">
        <f>IFERROR(VLOOKUP(I2012,'Mã NV'!$J:$K,2,0),"")</f>
        <v>3.5T</v>
      </c>
    </row>
    <row r="2013" customHeight="1" spans="1:17">
      <c r="A2013" s="63">
        <f t="shared" si="128"/>
        <v>2005</v>
      </c>
      <c r="B2013" s="64">
        <v>46158</v>
      </c>
      <c r="D2013" s="66" t="s">
        <v>58</v>
      </c>
      <c r="E2013" s="66" t="s">
        <v>58</v>
      </c>
      <c r="F2013" s="66" t="s">
        <v>985</v>
      </c>
      <c r="G2013" s="66" t="s">
        <v>1076</v>
      </c>
      <c r="H2013" s="66" t="s">
        <v>1100</v>
      </c>
      <c r="I2013" s="66" t="s">
        <v>403</v>
      </c>
      <c r="J2013" s="66" t="s">
        <v>401</v>
      </c>
      <c r="K2013" s="66" t="s">
        <v>747</v>
      </c>
      <c r="L2013" s="67">
        <v>331328</v>
      </c>
      <c r="M2013" s="67">
        <v>0</v>
      </c>
      <c r="N2013" s="68">
        <f t="shared" si="127"/>
        <v>331328</v>
      </c>
      <c r="O2013" s="69">
        <f t="shared" si="126"/>
        <v>331328</v>
      </c>
      <c r="P2013" s="42" t="str">
        <f>IFERROR(VLOOKUP(J2013,'Mã NV'!$B:$C,2,0),"")</f>
        <v>XE01466</v>
      </c>
      <c r="Q2013" s="70" t="str">
        <f>IFERROR(VLOOKUP(I2013,'Mã NV'!$J:$K,2,0),"")</f>
        <v>3.5T</v>
      </c>
    </row>
    <row r="2014" customHeight="1" spans="1:17">
      <c r="A2014" s="63">
        <f t="shared" si="128"/>
        <v>2006</v>
      </c>
      <c r="B2014" s="64">
        <v>46158</v>
      </c>
      <c r="D2014" s="66" t="s">
        <v>58</v>
      </c>
      <c r="E2014" s="66" t="s">
        <v>58</v>
      </c>
      <c r="F2014" s="66" t="s">
        <v>985</v>
      </c>
      <c r="G2014" s="66" t="s">
        <v>1076</v>
      </c>
      <c r="H2014" s="66" t="s">
        <v>1101</v>
      </c>
      <c r="I2014" s="66" t="s">
        <v>403</v>
      </c>
      <c r="J2014" s="66" t="s">
        <v>401</v>
      </c>
      <c r="K2014" s="66" t="s">
        <v>747</v>
      </c>
      <c r="L2014" s="67">
        <v>222611</v>
      </c>
      <c r="M2014" s="67">
        <v>0</v>
      </c>
      <c r="N2014" s="68">
        <f t="shared" si="127"/>
        <v>222611</v>
      </c>
      <c r="O2014" s="69">
        <f t="shared" si="126"/>
        <v>222611</v>
      </c>
      <c r="P2014" s="42" t="str">
        <f>IFERROR(VLOOKUP(J2014,'Mã NV'!$B:$C,2,0),"")</f>
        <v>XE01466</v>
      </c>
      <c r="Q2014" s="70" t="str">
        <f>IFERROR(VLOOKUP(I2014,'Mã NV'!$J:$K,2,0),"")</f>
        <v>3.5T</v>
      </c>
    </row>
    <row r="2015" customHeight="1" spans="1:17">
      <c r="A2015" s="63">
        <f t="shared" si="128"/>
        <v>2007</v>
      </c>
      <c r="B2015" s="64">
        <v>46158</v>
      </c>
      <c r="D2015" s="66" t="s">
        <v>58</v>
      </c>
      <c r="E2015" s="66" t="s">
        <v>58</v>
      </c>
      <c r="F2015" s="66" t="s">
        <v>985</v>
      </c>
      <c r="G2015" s="66" t="s">
        <v>1076</v>
      </c>
      <c r="H2015" s="66" t="s">
        <v>1085</v>
      </c>
      <c r="I2015" s="66" t="s">
        <v>403</v>
      </c>
      <c r="J2015" s="66" t="s">
        <v>401</v>
      </c>
      <c r="K2015" s="66" t="s">
        <v>747</v>
      </c>
      <c r="L2015" s="67">
        <v>191549</v>
      </c>
      <c r="M2015" s="67">
        <v>0</v>
      </c>
      <c r="N2015" s="68">
        <f t="shared" si="127"/>
        <v>191549</v>
      </c>
      <c r="O2015" s="69">
        <f t="shared" si="126"/>
        <v>191549</v>
      </c>
      <c r="P2015" s="42" t="str">
        <f>IFERROR(VLOOKUP(J2015,'Mã NV'!$B:$C,2,0),"")</f>
        <v>XE01466</v>
      </c>
      <c r="Q2015" s="70" t="str">
        <f>IFERROR(VLOOKUP(I2015,'Mã NV'!$J:$K,2,0),"")</f>
        <v>3.5T</v>
      </c>
    </row>
    <row r="2016" customHeight="1" spans="1:17">
      <c r="A2016" s="63">
        <f t="shared" si="128"/>
        <v>2008</v>
      </c>
      <c r="B2016" s="64">
        <v>46158</v>
      </c>
      <c r="D2016" s="66" t="s">
        <v>58</v>
      </c>
      <c r="E2016" s="66" t="s">
        <v>58</v>
      </c>
      <c r="F2016" s="66" t="s">
        <v>985</v>
      </c>
      <c r="G2016" s="66" t="s">
        <v>1076</v>
      </c>
      <c r="H2016" s="66" t="s">
        <v>1111</v>
      </c>
      <c r="I2016" s="66" t="s">
        <v>403</v>
      </c>
      <c r="J2016" s="66" t="s">
        <v>401</v>
      </c>
      <c r="K2016" s="66" t="s">
        <v>747</v>
      </c>
      <c r="L2016" s="67">
        <v>33651</v>
      </c>
      <c r="M2016" s="67">
        <v>0</v>
      </c>
      <c r="N2016" s="68">
        <f t="shared" si="127"/>
        <v>33651</v>
      </c>
      <c r="O2016" s="69">
        <f t="shared" si="126"/>
        <v>33651</v>
      </c>
      <c r="P2016" s="42" t="str">
        <f>IFERROR(VLOOKUP(J2016,'Mã NV'!$B:$C,2,0),"")</f>
        <v>XE01466</v>
      </c>
      <c r="Q2016" s="70" t="str">
        <f>IFERROR(VLOOKUP(I2016,'Mã NV'!$J:$K,2,0),"")</f>
        <v>3.5T</v>
      </c>
    </row>
    <row r="2017" customHeight="1" spans="1:17">
      <c r="A2017" s="63">
        <f t="shared" si="128"/>
        <v>2009</v>
      </c>
      <c r="B2017" s="64">
        <v>46158</v>
      </c>
      <c r="D2017" s="66" t="s">
        <v>58</v>
      </c>
      <c r="E2017" s="66" t="s">
        <v>58</v>
      </c>
      <c r="F2017" s="66" t="s">
        <v>985</v>
      </c>
      <c r="G2017" s="66" t="s">
        <v>1076</v>
      </c>
      <c r="H2017" s="66" t="s">
        <v>1077</v>
      </c>
      <c r="I2017" s="66" t="s">
        <v>323</v>
      </c>
      <c r="J2017" s="66" t="s">
        <v>321</v>
      </c>
      <c r="K2017" s="66" t="s">
        <v>747</v>
      </c>
      <c r="L2017" s="67">
        <v>339094</v>
      </c>
      <c r="M2017" s="67">
        <v>0</v>
      </c>
      <c r="N2017" s="68">
        <f t="shared" si="127"/>
        <v>339094</v>
      </c>
      <c r="O2017" s="69">
        <f t="shared" si="126"/>
        <v>339094</v>
      </c>
      <c r="P2017" s="42" t="str">
        <f>IFERROR(VLOOKUP(J2017,'Mã NV'!$B:$C,2,0),"")</f>
        <v>XE01537</v>
      </c>
      <c r="Q2017" s="70" t="str">
        <f>IFERROR(VLOOKUP(I2017,'Mã NV'!$J:$K,2,0),"")</f>
        <v>2.5T</v>
      </c>
    </row>
    <row r="2018" customHeight="1" spans="1:17">
      <c r="A2018" s="63">
        <f t="shared" si="128"/>
        <v>2010</v>
      </c>
      <c r="B2018" s="64">
        <v>46158</v>
      </c>
      <c r="D2018" s="66" t="s">
        <v>58</v>
      </c>
      <c r="E2018" s="66" t="s">
        <v>58</v>
      </c>
      <c r="F2018" s="66" t="s">
        <v>985</v>
      </c>
      <c r="G2018" s="66" t="s">
        <v>1076</v>
      </c>
      <c r="H2018" s="66" t="s">
        <v>1078</v>
      </c>
      <c r="I2018" s="66" t="s">
        <v>323</v>
      </c>
      <c r="J2018" s="66" t="s">
        <v>321</v>
      </c>
      <c r="K2018" s="66" t="s">
        <v>747</v>
      </c>
      <c r="L2018" s="67">
        <v>217434</v>
      </c>
      <c r="M2018" s="67">
        <v>0</v>
      </c>
      <c r="N2018" s="68">
        <f t="shared" si="127"/>
        <v>217434</v>
      </c>
      <c r="O2018" s="69">
        <f t="shared" si="126"/>
        <v>217434</v>
      </c>
      <c r="P2018" s="42" t="str">
        <f>IFERROR(VLOOKUP(J2018,'Mã NV'!$B:$C,2,0),"")</f>
        <v>XE01537</v>
      </c>
      <c r="Q2018" s="70" t="str">
        <f>IFERROR(VLOOKUP(I2018,'Mã NV'!$J:$K,2,0),"")</f>
        <v>2.5T</v>
      </c>
    </row>
    <row r="2019" customHeight="1" spans="1:17">
      <c r="A2019" s="63">
        <f t="shared" si="128"/>
        <v>2011</v>
      </c>
      <c r="B2019" s="64">
        <v>46158</v>
      </c>
      <c r="D2019" s="66" t="s">
        <v>58</v>
      </c>
      <c r="E2019" s="66" t="s">
        <v>58</v>
      </c>
      <c r="F2019" s="66" t="s">
        <v>985</v>
      </c>
      <c r="G2019" s="66" t="s">
        <v>1076</v>
      </c>
      <c r="H2019" s="66" t="s">
        <v>1092</v>
      </c>
      <c r="I2019" s="66" t="s">
        <v>323</v>
      </c>
      <c r="J2019" s="66" t="s">
        <v>321</v>
      </c>
      <c r="K2019" s="66" t="s">
        <v>747</v>
      </c>
      <c r="L2019" s="67">
        <v>248496</v>
      </c>
      <c r="M2019" s="67">
        <v>0</v>
      </c>
      <c r="N2019" s="68">
        <f t="shared" si="127"/>
        <v>248496</v>
      </c>
      <c r="O2019" s="69">
        <f t="shared" si="126"/>
        <v>248496</v>
      </c>
      <c r="P2019" s="42" t="str">
        <f>IFERROR(VLOOKUP(J2019,'Mã NV'!$B:$C,2,0),"")</f>
        <v>XE01537</v>
      </c>
      <c r="Q2019" s="70" t="str">
        <f>IFERROR(VLOOKUP(I2019,'Mã NV'!$J:$K,2,0),"")</f>
        <v>2.5T</v>
      </c>
    </row>
    <row r="2020" customHeight="1" spans="1:17">
      <c r="A2020" s="63">
        <f t="shared" si="128"/>
        <v>2012</v>
      </c>
      <c r="B2020" s="64">
        <v>46158</v>
      </c>
      <c r="D2020" s="66" t="s">
        <v>58</v>
      </c>
      <c r="E2020" s="66" t="s">
        <v>58</v>
      </c>
      <c r="F2020" s="66" t="s">
        <v>985</v>
      </c>
      <c r="G2020" s="66" t="s">
        <v>1076</v>
      </c>
      <c r="H2020" s="66" t="s">
        <v>1094</v>
      </c>
      <c r="I2020" s="66" t="s">
        <v>323</v>
      </c>
      <c r="J2020" s="66" t="s">
        <v>321</v>
      </c>
      <c r="K2020" s="66" t="s">
        <v>747</v>
      </c>
      <c r="L2020" s="67">
        <v>142368</v>
      </c>
      <c r="M2020" s="67">
        <v>0</v>
      </c>
      <c r="N2020" s="68">
        <f t="shared" si="127"/>
        <v>142368</v>
      </c>
      <c r="O2020" s="69">
        <f t="shared" si="126"/>
        <v>142368</v>
      </c>
      <c r="P2020" s="42" t="str">
        <f>IFERROR(VLOOKUP(J2020,'Mã NV'!$B:$C,2,0),"")</f>
        <v>XE01537</v>
      </c>
      <c r="Q2020" s="70" t="str">
        <f>IFERROR(VLOOKUP(I2020,'Mã NV'!$J:$K,2,0),"")</f>
        <v>2.5T</v>
      </c>
    </row>
    <row r="2021" customHeight="1" spans="1:17">
      <c r="A2021" s="63">
        <f t="shared" si="128"/>
        <v>2013</v>
      </c>
      <c r="B2021" s="64">
        <v>46158</v>
      </c>
      <c r="D2021" s="66" t="s">
        <v>58</v>
      </c>
      <c r="E2021" s="66" t="s">
        <v>58</v>
      </c>
      <c r="F2021" s="66" t="s">
        <v>985</v>
      </c>
      <c r="G2021" s="66" t="s">
        <v>1076</v>
      </c>
      <c r="H2021" s="66" t="s">
        <v>1086</v>
      </c>
      <c r="I2021" s="66" t="s">
        <v>134</v>
      </c>
      <c r="J2021" s="66" t="s">
        <v>359</v>
      </c>
      <c r="K2021" s="66" t="s">
        <v>747</v>
      </c>
      <c r="L2021" s="67">
        <v>188961</v>
      </c>
      <c r="M2021" s="67">
        <v>0</v>
      </c>
      <c r="N2021" s="68">
        <f t="shared" si="127"/>
        <v>188961</v>
      </c>
      <c r="O2021" s="69">
        <f t="shared" si="126"/>
        <v>188961</v>
      </c>
      <c r="P2021" s="42" t="str">
        <f>IFERROR(VLOOKUP(J2021,'Mã NV'!$B:$C,2,0),"")</f>
        <v>XE01639</v>
      </c>
      <c r="Q2021" s="70" t="str">
        <f>IFERROR(VLOOKUP(I2021,'Mã NV'!$J:$K,2,0),"")</f>
        <v>2.5T Lạnh</v>
      </c>
    </row>
    <row r="2022" customHeight="1" spans="1:17">
      <c r="A2022" s="63">
        <f t="shared" si="128"/>
        <v>2014</v>
      </c>
      <c r="B2022" s="64">
        <v>46158</v>
      </c>
      <c r="D2022" s="66" t="s">
        <v>58</v>
      </c>
      <c r="E2022" s="66" t="s">
        <v>58</v>
      </c>
      <c r="F2022" s="66" t="s">
        <v>985</v>
      </c>
      <c r="G2022" s="66" t="s">
        <v>1076</v>
      </c>
      <c r="H2022" s="66" t="s">
        <v>1095</v>
      </c>
      <c r="I2022" s="66" t="s">
        <v>134</v>
      </c>
      <c r="J2022" s="66" t="s">
        <v>359</v>
      </c>
      <c r="K2022" s="66" t="s">
        <v>747</v>
      </c>
      <c r="L2022" s="67">
        <v>302855</v>
      </c>
      <c r="M2022" s="67">
        <v>0</v>
      </c>
      <c r="N2022" s="68">
        <f t="shared" si="127"/>
        <v>302855</v>
      </c>
      <c r="O2022" s="69">
        <f t="shared" si="126"/>
        <v>302855</v>
      </c>
      <c r="P2022" s="42" t="str">
        <f>IFERROR(VLOOKUP(J2022,'Mã NV'!$B:$C,2,0),"")</f>
        <v>XE01639</v>
      </c>
      <c r="Q2022" s="70" t="str">
        <f>IFERROR(VLOOKUP(I2022,'Mã NV'!$J:$K,2,0),"")</f>
        <v>2.5T Lạnh</v>
      </c>
    </row>
    <row r="2023" customHeight="1" spans="1:17">
      <c r="A2023" s="63">
        <f t="shared" si="128"/>
        <v>2015</v>
      </c>
      <c r="B2023" s="64">
        <v>46158</v>
      </c>
      <c r="D2023" s="66" t="s">
        <v>58</v>
      </c>
      <c r="E2023" s="66" t="s">
        <v>58</v>
      </c>
      <c r="F2023" s="66" t="s">
        <v>985</v>
      </c>
      <c r="G2023" s="66" t="s">
        <v>1076</v>
      </c>
      <c r="H2023" s="66" t="s">
        <v>1090</v>
      </c>
      <c r="I2023" s="66" t="s">
        <v>134</v>
      </c>
      <c r="J2023" s="66" t="s">
        <v>359</v>
      </c>
      <c r="K2023" s="66" t="s">
        <v>747</v>
      </c>
      <c r="L2023" s="67">
        <v>308032</v>
      </c>
      <c r="M2023" s="67">
        <v>0</v>
      </c>
      <c r="N2023" s="68">
        <f t="shared" si="127"/>
        <v>308032</v>
      </c>
      <c r="O2023" s="69">
        <f t="shared" si="126"/>
        <v>308032</v>
      </c>
      <c r="P2023" s="42" t="str">
        <f>IFERROR(VLOOKUP(J2023,'Mã NV'!$B:$C,2,0),"")</f>
        <v>XE01639</v>
      </c>
      <c r="Q2023" s="70" t="str">
        <f>IFERROR(VLOOKUP(I2023,'Mã NV'!$J:$K,2,0),"")</f>
        <v>2.5T Lạnh</v>
      </c>
    </row>
    <row r="2024" customHeight="1" spans="1:17">
      <c r="A2024" s="63">
        <f t="shared" si="128"/>
        <v>2016</v>
      </c>
      <c r="B2024" s="64">
        <v>46160</v>
      </c>
      <c r="D2024" s="66" t="s">
        <v>58</v>
      </c>
      <c r="E2024" s="66" t="s">
        <v>58</v>
      </c>
      <c r="F2024" s="66" t="s">
        <v>985</v>
      </c>
      <c r="G2024" s="66" t="s">
        <v>1076</v>
      </c>
      <c r="H2024" s="66" t="s">
        <v>1081</v>
      </c>
      <c r="I2024" s="66" t="s">
        <v>57</v>
      </c>
      <c r="J2024" s="66" t="s">
        <v>55</v>
      </c>
      <c r="K2024" s="66" t="s">
        <v>747</v>
      </c>
      <c r="L2024" s="67">
        <v>473696</v>
      </c>
      <c r="M2024" s="67">
        <v>0</v>
      </c>
      <c r="N2024" s="68">
        <f t="shared" si="127"/>
        <v>473696</v>
      </c>
      <c r="O2024" s="69">
        <f t="shared" si="126"/>
        <v>473696</v>
      </c>
      <c r="P2024" s="42" t="str">
        <f>IFERROR(VLOOKUP(J2024,'Mã NV'!$B:$C,2,0),"")</f>
        <v>XE00768</v>
      </c>
      <c r="Q2024" s="70" t="str">
        <f>IFERROR(VLOOKUP(I2024,'Mã NV'!$J:$K,2,0),"")</f>
        <v>2.5T</v>
      </c>
    </row>
    <row r="2025" customHeight="1" spans="1:17">
      <c r="A2025" s="63">
        <f t="shared" si="128"/>
        <v>2017</v>
      </c>
      <c r="B2025" s="64">
        <v>46160</v>
      </c>
      <c r="D2025" s="66" t="s">
        <v>58</v>
      </c>
      <c r="E2025" s="66" t="s">
        <v>58</v>
      </c>
      <c r="F2025" s="66" t="s">
        <v>985</v>
      </c>
      <c r="G2025" s="66" t="s">
        <v>1076</v>
      </c>
      <c r="H2025" s="66" t="s">
        <v>1083</v>
      </c>
      <c r="I2025" s="66" t="s">
        <v>57</v>
      </c>
      <c r="J2025" s="66" t="s">
        <v>55</v>
      </c>
      <c r="K2025" s="66" t="s">
        <v>747</v>
      </c>
      <c r="L2025" s="67">
        <v>310620</v>
      </c>
      <c r="M2025" s="67">
        <v>0</v>
      </c>
      <c r="N2025" s="68">
        <f t="shared" si="127"/>
        <v>310620</v>
      </c>
      <c r="O2025" s="69">
        <f t="shared" si="126"/>
        <v>310620</v>
      </c>
      <c r="P2025" s="42" t="str">
        <f>IFERROR(VLOOKUP(J2025,'Mã NV'!$B:$C,2,0),"")</f>
        <v>XE00768</v>
      </c>
      <c r="Q2025" s="70" t="str">
        <f>IFERROR(VLOOKUP(I2025,'Mã NV'!$J:$K,2,0),"")</f>
        <v>2.5T</v>
      </c>
    </row>
    <row r="2026" customHeight="1" spans="1:17">
      <c r="A2026" s="63">
        <f t="shared" si="128"/>
        <v>2018</v>
      </c>
      <c r="B2026" s="64">
        <v>46160</v>
      </c>
      <c r="D2026" s="66" t="s">
        <v>58</v>
      </c>
      <c r="E2026" s="66" t="s">
        <v>58</v>
      </c>
      <c r="F2026" s="66" t="s">
        <v>985</v>
      </c>
      <c r="G2026" s="66" t="s">
        <v>1076</v>
      </c>
      <c r="H2026" s="66" t="s">
        <v>1079</v>
      </c>
      <c r="I2026" s="66" t="s">
        <v>57</v>
      </c>
      <c r="J2026" s="66" t="s">
        <v>55</v>
      </c>
      <c r="K2026" s="66" t="s">
        <v>747</v>
      </c>
      <c r="L2026" s="67">
        <v>300266</v>
      </c>
      <c r="M2026" s="67">
        <v>0</v>
      </c>
      <c r="N2026" s="68">
        <f t="shared" si="127"/>
        <v>300266</v>
      </c>
      <c r="O2026" s="69">
        <f t="shared" si="126"/>
        <v>300266</v>
      </c>
      <c r="P2026" s="42" t="str">
        <f>IFERROR(VLOOKUP(J2026,'Mã NV'!$B:$C,2,0),"")</f>
        <v>XE00768</v>
      </c>
      <c r="Q2026" s="70" t="str">
        <f>IFERROR(VLOOKUP(I2026,'Mã NV'!$J:$K,2,0),"")</f>
        <v>2.5T</v>
      </c>
    </row>
    <row r="2027" customHeight="1" spans="1:17">
      <c r="A2027" s="63">
        <f t="shared" si="128"/>
        <v>2019</v>
      </c>
      <c r="B2027" s="64">
        <v>46160</v>
      </c>
      <c r="D2027" s="66" t="s">
        <v>58</v>
      </c>
      <c r="E2027" s="66" t="s">
        <v>58</v>
      </c>
      <c r="F2027" s="66" t="s">
        <v>985</v>
      </c>
      <c r="G2027" s="66" t="s">
        <v>1076</v>
      </c>
      <c r="H2027" s="66" t="s">
        <v>1080</v>
      </c>
      <c r="I2027" s="66" t="s">
        <v>403</v>
      </c>
      <c r="J2027" s="66" t="s">
        <v>401</v>
      </c>
      <c r="K2027" s="66" t="s">
        <v>747</v>
      </c>
      <c r="L2027" s="67">
        <v>502169</v>
      </c>
      <c r="M2027" s="67">
        <v>0</v>
      </c>
      <c r="N2027" s="68">
        <f t="shared" si="127"/>
        <v>502169</v>
      </c>
      <c r="O2027" s="69">
        <f t="shared" si="126"/>
        <v>502169</v>
      </c>
      <c r="P2027" s="42" t="str">
        <f>IFERROR(VLOOKUP(J2027,'Mã NV'!$B:$C,2,0),"")</f>
        <v>XE01466</v>
      </c>
      <c r="Q2027" s="70" t="str">
        <f>IFERROR(VLOOKUP(I2027,'Mã NV'!$J:$K,2,0),"")</f>
        <v>3.5T</v>
      </c>
    </row>
    <row r="2028" customHeight="1" spans="1:17">
      <c r="A2028" s="63">
        <f t="shared" si="128"/>
        <v>2020</v>
      </c>
      <c r="B2028" s="64">
        <v>46160</v>
      </c>
      <c r="D2028" s="66" t="s">
        <v>58</v>
      </c>
      <c r="E2028" s="66" t="s">
        <v>58</v>
      </c>
      <c r="F2028" s="66" t="s">
        <v>985</v>
      </c>
      <c r="G2028" s="66" t="s">
        <v>1076</v>
      </c>
      <c r="H2028" s="66" t="s">
        <v>1082</v>
      </c>
      <c r="I2028" s="66" t="s">
        <v>403</v>
      </c>
      <c r="J2028" s="66" t="s">
        <v>401</v>
      </c>
      <c r="K2028" s="66" t="s">
        <v>747</v>
      </c>
      <c r="L2028" s="67">
        <v>499581</v>
      </c>
      <c r="M2028" s="67">
        <v>0</v>
      </c>
      <c r="N2028" s="68">
        <f t="shared" si="127"/>
        <v>499581</v>
      </c>
      <c r="O2028" s="69">
        <f t="shared" si="126"/>
        <v>499581</v>
      </c>
      <c r="P2028" s="42" t="str">
        <f>IFERROR(VLOOKUP(J2028,'Mã NV'!$B:$C,2,0),"")</f>
        <v>XE01466</v>
      </c>
      <c r="Q2028" s="70" t="str">
        <f>IFERROR(VLOOKUP(I2028,'Mã NV'!$J:$K,2,0),"")</f>
        <v>3.5T</v>
      </c>
    </row>
    <row r="2029" customHeight="1" spans="1:17">
      <c r="A2029" s="63">
        <f t="shared" si="128"/>
        <v>2021</v>
      </c>
      <c r="B2029" s="64">
        <v>46160</v>
      </c>
      <c r="D2029" s="66" t="s">
        <v>58</v>
      </c>
      <c r="E2029" s="66" t="s">
        <v>58</v>
      </c>
      <c r="F2029" s="66" t="s">
        <v>985</v>
      </c>
      <c r="G2029" s="66" t="s">
        <v>1076</v>
      </c>
      <c r="H2029" s="66" t="s">
        <v>1095</v>
      </c>
      <c r="I2029" s="66" t="s">
        <v>403</v>
      </c>
      <c r="J2029" s="66" t="s">
        <v>401</v>
      </c>
      <c r="K2029" s="66" t="s">
        <v>747</v>
      </c>
      <c r="L2029" s="67">
        <v>491815</v>
      </c>
      <c r="M2029" s="67">
        <v>0</v>
      </c>
      <c r="N2029" s="68">
        <f t="shared" si="127"/>
        <v>491815</v>
      </c>
      <c r="O2029" s="69">
        <f t="shared" si="126"/>
        <v>491815</v>
      </c>
      <c r="P2029" s="42" t="str">
        <f>IFERROR(VLOOKUP(J2029,'Mã NV'!$B:$C,2,0),"")</f>
        <v>XE01466</v>
      </c>
      <c r="Q2029" s="70" t="str">
        <f>IFERROR(VLOOKUP(I2029,'Mã NV'!$J:$K,2,0),"")</f>
        <v>3.5T</v>
      </c>
    </row>
    <row r="2030" customHeight="1" spans="1:17">
      <c r="A2030" s="63">
        <f t="shared" si="128"/>
        <v>2022</v>
      </c>
      <c r="B2030" s="64">
        <v>46160</v>
      </c>
      <c r="D2030" s="66" t="s">
        <v>58</v>
      </c>
      <c r="E2030" s="66" t="s">
        <v>58</v>
      </c>
      <c r="F2030" s="66" t="s">
        <v>985</v>
      </c>
      <c r="G2030" s="66" t="s">
        <v>1076</v>
      </c>
      <c r="H2030" s="66" t="s">
        <v>1111</v>
      </c>
      <c r="I2030" s="66" t="s">
        <v>134</v>
      </c>
      <c r="J2030" s="66" t="s">
        <v>359</v>
      </c>
      <c r="K2030" s="66" t="s">
        <v>747</v>
      </c>
      <c r="L2030" s="67">
        <v>546174</v>
      </c>
      <c r="M2030" s="67">
        <v>0</v>
      </c>
      <c r="N2030" s="68">
        <f t="shared" si="127"/>
        <v>546174</v>
      </c>
      <c r="O2030" s="69">
        <f t="shared" si="126"/>
        <v>546174</v>
      </c>
      <c r="P2030" s="42" t="str">
        <f>IFERROR(VLOOKUP(J2030,'Mã NV'!$B:$C,2,0),"")</f>
        <v>XE01639</v>
      </c>
      <c r="Q2030" s="70" t="str">
        <f>IFERROR(VLOOKUP(I2030,'Mã NV'!$J:$K,2,0),"")</f>
        <v>2.5T Lạnh</v>
      </c>
    </row>
    <row r="2031" customHeight="1" spans="1:17">
      <c r="A2031" s="63">
        <f t="shared" si="128"/>
        <v>2023</v>
      </c>
      <c r="B2031" s="64">
        <v>46160</v>
      </c>
      <c r="D2031" s="66" t="s">
        <v>58</v>
      </c>
      <c r="E2031" s="66" t="s">
        <v>58</v>
      </c>
      <c r="F2031" s="66" t="s">
        <v>985</v>
      </c>
      <c r="G2031" s="66" t="s">
        <v>1076</v>
      </c>
      <c r="H2031" s="66" t="s">
        <v>1092</v>
      </c>
      <c r="I2031" s="66" t="s">
        <v>134</v>
      </c>
      <c r="J2031" s="66" t="s">
        <v>359</v>
      </c>
      <c r="K2031" s="66" t="s">
        <v>747</v>
      </c>
      <c r="L2031" s="67">
        <v>362390</v>
      </c>
      <c r="M2031" s="67">
        <v>0</v>
      </c>
      <c r="N2031" s="68">
        <f t="shared" si="127"/>
        <v>362390</v>
      </c>
      <c r="O2031" s="69">
        <f t="shared" si="126"/>
        <v>362390</v>
      </c>
      <c r="P2031" s="42" t="str">
        <f>IFERROR(VLOOKUP(J2031,'Mã NV'!$B:$C,2,0),"")</f>
        <v>XE01639</v>
      </c>
      <c r="Q2031" s="70" t="str">
        <f>IFERROR(VLOOKUP(I2031,'Mã NV'!$J:$K,2,0),"")</f>
        <v>2.5T Lạnh</v>
      </c>
    </row>
    <row r="2032" customHeight="1" spans="1:17">
      <c r="A2032" s="63">
        <f t="shared" si="128"/>
        <v>2024</v>
      </c>
      <c r="B2032" s="64">
        <v>46160</v>
      </c>
      <c r="D2032" s="66" t="s">
        <v>58</v>
      </c>
      <c r="E2032" s="66" t="s">
        <v>58</v>
      </c>
      <c r="F2032" s="66" t="s">
        <v>985</v>
      </c>
      <c r="G2032" s="66" t="s">
        <v>1076</v>
      </c>
      <c r="H2032" s="66" t="s">
        <v>1087</v>
      </c>
      <c r="I2032" s="66" t="s">
        <v>177</v>
      </c>
      <c r="J2032" s="66" t="s">
        <v>174</v>
      </c>
      <c r="K2032" s="66" t="s">
        <v>747</v>
      </c>
      <c r="L2032" s="67">
        <v>305443</v>
      </c>
      <c r="M2032" s="67">
        <v>0</v>
      </c>
      <c r="N2032" s="68">
        <f t="shared" si="127"/>
        <v>305443</v>
      </c>
      <c r="O2032" s="69">
        <f t="shared" si="126"/>
        <v>305443</v>
      </c>
      <c r="P2032" s="42" t="str">
        <f>IFERROR(VLOOKUP(J2032,'Mã NV'!$B:$C,2,0),"")</f>
        <v>XE00975</v>
      </c>
      <c r="Q2032" s="70" t="str">
        <f>IFERROR(VLOOKUP(I2032,'Mã NV'!$J:$K,2,0),"")</f>
        <v>2.5T Lạnh</v>
      </c>
    </row>
    <row r="2033" customHeight="1" spans="1:17">
      <c r="A2033" s="63">
        <f t="shared" si="128"/>
        <v>2025</v>
      </c>
      <c r="B2033" s="64">
        <v>46160</v>
      </c>
      <c r="D2033" s="66" t="s">
        <v>58</v>
      </c>
      <c r="E2033" s="66" t="s">
        <v>58</v>
      </c>
      <c r="F2033" s="66" t="s">
        <v>985</v>
      </c>
      <c r="G2033" s="66" t="s">
        <v>1076</v>
      </c>
      <c r="H2033" s="66" t="s">
        <v>1078</v>
      </c>
      <c r="I2033" s="66" t="s">
        <v>177</v>
      </c>
      <c r="J2033" s="66" t="s">
        <v>174</v>
      </c>
      <c r="K2033" s="66" t="s">
        <v>747</v>
      </c>
      <c r="L2033" s="67">
        <v>735134</v>
      </c>
      <c r="M2033" s="67">
        <v>0</v>
      </c>
      <c r="N2033" s="68">
        <f t="shared" si="127"/>
        <v>735134</v>
      </c>
      <c r="O2033" s="69">
        <f t="shared" si="126"/>
        <v>735134</v>
      </c>
      <c r="P2033" s="42" t="str">
        <f>IFERROR(VLOOKUP(J2033,'Mã NV'!$B:$C,2,0),"")</f>
        <v>XE00975</v>
      </c>
      <c r="Q2033" s="70" t="str">
        <f>IFERROR(VLOOKUP(I2033,'Mã NV'!$J:$K,2,0),"")</f>
        <v>2.5T Lạnh</v>
      </c>
    </row>
    <row r="2034" customHeight="1" spans="1:17">
      <c r="A2034" s="63">
        <f t="shared" si="128"/>
        <v>2026</v>
      </c>
      <c r="B2034" s="64">
        <v>46160</v>
      </c>
      <c r="D2034" s="66" t="s">
        <v>58</v>
      </c>
      <c r="E2034" s="66" t="s">
        <v>58</v>
      </c>
      <c r="F2034" s="66" t="s">
        <v>985</v>
      </c>
      <c r="G2034" s="66" t="s">
        <v>1076</v>
      </c>
      <c r="H2034" s="66" t="s">
        <v>1089</v>
      </c>
      <c r="I2034" s="66" t="s">
        <v>84</v>
      </c>
      <c r="J2034" s="66" t="s">
        <v>82</v>
      </c>
      <c r="K2034" s="66" t="s">
        <v>747</v>
      </c>
      <c r="L2034" s="67">
        <v>768785</v>
      </c>
      <c r="M2034" s="67">
        <v>0</v>
      </c>
      <c r="N2034" s="68">
        <f t="shared" si="127"/>
        <v>768785</v>
      </c>
      <c r="O2034" s="69">
        <f t="shared" si="126"/>
        <v>768785</v>
      </c>
      <c r="P2034" s="42" t="str">
        <f>IFERROR(VLOOKUP(J2034,'Mã NV'!$B:$C,2,0),"")</f>
        <v>XE00832</v>
      </c>
      <c r="Q2034" s="70" t="str">
        <f>IFERROR(VLOOKUP(I2034,'Mã NV'!$J:$K,2,0),"")</f>
        <v>6.5T</v>
      </c>
    </row>
    <row r="2035" customHeight="1" spans="1:17">
      <c r="A2035" s="63">
        <f t="shared" si="128"/>
        <v>2027</v>
      </c>
      <c r="B2035" s="64">
        <v>46160</v>
      </c>
      <c r="D2035" s="66" t="s">
        <v>58</v>
      </c>
      <c r="E2035" s="66" t="s">
        <v>58</v>
      </c>
      <c r="F2035" s="66" t="s">
        <v>985</v>
      </c>
      <c r="G2035" s="66" t="s">
        <v>1076</v>
      </c>
      <c r="H2035" s="66" t="s">
        <v>1091</v>
      </c>
      <c r="I2035" s="66" t="s">
        <v>84</v>
      </c>
      <c r="J2035" s="66" t="s">
        <v>82</v>
      </c>
      <c r="K2035" s="66" t="s">
        <v>747</v>
      </c>
      <c r="L2035" s="67">
        <v>429691</v>
      </c>
      <c r="M2035" s="67">
        <v>0</v>
      </c>
      <c r="N2035" s="68">
        <f t="shared" si="127"/>
        <v>429691</v>
      </c>
      <c r="O2035" s="69">
        <f t="shared" ref="O2035:O2098" si="129">N2035/$P$1</f>
        <v>429691</v>
      </c>
      <c r="P2035" s="42" t="str">
        <f>IFERROR(VLOOKUP(J2035,'Mã NV'!$B:$C,2,0),"")</f>
        <v>XE00832</v>
      </c>
      <c r="Q2035" s="70" t="str">
        <f>IFERROR(VLOOKUP(I2035,'Mã NV'!$J:$K,2,0),"")</f>
        <v>6.5T</v>
      </c>
    </row>
    <row r="2036" customHeight="1" spans="1:17">
      <c r="A2036" s="63">
        <f t="shared" si="128"/>
        <v>2028</v>
      </c>
      <c r="B2036" s="64">
        <v>46160</v>
      </c>
      <c r="D2036" s="66" t="s">
        <v>58</v>
      </c>
      <c r="E2036" s="66" t="s">
        <v>58</v>
      </c>
      <c r="F2036" s="66" t="s">
        <v>985</v>
      </c>
      <c r="G2036" s="66" t="s">
        <v>1076</v>
      </c>
      <c r="H2036" s="66" t="s">
        <v>1096</v>
      </c>
      <c r="I2036" s="66" t="s">
        <v>84</v>
      </c>
      <c r="J2036" s="66" t="s">
        <v>82</v>
      </c>
      <c r="K2036" s="66" t="s">
        <v>747</v>
      </c>
      <c r="L2036" s="67">
        <v>452988</v>
      </c>
      <c r="M2036" s="67">
        <v>0</v>
      </c>
      <c r="N2036" s="68">
        <f t="shared" ref="N2036:N2099" si="130">L2036-M2036</f>
        <v>452988</v>
      </c>
      <c r="O2036" s="69">
        <f t="shared" si="129"/>
        <v>452988</v>
      </c>
      <c r="P2036" s="42" t="str">
        <f>IFERROR(VLOOKUP(J2036,'Mã NV'!$B:$C,2,0),"")</f>
        <v>XE00832</v>
      </c>
      <c r="Q2036" s="70" t="str">
        <f>IFERROR(VLOOKUP(I2036,'Mã NV'!$J:$K,2,0),"")</f>
        <v>6.5T</v>
      </c>
    </row>
    <row r="2037" customHeight="1" spans="1:17">
      <c r="A2037" s="63">
        <f t="shared" si="128"/>
        <v>2029</v>
      </c>
      <c r="B2037" s="64">
        <v>46160</v>
      </c>
      <c r="D2037" s="66" t="s">
        <v>58</v>
      </c>
      <c r="E2037" s="66" t="s">
        <v>58</v>
      </c>
      <c r="F2037" s="66" t="s">
        <v>985</v>
      </c>
      <c r="G2037" s="66" t="s">
        <v>1076</v>
      </c>
      <c r="H2037" s="66" t="s">
        <v>1098</v>
      </c>
      <c r="I2037" s="66" t="s">
        <v>358</v>
      </c>
      <c r="J2037" s="66" t="s">
        <v>356</v>
      </c>
      <c r="K2037" s="66" t="s">
        <v>747</v>
      </c>
      <c r="L2037" s="67">
        <v>157899</v>
      </c>
      <c r="M2037" s="67">
        <v>0</v>
      </c>
      <c r="N2037" s="68">
        <f t="shared" si="130"/>
        <v>157899</v>
      </c>
      <c r="O2037" s="69">
        <f t="shared" si="129"/>
        <v>157899</v>
      </c>
      <c r="P2037" s="42" t="str">
        <f>IFERROR(VLOOKUP(J2037,'Mã NV'!$B:$C,2,0),"")</f>
        <v>XE01616</v>
      </c>
      <c r="Q2037" s="70" t="str">
        <f>IFERROR(VLOOKUP(I2037,'Mã NV'!$J:$K,2,0),"")</f>
        <v>2.5T Lạnh</v>
      </c>
    </row>
    <row r="2038" customHeight="1" spans="1:17">
      <c r="A2038" s="63">
        <f t="shared" si="128"/>
        <v>2030</v>
      </c>
      <c r="B2038" s="64">
        <v>46160</v>
      </c>
      <c r="D2038" s="66" t="s">
        <v>58</v>
      </c>
      <c r="E2038" s="66" t="s">
        <v>58</v>
      </c>
      <c r="F2038" s="66" t="s">
        <v>985</v>
      </c>
      <c r="G2038" s="66" t="s">
        <v>1076</v>
      </c>
      <c r="H2038" s="66" t="s">
        <v>1094</v>
      </c>
      <c r="I2038" s="66" t="s">
        <v>358</v>
      </c>
      <c r="J2038" s="66" t="s">
        <v>356</v>
      </c>
      <c r="K2038" s="66" t="s">
        <v>747</v>
      </c>
      <c r="L2038" s="67">
        <v>160487</v>
      </c>
      <c r="M2038" s="67">
        <v>0</v>
      </c>
      <c r="N2038" s="68">
        <f t="shared" si="130"/>
        <v>160487</v>
      </c>
      <c r="O2038" s="69">
        <f t="shared" si="129"/>
        <v>160487</v>
      </c>
      <c r="P2038" s="42" t="str">
        <f>IFERROR(VLOOKUP(J2038,'Mã NV'!$B:$C,2,0),"")</f>
        <v>XE01616</v>
      </c>
      <c r="Q2038" s="70" t="str">
        <f>IFERROR(VLOOKUP(I2038,'Mã NV'!$J:$K,2,0),"")</f>
        <v>2.5T Lạnh</v>
      </c>
    </row>
    <row r="2039" customHeight="1" spans="1:17">
      <c r="A2039" s="63">
        <f t="shared" si="128"/>
        <v>2031</v>
      </c>
      <c r="B2039" s="64">
        <v>46160</v>
      </c>
      <c r="D2039" s="66" t="s">
        <v>58</v>
      </c>
      <c r="E2039" s="66" t="s">
        <v>58</v>
      </c>
      <c r="F2039" s="66" t="s">
        <v>985</v>
      </c>
      <c r="G2039" s="66" t="s">
        <v>1076</v>
      </c>
      <c r="H2039" s="66" t="s">
        <v>1090</v>
      </c>
      <c r="I2039" s="66" t="s">
        <v>358</v>
      </c>
      <c r="J2039" s="66" t="s">
        <v>356</v>
      </c>
      <c r="K2039" s="66" t="s">
        <v>747</v>
      </c>
      <c r="L2039" s="67">
        <v>452988</v>
      </c>
      <c r="M2039" s="67">
        <v>0</v>
      </c>
      <c r="N2039" s="68">
        <f t="shared" si="130"/>
        <v>452988</v>
      </c>
      <c r="O2039" s="69">
        <f t="shared" si="129"/>
        <v>452988</v>
      </c>
      <c r="P2039" s="42" t="str">
        <f>IFERROR(VLOOKUP(J2039,'Mã NV'!$B:$C,2,0),"")</f>
        <v>XE01616</v>
      </c>
      <c r="Q2039" s="70" t="str">
        <f>IFERROR(VLOOKUP(I2039,'Mã NV'!$J:$K,2,0),"")</f>
        <v>2.5T Lạnh</v>
      </c>
    </row>
    <row r="2040" customHeight="1" spans="1:17">
      <c r="A2040" s="63">
        <f t="shared" si="128"/>
        <v>2032</v>
      </c>
      <c r="B2040" s="64">
        <v>46160</v>
      </c>
      <c r="D2040" s="66" t="s">
        <v>58</v>
      </c>
      <c r="E2040" s="66" t="s">
        <v>58</v>
      </c>
      <c r="F2040" s="66" t="s">
        <v>985</v>
      </c>
      <c r="G2040" s="66" t="s">
        <v>1076</v>
      </c>
      <c r="H2040" s="66" t="s">
        <v>1092</v>
      </c>
      <c r="I2040" s="66" t="s">
        <v>154</v>
      </c>
      <c r="J2040" s="66" t="s">
        <v>152</v>
      </c>
      <c r="K2040" s="66" t="s">
        <v>747</v>
      </c>
      <c r="L2040" s="67">
        <v>69890</v>
      </c>
      <c r="M2040" s="67">
        <v>0</v>
      </c>
      <c r="N2040" s="68">
        <f t="shared" si="130"/>
        <v>69890</v>
      </c>
      <c r="O2040" s="69">
        <f t="shared" si="129"/>
        <v>69890</v>
      </c>
      <c r="P2040" s="42" t="str">
        <f>IFERROR(VLOOKUP(J2040,'Mã NV'!$B:$C,2,0),"")</f>
        <v>XE00730</v>
      </c>
      <c r="Q2040" s="70" t="str">
        <f>IFERROR(VLOOKUP(I2040,'Mã NV'!$J:$K,2,0),"")</f>
        <v> 3T5 Lạnh </v>
      </c>
    </row>
    <row r="2041" customHeight="1" spans="1:17">
      <c r="A2041" s="63">
        <f t="shared" si="128"/>
        <v>2033</v>
      </c>
      <c r="B2041" s="64">
        <v>46160</v>
      </c>
      <c r="D2041" s="66" t="s">
        <v>58</v>
      </c>
      <c r="E2041" s="66" t="s">
        <v>58</v>
      </c>
      <c r="F2041" s="66" t="s">
        <v>985</v>
      </c>
      <c r="G2041" s="66" t="s">
        <v>1076</v>
      </c>
      <c r="H2041" s="66" t="s">
        <v>1097</v>
      </c>
      <c r="I2041" s="66" t="s">
        <v>154</v>
      </c>
      <c r="J2041" s="66" t="s">
        <v>152</v>
      </c>
      <c r="K2041" s="66" t="s">
        <v>747</v>
      </c>
      <c r="L2041" s="67">
        <v>491815</v>
      </c>
      <c r="M2041" s="67">
        <v>0</v>
      </c>
      <c r="N2041" s="68">
        <f t="shared" si="130"/>
        <v>491815</v>
      </c>
      <c r="O2041" s="69">
        <f t="shared" si="129"/>
        <v>491815</v>
      </c>
      <c r="P2041" s="42" t="str">
        <f>IFERROR(VLOOKUP(J2041,'Mã NV'!$B:$C,2,0),"")</f>
        <v>XE00730</v>
      </c>
      <c r="Q2041" s="70" t="str">
        <f>IFERROR(VLOOKUP(I2041,'Mã NV'!$J:$K,2,0),"")</f>
        <v> 3T5 Lạnh </v>
      </c>
    </row>
    <row r="2042" customHeight="1" spans="1:17">
      <c r="A2042" s="63">
        <f t="shared" si="128"/>
        <v>2034</v>
      </c>
      <c r="B2042" s="64">
        <v>46160</v>
      </c>
      <c r="D2042" s="66" t="s">
        <v>58</v>
      </c>
      <c r="E2042" s="66" t="s">
        <v>58</v>
      </c>
      <c r="F2042" s="66" t="s">
        <v>985</v>
      </c>
      <c r="G2042" s="66" t="s">
        <v>1076</v>
      </c>
      <c r="H2042" s="66" t="s">
        <v>1088</v>
      </c>
      <c r="I2042" s="66" t="s">
        <v>154</v>
      </c>
      <c r="J2042" s="66" t="s">
        <v>152</v>
      </c>
      <c r="K2042" s="66" t="s">
        <v>747</v>
      </c>
      <c r="L2042" s="67">
        <v>507346</v>
      </c>
      <c r="M2042" s="67">
        <v>0</v>
      </c>
      <c r="N2042" s="68">
        <f t="shared" si="130"/>
        <v>507346</v>
      </c>
      <c r="O2042" s="69">
        <f t="shared" si="129"/>
        <v>507346</v>
      </c>
      <c r="P2042" s="42" t="str">
        <f>IFERROR(VLOOKUP(J2042,'Mã NV'!$B:$C,2,0),"")</f>
        <v>XE00730</v>
      </c>
      <c r="Q2042" s="70" t="str">
        <f>IFERROR(VLOOKUP(I2042,'Mã NV'!$J:$K,2,0),"")</f>
        <v> 3T5 Lạnh </v>
      </c>
    </row>
    <row r="2043" customHeight="1" spans="1:17">
      <c r="A2043" s="63">
        <f t="shared" si="128"/>
        <v>2035</v>
      </c>
      <c r="B2043" s="64">
        <v>46160</v>
      </c>
      <c r="D2043" s="66" t="s">
        <v>58</v>
      </c>
      <c r="E2043" s="66" t="s">
        <v>58</v>
      </c>
      <c r="F2043" s="66" t="s">
        <v>985</v>
      </c>
      <c r="G2043" s="66" t="s">
        <v>1076</v>
      </c>
      <c r="H2043" s="66" t="s">
        <v>1077</v>
      </c>
      <c r="I2043" s="66" t="s">
        <v>57</v>
      </c>
      <c r="J2043" s="66" t="s">
        <v>55</v>
      </c>
      <c r="K2043" s="66" t="s">
        <v>747</v>
      </c>
      <c r="L2043" s="67">
        <v>618652</v>
      </c>
      <c r="M2043" s="67">
        <v>0</v>
      </c>
      <c r="N2043" s="68">
        <f t="shared" si="130"/>
        <v>618652</v>
      </c>
      <c r="O2043" s="69">
        <f t="shared" si="129"/>
        <v>618652</v>
      </c>
      <c r="P2043" s="42" t="str">
        <f>IFERROR(VLOOKUP(J2043,'Mã NV'!$B:$C,2,0),"")</f>
        <v>XE00768</v>
      </c>
      <c r="Q2043" s="70" t="str">
        <f>IFERROR(VLOOKUP(I2043,'Mã NV'!$J:$K,2,0),"")</f>
        <v>2.5T</v>
      </c>
    </row>
    <row r="2044" customHeight="1" spans="1:17">
      <c r="A2044" s="63">
        <f t="shared" si="128"/>
        <v>2036</v>
      </c>
      <c r="B2044" s="64">
        <v>46160</v>
      </c>
      <c r="D2044" s="66" t="s">
        <v>58</v>
      </c>
      <c r="E2044" s="66" t="s">
        <v>58</v>
      </c>
      <c r="F2044" s="66" t="s">
        <v>985</v>
      </c>
      <c r="G2044" s="66" t="s">
        <v>1076</v>
      </c>
      <c r="H2044" s="66" t="s">
        <v>1085</v>
      </c>
      <c r="I2044" s="66" t="s">
        <v>57</v>
      </c>
      <c r="J2044" s="66" t="s">
        <v>55</v>
      </c>
      <c r="K2044" s="66" t="s">
        <v>747</v>
      </c>
      <c r="L2044" s="67">
        <v>318386</v>
      </c>
      <c r="M2044" s="67">
        <v>0</v>
      </c>
      <c r="N2044" s="68">
        <f t="shared" si="130"/>
        <v>318386</v>
      </c>
      <c r="O2044" s="69">
        <f t="shared" si="129"/>
        <v>318386</v>
      </c>
      <c r="P2044" s="42" t="str">
        <f>IFERROR(VLOOKUP(J2044,'Mã NV'!$B:$C,2,0),"")</f>
        <v>XE00768</v>
      </c>
      <c r="Q2044" s="70" t="str">
        <f>IFERROR(VLOOKUP(I2044,'Mã NV'!$J:$K,2,0),"")</f>
        <v>2.5T</v>
      </c>
    </row>
    <row r="2045" customHeight="1" spans="1:17">
      <c r="A2045" s="63">
        <f t="shared" si="128"/>
        <v>2037</v>
      </c>
      <c r="B2045" s="64">
        <v>46160</v>
      </c>
      <c r="D2045" s="66" t="s">
        <v>58</v>
      </c>
      <c r="E2045" s="66" t="s">
        <v>58</v>
      </c>
      <c r="F2045" s="66" t="s">
        <v>985</v>
      </c>
      <c r="G2045" s="66" t="s">
        <v>1076</v>
      </c>
      <c r="H2045" s="66" t="s">
        <v>1099</v>
      </c>
      <c r="I2045" s="66" t="s">
        <v>403</v>
      </c>
      <c r="J2045" s="66" t="s">
        <v>401</v>
      </c>
      <c r="K2045" s="66" t="s">
        <v>747</v>
      </c>
      <c r="L2045" s="67">
        <v>419337</v>
      </c>
      <c r="M2045" s="67">
        <v>0</v>
      </c>
      <c r="N2045" s="68">
        <f t="shared" si="130"/>
        <v>419337</v>
      </c>
      <c r="O2045" s="69">
        <f t="shared" si="129"/>
        <v>419337</v>
      </c>
      <c r="P2045" s="42" t="str">
        <f>IFERROR(VLOOKUP(J2045,'Mã NV'!$B:$C,2,0),"")</f>
        <v>XE01466</v>
      </c>
      <c r="Q2045" s="70" t="str">
        <f>IFERROR(VLOOKUP(I2045,'Mã NV'!$J:$K,2,0),"")</f>
        <v>3.5T</v>
      </c>
    </row>
    <row r="2046" customHeight="1" spans="1:17">
      <c r="A2046" s="63">
        <f t="shared" si="128"/>
        <v>2038</v>
      </c>
      <c r="B2046" s="64">
        <v>46160</v>
      </c>
      <c r="D2046" s="66" t="s">
        <v>58</v>
      </c>
      <c r="E2046" s="66" t="s">
        <v>58</v>
      </c>
      <c r="F2046" s="66" t="s">
        <v>985</v>
      </c>
      <c r="G2046" s="66" t="s">
        <v>1076</v>
      </c>
      <c r="H2046" s="66" t="s">
        <v>1100</v>
      </c>
      <c r="I2046" s="66" t="s">
        <v>403</v>
      </c>
      <c r="J2046" s="66" t="s">
        <v>401</v>
      </c>
      <c r="K2046" s="66" t="s">
        <v>747</v>
      </c>
      <c r="L2046" s="67">
        <v>476284</v>
      </c>
      <c r="M2046" s="67">
        <v>0</v>
      </c>
      <c r="N2046" s="68">
        <f t="shared" si="130"/>
        <v>476284</v>
      </c>
      <c r="O2046" s="69">
        <f t="shared" si="129"/>
        <v>476284</v>
      </c>
      <c r="P2046" s="42" t="str">
        <f>IFERROR(VLOOKUP(J2046,'Mã NV'!$B:$C,2,0),"")</f>
        <v>XE01466</v>
      </c>
      <c r="Q2046" s="70" t="str">
        <f>IFERROR(VLOOKUP(I2046,'Mã NV'!$J:$K,2,0),"")</f>
        <v>3.5T</v>
      </c>
    </row>
    <row r="2047" customHeight="1" spans="1:17">
      <c r="A2047" s="63">
        <f t="shared" si="128"/>
        <v>2039</v>
      </c>
      <c r="B2047" s="64">
        <v>46160</v>
      </c>
      <c r="D2047" s="66" t="s">
        <v>58</v>
      </c>
      <c r="E2047" s="66" t="s">
        <v>58</v>
      </c>
      <c r="F2047" s="66" t="s">
        <v>985</v>
      </c>
      <c r="G2047" s="66" t="s">
        <v>1076</v>
      </c>
      <c r="H2047" s="66" t="s">
        <v>1093</v>
      </c>
      <c r="I2047" s="66" t="s">
        <v>403</v>
      </c>
      <c r="J2047" s="66" t="s">
        <v>401</v>
      </c>
      <c r="K2047" s="66" t="s">
        <v>747</v>
      </c>
      <c r="L2047" s="67">
        <v>494404</v>
      </c>
      <c r="M2047" s="67">
        <v>0</v>
      </c>
      <c r="N2047" s="68">
        <f t="shared" si="130"/>
        <v>494404</v>
      </c>
      <c r="O2047" s="69">
        <f t="shared" si="129"/>
        <v>494404</v>
      </c>
      <c r="P2047" s="42" t="str">
        <f>IFERROR(VLOOKUP(J2047,'Mã NV'!$B:$C,2,0),"")</f>
        <v>XE01466</v>
      </c>
      <c r="Q2047" s="70" t="str">
        <f>IFERROR(VLOOKUP(I2047,'Mã NV'!$J:$K,2,0),"")</f>
        <v>3.5T</v>
      </c>
    </row>
    <row r="2048" customHeight="1" spans="1:17">
      <c r="A2048" s="63">
        <f t="shared" si="128"/>
        <v>2040</v>
      </c>
      <c r="B2048" s="64">
        <v>46160</v>
      </c>
      <c r="D2048" s="66" t="s">
        <v>58</v>
      </c>
      <c r="E2048" s="66" t="s">
        <v>58</v>
      </c>
      <c r="F2048" s="66" t="s">
        <v>985</v>
      </c>
      <c r="G2048" s="66" t="s">
        <v>1076</v>
      </c>
      <c r="H2048" s="66" t="s">
        <v>1102</v>
      </c>
      <c r="I2048" s="66" t="s">
        <v>134</v>
      </c>
      <c r="J2048" s="66" t="s">
        <v>359</v>
      </c>
      <c r="K2048" s="66" t="s">
        <v>747</v>
      </c>
      <c r="L2048" s="67">
        <v>460753</v>
      </c>
      <c r="M2048" s="67">
        <v>0</v>
      </c>
      <c r="N2048" s="68">
        <f t="shared" si="130"/>
        <v>460753</v>
      </c>
      <c r="O2048" s="69">
        <f t="shared" si="129"/>
        <v>460753</v>
      </c>
      <c r="P2048" s="42" t="str">
        <f>IFERROR(VLOOKUP(J2048,'Mã NV'!$B:$C,2,0),"")</f>
        <v>XE01639</v>
      </c>
      <c r="Q2048" s="70" t="str">
        <f>IFERROR(VLOOKUP(I2048,'Mã NV'!$J:$K,2,0),"")</f>
        <v>2.5T Lạnh</v>
      </c>
    </row>
    <row r="2049" customHeight="1" spans="1:17">
      <c r="A2049" s="63">
        <f t="shared" si="128"/>
        <v>2041</v>
      </c>
      <c r="B2049" s="64">
        <v>46160</v>
      </c>
      <c r="D2049" s="66" t="s">
        <v>58</v>
      </c>
      <c r="E2049" s="66" t="s">
        <v>58</v>
      </c>
      <c r="F2049" s="66" t="s">
        <v>985</v>
      </c>
      <c r="G2049" s="66" t="s">
        <v>1076</v>
      </c>
      <c r="H2049" s="66" t="s">
        <v>1103</v>
      </c>
      <c r="I2049" s="66" t="s">
        <v>134</v>
      </c>
      <c r="J2049" s="66" t="s">
        <v>359</v>
      </c>
      <c r="K2049" s="66" t="s">
        <v>747</v>
      </c>
      <c r="L2049" s="67">
        <v>326151</v>
      </c>
      <c r="M2049" s="67">
        <v>0</v>
      </c>
      <c r="N2049" s="68">
        <f t="shared" si="130"/>
        <v>326151</v>
      </c>
      <c r="O2049" s="69">
        <f t="shared" si="129"/>
        <v>326151</v>
      </c>
      <c r="P2049" s="42" t="str">
        <f>IFERROR(VLOOKUP(J2049,'Mã NV'!$B:$C,2,0),"")</f>
        <v>XE01639</v>
      </c>
      <c r="Q2049" s="70" t="str">
        <f>IFERROR(VLOOKUP(I2049,'Mã NV'!$J:$K,2,0),"")</f>
        <v>2.5T Lạnh</v>
      </c>
    </row>
    <row r="2050" customHeight="1" spans="1:17">
      <c r="A2050" s="63">
        <f t="shared" si="128"/>
        <v>2042</v>
      </c>
      <c r="B2050" s="64">
        <v>46160</v>
      </c>
      <c r="D2050" s="66" t="s">
        <v>58</v>
      </c>
      <c r="E2050" s="66" t="s">
        <v>58</v>
      </c>
      <c r="F2050" s="66" t="s">
        <v>985</v>
      </c>
      <c r="G2050" s="66" t="s">
        <v>1076</v>
      </c>
      <c r="H2050" s="66" t="s">
        <v>1101</v>
      </c>
      <c r="I2050" s="66" t="s">
        <v>177</v>
      </c>
      <c r="J2050" s="66" t="s">
        <v>174</v>
      </c>
      <c r="K2050" s="66" t="s">
        <v>747</v>
      </c>
      <c r="L2050" s="67">
        <v>424514</v>
      </c>
      <c r="M2050" s="67">
        <v>0</v>
      </c>
      <c r="N2050" s="68">
        <f t="shared" si="130"/>
        <v>424514</v>
      </c>
      <c r="O2050" s="69">
        <f t="shared" si="129"/>
        <v>424514</v>
      </c>
      <c r="P2050" s="42" t="str">
        <f>IFERROR(VLOOKUP(J2050,'Mã NV'!$B:$C,2,0),"")</f>
        <v>XE00975</v>
      </c>
      <c r="Q2050" s="70" t="str">
        <f>IFERROR(VLOOKUP(I2050,'Mã NV'!$J:$K,2,0),"")</f>
        <v>2.5T Lạnh</v>
      </c>
    </row>
    <row r="2051" customHeight="1" spans="1:17">
      <c r="A2051" s="63">
        <f t="shared" si="128"/>
        <v>2043</v>
      </c>
      <c r="B2051" s="64">
        <v>46160</v>
      </c>
      <c r="D2051" s="66" t="s">
        <v>58</v>
      </c>
      <c r="E2051" s="66" t="s">
        <v>58</v>
      </c>
      <c r="F2051" s="66" t="s">
        <v>985</v>
      </c>
      <c r="G2051" s="66" t="s">
        <v>1076</v>
      </c>
      <c r="H2051" s="66" t="s">
        <v>1084</v>
      </c>
      <c r="I2051" s="66" t="s">
        <v>177</v>
      </c>
      <c r="J2051" s="66" t="s">
        <v>174</v>
      </c>
      <c r="K2051" s="66" t="s">
        <v>747</v>
      </c>
      <c r="L2051" s="67">
        <v>390864</v>
      </c>
      <c r="M2051" s="67">
        <v>0</v>
      </c>
      <c r="N2051" s="68">
        <f t="shared" si="130"/>
        <v>390864</v>
      </c>
      <c r="O2051" s="69">
        <f t="shared" si="129"/>
        <v>390864</v>
      </c>
      <c r="P2051" s="42" t="str">
        <f>IFERROR(VLOOKUP(J2051,'Mã NV'!$B:$C,2,0),"")</f>
        <v>XE00975</v>
      </c>
      <c r="Q2051" s="70" t="str">
        <f>IFERROR(VLOOKUP(I2051,'Mã NV'!$J:$K,2,0),"")</f>
        <v>2.5T Lạnh</v>
      </c>
    </row>
    <row r="2052" customHeight="1" spans="1:17">
      <c r="A2052" s="63">
        <f t="shared" si="128"/>
        <v>2044</v>
      </c>
      <c r="B2052" s="64">
        <v>46160</v>
      </c>
      <c r="D2052" s="66" t="s">
        <v>58</v>
      </c>
      <c r="E2052" s="66" t="s">
        <v>58</v>
      </c>
      <c r="F2052" s="66" t="s">
        <v>985</v>
      </c>
      <c r="G2052" s="66" t="s">
        <v>1076</v>
      </c>
      <c r="H2052" s="66" t="s">
        <v>1104</v>
      </c>
      <c r="I2052" s="66" t="s">
        <v>133</v>
      </c>
      <c r="J2052" s="66" t="s">
        <v>347</v>
      </c>
      <c r="K2052" s="66" t="s">
        <v>747</v>
      </c>
      <c r="L2052" s="67">
        <v>582413</v>
      </c>
      <c r="M2052" s="67">
        <v>0</v>
      </c>
      <c r="N2052" s="68">
        <f t="shared" si="130"/>
        <v>582413</v>
      </c>
      <c r="O2052" s="69">
        <f t="shared" si="129"/>
        <v>582413</v>
      </c>
      <c r="P2052" s="42" t="str">
        <f>IFERROR(VLOOKUP(J2052,'Mã NV'!$B:$C,2,0),"")</f>
        <v>XE01653</v>
      </c>
      <c r="Q2052" s="70" t="str">
        <f>IFERROR(VLOOKUP(I2052,'Mã NV'!$J:$K,2,0),"")</f>
        <v>2.5T</v>
      </c>
    </row>
    <row r="2053" customHeight="1" spans="1:17">
      <c r="A2053" s="63">
        <f t="shared" si="128"/>
        <v>2045</v>
      </c>
      <c r="B2053" s="64">
        <v>46160</v>
      </c>
      <c r="D2053" s="66" t="s">
        <v>58</v>
      </c>
      <c r="E2053" s="66" t="s">
        <v>58</v>
      </c>
      <c r="F2053" s="66" t="s">
        <v>985</v>
      </c>
      <c r="G2053" s="66" t="s">
        <v>1076</v>
      </c>
      <c r="H2053" s="66" t="s">
        <v>1086</v>
      </c>
      <c r="I2053" s="66" t="s">
        <v>133</v>
      </c>
      <c r="J2053" s="66" t="s">
        <v>347</v>
      </c>
      <c r="K2053" s="66" t="s">
        <v>747</v>
      </c>
      <c r="L2053" s="67">
        <v>445222</v>
      </c>
      <c r="M2053" s="67">
        <v>0</v>
      </c>
      <c r="N2053" s="68">
        <f t="shared" si="130"/>
        <v>445222</v>
      </c>
      <c r="O2053" s="69">
        <f t="shared" si="129"/>
        <v>445222</v>
      </c>
      <c r="P2053" s="42" t="str">
        <f>IFERROR(VLOOKUP(J2053,'Mã NV'!$B:$C,2,0),"")</f>
        <v>XE01653</v>
      </c>
      <c r="Q2053" s="70" t="str">
        <f>IFERROR(VLOOKUP(I2053,'Mã NV'!$J:$K,2,0),"")</f>
        <v>2.5T</v>
      </c>
    </row>
    <row r="2054" customHeight="1" spans="1:17">
      <c r="A2054" s="63">
        <f t="shared" si="128"/>
        <v>2046</v>
      </c>
      <c r="B2054" s="64">
        <v>46161</v>
      </c>
      <c r="D2054" s="66" t="s">
        <v>58</v>
      </c>
      <c r="E2054" s="66" t="s">
        <v>58</v>
      </c>
      <c r="F2054" s="66" t="s">
        <v>985</v>
      </c>
      <c r="G2054" s="66" t="s">
        <v>1076</v>
      </c>
      <c r="H2054" s="66" t="s">
        <v>1110</v>
      </c>
      <c r="I2054" s="66" t="s">
        <v>403</v>
      </c>
      <c r="J2054" s="66" t="s">
        <v>401</v>
      </c>
      <c r="K2054" s="66" t="s">
        <v>747</v>
      </c>
      <c r="L2054" s="67">
        <v>698895</v>
      </c>
      <c r="M2054" s="67">
        <v>0</v>
      </c>
      <c r="N2054" s="68">
        <f t="shared" si="130"/>
        <v>698895</v>
      </c>
      <c r="O2054" s="69">
        <f t="shared" si="129"/>
        <v>698895</v>
      </c>
      <c r="P2054" s="42" t="str">
        <f>IFERROR(VLOOKUP(J2054,'Mã NV'!$B:$C,2,0),"")</f>
        <v>XE01466</v>
      </c>
      <c r="Q2054" s="70" t="str">
        <f>IFERROR(VLOOKUP(I2054,'Mã NV'!$J:$K,2,0),"")</f>
        <v>3.5T</v>
      </c>
    </row>
    <row r="2055" customHeight="1" spans="1:17">
      <c r="A2055" s="63">
        <f t="shared" si="128"/>
        <v>2047</v>
      </c>
      <c r="B2055" s="64">
        <v>46161</v>
      </c>
      <c r="D2055" s="66" t="s">
        <v>58</v>
      </c>
      <c r="E2055" s="66" t="s">
        <v>58</v>
      </c>
      <c r="F2055" s="66" t="s">
        <v>985</v>
      </c>
      <c r="G2055" s="66" t="s">
        <v>1076</v>
      </c>
      <c r="H2055" s="66" t="s">
        <v>1080</v>
      </c>
      <c r="I2055" s="66" t="s">
        <v>57</v>
      </c>
      <c r="J2055" s="66" t="s">
        <v>55</v>
      </c>
      <c r="K2055" s="66" t="s">
        <v>747</v>
      </c>
      <c r="L2055" s="67">
        <v>320974</v>
      </c>
      <c r="M2055" s="67">
        <v>0</v>
      </c>
      <c r="N2055" s="68">
        <f t="shared" si="130"/>
        <v>320974</v>
      </c>
      <c r="O2055" s="69">
        <f t="shared" si="129"/>
        <v>320974</v>
      </c>
      <c r="P2055" s="42" t="str">
        <f>IFERROR(VLOOKUP(J2055,'Mã NV'!$B:$C,2,0),"")</f>
        <v>XE00768</v>
      </c>
      <c r="Q2055" s="70" t="str">
        <f>IFERROR(VLOOKUP(I2055,'Mã NV'!$J:$K,2,0),"")</f>
        <v>2.5T</v>
      </c>
    </row>
    <row r="2056" customHeight="1" spans="1:17">
      <c r="A2056" s="63">
        <f t="shared" si="128"/>
        <v>2048</v>
      </c>
      <c r="B2056" s="64">
        <v>46161</v>
      </c>
      <c r="D2056" s="66" t="s">
        <v>58</v>
      </c>
      <c r="E2056" s="66" t="s">
        <v>58</v>
      </c>
      <c r="F2056" s="66" t="s">
        <v>985</v>
      </c>
      <c r="G2056" s="66" t="s">
        <v>1076</v>
      </c>
      <c r="H2056" s="66" t="s">
        <v>1081</v>
      </c>
      <c r="I2056" s="66" t="s">
        <v>57</v>
      </c>
      <c r="J2056" s="66" t="s">
        <v>55</v>
      </c>
      <c r="K2056" s="66" t="s">
        <v>747</v>
      </c>
      <c r="L2056" s="67">
        <v>188961</v>
      </c>
      <c r="M2056" s="67">
        <v>0</v>
      </c>
      <c r="N2056" s="68">
        <f t="shared" si="130"/>
        <v>188961</v>
      </c>
      <c r="O2056" s="69">
        <f t="shared" si="129"/>
        <v>188961</v>
      </c>
      <c r="P2056" s="42" t="str">
        <f>IFERROR(VLOOKUP(J2056,'Mã NV'!$B:$C,2,0),"")</f>
        <v>XE00768</v>
      </c>
      <c r="Q2056" s="70" t="str">
        <f>IFERROR(VLOOKUP(I2056,'Mã NV'!$J:$K,2,0),"")</f>
        <v>2.5T</v>
      </c>
    </row>
    <row r="2057" customHeight="1" spans="1:17">
      <c r="A2057" s="63">
        <f t="shared" si="128"/>
        <v>2049</v>
      </c>
      <c r="B2057" s="64">
        <v>46161</v>
      </c>
      <c r="D2057" s="66" t="s">
        <v>58</v>
      </c>
      <c r="E2057" s="66" t="s">
        <v>58</v>
      </c>
      <c r="F2057" s="66" t="s">
        <v>985</v>
      </c>
      <c r="G2057" s="66" t="s">
        <v>1076</v>
      </c>
      <c r="H2057" s="66" t="s">
        <v>1082</v>
      </c>
      <c r="I2057" s="66" t="s">
        <v>57</v>
      </c>
      <c r="J2057" s="66" t="s">
        <v>55</v>
      </c>
      <c r="K2057" s="66" t="s">
        <v>747</v>
      </c>
      <c r="L2057" s="67">
        <v>240731</v>
      </c>
      <c r="M2057" s="67">
        <v>0</v>
      </c>
      <c r="N2057" s="68">
        <f t="shared" si="130"/>
        <v>240731</v>
      </c>
      <c r="O2057" s="69">
        <f t="shared" si="129"/>
        <v>240731</v>
      </c>
      <c r="P2057" s="42" t="str">
        <f>IFERROR(VLOOKUP(J2057,'Mã NV'!$B:$C,2,0),"")</f>
        <v>XE00768</v>
      </c>
      <c r="Q2057" s="70" t="str">
        <f>IFERROR(VLOOKUP(I2057,'Mã NV'!$J:$K,2,0),"")</f>
        <v>2.5T</v>
      </c>
    </row>
    <row r="2058" customHeight="1" spans="1:17">
      <c r="A2058" s="63">
        <f t="shared" si="128"/>
        <v>2050</v>
      </c>
      <c r="B2058" s="64">
        <v>46161</v>
      </c>
      <c r="D2058" s="66" t="s">
        <v>58</v>
      </c>
      <c r="E2058" s="66" t="s">
        <v>58</v>
      </c>
      <c r="F2058" s="66" t="s">
        <v>985</v>
      </c>
      <c r="G2058" s="66" t="s">
        <v>1076</v>
      </c>
      <c r="H2058" s="66" t="s">
        <v>1083</v>
      </c>
      <c r="I2058" s="66" t="s">
        <v>57</v>
      </c>
      <c r="J2058" s="66" t="s">
        <v>55</v>
      </c>
      <c r="K2058" s="66" t="s">
        <v>747</v>
      </c>
      <c r="L2058" s="67">
        <v>134602</v>
      </c>
      <c r="M2058" s="67">
        <v>0</v>
      </c>
      <c r="N2058" s="68">
        <f t="shared" si="130"/>
        <v>134602</v>
      </c>
      <c r="O2058" s="69">
        <f t="shared" si="129"/>
        <v>134602</v>
      </c>
      <c r="P2058" s="42" t="str">
        <f>IFERROR(VLOOKUP(J2058,'Mã NV'!$B:$C,2,0),"")</f>
        <v>XE00768</v>
      </c>
      <c r="Q2058" s="70" t="str">
        <f>IFERROR(VLOOKUP(I2058,'Mã NV'!$J:$K,2,0),"")</f>
        <v>2.5T</v>
      </c>
    </row>
    <row r="2059" customHeight="1" spans="1:17">
      <c r="A2059" s="63">
        <f t="shared" si="128"/>
        <v>2051</v>
      </c>
      <c r="B2059" s="64">
        <v>46161</v>
      </c>
      <c r="D2059" s="66" t="s">
        <v>58</v>
      </c>
      <c r="E2059" s="66" t="s">
        <v>58</v>
      </c>
      <c r="F2059" s="66" t="s">
        <v>985</v>
      </c>
      <c r="G2059" s="66" t="s">
        <v>1076</v>
      </c>
      <c r="H2059" s="66" t="s">
        <v>1104</v>
      </c>
      <c r="I2059" s="66" t="s">
        <v>403</v>
      </c>
      <c r="J2059" s="66" t="s">
        <v>401</v>
      </c>
      <c r="K2059" s="66" t="s">
        <v>747</v>
      </c>
      <c r="L2059" s="67">
        <v>297678</v>
      </c>
      <c r="M2059" s="67">
        <v>0</v>
      </c>
      <c r="N2059" s="68">
        <f t="shared" si="130"/>
        <v>297678</v>
      </c>
      <c r="O2059" s="69">
        <f t="shared" si="129"/>
        <v>297678</v>
      </c>
      <c r="P2059" s="42" t="str">
        <f>IFERROR(VLOOKUP(J2059,'Mã NV'!$B:$C,2,0),"")</f>
        <v>XE01466</v>
      </c>
      <c r="Q2059" s="70" t="str">
        <f>IFERROR(VLOOKUP(I2059,'Mã NV'!$J:$K,2,0),"")</f>
        <v>3.5T</v>
      </c>
    </row>
    <row r="2060" customHeight="1" spans="1:17">
      <c r="A2060" s="63">
        <f t="shared" si="128"/>
        <v>2052</v>
      </c>
      <c r="B2060" s="64">
        <v>46161</v>
      </c>
      <c r="D2060" s="66" t="s">
        <v>58</v>
      </c>
      <c r="E2060" s="66" t="s">
        <v>58</v>
      </c>
      <c r="F2060" s="66" t="s">
        <v>985</v>
      </c>
      <c r="G2060" s="66" t="s">
        <v>1076</v>
      </c>
      <c r="H2060" s="66" t="s">
        <v>1106</v>
      </c>
      <c r="I2060" s="66" t="s">
        <v>403</v>
      </c>
      <c r="J2060" s="66" t="s">
        <v>401</v>
      </c>
      <c r="K2060" s="66" t="s">
        <v>747</v>
      </c>
      <c r="L2060" s="67">
        <v>1107878</v>
      </c>
      <c r="M2060" s="67">
        <v>0</v>
      </c>
      <c r="N2060" s="68">
        <f t="shared" si="130"/>
        <v>1107878</v>
      </c>
      <c r="O2060" s="69">
        <f t="shared" si="129"/>
        <v>1107878</v>
      </c>
      <c r="P2060" s="42" t="str">
        <f>IFERROR(VLOOKUP(J2060,'Mã NV'!$B:$C,2,0),"")</f>
        <v>XE01466</v>
      </c>
      <c r="Q2060" s="70" t="str">
        <f>IFERROR(VLOOKUP(I2060,'Mã NV'!$J:$K,2,0),"")</f>
        <v>3.5T</v>
      </c>
    </row>
    <row r="2061" customHeight="1" spans="1:17">
      <c r="A2061" s="63">
        <f t="shared" si="128"/>
        <v>2053</v>
      </c>
      <c r="B2061" s="64">
        <v>46161</v>
      </c>
      <c r="D2061" s="66" t="s">
        <v>58</v>
      </c>
      <c r="E2061" s="66" t="s">
        <v>58</v>
      </c>
      <c r="F2061" s="66" t="s">
        <v>985</v>
      </c>
      <c r="G2061" s="66" t="s">
        <v>1076</v>
      </c>
      <c r="H2061" s="66" t="s">
        <v>1101</v>
      </c>
      <c r="I2061" s="66" t="s">
        <v>134</v>
      </c>
      <c r="J2061" s="66" t="s">
        <v>359</v>
      </c>
      <c r="K2061" s="66" t="s">
        <v>747</v>
      </c>
      <c r="L2061" s="67">
        <v>258850</v>
      </c>
      <c r="M2061" s="67">
        <v>0</v>
      </c>
      <c r="N2061" s="68">
        <f t="shared" si="130"/>
        <v>258850</v>
      </c>
      <c r="O2061" s="69">
        <f t="shared" si="129"/>
        <v>258850</v>
      </c>
      <c r="P2061" s="42" t="str">
        <f>IFERROR(VLOOKUP(J2061,'Mã NV'!$B:$C,2,0),"")</f>
        <v>XE01639</v>
      </c>
      <c r="Q2061" s="70" t="str">
        <f>IFERROR(VLOOKUP(I2061,'Mã NV'!$J:$K,2,0),"")</f>
        <v>2.5T Lạnh</v>
      </c>
    </row>
    <row r="2062" customHeight="1" spans="1:17">
      <c r="A2062" s="63">
        <f t="shared" si="128"/>
        <v>2054</v>
      </c>
      <c r="B2062" s="64">
        <v>46161</v>
      </c>
      <c r="D2062" s="66" t="s">
        <v>58</v>
      </c>
      <c r="E2062" s="66" t="s">
        <v>58</v>
      </c>
      <c r="F2062" s="66" t="s">
        <v>985</v>
      </c>
      <c r="G2062" s="66" t="s">
        <v>1076</v>
      </c>
      <c r="H2062" s="66" t="s">
        <v>1084</v>
      </c>
      <c r="I2062" s="66" t="s">
        <v>134</v>
      </c>
      <c r="J2062" s="66" t="s">
        <v>359</v>
      </c>
      <c r="K2062" s="66" t="s">
        <v>747</v>
      </c>
      <c r="L2062" s="67">
        <v>238142</v>
      </c>
      <c r="M2062" s="67">
        <v>0</v>
      </c>
      <c r="N2062" s="68">
        <f t="shared" si="130"/>
        <v>238142</v>
      </c>
      <c r="O2062" s="69">
        <f t="shared" si="129"/>
        <v>238142</v>
      </c>
      <c r="P2062" s="42" t="str">
        <f>IFERROR(VLOOKUP(J2062,'Mã NV'!$B:$C,2,0),"")</f>
        <v>XE01639</v>
      </c>
      <c r="Q2062" s="70" t="str">
        <f>IFERROR(VLOOKUP(I2062,'Mã NV'!$J:$K,2,0),"")</f>
        <v>2.5T Lạnh</v>
      </c>
    </row>
    <row r="2063" customHeight="1" spans="1:17">
      <c r="A2063" s="63">
        <f t="shared" si="128"/>
        <v>2055</v>
      </c>
      <c r="B2063" s="64">
        <v>46161</v>
      </c>
      <c r="D2063" s="66" t="s">
        <v>58</v>
      </c>
      <c r="E2063" s="66" t="s">
        <v>58</v>
      </c>
      <c r="F2063" s="66" t="s">
        <v>985</v>
      </c>
      <c r="G2063" s="66" t="s">
        <v>1076</v>
      </c>
      <c r="H2063" s="66" t="s">
        <v>1085</v>
      </c>
      <c r="I2063" s="66" t="s">
        <v>134</v>
      </c>
      <c r="J2063" s="66" t="s">
        <v>359</v>
      </c>
      <c r="K2063" s="66" t="s">
        <v>747</v>
      </c>
      <c r="L2063" s="67">
        <v>137191</v>
      </c>
      <c r="M2063" s="67">
        <v>0</v>
      </c>
      <c r="N2063" s="68">
        <f t="shared" si="130"/>
        <v>137191</v>
      </c>
      <c r="O2063" s="69">
        <f t="shared" si="129"/>
        <v>137191</v>
      </c>
      <c r="P2063" s="42" t="str">
        <f>IFERROR(VLOOKUP(J2063,'Mã NV'!$B:$C,2,0),"")</f>
        <v>XE01639</v>
      </c>
      <c r="Q2063" s="70" t="str">
        <f>IFERROR(VLOOKUP(I2063,'Mã NV'!$J:$K,2,0),"")</f>
        <v>2.5T Lạnh</v>
      </c>
    </row>
    <row r="2064" customHeight="1" spans="1:17">
      <c r="A2064" s="63">
        <f t="shared" si="128"/>
        <v>2056</v>
      </c>
      <c r="B2064" s="64">
        <v>46161</v>
      </c>
      <c r="D2064" s="66" t="s">
        <v>58</v>
      </c>
      <c r="E2064" s="66" t="s">
        <v>58</v>
      </c>
      <c r="F2064" s="66" t="s">
        <v>985</v>
      </c>
      <c r="G2064" s="66" t="s">
        <v>1076</v>
      </c>
      <c r="H2064" s="66" t="s">
        <v>1087</v>
      </c>
      <c r="I2064" s="66" t="s">
        <v>177</v>
      </c>
      <c r="J2064" s="66" t="s">
        <v>174</v>
      </c>
      <c r="K2064" s="66" t="s">
        <v>747</v>
      </c>
      <c r="L2064" s="67">
        <v>134602</v>
      </c>
      <c r="M2064" s="67">
        <v>0</v>
      </c>
      <c r="N2064" s="68">
        <f t="shared" si="130"/>
        <v>134602</v>
      </c>
      <c r="O2064" s="69">
        <f t="shared" si="129"/>
        <v>134602</v>
      </c>
      <c r="P2064" s="42" t="str">
        <f>IFERROR(VLOOKUP(J2064,'Mã NV'!$B:$C,2,0),"")</f>
        <v>XE00975</v>
      </c>
      <c r="Q2064" s="70" t="str">
        <f>IFERROR(VLOOKUP(I2064,'Mã NV'!$J:$K,2,0),"")</f>
        <v>2.5T Lạnh</v>
      </c>
    </row>
    <row r="2065" customHeight="1" spans="1:17">
      <c r="A2065" s="63">
        <f t="shared" ref="A2065:A2128" si="131">A2064+1</f>
        <v>2057</v>
      </c>
      <c r="B2065" s="64">
        <v>46161</v>
      </c>
      <c r="D2065" s="66" t="s">
        <v>58</v>
      </c>
      <c r="E2065" s="66" t="s">
        <v>58</v>
      </c>
      <c r="F2065" s="66" t="s">
        <v>985</v>
      </c>
      <c r="G2065" s="66" t="s">
        <v>1076</v>
      </c>
      <c r="H2065" s="66" t="s">
        <v>1078</v>
      </c>
      <c r="I2065" s="66" t="s">
        <v>177</v>
      </c>
      <c r="J2065" s="66" t="s">
        <v>174</v>
      </c>
      <c r="K2065" s="66" t="s">
        <v>747</v>
      </c>
      <c r="L2065" s="67">
        <v>163076</v>
      </c>
      <c r="M2065" s="67">
        <v>0</v>
      </c>
      <c r="N2065" s="68">
        <f t="shared" si="130"/>
        <v>163076</v>
      </c>
      <c r="O2065" s="69">
        <f t="shared" si="129"/>
        <v>163076</v>
      </c>
      <c r="P2065" s="42" t="str">
        <f>IFERROR(VLOOKUP(J2065,'Mã NV'!$B:$C,2,0),"")</f>
        <v>XE00975</v>
      </c>
      <c r="Q2065" s="70" t="str">
        <f>IFERROR(VLOOKUP(I2065,'Mã NV'!$J:$K,2,0),"")</f>
        <v>2.5T Lạnh</v>
      </c>
    </row>
    <row r="2066" customHeight="1" spans="1:17">
      <c r="A2066" s="63">
        <f t="shared" si="131"/>
        <v>2058</v>
      </c>
      <c r="B2066" s="64">
        <v>46161</v>
      </c>
      <c r="D2066" s="66" t="s">
        <v>58</v>
      </c>
      <c r="E2066" s="66" t="s">
        <v>58</v>
      </c>
      <c r="F2066" s="66" t="s">
        <v>985</v>
      </c>
      <c r="G2066" s="66" t="s">
        <v>1076</v>
      </c>
      <c r="H2066" s="66" t="s">
        <v>1111</v>
      </c>
      <c r="I2066" s="66" t="s">
        <v>177</v>
      </c>
      <c r="J2066" s="66" t="s">
        <v>174</v>
      </c>
      <c r="K2066" s="66" t="s">
        <v>747</v>
      </c>
      <c r="L2066" s="67">
        <v>199315</v>
      </c>
      <c r="M2066" s="67">
        <v>0</v>
      </c>
      <c r="N2066" s="68">
        <f t="shared" si="130"/>
        <v>199315</v>
      </c>
      <c r="O2066" s="69">
        <f t="shared" si="129"/>
        <v>199315</v>
      </c>
      <c r="P2066" s="42" t="str">
        <f>IFERROR(VLOOKUP(J2066,'Mã NV'!$B:$C,2,0),"")</f>
        <v>XE00975</v>
      </c>
      <c r="Q2066" s="70" t="str">
        <f>IFERROR(VLOOKUP(I2066,'Mã NV'!$J:$K,2,0),"")</f>
        <v>2.5T Lạnh</v>
      </c>
    </row>
    <row r="2067" customHeight="1" spans="1:17">
      <c r="A2067" s="63">
        <f t="shared" si="131"/>
        <v>2059</v>
      </c>
      <c r="B2067" s="64">
        <v>46161</v>
      </c>
      <c r="D2067" s="66" t="s">
        <v>58</v>
      </c>
      <c r="E2067" s="66" t="s">
        <v>58</v>
      </c>
      <c r="F2067" s="66" t="s">
        <v>985</v>
      </c>
      <c r="G2067" s="66" t="s">
        <v>1076</v>
      </c>
      <c r="H2067" s="66" t="s">
        <v>1079</v>
      </c>
      <c r="I2067" s="66" t="s">
        <v>177</v>
      </c>
      <c r="J2067" s="66" t="s">
        <v>174</v>
      </c>
      <c r="K2067" s="66" t="s">
        <v>747</v>
      </c>
      <c r="L2067" s="67">
        <v>196726</v>
      </c>
      <c r="M2067" s="67">
        <v>0</v>
      </c>
      <c r="N2067" s="68">
        <f t="shared" si="130"/>
        <v>196726</v>
      </c>
      <c r="O2067" s="69">
        <f t="shared" si="129"/>
        <v>196726</v>
      </c>
      <c r="P2067" s="42" t="str">
        <f>IFERROR(VLOOKUP(J2067,'Mã NV'!$B:$C,2,0),"")</f>
        <v>XE00975</v>
      </c>
      <c r="Q2067" s="70" t="str">
        <f>IFERROR(VLOOKUP(I2067,'Mã NV'!$J:$K,2,0),"")</f>
        <v>2.5T Lạnh</v>
      </c>
    </row>
    <row r="2068" customHeight="1" spans="1:17">
      <c r="A2068" s="63">
        <f t="shared" si="131"/>
        <v>2060</v>
      </c>
      <c r="B2068" s="64">
        <v>46161</v>
      </c>
      <c r="D2068" s="66" t="s">
        <v>58</v>
      </c>
      <c r="E2068" s="66" t="s">
        <v>58</v>
      </c>
      <c r="F2068" s="66" t="s">
        <v>985</v>
      </c>
      <c r="G2068" s="66" t="s">
        <v>1076</v>
      </c>
      <c r="H2068" s="66" t="s">
        <v>1096</v>
      </c>
      <c r="I2068" s="66" t="s">
        <v>214</v>
      </c>
      <c r="J2068" s="66" t="s">
        <v>212</v>
      </c>
      <c r="K2068" s="66" t="s">
        <v>747</v>
      </c>
      <c r="L2068" s="67">
        <v>170841</v>
      </c>
      <c r="M2068" s="67">
        <v>0</v>
      </c>
      <c r="N2068" s="68">
        <f t="shared" si="130"/>
        <v>170841</v>
      </c>
      <c r="O2068" s="69">
        <f t="shared" si="129"/>
        <v>170841</v>
      </c>
      <c r="P2068" s="42" t="str">
        <f>IFERROR(VLOOKUP(J2068,'Mã NV'!$B:$C,2,0),"")</f>
        <v>XE00977</v>
      </c>
      <c r="Q2068" s="70" t="str">
        <f>IFERROR(VLOOKUP(I2068,'Mã NV'!$J:$K,2,0),"")</f>
        <v>2T5 Lạnh </v>
      </c>
    </row>
    <row r="2069" customHeight="1" spans="1:17">
      <c r="A2069" s="63">
        <f t="shared" si="131"/>
        <v>2061</v>
      </c>
      <c r="B2069" s="64">
        <v>46161</v>
      </c>
      <c r="D2069" s="66" t="s">
        <v>58</v>
      </c>
      <c r="E2069" s="66" t="s">
        <v>58</v>
      </c>
      <c r="F2069" s="66" t="s">
        <v>985</v>
      </c>
      <c r="G2069" s="66" t="s">
        <v>1076</v>
      </c>
      <c r="H2069" s="66" t="s">
        <v>1091</v>
      </c>
      <c r="I2069" s="66" t="s">
        <v>214</v>
      </c>
      <c r="J2069" s="66" t="s">
        <v>212</v>
      </c>
      <c r="K2069" s="66" t="s">
        <v>747</v>
      </c>
      <c r="L2069" s="67">
        <v>292501</v>
      </c>
      <c r="M2069" s="67">
        <v>0</v>
      </c>
      <c r="N2069" s="68">
        <f t="shared" si="130"/>
        <v>292501</v>
      </c>
      <c r="O2069" s="69">
        <f t="shared" si="129"/>
        <v>292501</v>
      </c>
      <c r="P2069" s="42" t="str">
        <f>IFERROR(VLOOKUP(J2069,'Mã NV'!$B:$C,2,0),"")</f>
        <v>XE00977</v>
      </c>
      <c r="Q2069" s="70" t="str">
        <f>IFERROR(VLOOKUP(I2069,'Mã NV'!$J:$K,2,0),"")</f>
        <v>2T5 Lạnh </v>
      </c>
    </row>
    <row r="2070" customHeight="1" spans="1:17">
      <c r="A2070" s="63">
        <f t="shared" si="131"/>
        <v>2062</v>
      </c>
      <c r="B2070" s="64">
        <v>46161</v>
      </c>
      <c r="D2070" s="66" t="s">
        <v>58</v>
      </c>
      <c r="E2070" s="66" t="s">
        <v>58</v>
      </c>
      <c r="F2070" s="66" t="s">
        <v>985</v>
      </c>
      <c r="G2070" s="66" t="s">
        <v>1076</v>
      </c>
      <c r="H2070" s="66" t="s">
        <v>1088</v>
      </c>
      <c r="I2070" s="66" t="s">
        <v>214</v>
      </c>
      <c r="J2070" s="66" t="s">
        <v>212</v>
      </c>
      <c r="K2070" s="66" t="s">
        <v>747</v>
      </c>
      <c r="L2070" s="67">
        <v>217434</v>
      </c>
      <c r="M2070" s="67">
        <v>0</v>
      </c>
      <c r="N2070" s="68">
        <f t="shared" si="130"/>
        <v>217434</v>
      </c>
      <c r="O2070" s="69">
        <f t="shared" si="129"/>
        <v>217434</v>
      </c>
      <c r="P2070" s="42" t="str">
        <f>IFERROR(VLOOKUP(J2070,'Mã NV'!$B:$C,2,0),"")</f>
        <v>XE00977</v>
      </c>
      <c r="Q2070" s="70" t="str">
        <f>IFERROR(VLOOKUP(I2070,'Mã NV'!$J:$K,2,0),"")</f>
        <v>2T5 Lạnh </v>
      </c>
    </row>
    <row r="2071" customHeight="1" spans="1:17">
      <c r="A2071" s="63">
        <f t="shared" si="131"/>
        <v>2063</v>
      </c>
      <c r="B2071" s="64">
        <v>46161</v>
      </c>
      <c r="D2071" s="66" t="s">
        <v>58</v>
      </c>
      <c r="E2071" s="66" t="s">
        <v>58</v>
      </c>
      <c r="F2071" s="66" t="s">
        <v>985</v>
      </c>
      <c r="G2071" s="66" t="s">
        <v>1076</v>
      </c>
      <c r="H2071" s="66" t="s">
        <v>1098</v>
      </c>
      <c r="I2071" s="66" t="s">
        <v>358</v>
      </c>
      <c r="J2071" s="66" t="s">
        <v>356</v>
      </c>
      <c r="K2071" s="66" t="s">
        <v>747</v>
      </c>
      <c r="L2071" s="67">
        <v>163076</v>
      </c>
      <c r="M2071" s="67">
        <v>0</v>
      </c>
      <c r="N2071" s="68">
        <f t="shared" si="130"/>
        <v>163076</v>
      </c>
      <c r="O2071" s="69">
        <f t="shared" si="129"/>
        <v>163076</v>
      </c>
      <c r="P2071" s="42" t="str">
        <f>IFERROR(VLOOKUP(J2071,'Mã NV'!$B:$C,2,0),"")</f>
        <v>XE01616</v>
      </c>
      <c r="Q2071" s="70" t="str">
        <f>IFERROR(VLOOKUP(I2071,'Mã NV'!$J:$K,2,0),"")</f>
        <v>2.5T Lạnh</v>
      </c>
    </row>
    <row r="2072" customHeight="1" spans="1:17">
      <c r="A2072" s="63">
        <f t="shared" si="131"/>
        <v>2064</v>
      </c>
      <c r="B2072" s="64">
        <v>46161</v>
      </c>
      <c r="D2072" s="66" t="s">
        <v>58</v>
      </c>
      <c r="E2072" s="66" t="s">
        <v>58</v>
      </c>
      <c r="F2072" s="66" t="s">
        <v>985</v>
      </c>
      <c r="G2072" s="66" t="s">
        <v>1076</v>
      </c>
      <c r="H2072" s="66" t="s">
        <v>1097</v>
      </c>
      <c r="I2072" s="66" t="s">
        <v>358</v>
      </c>
      <c r="J2072" s="66" t="s">
        <v>356</v>
      </c>
      <c r="K2072" s="66" t="s">
        <v>747</v>
      </c>
      <c r="L2072" s="67">
        <v>230377</v>
      </c>
      <c r="M2072" s="67">
        <v>0</v>
      </c>
      <c r="N2072" s="68">
        <f t="shared" si="130"/>
        <v>230377</v>
      </c>
      <c r="O2072" s="69">
        <f t="shared" si="129"/>
        <v>230377</v>
      </c>
      <c r="P2072" s="42" t="str">
        <f>IFERROR(VLOOKUP(J2072,'Mã NV'!$B:$C,2,0),"")</f>
        <v>XE01616</v>
      </c>
      <c r="Q2072" s="70" t="str">
        <f>IFERROR(VLOOKUP(I2072,'Mã NV'!$J:$K,2,0),"")</f>
        <v>2.5T Lạnh</v>
      </c>
    </row>
    <row r="2073" customHeight="1" spans="1:17">
      <c r="A2073" s="63">
        <f t="shared" si="131"/>
        <v>2065</v>
      </c>
      <c r="B2073" s="64">
        <v>46161</v>
      </c>
      <c r="D2073" s="66" t="s">
        <v>58</v>
      </c>
      <c r="E2073" s="66" t="s">
        <v>58</v>
      </c>
      <c r="F2073" s="66" t="s">
        <v>985</v>
      </c>
      <c r="G2073" s="66" t="s">
        <v>1076</v>
      </c>
      <c r="H2073" s="66" t="s">
        <v>1089</v>
      </c>
      <c r="I2073" s="66" t="s">
        <v>358</v>
      </c>
      <c r="J2073" s="66" t="s">
        <v>356</v>
      </c>
      <c r="K2073" s="66" t="s">
        <v>747</v>
      </c>
      <c r="L2073" s="67">
        <v>264027</v>
      </c>
      <c r="M2073" s="67">
        <v>0</v>
      </c>
      <c r="N2073" s="68">
        <f t="shared" si="130"/>
        <v>264027</v>
      </c>
      <c r="O2073" s="69">
        <f t="shared" si="129"/>
        <v>264027</v>
      </c>
      <c r="P2073" s="42" t="str">
        <f>IFERROR(VLOOKUP(J2073,'Mã NV'!$B:$C,2,0),"")</f>
        <v>XE01616</v>
      </c>
      <c r="Q2073" s="70" t="str">
        <f>IFERROR(VLOOKUP(I2073,'Mã NV'!$J:$K,2,0),"")</f>
        <v>2.5T Lạnh</v>
      </c>
    </row>
    <row r="2074" customHeight="1" spans="1:17">
      <c r="A2074" s="63">
        <f t="shared" si="131"/>
        <v>2066</v>
      </c>
      <c r="B2074" s="64">
        <v>46161</v>
      </c>
      <c r="D2074" s="66" t="s">
        <v>58</v>
      </c>
      <c r="E2074" s="66" t="s">
        <v>58</v>
      </c>
      <c r="F2074" s="66" t="s">
        <v>985</v>
      </c>
      <c r="G2074" s="66" t="s">
        <v>1076</v>
      </c>
      <c r="H2074" s="66" t="s">
        <v>1094</v>
      </c>
      <c r="I2074" s="66" t="s">
        <v>57</v>
      </c>
      <c r="J2074" s="66" t="s">
        <v>55</v>
      </c>
      <c r="K2074" s="66" t="s">
        <v>747</v>
      </c>
      <c r="L2074" s="67">
        <v>113894</v>
      </c>
      <c r="M2074" s="67">
        <v>0</v>
      </c>
      <c r="N2074" s="68">
        <f t="shared" si="130"/>
        <v>113894</v>
      </c>
      <c r="O2074" s="69">
        <f t="shared" si="129"/>
        <v>113894</v>
      </c>
      <c r="P2074" s="42" t="str">
        <f>IFERROR(VLOOKUP(J2074,'Mã NV'!$B:$C,2,0),"")</f>
        <v>XE00768</v>
      </c>
      <c r="Q2074" s="70" t="str">
        <f>IFERROR(VLOOKUP(I2074,'Mã NV'!$J:$K,2,0),"")</f>
        <v>2.5T</v>
      </c>
    </row>
    <row r="2075" customHeight="1" spans="1:17">
      <c r="A2075" s="63">
        <f t="shared" si="131"/>
        <v>2067</v>
      </c>
      <c r="B2075" s="64">
        <v>46161</v>
      </c>
      <c r="D2075" s="66" t="s">
        <v>58</v>
      </c>
      <c r="E2075" s="66" t="s">
        <v>58</v>
      </c>
      <c r="F2075" s="66" t="s">
        <v>985</v>
      </c>
      <c r="G2075" s="66" t="s">
        <v>1076</v>
      </c>
      <c r="H2075" s="66" t="s">
        <v>1095</v>
      </c>
      <c r="I2075" s="66" t="s">
        <v>57</v>
      </c>
      <c r="J2075" s="66" t="s">
        <v>55</v>
      </c>
      <c r="K2075" s="66" t="s">
        <v>747</v>
      </c>
      <c r="L2075" s="67">
        <v>235554</v>
      </c>
      <c r="M2075" s="67">
        <v>0</v>
      </c>
      <c r="N2075" s="68">
        <f t="shared" si="130"/>
        <v>235554</v>
      </c>
      <c r="O2075" s="69">
        <f t="shared" si="129"/>
        <v>235554</v>
      </c>
      <c r="P2075" s="42" t="str">
        <f>IFERROR(VLOOKUP(J2075,'Mã NV'!$B:$C,2,0),"")</f>
        <v>XE00768</v>
      </c>
      <c r="Q2075" s="70" t="str">
        <f>IFERROR(VLOOKUP(I2075,'Mã NV'!$J:$K,2,0),"")</f>
        <v>2.5T</v>
      </c>
    </row>
    <row r="2076" customHeight="1" spans="1:17">
      <c r="A2076" s="63">
        <f t="shared" si="131"/>
        <v>2068</v>
      </c>
      <c r="B2076" s="64">
        <v>46161</v>
      </c>
      <c r="D2076" s="66" t="s">
        <v>58</v>
      </c>
      <c r="E2076" s="66" t="s">
        <v>58</v>
      </c>
      <c r="F2076" s="66" t="s">
        <v>985</v>
      </c>
      <c r="G2076" s="66" t="s">
        <v>1076</v>
      </c>
      <c r="H2076" s="66" t="s">
        <v>1092</v>
      </c>
      <c r="I2076" s="66" t="s">
        <v>57</v>
      </c>
      <c r="J2076" s="66" t="s">
        <v>55</v>
      </c>
      <c r="K2076" s="66" t="s">
        <v>747</v>
      </c>
      <c r="L2076" s="67">
        <v>349448</v>
      </c>
      <c r="M2076" s="67">
        <v>0</v>
      </c>
      <c r="N2076" s="68">
        <f t="shared" si="130"/>
        <v>349448</v>
      </c>
      <c r="O2076" s="69">
        <f t="shared" si="129"/>
        <v>349448</v>
      </c>
      <c r="P2076" s="42" t="str">
        <f>IFERROR(VLOOKUP(J2076,'Mã NV'!$B:$C,2,0),"")</f>
        <v>XE00768</v>
      </c>
      <c r="Q2076" s="70" t="str">
        <f>IFERROR(VLOOKUP(I2076,'Mã NV'!$J:$K,2,0),"")</f>
        <v>2.5T</v>
      </c>
    </row>
    <row r="2077" customHeight="1" spans="1:17">
      <c r="A2077" s="63">
        <f t="shared" si="131"/>
        <v>2069</v>
      </c>
      <c r="B2077" s="64">
        <v>46161</v>
      </c>
      <c r="D2077" s="66" t="s">
        <v>58</v>
      </c>
      <c r="E2077" s="66" t="s">
        <v>58</v>
      </c>
      <c r="F2077" s="66" t="s">
        <v>985</v>
      </c>
      <c r="G2077" s="66" t="s">
        <v>1076</v>
      </c>
      <c r="H2077" s="66" t="s">
        <v>1093</v>
      </c>
      <c r="I2077" s="66" t="s">
        <v>57</v>
      </c>
      <c r="J2077" s="66" t="s">
        <v>55</v>
      </c>
      <c r="K2077" s="66" t="s">
        <v>747</v>
      </c>
      <c r="L2077" s="67">
        <v>227788</v>
      </c>
      <c r="M2077" s="67">
        <v>0</v>
      </c>
      <c r="N2077" s="68">
        <f t="shared" si="130"/>
        <v>227788</v>
      </c>
      <c r="O2077" s="69">
        <f t="shared" si="129"/>
        <v>227788</v>
      </c>
      <c r="P2077" s="42" t="str">
        <f>IFERROR(VLOOKUP(J2077,'Mã NV'!$B:$C,2,0),"")</f>
        <v>XE00768</v>
      </c>
      <c r="Q2077" s="70" t="str">
        <f>IFERROR(VLOOKUP(I2077,'Mã NV'!$J:$K,2,0),"")</f>
        <v>2.5T</v>
      </c>
    </row>
    <row r="2078" customHeight="1" spans="1:17">
      <c r="A2078" s="63">
        <f t="shared" si="131"/>
        <v>2070</v>
      </c>
      <c r="B2078" s="64">
        <v>46161</v>
      </c>
      <c r="D2078" s="66" t="s">
        <v>58</v>
      </c>
      <c r="E2078" s="66" t="s">
        <v>58</v>
      </c>
      <c r="F2078" s="66" t="s">
        <v>985</v>
      </c>
      <c r="G2078" s="66" t="s">
        <v>1076</v>
      </c>
      <c r="H2078" s="66" t="s">
        <v>1099</v>
      </c>
      <c r="I2078" s="66" t="s">
        <v>403</v>
      </c>
      <c r="J2078" s="66" t="s">
        <v>401</v>
      </c>
      <c r="K2078" s="66" t="s">
        <v>747</v>
      </c>
      <c r="L2078" s="67">
        <v>160487</v>
      </c>
      <c r="M2078" s="67">
        <v>0</v>
      </c>
      <c r="N2078" s="68">
        <f t="shared" si="130"/>
        <v>160487</v>
      </c>
      <c r="O2078" s="69">
        <f t="shared" si="129"/>
        <v>160487</v>
      </c>
      <c r="P2078" s="42" t="str">
        <f>IFERROR(VLOOKUP(J2078,'Mã NV'!$B:$C,2,0),"")</f>
        <v>XE01466</v>
      </c>
      <c r="Q2078" s="70" t="str">
        <f>IFERROR(VLOOKUP(I2078,'Mã NV'!$J:$K,2,0),"")</f>
        <v>3.5T</v>
      </c>
    </row>
    <row r="2079" customHeight="1" spans="1:17">
      <c r="A2079" s="63">
        <f t="shared" si="131"/>
        <v>2071</v>
      </c>
      <c r="B2079" s="64">
        <v>46161</v>
      </c>
      <c r="D2079" s="66" t="s">
        <v>58</v>
      </c>
      <c r="E2079" s="66" t="s">
        <v>58</v>
      </c>
      <c r="F2079" s="66" t="s">
        <v>985</v>
      </c>
      <c r="G2079" s="66" t="s">
        <v>1076</v>
      </c>
      <c r="H2079" s="66" t="s">
        <v>1100</v>
      </c>
      <c r="I2079" s="66" t="s">
        <v>403</v>
      </c>
      <c r="J2079" s="66" t="s">
        <v>401</v>
      </c>
      <c r="K2079" s="66" t="s">
        <v>747</v>
      </c>
      <c r="L2079" s="67">
        <v>212257</v>
      </c>
      <c r="M2079" s="67">
        <v>0</v>
      </c>
      <c r="N2079" s="68">
        <f t="shared" si="130"/>
        <v>212257</v>
      </c>
      <c r="O2079" s="69">
        <f t="shared" si="129"/>
        <v>212257</v>
      </c>
      <c r="P2079" s="42" t="str">
        <f>IFERROR(VLOOKUP(J2079,'Mã NV'!$B:$C,2,0),"")</f>
        <v>XE01466</v>
      </c>
      <c r="Q2079" s="70" t="str">
        <f>IFERROR(VLOOKUP(I2079,'Mã NV'!$J:$K,2,0),"")</f>
        <v>3.5T</v>
      </c>
    </row>
    <row r="2080" customHeight="1" spans="1:17">
      <c r="A2080" s="63">
        <f t="shared" si="131"/>
        <v>2072</v>
      </c>
      <c r="B2080" s="64">
        <v>46161</v>
      </c>
      <c r="D2080" s="66" t="s">
        <v>58</v>
      </c>
      <c r="E2080" s="66" t="s">
        <v>58</v>
      </c>
      <c r="F2080" s="66" t="s">
        <v>985</v>
      </c>
      <c r="G2080" s="66" t="s">
        <v>1076</v>
      </c>
      <c r="H2080" s="66" t="s">
        <v>1077</v>
      </c>
      <c r="I2080" s="66" t="s">
        <v>403</v>
      </c>
      <c r="J2080" s="66" t="s">
        <v>401</v>
      </c>
      <c r="K2080" s="66" t="s">
        <v>747</v>
      </c>
      <c r="L2080" s="67">
        <v>261439</v>
      </c>
      <c r="M2080" s="67">
        <v>0</v>
      </c>
      <c r="N2080" s="68">
        <f t="shared" si="130"/>
        <v>261439</v>
      </c>
      <c r="O2080" s="69">
        <f t="shared" si="129"/>
        <v>261439</v>
      </c>
      <c r="P2080" s="42" t="str">
        <f>IFERROR(VLOOKUP(J2080,'Mã NV'!$B:$C,2,0),"")</f>
        <v>XE01466</v>
      </c>
      <c r="Q2080" s="70" t="str">
        <f>IFERROR(VLOOKUP(I2080,'Mã NV'!$J:$K,2,0),"")</f>
        <v>3.5T</v>
      </c>
    </row>
    <row r="2081" customHeight="1" spans="1:17">
      <c r="A2081" s="63">
        <f t="shared" si="131"/>
        <v>2073</v>
      </c>
      <c r="B2081" s="64">
        <v>46161</v>
      </c>
      <c r="D2081" s="66" t="s">
        <v>58</v>
      </c>
      <c r="E2081" s="66" t="s">
        <v>58</v>
      </c>
      <c r="F2081" s="66" t="s">
        <v>985</v>
      </c>
      <c r="G2081" s="66" t="s">
        <v>1076</v>
      </c>
      <c r="H2081" s="66" t="s">
        <v>1090</v>
      </c>
      <c r="I2081" s="66" t="s">
        <v>403</v>
      </c>
      <c r="J2081" s="66" t="s">
        <v>401</v>
      </c>
      <c r="K2081" s="66" t="s">
        <v>747</v>
      </c>
      <c r="L2081" s="67">
        <v>388275</v>
      </c>
      <c r="M2081" s="67">
        <v>0</v>
      </c>
      <c r="N2081" s="68">
        <f t="shared" si="130"/>
        <v>388275</v>
      </c>
      <c r="O2081" s="69">
        <f t="shared" si="129"/>
        <v>388275</v>
      </c>
      <c r="P2081" s="42" t="str">
        <f>IFERROR(VLOOKUP(J2081,'Mã NV'!$B:$C,2,0),"")</f>
        <v>XE01466</v>
      </c>
      <c r="Q2081" s="70" t="str">
        <f>IFERROR(VLOOKUP(I2081,'Mã NV'!$J:$K,2,0),"")</f>
        <v>3.5T</v>
      </c>
    </row>
    <row r="2082" customHeight="1" spans="1:17">
      <c r="A2082" s="63">
        <f t="shared" si="131"/>
        <v>2074</v>
      </c>
      <c r="B2082" s="64">
        <v>46161</v>
      </c>
      <c r="D2082" s="66" t="s">
        <v>58</v>
      </c>
      <c r="E2082" s="66" t="s">
        <v>58</v>
      </c>
      <c r="F2082" s="66" t="s">
        <v>985</v>
      </c>
      <c r="G2082" s="66" t="s">
        <v>1076</v>
      </c>
      <c r="H2082" s="66" t="s">
        <v>1102</v>
      </c>
      <c r="I2082" s="66" t="s">
        <v>134</v>
      </c>
      <c r="J2082" s="66" t="s">
        <v>359</v>
      </c>
      <c r="K2082" s="66" t="s">
        <v>747</v>
      </c>
      <c r="L2082" s="67">
        <v>346859</v>
      </c>
      <c r="M2082" s="67">
        <v>0</v>
      </c>
      <c r="N2082" s="68">
        <f t="shared" si="130"/>
        <v>346859</v>
      </c>
      <c r="O2082" s="69">
        <f t="shared" si="129"/>
        <v>346859</v>
      </c>
      <c r="P2082" s="42" t="str">
        <f>IFERROR(VLOOKUP(J2082,'Mã NV'!$B:$C,2,0),"")</f>
        <v>XE01639</v>
      </c>
      <c r="Q2082" s="70" t="str">
        <f>IFERROR(VLOOKUP(I2082,'Mã NV'!$J:$K,2,0),"")</f>
        <v>2.5T Lạnh</v>
      </c>
    </row>
    <row r="2083" customHeight="1" spans="1:17">
      <c r="A2083" s="63">
        <f t="shared" si="131"/>
        <v>2075</v>
      </c>
      <c r="B2083" s="64">
        <v>46161</v>
      </c>
      <c r="D2083" s="66" t="s">
        <v>58</v>
      </c>
      <c r="E2083" s="66" t="s">
        <v>58</v>
      </c>
      <c r="F2083" s="66" t="s">
        <v>985</v>
      </c>
      <c r="G2083" s="66" t="s">
        <v>1076</v>
      </c>
      <c r="H2083" s="66" t="s">
        <v>1103</v>
      </c>
      <c r="I2083" s="66" t="s">
        <v>134</v>
      </c>
      <c r="J2083" s="66" t="s">
        <v>359</v>
      </c>
      <c r="K2083" s="66" t="s">
        <v>747</v>
      </c>
      <c r="L2083" s="67">
        <v>116483</v>
      </c>
      <c r="M2083" s="67">
        <v>0</v>
      </c>
      <c r="N2083" s="68">
        <f t="shared" si="130"/>
        <v>116483</v>
      </c>
      <c r="O2083" s="69">
        <f t="shared" si="129"/>
        <v>116483</v>
      </c>
      <c r="P2083" s="42" t="str">
        <f>IFERROR(VLOOKUP(J2083,'Mã NV'!$B:$C,2,0),"")</f>
        <v>XE01639</v>
      </c>
      <c r="Q2083" s="70" t="str">
        <f>IFERROR(VLOOKUP(I2083,'Mã NV'!$J:$K,2,0),"")</f>
        <v>2.5T Lạnh</v>
      </c>
    </row>
    <row r="2084" customHeight="1" spans="1:17">
      <c r="A2084" s="63">
        <f t="shared" si="131"/>
        <v>2076</v>
      </c>
      <c r="B2084" s="64">
        <v>46161</v>
      </c>
      <c r="D2084" s="66" t="s">
        <v>58</v>
      </c>
      <c r="E2084" s="66" t="s">
        <v>58</v>
      </c>
      <c r="F2084" s="66" t="s">
        <v>985</v>
      </c>
      <c r="G2084" s="66" t="s">
        <v>1076</v>
      </c>
      <c r="H2084" s="66" t="s">
        <v>1086</v>
      </c>
      <c r="I2084" s="66" t="s">
        <v>134</v>
      </c>
      <c r="J2084" s="66" t="s">
        <v>359</v>
      </c>
      <c r="K2084" s="66" t="s">
        <v>747</v>
      </c>
      <c r="L2084" s="67">
        <v>287324</v>
      </c>
      <c r="M2084" s="67">
        <v>0</v>
      </c>
      <c r="N2084" s="68">
        <f t="shared" si="130"/>
        <v>287324</v>
      </c>
      <c r="O2084" s="69">
        <f t="shared" si="129"/>
        <v>287324</v>
      </c>
      <c r="P2084" s="42" t="str">
        <f>IFERROR(VLOOKUP(J2084,'Mã NV'!$B:$C,2,0),"")</f>
        <v>XE01639</v>
      </c>
      <c r="Q2084" s="70" t="str">
        <f>IFERROR(VLOOKUP(I2084,'Mã NV'!$J:$K,2,0),"")</f>
        <v>2.5T Lạnh</v>
      </c>
    </row>
    <row r="2085" customHeight="1" spans="1:17">
      <c r="A2085" s="63">
        <f t="shared" si="131"/>
        <v>2077</v>
      </c>
      <c r="B2085" s="64">
        <v>46162</v>
      </c>
      <c r="D2085" s="66" t="s">
        <v>58</v>
      </c>
      <c r="E2085" s="66" t="s">
        <v>58</v>
      </c>
      <c r="F2085" s="66" t="s">
        <v>985</v>
      </c>
      <c r="G2085" s="66" t="s">
        <v>1076</v>
      </c>
      <c r="H2085" s="66" t="s">
        <v>1104</v>
      </c>
      <c r="I2085" s="66" t="s">
        <v>57</v>
      </c>
      <c r="J2085" s="66" t="s">
        <v>55</v>
      </c>
      <c r="K2085" s="66" t="s">
        <v>747</v>
      </c>
      <c r="L2085" s="67">
        <v>243319</v>
      </c>
      <c r="M2085" s="67">
        <v>0</v>
      </c>
      <c r="N2085" s="68">
        <f t="shared" si="130"/>
        <v>243319</v>
      </c>
      <c r="O2085" s="69">
        <f t="shared" si="129"/>
        <v>243319</v>
      </c>
      <c r="P2085" s="42" t="str">
        <f>IFERROR(VLOOKUP(J2085,'Mã NV'!$B:$C,2,0),"")</f>
        <v>XE00768</v>
      </c>
      <c r="Q2085" s="70" t="str">
        <f>IFERROR(VLOOKUP(I2085,'Mã NV'!$J:$K,2,0),"")</f>
        <v>2.5T</v>
      </c>
    </row>
    <row r="2086" customHeight="1" spans="1:17">
      <c r="A2086" s="63">
        <f t="shared" si="131"/>
        <v>2078</v>
      </c>
      <c r="B2086" s="64">
        <v>46162</v>
      </c>
      <c r="D2086" s="66" t="s">
        <v>58</v>
      </c>
      <c r="E2086" s="66" t="s">
        <v>58</v>
      </c>
      <c r="F2086" s="66" t="s">
        <v>985</v>
      </c>
      <c r="G2086" s="66" t="s">
        <v>1076</v>
      </c>
      <c r="H2086" s="66" t="s">
        <v>1102</v>
      </c>
      <c r="I2086" s="66" t="s">
        <v>57</v>
      </c>
      <c r="J2086" s="66" t="s">
        <v>55</v>
      </c>
      <c r="K2086" s="66" t="s">
        <v>747</v>
      </c>
      <c r="L2086" s="67">
        <v>258850</v>
      </c>
      <c r="M2086" s="67">
        <v>0</v>
      </c>
      <c r="N2086" s="68">
        <f t="shared" si="130"/>
        <v>258850</v>
      </c>
      <c r="O2086" s="69">
        <f t="shared" si="129"/>
        <v>258850</v>
      </c>
      <c r="P2086" s="42" t="str">
        <f>IFERROR(VLOOKUP(J2086,'Mã NV'!$B:$C,2,0),"")</f>
        <v>XE00768</v>
      </c>
      <c r="Q2086" s="70" t="str">
        <f>IFERROR(VLOOKUP(I2086,'Mã NV'!$J:$K,2,0),"")</f>
        <v>2.5T</v>
      </c>
    </row>
    <row r="2087" customHeight="1" spans="1:17">
      <c r="A2087" s="63">
        <f t="shared" si="131"/>
        <v>2079</v>
      </c>
      <c r="B2087" s="64">
        <v>46162</v>
      </c>
      <c r="D2087" s="66" t="s">
        <v>58</v>
      </c>
      <c r="E2087" s="66" t="s">
        <v>58</v>
      </c>
      <c r="F2087" s="66" t="s">
        <v>985</v>
      </c>
      <c r="G2087" s="66" t="s">
        <v>1076</v>
      </c>
      <c r="H2087" s="66" t="s">
        <v>1083</v>
      </c>
      <c r="I2087" s="66" t="s">
        <v>57</v>
      </c>
      <c r="J2087" s="66" t="s">
        <v>55</v>
      </c>
      <c r="K2087" s="66" t="s">
        <v>747</v>
      </c>
      <c r="L2087" s="67">
        <v>150133</v>
      </c>
      <c r="M2087" s="67">
        <v>0</v>
      </c>
      <c r="N2087" s="68">
        <f t="shared" si="130"/>
        <v>150133</v>
      </c>
      <c r="O2087" s="69">
        <f t="shared" si="129"/>
        <v>150133</v>
      </c>
      <c r="P2087" s="42" t="str">
        <f>IFERROR(VLOOKUP(J2087,'Mã NV'!$B:$C,2,0),"")</f>
        <v>XE00768</v>
      </c>
      <c r="Q2087" s="70" t="str">
        <f>IFERROR(VLOOKUP(I2087,'Mã NV'!$J:$K,2,0),"")</f>
        <v>2.5T</v>
      </c>
    </row>
    <row r="2088" customHeight="1" spans="1:17">
      <c r="A2088" s="63">
        <f t="shared" si="131"/>
        <v>2080</v>
      </c>
      <c r="B2088" s="64">
        <v>46162</v>
      </c>
      <c r="D2088" s="66" t="s">
        <v>58</v>
      </c>
      <c r="E2088" s="66" t="s">
        <v>58</v>
      </c>
      <c r="F2088" s="66" t="s">
        <v>985</v>
      </c>
      <c r="G2088" s="66" t="s">
        <v>1076</v>
      </c>
      <c r="H2088" s="66" t="s">
        <v>1079</v>
      </c>
      <c r="I2088" s="66" t="s">
        <v>57</v>
      </c>
      <c r="J2088" s="66" t="s">
        <v>55</v>
      </c>
      <c r="K2088" s="66" t="s">
        <v>747</v>
      </c>
      <c r="L2088" s="67">
        <v>152722</v>
      </c>
      <c r="M2088" s="67">
        <v>0</v>
      </c>
      <c r="N2088" s="68">
        <f t="shared" si="130"/>
        <v>152722</v>
      </c>
      <c r="O2088" s="69">
        <f t="shared" si="129"/>
        <v>152722</v>
      </c>
      <c r="P2088" s="42" t="str">
        <f>IFERROR(VLOOKUP(J2088,'Mã NV'!$B:$C,2,0),"")</f>
        <v>XE00768</v>
      </c>
      <c r="Q2088" s="70" t="str">
        <f>IFERROR(VLOOKUP(I2088,'Mã NV'!$J:$K,2,0),"")</f>
        <v>2.5T</v>
      </c>
    </row>
    <row r="2089" customHeight="1" spans="1:17">
      <c r="A2089" s="63">
        <f t="shared" si="131"/>
        <v>2081</v>
      </c>
      <c r="B2089" s="64">
        <v>46162</v>
      </c>
      <c r="D2089" s="66" t="s">
        <v>58</v>
      </c>
      <c r="E2089" s="66" t="s">
        <v>58</v>
      </c>
      <c r="F2089" s="66" t="s">
        <v>985</v>
      </c>
      <c r="G2089" s="66" t="s">
        <v>1076</v>
      </c>
      <c r="H2089" s="66" t="s">
        <v>1080</v>
      </c>
      <c r="I2089" s="66" t="s">
        <v>403</v>
      </c>
      <c r="J2089" s="66" t="s">
        <v>401</v>
      </c>
      <c r="K2089" s="66" t="s">
        <v>747</v>
      </c>
      <c r="L2089" s="67">
        <v>279558</v>
      </c>
      <c r="M2089" s="67">
        <v>0</v>
      </c>
      <c r="N2089" s="68">
        <f t="shared" si="130"/>
        <v>279558</v>
      </c>
      <c r="O2089" s="69">
        <f t="shared" si="129"/>
        <v>279558</v>
      </c>
      <c r="P2089" s="42" t="str">
        <f>IFERROR(VLOOKUP(J2089,'Mã NV'!$B:$C,2,0),"")</f>
        <v>XE01466</v>
      </c>
      <c r="Q2089" s="70" t="str">
        <f>IFERROR(VLOOKUP(I2089,'Mã NV'!$J:$K,2,0),"")</f>
        <v>3.5T</v>
      </c>
    </row>
    <row r="2090" customHeight="1" spans="1:17">
      <c r="A2090" s="63">
        <f t="shared" si="131"/>
        <v>2082</v>
      </c>
      <c r="B2090" s="64">
        <v>46162</v>
      </c>
      <c r="D2090" s="66" t="s">
        <v>58</v>
      </c>
      <c r="E2090" s="66" t="s">
        <v>58</v>
      </c>
      <c r="F2090" s="66" t="s">
        <v>985</v>
      </c>
      <c r="G2090" s="66" t="s">
        <v>1076</v>
      </c>
      <c r="H2090" s="66" t="s">
        <v>1081</v>
      </c>
      <c r="I2090" s="66" t="s">
        <v>403</v>
      </c>
      <c r="J2090" s="66" t="s">
        <v>401</v>
      </c>
      <c r="K2090" s="66" t="s">
        <v>747</v>
      </c>
      <c r="L2090" s="67">
        <v>217434</v>
      </c>
      <c r="M2090" s="67">
        <v>0</v>
      </c>
      <c r="N2090" s="68">
        <f t="shared" si="130"/>
        <v>217434</v>
      </c>
      <c r="O2090" s="69">
        <f t="shared" si="129"/>
        <v>217434</v>
      </c>
      <c r="P2090" s="42" t="str">
        <f>IFERROR(VLOOKUP(J2090,'Mã NV'!$B:$C,2,0),"")</f>
        <v>XE01466</v>
      </c>
      <c r="Q2090" s="70" t="str">
        <f>IFERROR(VLOOKUP(I2090,'Mã NV'!$J:$K,2,0),"")</f>
        <v>3.5T</v>
      </c>
    </row>
    <row r="2091" customHeight="1" spans="1:17">
      <c r="A2091" s="63">
        <f t="shared" si="131"/>
        <v>2083</v>
      </c>
      <c r="B2091" s="64">
        <v>46162</v>
      </c>
      <c r="D2091" s="66" t="s">
        <v>58</v>
      </c>
      <c r="E2091" s="66" t="s">
        <v>58</v>
      </c>
      <c r="F2091" s="66" t="s">
        <v>985</v>
      </c>
      <c r="G2091" s="66" t="s">
        <v>1076</v>
      </c>
      <c r="H2091" s="66" t="s">
        <v>1082</v>
      </c>
      <c r="I2091" s="66" t="s">
        <v>403</v>
      </c>
      <c r="J2091" s="66" t="s">
        <v>401</v>
      </c>
      <c r="K2091" s="66" t="s">
        <v>747</v>
      </c>
      <c r="L2091" s="67">
        <v>284735</v>
      </c>
      <c r="M2091" s="67">
        <v>0</v>
      </c>
      <c r="N2091" s="68">
        <f t="shared" si="130"/>
        <v>284735</v>
      </c>
      <c r="O2091" s="69">
        <f t="shared" si="129"/>
        <v>284735</v>
      </c>
      <c r="P2091" s="42" t="str">
        <f>IFERROR(VLOOKUP(J2091,'Mã NV'!$B:$C,2,0),"")</f>
        <v>XE01466</v>
      </c>
      <c r="Q2091" s="70" t="str">
        <f>IFERROR(VLOOKUP(I2091,'Mã NV'!$J:$K,2,0),"")</f>
        <v>3.5T</v>
      </c>
    </row>
    <row r="2092" customHeight="1" spans="1:17">
      <c r="A2092" s="63">
        <f t="shared" si="131"/>
        <v>2084</v>
      </c>
      <c r="B2092" s="64">
        <v>46162</v>
      </c>
      <c r="D2092" s="66" t="s">
        <v>58</v>
      </c>
      <c r="E2092" s="66" t="s">
        <v>58</v>
      </c>
      <c r="F2092" s="66" t="s">
        <v>985</v>
      </c>
      <c r="G2092" s="66" t="s">
        <v>1076</v>
      </c>
      <c r="H2092" s="66" t="s">
        <v>1092</v>
      </c>
      <c r="I2092" s="66" t="s">
        <v>403</v>
      </c>
      <c r="J2092" s="66" t="s">
        <v>401</v>
      </c>
      <c r="K2092" s="66" t="s">
        <v>747</v>
      </c>
      <c r="L2092" s="67">
        <v>328740</v>
      </c>
      <c r="M2092" s="67">
        <v>0</v>
      </c>
      <c r="N2092" s="68">
        <f t="shared" si="130"/>
        <v>328740</v>
      </c>
      <c r="O2092" s="69">
        <f t="shared" si="129"/>
        <v>328740</v>
      </c>
      <c r="P2092" s="42" t="str">
        <f>IFERROR(VLOOKUP(J2092,'Mã NV'!$B:$C,2,0),"")</f>
        <v>XE01466</v>
      </c>
      <c r="Q2092" s="70" t="str">
        <f>IFERROR(VLOOKUP(I2092,'Mã NV'!$J:$K,2,0),"")</f>
        <v>3.5T</v>
      </c>
    </row>
    <row r="2093" customHeight="1" spans="1:17">
      <c r="A2093" s="63">
        <f t="shared" si="131"/>
        <v>2085</v>
      </c>
      <c r="B2093" s="64">
        <v>46162</v>
      </c>
      <c r="D2093" s="66" t="s">
        <v>58</v>
      </c>
      <c r="E2093" s="66" t="s">
        <v>58</v>
      </c>
      <c r="F2093" s="66" t="s">
        <v>985</v>
      </c>
      <c r="G2093" s="66" t="s">
        <v>1076</v>
      </c>
      <c r="H2093" s="66" t="s">
        <v>1103</v>
      </c>
      <c r="I2093" s="66" t="s">
        <v>177</v>
      </c>
      <c r="J2093" s="66" t="s">
        <v>174</v>
      </c>
      <c r="K2093" s="66" t="s">
        <v>747</v>
      </c>
      <c r="L2093" s="67">
        <v>147545</v>
      </c>
      <c r="M2093" s="67">
        <v>0</v>
      </c>
      <c r="N2093" s="68">
        <f t="shared" si="130"/>
        <v>147545</v>
      </c>
      <c r="O2093" s="69">
        <f t="shared" si="129"/>
        <v>147545</v>
      </c>
      <c r="P2093" s="42" t="str">
        <f>IFERROR(VLOOKUP(J2093,'Mã NV'!$B:$C,2,0),"")</f>
        <v>XE00975</v>
      </c>
      <c r="Q2093" s="70" t="str">
        <f>IFERROR(VLOOKUP(I2093,'Mã NV'!$J:$K,2,0),"")</f>
        <v>2.5T Lạnh</v>
      </c>
    </row>
    <row r="2094" customHeight="1" spans="1:17">
      <c r="A2094" s="63">
        <f t="shared" si="131"/>
        <v>2086</v>
      </c>
      <c r="B2094" s="64">
        <v>46162</v>
      </c>
      <c r="D2094" s="66" t="s">
        <v>58</v>
      </c>
      <c r="E2094" s="66" t="s">
        <v>58</v>
      </c>
      <c r="F2094" s="66" t="s">
        <v>985</v>
      </c>
      <c r="G2094" s="66" t="s">
        <v>1076</v>
      </c>
      <c r="H2094" s="66" t="s">
        <v>1087</v>
      </c>
      <c r="I2094" s="66" t="s">
        <v>177</v>
      </c>
      <c r="J2094" s="66" t="s">
        <v>174</v>
      </c>
      <c r="K2094" s="66" t="s">
        <v>747</v>
      </c>
      <c r="L2094" s="67">
        <v>176018</v>
      </c>
      <c r="M2094" s="67">
        <v>0</v>
      </c>
      <c r="N2094" s="68">
        <f t="shared" si="130"/>
        <v>176018</v>
      </c>
      <c r="O2094" s="69">
        <f t="shared" si="129"/>
        <v>176018</v>
      </c>
      <c r="P2094" s="42" t="str">
        <f>IFERROR(VLOOKUP(J2094,'Mã NV'!$B:$C,2,0),"")</f>
        <v>XE00975</v>
      </c>
      <c r="Q2094" s="70" t="str">
        <f>IFERROR(VLOOKUP(I2094,'Mã NV'!$J:$K,2,0),"")</f>
        <v>2.5T Lạnh</v>
      </c>
    </row>
    <row r="2095" customHeight="1" spans="1:17">
      <c r="A2095" s="63">
        <f t="shared" si="131"/>
        <v>2087</v>
      </c>
      <c r="B2095" s="64">
        <v>46162</v>
      </c>
      <c r="D2095" s="66" t="s">
        <v>58</v>
      </c>
      <c r="E2095" s="66" t="s">
        <v>58</v>
      </c>
      <c r="F2095" s="66" t="s">
        <v>985</v>
      </c>
      <c r="G2095" s="66" t="s">
        <v>1076</v>
      </c>
      <c r="H2095" s="66" t="s">
        <v>1078</v>
      </c>
      <c r="I2095" s="66" t="s">
        <v>177</v>
      </c>
      <c r="J2095" s="66" t="s">
        <v>174</v>
      </c>
      <c r="K2095" s="66" t="s">
        <v>747</v>
      </c>
      <c r="L2095" s="67">
        <v>191549</v>
      </c>
      <c r="M2095" s="67">
        <v>0</v>
      </c>
      <c r="N2095" s="68">
        <f t="shared" si="130"/>
        <v>191549</v>
      </c>
      <c r="O2095" s="69">
        <f t="shared" si="129"/>
        <v>191549</v>
      </c>
      <c r="P2095" s="42" t="str">
        <f>IFERROR(VLOOKUP(J2095,'Mã NV'!$B:$C,2,0),"")</f>
        <v>XE00975</v>
      </c>
      <c r="Q2095" s="70" t="str">
        <f>IFERROR(VLOOKUP(I2095,'Mã NV'!$J:$K,2,0),"")</f>
        <v>2.5T Lạnh</v>
      </c>
    </row>
    <row r="2096" customHeight="1" spans="1:17">
      <c r="A2096" s="63">
        <f t="shared" si="131"/>
        <v>2088</v>
      </c>
      <c r="B2096" s="64">
        <v>46162</v>
      </c>
      <c r="D2096" s="66" t="s">
        <v>58</v>
      </c>
      <c r="E2096" s="66" t="s">
        <v>58</v>
      </c>
      <c r="F2096" s="66" t="s">
        <v>985</v>
      </c>
      <c r="G2096" s="66" t="s">
        <v>1076</v>
      </c>
      <c r="H2096" s="66" t="s">
        <v>1111</v>
      </c>
      <c r="I2096" s="66" t="s">
        <v>177</v>
      </c>
      <c r="J2096" s="66" t="s">
        <v>174</v>
      </c>
      <c r="K2096" s="66" t="s">
        <v>747</v>
      </c>
      <c r="L2096" s="67">
        <v>168253</v>
      </c>
      <c r="M2096" s="67">
        <v>0</v>
      </c>
      <c r="N2096" s="68">
        <f t="shared" si="130"/>
        <v>168253</v>
      </c>
      <c r="O2096" s="69">
        <f t="shared" si="129"/>
        <v>168253</v>
      </c>
      <c r="P2096" s="42" t="str">
        <f>IFERROR(VLOOKUP(J2096,'Mã NV'!$B:$C,2,0),"")</f>
        <v>XE00975</v>
      </c>
      <c r="Q2096" s="70" t="str">
        <f>IFERROR(VLOOKUP(I2096,'Mã NV'!$J:$K,2,0),"")</f>
        <v>2.5T Lạnh</v>
      </c>
    </row>
    <row r="2097" customHeight="1" spans="1:17">
      <c r="A2097" s="63">
        <f t="shared" si="131"/>
        <v>2089</v>
      </c>
      <c r="B2097" s="64">
        <v>46162</v>
      </c>
      <c r="D2097" s="66" t="s">
        <v>58</v>
      </c>
      <c r="E2097" s="66" t="s">
        <v>58</v>
      </c>
      <c r="F2097" s="66" t="s">
        <v>985</v>
      </c>
      <c r="G2097" s="66" t="s">
        <v>1076</v>
      </c>
      <c r="H2097" s="66" t="s">
        <v>1101</v>
      </c>
      <c r="I2097" s="66" t="s">
        <v>323</v>
      </c>
      <c r="J2097" s="66" t="s">
        <v>321</v>
      </c>
      <c r="K2097" s="66" t="s">
        <v>747</v>
      </c>
      <c r="L2097" s="67">
        <v>225200</v>
      </c>
      <c r="M2097" s="67">
        <v>0</v>
      </c>
      <c r="N2097" s="68">
        <f t="shared" si="130"/>
        <v>225200</v>
      </c>
      <c r="O2097" s="69">
        <f t="shared" si="129"/>
        <v>225200</v>
      </c>
      <c r="P2097" s="42" t="str">
        <f>IFERROR(VLOOKUP(J2097,'Mã NV'!$B:$C,2,0),"")</f>
        <v>XE01537</v>
      </c>
      <c r="Q2097" s="70" t="str">
        <f>IFERROR(VLOOKUP(I2097,'Mã NV'!$J:$K,2,0),"")</f>
        <v>2.5T</v>
      </c>
    </row>
    <row r="2098" customHeight="1" spans="1:17">
      <c r="A2098" s="63">
        <f t="shared" si="131"/>
        <v>2090</v>
      </c>
      <c r="B2098" s="64">
        <v>46162</v>
      </c>
      <c r="D2098" s="66" t="s">
        <v>58</v>
      </c>
      <c r="E2098" s="66" t="s">
        <v>58</v>
      </c>
      <c r="F2098" s="66" t="s">
        <v>985</v>
      </c>
      <c r="G2098" s="66" t="s">
        <v>1076</v>
      </c>
      <c r="H2098" s="66" t="s">
        <v>1084</v>
      </c>
      <c r="I2098" s="66" t="s">
        <v>323</v>
      </c>
      <c r="J2098" s="66" t="s">
        <v>321</v>
      </c>
      <c r="K2098" s="66" t="s">
        <v>747</v>
      </c>
      <c r="L2098" s="67">
        <v>207080</v>
      </c>
      <c r="M2098" s="67">
        <v>0</v>
      </c>
      <c r="N2098" s="68">
        <f t="shared" si="130"/>
        <v>207080</v>
      </c>
      <c r="O2098" s="69">
        <f t="shared" si="129"/>
        <v>207080</v>
      </c>
      <c r="P2098" s="42" t="str">
        <f>IFERROR(VLOOKUP(J2098,'Mã NV'!$B:$C,2,0),"")</f>
        <v>XE01537</v>
      </c>
      <c r="Q2098" s="70" t="str">
        <f>IFERROR(VLOOKUP(I2098,'Mã NV'!$J:$K,2,0),"")</f>
        <v>2.5T</v>
      </c>
    </row>
    <row r="2099" customHeight="1" spans="1:17">
      <c r="A2099" s="63">
        <f t="shared" si="131"/>
        <v>2091</v>
      </c>
      <c r="B2099" s="64">
        <v>46162</v>
      </c>
      <c r="D2099" s="66" t="s">
        <v>58</v>
      </c>
      <c r="E2099" s="66" t="s">
        <v>58</v>
      </c>
      <c r="F2099" s="66" t="s">
        <v>985</v>
      </c>
      <c r="G2099" s="66" t="s">
        <v>1076</v>
      </c>
      <c r="H2099" s="66" t="s">
        <v>1085</v>
      </c>
      <c r="I2099" s="66" t="s">
        <v>323</v>
      </c>
      <c r="J2099" s="66" t="s">
        <v>321</v>
      </c>
      <c r="K2099" s="66" t="s">
        <v>747</v>
      </c>
      <c r="L2099" s="67">
        <v>160487</v>
      </c>
      <c r="M2099" s="67">
        <v>0</v>
      </c>
      <c r="N2099" s="68">
        <f t="shared" si="130"/>
        <v>160487</v>
      </c>
      <c r="O2099" s="69">
        <f t="shared" ref="O2099:O2162" si="132">N2099/$P$1</f>
        <v>160487</v>
      </c>
      <c r="P2099" s="42" t="str">
        <f>IFERROR(VLOOKUP(J2099,'Mã NV'!$B:$C,2,0),"")</f>
        <v>XE01537</v>
      </c>
      <c r="Q2099" s="70" t="str">
        <f>IFERROR(VLOOKUP(I2099,'Mã NV'!$J:$K,2,0),"")</f>
        <v>2.5T</v>
      </c>
    </row>
    <row r="2100" customHeight="1" spans="1:17">
      <c r="A2100" s="63">
        <f t="shared" si="131"/>
        <v>2092</v>
      </c>
      <c r="B2100" s="64">
        <v>46162</v>
      </c>
      <c r="D2100" s="66" t="s">
        <v>58</v>
      </c>
      <c r="E2100" s="66" t="s">
        <v>58</v>
      </c>
      <c r="F2100" s="66" t="s">
        <v>985</v>
      </c>
      <c r="G2100" s="66" t="s">
        <v>1076</v>
      </c>
      <c r="H2100" s="66" t="s">
        <v>1086</v>
      </c>
      <c r="I2100" s="66" t="s">
        <v>323</v>
      </c>
      <c r="J2100" s="66" t="s">
        <v>321</v>
      </c>
      <c r="K2100" s="66" t="s">
        <v>747</v>
      </c>
      <c r="L2100" s="67">
        <v>269204</v>
      </c>
      <c r="M2100" s="67">
        <v>0</v>
      </c>
      <c r="N2100" s="68">
        <f t="shared" ref="N2100:N2163" si="133">L2100-M2100</f>
        <v>269204</v>
      </c>
      <c r="O2100" s="69">
        <f t="shared" si="132"/>
        <v>269204</v>
      </c>
      <c r="P2100" s="42" t="str">
        <f>IFERROR(VLOOKUP(J2100,'Mã NV'!$B:$C,2,0),"")</f>
        <v>XE01537</v>
      </c>
      <c r="Q2100" s="70" t="str">
        <f>IFERROR(VLOOKUP(I2100,'Mã NV'!$J:$K,2,0),"")</f>
        <v>2.5T</v>
      </c>
    </row>
    <row r="2101" customHeight="1" spans="1:17">
      <c r="A2101" s="63">
        <f t="shared" si="131"/>
        <v>2093</v>
      </c>
      <c r="B2101" s="64">
        <v>46162</v>
      </c>
      <c r="D2101" s="66" t="s">
        <v>58</v>
      </c>
      <c r="E2101" s="66" t="s">
        <v>58</v>
      </c>
      <c r="F2101" s="66" t="s">
        <v>985</v>
      </c>
      <c r="G2101" s="66" t="s">
        <v>1076</v>
      </c>
      <c r="H2101" s="66" t="s">
        <v>1099</v>
      </c>
      <c r="I2101" s="66" t="s">
        <v>403</v>
      </c>
      <c r="J2101" s="66" t="s">
        <v>401</v>
      </c>
      <c r="K2101" s="66" t="s">
        <v>747</v>
      </c>
      <c r="L2101" s="67">
        <v>163076</v>
      </c>
      <c r="M2101" s="67">
        <v>0</v>
      </c>
      <c r="N2101" s="68">
        <f t="shared" si="133"/>
        <v>163076</v>
      </c>
      <c r="O2101" s="69">
        <f t="shared" si="132"/>
        <v>163076</v>
      </c>
      <c r="P2101" s="42" t="str">
        <f>IFERROR(VLOOKUP(J2101,'Mã NV'!$B:$C,2,0),"")</f>
        <v>XE01466</v>
      </c>
      <c r="Q2101" s="70" t="str">
        <f>IFERROR(VLOOKUP(I2101,'Mã NV'!$J:$K,2,0),"")</f>
        <v>3.5T</v>
      </c>
    </row>
    <row r="2102" customHeight="1" spans="1:17">
      <c r="A2102" s="63">
        <f t="shared" si="131"/>
        <v>2094</v>
      </c>
      <c r="B2102" s="64">
        <v>46162</v>
      </c>
      <c r="D2102" s="66" t="s">
        <v>58</v>
      </c>
      <c r="E2102" s="66" t="s">
        <v>58</v>
      </c>
      <c r="F2102" s="66" t="s">
        <v>985</v>
      </c>
      <c r="G2102" s="66" t="s">
        <v>1076</v>
      </c>
      <c r="H2102" s="66" t="s">
        <v>1100</v>
      </c>
      <c r="I2102" s="66" t="s">
        <v>403</v>
      </c>
      <c r="J2102" s="66" t="s">
        <v>401</v>
      </c>
      <c r="K2102" s="66" t="s">
        <v>747</v>
      </c>
      <c r="L2102" s="67">
        <v>310620</v>
      </c>
      <c r="M2102" s="67">
        <v>0</v>
      </c>
      <c r="N2102" s="68">
        <f t="shared" si="133"/>
        <v>310620</v>
      </c>
      <c r="O2102" s="69">
        <f t="shared" si="132"/>
        <v>310620</v>
      </c>
      <c r="P2102" s="42" t="str">
        <f>IFERROR(VLOOKUP(J2102,'Mã NV'!$B:$C,2,0),"")</f>
        <v>XE01466</v>
      </c>
      <c r="Q2102" s="70" t="str">
        <f>IFERROR(VLOOKUP(I2102,'Mã NV'!$J:$K,2,0),"")</f>
        <v>3.5T</v>
      </c>
    </row>
    <row r="2103" customHeight="1" spans="1:17">
      <c r="A2103" s="63">
        <f t="shared" si="131"/>
        <v>2095</v>
      </c>
      <c r="B2103" s="64">
        <v>46162</v>
      </c>
      <c r="D2103" s="66" t="s">
        <v>58</v>
      </c>
      <c r="E2103" s="66" t="s">
        <v>58</v>
      </c>
      <c r="F2103" s="66" t="s">
        <v>985</v>
      </c>
      <c r="G2103" s="66" t="s">
        <v>1076</v>
      </c>
      <c r="H2103" s="66" t="s">
        <v>1077</v>
      </c>
      <c r="I2103" s="66" t="s">
        <v>403</v>
      </c>
      <c r="J2103" s="66" t="s">
        <v>401</v>
      </c>
      <c r="K2103" s="66" t="s">
        <v>747</v>
      </c>
      <c r="L2103" s="67">
        <v>276970</v>
      </c>
      <c r="M2103" s="67">
        <v>0</v>
      </c>
      <c r="N2103" s="68">
        <f t="shared" si="133"/>
        <v>276970</v>
      </c>
      <c r="O2103" s="69">
        <f t="shared" si="132"/>
        <v>276970</v>
      </c>
      <c r="P2103" s="42" t="str">
        <f>IFERROR(VLOOKUP(J2103,'Mã NV'!$B:$C,2,0),"")</f>
        <v>XE01466</v>
      </c>
      <c r="Q2103" s="70" t="str">
        <f>IFERROR(VLOOKUP(I2103,'Mã NV'!$J:$K,2,0),"")</f>
        <v>3.5T</v>
      </c>
    </row>
    <row r="2104" customHeight="1" spans="1:17">
      <c r="A2104" s="63">
        <f t="shared" si="131"/>
        <v>2096</v>
      </c>
      <c r="B2104" s="64">
        <v>46162</v>
      </c>
      <c r="D2104" s="66" t="s">
        <v>58</v>
      </c>
      <c r="E2104" s="66" t="s">
        <v>58</v>
      </c>
      <c r="F2104" s="66" t="s">
        <v>985</v>
      </c>
      <c r="G2104" s="66" t="s">
        <v>1076</v>
      </c>
      <c r="H2104" s="66" t="s">
        <v>1090</v>
      </c>
      <c r="I2104" s="66" t="s">
        <v>403</v>
      </c>
      <c r="J2104" s="66" t="s">
        <v>401</v>
      </c>
      <c r="K2104" s="66" t="s">
        <v>747</v>
      </c>
      <c r="L2104" s="67">
        <v>308032</v>
      </c>
      <c r="M2104" s="67">
        <v>0</v>
      </c>
      <c r="N2104" s="68">
        <f t="shared" si="133"/>
        <v>308032</v>
      </c>
      <c r="O2104" s="69">
        <f t="shared" si="132"/>
        <v>308032</v>
      </c>
      <c r="P2104" s="42" t="str">
        <f>IFERROR(VLOOKUP(J2104,'Mã NV'!$B:$C,2,0),"")</f>
        <v>XE01466</v>
      </c>
      <c r="Q2104" s="70" t="str">
        <f>IFERROR(VLOOKUP(I2104,'Mã NV'!$J:$K,2,0),"")</f>
        <v>3.5T</v>
      </c>
    </row>
    <row r="2105" customHeight="1" spans="1:17">
      <c r="A2105" s="63">
        <f t="shared" si="131"/>
        <v>2097</v>
      </c>
      <c r="B2105" s="64">
        <v>46162</v>
      </c>
      <c r="D2105" s="66" t="s">
        <v>58</v>
      </c>
      <c r="E2105" s="66" t="s">
        <v>58</v>
      </c>
      <c r="F2105" s="66" t="s">
        <v>985</v>
      </c>
      <c r="G2105" s="66" t="s">
        <v>1076</v>
      </c>
      <c r="H2105" s="66" t="s">
        <v>1091</v>
      </c>
      <c r="I2105" s="66" t="s">
        <v>57</v>
      </c>
      <c r="J2105" s="66" t="s">
        <v>55</v>
      </c>
      <c r="K2105" s="66" t="s">
        <v>747</v>
      </c>
      <c r="L2105" s="67">
        <v>196726</v>
      </c>
      <c r="M2105" s="67">
        <v>0</v>
      </c>
      <c r="N2105" s="68">
        <f t="shared" si="133"/>
        <v>196726</v>
      </c>
      <c r="O2105" s="69">
        <f t="shared" si="132"/>
        <v>196726</v>
      </c>
      <c r="P2105" s="42" t="str">
        <f>IFERROR(VLOOKUP(J2105,'Mã NV'!$B:$C,2,0),"")</f>
        <v>XE00768</v>
      </c>
      <c r="Q2105" s="70" t="str">
        <f>IFERROR(VLOOKUP(I2105,'Mã NV'!$J:$K,2,0),"")</f>
        <v>2.5T</v>
      </c>
    </row>
    <row r="2106" customHeight="1" spans="1:17">
      <c r="A2106" s="63">
        <f t="shared" si="131"/>
        <v>2098</v>
      </c>
      <c r="B2106" s="64">
        <v>46162</v>
      </c>
      <c r="D2106" s="66" t="s">
        <v>58</v>
      </c>
      <c r="E2106" s="66" t="s">
        <v>58</v>
      </c>
      <c r="F2106" s="66" t="s">
        <v>985</v>
      </c>
      <c r="G2106" s="66" t="s">
        <v>1076</v>
      </c>
      <c r="H2106" s="66" t="s">
        <v>1097</v>
      </c>
      <c r="I2106" s="66" t="s">
        <v>57</v>
      </c>
      <c r="J2106" s="66" t="s">
        <v>55</v>
      </c>
      <c r="K2106" s="66" t="s">
        <v>747</v>
      </c>
      <c r="L2106" s="67">
        <v>214846</v>
      </c>
      <c r="M2106" s="67">
        <v>0</v>
      </c>
      <c r="N2106" s="68">
        <f t="shared" si="133"/>
        <v>214846</v>
      </c>
      <c r="O2106" s="69">
        <f t="shared" si="132"/>
        <v>214846</v>
      </c>
      <c r="P2106" s="42" t="str">
        <f>IFERROR(VLOOKUP(J2106,'Mã NV'!$B:$C,2,0),"")</f>
        <v>XE00768</v>
      </c>
      <c r="Q2106" s="70" t="str">
        <f>IFERROR(VLOOKUP(I2106,'Mã NV'!$J:$K,2,0),"")</f>
        <v>2.5T</v>
      </c>
    </row>
    <row r="2107" customHeight="1" spans="1:17">
      <c r="A2107" s="63">
        <f t="shared" si="131"/>
        <v>2099</v>
      </c>
      <c r="B2107" s="64">
        <v>46162</v>
      </c>
      <c r="D2107" s="66" t="s">
        <v>58</v>
      </c>
      <c r="E2107" s="66" t="s">
        <v>58</v>
      </c>
      <c r="F2107" s="66" t="s">
        <v>985</v>
      </c>
      <c r="G2107" s="66" t="s">
        <v>1076</v>
      </c>
      <c r="H2107" s="66" t="s">
        <v>1088</v>
      </c>
      <c r="I2107" s="66" t="s">
        <v>57</v>
      </c>
      <c r="J2107" s="66" t="s">
        <v>55</v>
      </c>
      <c r="K2107" s="66" t="s">
        <v>747</v>
      </c>
      <c r="L2107" s="67">
        <v>240731</v>
      </c>
      <c r="M2107" s="67">
        <v>0</v>
      </c>
      <c r="N2107" s="68">
        <f t="shared" si="133"/>
        <v>240731</v>
      </c>
      <c r="O2107" s="69">
        <f t="shared" si="132"/>
        <v>240731</v>
      </c>
      <c r="P2107" s="42" t="str">
        <f>IFERROR(VLOOKUP(J2107,'Mã NV'!$B:$C,2,0),"")</f>
        <v>XE00768</v>
      </c>
      <c r="Q2107" s="70" t="str">
        <f>IFERROR(VLOOKUP(I2107,'Mã NV'!$J:$K,2,0),"")</f>
        <v>2.5T</v>
      </c>
    </row>
    <row r="2108" customHeight="1" spans="1:17">
      <c r="A2108" s="63">
        <f t="shared" si="131"/>
        <v>2100</v>
      </c>
      <c r="B2108" s="64">
        <v>46162</v>
      </c>
      <c r="D2108" s="66" t="s">
        <v>58</v>
      </c>
      <c r="E2108" s="66" t="s">
        <v>58</v>
      </c>
      <c r="F2108" s="66" t="s">
        <v>985</v>
      </c>
      <c r="G2108" s="66" t="s">
        <v>1076</v>
      </c>
      <c r="H2108" s="66" t="s">
        <v>1089</v>
      </c>
      <c r="I2108" s="66" t="s">
        <v>177</v>
      </c>
      <c r="J2108" s="66" t="s">
        <v>174</v>
      </c>
      <c r="K2108" s="66" t="s">
        <v>747</v>
      </c>
      <c r="L2108" s="67">
        <v>297678</v>
      </c>
      <c r="M2108" s="67">
        <v>0</v>
      </c>
      <c r="N2108" s="68">
        <f t="shared" si="133"/>
        <v>297678</v>
      </c>
      <c r="O2108" s="69">
        <f t="shared" si="132"/>
        <v>297678</v>
      </c>
      <c r="P2108" s="42" t="str">
        <f>IFERROR(VLOOKUP(J2108,'Mã NV'!$B:$C,2,0),"")</f>
        <v>XE00975</v>
      </c>
      <c r="Q2108" s="70" t="str">
        <f>IFERROR(VLOOKUP(I2108,'Mã NV'!$J:$K,2,0),"")</f>
        <v>2.5T Lạnh</v>
      </c>
    </row>
    <row r="2109" customHeight="1" spans="1:17">
      <c r="A2109" s="63">
        <f t="shared" si="131"/>
        <v>2101</v>
      </c>
      <c r="B2109" s="64">
        <v>46162</v>
      </c>
      <c r="D2109" s="66" t="s">
        <v>58</v>
      </c>
      <c r="E2109" s="66" t="s">
        <v>58</v>
      </c>
      <c r="F2109" s="66" t="s">
        <v>985</v>
      </c>
      <c r="G2109" s="66" t="s">
        <v>1076</v>
      </c>
      <c r="H2109" s="66" t="s">
        <v>1096</v>
      </c>
      <c r="I2109" s="66" t="s">
        <v>177</v>
      </c>
      <c r="J2109" s="66" t="s">
        <v>174</v>
      </c>
      <c r="K2109" s="66" t="s">
        <v>747</v>
      </c>
      <c r="L2109" s="67">
        <v>165664</v>
      </c>
      <c r="M2109" s="67">
        <v>0</v>
      </c>
      <c r="N2109" s="68">
        <f t="shared" si="133"/>
        <v>165664</v>
      </c>
      <c r="O2109" s="69">
        <f t="shared" si="132"/>
        <v>165664</v>
      </c>
      <c r="P2109" s="42" t="str">
        <f>IFERROR(VLOOKUP(J2109,'Mã NV'!$B:$C,2,0),"")</f>
        <v>XE00975</v>
      </c>
      <c r="Q2109" s="70" t="str">
        <f>IFERROR(VLOOKUP(I2109,'Mã NV'!$J:$K,2,0),"")</f>
        <v>2.5T Lạnh</v>
      </c>
    </row>
    <row r="2110" customHeight="1" spans="1:17">
      <c r="A2110" s="63">
        <f t="shared" si="131"/>
        <v>2102</v>
      </c>
      <c r="B2110" s="64">
        <v>46162</v>
      </c>
      <c r="D2110" s="66" t="s">
        <v>58</v>
      </c>
      <c r="E2110" s="66" t="s">
        <v>58</v>
      </c>
      <c r="F2110" s="66" t="s">
        <v>985</v>
      </c>
      <c r="G2110" s="66" t="s">
        <v>1076</v>
      </c>
      <c r="H2110" s="66" t="s">
        <v>1098</v>
      </c>
      <c r="I2110" s="66" t="s">
        <v>177</v>
      </c>
      <c r="J2110" s="66" t="s">
        <v>174</v>
      </c>
      <c r="K2110" s="66" t="s">
        <v>747</v>
      </c>
      <c r="L2110" s="67">
        <v>173430</v>
      </c>
      <c r="M2110" s="67">
        <v>0</v>
      </c>
      <c r="N2110" s="68">
        <f t="shared" si="133"/>
        <v>173430</v>
      </c>
      <c r="O2110" s="69">
        <f t="shared" si="132"/>
        <v>173430</v>
      </c>
      <c r="P2110" s="42" t="str">
        <f>IFERROR(VLOOKUP(J2110,'Mã NV'!$B:$C,2,0),"")</f>
        <v>XE00975</v>
      </c>
      <c r="Q2110" s="70" t="str">
        <f>IFERROR(VLOOKUP(I2110,'Mã NV'!$J:$K,2,0),"")</f>
        <v>2.5T Lạnh</v>
      </c>
    </row>
    <row r="2111" customHeight="1" spans="1:17">
      <c r="A2111" s="63">
        <f t="shared" si="131"/>
        <v>2103</v>
      </c>
      <c r="B2111" s="64">
        <v>46162</v>
      </c>
      <c r="D2111" s="66" t="s">
        <v>58</v>
      </c>
      <c r="E2111" s="66" t="s">
        <v>58</v>
      </c>
      <c r="F2111" s="66" t="s">
        <v>985</v>
      </c>
      <c r="G2111" s="66" t="s">
        <v>1076</v>
      </c>
      <c r="H2111" s="66" t="s">
        <v>1095</v>
      </c>
      <c r="I2111" s="66" t="s">
        <v>323</v>
      </c>
      <c r="J2111" s="66" t="s">
        <v>321</v>
      </c>
      <c r="K2111" s="66" t="s">
        <v>747</v>
      </c>
      <c r="L2111" s="67">
        <v>243319</v>
      </c>
      <c r="M2111" s="67">
        <v>0</v>
      </c>
      <c r="N2111" s="68">
        <f t="shared" si="133"/>
        <v>243319</v>
      </c>
      <c r="O2111" s="69">
        <f t="shared" si="132"/>
        <v>243319</v>
      </c>
      <c r="P2111" s="42" t="str">
        <f>IFERROR(VLOOKUP(J2111,'Mã NV'!$B:$C,2,0),"")</f>
        <v>XE01537</v>
      </c>
      <c r="Q2111" s="70" t="str">
        <f>IFERROR(VLOOKUP(I2111,'Mã NV'!$J:$K,2,0),"")</f>
        <v>2.5T</v>
      </c>
    </row>
    <row r="2112" customHeight="1" spans="1:17">
      <c r="A2112" s="63">
        <f t="shared" si="131"/>
        <v>2104</v>
      </c>
      <c r="B2112" s="64">
        <v>46162</v>
      </c>
      <c r="D2112" s="66" t="s">
        <v>58</v>
      </c>
      <c r="E2112" s="66" t="s">
        <v>58</v>
      </c>
      <c r="F2112" s="66" t="s">
        <v>985</v>
      </c>
      <c r="G2112" s="66" t="s">
        <v>1076</v>
      </c>
      <c r="H2112" s="66" t="s">
        <v>1094</v>
      </c>
      <c r="I2112" s="66" t="s">
        <v>323</v>
      </c>
      <c r="J2112" s="66" t="s">
        <v>321</v>
      </c>
      <c r="K2112" s="66" t="s">
        <v>747</v>
      </c>
      <c r="L2112" s="67">
        <v>82832</v>
      </c>
      <c r="M2112" s="67">
        <v>0</v>
      </c>
      <c r="N2112" s="68">
        <f t="shared" si="133"/>
        <v>82832</v>
      </c>
      <c r="O2112" s="69">
        <f t="shared" si="132"/>
        <v>82832</v>
      </c>
      <c r="P2112" s="42" t="str">
        <f>IFERROR(VLOOKUP(J2112,'Mã NV'!$B:$C,2,0),"")</f>
        <v>XE01537</v>
      </c>
      <c r="Q2112" s="70" t="str">
        <f>IFERROR(VLOOKUP(I2112,'Mã NV'!$J:$K,2,0),"")</f>
        <v>2.5T</v>
      </c>
    </row>
    <row r="2113" customHeight="1" spans="1:17">
      <c r="A2113" s="63">
        <f t="shared" si="131"/>
        <v>2105</v>
      </c>
      <c r="B2113" s="64">
        <v>46162</v>
      </c>
      <c r="D2113" s="66" t="s">
        <v>58</v>
      </c>
      <c r="E2113" s="66" t="s">
        <v>58</v>
      </c>
      <c r="F2113" s="66" t="s">
        <v>985</v>
      </c>
      <c r="G2113" s="66" t="s">
        <v>1076</v>
      </c>
      <c r="H2113" s="66" t="s">
        <v>1093</v>
      </c>
      <c r="I2113" s="66" t="s">
        <v>323</v>
      </c>
      <c r="J2113" s="66" t="s">
        <v>321</v>
      </c>
      <c r="K2113" s="66" t="s">
        <v>747</v>
      </c>
      <c r="L2113" s="67">
        <v>256262</v>
      </c>
      <c r="M2113" s="67">
        <v>0</v>
      </c>
      <c r="N2113" s="68">
        <f t="shared" si="133"/>
        <v>256262</v>
      </c>
      <c r="O2113" s="69">
        <f t="shared" si="132"/>
        <v>256262</v>
      </c>
      <c r="P2113" s="42" t="str">
        <f>IFERROR(VLOOKUP(J2113,'Mã NV'!$B:$C,2,0),"")</f>
        <v>XE01537</v>
      </c>
      <c r="Q2113" s="70" t="str">
        <f>IFERROR(VLOOKUP(I2113,'Mã NV'!$J:$K,2,0),"")</f>
        <v>2.5T</v>
      </c>
    </row>
    <row r="2114" customHeight="1" spans="1:17">
      <c r="A2114" s="63">
        <f t="shared" si="131"/>
        <v>2106</v>
      </c>
      <c r="B2114" s="64">
        <v>46163</v>
      </c>
      <c r="D2114" s="66" t="s">
        <v>58</v>
      </c>
      <c r="E2114" s="66" t="s">
        <v>58</v>
      </c>
      <c r="F2114" s="66" t="s">
        <v>985</v>
      </c>
      <c r="G2114" s="66" t="s">
        <v>1076</v>
      </c>
      <c r="H2114" s="66" t="s">
        <v>1106</v>
      </c>
      <c r="I2114" s="66" t="s">
        <v>133</v>
      </c>
      <c r="J2114" s="66" t="s">
        <v>347</v>
      </c>
      <c r="K2114" s="66" t="s">
        <v>747</v>
      </c>
      <c r="L2114" s="67">
        <v>1071206</v>
      </c>
      <c r="M2114" s="67">
        <v>0</v>
      </c>
      <c r="N2114" s="68">
        <f t="shared" si="133"/>
        <v>1071206</v>
      </c>
      <c r="O2114" s="69">
        <f t="shared" si="132"/>
        <v>1071206</v>
      </c>
      <c r="P2114" s="42" t="str">
        <f>IFERROR(VLOOKUP(J2114,'Mã NV'!$B:$C,2,0),"")</f>
        <v>XE01653</v>
      </c>
      <c r="Q2114" s="70" t="str">
        <f>IFERROR(VLOOKUP(I2114,'Mã NV'!$J:$K,2,0),"")</f>
        <v>2.5T</v>
      </c>
    </row>
    <row r="2115" customHeight="1" spans="1:17">
      <c r="A2115" s="63">
        <f t="shared" si="131"/>
        <v>2107</v>
      </c>
      <c r="B2115" s="64">
        <v>46163</v>
      </c>
      <c r="D2115" s="66" t="s">
        <v>58</v>
      </c>
      <c r="E2115" s="66" t="s">
        <v>58</v>
      </c>
      <c r="F2115" s="66" t="s">
        <v>985</v>
      </c>
      <c r="G2115" s="66" t="s">
        <v>1076</v>
      </c>
      <c r="H2115" s="66" t="s">
        <v>1101</v>
      </c>
      <c r="I2115" s="66" t="s">
        <v>57</v>
      </c>
      <c r="J2115" s="66" t="s">
        <v>55</v>
      </c>
      <c r="K2115" s="66" t="s">
        <v>747</v>
      </c>
      <c r="L2115" s="67">
        <v>254544</v>
      </c>
      <c r="M2115" s="67">
        <v>0</v>
      </c>
      <c r="N2115" s="68">
        <f t="shared" si="133"/>
        <v>254544</v>
      </c>
      <c r="O2115" s="69">
        <f t="shared" si="132"/>
        <v>254544</v>
      </c>
      <c r="P2115" s="42" t="str">
        <f>IFERROR(VLOOKUP(J2115,'Mã NV'!$B:$C,2,0),"")</f>
        <v>XE00768</v>
      </c>
      <c r="Q2115" s="70" t="str">
        <f>IFERROR(VLOOKUP(I2115,'Mã NV'!$J:$K,2,0),"")</f>
        <v>2.5T</v>
      </c>
    </row>
    <row r="2116" customHeight="1" spans="1:17">
      <c r="A2116" s="63">
        <f t="shared" si="131"/>
        <v>2108</v>
      </c>
      <c r="B2116" s="64">
        <v>46163</v>
      </c>
      <c r="D2116" s="66" t="s">
        <v>58</v>
      </c>
      <c r="E2116" s="66" t="s">
        <v>58</v>
      </c>
      <c r="F2116" s="66" t="s">
        <v>985</v>
      </c>
      <c r="G2116" s="66" t="s">
        <v>1076</v>
      </c>
      <c r="H2116" s="66" t="s">
        <v>1084</v>
      </c>
      <c r="I2116" s="66" t="s">
        <v>57</v>
      </c>
      <c r="J2116" s="66" t="s">
        <v>55</v>
      </c>
      <c r="K2116" s="66" t="s">
        <v>747</v>
      </c>
      <c r="L2116" s="67">
        <v>198863</v>
      </c>
      <c r="M2116" s="67">
        <v>0</v>
      </c>
      <c r="N2116" s="68">
        <f t="shared" si="133"/>
        <v>198863</v>
      </c>
      <c r="O2116" s="69">
        <f t="shared" si="132"/>
        <v>198863</v>
      </c>
      <c r="P2116" s="42" t="str">
        <f>IFERROR(VLOOKUP(J2116,'Mã NV'!$B:$C,2,0),"")</f>
        <v>XE00768</v>
      </c>
      <c r="Q2116" s="70" t="str">
        <f>IFERROR(VLOOKUP(I2116,'Mã NV'!$J:$K,2,0),"")</f>
        <v>2.5T</v>
      </c>
    </row>
    <row r="2117" customHeight="1" spans="1:17">
      <c r="A2117" s="63">
        <f t="shared" si="131"/>
        <v>2109</v>
      </c>
      <c r="B2117" s="64">
        <v>46163</v>
      </c>
      <c r="D2117" s="66" t="s">
        <v>58</v>
      </c>
      <c r="E2117" s="66" t="s">
        <v>58</v>
      </c>
      <c r="F2117" s="66" t="s">
        <v>985</v>
      </c>
      <c r="G2117" s="66" t="s">
        <v>1076</v>
      </c>
      <c r="H2117" s="66" t="s">
        <v>1077</v>
      </c>
      <c r="I2117" s="66" t="s">
        <v>57</v>
      </c>
      <c r="J2117" s="66" t="s">
        <v>55</v>
      </c>
      <c r="K2117" s="66" t="s">
        <v>747</v>
      </c>
      <c r="L2117" s="67">
        <v>615148</v>
      </c>
      <c r="M2117" s="67">
        <v>0</v>
      </c>
      <c r="N2117" s="68">
        <f t="shared" si="133"/>
        <v>615148</v>
      </c>
      <c r="O2117" s="69">
        <f t="shared" si="132"/>
        <v>615148</v>
      </c>
      <c r="P2117" s="42" t="str">
        <f>IFERROR(VLOOKUP(J2117,'Mã NV'!$B:$C,2,0),"")</f>
        <v>XE00768</v>
      </c>
      <c r="Q2117" s="70" t="str">
        <f>IFERROR(VLOOKUP(I2117,'Mã NV'!$J:$K,2,0),"")</f>
        <v>2.5T</v>
      </c>
    </row>
    <row r="2118" customHeight="1" spans="1:17">
      <c r="A2118" s="63">
        <f t="shared" si="131"/>
        <v>2110</v>
      </c>
      <c r="B2118" s="64">
        <v>46163</v>
      </c>
      <c r="D2118" s="66" t="s">
        <v>58</v>
      </c>
      <c r="E2118" s="66" t="s">
        <v>58</v>
      </c>
      <c r="F2118" s="66" t="s">
        <v>985</v>
      </c>
      <c r="G2118" s="66" t="s">
        <v>1076</v>
      </c>
      <c r="H2118" s="66" t="s">
        <v>1080</v>
      </c>
      <c r="I2118" s="66" t="s">
        <v>403</v>
      </c>
      <c r="J2118" s="66" t="s">
        <v>401</v>
      </c>
      <c r="K2118" s="66" t="s">
        <v>747</v>
      </c>
      <c r="L2118" s="67">
        <v>312877</v>
      </c>
      <c r="M2118" s="67">
        <v>0</v>
      </c>
      <c r="N2118" s="68">
        <f t="shared" si="133"/>
        <v>312877</v>
      </c>
      <c r="O2118" s="69">
        <f t="shared" si="132"/>
        <v>312877</v>
      </c>
      <c r="P2118" s="42" t="str">
        <f>IFERROR(VLOOKUP(J2118,'Mã NV'!$B:$C,2,0),"")</f>
        <v>XE01466</v>
      </c>
      <c r="Q2118" s="70" t="str">
        <f>IFERROR(VLOOKUP(I2118,'Mã NV'!$J:$K,2,0),"")</f>
        <v>3.5T</v>
      </c>
    </row>
    <row r="2119" customHeight="1" spans="1:17">
      <c r="A2119" s="63">
        <f t="shared" si="131"/>
        <v>2111</v>
      </c>
      <c r="B2119" s="64">
        <v>46163</v>
      </c>
      <c r="D2119" s="66" t="s">
        <v>58</v>
      </c>
      <c r="E2119" s="66" t="s">
        <v>58</v>
      </c>
      <c r="F2119" s="66" t="s">
        <v>985</v>
      </c>
      <c r="G2119" s="66" t="s">
        <v>1076</v>
      </c>
      <c r="H2119" s="66" t="s">
        <v>1081</v>
      </c>
      <c r="I2119" s="66" t="s">
        <v>403</v>
      </c>
      <c r="J2119" s="66" t="s">
        <v>401</v>
      </c>
      <c r="K2119" s="66" t="s">
        <v>747</v>
      </c>
      <c r="L2119" s="67">
        <v>262499</v>
      </c>
      <c r="M2119" s="67">
        <v>0</v>
      </c>
      <c r="N2119" s="68">
        <f t="shared" si="133"/>
        <v>262499</v>
      </c>
      <c r="O2119" s="69">
        <f t="shared" si="132"/>
        <v>262499</v>
      </c>
      <c r="P2119" s="42" t="str">
        <f>IFERROR(VLOOKUP(J2119,'Mã NV'!$B:$C,2,0),"")</f>
        <v>XE01466</v>
      </c>
      <c r="Q2119" s="70" t="str">
        <f>IFERROR(VLOOKUP(I2119,'Mã NV'!$J:$K,2,0),"")</f>
        <v>3.5T</v>
      </c>
    </row>
    <row r="2120" customHeight="1" spans="1:17">
      <c r="A2120" s="63">
        <f t="shared" si="131"/>
        <v>2112</v>
      </c>
      <c r="B2120" s="64">
        <v>46163</v>
      </c>
      <c r="D2120" s="66" t="s">
        <v>58</v>
      </c>
      <c r="E2120" s="66" t="s">
        <v>58</v>
      </c>
      <c r="F2120" s="66" t="s">
        <v>985</v>
      </c>
      <c r="G2120" s="66" t="s">
        <v>1076</v>
      </c>
      <c r="H2120" s="66" t="s">
        <v>1082</v>
      </c>
      <c r="I2120" s="66" t="s">
        <v>403</v>
      </c>
      <c r="J2120" s="66" t="s">
        <v>401</v>
      </c>
      <c r="K2120" s="66" t="s">
        <v>747</v>
      </c>
      <c r="L2120" s="67">
        <v>355301</v>
      </c>
      <c r="M2120" s="67">
        <v>0</v>
      </c>
      <c r="N2120" s="68">
        <f t="shared" si="133"/>
        <v>355301</v>
      </c>
      <c r="O2120" s="69">
        <f t="shared" si="132"/>
        <v>355301</v>
      </c>
      <c r="P2120" s="42" t="str">
        <f>IFERROR(VLOOKUP(J2120,'Mã NV'!$B:$C,2,0),"")</f>
        <v>XE01466</v>
      </c>
      <c r="Q2120" s="70" t="str">
        <f>IFERROR(VLOOKUP(I2120,'Mã NV'!$J:$K,2,0),"")</f>
        <v>3.5T</v>
      </c>
    </row>
    <row r="2121" customHeight="1" spans="1:17">
      <c r="A2121" s="63">
        <f t="shared" si="131"/>
        <v>2113</v>
      </c>
      <c r="B2121" s="64">
        <v>46163</v>
      </c>
      <c r="D2121" s="66" t="s">
        <v>58</v>
      </c>
      <c r="E2121" s="66" t="s">
        <v>58</v>
      </c>
      <c r="F2121" s="66" t="s">
        <v>985</v>
      </c>
      <c r="G2121" s="66" t="s">
        <v>1076</v>
      </c>
      <c r="H2121" s="66" t="s">
        <v>1079</v>
      </c>
      <c r="I2121" s="66" t="s">
        <v>403</v>
      </c>
      <c r="J2121" s="66" t="s">
        <v>401</v>
      </c>
      <c r="K2121" s="66" t="s">
        <v>747</v>
      </c>
      <c r="L2121" s="67">
        <v>336741</v>
      </c>
      <c r="M2121" s="67">
        <v>0</v>
      </c>
      <c r="N2121" s="68">
        <f t="shared" si="133"/>
        <v>336741</v>
      </c>
      <c r="O2121" s="69">
        <f t="shared" si="132"/>
        <v>336741</v>
      </c>
      <c r="P2121" s="42" t="str">
        <f>IFERROR(VLOOKUP(J2121,'Mã NV'!$B:$C,2,0),"")</f>
        <v>XE01466</v>
      </c>
      <c r="Q2121" s="70" t="str">
        <f>IFERROR(VLOOKUP(I2121,'Mã NV'!$J:$K,2,0),"")</f>
        <v>3.5T</v>
      </c>
    </row>
    <row r="2122" customHeight="1" spans="1:17">
      <c r="A2122" s="63">
        <f t="shared" si="131"/>
        <v>2114</v>
      </c>
      <c r="B2122" s="64">
        <v>46163</v>
      </c>
      <c r="D2122" s="66" t="s">
        <v>58</v>
      </c>
      <c r="E2122" s="66" t="s">
        <v>58</v>
      </c>
      <c r="F2122" s="66" t="s">
        <v>985</v>
      </c>
      <c r="G2122" s="66" t="s">
        <v>1076</v>
      </c>
      <c r="H2122" s="66" t="s">
        <v>1087</v>
      </c>
      <c r="I2122" s="66" t="s">
        <v>177</v>
      </c>
      <c r="J2122" s="66" t="s">
        <v>174</v>
      </c>
      <c r="K2122" s="66" t="s">
        <v>747</v>
      </c>
      <c r="L2122" s="67">
        <v>246590</v>
      </c>
      <c r="M2122" s="67">
        <v>0</v>
      </c>
      <c r="N2122" s="68">
        <f t="shared" si="133"/>
        <v>246590</v>
      </c>
      <c r="O2122" s="69">
        <f t="shared" si="132"/>
        <v>246590</v>
      </c>
      <c r="P2122" s="42" t="str">
        <f>IFERROR(VLOOKUP(J2122,'Mã NV'!$B:$C,2,0),"")</f>
        <v>XE00975</v>
      </c>
      <c r="Q2122" s="70" t="str">
        <f>IFERROR(VLOOKUP(I2122,'Mã NV'!$J:$K,2,0),"")</f>
        <v>2.5T Lạnh</v>
      </c>
    </row>
    <row r="2123" customHeight="1" spans="1:17">
      <c r="A2123" s="63">
        <f t="shared" si="131"/>
        <v>2115</v>
      </c>
      <c r="B2123" s="64">
        <v>46163</v>
      </c>
      <c r="D2123" s="66" t="s">
        <v>58</v>
      </c>
      <c r="E2123" s="66" t="s">
        <v>58</v>
      </c>
      <c r="F2123" s="66" t="s">
        <v>985</v>
      </c>
      <c r="G2123" s="66" t="s">
        <v>1076</v>
      </c>
      <c r="H2123" s="66" t="s">
        <v>1085</v>
      </c>
      <c r="I2123" s="66" t="s">
        <v>177</v>
      </c>
      <c r="J2123" s="66" t="s">
        <v>174</v>
      </c>
      <c r="K2123" s="66" t="s">
        <v>747</v>
      </c>
      <c r="L2123" s="67">
        <v>169696</v>
      </c>
      <c r="M2123" s="67">
        <v>0</v>
      </c>
      <c r="N2123" s="68">
        <f t="shared" si="133"/>
        <v>169696</v>
      </c>
      <c r="O2123" s="69">
        <f t="shared" si="132"/>
        <v>169696</v>
      </c>
      <c r="P2123" s="42" t="str">
        <f>IFERROR(VLOOKUP(J2123,'Mã NV'!$B:$C,2,0),"")</f>
        <v>XE00975</v>
      </c>
      <c r="Q2123" s="70" t="str">
        <f>IFERROR(VLOOKUP(I2123,'Mã NV'!$J:$K,2,0),"")</f>
        <v>2.5T Lạnh</v>
      </c>
    </row>
    <row r="2124" customHeight="1" spans="1:17">
      <c r="A2124" s="63">
        <f t="shared" si="131"/>
        <v>2116</v>
      </c>
      <c r="B2124" s="64">
        <v>46163</v>
      </c>
      <c r="D2124" s="66" t="s">
        <v>58</v>
      </c>
      <c r="E2124" s="66" t="s">
        <v>58</v>
      </c>
      <c r="F2124" s="66" t="s">
        <v>985</v>
      </c>
      <c r="G2124" s="66" t="s">
        <v>1076</v>
      </c>
      <c r="H2124" s="66" t="s">
        <v>1078</v>
      </c>
      <c r="I2124" s="66" t="s">
        <v>177</v>
      </c>
      <c r="J2124" s="66" t="s">
        <v>174</v>
      </c>
      <c r="K2124" s="66" t="s">
        <v>747</v>
      </c>
      <c r="L2124" s="67">
        <v>228029</v>
      </c>
      <c r="M2124" s="67">
        <v>0</v>
      </c>
      <c r="N2124" s="68">
        <f t="shared" si="133"/>
        <v>228029</v>
      </c>
      <c r="O2124" s="69">
        <f t="shared" si="132"/>
        <v>228029</v>
      </c>
      <c r="P2124" s="42" t="str">
        <f>IFERROR(VLOOKUP(J2124,'Mã NV'!$B:$C,2,0),"")</f>
        <v>XE00975</v>
      </c>
      <c r="Q2124" s="70" t="str">
        <f>IFERROR(VLOOKUP(I2124,'Mã NV'!$J:$K,2,0),"")</f>
        <v>2.5T Lạnh</v>
      </c>
    </row>
    <row r="2125" customHeight="1" spans="1:17">
      <c r="A2125" s="63">
        <f t="shared" si="131"/>
        <v>2117</v>
      </c>
      <c r="B2125" s="64">
        <v>46163</v>
      </c>
      <c r="D2125" s="66" t="s">
        <v>58</v>
      </c>
      <c r="E2125" s="66" t="s">
        <v>58</v>
      </c>
      <c r="F2125" s="66" t="s">
        <v>985</v>
      </c>
      <c r="G2125" s="66" t="s">
        <v>1076</v>
      </c>
      <c r="H2125" s="66" t="s">
        <v>1111</v>
      </c>
      <c r="I2125" s="66" t="s">
        <v>177</v>
      </c>
      <c r="J2125" s="66" t="s">
        <v>174</v>
      </c>
      <c r="K2125" s="66" t="s">
        <v>747</v>
      </c>
      <c r="L2125" s="67">
        <v>230681</v>
      </c>
      <c r="M2125" s="67">
        <v>0</v>
      </c>
      <c r="N2125" s="68">
        <f t="shared" si="133"/>
        <v>230681</v>
      </c>
      <c r="O2125" s="69">
        <f t="shared" si="132"/>
        <v>230681</v>
      </c>
      <c r="P2125" s="42" t="str">
        <f>IFERROR(VLOOKUP(J2125,'Mã NV'!$B:$C,2,0),"")</f>
        <v>XE00975</v>
      </c>
      <c r="Q2125" s="70" t="str">
        <f>IFERROR(VLOOKUP(I2125,'Mã NV'!$J:$K,2,0),"")</f>
        <v>2.5T Lạnh</v>
      </c>
    </row>
    <row r="2126" customHeight="1" spans="1:17">
      <c r="A2126" s="63">
        <f t="shared" si="131"/>
        <v>2118</v>
      </c>
      <c r="B2126" s="64">
        <v>46163</v>
      </c>
      <c r="D2126" s="66" t="s">
        <v>58</v>
      </c>
      <c r="E2126" s="66" t="s">
        <v>58</v>
      </c>
      <c r="F2126" s="66" t="s">
        <v>985</v>
      </c>
      <c r="G2126" s="66" t="s">
        <v>1076</v>
      </c>
      <c r="H2126" s="66" t="s">
        <v>1102</v>
      </c>
      <c r="I2126" s="66" t="s">
        <v>323</v>
      </c>
      <c r="J2126" s="66" t="s">
        <v>321</v>
      </c>
      <c r="K2126" s="66" t="s">
        <v>747</v>
      </c>
      <c r="L2126" s="67">
        <v>405680</v>
      </c>
      <c r="M2126" s="67">
        <v>0</v>
      </c>
      <c r="N2126" s="68">
        <f t="shared" si="133"/>
        <v>405680</v>
      </c>
      <c r="O2126" s="69">
        <f t="shared" si="132"/>
        <v>405680</v>
      </c>
      <c r="P2126" s="42" t="str">
        <f>IFERROR(VLOOKUP(J2126,'Mã NV'!$B:$C,2,0),"")</f>
        <v>XE01537</v>
      </c>
      <c r="Q2126" s="70" t="str">
        <f>IFERROR(VLOOKUP(I2126,'Mã NV'!$J:$K,2,0),"")</f>
        <v>2.5T</v>
      </c>
    </row>
    <row r="2127" customHeight="1" spans="1:17">
      <c r="A2127" s="63">
        <f t="shared" si="131"/>
        <v>2119</v>
      </c>
      <c r="B2127" s="64">
        <v>46163</v>
      </c>
      <c r="D2127" s="66" t="s">
        <v>58</v>
      </c>
      <c r="E2127" s="66" t="s">
        <v>58</v>
      </c>
      <c r="F2127" s="66" t="s">
        <v>985</v>
      </c>
      <c r="G2127" s="66" t="s">
        <v>1076</v>
      </c>
      <c r="H2127" s="66" t="s">
        <v>1104</v>
      </c>
      <c r="I2127" s="66" t="s">
        <v>323</v>
      </c>
      <c r="J2127" s="66" t="s">
        <v>321</v>
      </c>
      <c r="K2127" s="66" t="s">
        <v>747</v>
      </c>
      <c r="L2127" s="67">
        <v>246590</v>
      </c>
      <c r="M2127" s="67">
        <v>0</v>
      </c>
      <c r="N2127" s="68">
        <f t="shared" si="133"/>
        <v>246590</v>
      </c>
      <c r="O2127" s="69">
        <f t="shared" si="132"/>
        <v>246590</v>
      </c>
      <c r="P2127" s="42" t="str">
        <f>IFERROR(VLOOKUP(J2127,'Mã NV'!$B:$C,2,0),"")</f>
        <v>XE01537</v>
      </c>
      <c r="Q2127" s="70" t="str">
        <f>IFERROR(VLOOKUP(I2127,'Mã NV'!$J:$K,2,0),"")</f>
        <v>2.5T</v>
      </c>
    </row>
    <row r="2128" customHeight="1" spans="1:17">
      <c r="A2128" s="63">
        <f t="shared" si="131"/>
        <v>2120</v>
      </c>
      <c r="B2128" s="64">
        <v>46163</v>
      </c>
      <c r="D2128" s="66" t="s">
        <v>58</v>
      </c>
      <c r="E2128" s="66" t="s">
        <v>58</v>
      </c>
      <c r="F2128" s="66" t="s">
        <v>985</v>
      </c>
      <c r="G2128" s="66" t="s">
        <v>1076</v>
      </c>
      <c r="H2128" s="66" t="s">
        <v>1103</v>
      </c>
      <c r="I2128" s="66" t="s">
        <v>323</v>
      </c>
      <c r="J2128" s="66" t="s">
        <v>321</v>
      </c>
      <c r="K2128" s="66" t="s">
        <v>747</v>
      </c>
      <c r="L2128" s="67">
        <v>169696</v>
      </c>
      <c r="M2128" s="67">
        <v>0</v>
      </c>
      <c r="N2128" s="68">
        <f t="shared" si="133"/>
        <v>169696</v>
      </c>
      <c r="O2128" s="69">
        <f t="shared" si="132"/>
        <v>169696</v>
      </c>
      <c r="P2128" s="42" t="str">
        <f>IFERROR(VLOOKUP(J2128,'Mã NV'!$B:$C,2,0),"")</f>
        <v>XE01537</v>
      </c>
      <c r="Q2128" s="70" t="str">
        <f>IFERROR(VLOOKUP(I2128,'Mã NV'!$J:$K,2,0),"")</f>
        <v>2.5T</v>
      </c>
    </row>
    <row r="2129" customHeight="1" spans="1:17">
      <c r="A2129" s="63">
        <f t="shared" ref="A2129:A2192" si="134">A2128+1</f>
        <v>2121</v>
      </c>
      <c r="B2129" s="64">
        <v>46163</v>
      </c>
      <c r="D2129" s="66" t="s">
        <v>58</v>
      </c>
      <c r="E2129" s="66" t="s">
        <v>58</v>
      </c>
      <c r="F2129" s="66" t="s">
        <v>985</v>
      </c>
      <c r="G2129" s="66" t="s">
        <v>1076</v>
      </c>
      <c r="H2129" s="66" t="s">
        <v>1086</v>
      </c>
      <c r="I2129" s="66" t="s">
        <v>323</v>
      </c>
      <c r="J2129" s="66" t="s">
        <v>321</v>
      </c>
      <c r="K2129" s="66" t="s">
        <v>747</v>
      </c>
      <c r="L2129" s="67">
        <v>347347</v>
      </c>
      <c r="M2129" s="67">
        <v>0</v>
      </c>
      <c r="N2129" s="68">
        <f t="shared" si="133"/>
        <v>347347</v>
      </c>
      <c r="O2129" s="69">
        <f t="shared" si="132"/>
        <v>347347</v>
      </c>
      <c r="P2129" s="42" t="str">
        <f>IFERROR(VLOOKUP(J2129,'Mã NV'!$B:$C,2,0),"")</f>
        <v>XE01537</v>
      </c>
      <c r="Q2129" s="70" t="str">
        <f>IFERROR(VLOOKUP(I2129,'Mã NV'!$J:$K,2,0),"")</f>
        <v>2.5T</v>
      </c>
    </row>
    <row r="2130" customHeight="1" spans="1:17">
      <c r="A2130" s="63">
        <f t="shared" si="134"/>
        <v>2122</v>
      </c>
      <c r="B2130" s="64">
        <v>46163</v>
      </c>
      <c r="D2130" s="66" t="s">
        <v>58</v>
      </c>
      <c r="E2130" s="66" t="s">
        <v>58</v>
      </c>
      <c r="F2130" s="66" t="s">
        <v>985</v>
      </c>
      <c r="G2130" s="66" t="s">
        <v>1076</v>
      </c>
      <c r="H2130" s="66" t="s">
        <v>1109</v>
      </c>
      <c r="I2130" s="66" t="s">
        <v>134</v>
      </c>
      <c r="J2130" s="66" t="s">
        <v>359</v>
      </c>
      <c r="K2130" s="66" t="s">
        <v>747</v>
      </c>
      <c r="L2130" s="67">
        <v>392422</v>
      </c>
      <c r="M2130" s="67">
        <v>0</v>
      </c>
      <c r="N2130" s="68">
        <f t="shared" si="133"/>
        <v>392422</v>
      </c>
      <c r="O2130" s="69">
        <f t="shared" si="132"/>
        <v>392422</v>
      </c>
      <c r="P2130" s="42" t="str">
        <f>IFERROR(VLOOKUP(J2130,'Mã NV'!$B:$C,2,0),"")</f>
        <v>XE01639</v>
      </c>
      <c r="Q2130" s="70" t="str">
        <f>IFERROR(VLOOKUP(I2130,'Mã NV'!$J:$K,2,0),"")</f>
        <v>2.5T Lạnh</v>
      </c>
    </row>
    <row r="2131" customHeight="1" spans="1:17">
      <c r="A2131" s="63">
        <f t="shared" si="134"/>
        <v>2123</v>
      </c>
      <c r="B2131" s="64">
        <v>46163</v>
      </c>
      <c r="D2131" s="66" t="s">
        <v>58</v>
      </c>
      <c r="E2131" s="66" t="s">
        <v>58</v>
      </c>
      <c r="F2131" s="66" t="s">
        <v>985</v>
      </c>
      <c r="G2131" s="66" t="s">
        <v>1076</v>
      </c>
      <c r="H2131" s="66" t="s">
        <v>1083</v>
      </c>
      <c r="I2131" s="66" t="s">
        <v>134</v>
      </c>
      <c r="J2131" s="66" t="s">
        <v>359</v>
      </c>
      <c r="K2131" s="66" t="s">
        <v>747</v>
      </c>
      <c r="L2131" s="67">
        <v>198863</v>
      </c>
      <c r="M2131" s="67">
        <v>0</v>
      </c>
      <c r="N2131" s="68">
        <f t="shared" si="133"/>
        <v>198863</v>
      </c>
      <c r="O2131" s="69">
        <f t="shared" si="132"/>
        <v>198863</v>
      </c>
      <c r="P2131" s="42" t="str">
        <f>IFERROR(VLOOKUP(J2131,'Mã NV'!$B:$C,2,0),"")</f>
        <v>XE01639</v>
      </c>
      <c r="Q2131" s="70" t="str">
        <f>IFERROR(VLOOKUP(I2131,'Mã NV'!$J:$K,2,0),"")</f>
        <v>2.5T Lạnh</v>
      </c>
    </row>
    <row r="2132" customHeight="1" spans="1:17">
      <c r="A2132" s="63">
        <f t="shared" si="134"/>
        <v>2124</v>
      </c>
      <c r="B2132" s="64">
        <v>46163</v>
      </c>
      <c r="D2132" s="66" t="s">
        <v>58</v>
      </c>
      <c r="E2132" s="66" t="s">
        <v>58</v>
      </c>
      <c r="F2132" s="66" t="s">
        <v>985</v>
      </c>
      <c r="G2132" s="66" t="s">
        <v>1076</v>
      </c>
      <c r="H2132" s="66" t="s">
        <v>1098</v>
      </c>
      <c r="I2132" s="66" t="s">
        <v>214</v>
      </c>
      <c r="J2132" s="66" t="s">
        <v>212</v>
      </c>
      <c r="K2132" s="66" t="s">
        <v>747</v>
      </c>
      <c r="L2132" s="67">
        <v>198863</v>
      </c>
      <c r="M2132" s="67">
        <v>0</v>
      </c>
      <c r="N2132" s="68">
        <f t="shared" si="133"/>
        <v>198863</v>
      </c>
      <c r="O2132" s="69">
        <f t="shared" si="132"/>
        <v>198863</v>
      </c>
      <c r="P2132" s="42" t="str">
        <f>IFERROR(VLOOKUP(J2132,'Mã NV'!$B:$C,2,0),"")</f>
        <v>XE00977</v>
      </c>
      <c r="Q2132" s="70" t="str">
        <f>IFERROR(VLOOKUP(I2132,'Mã NV'!$J:$K,2,0),"")</f>
        <v>2T5 Lạnh </v>
      </c>
    </row>
    <row r="2133" customHeight="1" spans="1:17">
      <c r="A2133" s="63">
        <f t="shared" si="134"/>
        <v>2125</v>
      </c>
      <c r="B2133" s="64">
        <v>46163</v>
      </c>
      <c r="D2133" s="66" t="s">
        <v>58</v>
      </c>
      <c r="E2133" s="66" t="s">
        <v>58</v>
      </c>
      <c r="F2133" s="66" t="s">
        <v>985</v>
      </c>
      <c r="G2133" s="66" t="s">
        <v>1076</v>
      </c>
      <c r="H2133" s="66" t="s">
        <v>1097</v>
      </c>
      <c r="I2133" s="66" t="s">
        <v>214</v>
      </c>
      <c r="J2133" s="66" t="s">
        <v>212</v>
      </c>
      <c r="K2133" s="66" t="s">
        <v>747</v>
      </c>
      <c r="L2133" s="67">
        <v>212120</v>
      </c>
      <c r="M2133" s="67">
        <v>0</v>
      </c>
      <c r="N2133" s="68">
        <f t="shared" si="133"/>
        <v>212120</v>
      </c>
      <c r="O2133" s="69">
        <f t="shared" si="132"/>
        <v>212120</v>
      </c>
      <c r="P2133" s="42" t="str">
        <f>IFERROR(VLOOKUP(J2133,'Mã NV'!$B:$C,2,0),"")</f>
        <v>XE00977</v>
      </c>
      <c r="Q2133" s="70" t="str">
        <f>IFERROR(VLOOKUP(I2133,'Mã NV'!$J:$K,2,0),"")</f>
        <v>2T5 Lạnh </v>
      </c>
    </row>
    <row r="2134" customHeight="1" spans="1:17">
      <c r="A2134" s="63">
        <f t="shared" si="134"/>
        <v>2126</v>
      </c>
      <c r="B2134" s="64">
        <v>46163</v>
      </c>
      <c r="D2134" s="66" t="s">
        <v>58</v>
      </c>
      <c r="E2134" s="66" t="s">
        <v>58</v>
      </c>
      <c r="F2134" s="66" t="s">
        <v>985</v>
      </c>
      <c r="G2134" s="66" t="s">
        <v>1076</v>
      </c>
      <c r="H2134" s="66" t="s">
        <v>1088</v>
      </c>
      <c r="I2134" s="66" t="s">
        <v>214</v>
      </c>
      <c r="J2134" s="66" t="s">
        <v>212</v>
      </c>
      <c r="K2134" s="66" t="s">
        <v>747</v>
      </c>
      <c r="L2134" s="67">
        <v>442801</v>
      </c>
      <c r="M2134" s="67">
        <v>0</v>
      </c>
      <c r="N2134" s="68">
        <f t="shared" si="133"/>
        <v>442801</v>
      </c>
      <c r="O2134" s="69">
        <f t="shared" si="132"/>
        <v>442801</v>
      </c>
      <c r="P2134" s="42" t="str">
        <f>IFERROR(VLOOKUP(J2134,'Mã NV'!$B:$C,2,0),"")</f>
        <v>XE00977</v>
      </c>
      <c r="Q2134" s="70" t="str">
        <f>IFERROR(VLOOKUP(I2134,'Mã NV'!$J:$K,2,0),"")</f>
        <v>2T5 Lạnh </v>
      </c>
    </row>
    <row r="2135" customHeight="1" spans="1:17">
      <c r="A2135" s="63">
        <f t="shared" si="134"/>
        <v>2127</v>
      </c>
      <c r="B2135" s="64">
        <v>46163</v>
      </c>
      <c r="D2135" s="66" t="s">
        <v>58</v>
      </c>
      <c r="E2135" s="66" t="s">
        <v>58</v>
      </c>
      <c r="F2135" s="66" t="s">
        <v>985</v>
      </c>
      <c r="G2135" s="66" t="s">
        <v>1076</v>
      </c>
      <c r="H2135" s="66" t="s">
        <v>1089</v>
      </c>
      <c r="I2135" s="66" t="s">
        <v>57</v>
      </c>
      <c r="J2135" s="66" t="s">
        <v>55</v>
      </c>
      <c r="K2135" s="66" t="s">
        <v>747</v>
      </c>
      <c r="L2135" s="67">
        <v>336741</v>
      </c>
      <c r="M2135" s="67">
        <v>0</v>
      </c>
      <c r="N2135" s="68">
        <f t="shared" si="133"/>
        <v>336741</v>
      </c>
      <c r="O2135" s="69">
        <f t="shared" si="132"/>
        <v>336741</v>
      </c>
      <c r="P2135" s="42" t="str">
        <f>IFERROR(VLOOKUP(J2135,'Mã NV'!$B:$C,2,0),"")</f>
        <v>XE00768</v>
      </c>
      <c r="Q2135" s="70" t="str">
        <f>IFERROR(VLOOKUP(I2135,'Mã NV'!$J:$K,2,0),"")</f>
        <v>2.5T</v>
      </c>
    </row>
    <row r="2136" customHeight="1" spans="1:17">
      <c r="A2136" s="63">
        <f t="shared" si="134"/>
        <v>2128</v>
      </c>
      <c r="B2136" s="64">
        <v>46163</v>
      </c>
      <c r="D2136" s="66" t="s">
        <v>58</v>
      </c>
      <c r="E2136" s="66" t="s">
        <v>58</v>
      </c>
      <c r="F2136" s="66" t="s">
        <v>985</v>
      </c>
      <c r="G2136" s="66" t="s">
        <v>1076</v>
      </c>
      <c r="H2136" s="66" t="s">
        <v>1091</v>
      </c>
      <c r="I2136" s="66" t="s">
        <v>57</v>
      </c>
      <c r="J2136" s="66" t="s">
        <v>55</v>
      </c>
      <c r="K2136" s="66" t="s">
        <v>747</v>
      </c>
      <c r="L2136" s="67">
        <v>251893</v>
      </c>
      <c r="M2136" s="67">
        <v>0</v>
      </c>
      <c r="N2136" s="68">
        <f t="shared" si="133"/>
        <v>251893</v>
      </c>
      <c r="O2136" s="69">
        <f t="shared" si="132"/>
        <v>251893</v>
      </c>
      <c r="P2136" s="42" t="str">
        <f>IFERROR(VLOOKUP(J2136,'Mã NV'!$B:$C,2,0),"")</f>
        <v>XE00768</v>
      </c>
      <c r="Q2136" s="70" t="str">
        <f>IFERROR(VLOOKUP(I2136,'Mã NV'!$J:$K,2,0),"")</f>
        <v>2.5T</v>
      </c>
    </row>
    <row r="2137" customHeight="1" spans="1:17">
      <c r="A2137" s="63">
        <f t="shared" si="134"/>
        <v>2129</v>
      </c>
      <c r="B2137" s="64">
        <v>46163</v>
      </c>
      <c r="D2137" s="66" t="s">
        <v>58</v>
      </c>
      <c r="E2137" s="66" t="s">
        <v>58</v>
      </c>
      <c r="F2137" s="66" t="s">
        <v>985</v>
      </c>
      <c r="G2137" s="66" t="s">
        <v>1076</v>
      </c>
      <c r="H2137" s="66" t="s">
        <v>1096</v>
      </c>
      <c r="I2137" s="66" t="s">
        <v>57</v>
      </c>
      <c r="J2137" s="66" t="s">
        <v>55</v>
      </c>
      <c r="K2137" s="66" t="s">
        <v>747</v>
      </c>
      <c r="L2137" s="67">
        <v>334089</v>
      </c>
      <c r="M2137" s="67">
        <v>0</v>
      </c>
      <c r="N2137" s="68">
        <f t="shared" si="133"/>
        <v>334089</v>
      </c>
      <c r="O2137" s="69">
        <f t="shared" si="132"/>
        <v>334089</v>
      </c>
      <c r="P2137" s="42" t="str">
        <f>IFERROR(VLOOKUP(J2137,'Mã NV'!$B:$C,2,0),"")</f>
        <v>XE00768</v>
      </c>
      <c r="Q2137" s="70" t="str">
        <f>IFERROR(VLOOKUP(I2137,'Mã NV'!$J:$K,2,0),"")</f>
        <v>2.5T</v>
      </c>
    </row>
    <row r="2138" customHeight="1" spans="1:17">
      <c r="A2138" s="63">
        <f t="shared" si="134"/>
        <v>2130</v>
      </c>
      <c r="B2138" s="64">
        <v>46163</v>
      </c>
      <c r="D2138" s="66" t="s">
        <v>58</v>
      </c>
      <c r="E2138" s="66" t="s">
        <v>58</v>
      </c>
      <c r="F2138" s="66" t="s">
        <v>985</v>
      </c>
      <c r="G2138" s="66" t="s">
        <v>1076</v>
      </c>
      <c r="H2138" s="66" t="s">
        <v>1099</v>
      </c>
      <c r="I2138" s="66" t="s">
        <v>403</v>
      </c>
      <c r="J2138" s="66" t="s">
        <v>401</v>
      </c>
      <c r="K2138" s="66" t="s">
        <v>747</v>
      </c>
      <c r="L2138" s="67">
        <v>214772</v>
      </c>
      <c r="M2138" s="67">
        <v>0</v>
      </c>
      <c r="N2138" s="68">
        <f t="shared" si="133"/>
        <v>214772</v>
      </c>
      <c r="O2138" s="69">
        <f t="shared" si="132"/>
        <v>214772</v>
      </c>
      <c r="P2138" s="42" t="str">
        <f>IFERROR(VLOOKUP(J2138,'Mã NV'!$B:$C,2,0),"")</f>
        <v>XE01466</v>
      </c>
      <c r="Q2138" s="70" t="str">
        <f>IFERROR(VLOOKUP(I2138,'Mã NV'!$J:$K,2,0),"")</f>
        <v>3.5T</v>
      </c>
    </row>
    <row r="2139" customHeight="1" spans="1:17">
      <c r="A2139" s="63">
        <f t="shared" si="134"/>
        <v>2131</v>
      </c>
      <c r="B2139" s="64">
        <v>46163</v>
      </c>
      <c r="D2139" s="66" t="s">
        <v>58</v>
      </c>
      <c r="E2139" s="66" t="s">
        <v>58</v>
      </c>
      <c r="F2139" s="66" t="s">
        <v>985</v>
      </c>
      <c r="G2139" s="66" t="s">
        <v>1076</v>
      </c>
      <c r="H2139" s="66" t="s">
        <v>1100</v>
      </c>
      <c r="I2139" s="66" t="s">
        <v>403</v>
      </c>
      <c r="J2139" s="66" t="s">
        <v>401</v>
      </c>
      <c r="K2139" s="66" t="s">
        <v>747</v>
      </c>
      <c r="L2139" s="67">
        <v>196211</v>
      </c>
      <c r="M2139" s="67">
        <v>0</v>
      </c>
      <c r="N2139" s="68">
        <f t="shared" si="133"/>
        <v>196211</v>
      </c>
      <c r="O2139" s="69">
        <f t="shared" si="132"/>
        <v>196211</v>
      </c>
      <c r="P2139" s="42" t="str">
        <f>IFERROR(VLOOKUP(J2139,'Mã NV'!$B:$C,2,0),"")</f>
        <v>XE01466</v>
      </c>
      <c r="Q2139" s="70" t="str">
        <f>IFERROR(VLOOKUP(I2139,'Mã NV'!$J:$K,2,0),"")</f>
        <v>3.5T</v>
      </c>
    </row>
    <row r="2140" customHeight="1" spans="1:17">
      <c r="A2140" s="63">
        <f t="shared" si="134"/>
        <v>2132</v>
      </c>
      <c r="B2140" s="64">
        <v>46163</v>
      </c>
      <c r="D2140" s="66" t="s">
        <v>58</v>
      </c>
      <c r="E2140" s="66" t="s">
        <v>58</v>
      </c>
      <c r="F2140" s="66" t="s">
        <v>985</v>
      </c>
      <c r="G2140" s="66" t="s">
        <v>1076</v>
      </c>
      <c r="H2140" s="66" t="s">
        <v>1092</v>
      </c>
      <c r="I2140" s="66" t="s">
        <v>403</v>
      </c>
      <c r="J2140" s="66" t="s">
        <v>401</v>
      </c>
      <c r="K2140" s="66" t="s">
        <v>747</v>
      </c>
      <c r="L2140" s="67">
        <v>222726</v>
      </c>
      <c r="M2140" s="67">
        <v>0</v>
      </c>
      <c r="N2140" s="68">
        <f t="shared" si="133"/>
        <v>222726</v>
      </c>
      <c r="O2140" s="69">
        <f t="shared" si="132"/>
        <v>222726</v>
      </c>
      <c r="P2140" s="42" t="str">
        <f>IFERROR(VLOOKUP(J2140,'Mã NV'!$B:$C,2,0),"")</f>
        <v>XE01466</v>
      </c>
      <c r="Q2140" s="70" t="str">
        <f>IFERROR(VLOOKUP(I2140,'Mã NV'!$J:$K,2,0),"")</f>
        <v>3.5T</v>
      </c>
    </row>
    <row r="2141" customHeight="1" spans="1:17">
      <c r="A2141" s="63">
        <f t="shared" si="134"/>
        <v>2133</v>
      </c>
      <c r="B2141" s="64">
        <v>46163</v>
      </c>
      <c r="D2141" s="66" t="s">
        <v>58</v>
      </c>
      <c r="E2141" s="66" t="s">
        <v>58</v>
      </c>
      <c r="F2141" s="66" t="s">
        <v>985</v>
      </c>
      <c r="G2141" s="66" t="s">
        <v>1076</v>
      </c>
      <c r="H2141" s="66" t="s">
        <v>1093</v>
      </c>
      <c r="I2141" s="66" t="s">
        <v>403</v>
      </c>
      <c r="J2141" s="66" t="s">
        <v>401</v>
      </c>
      <c r="K2141" s="66" t="s">
        <v>747</v>
      </c>
      <c r="L2141" s="67">
        <v>257196</v>
      </c>
      <c r="M2141" s="67">
        <v>0</v>
      </c>
      <c r="N2141" s="68">
        <f t="shared" si="133"/>
        <v>257196</v>
      </c>
      <c r="O2141" s="69">
        <f t="shared" si="132"/>
        <v>257196</v>
      </c>
      <c r="P2141" s="42" t="str">
        <f>IFERROR(VLOOKUP(J2141,'Mã NV'!$B:$C,2,0),"")</f>
        <v>XE01466</v>
      </c>
      <c r="Q2141" s="70" t="str">
        <f>IFERROR(VLOOKUP(I2141,'Mã NV'!$J:$K,2,0),"")</f>
        <v>3.5T</v>
      </c>
    </row>
    <row r="2142" customHeight="1" spans="1:17">
      <c r="A2142" s="63">
        <f t="shared" si="134"/>
        <v>2134</v>
      </c>
      <c r="B2142" s="64">
        <v>46163</v>
      </c>
      <c r="D2142" s="66" t="s">
        <v>58</v>
      </c>
      <c r="E2142" s="66" t="s">
        <v>58</v>
      </c>
      <c r="F2142" s="66" t="s">
        <v>985</v>
      </c>
      <c r="G2142" s="66" t="s">
        <v>1076</v>
      </c>
      <c r="H2142" s="66" t="s">
        <v>1095</v>
      </c>
      <c r="I2142" s="66" t="s">
        <v>177</v>
      </c>
      <c r="J2142" s="66" t="s">
        <v>174</v>
      </c>
      <c r="K2142" s="66" t="s">
        <v>747</v>
      </c>
      <c r="L2142" s="67">
        <v>365907</v>
      </c>
      <c r="M2142" s="67">
        <v>0</v>
      </c>
      <c r="N2142" s="68">
        <f t="shared" si="133"/>
        <v>365907</v>
      </c>
      <c r="O2142" s="69">
        <f t="shared" si="132"/>
        <v>365907</v>
      </c>
      <c r="P2142" s="42" t="str">
        <f>IFERROR(VLOOKUP(J2142,'Mã NV'!$B:$C,2,0),"")</f>
        <v>XE00975</v>
      </c>
      <c r="Q2142" s="70" t="str">
        <f>IFERROR(VLOOKUP(I2142,'Mã NV'!$J:$K,2,0),"")</f>
        <v>2.5T Lạnh</v>
      </c>
    </row>
    <row r="2143" customHeight="1" spans="1:17">
      <c r="A2143" s="63">
        <f t="shared" si="134"/>
        <v>2135</v>
      </c>
      <c r="B2143" s="64">
        <v>46163</v>
      </c>
      <c r="D2143" s="66" t="s">
        <v>58</v>
      </c>
      <c r="E2143" s="66" t="s">
        <v>58</v>
      </c>
      <c r="F2143" s="66" t="s">
        <v>985</v>
      </c>
      <c r="G2143" s="66" t="s">
        <v>1076</v>
      </c>
      <c r="H2143" s="66" t="s">
        <v>1094</v>
      </c>
      <c r="I2143" s="66" t="s">
        <v>177</v>
      </c>
      <c r="J2143" s="66" t="s">
        <v>174</v>
      </c>
      <c r="K2143" s="66" t="s">
        <v>747</v>
      </c>
      <c r="L2143" s="67">
        <v>124621</v>
      </c>
      <c r="M2143" s="67">
        <v>0</v>
      </c>
      <c r="N2143" s="68">
        <f t="shared" si="133"/>
        <v>124621</v>
      </c>
      <c r="O2143" s="69">
        <f t="shared" si="132"/>
        <v>124621</v>
      </c>
      <c r="P2143" s="42" t="str">
        <f>IFERROR(VLOOKUP(J2143,'Mã NV'!$B:$C,2,0),"")</f>
        <v>XE00975</v>
      </c>
      <c r="Q2143" s="70" t="str">
        <f>IFERROR(VLOOKUP(I2143,'Mã NV'!$J:$K,2,0),"")</f>
        <v>2.5T Lạnh</v>
      </c>
    </row>
    <row r="2144" customHeight="1" spans="1:17">
      <c r="A2144" s="63">
        <f t="shared" si="134"/>
        <v>2136</v>
      </c>
      <c r="B2144" s="64">
        <v>46163</v>
      </c>
      <c r="D2144" s="66" t="s">
        <v>58</v>
      </c>
      <c r="E2144" s="66" t="s">
        <v>58</v>
      </c>
      <c r="F2144" s="66" t="s">
        <v>985</v>
      </c>
      <c r="G2144" s="66" t="s">
        <v>1076</v>
      </c>
      <c r="H2144" s="66" t="s">
        <v>1090</v>
      </c>
      <c r="I2144" s="66" t="s">
        <v>177</v>
      </c>
      <c r="J2144" s="66" t="s">
        <v>174</v>
      </c>
      <c r="K2144" s="66" t="s">
        <v>747</v>
      </c>
      <c r="L2144" s="67">
        <v>365907</v>
      </c>
      <c r="M2144" s="67">
        <v>0</v>
      </c>
      <c r="N2144" s="68">
        <f t="shared" si="133"/>
        <v>365907</v>
      </c>
      <c r="O2144" s="69">
        <f t="shared" si="132"/>
        <v>365907</v>
      </c>
      <c r="P2144" s="42" t="str">
        <f>IFERROR(VLOOKUP(J2144,'Mã NV'!$B:$C,2,0),"")</f>
        <v>XE00975</v>
      </c>
      <c r="Q2144" s="70" t="str">
        <f>IFERROR(VLOOKUP(I2144,'Mã NV'!$J:$K,2,0),"")</f>
        <v>2.5T Lạnh</v>
      </c>
    </row>
    <row r="2145" customHeight="1" spans="1:17">
      <c r="A2145" s="63">
        <f t="shared" si="134"/>
        <v>2137</v>
      </c>
      <c r="B2145" s="64">
        <v>46164</v>
      </c>
      <c r="D2145" s="66" t="s">
        <v>58</v>
      </c>
      <c r="E2145" s="66" t="s">
        <v>58</v>
      </c>
      <c r="F2145" s="66" t="s">
        <v>985</v>
      </c>
      <c r="G2145" s="66" t="s">
        <v>1076</v>
      </c>
      <c r="H2145" s="66" t="s">
        <v>1077</v>
      </c>
      <c r="I2145" s="66" t="s">
        <v>57</v>
      </c>
      <c r="J2145" s="66" t="s">
        <v>55</v>
      </c>
      <c r="K2145" s="66" t="s">
        <v>747</v>
      </c>
      <c r="L2145" s="67">
        <v>336741</v>
      </c>
      <c r="M2145" s="67">
        <v>0</v>
      </c>
      <c r="N2145" s="68">
        <f t="shared" si="133"/>
        <v>336741</v>
      </c>
      <c r="O2145" s="69">
        <f t="shared" si="132"/>
        <v>336741</v>
      </c>
      <c r="P2145" s="42" t="str">
        <f>IFERROR(VLOOKUP(J2145,'Mã NV'!$B:$C,2,0),"")</f>
        <v>XE00768</v>
      </c>
      <c r="Q2145" s="70" t="str">
        <f>IFERROR(VLOOKUP(I2145,'Mã NV'!$J:$K,2,0),"")</f>
        <v>2.5T</v>
      </c>
    </row>
    <row r="2146" customHeight="1" spans="1:17">
      <c r="A2146" s="63">
        <f t="shared" si="134"/>
        <v>2138</v>
      </c>
      <c r="B2146" s="64">
        <v>46164</v>
      </c>
      <c r="D2146" s="66" t="s">
        <v>58</v>
      </c>
      <c r="E2146" s="66" t="s">
        <v>58</v>
      </c>
      <c r="F2146" s="66" t="s">
        <v>985</v>
      </c>
      <c r="G2146" s="66" t="s">
        <v>1076</v>
      </c>
      <c r="H2146" s="66" t="s">
        <v>1101</v>
      </c>
      <c r="I2146" s="66" t="s">
        <v>57</v>
      </c>
      <c r="J2146" s="66" t="s">
        <v>55</v>
      </c>
      <c r="K2146" s="66" t="s">
        <v>747</v>
      </c>
      <c r="L2146" s="67">
        <v>193560</v>
      </c>
      <c r="M2146" s="67">
        <v>0</v>
      </c>
      <c r="N2146" s="68">
        <f t="shared" si="133"/>
        <v>193560</v>
      </c>
      <c r="O2146" s="69">
        <f t="shared" si="132"/>
        <v>193560</v>
      </c>
      <c r="P2146" s="42" t="str">
        <f>IFERROR(VLOOKUP(J2146,'Mã NV'!$B:$C,2,0),"")</f>
        <v>XE00768</v>
      </c>
      <c r="Q2146" s="70" t="str">
        <f>IFERROR(VLOOKUP(I2146,'Mã NV'!$J:$K,2,0),"")</f>
        <v>2.5T</v>
      </c>
    </row>
    <row r="2147" customHeight="1" spans="1:17">
      <c r="A2147" s="63">
        <f t="shared" si="134"/>
        <v>2139</v>
      </c>
      <c r="B2147" s="64">
        <v>46164</v>
      </c>
      <c r="D2147" s="66" t="s">
        <v>58</v>
      </c>
      <c r="E2147" s="66" t="s">
        <v>58</v>
      </c>
      <c r="F2147" s="66" t="s">
        <v>985</v>
      </c>
      <c r="G2147" s="66" t="s">
        <v>1076</v>
      </c>
      <c r="H2147" s="66" t="s">
        <v>1084</v>
      </c>
      <c r="I2147" s="66" t="s">
        <v>57</v>
      </c>
      <c r="J2147" s="66" t="s">
        <v>55</v>
      </c>
      <c r="K2147" s="66" t="s">
        <v>747</v>
      </c>
      <c r="L2147" s="67">
        <v>174999</v>
      </c>
      <c r="M2147" s="67">
        <v>0</v>
      </c>
      <c r="N2147" s="68">
        <f t="shared" si="133"/>
        <v>174999</v>
      </c>
      <c r="O2147" s="69">
        <f t="shared" si="132"/>
        <v>174999</v>
      </c>
      <c r="P2147" s="42" t="str">
        <f>IFERROR(VLOOKUP(J2147,'Mã NV'!$B:$C,2,0),"")</f>
        <v>XE00768</v>
      </c>
      <c r="Q2147" s="70" t="str">
        <f>IFERROR(VLOOKUP(I2147,'Mã NV'!$J:$K,2,0),"")</f>
        <v>2.5T</v>
      </c>
    </row>
    <row r="2148" customHeight="1" spans="1:17">
      <c r="A2148" s="63">
        <f t="shared" si="134"/>
        <v>2140</v>
      </c>
      <c r="B2148" s="64">
        <v>46164</v>
      </c>
      <c r="D2148" s="66" t="s">
        <v>58</v>
      </c>
      <c r="E2148" s="66" t="s">
        <v>58</v>
      </c>
      <c r="F2148" s="66" t="s">
        <v>985</v>
      </c>
      <c r="G2148" s="66" t="s">
        <v>1076</v>
      </c>
      <c r="H2148" s="66" t="s">
        <v>1085</v>
      </c>
      <c r="I2148" s="66" t="s">
        <v>57</v>
      </c>
      <c r="J2148" s="66" t="s">
        <v>55</v>
      </c>
      <c r="K2148" s="66" t="s">
        <v>747</v>
      </c>
      <c r="L2148" s="67">
        <v>262499</v>
      </c>
      <c r="M2148" s="67">
        <v>0</v>
      </c>
      <c r="N2148" s="68">
        <f t="shared" si="133"/>
        <v>262499</v>
      </c>
      <c r="O2148" s="69">
        <f t="shared" si="132"/>
        <v>262499</v>
      </c>
      <c r="P2148" s="42" t="str">
        <f>IFERROR(VLOOKUP(J2148,'Mã NV'!$B:$C,2,0),"")</f>
        <v>XE00768</v>
      </c>
      <c r="Q2148" s="70" t="str">
        <f>IFERROR(VLOOKUP(I2148,'Mã NV'!$J:$K,2,0),"")</f>
        <v>2.5T</v>
      </c>
    </row>
    <row r="2149" customHeight="1" spans="1:17">
      <c r="A2149" s="63">
        <f t="shared" si="134"/>
        <v>2141</v>
      </c>
      <c r="B2149" s="64">
        <v>46164</v>
      </c>
      <c r="D2149" s="66" t="s">
        <v>58</v>
      </c>
      <c r="E2149" s="66" t="s">
        <v>58</v>
      </c>
      <c r="F2149" s="66" t="s">
        <v>985</v>
      </c>
      <c r="G2149" s="66" t="s">
        <v>1076</v>
      </c>
      <c r="H2149" s="66" t="s">
        <v>1080</v>
      </c>
      <c r="I2149" s="66" t="s">
        <v>403</v>
      </c>
      <c r="J2149" s="66" t="s">
        <v>401</v>
      </c>
      <c r="K2149" s="66" t="s">
        <v>747</v>
      </c>
      <c r="L2149" s="67">
        <v>312877</v>
      </c>
      <c r="M2149" s="67">
        <v>0</v>
      </c>
      <c r="N2149" s="68">
        <f t="shared" si="133"/>
        <v>312877</v>
      </c>
      <c r="O2149" s="69">
        <f t="shared" si="132"/>
        <v>312877</v>
      </c>
      <c r="P2149" s="42" t="str">
        <f>IFERROR(VLOOKUP(J2149,'Mã NV'!$B:$C,2,0),"")</f>
        <v>XE01466</v>
      </c>
      <c r="Q2149" s="70" t="str">
        <f>IFERROR(VLOOKUP(I2149,'Mã NV'!$J:$K,2,0),"")</f>
        <v>3.5T</v>
      </c>
    </row>
    <row r="2150" customHeight="1" spans="1:17">
      <c r="A2150" s="63">
        <f t="shared" si="134"/>
        <v>2142</v>
      </c>
      <c r="B2150" s="64">
        <v>46164</v>
      </c>
      <c r="D2150" s="66" t="s">
        <v>58</v>
      </c>
      <c r="E2150" s="66" t="s">
        <v>58</v>
      </c>
      <c r="F2150" s="66" t="s">
        <v>985</v>
      </c>
      <c r="G2150" s="66" t="s">
        <v>1076</v>
      </c>
      <c r="H2150" s="66" t="s">
        <v>1081</v>
      </c>
      <c r="I2150" s="66" t="s">
        <v>403</v>
      </c>
      <c r="J2150" s="66" t="s">
        <v>401</v>
      </c>
      <c r="K2150" s="66" t="s">
        <v>747</v>
      </c>
      <c r="L2150" s="67">
        <v>246590</v>
      </c>
      <c r="M2150" s="67">
        <v>0</v>
      </c>
      <c r="N2150" s="68">
        <f t="shared" si="133"/>
        <v>246590</v>
      </c>
      <c r="O2150" s="69">
        <f t="shared" si="132"/>
        <v>246590</v>
      </c>
      <c r="P2150" s="42" t="str">
        <f>IFERROR(VLOOKUP(J2150,'Mã NV'!$B:$C,2,0),"")</f>
        <v>XE01466</v>
      </c>
      <c r="Q2150" s="70" t="str">
        <f>IFERROR(VLOOKUP(I2150,'Mã NV'!$J:$K,2,0),"")</f>
        <v>3.5T</v>
      </c>
    </row>
    <row r="2151" customHeight="1" spans="1:17">
      <c r="A2151" s="63">
        <f t="shared" si="134"/>
        <v>2143</v>
      </c>
      <c r="B2151" s="64">
        <v>46164</v>
      </c>
      <c r="D2151" s="66" t="s">
        <v>58</v>
      </c>
      <c r="E2151" s="66" t="s">
        <v>58</v>
      </c>
      <c r="F2151" s="66" t="s">
        <v>985</v>
      </c>
      <c r="G2151" s="66" t="s">
        <v>1076</v>
      </c>
      <c r="H2151" s="66" t="s">
        <v>1082</v>
      </c>
      <c r="I2151" s="66" t="s">
        <v>403</v>
      </c>
      <c r="J2151" s="66" t="s">
        <v>401</v>
      </c>
      <c r="K2151" s="66" t="s">
        <v>747</v>
      </c>
      <c r="L2151" s="67">
        <v>254544</v>
      </c>
      <c r="M2151" s="67">
        <v>0</v>
      </c>
      <c r="N2151" s="68">
        <f t="shared" si="133"/>
        <v>254544</v>
      </c>
      <c r="O2151" s="69">
        <f t="shared" si="132"/>
        <v>254544</v>
      </c>
      <c r="P2151" s="42" t="str">
        <f>IFERROR(VLOOKUP(J2151,'Mã NV'!$B:$C,2,0),"")</f>
        <v>XE01466</v>
      </c>
      <c r="Q2151" s="70" t="str">
        <f>IFERROR(VLOOKUP(I2151,'Mã NV'!$J:$K,2,0),"")</f>
        <v>3.5T</v>
      </c>
    </row>
    <row r="2152" customHeight="1" spans="1:17">
      <c r="A2152" s="63">
        <f t="shared" si="134"/>
        <v>2144</v>
      </c>
      <c r="B2152" s="64">
        <v>46164</v>
      </c>
      <c r="D2152" s="66" t="s">
        <v>58</v>
      </c>
      <c r="E2152" s="66" t="s">
        <v>58</v>
      </c>
      <c r="F2152" s="66" t="s">
        <v>985</v>
      </c>
      <c r="G2152" s="66" t="s">
        <v>1076</v>
      </c>
      <c r="H2152" s="66" t="s">
        <v>1083</v>
      </c>
      <c r="I2152" s="66" t="s">
        <v>403</v>
      </c>
      <c r="J2152" s="66" t="s">
        <v>401</v>
      </c>
      <c r="K2152" s="66" t="s">
        <v>747</v>
      </c>
      <c r="L2152" s="67">
        <v>196211</v>
      </c>
      <c r="M2152" s="67">
        <v>0</v>
      </c>
      <c r="N2152" s="68">
        <f t="shared" si="133"/>
        <v>196211</v>
      </c>
      <c r="O2152" s="69">
        <f t="shared" si="132"/>
        <v>196211</v>
      </c>
      <c r="P2152" s="42" t="str">
        <f>IFERROR(VLOOKUP(J2152,'Mã NV'!$B:$C,2,0),"")</f>
        <v>XE01466</v>
      </c>
      <c r="Q2152" s="70" t="str">
        <f>IFERROR(VLOOKUP(I2152,'Mã NV'!$J:$K,2,0),"")</f>
        <v>3.5T</v>
      </c>
    </row>
    <row r="2153" customHeight="1" spans="1:17">
      <c r="A2153" s="63">
        <f t="shared" si="134"/>
        <v>2145</v>
      </c>
      <c r="B2153" s="64">
        <v>46164</v>
      </c>
      <c r="D2153" s="66" t="s">
        <v>58</v>
      </c>
      <c r="E2153" s="66" t="s">
        <v>58</v>
      </c>
      <c r="F2153" s="66" t="s">
        <v>985</v>
      </c>
      <c r="G2153" s="66" t="s">
        <v>1076</v>
      </c>
      <c r="H2153" s="66" t="s">
        <v>1104</v>
      </c>
      <c r="I2153" s="66" t="s">
        <v>177</v>
      </c>
      <c r="J2153" s="66" t="s">
        <v>174</v>
      </c>
      <c r="K2153" s="66" t="s">
        <v>747</v>
      </c>
      <c r="L2153" s="67">
        <v>334089</v>
      </c>
      <c r="M2153" s="67">
        <v>0</v>
      </c>
      <c r="N2153" s="68">
        <f t="shared" si="133"/>
        <v>334089</v>
      </c>
      <c r="O2153" s="69">
        <f t="shared" si="132"/>
        <v>334089</v>
      </c>
      <c r="P2153" s="42" t="str">
        <f>IFERROR(VLOOKUP(J2153,'Mã NV'!$B:$C,2,0),"")</f>
        <v>XE00975</v>
      </c>
      <c r="Q2153" s="70" t="str">
        <f>IFERROR(VLOOKUP(I2153,'Mã NV'!$J:$K,2,0),"")</f>
        <v>2.5T Lạnh</v>
      </c>
    </row>
    <row r="2154" customHeight="1" spans="1:17">
      <c r="A2154" s="63">
        <f t="shared" si="134"/>
        <v>2146</v>
      </c>
      <c r="B2154" s="64">
        <v>46164</v>
      </c>
      <c r="D2154" s="66" t="s">
        <v>58</v>
      </c>
      <c r="E2154" s="66" t="s">
        <v>58</v>
      </c>
      <c r="F2154" s="66" t="s">
        <v>985</v>
      </c>
      <c r="G2154" s="66" t="s">
        <v>1076</v>
      </c>
      <c r="H2154" s="66" t="s">
        <v>1103</v>
      </c>
      <c r="I2154" s="66" t="s">
        <v>177</v>
      </c>
      <c r="J2154" s="66" t="s">
        <v>174</v>
      </c>
      <c r="K2154" s="66" t="s">
        <v>747</v>
      </c>
      <c r="L2154" s="67">
        <v>121969</v>
      </c>
      <c r="M2154" s="67">
        <v>0</v>
      </c>
      <c r="N2154" s="68">
        <f t="shared" si="133"/>
        <v>121969</v>
      </c>
      <c r="O2154" s="69">
        <f t="shared" si="132"/>
        <v>121969</v>
      </c>
      <c r="P2154" s="42" t="str">
        <f>IFERROR(VLOOKUP(J2154,'Mã NV'!$B:$C,2,0),"")</f>
        <v>XE00975</v>
      </c>
      <c r="Q2154" s="70" t="str">
        <f>IFERROR(VLOOKUP(I2154,'Mã NV'!$J:$K,2,0),"")</f>
        <v>2.5T Lạnh</v>
      </c>
    </row>
    <row r="2155" customHeight="1" spans="1:17">
      <c r="A2155" s="63">
        <f t="shared" si="134"/>
        <v>2147</v>
      </c>
      <c r="B2155" s="64">
        <v>46164</v>
      </c>
      <c r="D2155" s="66" t="s">
        <v>58</v>
      </c>
      <c r="E2155" s="66" t="s">
        <v>58</v>
      </c>
      <c r="F2155" s="66" t="s">
        <v>985</v>
      </c>
      <c r="G2155" s="66" t="s">
        <v>1076</v>
      </c>
      <c r="H2155" s="66" t="s">
        <v>1086</v>
      </c>
      <c r="I2155" s="66" t="s">
        <v>177</v>
      </c>
      <c r="J2155" s="66" t="s">
        <v>174</v>
      </c>
      <c r="K2155" s="66" t="s">
        <v>747</v>
      </c>
      <c r="L2155" s="67">
        <v>185605</v>
      </c>
      <c r="M2155" s="67">
        <v>0</v>
      </c>
      <c r="N2155" s="68">
        <f t="shared" si="133"/>
        <v>185605</v>
      </c>
      <c r="O2155" s="69">
        <f t="shared" si="132"/>
        <v>185605</v>
      </c>
      <c r="P2155" s="42" t="str">
        <f>IFERROR(VLOOKUP(J2155,'Mã NV'!$B:$C,2,0),"")</f>
        <v>XE00975</v>
      </c>
      <c r="Q2155" s="70" t="str">
        <f>IFERROR(VLOOKUP(I2155,'Mã NV'!$J:$K,2,0),"")</f>
        <v>2.5T Lạnh</v>
      </c>
    </row>
    <row r="2156" customHeight="1" spans="1:17">
      <c r="A2156" s="63">
        <f t="shared" si="134"/>
        <v>2148</v>
      </c>
      <c r="B2156" s="64">
        <v>46164</v>
      </c>
      <c r="D2156" s="66" t="s">
        <v>58</v>
      </c>
      <c r="E2156" s="66" t="s">
        <v>58</v>
      </c>
      <c r="F2156" s="66" t="s">
        <v>985</v>
      </c>
      <c r="G2156" s="66" t="s">
        <v>1076</v>
      </c>
      <c r="H2156" s="66" t="s">
        <v>1087</v>
      </c>
      <c r="I2156" s="66" t="s">
        <v>177</v>
      </c>
      <c r="J2156" s="66" t="s">
        <v>174</v>
      </c>
      <c r="K2156" s="66" t="s">
        <v>747</v>
      </c>
      <c r="L2156" s="67">
        <v>172348</v>
      </c>
      <c r="M2156" s="67">
        <v>0</v>
      </c>
      <c r="N2156" s="68">
        <f t="shared" si="133"/>
        <v>172348</v>
      </c>
      <c r="O2156" s="69">
        <f t="shared" si="132"/>
        <v>172348</v>
      </c>
      <c r="P2156" s="42" t="str">
        <f>IFERROR(VLOOKUP(J2156,'Mã NV'!$B:$C,2,0),"")</f>
        <v>XE00975</v>
      </c>
      <c r="Q2156" s="70" t="str">
        <f>IFERROR(VLOOKUP(I2156,'Mã NV'!$J:$K,2,0),"")</f>
        <v>2.5T Lạnh</v>
      </c>
    </row>
    <row r="2157" customHeight="1" spans="1:17">
      <c r="A2157" s="63">
        <f t="shared" si="134"/>
        <v>2149</v>
      </c>
      <c r="B2157" s="64">
        <v>46164</v>
      </c>
      <c r="D2157" s="66" t="s">
        <v>58</v>
      </c>
      <c r="E2157" s="66" t="s">
        <v>58</v>
      </c>
      <c r="F2157" s="66" t="s">
        <v>985</v>
      </c>
      <c r="G2157" s="66" t="s">
        <v>1076</v>
      </c>
      <c r="H2157" s="66" t="s">
        <v>1089</v>
      </c>
      <c r="I2157" s="66" t="s">
        <v>154</v>
      </c>
      <c r="J2157" s="66" t="s">
        <v>152</v>
      </c>
      <c r="K2157" s="66" t="s">
        <v>747</v>
      </c>
      <c r="L2157" s="67">
        <v>238635</v>
      </c>
      <c r="M2157" s="67">
        <v>0</v>
      </c>
      <c r="N2157" s="68">
        <f t="shared" si="133"/>
        <v>238635</v>
      </c>
      <c r="O2157" s="69">
        <f t="shared" si="132"/>
        <v>238635</v>
      </c>
      <c r="P2157" s="42" t="str">
        <f>IFERROR(VLOOKUP(J2157,'Mã NV'!$B:$C,2,0),"")</f>
        <v>XE00730</v>
      </c>
      <c r="Q2157" s="70" t="str">
        <f>IFERROR(VLOOKUP(I2157,'Mã NV'!$J:$K,2,0),"")</f>
        <v> 3T5 Lạnh </v>
      </c>
    </row>
    <row r="2158" customHeight="1" spans="1:17">
      <c r="A2158" s="63">
        <f t="shared" si="134"/>
        <v>2150</v>
      </c>
      <c r="B2158" s="64">
        <v>46164</v>
      </c>
      <c r="D2158" s="66" t="s">
        <v>58</v>
      </c>
      <c r="E2158" s="66" t="s">
        <v>58</v>
      </c>
      <c r="F2158" s="66" t="s">
        <v>985</v>
      </c>
      <c r="G2158" s="66" t="s">
        <v>1076</v>
      </c>
      <c r="H2158" s="66" t="s">
        <v>1091</v>
      </c>
      <c r="I2158" s="66" t="s">
        <v>154</v>
      </c>
      <c r="J2158" s="66" t="s">
        <v>152</v>
      </c>
      <c r="K2158" s="66" t="s">
        <v>747</v>
      </c>
      <c r="L2158" s="67">
        <v>289014</v>
      </c>
      <c r="M2158" s="67">
        <v>0</v>
      </c>
      <c r="N2158" s="68">
        <f t="shared" si="133"/>
        <v>289014</v>
      </c>
      <c r="O2158" s="69">
        <f t="shared" si="132"/>
        <v>289014</v>
      </c>
      <c r="P2158" s="42" t="str">
        <f>IFERROR(VLOOKUP(J2158,'Mã NV'!$B:$C,2,0),"")</f>
        <v>XE00730</v>
      </c>
      <c r="Q2158" s="70" t="str">
        <f>IFERROR(VLOOKUP(I2158,'Mã NV'!$J:$K,2,0),"")</f>
        <v> 3T5 Lạnh </v>
      </c>
    </row>
    <row r="2159" customHeight="1" spans="1:17">
      <c r="A2159" s="63">
        <f t="shared" si="134"/>
        <v>2151</v>
      </c>
      <c r="B2159" s="64">
        <v>46164</v>
      </c>
      <c r="D2159" s="66" t="s">
        <v>58</v>
      </c>
      <c r="E2159" s="66" t="s">
        <v>58</v>
      </c>
      <c r="F2159" s="66" t="s">
        <v>985</v>
      </c>
      <c r="G2159" s="66" t="s">
        <v>1076</v>
      </c>
      <c r="H2159" s="66" t="s">
        <v>1096</v>
      </c>
      <c r="I2159" s="66" t="s">
        <v>154</v>
      </c>
      <c r="J2159" s="66" t="s">
        <v>152</v>
      </c>
      <c r="K2159" s="66" t="s">
        <v>747</v>
      </c>
      <c r="L2159" s="67">
        <v>273105</v>
      </c>
      <c r="M2159" s="67">
        <v>0</v>
      </c>
      <c r="N2159" s="68">
        <f t="shared" si="133"/>
        <v>273105</v>
      </c>
      <c r="O2159" s="69">
        <f t="shared" si="132"/>
        <v>273105</v>
      </c>
      <c r="P2159" s="42" t="str">
        <f>IFERROR(VLOOKUP(J2159,'Mã NV'!$B:$C,2,0),"")</f>
        <v>XE00730</v>
      </c>
      <c r="Q2159" s="70" t="str">
        <f>IFERROR(VLOOKUP(I2159,'Mã NV'!$J:$K,2,0),"")</f>
        <v> 3T5 Lạnh </v>
      </c>
    </row>
    <row r="2160" customHeight="1" spans="1:17">
      <c r="A2160" s="63">
        <f t="shared" si="134"/>
        <v>2152</v>
      </c>
      <c r="B2160" s="64">
        <v>46164</v>
      </c>
      <c r="D2160" s="66" t="s">
        <v>58</v>
      </c>
      <c r="E2160" s="66" t="s">
        <v>58</v>
      </c>
      <c r="F2160" s="66" t="s">
        <v>985</v>
      </c>
      <c r="G2160" s="66" t="s">
        <v>1076</v>
      </c>
      <c r="H2160" s="66" t="s">
        <v>1095</v>
      </c>
      <c r="I2160" s="66" t="s">
        <v>358</v>
      </c>
      <c r="J2160" s="66" t="s">
        <v>356</v>
      </c>
      <c r="K2160" s="66" t="s">
        <v>747</v>
      </c>
      <c r="L2160" s="67">
        <v>267802</v>
      </c>
      <c r="M2160" s="67">
        <v>0</v>
      </c>
      <c r="N2160" s="68">
        <f t="shared" si="133"/>
        <v>267802</v>
      </c>
      <c r="O2160" s="69">
        <f t="shared" si="132"/>
        <v>267802</v>
      </c>
      <c r="P2160" s="42" t="str">
        <f>IFERROR(VLOOKUP(J2160,'Mã NV'!$B:$C,2,0),"")</f>
        <v>XE01616</v>
      </c>
      <c r="Q2160" s="70" t="str">
        <f>IFERROR(VLOOKUP(I2160,'Mã NV'!$J:$K,2,0),"")</f>
        <v>2.5T Lạnh</v>
      </c>
    </row>
    <row r="2161" customHeight="1" spans="1:17">
      <c r="A2161" s="63">
        <f t="shared" si="134"/>
        <v>2153</v>
      </c>
      <c r="B2161" s="64">
        <v>46164</v>
      </c>
      <c r="D2161" s="66" t="s">
        <v>58</v>
      </c>
      <c r="E2161" s="66" t="s">
        <v>58</v>
      </c>
      <c r="F2161" s="66" t="s">
        <v>985</v>
      </c>
      <c r="G2161" s="66" t="s">
        <v>1076</v>
      </c>
      <c r="H2161" s="66" t="s">
        <v>1094</v>
      </c>
      <c r="I2161" s="66" t="s">
        <v>358</v>
      </c>
      <c r="J2161" s="66" t="s">
        <v>356</v>
      </c>
      <c r="K2161" s="66" t="s">
        <v>747</v>
      </c>
      <c r="L2161" s="67">
        <v>114015</v>
      </c>
      <c r="M2161" s="67">
        <v>0</v>
      </c>
      <c r="N2161" s="68">
        <f t="shared" si="133"/>
        <v>114015</v>
      </c>
      <c r="O2161" s="69">
        <f t="shared" si="132"/>
        <v>114015</v>
      </c>
      <c r="P2161" s="42" t="str">
        <f>IFERROR(VLOOKUP(J2161,'Mã NV'!$B:$C,2,0),"")</f>
        <v>XE01616</v>
      </c>
      <c r="Q2161" s="70" t="str">
        <f>IFERROR(VLOOKUP(I2161,'Mã NV'!$J:$K,2,0),"")</f>
        <v>2.5T Lạnh</v>
      </c>
    </row>
    <row r="2162" customHeight="1" spans="1:17">
      <c r="A2162" s="63">
        <f t="shared" si="134"/>
        <v>2154</v>
      </c>
      <c r="B2162" s="64">
        <v>46164</v>
      </c>
      <c r="D2162" s="66" t="s">
        <v>58</v>
      </c>
      <c r="E2162" s="66" t="s">
        <v>58</v>
      </c>
      <c r="F2162" s="66" t="s">
        <v>985</v>
      </c>
      <c r="G2162" s="66" t="s">
        <v>1076</v>
      </c>
      <c r="H2162" s="66" t="s">
        <v>1098</v>
      </c>
      <c r="I2162" s="66" t="s">
        <v>358</v>
      </c>
      <c r="J2162" s="66" t="s">
        <v>356</v>
      </c>
      <c r="K2162" s="66" t="s">
        <v>747</v>
      </c>
      <c r="L2162" s="67">
        <v>159090</v>
      </c>
      <c r="M2162" s="67">
        <v>0</v>
      </c>
      <c r="N2162" s="68">
        <f t="shared" si="133"/>
        <v>159090</v>
      </c>
      <c r="O2162" s="69">
        <f t="shared" si="132"/>
        <v>159090</v>
      </c>
      <c r="P2162" s="42" t="str">
        <f>IFERROR(VLOOKUP(J2162,'Mã NV'!$B:$C,2,0),"")</f>
        <v>XE01616</v>
      </c>
      <c r="Q2162" s="70" t="str">
        <f>IFERROR(VLOOKUP(I2162,'Mã NV'!$J:$K,2,0),"")</f>
        <v>2.5T Lạnh</v>
      </c>
    </row>
    <row r="2163" customHeight="1" spans="1:17">
      <c r="A2163" s="63">
        <f t="shared" si="134"/>
        <v>2155</v>
      </c>
      <c r="B2163" s="64">
        <v>46164</v>
      </c>
      <c r="D2163" s="66" t="s">
        <v>58</v>
      </c>
      <c r="E2163" s="66" t="s">
        <v>58</v>
      </c>
      <c r="F2163" s="66" t="s">
        <v>985</v>
      </c>
      <c r="G2163" s="66" t="s">
        <v>1076</v>
      </c>
      <c r="H2163" s="66" t="s">
        <v>1090</v>
      </c>
      <c r="I2163" s="66" t="s">
        <v>57</v>
      </c>
      <c r="J2163" s="66" t="s">
        <v>55</v>
      </c>
      <c r="K2163" s="66" t="s">
        <v>747</v>
      </c>
      <c r="L2163" s="67">
        <v>167045</v>
      </c>
      <c r="M2163" s="67">
        <v>0</v>
      </c>
      <c r="N2163" s="68">
        <f t="shared" si="133"/>
        <v>167045</v>
      </c>
      <c r="O2163" s="69">
        <f t="shared" ref="O2163:O2226" si="135">N2163/$P$1</f>
        <v>167045</v>
      </c>
      <c r="P2163" s="42" t="str">
        <f>IFERROR(VLOOKUP(J2163,'Mã NV'!$B:$C,2,0),"")</f>
        <v>XE00768</v>
      </c>
      <c r="Q2163" s="70" t="str">
        <f>IFERROR(VLOOKUP(I2163,'Mã NV'!$J:$K,2,0),"")</f>
        <v>2.5T</v>
      </c>
    </row>
    <row r="2164" customHeight="1" spans="1:17">
      <c r="A2164" s="63">
        <f t="shared" si="134"/>
        <v>2156</v>
      </c>
      <c r="B2164" s="64">
        <v>46164</v>
      </c>
      <c r="D2164" s="66" t="s">
        <v>58</v>
      </c>
      <c r="E2164" s="66" t="s">
        <v>58</v>
      </c>
      <c r="F2164" s="66" t="s">
        <v>985</v>
      </c>
      <c r="G2164" s="66" t="s">
        <v>1076</v>
      </c>
      <c r="H2164" s="66" t="s">
        <v>1097</v>
      </c>
      <c r="I2164" s="66" t="s">
        <v>57</v>
      </c>
      <c r="J2164" s="66" t="s">
        <v>55</v>
      </c>
      <c r="K2164" s="66" t="s">
        <v>747</v>
      </c>
      <c r="L2164" s="67">
        <v>241287</v>
      </c>
      <c r="M2164" s="67">
        <v>0</v>
      </c>
      <c r="N2164" s="68">
        <f t="shared" ref="N2164:N2227" si="136">L2164-M2164</f>
        <v>241287</v>
      </c>
      <c r="O2164" s="69">
        <f t="shared" si="135"/>
        <v>241287</v>
      </c>
      <c r="P2164" s="42" t="str">
        <f>IFERROR(VLOOKUP(J2164,'Mã NV'!$B:$C,2,0),"")</f>
        <v>XE00768</v>
      </c>
      <c r="Q2164" s="70" t="str">
        <f>IFERROR(VLOOKUP(I2164,'Mã NV'!$J:$K,2,0),"")</f>
        <v>2.5T</v>
      </c>
    </row>
    <row r="2165" customHeight="1" spans="1:17">
      <c r="A2165" s="63">
        <f t="shared" si="134"/>
        <v>2157</v>
      </c>
      <c r="B2165" s="64">
        <v>46164</v>
      </c>
      <c r="D2165" s="66" t="s">
        <v>58</v>
      </c>
      <c r="E2165" s="66" t="s">
        <v>58</v>
      </c>
      <c r="F2165" s="66" t="s">
        <v>985</v>
      </c>
      <c r="G2165" s="66" t="s">
        <v>1076</v>
      </c>
      <c r="H2165" s="66" t="s">
        <v>1088</v>
      </c>
      <c r="I2165" s="66" t="s">
        <v>57</v>
      </c>
      <c r="J2165" s="66" t="s">
        <v>55</v>
      </c>
      <c r="K2165" s="66" t="s">
        <v>747</v>
      </c>
      <c r="L2165" s="67">
        <v>373862</v>
      </c>
      <c r="M2165" s="67">
        <v>0</v>
      </c>
      <c r="N2165" s="68">
        <f t="shared" si="136"/>
        <v>373862</v>
      </c>
      <c r="O2165" s="69">
        <f t="shared" si="135"/>
        <v>373862</v>
      </c>
      <c r="P2165" s="42" t="str">
        <f>IFERROR(VLOOKUP(J2165,'Mã NV'!$B:$C,2,0),"")</f>
        <v>XE00768</v>
      </c>
      <c r="Q2165" s="70" t="str">
        <f>IFERROR(VLOOKUP(I2165,'Mã NV'!$J:$K,2,0),"")</f>
        <v>2.5T</v>
      </c>
    </row>
    <row r="2166" customHeight="1" spans="1:17">
      <c r="A2166" s="63">
        <f t="shared" si="134"/>
        <v>2158</v>
      </c>
      <c r="B2166" s="64">
        <v>46164</v>
      </c>
      <c r="D2166" s="66" t="s">
        <v>58</v>
      </c>
      <c r="E2166" s="66" t="s">
        <v>58</v>
      </c>
      <c r="F2166" s="66" t="s">
        <v>985</v>
      </c>
      <c r="G2166" s="66" t="s">
        <v>1076</v>
      </c>
      <c r="H2166" s="66" t="s">
        <v>1099</v>
      </c>
      <c r="I2166" s="66" t="s">
        <v>403</v>
      </c>
      <c r="J2166" s="66" t="s">
        <v>401</v>
      </c>
      <c r="K2166" s="66" t="s">
        <v>747</v>
      </c>
      <c r="L2166" s="67">
        <v>220075</v>
      </c>
      <c r="M2166" s="67">
        <v>0</v>
      </c>
      <c r="N2166" s="68">
        <f t="shared" si="136"/>
        <v>220075</v>
      </c>
      <c r="O2166" s="69">
        <f t="shared" si="135"/>
        <v>220075</v>
      </c>
      <c r="P2166" s="42" t="str">
        <f>IFERROR(VLOOKUP(J2166,'Mã NV'!$B:$C,2,0),"")</f>
        <v>XE01466</v>
      </c>
      <c r="Q2166" s="70" t="str">
        <f>IFERROR(VLOOKUP(I2166,'Mã NV'!$J:$K,2,0),"")</f>
        <v>3.5T</v>
      </c>
    </row>
    <row r="2167" customHeight="1" spans="1:17">
      <c r="A2167" s="63">
        <f t="shared" si="134"/>
        <v>2159</v>
      </c>
      <c r="B2167" s="64">
        <v>46164</v>
      </c>
      <c r="D2167" s="66" t="s">
        <v>58</v>
      </c>
      <c r="E2167" s="66" t="s">
        <v>58</v>
      </c>
      <c r="F2167" s="66" t="s">
        <v>985</v>
      </c>
      <c r="G2167" s="66" t="s">
        <v>1076</v>
      </c>
      <c r="H2167" s="66" t="s">
        <v>1100</v>
      </c>
      <c r="I2167" s="66" t="s">
        <v>403</v>
      </c>
      <c r="J2167" s="66" t="s">
        <v>401</v>
      </c>
      <c r="K2167" s="66" t="s">
        <v>747</v>
      </c>
      <c r="L2167" s="67">
        <v>182954</v>
      </c>
      <c r="M2167" s="67">
        <v>0</v>
      </c>
      <c r="N2167" s="68">
        <f t="shared" si="136"/>
        <v>182954</v>
      </c>
      <c r="O2167" s="69">
        <f t="shared" si="135"/>
        <v>182954</v>
      </c>
      <c r="P2167" s="42" t="str">
        <f>IFERROR(VLOOKUP(J2167,'Mã NV'!$B:$C,2,0),"")</f>
        <v>XE01466</v>
      </c>
      <c r="Q2167" s="70" t="str">
        <f>IFERROR(VLOOKUP(I2167,'Mã NV'!$J:$K,2,0),"")</f>
        <v>3.5T</v>
      </c>
    </row>
    <row r="2168" customHeight="1" spans="1:17">
      <c r="A2168" s="63">
        <f t="shared" si="134"/>
        <v>2160</v>
      </c>
      <c r="B2168" s="64">
        <v>46164</v>
      </c>
      <c r="D2168" s="66" t="s">
        <v>58</v>
      </c>
      <c r="E2168" s="66" t="s">
        <v>58</v>
      </c>
      <c r="F2168" s="66" t="s">
        <v>985</v>
      </c>
      <c r="G2168" s="66" t="s">
        <v>1076</v>
      </c>
      <c r="H2168" s="66" t="s">
        <v>1078</v>
      </c>
      <c r="I2168" s="66" t="s">
        <v>403</v>
      </c>
      <c r="J2168" s="66" t="s">
        <v>401</v>
      </c>
      <c r="K2168" s="66" t="s">
        <v>747</v>
      </c>
      <c r="L2168" s="67">
        <v>185605</v>
      </c>
      <c r="M2168" s="67">
        <v>0</v>
      </c>
      <c r="N2168" s="68">
        <f t="shared" si="136"/>
        <v>185605</v>
      </c>
      <c r="O2168" s="69">
        <f t="shared" si="135"/>
        <v>185605</v>
      </c>
      <c r="P2168" s="42" t="str">
        <f>IFERROR(VLOOKUP(J2168,'Mã NV'!$B:$C,2,0),"")</f>
        <v>XE01466</v>
      </c>
      <c r="Q2168" s="70" t="str">
        <f>IFERROR(VLOOKUP(I2168,'Mã NV'!$J:$K,2,0),"")</f>
        <v>3.5T</v>
      </c>
    </row>
    <row r="2169" customHeight="1" spans="1:17">
      <c r="A2169" s="63">
        <f t="shared" si="134"/>
        <v>2161</v>
      </c>
      <c r="B2169" s="64">
        <v>46164</v>
      </c>
      <c r="D2169" s="66" t="s">
        <v>58</v>
      </c>
      <c r="E2169" s="66" t="s">
        <v>58</v>
      </c>
      <c r="F2169" s="66" t="s">
        <v>985</v>
      </c>
      <c r="G2169" s="66" t="s">
        <v>1076</v>
      </c>
      <c r="H2169" s="66" t="s">
        <v>1111</v>
      </c>
      <c r="I2169" s="66" t="s">
        <v>403</v>
      </c>
      <c r="J2169" s="66" t="s">
        <v>401</v>
      </c>
      <c r="K2169" s="66" t="s">
        <v>747</v>
      </c>
      <c r="L2169" s="67">
        <v>135227</v>
      </c>
      <c r="M2169" s="67">
        <v>0</v>
      </c>
      <c r="N2169" s="68">
        <f t="shared" si="136"/>
        <v>135227</v>
      </c>
      <c r="O2169" s="69">
        <f t="shared" si="135"/>
        <v>135227</v>
      </c>
      <c r="P2169" s="42" t="str">
        <f>IFERROR(VLOOKUP(J2169,'Mã NV'!$B:$C,2,0),"")</f>
        <v>XE01466</v>
      </c>
      <c r="Q2169" s="70" t="str">
        <f>IFERROR(VLOOKUP(I2169,'Mã NV'!$J:$K,2,0),"")</f>
        <v>3.5T</v>
      </c>
    </row>
    <row r="2170" customHeight="1" spans="1:17">
      <c r="A2170" s="63">
        <f t="shared" si="134"/>
        <v>2162</v>
      </c>
      <c r="B2170" s="64">
        <v>46164</v>
      </c>
      <c r="D2170" s="66" t="s">
        <v>58</v>
      </c>
      <c r="E2170" s="66" t="s">
        <v>58</v>
      </c>
      <c r="F2170" s="66" t="s">
        <v>985</v>
      </c>
      <c r="G2170" s="66" t="s">
        <v>1076</v>
      </c>
      <c r="H2170" s="66" t="s">
        <v>1079</v>
      </c>
      <c r="I2170" s="66" t="s">
        <v>403</v>
      </c>
      <c r="J2170" s="66" t="s">
        <v>401</v>
      </c>
      <c r="K2170" s="66" t="s">
        <v>747</v>
      </c>
      <c r="L2170" s="67">
        <v>196211</v>
      </c>
      <c r="M2170" s="67">
        <v>0</v>
      </c>
      <c r="N2170" s="68">
        <f t="shared" si="136"/>
        <v>196211</v>
      </c>
      <c r="O2170" s="69">
        <f t="shared" si="135"/>
        <v>196211</v>
      </c>
      <c r="P2170" s="42" t="str">
        <f>IFERROR(VLOOKUP(J2170,'Mã NV'!$B:$C,2,0),"")</f>
        <v>XE01466</v>
      </c>
      <c r="Q2170" s="70" t="str">
        <f>IFERROR(VLOOKUP(I2170,'Mã NV'!$J:$K,2,0),"")</f>
        <v>3.5T</v>
      </c>
    </row>
    <row r="2171" customHeight="1" spans="1:17">
      <c r="A2171" s="63">
        <f t="shared" si="134"/>
        <v>2163</v>
      </c>
      <c r="B2171" s="64">
        <v>46164</v>
      </c>
      <c r="D2171" s="66" t="s">
        <v>58</v>
      </c>
      <c r="E2171" s="66" t="s">
        <v>58</v>
      </c>
      <c r="F2171" s="66" t="s">
        <v>985</v>
      </c>
      <c r="G2171" s="66" t="s">
        <v>1076</v>
      </c>
      <c r="H2171" s="66" t="s">
        <v>1102</v>
      </c>
      <c r="I2171" s="66" t="s">
        <v>134</v>
      </c>
      <c r="J2171" s="66" t="s">
        <v>359</v>
      </c>
      <c r="K2171" s="66" t="s">
        <v>747</v>
      </c>
      <c r="L2171" s="67">
        <v>312877</v>
      </c>
      <c r="M2171" s="67">
        <v>0</v>
      </c>
      <c r="N2171" s="68">
        <f t="shared" si="136"/>
        <v>312877</v>
      </c>
      <c r="O2171" s="69">
        <f t="shared" si="135"/>
        <v>312877</v>
      </c>
      <c r="P2171" s="42" t="str">
        <f>IFERROR(VLOOKUP(J2171,'Mã NV'!$B:$C,2,0),"")</f>
        <v>XE01639</v>
      </c>
      <c r="Q2171" s="70" t="str">
        <f>IFERROR(VLOOKUP(I2171,'Mã NV'!$J:$K,2,0),"")</f>
        <v>2.5T Lạnh</v>
      </c>
    </row>
    <row r="2172" customHeight="1" spans="1:17">
      <c r="A2172" s="63">
        <f t="shared" si="134"/>
        <v>2164</v>
      </c>
      <c r="B2172" s="64">
        <v>46164</v>
      </c>
      <c r="D2172" s="66" t="s">
        <v>58</v>
      </c>
      <c r="E2172" s="66" t="s">
        <v>58</v>
      </c>
      <c r="F2172" s="66" t="s">
        <v>985</v>
      </c>
      <c r="G2172" s="66" t="s">
        <v>1076</v>
      </c>
      <c r="H2172" s="66" t="s">
        <v>1090</v>
      </c>
      <c r="I2172" s="66" t="s">
        <v>134</v>
      </c>
      <c r="J2172" s="66" t="s">
        <v>359</v>
      </c>
      <c r="K2172" s="66" t="s">
        <v>747</v>
      </c>
      <c r="L2172" s="67">
        <v>103409</v>
      </c>
      <c r="M2172" s="67">
        <v>0</v>
      </c>
      <c r="N2172" s="68">
        <f t="shared" si="136"/>
        <v>103409</v>
      </c>
      <c r="O2172" s="69">
        <f t="shared" si="135"/>
        <v>103409</v>
      </c>
      <c r="P2172" s="42" t="str">
        <f>IFERROR(VLOOKUP(J2172,'Mã NV'!$B:$C,2,0),"")</f>
        <v>XE01639</v>
      </c>
      <c r="Q2172" s="70" t="str">
        <f>IFERROR(VLOOKUP(I2172,'Mã NV'!$J:$K,2,0),"")</f>
        <v>2.5T Lạnh</v>
      </c>
    </row>
    <row r="2173" customHeight="1" spans="1:17">
      <c r="A2173" s="63">
        <f t="shared" si="134"/>
        <v>2165</v>
      </c>
      <c r="B2173" s="64">
        <v>46164</v>
      </c>
      <c r="D2173" s="66" t="s">
        <v>58</v>
      </c>
      <c r="E2173" s="66" t="s">
        <v>58</v>
      </c>
      <c r="F2173" s="66" t="s">
        <v>985</v>
      </c>
      <c r="G2173" s="66" t="s">
        <v>1076</v>
      </c>
      <c r="H2173" s="66" t="s">
        <v>1093</v>
      </c>
      <c r="I2173" s="66" t="s">
        <v>134</v>
      </c>
      <c r="J2173" s="66" t="s">
        <v>359</v>
      </c>
      <c r="K2173" s="66" t="s">
        <v>747</v>
      </c>
      <c r="L2173" s="67">
        <v>233332</v>
      </c>
      <c r="M2173" s="67">
        <v>0</v>
      </c>
      <c r="N2173" s="68">
        <f t="shared" si="136"/>
        <v>233332</v>
      </c>
      <c r="O2173" s="69">
        <f t="shared" si="135"/>
        <v>233332</v>
      </c>
      <c r="P2173" s="42" t="str">
        <f>IFERROR(VLOOKUP(J2173,'Mã NV'!$B:$C,2,0),"")</f>
        <v>XE01639</v>
      </c>
      <c r="Q2173" s="70" t="str">
        <f>IFERROR(VLOOKUP(I2173,'Mã NV'!$J:$K,2,0),"")</f>
        <v>2.5T Lạnh</v>
      </c>
    </row>
    <row r="2174" customHeight="1" spans="1:17">
      <c r="A2174" s="63">
        <f t="shared" si="134"/>
        <v>2166</v>
      </c>
      <c r="B2174" s="64">
        <v>46164</v>
      </c>
      <c r="D2174" s="66" t="s">
        <v>58</v>
      </c>
      <c r="E2174" s="66" t="s">
        <v>58</v>
      </c>
      <c r="F2174" s="66" t="s">
        <v>985</v>
      </c>
      <c r="G2174" s="66" t="s">
        <v>1076</v>
      </c>
      <c r="H2174" s="66" t="s">
        <v>1092</v>
      </c>
      <c r="I2174" s="66" t="s">
        <v>134</v>
      </c>
      <c r="J2174" s="66" t="s">
        <v>359</v>
      </c>
      <c r="K2174" s="66" t="s">
        <v>747</v>
      </c>
      <c r="L2174" s="67">
        <v>315529</v>
      </c>
      <c r="M2174" s="67">
        <v>0</v>
      </c>
      <c r="N2174" s="68">
        <f t="shared" si="136"/>
        <v>315529</v>
      </c>
      <c r="O2174" s="69">
        <f t="shared" si="135"/>
        <v>315529</v>
      </c>
      <c r="P2174" s="42" t="str">
        <f>IFERROR(VLOOKUP(J2174,'Mã NV'!$B:$C,2,0),"")</f>
        <v>XE01639</v>
      </c>
      <c r="Q2174" s="70" t="str">
        <f>IFERROR(VLOOKUP(I2174,'Mã NV'!$J:$K,2,0),"")</f>
        <v>2.5T Lạnh</v>
      </c>
    </row>
    <row r="2175" customHeight="1" spans="1:17">
      <c r="A2175" s="63">
        <f t="shared" si="134"/>
        <v>2167</v>
      </c>
      <c r="B2175" s="64">
        <v>46165</v>
      </c>
      <c r="D2175" s="66" t="s">
        <v>58</v>
      </c>
      <c r="E2175" s="66" t="s">
        <v>58</v>
      </c>
      <c r="F2175" s="66" t="s">
        <v>985</v>
      </c>
      <c r="G2175" s="66" t="s">
        <v>1076</v>
      </c>
      <c r="H2175" s="66" t="s">
        <v>1108</v>
      </c>
      <c r="I2175" s="66" t="s">
        <v>57</v>
      </c>
      <c r="J2175" s="66" t="s">
        <v>55</v>
      </c>
      <c r="K2175" s="66" t="s">
        <v>747</v>
      </c>
      <c r="L2175" s="67">
        <v>957192</v>
      </c>
      <c r="M2175" s="67">
        <v>0</v>
      </c>
      <c r="N2175" s="68">
        <f t="shared" si="136"/>
        <v>957192</v>
      </c>
      <c r="O2175" s="69">
        <f t="shared" si="135"/>
        <v>957192</v>
      </c>
      <c r="P2175" s="42" t="str">
        <f>IFERROR(VLOOKUP(J2175,'Mã NV'!$B:$C,2,0),"")</f>
        <v>XE00768</v>
      </c>
      <c r="Q2175" s="70" t="str">
        <f>IFERROR(VLOOKUP(I2175,'Mã NV'!$J:$K,2,0),"")</f>
        <v>2.5T</v>
      </c>
    </row>
    <row r="2176" customHeight="1" spans="1:17">
      <c r="A2176" s="63">
        <f t="shared" si="134"/>
        <v>2168</v>
      </c>
      <c r="B2176" s="64">
        <v>46165</v>
      </c>
      <c r="D2176" s="66" t="s">
        <v>58</v>
      </c>
      <c r="E2176" s="66" t="s">
        <v>58</v>
      </c>
      <c r="F2176" s="66" t="s">
        <v>985</v>
      </c>
      <c r="G2176" s="66" t="s">
        <v>1076</v>
      </c>
      <c r="H2176" s="66" t="s">
        <v>1106</v>
      </c>
      <c r="I2176" s="66" t="s">
        <v>57</v>
      </c>
      <c r="J2176" s="66" t="s">
        <v>55</v>
      </c>
      <c r="K2176" s="66" t="s">
        <v>747</v>
      </c>
      <c r="L2176" s="67">
        <v>697345</v>
      </c>
      <c r="M2176" s="67">
        <v>0</v>
      </c>
      <c r="N2176" s="68">
        <f t="shared" si="136"/>
        <v>697345</v>
      </c>
      <c r="O2176" s="69">
        <f t="shared" si="135"/>
        <v>697345</v>
      </c>
      <c r="P2176" s="42" t="str">
        <f>IFERROR(VLOOKUP(J2176,'Mã NV'!$B:$C,2,0),"")</f>
        <v>XE00768</v>
      </c>
      <c r="Q2176" s="70" t="str">
        <f>IFERROR(VLOOKUP(I2176,'Mã NV'!$J:$K,2,0),"")</f>
        <v>2.5T</v>
      </c>
    </row>
    <row r="2177" customHeight="1" spans="1:17">
      <c r="A2177" s="63">
        <f t="shared" si="134"/>
        <v>2169</v>
      </c>
      <c r="B2177" s="64">
        <v>46165</v>
      </c>
      <c r="D2177" s="66" t="s">
        <v>58</v>
      </c>
      <c r="E2177" s="66" t="s">
        <v>58</v>
      </c>
      <c r="F2177" s="66" t="s">
        <v>985</v>
      </c>
      <c r="G2177" s="66" t="s">
        <v>1076</v>
      </c>
      <c r="H2177" s="66" t="s">
        <v>1080</v>
      </c>
      <c r="I2177" s="66" t="s">
        <v>403</v>
      </c>
      <c r="J2177" s="66" t="s">
        <v>401</v>
      </c>
      <c r="K2177" s="66" t="s">
        <v>747</v>
      </c>
      <c r="L2177" s="67">
        <v>307574</v>
      </c>
      <c r="M2177" s="67">
        <v>0</v>
      </c>
      <c r="N2177" s="68">
        <f t="shared" si="136"/>
        <v>307574</v>
      </c>
      <c r="O2177" s="69">
        <f t="shared" si="135"/>
        <v>307574</v>
      </c>
      <c r="P2177" s="42" t="str">
        <f>IFERROR(VLOOKUP(J2177,'Mã NV'!$B:$C,2,0),"")</f>
        <v>XE01466</v>
      </c>
      <c r="Q2177" s="70" t="str">
        <f>IFERROR(VLOOKUP(I2177,'Mã NV'!$J:$K,2,0),"")</f>
        <v>3.5T</v>
      </c>
    </row>
    <row r="2178" customHeight="1" spans="1:17">
      <c r="A2178" s="63">
        <f t="shared" si="134"/>
        <v>2170</v>
      </c>
      <c r="B2178" s="64">
        <v>46165</v>
      </c>
      <c r="D2178" s="66" t="s">
        <v>58</v>
      </c>
      <c r="E2178" s="66" t="s">
        <v>58</v>
      </c>
      <c r="F2178" s="66" t="s">
        <v>985</v>
      </c>
      <c r="G2178" s="66" t="s">
        <v>1076</v>
      </c>
      <c r="H2178" s="66" t="s">
        <v>1081</v>
      </c>
      <c r="I2178" s="66" t="s">
        <v>403</v>
      </c>
      <c r="J2178" s="66" t="s">
        <v>401</v>
      </c>
      <c r="K2178" s="66" t="s">
        <v>747</v>
      </c>
      <c r="L2178" s="67">
        <v>307574</v>
      </c>
      <c r="M2178" s="67">
        <v>0</v>
      </c>
      <c r="N2178" s="68">
        <f t="shared" si="136"/>
        <v>307574</v>
      </c>
      <c r="O2178" s="69">
        <f t="shared" si="135"/>
        <v>307574</v>
      </c>
      <c r="P2178" s="42" t="str">
        <f>IFERROR(VLOOKUP(J2178,'Mã NV'!$B:$C,2,0),"")</f>
        <v>XE01466</v>
      </c>
      <c r="Q2178" s="70" t="str">
        <f>IFERROR(VLOOKUP(I2178,'Mã NV'!$J:$K,2,0),"")</f>
        <v>3.5T</v>
      </c>
    </row>
    <row r="2179" customHeight="1" spans="1:17">
      <c r="A2179" s="63">
        <f t="shared" si="134"/>
        <v>2171</v>
      </c>
      <c r="B2179" s="64">
        <v>46165</v>
      </c>
      <c r="D2179" s="66" t="s">
        <v>58</v>
      </c>
      <c r="E2179" s="66" t="s">
        <v>58</v>
      </c>
      <c r="F2179" s="66" t="s">
        <v>985</v>
      </c>
      <c r="G2179" s="66" t="s">
        <v>1076</v>
      </c>
      <c r="H2179" s="66" t="s">
        <v>1082</v>
      </c>
      <c r="I2179" s="66" t="s">
        <v>403</v>
      </c>
      <c r="J2179" s="66" t="s">
        <v>401</v>
      </c>
      <c r="K2179" s="66" t="s">
        <v>747</v>
      </c>
      <c r="L2179" s="67">
        <v>336741</v>
      </c>
      <c r="M2179" s="67">
        <v>0</v>
      </c>
      <c r="N2179" s="68">
        <f t="shared" si="136"/>
        <v>336741</v>
      </c>
      <c r="O2179" s="69">
        <f t="shared" si="135"/>
        <v>336741</v>
      </c>
      <c r="P2179" s="42" t="str">
        <f>IFERROR(VLOOKUP(J2179,'Mã NV'!$B:$C,2,0),"")</f>
        <v>XE01466</v>
      </c>
      <c r="Q2179" s="70" t="str">
        <f>IFERROR(VLOOKUP(I2179,'Mã NV'!$J:$K,2,0),"")</f>
        <v>3.5T</v>
      </c>
    </row>
    <row r="2180" customHeight="1" spans="1:17">
      <c r="A2180" s="63">
        <f t="shared" si="134"/>
        <v>2172</v>
      </c>
      <c r="B2180" s="64">
        <v>46165</v>
      </c>
      <c r="D2180" s="66" t="s">
        <v>58</v>
      </c>
      <c r="E2180" s="66" t="s">
        <v>58</v>
      </c>
      <c r="F2180" s="66" t="s">
        <v>985</v>
      </c>
      <c r="G2180" s="66" t="s">
        <v>1076</v>
      </c>
      <c r="H2180" s="66" t="s">
        <v>1079</v>
      </c>
      <c r="I2180" s="66" t="s">
        <v>403</v>
      </c>
      <c r="J2180" s="66" t="s">
        <v>401</v>
      </c>
      <c r="K2180" s="66" t="s">
        <v>747</v>
      </c>
      <c r="L2180" s="67">
        <v>233332</v>
      </c>
      <c r="M2180" s="67">
        <v>0</v>
      </c>
      <c r="N2180" s="68">
        <f t="shared" si="136"/>
        <v>233332</v>
      </c>
      <c r="O2180" s="69">
        <f t="shared" si="135"/>
        <v>233332</v>
      </c>
      <c r="P2180" s="42" t="str">
        <f>IFERROR(VLOOKUP(J2180,'Mã NV'!$B:$C,2,0),"")</f>
        <v>XE01466</v>
      </c>
      <c r="Q2180" s="70" t="str">
        <f>IFERROR(VLOOKUP(I2180,'Mã NV'!$J:$K,2,0),"")</f>
        <v>3.5T</v>
      </c>
    </row>
    <row r="2181" customHeight="1" spans="1:17">
      <c r="A2181" s="63">
        <f t="shared" si="134"/>
        <v>2173</v>
      </c>
      <c r="B2181" s="64">
        <v>46165</v>
      </c>
      <c r="D2181" s="66" t="s">
        <v>58</v>
      </c>
      <c r="E2181" s="66" t="s">
        <v>58</v>
      </c>
      <c r="F2181" s="66" t="s">
        <v>985</v>
      </c>
      <c r="G2181" s="66" t="s">
        <v>1076</v>
      </c>
      <c r="H2181" s="66" t="s">
        <v>1089</v>
      </c>
      <c r="I2181" s="66" t="s">
        <v>134</v>
      </c>
      <c r="J2181" s="66" t="s">
        <v>359</v>
      </c>
      <c r="K2181" s="66" t="s">
        <v>747</v>
      </c>
      <c r="L2181" s="67">
        <v>315529</v>
      </c>
      <c r="M2181" s="67">
        <v>0</v>
      </c>
      <c r="N2181" s="68">
        <f t="shared" si="136"/>
        <v>315529</v>
      </c>
      <c r="O2181" s="69">
        <f t="shared" si="135"/>
        <v>315529</v>
      </c>
      <c r="P2181" s="42" t="str">
        <f>IFERROR(VLOOKUP(J2181,'Mã NV'!$B:$C,2,0),"")</f>
        <v>XE01639</v>
      </c>
      <c r="Q2181" s="70" t="str">
        <f>IFERROR(VLOOKUP(I2181,'Mã NV'!$J:$K,2,0),"")</f>
        <v>2.5T Lạnh</v>
      </c>
    </row>
    <row r="2182" customHeight="1" spans="1:17">
      <c r="A2182" s="63">
        <f t="shared" si="134"/>
        <v>2174</v>
      </c>
      <c r="B2182" s="64">
        <v>46165</v>
      </c>
      <c r="D2182" s="66" t="s">
        <v>58</v>
      </c>
      <c r="E2182" s="66" t="s">
        <v>58</v>
      </c>
      <c r="F2182" s="66" t="s">
        <v>985</v>
      </c>
      <c r="G2182" s="66" t="s">
        <v>1076</v>
      </c>
      <c r="H2182" s="66" t="s">
        <v>1091</v>
      </c>
      <c r="I2182" s="66" t="s">
        <v>134</v>
      </c>
      <c r="J2182" s="66" t="s">
        <v>359</v>
      </c>
      <c r="K2182" s="66" t="s">
        <v>747</v>
      </c>
      <c r="L2182" s="67">
        <v>349998</v>
      </c>
      <c r="M2182" s="67">
        <v>0</v>
      </c>
      <c r="N2182" s="68">
        <f t="shared" si="136"/>
        <v>349998</v>
      </c>
      <c r="O2182" s="69">
        <f t="shared" si="135"/>
        <v>349998</v>
      </c>
      <c r="P2182" s="42" t="str">
        <f>IFERROR(VLOOKUP(J2182,'Mã NV'!$B:$C,2,0),"")</f>
        <v>XE01639</v>
      </c>
      <c r="Q2182" s="70" t="str">
        <f>IFERROR(VLOOKUP(I2182,'Mã NV'!$J:$K,2,0),"")</f>
        <v>2.5T Lạnh</v>
      </c>
    </row>
    <row r="2183" customHeight="1" spans="1:17">
      <c r="A2183" s="63">
        <f t="shared" si="134"/>
        <v>2175</v>
      </c>
      <c r="B2183" s="64">
        <v>46165</v>
      </c>
      <c r="D2183" s="66" t="s">
        <v>58</v>
      </c>
      <c r="E2183" s="66" t="s">
        <v>58</v>
      </c>
      <c r="F2183" s="66" t="s">
        <v>985</v>
      </c>
      <c r="G2183" s="66" t="s">
        <v>1076</v>
      </c>
      <c r="H2183" s="66" t="s">
        <v>1097</v>
      </c>
      <c r="I2183" s="66" t="s">
        <v>134</v>
      </c>
      <c r="J2183" s="66" t="s">
        <v>359</v>
      </c>
      <c r="K2183" s="66" t="s">
        <v>747</v>
      </c>
      <c r="L2183" s="67">
        <v>241287</v>
      </c>
      <c r="M2183" s="67">
        <v>0</v>
      </c>
      <c r="N2183" s="68">
        <f t="shared" si="136"/>
        <v>241287</v>
      </c>
      <c r="O2183" s="69">
        <f t="shared" si="135"/>
        <v>241287</v>
      </c>
      <c r="P2183" s="42" t="str">
        <f>IFERROR(VLOOKUP(J2183,'Mã NV'!$B:$C,2,0),"")</f>
        <v>XE01639</v>
      </c>
      <c r="Q2183" s="70" t="str">
        <f>IFERROR(VLOOKUP(I2183,'Mã NV'!$J:$K,2,0),"")</f>
        <v>2.5T Lạnh</v>
      </c>
    </row>
    <row r="2184" customHeight="1" spans="1:17">
      <c r="A2184" s="63">
        <f t="shared" si="134"/>
        <v>2176</v>
      </c>
      <c r="B2184" s="64">
        <v>46165</v>
      </c>
      <c r="D2184" s="66" t="s">
        <v>58</v>
      </c>
      <c r="E2184" s="66" t="s">
        <v>58</v>
      </c>
      <c r="F2184" s="66" t="s">
        <v>985</v>
      </c>
      <c r="G2184" s="66" t="s">
        <v>1076</v>
      </c>
      <c r="H2184" s="66" t="s">
        <v>1102</v>
      </c>
      <c r="I2184" s="66" t="s">
        <v>133</v>
      </c>
      <c r="J2184" s="66" t="s">
        <v>347</v>
      </c>
      <c r="K2184" s="66" t="s">
        <v>747</v>
      </c>
      <c r="L2184" s="67">
        <v>243938</v>
      </c>
      <c r="M2184" s="67">
        <v>0</v>
      </c>
      <c r="N2184" s="68">
        <f t="shared" si="136"/>
        <v>243938</v>
      </c>
      <c r="O2184" s="69">
        <f t="shared" si="135"/>
        <v>243938</v>
      </c>
      <c r="P2184" s="42" t="str">
        <f>IFERROR(VLOOKUP(J2184,'Mã NV'!$B:$C,2,0),"")</f>
        <v>XE01653</v>
      </c>
      <c r="Q2184" s="70" t="str">
        <f>IFERROR(VLOOKUP(I2184,'Mã NV'!$J:$K,2,0),"")</f>
        <v>2.5T</v>
      </c>
    </row>
    <row r="2185" customHeight="1" spans="1:17">
      <c r="A2185" s="63">
        <f t="shared" si="134"/>
        <v>2177</v>
      </c>
      <c r="B2185" s="64">
        <v>46165</v>
      </c>
      <c r="D2185" s="66" t="s">
        <v>58</v>
      </c>
      <c r="E2185" s="66" t="s">
        <v>58</v>
      </c>
      <c r="F2185" s="66" t="s">
        <v>985</v>
      </c>
      <c r="G2185" s="66" t="s">
        <v>1076</v>
      </c>
      <c r="H2185" s="66" t="s">
        <v>1104</v>
      </c>
      <c r="I2185" s="66" t="s">
        <v>133</v>
      </c>
      <c r="J2185" s="66" t="s">
        <v>347</v>
      </c>
      <c r="K2185" s="66" t="s">
        <v>747</v>
      </c>
      <c r="L2185" s="67">
        <v>296968</v>
      </c>
      <c r="M2185" s="67">
        <v>0</v>
      </c>
      <c r="N2185" s="68">
        <f t="shared" si="136"/>
        <v>296968</v>
      </c>
      <c r="O2185" s="69">
        <f t="shared" si="135"/>
        <v>296968</v>
      </c>
      <c r="P2185" s="42" t="str">
        <f>IFERROR(VLOOKUP(J2185,'Mã NV'!$B:$C,2,0),"")</f>
        <v>XE01653</v>
      </c>
      <c r="Q2185" s="70" t="str">
        <f>IFERROR(VLOOKUP(I2185,'Mã NV'!$J:$K,2,0),"")</f>
        <v>2.5T</v>
      </c>
    </row>
    <row r="2186" customHeight="1" spans="1:17">
      <c r="A2186" s="63">
        <f t="shared" si="134"/>
        <v>2178</v>
      </c>
      <c r="B2186" s="64">
        <v>46165</v>
      </c>
      <c r="D2186" s="66" t="s">
        <v>58</v>
      </c>
      <c r="E2186" s="66" t="s">
        <v>58</v>
      </c>
      <c r="F2186" s="66" t="s">
        <v>985</v>
      </c>
      <c r="G2186" s="66" t="s">
        <v>1076</v>
      </c>
      <c r="H2186" s="66" t="s">
        <v>1086</v>
      </c>
      <c r="I2186" s="66" t="s">
        <v>133</v>
      </c>
      <c r="J2186" s="66" t="s">
        <v>347</v>
      </c>
      <c r="K2186" s="66" t="s">
        <v>747</v>
      </c>
      <c r="L2186" s="67">
        <v>254544</v>
      </c>
      <c r="M2186" s="67">
        <v>0</v>
      </c>
      <c r="N2186" s="68">
        <f t="shared" si="136"/>
        <v>254544</v>
      </c>
      <c r="O2186" s="69">
        <f t="shared" si="135"/>
        <v>254544</v>
      </c>
      <c r="P2186" s="42" t="str">
        <f>IFERROR(VLOOKUP(J2186,'Mã NV'!$B:$C,2,0),"")</f>
        <v>XE01653</v>
      </c>
      <c r="Q2186" s="70" t="str">
        <f>IFERROR(VLOOKUP(I2186,'Mã NV'!$J:$K,2,0),"")</f>
        <v>2.5T</v>
      </c>
    </row>
    <row r="2187" customHeight="1" spans="1:17">
      <c r="A2187" s="63">
        <f t="shared" si="134"/>
        <v>2179</v>
      </c>
      <c r="B2187" s="64">
        <v>46165</v>
      </c>
      <c r="D2187" s="66" t="s">
        <v>58</v>
      </c>
      <c r="E2187" s="66" t="s">
        <v>58</v>
      </c>
      <c r="F2187" s="66" t="s">
        <v>985</v>
      </c>
      <c r="G2187" s="66" t="s">
        <v>1076</v>
      </c>
      <c r="H2187" s="66" t="s">
        <v>1087</v>
      </c>
      <c r="I2187" s="66" t="s">
        <v>177</v>
      </c>
      <c r="J2187" s="66" t="s">
        <v>174</v>
      </c>
      <c r="K2187" s="66" t="s">
        <v>747</v>
      </c>
      <c r="L2187" s="67">
        <v>201514</v>
      </c>
      <c r="M2187" s="67">
        <v>0</v>
      </c>
      <c r="N2187" s="68">
        <f t="shared" si="136"/>
        <v>201514</v>
      </c>
      <c r="O2187" s="69">
        <f t="shared" si="135"/>
        <v>201514</v>
      </c>
      <c r="P2187" s="42" t="str">
        <f>IFERROR(VLOOKUP(J2187,'Mã NV'!$B:$C,2,0),"")</f>
        <v>XE00975</v>
      </c>
      <c r="Q2187" s="70" t="str">
        <f>IFERROR(VLOOKUP(I2187,'Mã NV'!$J:$K,2,0),"")</f>
        <v>2.5T Lạnh</v>
      </c>
    </row>
    <row r="2188" customHeight="1" spans="1:17">
      <c r="A2188" s="63">
        <f t="shared" si="134"/>
        <v>2180</v>
      </c>
      <c r="B2188" s="64">
        <v>46165</v>
      </c>
      <c r="D2188" s="66" t="s">
        <v>58</v>
      </c>
      <c r="E2188" s="66" t="s">
        <v>58</v>
      </c>
      <c r="F2188" s="66" t="s">
        <v>985</v>
      </c>
      <c r="G2188" s="66" t="s">
        <v>1076</v>
      </c>
      <c r="H2188" s="66" t="s">
        <v>1109</v>
      </c>
      <c r="I2188" s="66" t="s">
        <v>177</v>
      </c>
      <c r="J2188" s="66" t="s">
        <v>174</v>
      </c>
      <c r="K2188" s="66" t="s">
        <v>747</v>
      </c>
      <c r="L2188" s="67">
        <v>349998</v>
      </c>
      <c r="M2188" s="67">
        <v>0</v>
      </c>
      <c r="N2188" s="68">
        <f t="shared" si="136"/>
        <v>349998</v>
      </c>
      <c r="O2188" s="69">
        <f t="shared" si="135"/>
        <v>349998</v>
      </c>
      <c r="P2188" s="42" t="str">
        <f>IFERROR(VLOOKUP(J2188,'Mã NV'!$B:$C,2,0),"")</f>
        <v>XE00975</v>
      </c>
      <c r="Q2188" s="70" t="str">
        <f>IFERROR(VLOOKUP(I2188,'Mã NV'!$J:$K,2,0),"")</f>
        <v>2.5T Lạnh</v>
      </c>
    </row>
    <row r="2189" customHeight="1" spans="1:17">
      <c r="A2189" s="63">
        <f t="shared" si="134"/>
        <v>2181</v>
      </c>
      <c r="B2189" s="64">
        <v>46165</v>
      </c>
      <c r="D2189" s="66" t="s">
        <v>58</v>
      </c>
      <c r="E2189" s="66" t="s">
        <v>58</v>
      </c>
      <c r="F2189" s="66" t="s">
        <v>985</v>
      </c>
      <c r="G2189" s="66" t="s">
        <v>1076</v>
      </c>
      <c r="H2189" s="66" t="s">
        <v>1083</v>
      </c>
      <c r="I2189" s="66" t="s">
        <v>177</v>
      </c>
      <c r="J2189" s="66" t="s">
        <v>174</v>
      </c>
      <c r="K2189" s="66" t="s">
        <v>747</v>
      </c>
      <c r="L2189" s="67">
        <v>185605</v>
      </c>
      <c r="M2189" s="67">
        <v>0</v>
      </c>
      <c r="N2189" s="68">
        <f t="shared" si="136"/>
        <v>185605</v>
      </c>
      <c r="O2189" s="69">
        <f t="shared" si="135"/>
        <v>185605</v>
      </c>
      <c r="P2189" s="42" t="str">
        <f>IFERROR(VLOOKUP(J2189,'Mã NV'!$B:$C,2,0),"")</f>
        <v>XE00975</v>
      </c>
      <c r="Q2189" s="70" t="str">
        <f>IFERROR(VLOOKUP(I2189,'Mã NV'!$J:$K,2,0),"")</f>
        <v>2.5T Lạnh</v>
      </c>
    </row>
    <row r="2190" customHeight="1" spans="1:17">
      <c r="A2190" s="63">
        <f t="shared" si="134"/>
        <v>2182</v>
      </c>
      <c r="B2190" s="64">
        <v>46165</v>
      </c>
      <c r="D2190" s="66" t="s">
        <v>58</v>
      </c>
      <c r="E2190" s="66" t="s">
        <v>58</v>
      </c>
      <c r="F2190" s="66" t="s">
        <v>985</v>
      </c>
      <c r="G2190" s="66" t="s">
        <v>1076</v>
      </c>
      <c r="H2190" s="66" t="s">
        <v>1103</v>
      </c>
      <c r="I2190" s="66" t="s">
        <v>134</v>
      </c>
      <c r="J2190" s="66" t="s">
        <v>359</v>
      </c>
      <c r="K2190" s="66" t="s">
        <v>747</v>
      </c>
      <c r="L2190" s="67">
        <v>177651</v>
      </c>
      <c r="M2190" s="67">
        <v>0</v>
      </c>
      <c r="N2190" s="68">
        <f t="shared" si="136"/>
        <v>177651</v>
      </c>
      <c r="O2190" s="69">
        <f t="shared" si="135"/>
        <v>177651</v>
      </c>
      <c r="P2190" s="42" t="str">
        <f>IFERROR(VLOOKUP(J2190,'Mã NV'!$B:$C,2,0),"")</f>
        <v>XE01639</v>
      </c>
      <c r="Q2190" s="70" t="str">
        <f>IFERROR(VLOOKUP(I2190,'Mã NV'!$J:$K,2,0),"")</f>
        <v>2.5T Lạnh</v>
      </c>
    </row>
    <row r="2191" customHeight="1" spans="1:17">
      <c r="A2191" s="63">
        <f t="shared" si="134"/>
        <v>2183</v>
      </c>
      <c r="B2191" s="64">
        <v>46165</v>
      </c>
      <c r="D2191" s="66" t="s">
        <v>58</v>
      </c>
      <c r="E2191" s="66" t="s">
        <v>58</v>
      </c>
      <c r="F2191" s="66" t="s">
        <v>985</v>
      </c>
      <c r="G2191" s="66" t="s">
        <v>1076</v>
      </c>
      <c r="H2191" s="66" t="s">
        <v>1101</v>
      </c>
      <c r="I2191" s="66" t="s">
        <v>134</v>
      </c>
      <c r="J2191" s="66" t="s">
        <v>359</v>
      </c>
      <c r="K2191" s="66" t="s">
        <v>747</v>
      </c>
      <c r="L2191" s="67">
        <v>283711</v>
      </c>
      <c r="M2191" s="67">
        <v>0</v>
      </c>
      <c r="N2191" s="68">
        <f t="shared" si="136"/>
        <v>283711</v>
      </c>
      <c r="O2191" s="69">
        <f t="shared" si="135"/>
        <v>283711</v>
      </c>
      <c r="P2191" s="42" t="str">
        <f>IFERROR(VLOOKUP(J2191,'Mã NV'!$B:$C,2,0),"")</f>
        <v>XE01639</v>
      </c>
      <c r="Q2191" s="70" t="str">
        <f>IFERROR(VLOOKUP(I2191,'Mã NV'!$J:$K,2,0),"")</f>
        <v>2.5T Lạnh</v>
      </c>
    </row>
    <row r="2192" customHeight="1" spans="1:17">
      <c r="A2192" s="63">
        <f t="shared" si="134"/>
        <v>2184</v>
      </c>
      <c r="B2192" s="64">
        <v>46165</v>
      </c>
      <c r="D2192" s="66" t="s">
        <v>58</v>
      </c>
      <c r="E2192" s="66" t="s">
        <v>58</v>
      </c>
      <c r="F2192" s="66" t="s">
        <v>985</v>
      </c>
      <c r="G2192" s="66" t="s">
        <v>1076</v>
      </c>
      <c r="H2192" s="66" t="s">
        <v>1084</v>
      </c>
      <c r="I2192" s="66" t="s">
        <v>134</v>
      </c>
      <c r="J2192" s="66" t="s">
        <v>359</v>
      </c>
      <c r="K2192" s="66" t="s">
        <v>747</v>
      </c>
      <c r="L2192" s="67">
        <v>212120</v>
      </c>
      <c r="M2192" s="67">
        <v>0</v>
      </c>
      <c r="N2192" s="68">
        <f t="shared" si="136"/>
        <v>212120</v>
      </c>
      <c r="O2192" s="69">
        <f t="shared" si="135"/>
        <v>212120</v>
      </c>
      <c r="P2192" s="42" t="str">
        <f>IFERROR(VLOOKUP(J2192,'Mã NV'!$B:$C,2,0),"")</f>
        <v>XE01639</v>
      </c>
      <c r="Q2192" s="70" t="str">
        <f>IFERROR(VLOOKUP(I2192,'Mã NV'!$J:$K,2,0),"")</f>
        <v>2.5T Lạnh</v>
      </c>
    </row>
    <row r="2193" customHeight="1" spans="1:17">
      <c r="A2193" s="63">
        <f t="shared" ref="A2193:A2256" si="137">A2192+1</f>
        <v>2185</v>
      </c>
      <c r="B2193" s="64">
        <v>46165</v>
      </c>
      <c r="D2193" s="66" t="s">
        <v>58</v>
      </c>
      <c r="E2193" s="66" t="s">
        <v>58</v>
      </c>
      <c r="F2193" s="66" t="s">
        <v>985</v>
      </c>
      <c r="G2193" s="66" t="s">
        <v>1076</v>
      </c>
      <c r="H2193" s="66" t="s">
        <v>1099</v>
      </c>
      <c r="I2193" s="66" t="s">
        <v>403</v>
      </c>
      <c r="J2193" s="66" t="s">
        <v>401</v>
      </c>
      <c r="K2193" s="66" t="s">
        <v>747</v>
      </c>
      <c r="L2193" s="67">
        <v>344695</v>
      </c>
      <c r="M2193" s="67">
        <v>0</v>
      </c>
      <c r="N2193" s="68">
        <f t="shared" si="136"/>
        <v>344695</v>
      </c>
      <c r="O2193" s="69">
        <f t="shared" si="135"/>
        <v>344695</v>
      </c>
      <c r="P2193" s="42" t="str">
        <f>IFERROR(VLOOKUP(J2193,'Mã NV'!$B:$C,2,0),"")</f>
        <v>XE01466</v>
      </c>
      <c r="Q2193" s="70" t="str">
        <f>IFERROR(VLOOKUP(I2193,'Mã NV'!$J:$K,2,0),"")</f>
        <v>3.5T</v>
      </c>
    </row>
    <row r="2194" customHeight="1" spans="1:17">
      <c r="A2194" s="63">
        <f t="shared" si="137"/>
        <v>2186</v>
      </c>
      <c r="B2194" s="64">
        <v>46165</v>
      </c>
      <c r="D2194" s="66" t="s">
        <v>58</v>
      </c>
      <c r="E2194" s="66" t="s">
        <v>58</v>
      </c>
      <c r="F2194" s="66" t="s">
        <v>985</v>
      </c>
      <c r="G2194" s="66" t="s">
        <v>1076</v>
      </c>
      <c r="H2194" s="66" t="s">
        <v>1100</v>
      </c>
      <c r="I2194" s="66" t="s">
        <v>403</v>
      </c>
      <c r="J2194" s="66" t="s">
        <v>401</v>
      </c>
      <c r="K2194" s="66" t="s">
        <v>747</v>
      </c>
      <c r="L2194" s="67">
        <v>249241</v>
      </c>
      <c r="M2194" s="67">
        <v>0</v>
      </c>
      <c r="N2194" s="68">
        <f t="shared" si="136"/>
        <v>249241</v>
      </c>
      <c r="O2194" s="69">
        <f t="shared" si="135"/>
        <v>249241</v>
      </c>
      <c r="P2194" s="42" t="str">
        <f>IFERROR(VLOOKUP(J2194,'Mã NV'!$B:$C,2,0),"")</f>
        <v>XE01466</v>
      </c>
      <c r="Q2194" s="70" t="str">
        <f>IFERROR(VLOOKUP(I2194,'Mã NV'!$J:$K,2,0),"")</f>
        <v>3.5T</v>
      </c>
    </row>
    <row r="2195" customHeight="1" spans="1:17">
      <c r="A2195" s="63">
        <f t="shared" si="137"/>
        <v>2187</v>
      </c>
      <c r="B2195" s="64">
        <v>46165</v>
      </c>
      <c r="D2195" s="66" t="s">
        <v>58</v>
      </c>
      <c r="E2195" s="66" t="s">
        <v>58</v>
      </c>
      <c r="F2195" s="66" t="s">
        <v>985</v>
      </c>
      <c r="G2195" s="66" t="s">
        <v>1076</v>
      </c>
      <c r="H2195" s="66" t="s">
        <v>1085</v>
      </c>
      <c r="I2195" s="66" t="s">
        <v>403</v>
      </c>
      <c r="J2195" s="66" t="s">
        <v>401</v>
      </c>
      <c r="K2195" s="66" t="s">
        <v>747</v>
      </c>
      <c r="L2195" s="67">
        <v>153787</v>
      </c>
      <c r="M2195" s="67">
        <v>0</v>
      </c>
      <c r="N2195" s="68">
        <f t="shared" si="136"/>
        <v>153787</v>
      </c>
      <c r="O2195" s="69">
        <f t="shared" si="135"/>
        <v>153787</v>
      </c>
      <c r="P2195" s="42" t="str">
        <f>IFERROR(VLOOKUP(J2195,'Mã NV'!$B:$C,2,0),"")</f>
        <v>XE01466</v>
      </c>
      <c r="Q2195" s="70" t="str">
        <f>IFERROR(VLOOKUP(I2195,'Mã NV'!$J:$K,2,0),"")</f>
        <v>3.5T</v>
      </c>
    </row>
    <row r="2196" customHeight="1" spans="1:17">
      <c r="A2196" s="63">
        <f t="shared" si="137"/>
        <v>2188</v>
      </c>
      <c r="B2196" s="64">
        <v>46165</v>
      </c>
      <c r="D2196" s="66" t="s">
        <v>58</v>
      </c>
      <c r="E2196" s="66" t="s">
        <v>58</v>
      </c>
      <c r="F2196" s="66" t="s">
        <v>985</v>
      </c>
      <c r="G2196" s="66" t="s">
        <v>1076</v>
      </c>
      <c r="H2196" s="66" t="s">
        <v>1090</v>
      </c>
      <c r="I2196" s="66" t="s">
        <v>403</v>
      </c>
      <c r="J2196" s="66" t="s">
        <v>401</v>
      </c>
      <c r="K2196" s="66" t="s">
        <v>747</v>
      </c>
      <c r="L2196" s="67">
        <v>349998</v>
      </c>
      <c r="M2196" s="67">
        <v>0</v>
      </c>
      <c r="N2196" s="68">
        <f t="shared" si="136"/>
        <v>349998</v>
      </c>
      <c r="O2196" s="69">
        <f t="shared" si="135"/>
        <v>349998</v>
      </c>
      <c r="P2196" s="42" t="str">
        <f>IFERROR(VLOOKUP(J2196,'Mã NV'!$B:$C,2,0),"")</f>
        <v>XE01466</v>
      </c>
      <c r="Q2196" s="70" t="str">
        <f>IFERROR(VLOOKUP(I2196,'Mã NV'!$J:$K,2,0),"")</f>
        <v>3.5T</v>
      </c>
    </row>
    <row r="2197" customHeight="1" spans="1:17">
      <c r="A2197" s="63">
        <f t="shared" si="137"/>
        <v>2189</v>
      </c>
      <c r="B2197" s="64">
        <v>46165</v>
      </c>
      <c r="D2197" s="66" t="s">
        <v>58</v>
      </c>
      <c r="E2197" s="66" t="s">
        <v>58</v>
      </c>
      <c r="F2197" s="66" t="s">
        <v>985</v>
      </c>
      <c r="G2197" s="66" t="s">
        <v>1076</v>
      </c>
      <c r="H2197" s="66" t="s">
        <v>1095</v>
      </c>
      <c r="I2197" s="66" t="s">
        <v>57</v>
      </c>
      <c r="J2197" s="66" t="s">
        <v>55</v>
      </c>
      <c r="K2197" s="66" t="s">
        <v>747</v>
      </c>
      <c r="L2197" s="67">
        <v>135227</v>
      </c>
      <c r="M2197" s="67">
        <v>0</v>
      </c>
      <c r="N2197" s="68">
        <f t="shared" si="136"/>
        <v>135227</v>
      </c>
      <c r="O2197" s="69">
        <f t="shared" si="135"/>
        <v>135227</v>
      </c>
      <c r="P2197" s="42" t="str">
        <f>IFERROR(VLOOKUP(J2197,'Mã NV'!$B:$C,2,0),"")</f>
        <v>XE00768</v>
      </c>
      <c r="Q2197" s="70" t="str">
        <f>IFERROR(VLOOKUP(I2197,'Mã NV'!$J:$K,2,0),"")</f>
        <v>2.5T</v>
      </c>
    </row>
    <row r="2198" customHeight="1" spans="1:17">
      <c r="A2198" s="63">
        <f t="shared" si="137"/>
        <v>2190</v>
      </c>
      <c r="B2198" s="64">
        <v>46165</v>
      </c>
      <c r="D2198" s="66" t="s">
        <v>58</v>
      </c>
      <c r="E2198" s="66" t="s">
        <v>58</v>
      </c>
      <c r="F2198" s="66" t="s">
        <v>985</v>
      </c>
      <c r="G2198" s="66" t="s">
        <v>1076</v>
      </c>
      <c r="H2198" s="66" t="s">
        <v>1094</v>
      </c>
      <c r="I2198" s="66" t="s">
        <v>57</v>
      </c>
      <c r="J2198" s="66" t="s">
        <v>55</v>
      </c>
      <c r="K2198" s="66" t="s">
        <v>747</v>
      </c>
      <c r="L2198" s="67">
        <v>174999</v>
      </c>
      <c r="M2198" s="67">
        <v>0</v>
      </c>
      <c r="N2198" s="68">
        <f t="shared" si="136"/>
        <v>174999</v>
      </c>
      <c r="O2198" s="69">
        <f t="shared" si="135"/>
        <v>174999</v>
      </c>
      <c r="P2198" s="42" t="str">
        <f>IFERROR(VLOOKUP(J2198,'Mã NV'!$B:$C,2,0),"")</f>
        <v>XE00768</v>
      </c>
      <c r="Q2198" s="70" t="str">
        <f>IFERROR(VLOOKUP(I2198,'Mã NV'!$J:$K,2,0),"")</f>
        <v>2.5T</v>
      </c>
    </row>
    <row r="2199" customHeight="1" spans="1:17">
      <c r="A2199" s="63">
        <f t="shared" si="137"/>
        <v>2191</v>
      </c>
      <c r="B2199" s="64">
        <v>46165</v>
      </c>
      <c r="D2199" s="66" t="s">
        <v>58</v>
      </c>
      <c r="E2199" s="66" t="s">
        <v>58</v>
      </c>
      <c r="F2199" s="66" t="s">
        <v>985</v>
      </c>
      <c r="G2199" s="66" t="s">
        <v>1076</v>
      </c>
      <c r="H2199" s="66" t="s">
        <v>1092</v>
      </c>
      <c r="I2199" s="66" t="s">
        <v>57</v>
      </c>
      <c r="J2199" s="66" t="s">
        <v>55</v>
      </c>
      <c r="K2199" s="66" t="s">
        <v>747</v>
      </c>
      <c r="L2199" s="67">
        <v>225378</v>
      </c>
      <c r="M2199" s="67">
        <v>0</v>
      </c>
      <c r="N2199" s="68">
        <f t="shared" si="136"/>
        <v>225378</v>
      </c>
      <c r="O2199" s="69">
        <f t="shared" si="135"/>
        <v>225378</v>
      </c>
      <c r="P2199" s="42" t="str">
        <f>IFERROR(VLOOKUP(J2199,'Mã NV'!$B:$C,2,0),"")</f>
        <v>XE00768</v>
      </c>
      <c r="Q2199" s="70" t="str">
        <f>IFERROR(VLOOKUP(I2199,'Mã NV'!$J:$K,2,0),"")</f>
        <v>2.5T</v>
      </c>
    </row>
    <row r="2200" customHeight="1" spans="1:17">
      <c r="A2200" s="63">
        <f t="shared" si="137"/>
        <v>2192</v>
      </c>
      <c r="B2200" s="64">
        <v>46165</v>
      </c>
      <c r="D2200" s="66" t="s">
        <v>58</v>
      </c>
      <c r="E2200" s="66" t="s">
        <v>58</v>
      </c>
      <c r="F2200" s="66" t="s">
        <v>985</v>
      </c>
      <c r="G2200" s="66" t="s">
        <v>1076</v>
      </c>
      <c r="H2200" s="66" t="s">
        <v>1093</v>
      </c>
      <c r="I2200" s="66" t="s">
        <v>57</v>
      </c>
      <c r="J2200" s="66" t="s">
        <v>55</v>
      </c>
      <c r="K2200" s="66" t="s">
        <v>747</v>
      </c>
      <c r="L2200" s="67">
        <v>262499</v>
      </c>
      <c r="M2200" s="67">
        <v>0</v>
      </c>
      <c r="N2200" s="68">
        <f t="shared" si="136"/>
        <v>262499</v>
      </c>
      <c r="O2200" s="69">
        <f t="shared" si="135"/>
        <v>262499</v>
      </c>
      <c r="P2200" s="42" t="str">
        <f>IFERROR(VLOOKUP(J2200,'Mã NV'!$B:$C,2,0),"")</f>
        <v>XE00768</v>
      </c>
      <c r="Q2200" s="70" t="str">
        <f>IFERROR(VLOOKUP(I2200,'Mã NV'!$J:$K,2,0),"")</f>
        <v>2.5T</v>
      </c>
    </row>
    <row r="2201" customHeight="1" spans="1:17">
      <c r="A2201" s="63">
        <f t="shared" si="137"/>
        <v>2193</v>
      </c>
      <c r="B2201" s="64">
        <v>46165</v>
      </c>
      <c r="D2201" s="66" t="s">
        <v>58</v>
      </c>
      <c r="E2201" s="66" t="s">
        <v>58</v>
      </c>
      <c r="F2201" s="66" t="s">
        <v>985</v>
      </c>
      <c r="G2201" s="66" t="s">
        <v>1076</v>
      </c>
      <c r="H2201" s="66" t="s">
        <v>1096</v>
      </c>
      <c r="I2201" s="66" t="s">
        <v>177</v>
      </c>
      <c r="J2201" s="66" t="s">
        <v>174</v>
      </c>
      <c r="K2201" s="66" t="s">
        <v>747</v>
      </c>
      <c r="L2201" s="67">
        <v>222726</v>
      </c>
      <c r="M2201" s="67">
        <v>0</v>
      </c>
      <c r="N2201" s="68">
        <f t="shared" si="136"/>
        <v>222726</v>
      </c>
      <c r="O2201" s="69">
        <f t="shared" si="135"/>
        <v>222726</v>
      </c>
      <c r="P2201" s="42" t="str">
        <f>IFERROR(VLOOKUP(J2201,'Mã NV'!$B:$C,2,0),"")</f>
        <v>XE00975</v>
      </c>
      <c r="Q2201" s="70" t="str">
        <f>IFERROR(VLOOKUP(I2201,'Mã NV'!$J:$K,2,0),"")</f>
        <v>2.5T Lạnh</v>
      </c>
    </row>
    <row r="2202" customHeight="1" spans="1:17">
      <c r="A2202" s="63">
        <f t="shared" si="137"/>
        <v>2194</v>
      </c>
      <c r="B2202" s="64">
        <v>46165</v>
      </c>
      <c r="D2202" s="66" t="s">
        <v>58</v>
      </c>
      <c r="E2202" s="66" t="s">
        <v>58</v>
      </c>
      <c r="F2202" s="66" t="s">
        <v>985</v>
      </c>
      <c r="G2202" s="66" t="s">
        <v>1076</v>
      </c>
      <c r="H2202" s="66" t="s">
        <v>1098</v>
      </c>
      <c r="I2202" s="66" t="s">
        <v>177</v>
      </c>
      <c r="J2202" s="66" t="s">
        <v>174</v>
      </c>
      <c r="K2202" s="66" t="s">
        <v>747</v>
      </c>
      <c r="L2202" s="67">
        <v>193560</v>
      </c>
      <c r="M2202" s="67">
        <v>0</v>
      </c>
      <c r="N2202" s="68">
        <f t="shared" si="136"/>
        <v>193560</v>
      </c>
      <c r="O2202" s="69">
        <f t="shared" si="135"/>
        <v>193560</v>
      </c>
      <c r="P2202" s="42" t="str">
        <f>IFERROR(VLOOKUP(J2202,'Mã NV'!$B:$C,2,0),"")</f>
        <v>XE00975</v>
      </c>
      <c r="Q2202" s="70" t="str">
        <f>IFERROR(VLOOKUP(I2202,'Mã NV'!$J:$K,2,0),"")</f>
        <v>2.5T Lạnh</v>
      </c>
    </row>
    <row r="2203" customHeight="1" spans="1:17">
      <c r="A2203" s="63">
        <f t="shared" si="137"/>
        <v>2195</v>
      </c>
      <c r="B2203" s="64">
        <v>46165</v>
      </c>
      <c r="D2203" s="66" t="s">
        <v>58</v>
      </c>
      <c r="E2203" s="66" t="s">
        <v>58</v>
      </c>
      <c r="F2203" s="66" t="s">
        <v>985</v>
      </c>
      <c r="G2203" s="66" t="s">
        <v>1076</v>
      </c>
      <c r="H2203" s="66" t="s">
        <v>1088</v>
      </c>
      <c r="I2203" s="66" t="s">
        <v>177</v>
      </c>
      <c r="J2203" s="66" t="s">
        <v>174</v>
      </c>
      <c r="K2203" s="66" t="s">
        <v>747</v>
      </c>
      <c r="L2203" s="67">
        <v>546209</v>
      </c>
      <c r="M2203" s="67">
        <v>0</v>
      </c>
      <c r="N2203" s="68">
        <f t="shared" si="136"/>
        <v>546209</v>
      </c>
      <c r="O2203" s="69">
        <f t="shared" si="135"/>
        <v>546209</v>
      </c>
      <c r="P2203" s="42" t="str">
        <f>IFERROR(VLOOKUP(J2203,'Mã NV'!$B:$C,2,0),"")</f>
        <v>XE00975</v>
      </c>
      <c r="Q2203" s="70" t="str">
        <f>IFERROR(VLOOKUP(I2203,'Mã NV'!$J:$K,2,0),"")</f>
        <v>2.5T Lạnh</v>
      </c>
    </row>
    <row r="2204" customHeight="1" spans="1:17">
      <c r="A2204" s="63">
        <f t="shared" si="137"/>
        <v>2196</v>
      </c>
      <c r="B2204" s="64">
        <v>46165</v>
      </c>
      <c r="D2204" s="66" t="s">
        <v>58</v>
      </c>
      <c r="E2204" s="66" t="s">
        <v>58</v>
      </c>
      <c r="F2204" s="66" t="s">
        <v>985</v>
      </c>
      <c r="G2204" s="66" t="s">
        <v>1076</v>
      </c>
      <c r="H2204" s="66" t="s">
        <v>1077</v>
      </c>
      <c r="I2204" s="66" t="s">
        <v>133</v>
      </c>
      <c r="J2204" s="66" t="s">
        <v>347</v>
      </c>
      <c r="K2204" s="66" t="s">
        <v>747</v>
      </c>
      <c r="L2204" s="67">
        <v>392422</v>
      </c>
      <c r="M2204" s="67">
        <v>0</v>
      </c>
      <c r="N2204" s="68">
        <f t="shared" si="136"/>
        <v>392422</v>
      </c>
      <c r="O2204" s="69">
        <f t="shared" si="135"/>
        <v>392422</v>
      </c>
      <c r="P2204" s="42" t="str">
        <f>IFERROR(VLOOKUP(J2204,'Mã NV'!$B:$C,2,0),"")</f>
        <v>XE01653</v>
      </c>
      <c r="Q2204" s="70" t="str">
        <f>IFERROR(VLOOKUP(I2204,'Mã NV'!$J:$K,2,0),"")</f>
        <v>2.5T</v>
      </c>
    </row>
    <row r="2205" customHeight="1" spans="1:17">
      <c r="A2205" s="63">
        <f t="shared" si="137"/>
        <v>2197</v>
      </c>
      <c r="B2205" s="64">
        <v>46165</v>
      </c>
      <c r="D2205" s="66" t="s">
        <v>58</v>
      </c>
      <c r="E2205" s="66" t="s">
        <v>58</v>
      </c>
      <c r="F2205" s="66" t="s">
        <v>985</v>
      </c>
      <c r="G2205" s="66" t="s">
        <v>1076</v>
      </c>
      <c r="H2205" s="66" t="s">
        <v>1078</v>
      </c>
      <c r="I2205" s="66" t="s">
        <v>133</v>
      </c>
      <c r="J2205" s="66" t="s">
        <v>347</v>
      </c>
      <c r="K2205" s="66" t="s">
        <v>747</v>
      </c>
      <c r="L2205" s="67">
        <v>217423</v>
      </c>
      <c r="M2205" s="67">
        <v>0</v>
      </c>
      <c r="N2205" s="68">
        <f t="shared" si="136"/>
        <v>217423</v>
      </c>
      <c r="O2205" s="69">
        <f t="shared" si="135"/>
        <v>217423</v>
      </c>
      <c r="P2205" s="42" t="str">
        <f>IFERROR(VLOOKUP(J2205,'Mã NV'!$B:$C,2,0),"")</f>
        <v>XE01653</v>
      </c>
      <c r="Q2205" s="70" t="str">
        <f>IFERROR(VLOOKUP(I2205,'Mã NV'!$J:$K,2,0),"")</f>
        <v>2.5T</v>
      </c>
    </row>
    <row r="2206" customHeight="1" spans="1:17">
      <c r="A2206" s="63">
        <f t="shared" si="137"/>
        <v>2198</v>
      </c>
      <c r="B2206" s="64">
        <v>46165</v>
      </c>
      <c r="D2206" s="66" t="s">
        <v>58</v>
      </c>
      <c r="E2206" s="66" t="s">
        <v>58</v>
      </c>
      <c r="F2206" s="66" t="s">
        <v>985</v>
      </c>
      <c r="G2206" s="66" t="s">
        <v>1076</v>
      </c>
      <c r="H2206" s="66" t="s">
        <v>1111</v>
      </c>
      <c r="I2206" s="66" t="s">
        <v>133</v>
      </c>
      <c r="J2206" s="66" t="s">
        <v>347</v>
      </c>
      <c r="K2206" s="66" t="s">
        <v>747</v>
      </c>
      <c r="L2206" s="67">
        <v>259847</v>
      </c>
      <c r="M2206" s="67">
        <v>0</v>
      </c>
      <c r="N2206" s="68">
        <f t="shared" si="136"/>
        <v>259847</v>
      </c>
      <c r="O2206" s="69">
        <f t="shared" si="135"/>
        <v>259847</v>
      </c>
      <c r="P2206" s="42" t="str">
        <f>IFERROR(VLOOKUP(J2206,'Mã NV'!$B:$C,2,0),"")</f>
        <v>XE01653</v>
      </c>
      <c r="Q2206" s="70" t="str">
        <f>IFERROR(VLOOKUP(I2206,'Mã NV'!$J:$K,2,0),"")</f>
        <v>2.5T</v>
      </c>
    </row>
    <row r="2207" customHeight="1" spans="1:17">
      <c r="A2207" s="63">
        <f t="shared" si="137"/>
        <v>2199</v>
      </c>
      <c r="B2207" s="64">
        <v>46167</v>
      </c>
      <c r="D2207" s="66" t="s">
        <v>58</v>
      </c>
      <c r="E2207" s="66" t="s">
        <v>58</v>
      </c>
      <c r="F2207" s="66" t="s">
        <v>985</v>
      </c>
      <c r="G2207" s="66" t="s">
        <v>1076</v>
      </c>
      <c r="H2207" s="66" t="s">
        <v>1081</v>
      </c>
      <c r="I2207" s="66" t="s">
        <v>57</v>
      </c>
      <c r="J2207" s="66" t="s">
        <v>55</v>
      </c>
      <c r="K2207" s="66" t="s">
        <v>747</v>
      </c>
      <c r="L2207" s="67">
        <v>432195</v>
      </c>
      <c r="M2207" s="67">
        <v>0</v>
      </c>
      <c r="N2207" s="68">
        <f t="shared" si="136"/>
        <v>432195</v>
      </c>
      <c r="O2207" s="69">
        <f t="shared" si="135"/>
        <v>432195</v>
      </c>
      <c r="P2207" s="42" t="str">
        <f>IFERROR(VLOOKUP(J2207,'Mã NV'!$B:$C,2,0),"")</f>
        <v>XE00768</v>
      </c>
      <c r="Q2207" s="70" t="str">
        <f>IFERROR(VLOOKUP(I2207,'Mã NV'!$J:$K,2,0),"")</f>
        <v>2.5T</v>
      </c>
    </row>
    <row r="2208" customHeight="1" spans="1:17">
      <c r="A2208" s="63">
        <f t="shared" si="137"/>
        <v>2200</v>
      </c>
      <c r="B2208" s="64">
        <v>46167</v>
      </c>
      <c r="D2208" s="66" t="s">
        <v>58</v>
      </c>
      <c r="E2208" s="66" t="s">
        <v>58</v>
      </c>
      <c r="F2208" s="66" t="s">
        <v>985</v>
      </c>
      <c r="G2208" s="66" t="s">
        <v>1076</v>
      </c>
      <c r="H2208" s="66" t="s">
        <v>1083</v>
      </c>
      <c r="I2208" s="66" t="s">
        <v>57</v>
      </c>
      <c r="J2208" s="66" t="s">
        <v>55</v>
      </c>
      <c r="K2208" s="66" t="s">
        <v>747</v>
      </c>
      <c r="L2208" s="67">
        <v>585982</v>
      </c>
      <c r="M2208" s="67">
        <v>0</v>
      </c>
      <c r="N2208" s="68">
        <f t="shared" si="136"/>
        <v>585982</v>
      </c>
      <c r="O2208" s="69">
        <f t="shared" si="135"/>
        <v>585982</v>
      </c>
      <c r="P2208" s="42" t="str">
        <f>IFERROR(VLOOKUP(J2208,'Mã NV'!$B:$C,2,0),"")</f>
        <v>XE00768</v>
      </c>
      <c r="Q2208" s="70" t="str">
        <f>IFERROR(VLOOKUP(I2208,'Mã NV'!$J:$K,2,0),"")</f>
        <v>2.5T</v>
      </c>
    </row>
    <row r="2209" customHeight="1" spans="1:17">
      <c r="A2209" s="63">
        <f t="shared" si="137"/>
        <v>2201</v>
      </c>
      <c r="B2209" s="64">
        <v>46167</v>
      </c>
      <c r="D2209" s="66" t="s">
        <v>58</v>
      </c>
      <c r="E2209" s="66" t="s">
        <v>58</v>
      </c>
      <c r="F2209" s="66" t="s">
        <v>985</v>
      </c>
      <c r="G2209" s="66" t="s">
        <v>1076</v>
      </c>
      <c r="H2209" s="66" t="s">
        <v>1080</v>
      </c>
      <c r="I2209" s="66" t="s">
        <v>403</v>
      </c>
      <c r="J2209" s="66" t="s">
        <v>401</v>
      </c>
      <c r="K2209" s="66" t="s">
        <v>747</v>
      </c>
      <c r="L2209" s="67">
        <v>551512</v>
      </c>
      <c r="M2209" s="67">
        <v>0</v>
      </c>
      <c r="N2209" s="68">
        <f t="shared" si="136"/>
        <v>551512</v>
      </c>
      <c r="O2209" s="69">
        <f t="shared" si="135"/>
        <v>551512</v>
      </c>
      <c r="P2209" s="42" t="str">
        <f>IFERROR(VLOOKUP(J2209,'Mã NV'!$B:$C,2,0),"")</f>
        <v>XE01466</v>
      </c>
      <c r="Q2209" s="70" t="str">
        <f>IFERROR(VLOOKUP(I2209,'Mã NV'!$J:$K,2,0),"")</f>
        <v>3.5T</v>
      </c>
    </row>
    <row r="2210" customHeight="1" spans="1:17">
      <c r="A2210" s="63">
        <f t="shared" si="137"/>
        <v>2202</v>
      </c>
      <c r="B2210" s="64">
        <v>46167</v>
      </c>
      <c r="D2210" s="66" t="s">
        <v>58</v>
      </c>
      <c r="E2210" s="66" t="s">
        <v>58</v>
      </c>
      <c r="F2210" s="66" t="s">
        <v>985</v>
      </c>
      <c r="G2210" s="66" t="s">
        <v>1076</v>
      </c>
      <c r="H2210" s="66" t="s">
        <v>1082</v>
      </c>
      <c r="I2210" s="66" t="s">
        <v>403</v>
      </c>
      <c r="J2210" s="66" t="s">
        <v>401</v>
      </c>
      <c r="K2210" s="66" t="s">
        <v>747</v>
      </c>
      <c r="L2210" s="67">
        <v>535603</v>
      </c>
      <c r="M2210" s="67">
        <v>0</v>
      </c>
      <c r="N2210" s="68">
        <f t="shared" si="136"/>
        <v>535603</v>
      </c>
      <c r="O2210" s="69">
        <f t="shared" si="135"/>
        <v>535603</v>
      </c>
      <c r="P2210" s="42" t="str">
        <f>IFERROR(VLOOKUP(J2210,'Mã NV'!$B:$C,2,0),"")</f>
        <v>XE01466</v>
      </c>
      <c r="Q2210" s="70" t="str">
        <f>IFERROR(VLOOKUP(I2210,'Mã NV'!$J:$K,2,0),"")</f>
        <v>3.5T</v>
      </c>
    </row>
    <row r="2211" customHeight="1" spans="1:17">
      <c r="A2211" s="63">
        <f t="shared" si="137"/>
        <v>2203</v>
      </c>
      <c r="B2211" s="64">
        <v>46167</v>
      </c>
      <c r="D2211" s="66" t="s">
        <v>58</v>
      </c>
      <c r="E2211" s="66" t="s">
        <v>58</v>
      </c>
      <c r="F2211" s="66" t="s">
        <v>985</v>
      </c>
      <c r="G2211" s="66" t="s">
        <v>1076</v>
      </c>
      <c r="H2211" s="66" t="s">
        <v>1094</v>
      </c>
      <c r="I2211" s="66" t="s">
        <v>403</v>
      </c>
      <c r="J2211" s="66" t="s">
        <v>401</v>
      </c>
      <c r="K2211" s="66" t="s">
        <v>747</v>
      </c>
      <c r="L2211" s="67">
        <v>233332</v>
      </c>
      <c r="M2211" s="67">
        <v>0</v>
      </c>
      <c r="N2211" s="68">
        <f t="shared" si="136"/>
        <v>233332</v>
      </c>
      <c r="O2211" s="69">
        <f t="shared" si="135"/>
        <v>233332</v>
      </c>
      <c r="P2211" s="42" t="str">
        <f>IFERROR(VLOOKUP(J2211,'Mã NV'!$B:$C,2,0),"")</f>
        <v>XE01466</v>
      </c>
      <c r="Q2211" s="70" t="str">
        <f>IFERROR(VLOOKUP(I2211,'Mã NV'!$J:$K,2,0),"")</f>
        <v>3.5T</v>
      </c>
    </row>
    <row r="2212" customHeight="1" spans="1:17">
      <c r="A2212" s="63">
        <f t="shared" si="137"/>
        <v>2204</v>
      </c>
      <c r="B2212" s="64">
        <v>46167</v>
      </c>
      <c r="D2212" s="66" t="s">
        <v>58</v>
      </c>
      <c r="E2212" s="66" t="s">
        <v>58</v>
      </c>
      <c r="F2212" s="66" t="s">
        <v>985</v>
      </c>
      <c r="G2212" s="66" t="s">
        <v>1076</v>
      </c>
      <c r="H2212" s="66" t="s">
        <v>1086</v>
      </c>
      <c r="I2212" s="66" t="s">
        <v>177</v>
      </c>
      <c r="J2212" s="66" t="s">
        <v>174</v>
      </c>
      <c r="K2212" s="66" t="s">
        <v>747</v>
      </c>
      <c r="L2212" s="67">
        <v>474619</v>
      </c>
      <c r="M2212" s="67">
        <v>0</v>
      </c>
      <c r="N2212" s="68">
        <f t="shared" si="136"/>
        <v>474619</v>
      </c>
      <c r="O2212" s="69">
        <f t="shared" si="135"/>
        <v>474619</v>
      </c>
      <c r="P2212" s="42" t="str">
        <f>IFERROR(VLOOKUP(J2212,'Mã NV'!$B:$C,2,0),"")</f>
        <v>XE00975</v>
      </c>
      <c r="Q2212" s="70" t="str">
        <f>IFERROR(VLOOKUP(I2212,'Mã NV'!$J:$K,2,0),"")</f>
        <v>2.5T Lạnh</v>
      </c>
    </row>
    <row r="2213" customHeight="1" spans="1:17">
      <c r="A2213" s="63">
        <f t="shared" si="137"/>
        <v>2205</v>
      </c>
      <c r="B2213" s="64">
        <v>46167</v>
      </c>
      <c r="D2213" s="66" t="s">
        <v>58</v>
      </c>
      <c r="E2213" s="66" t="s">
        <v>58</v>
      </c>
      <c r="F2213" s="66" t="s">
        <v>985</v>
      </c>
      <c r="G2213" s="66" t="s">
        <v>1076</v>
      </c>
      <c r="H2213" s="66" t="s">
        <v>1087</v>
      </c>
      <c r="I2213" s="66" t="s">
        <v>177</v>
      </c>
      <c r="J2213" s="66" t="s">
        <v>174</v>
      </c>
      <c r="K2213" s="66" t="s">
        <v>747</v>
      </c>
      <c r="L2213" s="67">
        <v>418937</v>
      </c>
      <c r="M2213" s="67">
        <v>0</v>
      </c>
      <c r="N2213" s="68">
        <f t="shared" si="136"/>
        <v>418937</v>
      </c>
      <c r="O2213" s="69">
        <f t="shared" si="135"/>
        <v>418937</v>
      </c>
      <c r="P2213" s="42" t="str">
        <f>IFERROR(VLOOKUP(J2213,'Mã NV'!$B:$C,2,0),"")</f>
        <v>XE00975</v>
      </c>
      <c r="Q2213" s="70" t="str">
        <f>IFERROR(VLOOKUP(I2213,'Mã NV'!$J:$K,2,0),"")</f>
        <v>2.5T Lạnh</v>
      </c>
    </row>
    <row r="2214" customHeight="1" spans="1:17">
      <c r="A2214" s="63">
        <f t="shared" si="137"/>
        <v>2206</v>
      </c>
      <c r="B2214" s="64">
        <v>46167</v>
      </c>
      <c r="D2214" s="66" t="s">
        <v>58</v>
      </c>
      <c r="E2214" s="66" t="s">
        <v>58</v>
      </c>
      <c r="F2214" s="66" t="s">
        <v>985</v>
      </c>
      <c r="G2214" s="66" t="s">
        <v>1076</v>
      </c>
      <c r="H2214" s="66" t="s">
        <v>1104</v>
      </c>
      <c r="I2214" s="66" t="s">
        <v>133</v>
      </c>
      <c r="J2214" s="66" t="s">
        <v>347</v>
      </c>
      <c r="K2214" s="66" t="s">
        <v>747</v>
      </c>
      <c r="L2214" s="67">
        <v>570073</v>
      </c>
      <c r="M2214" s="67">
        <v>0</v>
      </c>
      <c r="N2214" s="68">
        <f t="shared" si="136"/>
        <v>570073</v>
      </c>
      <c r="O2214" s="69">
        <f t="shared" si="135"/>
        <v>570073</v>
      </c>
      <c r="P2214" s="42" t="str">
        <f>IFERROR(VLOOKUP(J2214,'Mã NV'!$B:$C,2,0),"")</f>
        <v>XE01653</v>
      </c>
      <c r="Q2214" s="70" t="str">
        <f>IFERROR(VLOOKUP(I2214,'Mã NV'!$J:$K,2,0),"")</f>
        <v>2.5T</v>
      </c>
    </row>
    <row r="2215" customHeight="1" spans="1:17">
      <c r="A2215" s="63">
        <f t="shared" si="137"/>
        <v>2207</v>
      </c>
      <c r="B2215" s="64">
        <v>46167</v>
      </c>
      <c r="D2215" s="66" t="s">
        <v>58</v>
      </c>
      <c r="E2215" s="66" t="s">
        <v>58</v>
      </c>
      <c r="F2215" s="66" t="s">
        <v>985</v>
      </c>
      <c r="G2215" s="66" t="s">
        <v>1076</v>
      </c>
      <c r="H2215" s="66" t="s">
        <v>1103</v>
      </c>
      <c r="I2215" s="66" t="s">
        <v>133</v>
      </c>
      <c r="J2215" s="66" t="s">
        <v>347</v>
      </c>
      <c r="K2215" s="66" t="s">
        <v>747</v>
      </c>
      <c r="L2215" s="67">
        <v>326135</v>
      </c>
      <c r="M2215" s="67">
        <v>0</v>
      </c>
      <c r="N2215" s="68">
        <f t="shared" si="136"/>
        <v>326135</v>
      </c>
      <c r="O2215" s="69">
        <f t="shared" si="135"/>
        <v>326135</v>
      </c>
      <c r="P2215" s="42" t="str">
        <f>IFERROR(VLOOKUP(J2215,'Mã NV'!$B:$C,2,0),"")</f>
        <v>XE01653</v>
      </c>
      <c r="Q2215" s="70" t="str">
        <f>IFERROR(VLOOKUP(I2215,'Mã NV'!$J:$K,2,0),"")</f>
        <v>2.5T</v>
      </c>
    </row>
    <row r="2216" customHeight="1" spans="1:17">
      <c r="A2216" s="63">
        <f t="shared" si="137"/>
        <v>2208</v>
      </c>
      <c r="B2216" s="64">
        <v>46167</v>
      </c>
      <c r="D2216" s="66" t="s">
        <v>58</v>
      </c>
      <c r="E2216" s="66" t="s">
        <v>58</v>
      </c>
      <c r="F2216" s="66" t="s">
        <v>985</v>
      </c>
      <c r="G2216" s="66" t="s">
        <v>1076</v>
      </c>
      <c r="H2216" s="66" t="s">
        <v>1101</v>
      </c>
      <c r="I2216" s="66" t="s">
        <v>134</v>
      </c>
      <c r="J2216" s="66" t="s">
        <v>359</v>
      </c>
      <c r="K2216" s="66" t="s">
        <v>747</v>
      </c>
      <c r="L2216" s="67">
        <v>506437</v>
      </c>
      <c r="M2216" s="67">
        <v>0</v>
      </c>
      <c r="N2216" s="68">
        <f t="shared" si="136"/>
        <v>506437</v>
      </c>
      <c r="O2216" s="69">
        <f t="shared" si="135"/>
        <v>506437</v>
      </c>
      <c r="P2216" s="42" t="str">
        <f>IFERROR(VLOOKUP(J2216,'Mã NV'!$B:$C,2,0),"")</f>
        <v>XE01639</v>
      </c>
      <c r="Q2216" s="70" t="str">
        <f>IFERROR(VLOOKUP(I2216,'Mã NV'!$J:$K,2,0),"")</f>
        <v>2.5T Lạnh</v>
      </c>
    </row>
    <row r="2217" customHeight="1" spans="1:17">
      <c r="A2217" s="63">
        <f t="shared" si="137"/>
        <v>2209</v>
      </c>
      <c r="B2217" s="64">
        <v>46167</v>
      </c>
      <c r="D2217" s="66" t="s">
        <v>58</v>
      </c>
      <c r="E2217" s="66" t="s">
        <v>58</v>
      </c>
      <c r="F2217" s="66" t="s">
        <v>985</v>
      </c>
      <c r="G2217" s="66" t="s">
        <v>1076</v>
      </c>
      <c r="H2217" s="66" t="s">
        <v>1084</v>
      </c>
      <c r="I2217" s="66" t="s">
        <v>134</v>
      </c>
      <c r="J2217" s="66" t="s">
        <v>359</v>
      </c>
      <c r="K2217" s="66" t="s">
        <v>747</v>
      </c>
      <c r="L2217" s="67">
        <v>421589</v>
      </c>
      <c r="M2217" s="67">
        <v>0</v>
      </c>
      <c r="N2217" s="68">
        <f t="shared" si="136"/>
        <v>421589</v>
      </c>
      <c r="O2217" s="69">
        <f t="shared" si="135"/>
        <v>421589</v>
      </c>
      <c r="P2217" s="42" t="str">
        <f>IFERROR(VLOOKUP(J2217,'Mã NV'!$B:$C,2,0),"")</f>
        <v>XE01639</v>
      </c>
      <c r="Q2217" s="70" t="str">
        <f>IFERROR(VLOOKUP(I2217,'Mã NV'!$J:$K,2,0),"")</f>
        <v>2.5T Lạnh</v>
      </c>
    </row>
    <row r="2218" customHeight="1" spans="1:17">
      <c r="A2218" s="63">
        <f t="shared" si="137"/>
        <v>2210</v>
      </c>
      <c r="B2218" s="64">
        <v>46167</v>
      </c>
      <c r="D2218" s="66" t="s">
        <v>58</v>
      </c>
      <c r="E2218" s="66" t="s">
        <v>58</v>
      </c>
      <c r="F2218" s="66" t="s">
        <v>985</v>
      </c>
      <c r="G2218" s="66" t="s">
        <v>1076</v>
      </c>
      <c r="H2218" s="66" t="s">
        <v>1077</v>
      </c>
      <c r="I2218" s="66" t="s">
        <v>358</v>
      </c>
      <c r="J2218" s="66" t="s">
        <v>356</v>
      </c>
      <c r="K2218" s="66" t="s">
        <v>747</v>
      </c>
      <c r="L2218" s="67">
        <v>615148</v>
      </c>
      <c r="M2218" s="67">
        <v>0</v>
      </c>
      <c r="N2218" s="68">
        <f t="shared" si="136"/>
        <v>615148</v>
      </c>
      <c r="O2218" s="69">
        <f t="shared" si="135"/>
        <v>615148</v>
      </c>
      <c r="P2218" s="42" t="str">
        <f>IFERROR(VLOOKUP(J2218,'Mã NV'!$B:$C,2,0),"")</f>
        <v>XE01616</v>
      </c>
      <c r="Q2218" s="70" t="str">
        <f>IFERROR(VLOOKUP(I2218,'Mã NV'!$J:$K,2,0),"")</f>
        <v>2.5T Lạnh</v>
      </c>
    </row>
    <row r="2219" customHeight="1" spans="1:17">
      <c r="A2219" s="63">
        <f t="shared" si="137"/>
        <v>2211</v>
      </c>
      <c r="B2219" s="64">
        <v>46167</v>
      </c>
      <c r="D2219" s="66" t="s">
        <v>58</v>
      </c>
      <c r="E2219" s="66" t="s">
        <v>58</v>
      </c>
      <c r="F2219" s="66" t="s">
        <v>985</v>
      </c>
      <c r="G2219" s="66" t="s">
        <v>1076</v>
      </c>
      <c r="H2219" s="66" t="s">
        <v>1085</v>
      </c>
      <c r="I2219" s="66" t="s">
        <v>358</v>
      </c>
      <c r="J2219" s="66" t="s">
        <v>356</v>
      </c>
      <c r="K2219" s="66" t="s">
        <v>747</v>
      </c>
      <c r="L2219" s="67">
        <v>259847</v>
      </c>
      <c r="M2219" s="67">
        <v>0</v>
      </c>
      <c r="N2219" s="68">
        <f t="shared" si="136"/>
        <v>259847</v>
      </c>
      <c r="O2219" s="69">
        <f t="shared" si="135"/>
        <v>259847</v>
      </c>
      <c r="P2219" s="42" t="str">
        <f>IFERROR(VLOOKUP(J2219,'Mã NV'!$B:$C,2,0),"")</f>
        <v>XE01616</v>
      </c>
      <c r="Q2219" s="70" t="str">
        <f>IFERROR(VLOOKUP(I2219,'Mã NV'!$J:$K,2,0),"")</f>
        <v>2.5T Lạnh</v>
      </c>
    </row>
    <row r="2220" customHeight="1" spans="1:17">
      <c r="A2220" s="63">
        <f t="shared" si="137"/>
        <v>2212</v>
      </c>
      <c r="B2220" s="64">
        <v>46167</v>
      </c>
      <c r="D2220" s="66" t="s">
        <v>58</v>
      </c>
      <c r="E2220" s="66" t="s">
        <v>58</v>
      </c>
      <c r="F2220" s="66" t="s">
        <v>985</v>
      </c>
      <c r="G2220" s="66" t="s">
        <v>1076</v>
      </c>
      <c r="H2220" s="66" t="s">
        <v>1078</v>
      </c>
      <c r="I2220" s="66" t="s">
        <v>323</v>
      </c>
      <c r="J2220" s="66" t="s">
        <v>321</v>
      </c>
      <c r="K2220" s="66" t="s">
        <v>747</v>
      </c>
      <c r="L2220" s="67">
        <v>424240</v>
      </c>
      <c r="M2220" s="67">
        <v>0</v>
      </c>
      <c r="N2220" s="68">
        <f t="shared" si="136"/>
        <v>424240</v>
      </c>
      <c r="O2220" s="69">
        <f t="shared" si="135"/>
        <v>424240</v>
      </c>
      <c r="P2220" s="42" t="str">
        <f>IFERROR(VLOOKUP(J2220,'Mã NV'!$B:$C,2,0),"")</f>
        <v>XE01537</v>
      </c>
      <c r="Q2220" s="70" t="str">
        <f>IFERROR(VLOOKUP(I2220,'Mã NV'!$J:$K,2,0),"")</f>
        <v>2.5T</v>
      </c>
    </row>
    <row r="2221" customHeight="1" spans="1:17">
      <c r="A2221" s="63">
        <f t="shared" si="137"/>
        <v>2213</v>
      </c>
      <c r="B2221" s="64">
        <v>46167</v>
      </c>
      <c r="D2221" s="66" t="s">
        <v>58</v>
      </c>
      <c r="E2221" s="66" t="s">
        <v>58</v>
      </c>
      <c r="F2221" s="66" t="s">
        <v>985</v>
      </c>
      <c r="G2221" s="66" t="s">
        <v>1076</v>
      </c>
      <c r="H2221" s="66" t="s">
        <v>1111</v>
      </c>
      <c r="I2221" s="66" t="s">
        <v>323</v>
      </c>
      <c r="J2221" s="66" t="s">
        <v>321</v>
      </c>
      <c r="K2221" s="66" t="s">
        <v>747</v>
      </c>
      <c r="L2221" s="67">
        <v>283711</v>
      </c>
      <c r="M2221" s="67">
        <v>0</v>
      </c>
      <c r="N2221" s="68">
        <f t="shared" si="136"/>
        <v>283711</v>
      </c>
      <c r="O2221" s="69">
        <f t="shared" si="135"/>
        <v>283711</v>
      </c>
      <c r="P2221" s="42" t="str">
        <f>IFERROR(VLOOKUP(J2221,'Mã NV'!$B:$C,2,0),"")</f>
        <v>XE01537</v>
      </c>
      <c r="Q2221" s="70" t="str">
        <f>IFERROR(VLOOKUP(I2221,'Mã NV'!$J:$K,2,0),"")</f>
        <v>2.5T</v>
      </c>
    </row>
    <row r="2222" customHeight="1" spans="1:17">
      <c r="A2222" s="63">
        <f t="shared" si="137"/>
        <v>2214</v>
      </c>
      <c r="B2222" s="64">
        <v>46167</v>
      </c>
      <c r="D2222" s="66" t="s">
        <v>58</v>
      </c>
      <c r="E2222" s="66" t="s">
        <v>58</v>
      </c>
      <c r="F2222" s="66" t="s">
        <v>985</v>
      </c>
      <c r="G2222" s="66" t="s">
        <v>1076</v>
      </c>
      <c r="H2222" s="66" t="s">
        <v>1095</v>
      </c>
      <c r="I2222" s="66" t="s">
        <v>323</v>
      </c>
      <c r="J2222" s="66" t="s">
        <v>321</v>
      </c>
      <c r="K2222" s="66" t="s">
        <v>747</v>
      </c>
      <c r="L2222" s="67">
        <v>320832</v>
      </c>
      <c r="M2222" s="67">
        <v>0</v>
      </c>
      <c r="N2222" s="68">
        <f t="shared" si="136"/>
        <v>320832</v>
      </c>
      <c r="O2222" s="69">
        <f t="shared" si="135"/>
        <v>320832</v>
      </c>
      <c r="P2222" s="42" t="str">
        <f>IFERROR(VLOOKUP(J2222,'Mã NV'!$B:$C,2,0),"")</f>
        <v>XE01537</v>
      </c>
      <c r="Q2222" s="70" t="str">
        <f>IFERROR(VLOOKUP(I2222,'Mã NV'!$J:$K,2,0),"")</f>
        <v>2.5T</v>
      </c>
    </row>
    <row r="2223" customHeight="1" spans="1:17">
      <c r="A2223" s="63">
        <f t="shared" si="137"/>
        <v>2215</v>
      </c>
      <c r="B2223" s="64">
        <v>46167</v>
      </c>
      <c r="D2223" s="66" t="s">
        <v>58</v>
      </c>
      <c r="E2223" s="66" t="s">
        <v>58</v>
      </c>
      <c r="F2223" s="66" t="s">
        <v>985</v>
      </c>
      <c r="G2223" s="66" t="s">
        <v>1076</v>
      </c>
      <c r="H2223" s="66" t="s">
        <v>1096</v>
      </c>
      <c r="I2223" s="66" t="s">
        <v>154</v>
      </c>
      <c r="J2223" s="66" t="s">
        <v>152</v>
      </c>
      <c r="K2223" s="66" t="s">
        <v>747</v>
      </c>
      <c r="L2223" s="67">
        <v>503785</v>
      </c>
      <c r="M2223" s="67">
        <v>0</v>
      </c>
      <c r="N2223" s="68">
        <f t="shared" si="136"/>
        <v>503785</v>
      </c>
      <c r="O2223" s="69">
        <f t="shared" si="135"/>
        <v>503785</v>
      </c>
      <c r="P2223" s="42" t="str">
        <f>IFERROR(VLOOKUP(J2223,'Mã NV'!$B:$C,2,0),"")</f>
        <v>XE00730</v>
      </c>
      <c r="Q2223" s="70" t="str">
        <f>IFERROR(VLOOKUP(I2223,'Mã NV'!$J:$K,2,0),"")</f>
        <v> 3T5 Lạnh </v>
      </c>
    </row>
    <row r="2224" customHeight="1" spans="1:17">
      <c r="A2224" s="63">
        <f t="shared" si="137"/>
        <v>2216</v>
      </c>
      <c r="B2224" s="64">
        <v>46167</v>
      </c>
      <c r="D2224" s="66" t="s">
        <v>58</v>
      </c>
      <c r="E2224" s="66" t="s">
        <v>58</v>
      </c>
      <c r="F2224" s="66" t="s">
        <v>985</v>
      </c>
      <c r="G2224" s="66" t="s">
        <v>1076</v>
      </c>
      <c r="H2224" s="66" t="s">
        <v>1088</v>
      </c>
      <c r="I2224" s="66" t="s">
        <v>154</v>
      </c>
      <c r="J2224" s="66" t="s">
        <v>152</v>
      </c>
      <c r="K2224" s="66" t="s">
        <v>747</v>
      </c>
      <c r="L2224" s="67">
        <v>660224</v>
      </c>
      <c r="M2224" s="67">
        <v>0</v>
      </c>
      <c r="N2224" s="68">
        <f t="shared" si="136"/>
        <v>660224</v>
      </c>
      <c r="O2224" s="69">
        <f t="shared" si="135"/>
        <v>660224</v>
      </c>
      <c r="P2224" s="42" t="str">
        <f>IFERROR(VLOOKUP(J2224,'Mã NV'!$B:$C,2,0),"")</f>
        <v>XE00730</v>
      </c>
      <c r="Q2224" s="70" t="str">
        <f>IFERROR(VLOOKUP(I2224,'Mã NV'!$J:$K,2,0),"")</f>
        <v> 3T5 Lạnh </v>
      </c>
    </row>
    <row r="2225" customHeight="1" spans="1:19">
      <c r="A2225" s="63">
        <f t="shared" si="137"/>
        <v>2217</v>
      </c>
      <c r="B2225" s="64">
        <v>46167</v>
      </c>
      <c r="D2225" s="66" t="s">
        <v>58</v>
      </c>
      <c r="E2225" s="66" t="s">
        <v>58</v>
      </c>
      <c r="F2225" s="66" t="s">
        <v>985</v>
      </c>
      <c r="G2225" s="66" t="s">
        <v>1076</v>
      </c>
      <c r="H2225" s="66" t="s">
        <v>1098</v>
      </c>
      <c r="I2225" s="66" t="s">
        <v>57</v>
      </c>
      <c r="J2225" s="66" t="s">
        <v>55</v>
      </c>
      <c r="K2225" s="66" t="s">
        <v>747</v>
      </c>
      <c r="L2225" s="67">
        <v>517043</v>
      </c>
      <c r="M2225" s="67">
        <v>0</v>
      </c>
      <c r="N2225" s="68">
        <f t="shared" si="136"/>
        <v>517043</v>
      </c>
      <c r="O2225" s="69">
        <f t="shared" si="135"/>
        <v>517043</v>
      </c>
      <c r="P2225" s="42" t="str">
        <f>IFERROR(VLOOKUP(J2225,'Mã NV'!$B:$C,2,0),"")</f>
        <v>XE00768</v>
      </c>
      <c r="Q2225" s="70" t="str">
        <f>IFERROR(VLOOKUP(I2225,'Mã NV'!$J:$K,2,0),"")</f>
        <v>2.5T</v>
      </c>
    </row>
    <row r="2226" customHeight="1" spans="1:19">
      <c r="A2226" s="63">
        <f t="shared" si="137"/>
        <v>2218</v>
      </c>
      <c r="B2226" s="64">
        <v>46167</v>
      </c>
      <c r="D2226" s="66" t="s">
        <v>58</v>
      </c>
      <c r="E2226" s="66" t="s">
        <v>58</v>
      </c>
      <c r="F2226" s="66" t="s">
        <v>985</v>
      </c>
      <c r="G2226" s="66" t="s">
        <v>1076</v>
      </c>
      <c r="H2226" s="66" t="s">
        <v>1097</v>
      </c>
      <c r="I2226" s="66" t="s">
        <v>57</v>
      </c>
      <c r="J2226" s="66" t="s">
        <v>55</v>
      </c>
      <c r="K2226" s="66" t="s">
        <v>747</v>
      </c>
      <c r="L2226" s="67">
        <v>456058</v>
      </c>
      <c r="M2226" s="67">
        <v>0</v>
      </c>
      <c r="N2226" s="68">
        <f t="shared" si="136"/>
        <v>456058</v>
      </c>
      <c r="O2226" s="69">
        <f t="shared" si="135"/>
        <v>456058</v>
      </c>
      <c r="P2226" s="42" t="str">
        <f>IFERROR(VLOOKUP(J2226,'Mã NV'!$B:$C,2,0),"")</f>
        <v>XE00768</v>
      </c>
      <c r="Q2226" s="70" t="str">
        <f>IFERROR(VLOOKUP(I2226,'Mã NV'!$J:$K,2,0),"")</f>
        <v>2.5T</v>
      </c>
    </row>
    <row r="2227" customHeight="1" spans="1:19">
      <c r="A2227" s="63">
        <f t="shared" si="137"/>
        <v>2219</v>
      </c>
      <c r="B2227" s="64">
        <v>46167</v>
      </c>
      <c r="D2227" s="66" t="s">
        <v>58</v>
      </c>
      <c r="E2227" s="66" t="s">
        <v>58</v>
      </c>
      <c r="F2227" s="66" t="s">
        <v>985</v>
      </c>
      <c r="G2227" s="66" t="s">
        <v>1076</v>
      </c>
      <c r="H2227" s="66" t="s">
        <v>1099</v>
      </c>
      <c r="I2227" s="66" t="s">
        <v>403</v>
      </c>
      <c r="J2227" s="66" t="s">
        <v>401</v>
      </c>
      <c r="K2227" s="66" t="s">
        <v>747</v>
      </c>
      <c r="L2227" s="67">
        <v>355301</v>
      </c>
      <c r="M2227" s="67">
        <v>0</v>
      </c>
      <c r="N2227" s="68">
        <f t="shared" si="136"/>
        <v>355301</v>
      </c>
      <c r="O2227" s="69">
        <f t="shared" ref="O2227:O2290" si="138">N2227/$P$1</f>
        <v>355301</v>
      </c>
      <c r="P2227" s="42" t="str">
        <f>IFERROR(VLOOKUP(J2227,'Mã NV'!$B:$C,2,0),"")</f>
        <v>XE01466</v>
      </c>
      <c r="Q2227" s="70" t="str">
        <f>IFERROR(VLOOKUP(I2227,'Mã NV'!$J:$K,2,0),"")</f>
        <v>3.5T</v>
      </c>
    </row>
    <row r="2228" customHeight="1" spans="1:19">
      <c r="A2228" s="63">
        <f t="shared" si="137"/>
        <v>2220</v>
      </c>
      <c r="B2228" s="64">
        <v>46167</v>
      </c>
      <c r="D2228" s="66" t="s">
        <v>58</v>
      </c>
      <c r="E2228" s="66" t="s">
        <v>58</v>
      </c>
      <c r="F2228" s="66" t="s">
        <v>985</v>
      </c>
      <c r="G2228" s="66" t="s">
        <v>1076</v>
      </c>
      <c r="H2228" s="66" t="s">
        <v>1100</v>
      </c>
      <c r="I2228" s="66" t="s">
        <v>403</v>
      </c>
      <c r="J2228" s="66" t="s">
        <v>401</v>
      </c>
      <c r="K2228" s="66" t="s">
        <v>747</v>
      </c>
      <c r="L2228" s="67">
        <v>450755</v>
      </c>
      <c r="M2228" s="67">
        <v>0</v>
      </c>
      <c r="N2228" s="68">
        <f t="shared" ref="N2228:N2291" si="139">L2228-M2228</f>
        <v>450755</v>
      </c>
      <c r="O2228" s="69">
        <f t="shared" si="138"/>
        <v>450755</v>
      </c>
      <c r="P2228" s="42" t="str">
        <f>IFERROR(VLOOKUP(J2228,'Mã NV'!$B:$C,2,0),"")</f>
        <v>XE01466</v>
      </c>
      <c r="Q2228" s="70" t="str">
        <f>IFERROR(VLOOKUP(I2228,'Mã NV'!$J:$K,2,0),"")</f>
        <v>3.5T</v>
      </c>
    </row>
    <row r="2229" customHeight="1" spans="1:19">
      <c r="A2229" s="63">
        <f t="shared" si="137"/>
        <v>2221</v>
      </c>
      <c r="B2229" s="64">
        <v>46167</v>
      </c>
      <c r="D2229" s="66" t="s">
        <v>58</v>
      </c>
      <c r="E2229" s="66" t="s">
        <v>58</v>
      </c>
      <c r="F2229" s="66" t="s">
        <v>985</v>
      </c>
      <c r="G2229" s="66" t="s">
        <v>1076</v>
      </c>
      <c r="H2229" s="66" t="s">
        <v>1092</v>
      </c>
      <c r="I2229" s="66" t="s">
        <v>403</v>
      </c>
      <c r="J2229" s="66" t="s">
        <v>401</v>
      </c>
      <c r="K2229" s="66" t="s">
        <v>747</v>
      </c>
      <c r="L2229" s="67">
        <v>543558</v>
      </c>
      <c r="M2229" s="67">
        <v>0</v>
      </c>
      <c r="N2229" s="68">
        <f t="shared" si="139"/>
        <v>543558</v>
      </c>
      <c r="O2229" s="69">
        <f t="shared" si="138"/>
        <v>543558</v>
      </c>
      <c r="P2229" s="42" t="str">
        <f>IFERROR(VLOOKUP(J2229,'Mã NV'!$B:$C,2,0),"")</f>
        <v>XE01466</v>
      </c>
      <c r="Q2229" s="70" t="str">
        <f>IFERROR(VLOOKUP(I2229,'Mã NV'!$J:$K,2,0),"")</f>
        <v>3.5T</v>
      </c>
    </row>
    <row r="2230" customHeight="1" spans="1:19">
      <c r="A2230" s="63">
        <f t="shared" si="137"/>
        <v>2222</v>
      </c>
      <c r="B2230" s="64">
        <v>46167</v>
      </c>
      <c r="D2230" s="66" t="s">
        <v>58</v>
      </c>
      <c r="E2230" s="66" t="s">
        <v>58</v>
      </c>
      <c r="F2230" s="66" t="s">
        <v>985</v>
      </c>
      <c r="G2230" s="66" t="s">
        <v>1076</v>
      </c>
      <c r="H2230" s="66" t="s">
        <v>1079</v>
      </c>
      <c r="I2230" s="66" t="s">
        <v>177</v>
      </c>
      <c r="J2230" s="66" t="s">
        <v>174</v>
      </c>
      <c r="K2230" s="66" t="s">
        <v>747</v>
      </c>
      <c r="L2230" s="67">
        <v>400377</v>
      </c>
      <c r="M2230" s="67">
        <v>0</v>
      </c>
      <c r="N2230" s="68">
        <f t="shared" si="139"/>
        <v>400377</v>
      </c>
      <c r="O2230" s="69">
        <f t="shared" si="138"/>
        <v>400377</v>
      </c>
      <c r="P2230" s="42" t="str">
        <f>IFERROR(VLOOKUP(J2230,'Mã NV'!$B:$C,2,0),"")</f>
        <v>XE00975</v>
      </c>
      <c r="Q2230" s="70" t="str">
        <f>IFERROR(VLOOKUP(I2230,'Mã NV'!$J:$K,2,0),"")</f>
        <v>2.5T Lạnh</v>
      </c>
    </row>
    <row r="2231" customHeight="1" spans="1:19">
      <c r="A2231" s="63">
        <f t="shared" si="137"/>
        <v>2223</v>
      </c>
      <c r="B2231" s="64">
        <v>46167</v>
      </c>
      <c r="D2231" s="66" t="s">
        <v>58</v>
      </c>
      <c r="E2231" s="66" t="s">
        <v>58</v>
      </c>
      <c r="F2231" s="66" t="s">
        <v>985</v>
      </c>
      <c r="G2231" s="66" t="s">
        <v>1076</v>
      </c>
      <c r="H2231" s="66" t="s">
        <v>1091</v>
      </c>
      <c r="I2231" s="66" t="s">
        <v>177</v>
      </c>
      <c r="J2231" s="66" t="s">
        <v>174</v>
      </c>
      <c r="K2231" s="66" t="s">
        <v>747</v>
      </c>
      <c r="L2231" s="67">
        <v>426892</v>
      </c>
      <c r="M2231" s="67">
        <v>0</v>
      </c>
      <c r="N2231" s="68">
        <f t="shared" si="139"/>
        <v>426892</v>
      </c>
      <c r="O2231" s="69">
        <f t="shared" si="138"/>
        <v>426892</v>
      </c>
      <c r="P2231" s="42" t="str">
        <f>IFERROR(VLOOKUP(J2231,'Mã NV'!$B:$C,2,0),"")</f>
        <v>XE00975</v>
      </c>
      <c r="Q2231" s="70" t="str">
        <f>IFERROR(VLOOKUP(I2231,'Mã NV'!$J:$K,2,0),"")</f>
        <v>2.5T Lạnh</v>
      </c>
    </row>
    <row r="2232" customHeight="1" spans="1:19">
      <c r="A2232" s="63">
        <f t="shared" si="137"/>
        <v>2224</v>
      </c>
      <c r="B2232" s="64">
        <v>46167</v>
      </c>
      <c r="D2232" s="66" t="s">
        <v>58</v>
      </c>
      <c r="E2232" s="66" t="s">
        <v>58</v>
      </c>
      <c r="F2232" s="66" t="s">
        <v>985</v>
      </c>
      <c r="G2232" s="66" t="s">
        <v>1076</v>
      </c>
      <c r="H2232" s="66" t="s">
        <v>1093</v>
      </c>
      <c r="I2232" s="66" t="s">
        <v>133</v>
      </c>
      <c r="J2232" s="66" t="s">
        <v>347</v>
      </c>
      <c r="K2232" s="66" t="s">
        <v>747</v>
      </c>
      <c r="L2232" s="67">
        <v>320832</v>
      </c>
      <c r="M2232" s="67">
        <v>0</v>
      </c>
      <c r="N2232" s="68">
        <f t="shared" si="139"/>
        <v>320832</v>
      </c>
      <c r="O2232" s="69">
        <f t="shared" si="138"/>
        <v>320832</v>
      </c>
      <c r="P2232" s="42" t="str">
        <f>IFERROR(VLOOKUP(J2232,'Mã NV'!$B:$C,2,0),"")</f>
        <v>XE01653</v>
      </c>
      <c r="Q2232" s="70" t="str">
        <f>IFERROR(VLOOKUP(I2232,'Mã NV'!$J:$K,2,0),"")</f>
        <v>2.5T</v>
      </c>
    </row>
    <row r="2233" customHeight="1" spans="1:19">
      <c r="A2233" s="63">
        <f t="shared" si="137"/>
        <v>2225</v>
      </c>
      <c r="B2233" s="64">
        <v>46167</v>
      </c>
      <c r="D2233" s="66" t="s">
        <v>58</v>
      </c>
      <c r="E2233" s="66" t="s">
        <v>58</v>
      </c>
      <c r="F2233" s="66" t="s">
        <v>985</v>
      </c>
      <c r="G2233" s="66" t="s">
        <v>1076</v>
      </c>
      <c r="H2233" s="66" t="s">
        <v>1090</v>
      </c>
      <c r="I2233" s="66" t="s">
        <v>133</v>
      </c>
      <c r="J2233" s="66" t="s">
        <v>347</v>
      </c>
      <c r="K2233" s="66" t="s">
        <v>747</v>
      </c>
      <c r="L2233" s="67">
        <v>445452</v>
      </c>
      <c r="M2233" s="67">
        <v>0</v>
      </c>
      <c r="N2233" s="68">
        <f t="shared" si="139"/>
        <v>445452</v>
      </c>
      <c r="O2233" s="69">
        <f t="shared" si="138"/>
        <v>445452</v>
      </c>
      <c r="P2233" s="42" t="str">
        <f>IFERROR(VLOOKUP(J2233,'Mã NV'!$B:$C,2,0),"")</f>
        <v>XE01653</v>
      </c>
      <c r="Q2233" s="70" t="str">
        <f>IFERROR(VLOOKUP(I2233,'Mã NV'!$J:$K,2,0),"")</f>
        <v>2.5T</v>
      </c>
    </row>
    <row r="2234" customHeight="1" spans="1:19">
      <c r="A2234" s="63">
        <f t="shared" si="137"/>
        <v>2226</v>
      </c>
      <c r="B2234" s="64">
        <v>46167</v>
      </c>
      <c r="D2234" s="66" t="s">
        <v>58</v>
      </c>
      <c r="E2234" s="66" t="s">
        <v>58</v>
      </c>
      <c r="F2234" s="66" t="s">
        <v>985</v>
      </c>
      <c r="G2234" s="66" t="s">
        <v>1076</v>
      </c>
      <c r="H2234" s="66" t="s">
        <v>1102</v>
      </c>
      <c r="I2234" s="66" t="s">
        <v>134</v>
      </c>
      <c r="J2234" s="66" t="s">
        <v>359</v>
      </c>
      <c r="K2234" s="66" t="s">
        <v>747</v>
      </c>
      <c r="L2234" s="67">
        <v>498482</v>
      </c>
      <c r="M2234" s="67">
        <v>0</v>
      </c>
      <c r="N2234" s="68">
        <f t="shared" si="139"/>
        <v>498482</v>
      </c>
      <c r="O2234" s="69">
        <f t="shared" si="138"/>
        <v>498482</v>
      </c>
      <c r="P2234" s="42" t="str">
        <f>IFERROR(VLOOKUP(J2234,'Mã NV'!$B:$C,2,0),"")</f>
        <v>XE01639</v>
      </c>
      <c r="Q2234" s="70" t="str">
        <f>IFERROR(VLOOKUP(I2234,'Mã NV'!$J:$K,2,0),"")</f>
        <v>2.5T Lạnh</v>
      </c>
    </row>
    <row r="2235" customHeight="1" spans="1:19">
      <c r="A2235" s="63">
        <f t="shared" si="137"/>
        <v>2227</v>
      </c>
      <c r="B2235" s="64">
        <v>46167</v>
      </c>
      <c r="D2235" s="66" t="s">
        <v>58</v>
      </c>
      <c r="E2235" s="66" t="s">
        <v>58</v>
      </c>
      <c r="F2235" s="66" t="s">
        <v>985</v>
      </c>
      <c r="G2235" s="66" t="s">
        <v>1076</v>
      </c>
      <c r="H2235" s="66" t="s">
        <v>1089</v>
      </c>
      <c r="I2235" s="66" t="s">
        <v>323</v>
      </c>
      <c r="J2235" s="66" t="s">
        <v>321</v>
      </c>
      <c r="K2235" s="66" t="s">
        <v>747</v>
      </c>
      <c r="L2235" s="67">
        <v>511740</v>
      </c>
      <c r="M2235" s="67">
        <v>0</v>
      </c>
      <c r="N2235" s="68">
        <f t="shared" si="139"/>
        <v>511740</v>
      </c>
      <c r="O2235" s="69">
        <f t="shared" si="138"/>
        <v>511740</v>
      </c>
      <c r="P2235" s="42" t="str">
        <f>IFERROR(VLOOKUP(J2235,'Mã NV'!$B:$C,2,0),"")</f>
        <v>XE01537</v>
      </c>
      <c r="Q2235" s="70" t="str">
        <f>IFERROR(VLOOKUP(I2235,'Mã NV'!$J:$K,2,0),"")</f>
        <v>2.5T</v>
      </c>
    </row>
    <row r="2236" customHeight="1" spans="1:19">
      <c r="A2236" s="63">
        <f t="shared" si="137"/>
        <v>2228</v>
      </c>
      <c r="B2236" s="64"/>
      <c r="D2236" s="41" t="s">
        <v>256</v>
      </c>
      <c r="E2236" s="41" t="s">
        <v>256</v>
      </c>
      <c r="I2236" s="39" t="s">
        <v>255</v>
      </c>
      <c r="J2236" s="43" t="s">
        <v>253</v>
      </c>
      <c r="K2236" s="66" t="s">
        <v>747</v>
      </c>
      <c r="L2236" s="44">
        <v>146625000</v>
      </c>
      <c r="N2236" s="68">
        <f t="shared" si="139"/>
        <v>146625000</v>
      </c>
      <c r="O2236" s="69">
        <f t="shared" si="138"/>
        <v>146625000</v>
      </c>
      <c r="P2236" s="42" t="str">
        <f>IFERROR(VLOOKUP(J2236,'Mã NV'!$B:$C,2,0),"")</f>
        <v>XE00171</v>
      </c>
      <c r="Q2236" s="70" t="str">
        <f>IFERROR(VLOOKUP(I2236,'Mã NV'!$J:$K,2,0),"")</f>
        <v>3.5T</v>
      </c>
    </row>
    <row r="2237" customHeight="1" spans="1:19">
      <c r="A2237" s="63">
        <f t="shared" si="137"/>
        <v>2229</v>
      </c>
      <c r="B2237" s="64"/>
      <c r="D2237" s="41" t="s">
        <v>256</v>
      </c>
      <c r="E2237" s="41" t="s">
        <v>256</v>
      </c>
      <c r="I2237" s="39" t="s">
        <v>263</v>
      </c>
      <c r="J2237" s="43" t="s">
        <v>258</v>
      </c>
      <c r="K2237" s="66" t="s">
        <v>747</v>
      </c>
      <c r="L2237" s="44">
        <v>4550000</v>
      </c>
      <c r="N2237" s="68">
        <f t="shared" si="139"/>
        <v>4550000</v>
      </c>
      <c r="O2237" s="69">
        <f t="shared" si="138"/>
        <v>4550000</v>
      </c>
      <c r="P2237" s="42" t="str">
        <f>IFERROR(VLOOKUP(J2237,'Mã NV'!$B:$C,2,0),"")</f>
        <v>XE00842</v>
      </c>
      <c r="Q2237" s="70" t="str">
        <f>IFERROR(VLOOKUP(I2237,'Mã NV'!$J:$K,2,0),"")</f>
        <v>1.5T</v>
      </c>
    </row>
    <row r="2238" customHeight="1" spans="1:19">
      <c r="A2238" s="63">
        <f t="shared" si="137"/>
        <v>2230</v>
      </c>
      <c r="B2238" s="64"/>
      <c r="D2238" s="41" t="s">
        <v>256</v>
      </c>
      <c r="E2238" s="41" t="s">
        <v>256</v>
      </c>
      <c r="I2238" s="39" t="s">
        <v>260</v>
      </c>
      <c r="J2238" s="43" t="s">
        <v>258</v>
      </c>
      <c r="K2238" s="66" t="s">
        <v>747</v>
      </c>
      <c r="L2238" s="44">
        <v>13156000</v>
      </c>
      <c r="N2238" s="68">
        <f t="shared" si="139"/>
        <v>13156000</v>
      </c>
      <c r="O2238" s="69">
        <f t="shared" si="138"/>
        <v>13156000</v>
      </c>
      <c r="P2238" s="42" t="str">
        <f>IFERROR(VLOOKUP(J2238,'Mã NV'!$B:$C,2,0),"")</f>
        <v>XE00842</v>
      </c>
      <c r="Q2238" s="70" t="str">
        <f>IFERROR(VLOOKUP(I2238,'Mã NV'!$J:$K,2,0),"")</f>
        <v>1.5T</v>
      </c>
    </row>
    <row r="2239" customHeight="1" spans="1:19">
      <c r="A2239" s="63">
        <f t="shared" si="137"/>
        <v>2231</v>
      </c>
      <c r="B2239" s="64"/>
      <c r="D2239" s="41" t="s">
        <v>256</v>
      </c>
      <c r="E2239" s="41" t="s">
        <v>256</v>
      </c>
      <c r="I2239" s="39" t="s">
        <v>262</v>
      </c>
      <c r="J2239" s="43" t="s">
        <v>258</v>
      </c>
      <c r="K2239" s="66" t="s">
        <v>747</v>
      </c>
      <c r="L2239" s="44">
        <v>84483000</v>
      </c>
      <c r="N2239" s="68">
        <f t="shared" si="139"/>
        <v>84483000</v>
      </c>
      <c r="O2239" s="69">
        <f t="shared" si="138"/>
        <v>84483000</v>
      </c>
      <c r="P2239" s="42" t="str">
        <f>IFERROR(VLOOKUP(J2239,'Mã NV'!$B:$C,2,0),"")</f>
        <v>XE00842</v>
      </c>
      <c r="Q2239" s="70" t="str">
        <f>IFERROR(VLOOKUP(I2239,'Mã NV'!$J:$K,2,0),"")</f>
        <v>1.5T</v>
      </c>
    </row>
    <row r="2240" customHeight="1" spans="1:19">
      <c r="A2240" s="63">
        <f t="shared" si="137"/>
        <v>2232</v>
      </c>
      <c r="B2240" s="64">
        <v>46168</v>
      </c>
      <c r="D2240" s="66" t="s">
        <v>100</v>
      </c>
      <c r="E2240" s="66" t="s">
        <v>100</v>
      </c>
      <c r="F2240" s="66" t="s">
        <v>744</v>
      </c>
      <c r="G2240" s="66" t="s">
        <v>994</v>
      </c>
      <c r="H2240" s="66" t="s">
        <v>996</v>
      </c>
      <c r="I2240" s="66" t="s">
        <v>320</v>
      </c>
      <c r="J2240" s="66" t="s">
        <v>318</v>
      </c>
      <c r="K2240" s="66" t="s">
        <v>747</v>
      </c>
      <c r="L2240" s="67">
        <v>3074000</v>
      </c>
      <c r="N2240" s="68">
        <f t="shared" si="139"/>
        <v>3074000</v>
      </c>
      <c r="O2240" s="69">
        <f t="shared" si="138"/>
        <v>3074000</v>
      </c>
      <c r="P2240" s="42" t="str">
        <f>IFERROR(VLOOKUP(J2240,'Mã NV'!$B:$C,2,0),"")</f>
        <v>XE01597</v>
      </c>
      <c r="Q2240" s="70" t="str">
        <f>IFERROR(VLOOKUP(I2240,'Mã NV'!$J:$K,2,0),"")</f>
        <v>2T5 Lạnh </v>
      </c>
      <c r="S2240" s="44">
        <f t="shared" ref="S2240:S2250" si="140">L2240*3%</f>
        <v>92220</v>
      </c>
    </row>
    <row r="2241" customHeight="1" spans="1:19">
      <c r="A2241" s="63">
        <f t="shared" si="137"/>
        <v>2233</v>
      </c>
      <c r="B2241" s="64">
        <v>46168</v>
      </c>
      <c r="D2241" s="66" t="s">
        <v>100</v>
      </c>
      <c r="E2241" s="66" t="s">
        <v>100</v>
      </c>
      <c r="F2241" s="66" t="s">
        <v>744</v>
      </c>
      <c r="G2241" s="66" t="s">
        <v>994</v>
      </c>
      <c r="H2241" s="66" t="s">
        <v>997</v>
      </c>
      <c r="I2241" s="66" t="s">
        <v>392</v>
      </c>
      <c r="J2241" s="66" t="s">
        <v>390</v>
      </c>
      <c r="K2241" s="66" t="s">
        <v>747</v>
      </c>
      <c r="L2241" s="67">
        <v>7711000</v>
      </c>
      <c r="N2241" s="68">
        <f t="shared" si="139"/>
        <v>7711000</v>
      </c>
      <c r="O2241" s="69">
        <f t="shared" si="138"/>
        <v>7711000</v>
      </c>
      <c r="P2241" s="42" t="str">
        <f>IFERROR(VLOOKUP(J2241,'Mã NV'!$B:$C,2,0),"")</f>
        <v>XE01665</v>
      </c>
      <c r="Q2241" s="70" t="str">
        <f>IFERROR(VLOOKUP(I2241,'Mã NV'!$J:$K,2,0),"")</f>
        <v>2T5 Lạnh </v>
      </c>
      <c r="S2241" s="44">
        <f t="shared" si="140"/>
        <v>231330</v>
      </c>
    </row>
    <row r="2242" customHeight="1" spans="1:19">
      <c r="A2242" s="63">
        <f t="shared" si="137"/>
        <v>2234</v>
      </c>
      <c r="B2242" s="64">
        <v>46169</v>
      </c>
      <c r="D2242" s="66" t="s">
        <v>100</v>
      </c>
      <c r="E2242" s="66" t="s">
        <v>100</v>
      </c>
      <c r="F2242" s="66" t="s">
        <v>744</v>
      </c>
      <c r="G2242" s="66" t="s">
        <v>994</v>
      </c>
      <c r="H2242" s="66" t="s">
        <v>996</v>
      </c>
      <c r="I2242" s="66" t="s">
        <v>353</v>
      </c>
      <c r="J2242" s="66" t="s">
        <v>351</v>
      </c>
      <c r="K2242" s="66" t="s">
        <v>747</v>
      </c>
      <c r="L2242" s="67">
        <v>3074000</v>
      </c>
      <c r="N2242" s="68">
        <f t="shared" si="139"/>
        <v>3074000</v>
      </c>
      <c r="O2242" s="69">
        <f t="shared" si="138"/>
        <v>3074000</v>
      </c>
      <c r="P2242" s="42" t="str">
        <f>IFERROR(VLOOKUP(J2242,'Mã NV'!$B:$C,2,0),"")</f>
        <v>XE01642</v>
      </c>
      <c r="Q2242" s="70" t="str">
        <f>IFERROR(VLOOKUP(I2242,'Mã NV'!$J:$K,2,0),"")</f>
        <v>2T5 Lạnh </v>
      </c>
      <c r="S2242" s="44">
        <f t="shared" si="140"/>
        <v>92220</v>
      </c>
    </row>
    <row r="2243" customHeight="1" spans="1:19">
      <c r="A2243" s="63">
        <f t="shared" si="137"/>
        <v>2235</v>
      </c>
      <c r="B2243" s="64">
        <v>46169</v>
      </c>
      <c r="D2243" s="66" t="s">
        <v>100</v>
      </c>
      <c r="E2243" s="66" t="s">
        <v>100</v>
      </c>
      <c r="F2243" s="66" t="s">
        <v>744</v>
      </c>
      <c r="G2243" s="66" t="s">
        <v>994</v>
      </c>
      <c r="H2243" s="66" t="s">
        <v>997</v>
      </c>
      <c r="I2243" s="66" t="s">
        <v>320</v>
      </c>
      <c r="J2243" s="66" t="s">
        <v>318</v>
      </c>
      <c r="K2243" s="66" t="s">
        <v>747</v>
      </c>
      <c r="L2243" s="67">
        <v>7711000</v>
      </c>
      <c r="N2243" s="68">
        <f t="shared" si="139"/>
        <v>7711000</v>
      </c>
      <c r="O2243" s="69">
        <f t="shared" si="138"/>
        <v>7711000</v>
      </c>
      <c r="P2243" s="42" t="str">
        <f>IFERROR(VLOOKUP(J2243,'Mã NV'!$B:$C,2,0),"")</f>
        <v>XE01597</v>
      </c>
      <c r="Q2243" s="70" t="str">
        <f>IFERROR(VLOOKUP(I2243,'Mã NV'!$J:$K,2,0),"")</f>
        <v>2T5 Lạnh </v>
      </c>
      <c r="S2243" s="44">
        <f t="shared" si="140"/>
        <v>231330</v>
      </c>
    </row>
    <row r="2244" customHeight="1" spans="1:19">
      <c r="A2244" s="63">
        <f t="shared" si="137"/>
        <v>2236</v>
      </c>
      <c r="B2244" s="64">
        <v>46169</v>
      </c>
      <c r="D2244" s="66" t="s">
        <v>100</v>
      </c>
      <c r="E2244" s="66" t="s">
        <v>100</v>
      </c>
      <c r="F2244" s="66" t="s">
        <v>744</v>
      </c>
      <c r="G2244" s="66" t="s">
        <v>994</v>
      </c>
      <c r="H2244" s="66" t="s">
        <v>998</v>
      </c>
      <c r="I2244" s="66" t="s">
        <v>97</v>
      </c>
      <c r="J2244" s="66" t="s">
        <v>95</v>
      </c>
      <c r="K2244" s="66" t="s">
        <v>747</v>
      </c>
      <c r="L2244" s="67">
        <v>6009000</v>
      </c>
      <c r="N2244" s="68">
        <f t="shared" si="139"/>
        <v>6009000</v>
      </c>
      <c r="O2244" s="69">
        <f t="shared" si="138"/>
        <v>6009000</v>
      </c>
      <c r="P2244" s="42" t="str">
        <f>IFERROR(VLOOKUP(J2244,'Mã NV'!$B:$C,2,0),"")</f>
        <v>XE01379</v>
      </c>
      <c r="Q2244" s="70" t="str">
        <f>IFERROR(VLOOKUP(I2244,'Mã NV'!$J:$K,2,0),"")</f>
        <v> 3T5 Lạnh </v>
      </c>
      <c r="S2244" s="44">
        <f t="shared" si="140"/>
        <v>180270</v>
      </c>
    </row>
    <row r="2245" customHeight="1" spans="1:19">
      <c r="A2245" s="63">
        <f t="shared" si="137"/>
        <v>2237</v>
      </c>
      <c r="B2245" s="64">
        <v>46170</v>
      </c>
      <c r="D2245" s="66" t="s">
        <v>100</v>
      </c>
      <c r="E2245" s="66" t="s">
        <v>100</v>
      </c>
      <c r="F2245" s="66" t="s">
        <v>744</v>
      </c>
      <c r="G2245" s="66" t="s">
        <v>994</v>
      </c>
      <c r="H2245" s="66" t="s">
        <v>995</v>
      </c>
      <c r="I2245" s="66" t="s">
        <v>320</v>
      </c>
      <c r="J2245" s="66" t="s">
        <v>318</v>
      </c>
      <c r="K2245" s="66" t="s">
        <v>747</v>
      </c>
      <c r="L2245" s="67">
        <v>2765000</v>
      </c>
      <c r="N2245" s="68">
        <f t="shared" si="139"/>
        <v>2765000</v>
      </c>
      <c r="O2245" s="69">
        <f t="shared" si="138"/>
        <v>2765000</v>
      </c>
      <c r="P2245" s="42" t="str">
        <f>IFERROR(VLOOKUP(J2245,'Mã NV'!$B:$C,2,0),"")</f>
        <v>XE01597</v>
      </c>
      <c r="Q2245" s="70" t="str">
        <f>IFERROR(VLOOKUP(I2245,'Mã NV'!$J:$K,2,0),"")</f>
        <v>2T5 Lạnh </v>
      </c>
      <c r="S2245" s="44">
        <f t="shared" si="140"/>
        <v>82950</v>
      </c>
    </row>
    <row r="2246" customHeight="1" spans="1:19">
      <c r="A2246" s="63">
        <f t="shared" si="137"/>
        <v>2238</v>
      </c>
      <c r="B2246" s="64">
        <v>46170</v>
      </c>
      <c r="D2246" s="66" t="s">
        <v>100</v>
      </c>
      <c r="E2246" s="66" t="s">
        <v>100</v>
      </c>
      <c r="F2246" s="66" t="s">
        <v>744</v>
      </c>
      <c r="G2246" s="66" t="s">
        <v>994</v>
      </c>
      <c r="H2246" s="66" t="s">
        <v>996</v>
      </c>
      <c r="I2246" s="66" t="s">
        <v>392</v>
      </c>
      <c r="J2246" s="66" t="s">
        <v>390</v>
      </c>
      <c r="K2246" s="66" t="s">
        <v>747</v>
      </c>
      <c r="L2246" s="67">
        <v>3074000</v>
      </c>
      <c r="N2246" s="68">
        <f t="shared" si="139"/>
        <v>3074000</v>
      </c>
      <c r="O2246" s="69">
        <f t="shared" si="138"/>
        <v>3074000</v>
      </c>
      <c r="P2246" s="42" t="str">
        <f>IFERROR(VLOOKUP(J2246,'Mã NV'!$B:$C,2,0),"")</f>
        <v>XE01665</v>
      </c>
      <c r="Q2246" s="70" t="str">
        <f>IFERROR(VLOOKUP(I2246,'Mã NV'!$J:$K,2,0),"")</f>
        <v>2T5 Lạnh </v>
      </c>
      <c r="S2246" s="44">
        <f t="shared" si="140"/>
        <v>92220</v>
      </c>
    </row>
    <row r="2247" customHeight="1" spans="1:19">
      <c r="A2247" s="63">
        <f t="shared" si="137"/>
        <v>2239</v>
      </c>
      <c r="B2247" s="64">
        <v>46171</v>
      </c>
      <c r="D2247" s="66" t="s">
        <v>100</v>
      </c>
      <c r="E2247" s="66" t="s">
        <v>100</v>
      </c>
      <c r="F2247" s="66" t="s">
        <v>744</v>
      </c>
      <c r="G2247" s="66" t="s">
        <v>994</v>
      </c>
      <c r="H2247" s="66" t="s">
        <v>1000</v>
      </c>
      <c r="I2247" s="66" t="s">
        <v>97</v>
      </c>
      <c r="J2247" s="66" t="s">
        <v>95</v>
      </c>
      <c r="K2247" s="66" t="s">
        <v>747</v>
      </c>
      <c r="L2247" s="67">
        <v>2468000</v>
      </c>
      <c r="N2247" s="68">
        <f t="shared" si="139"/>
        <v>2468000</v>
      </c>
      <c r="O2247" s="69">
        <f t="shared" si="138"/>
        <v>2468000</v>
      </c>
      <c r="P2247" s="42" t="str">
        <f>IFERROR(VLOOKUP(J2247,'Mã NV'!$B:$C,2,0),"")</f>
        <v>XE01379</v>
      </c>
      <c r="Q2247" s="70" t="str">
        <f>IFERROR(VLOOKUP(I2247,'Mã NV'!$J:$K,2,0),"")</f>
        <v> 3T5 Lạnh </v>
      </c>
      <c r="S2247" s="44">
        <f t="shared" si="140"/>
        <v>74040</v>
      </c>
    </row>
    <row r="2248" customHeight="1" spans="1:19">
      <c r="A2248" s="63">
        <f t="shared" si="137"/>
        <v>2240</v>
      </c>
      <c r="B2248" s="64">
        <v>46171</v>
      </c>
      <c r="D2248" s="66" t="s">
        <v>100</v>
      </c>
      <c r="E2248" s="66" t="s">
        <v>100</v>
      </c>
      <c r="F2248" s="66" t="s">
        <v>744</v>
      </c>
      <c r="G2248" s="66" t="s">
        <v>994</v>
      </c>
      <c r="H2248" s="66" t="s">
        <v>996</v>
      </c>
      <c r="I2248" s="66" t="s">
        <v>392</v>
      </c>
      <c r="J2248" s="66" t="s">
        <v>390</v>
      </c>
      <c r="K2248" s="66" t="s">
        <v>747</v>
      </c>
      <c r="L2248" s="67">
        <v>3074000</v>
      </c>
      <c r="N2248" s="68">
        <f t="shared" si="139"/>
        <v>3074000</v>
      </c>
      <c r="O2248" s="69">
        <f t="shared" si="138"/>
        <v>3074000</v>
      </c>
      <c r="P2248" s="42" t="str">
        <f>IFERROR(VLOOKUP(J2248,'Mã NV'!$B:$C,2,0),"")</f>
        <v>XE01665</v>
      </c>
      <c r="Q2248" s="70" t="str">
        <f>IFERROR(VLOOKUP(I2248,'Mã NV'!$J:$K,2,0),"")</f>
        <v>2T5 Lạnh </v>
      </c>
      <c r="S2248" s="44">
        <f t="shared" si="140"/>
        <v>92220</v>
      </c>
    </row>
    <row r="2249" customHeight="1" spans="1:19">
      <c r="A2249" s="63">
        <f t="shared" si="137"/>
        <v>2241</v>
      </c>
      <c r="B2249" s="64">
        <v>46171</v>
      </c>
      <c r="D2249" s="66" t="s">
        <v>100</v>
      </c>
      <c r="E2249" s="66" t="s">
        <v>100</v>
      </c>
      <c r="F2249" s="66" t="s">
        <v>744</v>
      </c>
      <c r="G2249" s="66" t="s">
        <v>994</v>
      </c>
      <c r="H2249" s="66" t="s">
        <v>997</v>
      </c>
      <c r="I2249" s="66" t="s">
        <v>97</v>
      </c>
      <c r="J2249" s="66" t="s">
        <v>95</v>
      </c>
      <c r="K2249" s="66" t="s">
        <v>747</v>
      </c>
      <c r="L2249" s="67">
        <v>7711000</v>
      </c>
      <c r="N2249" s="68">
        <f t="shared" si="139"/>
        <v>7711000</v>
      </c>
      <c r="O2249" s="69">
        <f t="shared" si="138"/>
        <v>7711000</v>
      </c>
      <c r="P2249" s="42" t="str">
        <f>IFERROR(VLOOKUP(J2249,'Mã NV'!$B:$C,2,0),"")</f>
        <v>XE01379</v>
      </c>
      <c r="Q2249" s="70" t="str">
        <f>IFERROR(VLOOKUP(I2249,'Mã NV'!$J:$K,2,0),"")</f>
        <v> 3T5 Lạnh </v>
      </c>
      <c r="S2249" s="44">
        <f t="shared" si="140"/>
        <v>231330</v>
      </c>
    </row>
    <row r="2250" customHeight="1" spans="1:19">
      <c r="A2250" s="63">
        <f t="shared" si="137"/>
        <v>2242</v>
      </c>
      <c r="B2250" s="64">
        <v>46171</v>
      </c>
      <c r="D2250" s="66" t="s">
        <v>100</v>
      </c>
      <c r="E2250" s="66" t="s">
        <v>100</v>
      </c>
      <c r="F2250" s="66" t="s">
        <v>744</v>
      </c>
      <c r="G2250" s="66" t="s">
        <v>994</v>
      </c>
      <c r="H2250" s="66" t="s">
        <v>998</v>
      </c>
      <c r="I2250" s="66" t="s">
        <v>353</v>
      </c>
      <c r="J2250" s="66" t="s">
        <v>351</v>
      </c>
      <c r="K2250" s="66" t="s">
        <v>747</v>
      </c>
      <c r="L2250" s="67">
        <v>6009000</v>
      </c>
      <c r="N2250" s="68">
        <f t="shared" si="139"/>
        <v>6009000</v>
      </c>
      <c r="O2250" s="69">
        <f t="shared" si="138"/>
        <v>6009000</v>
      </c>
      <c r="P2250" s="42" t="str">
        <f>IFERROR(VLOOKUP(J2250,'Mã NV'!$B:$C,2,0),"")</f>
        <v>XE01642</v>
      </c>
      <c r="Q2250" s="70" t="str">
        <f>IFERROR(VLOOKUP(I2250,'Mã NV'!$J:$K,2,0),"")</f>
        <v>2T5 Lạnh </v>
      </c>
      <c r="S2250" s="44">
        <f t="shared" si="140"/>
        <v>180270</v>
      </c>
    </row>
    <row r="2251" customHeight="1" spans="1:19">
      <c r="A2251" s="63">
        <f t="shared" si="137"/>
        <v>2243</v>
      </c>
      <c r="B2251" s="64">
        <v>46168</v>
      </c>
      <c r="D2251" s="66" t="s">
        <v>58</v>
      </c>
      <c r="E2251" s="66" t="s">
        <v>58</v>
      </c>
      <c r="F2251" s="66" t="s">
        <v>985</v>
      </c>
      <c r="G2251" s="66" t="s">
        <v>1076</v>
      </c>
      <c r="H2251" s="66" t="s">
        <v>1110</v>
      </c>
      <c r="I2251" s="66" t="s">
        <v>403</v>
      </c>
      <c r="J2251" s="66" t="s">
        <v>401</v>
      </c>
      <c r="K2251" s="66" t="s">
        <v>747</v>
      </c>
      <c r="L2251" s="44">
        <v>700000</v>
      </c>
      <c r="N2251" s="68">
        <f t="shared" si="139"/>
        <v>700000</v>
      </c>
      <c r="O2251" s="69">
        <f t="shared" si="138"/>
        <v>700000</v>
      </c>
      <c r="P2251" s="42" t="str">
        <f>IFERROR(VLOOKUP(J2251,'Mã NV'!$B:$C,2,0),"")</f>
        <v>XE01466</v>
      </c>
      <c r="Q2251" s="70" t="str">
        <f>IFERROR(VLOOKUP(I2251,'Mã NV'!$J:$K,2,0),"")</f>
        <v>3.5T</v>
      </c>
    </row>
    <row r="2252" customHeight="1" spans="1:19">
      <c r="A2252" s="63">
        <f t="shared" si="137"/>
        <v>2244</v>
      </c>
      <c r="B2252" s="64">
        <v>46168</v>
      </c>
      <c r="D2252" s="66" t="s">
        <v>58</v>
      </c>
      <c r="E2252" s="66" t="s">
        <v>58</v>
      </c>
      <c r="F2252" s="66" t="s">
        <v>985</v>
      </c>
      <c r="G2252" s="66" t="s">
        <v>1076</v>
      </c>
      <c r="H2252" s="66" t="s">
        <v>1106</v>
      </c>
      <c r="I2252" s="66" t="s">
        <v>57</v>
      </c>
      <c r="J2252" s="66" t="s">
        <v>55</v>
      </c>
      <c r="K2252" s="66" t="s">
        <v>747</v>
      </c>
      <c r="L2252" s="44">
        <v>543557.5</v>
      </c>
      <c r="N2252" s="68">
        <f t="shared" si="139"/>
        <v>543557.5</v>
      </c>
      <c r="O2252" s="69">
        <f t="shared" si="138"/>
        <v>543557.5</v>
      </c>
      <c r="P2252" s="42" t="str">
        <f>IFERROR(VLOOKUP(J2252,'Mã NV'!$B:$C,2,0),"")</f>
        <v>XE00768</v>
      </c>
      <c r="Q2252" s="70" t="str">
        <f>IFERROR(VLOOKUP(I2252,'Mã NV'!$J:$K,2,0),"")</f>
        <v>2.5T</v>
      </c>
    </row>
    <row r="2253" customHeight="1" spans="1:19">
      <c r="A2253" s="63">
        <f t="shared" si="137"/>
        <v>2245</v>
      </c>
      <c r="B2253" s="64">
        <v>46168</v>
      </c>
      <c r="D2253" s="66" t="s">
        <v>58</v>
      </c>
      <c r="E2253" s="66" t="s">
        <v>58</v>
      </c>
      <c r="F2253" s="66" t="s">
        <v>985</v>
      </c>
      <c r="G2253" s="66" t="s">
        <v>1076</v>
      </c>
      <c r="H2253" s="66" t="s">
        <v>1092</v>
      </c>
      <c r="I2253" s="66" t="s">
        <v>177</v>
      </c>
      <c r="J2253" s="66" t="s">
        <v>174</v>
      </c>
      <c r="K2253" s="66" t="s">
        <v>747</v>
      </c>
      <c r="L2253" s="44">
        <v>169696</v>
      </c>
      <c r="N2253" s="68">
        <f t="shared" si="139"/>
        <v>169696</v>
      </c>
      <c r="O2253" s="69">
        <f t="shared" si="138"/>
        <v>169696</v>
      </c>
      <c r="P2253" s="42" t="str">
        <f>IFERROR(VLOOKUP(J2253,'Mã NV'!$B:$C,2,0),"")</f>
        <v>XE00975</v>
      </c>
      <c r="Q2253" s="70" t="str">
        <f>IFERROR(VLOOKUP(I2253,'Mã NV'!$J:$K,2,0),"")</f>
        <v>2.5T Lạnh</v>
      </c>
    </row>
    <row r="2254" customHeight="1" spans="1:19">
      <c r="A2254" s="63">
        <f t="shared" si="137"/>
        <v>2246</v>
      </c>
      <c r="B2254" s="64">
        <v>46168</v>
      </c>
      <c r="D2254" s="66" t="s">
        <v>58</v>
      </c>
      <c r="E2254" s="66" t="s">
        <v>58</v>
      </c>
      <c r="F2254" s="66" t="s">
        <v>985</v>
      </c>
      <c r="G2254" s="66" t="s">
        <v>1076</v>
      </c>
      <c r="H2254" s="66" t="s">
        <v>1093</v>
      </c>
      <c r="I2254" s="66" t="s">
        <v>177</v>
      </c>
      <c r="J2254" s="66" t="s">
        <v>174</v>
      </c>
      <c r="K2254" s="66" t="s">
        <v>747</v>
      </c>
      <c r="L2254" s="44">
        <v>164393</v>
      </c>
      <c r="N2254" s="68">
        <f t="shared" si="139"/>
        <v>164393</v>
      </c>
      <c r="O2254" s="69">
        <f t="shared" si="138"/>
        <v>164393</v>
      </c>
      <c r="P2254" s="42" t="str">
        <f>IFERROR(VLOOKUP(J2254,'Mã NV'!$B:$C,2,0),"")</f>
        <v>XE00975</v>
      </c>
      <c r="Q2254" s="70" t="str">
        <f>IFERROR(VLOOKUP(I2254,'Mã NV'!$J:$K,2,0),"")</f>
        <v>2.5T Lạnh</v>
      </c>
    </row>
    <row r="2255" customHeight="1" spans="1:19">
      <c r="A2255" s="63">
        <f t="shared" si="137"/>
        <v>2247</v>
      </c>
      <c r="B2255" s="64">
        <v>46168</v>
      </c>
      <c r="D2255" s="66" t="s">
        <v>58</v>
      </c>
      <c r="E2255" s="66" t="s">
        <v>58</v>
      </c>
      <c r="F2255" s="66" t="s">
        <v>985</v>
      </c>
      <c r="G2255" s="66" t="s">
        <v>1076</v>
      </c>
      <c r="H2255" s="66" t="s">
        <v>1090</v>
      </c>
      <c r="I2255" s="66" t="s">
        <v>177</v>
      </c>
      <c r="J2255" s="66" t="s">
        <v>174</v>
      </c>
      <c r="K2255" s="66" t="s">
        <v>747</v>
      </c>
      <c r="L2255" s="44">
        <v>174999</v>
      </c>
      <c r="N2255" s="68">
        <f t="shared" si="139"/>
        <v>174999</v>
      </c>
      <c r="O2255" s="69">
        <f t="shared" si="138"/>
        <v>174999</v>
      </c>
      <c r="P2255" s="42" t="str">
        <f>IFERROR(VLOOKUP(J2255,'Mã NV'!$B:$C,2,0),"")</f>
        <v>XE00975</v>
      </c>
      <c r="Q2255" s="70" t="str">
        <f>IFERROR(VLOOKUP(I2255,'Mã NV'!$J:$K,2,0),"")</f>
        <v>2.5T Lạnh</v>
      </c>
    </row>
    <row r="2256" customHeight="1" spans="1:19">
      <c r="A2256" s="63">
        <f t="shared" si="137"/>
        <v>2248</v>
      </c>
      <c r="B2256" s="64">
        <v>46168</v>
      </c>
      <c r="D2256" s="66" t="s">
        <v>58</v>
      </c>
      <c r="E2256" s="66" t="s">
        <v>58</v>
      </c>
      <c r="F2256" s="66" t="s">
        <v>985</v>
      </c>
      <c r="G2256" s="66" t="s">
        <v>1076</v>
      </c>
      <c r="H2256" s="66" t="s">
        <v>1091</v>
      </c>
      <c r="I2256" s="66" t="s">
        <v>177</v>
      </c>
      <c r="J2256" s="66" t="s">
        <v>174</v>
      </c>
      <c r="K2256" s="66" t="s">
        <v>747</v>
      </c>
      <c r="L2256" s="44">
        <v>241286.5</v>
      </c>
      <c r="N2256" s="68">
        <f t="shared" si="139"/>
        <v>241286.5</v>
      </c>
      <c r="O2256" s="69">
        <f t="shared" si="138"/>
        <v>241286.5</v>
      </c>
      <c r="P2256" s="42" t="str">
        <f>IFERROR(VLOOKUP(J2256,'Mã NV'!$B:$C,2,0),"")</f>
        <v>XE00975</v>
      </c>
      <c r="Q2256" s="70" t="str">
        <f>IFERROR(VLOOKUP(I2256,'Mã NV'!$J:$K,2,0),"")</f>
        <v>2.5T Lạnh</v>
      </c>
    </row>
    <row r="2257" customHeight="1" spans="1:17">
      <c r="A2257" s="63">
        <f t="shared" ref="A2257:A2320" si="141">A2256+1</f>
        <v>2249</v>
      </c>
      <c r="B2257" s="64">
        <v>46168</v>
      </c>
      <c r="D2257" s="66" t="s">
        <v>58</v>
      </c>
      <c r="E2257" s="66" t="s">
        <v>58</v>
      </c>
      <c r="F2257" s="66" t="s">
        <v>985</v>
      </c>
      <c r="G2257" s="66" t="s">
        <v>1076</v>
      </c>
      <c r="H2257" s="66" t="s">
        <v>1089</v>
      </c>
      <c r="I2257" s="66" t="s">
        <v>57</v>
      </c>
      <c r="J2257" s="66" t="s">
        <v>55</v>
      </c>
      <c r="K2257" s="66" t="s">
        <v>747</v>
      </c>
      <c r="L2257" s="44">
        <v>233332</v>
      </c>
      <c r="N2257" s="68">
        <f t="shared" si="139"/>
        <v>233332</v>
      </c>
      <c r="O2257" s="69">
        <f t="shared" si="138"/>
        <v>233332</v>
      </c>
      <c r="P2257" s="42" t="str">
        <f>IFERROR(VLOOKUP(J2257,'Mã NV'!$B:$C,2,0),"")</f>
        <v>XE00768</v>
      </c>
      <c r="Q2257" s="70" t="str">
        <f>IFERROR(VLOOKUP(I2257,'Mã NV'!$J:$K,2,0),"")</f>
        <v>2.5T</v>
      </c>
    </row>
    <row r="2258" customHeight="1" spans="1:17">
      <c r="A2258" s="63">
        <f t="shared" si="141"/>
        <v>2250</v>
      </c>
      <c r="B2258" s="64">
        <v>46168</v>
      </c>
      <c r="D2258" s="66" t="s">
        <v>58</v>
      </c>
      <c r="E2258" s="66" t="s">
        <v>58</v>
      </c>
      <c r="F2258" s="66" t="s">
        <v>985</v>
      </c>
      <c r="G2258" s="66" t="s">
        <v>1076</v>
      </c>
      <c r="H2258" s="66" t="s">
        <v>1088</v>
      </c>
      <c r="I2258" s="66" t="s">
        <v>57</v>
      </c>
      <c r="J2258" s="66" t="s">
        <v>55</v>
      </c>
      <c r="K2258" s="66" t="s">
        <v>747</v>
      </c>
      <c r="L2258" s="44">
        <v>251892.5</v>
      </c>
      <c r="N2258" s="68">
        <f t="shared" si="139"/>
        <v>251892.5</v>
      </c>
      <c r="O2258" s="69">
        <f t="shared" si="138"/>
        <v>251892.5</v>
      </c>
      <c r="P2258" s="42" t="str">
        <f>IFERROR(VLOOKUP(J2258,'Mã NV'!$B:$C,2,0),"")</f>
        <v>XE00768</v>
      </c>
      <c r="Q2258" s="70" t="str">
        <f>IFERROR(VLOOKUP(I2258,'Mã NV'!$J:$K,2,0),"")</f>
        <v>2.5T</v>
      </c>
    </row>
    <row r="2259" customHeight="1" spans="1:17">
      <c r="A2259" s="63">
        <f t="shared" si="141"/>
        <v>2251</v>
      </c>
      <c r="B2259" s="64">
        <v>46168</v>
      </c>
      <c r="D2259" s="66" t="s">
        <v>58</v>
      </c>
      <c r="E2259" s="66" t="s">
        <v>58</v>
      </c>
      <c r="F2259" s="66" t="s">
        <v>985</v>
      </c>
      <c r="G2259" s="66" t="s">
        <v>1076</v>
      </c>
      <c r="H2259" s="66" t="s">
        <v>1090</v>
      </c>
      <c r="I2259" s="66" t="s">
        <v>57</v>
      </c>
      <c r="J2259" s="66" t="s">
        <v>55</v>
      </c>
      <c r="K2259" s="66" t="s">
        <v>747</v>
      </c>
      <c r="L2259" s="44">
        <v>177650.5</v>
      </c>
      <c r="N2259" s="68">
        <f t="shared" si="139"/>
        <v>177650.5</v>
      </c>
      <c r="O2259" s="69">
        <f t="shared" si="138"/>
        <v>177650.5</v>
      </c>
      <c r="P2259" s="42" t="str">
        <f>IFERROR(VLOOKUP(J2259,'Mã NV'!$B:$C,2,0),"")</f>
        <v>XE00768</v>
      </c>
      <c r="Q2259" s="70" t="str">
        <f>IFERROR(VLOOKUP(I2259,'Mã NV'!$J:$K,2,0),"")</f>
        <v>2.5T</v>
      </c>
    </row>
    <row r="2260" customHeight="1" spans="1:17">
      <c r="A2260" s="63">
        <f t="shared" si="141"/>
        <v>2252</v>
      </c>
      <c r="B2260" s="64">
        <v>46168</v>
      </c>
      <c r="D2260" s="66" t="s">
        <v>58</v>
      </c>
      <c r="E2260" s="66" t="s">
        <v>58</v>
      </c>
      <c r="F2260" s="66" t="s">
        <v>985</v>
      </c>
      <c r="G2260" s="66" t="s">
        <v>1076</v>
      </c>
      <c r="H2260" s="66" t="s">
        <v>1077</v>
      </c>
      <c r="I2260" s="66" t="s">
        <v>177</v>
      </c>
      <c r="J2260" s="66" t="s">
        <v>174</v>
      </c>
      <c r="K2260" s="66" t="s">
        <v>747</v>
      </c>
      <c r="L2260" s="44">
        <v>235983.5</v>
      </c>
      <c r="N2260" s="68">
        <f t="shared" si="139"/>
        <v>235983.5</v>
      </c>
      <c r="O2260" s="69">
        <f t="shared" si="138"/>
        <v>235983.5</v>
      </c>
      <c r="P2260" s="42" t="str">
        <f>IFERROR(VLOOKUP(J2260,'Mã NV'!$B:$C,2,0),"")</f>
        <v>XE00975</v>
      </c>
      <c r="Q2260" s="70" t="str">
        <f>IFERROR(VLOOKUP(I2260,'Mã NV'!$J:$K,2,0),"")</f>
        <v>2.5T Lạnh</v>
      </c>
    </row>
    <row r="2261" customHeight="1" spans="1:17">
      <c r="A2261" s="63">
        <f t="shared" si="141"/>
        <v>2253</v>
      </c>
      <c r="B2261" s="64">
        <v>46168</v>
      </c>
      <c r="D2261" s="66" t="s">
        <v>58</v>
      </c>
      <c r="E2261" s="66" t="s">
        <v>58</v>
      </c>
      <c r="F2261" s="66" t="s">
        <v>985</v>
      </c>
      <c r="G2261" s="66" t="s">
        <v>1076</v>
      </c>
      <c r="H2261" s="66" t="s">
        <v>1101</v>
      </c>
      <c r="I2261" s="66" t="s">
        <v>177</v>
      </c>
      <c r="J2261" s="66" t="s">
        <v>174</v>
      </c>
      <c r="K2261" s="66" t="s">
        <v>747</v>
      </c>
      <c r="L2261" s="44">
        <v>177650.5</v>
      </c>
      <c r="N2261" s="68">
        <f t="shared" si="139"/>
        <v>177650.5</v>
      </c>
      <c r="O2261" s="69">
        <f t="shared" si="138"/>
        <v>177650.5</v>
      </c>
      <c r="P2261" s="42" t="str">
        <f>IFERROR(VLOOKUP(J2261,'Mã NV'!$B:$C,2,0),"")</f>
        <v>XE00975</v>
      </c>
      <c r="Q2261" s="70" t="str">
        <f>IFERROR(VLOOKUP(I2261,'Mã NV'!$J:$K,2,0),"")</f>
        <v>2.5T Lạnh</v>
      </c>
    </row>
    <row r="2262" customHeight="1" spans="1:17">
      <c r="A2262" s="63">
        <f t="shared" si="141"/>
        <v>2254</v>
      </c>
      <c r="B2262" s="64">
        <v>46168</v>
      </c>
      <c r="D2262" s="66" t="s">
        <v>58</v>
      </c>
      <c r="E2262" s="66" t="s">
        <v>58</v>
      </c>
      <c r="F2262" s="66" t="s">
        <v>985</v>
      </c>
      <c r="G2262" s="66" t="s">
        <v>1076</v>
      </c>
      <c r="H2262" s="66" t="s">
        <v>1084</v>
      </c>
      <c r="I2262" s="66" t="s">
        <v>177</v>
      </c>
      <c r="J2262" s="66" t="s">
        <v>174</v>
      </c>
      <c r="K2262" s="66" t="s">
        <v>747</v>
      </c>
      <c r="L2262" s="44">
        <v>204165.5</v>
      </c>
      <c r="N2262" s="68">
        <f t="shared" si="139"/>
        <v>204165.5</v>
      </c>
      <c r="O2262" s="69">
        <f t="shared" si="138"/>
        <v>204165.5</v>
      </c>
      <c r="P2262" s="42" t="str">
        <f>IFERROR(VLOOKUP(J2262,'Mã NV'!$B:$C,2,0),"")</f>
        <v>XE00975</v>
      </c>
      <c r="Q2262" s="70" t="str">
        <f>IFERROR(VLOOKUP(I2262,'Mã NV'!$J:$K,2,0),"")</f>
        <v>2.5T Lạnh</v>
      </c>
    </row>
    <row r="2263" customHeight="1" spans="1:17">
      <c r="A2263" s="63">
        <f t="shared" si="141"/>
        <v>2255</v>
      </c>
      <c r="B2263" s="64">
        <v>46168</v>
      </c>
      <c r="D2263" s="66" t="s">
        <v>58</v>
      </c>
      <c r="E2263" s="66" t="s">
        <v>58</v>
      </c>
      <c r="F2263" s="66" t="s">
        <v>985</v>
      </c>
      <c r="G2263" s="66" t="s">
        <v>1076</v>
      </c>
      <c r="H2263" s="66" t="s">
        <v>1078</v>
      </c>
      <c r="I2263" s="66" t="s">
        <v>177</v>
      </c>
      <c r="J2263" s="66" t="s">
        <v>174</v>
      </c>
      <c r="K2263" s="66" t="s">
        <v>747</v>
      </c>
      <c r="L2263" s="44">
        <v>143181</v>
      </c>
      <c r="N2263" s="68">
        <f t="shared" si="139"/>
        <v>143181</v>
      </c>
      <c r="O2263" s="69">
        <f t="shared" si="138"/>
        <v>143181</v>
      </c>
      <c r="P2263" s="42" t="str">
        <f>IFERROR(VLOOKUP(J2263,'Mã NV'!$B:$C,2,0),"")</f>
        <v>XE00975</v>
      </c>
      <c r="Q2263" s="70" t="str">
        <f>IFERROR(VLOOKUP(I2263,'Mã NV'!$J:$K,2,0),"")</f>
        <v>2.5T Lạnh</v>
      </c>
    </row>
    <row r="2264" customHeight="1" spans="1:17">
      <c r="A2264" s="63">
        <f t="shared" si="141"/>
        <v>2256</v>
      </c>
      <c r="B2264" s="64">
        <v>46168</v>
      </c>
      <c r="D2264" s="66" t="s">
        <v>58</v>
      </c>
      <c r="E2264" s="66" t="s">
        <v>58</v>
      </c>
      <c r="F2264" s="66" t="s">
        <v>985</v>
      </c>
      <c r="G2264" s="66" t="s">
        <v>1076</v>
      </c>
      <c r="H2264" s="66" t="s">
        <v>1111</v>
      </c>
      <c r="I2264" s="66" t="s">
        <v>177</v>
      </c>
      <c r="J2264" s="66" t="s">
        <v>174</v>
      </c>
      <c r="K2264" s="66" t="s">
        <v>747</v>
      </c>
      <c r="L2264" s="44">
        <v>124620.5</v>
      </c>
      <c r="N2264" s="68">
        <f t="shared" si="139"/>
        <v>124620.5</v>
      </c>
      <c r="O2264" s="69">
        <f t="shared" si="138"/>
        <v>124620.5</v>
      </c>
      <c r="P2264" s="42" t="str">
        <f>IFERROR(VLOOKUP(J2264,'Mã NV'!$B:$C,2,0),"")</f>
        <v>XE00975</v>
      </c>
      <c r="Q2264" s="70" t="str">
        <f>IFERROR(VLOOKUP(I2264,'Mã NV'!$J:$K,2,0),"")</f>
        <v>2.5T Lạnh</v>
      </c>
    </row>
    <row r="2265" customHeight="1" spans="1:17">
      <c r="A2265" s="63">
        <f t="shared" si="141"/>
        <v>2257</v>
      </c>
      <c r="B2265" s="64">
        <v>46169</v>
      </c>
      <c r="D2265" s="66" t="s">
        <v>58</v>
      </c>
      <c r="E2265" s="66" t="s">
        <v>58</v>
      </c>
      <c r="F2265" s="66" t="s">
        <v>985</v>
      </c>
      <c r="G2265" s="66" t="s">
        <v>1076</v>
      </c>
      <c r="H2265" s="66" t="s">
        <v>1109</v>
      </c>
      <c r="I2265" s="66" t="s">
        <v>57</v>
      </c>
      <c r="J2265" s="66" t="s">
        <v>55</v>
      </c>
      <c r="K2265" s="66" t="s">
        <v>747</v>
      </c>
      <c r="L2265" s="44">
        <v>862118</v>
      </c>
      <c r="N2265" s="68">
        <f t="shared" si="139"/>
        <v>862118</v>
      </c>
      <c r="O2265" s="69">
        <f t="shared" si="138"/>
        <v>862118</v>
      </c>
      <c r="P2265" s="42" t="str">
        <f>IFERROR(VLOOKUP(J2265,'Mã NV'!$B:$C,2,0),"")</f>
        <v>XE00768</v>
      </c>
      <c r="Q2265" s="70" t="str">
        <f>IFERROR(VLOOKUP(I2265,'Mã NV'!$J:$K,2,0),"")</f>
        <v>2.5T</v>
      </c>
    </row>
    <row r="2266" customHeight="1" spans="1:17">
      <c r="A2266" s="63">
        <f t="shared" si="141"/>
        <v>2258</v>
      </c>
      <c r="B2266" s="64">
        <v>46169</v>
      </c>
      <c r="D2266" s="66" t="s">
        <v>58</v>
      </c>
      <c r="E2266" s="66" t="s">
        <v>58</v>
      </c>
      <c r="F2266" s="66" t="s">
        <v>985</v>
      </c>
      <c r="G2266" s="66" t="s">
        <v>1076</v>
      </c>
      <c r="H2266" s="66" t="s">
        <v>1083</v>
      </c>
      <c r="I2266" s="66" t="s">
        <v>57</v>
      </c>
      <c r="J2266" s="66" t="s">
        <v>55</v>
      </c>
      <c r="K2266" s="66" t="s">
        <v>747</v>
      </c>
      <c r="L2266" s="44">
        <v>384467.5</v>
      </c>
      <c r="N2266" s="68">
        <f t="shared" si="139"/>
        <v>384467.5</v>
      </c>
      <c r="O2266" s="69">
        <f t="shared" si="138"/>
        <v>384467.5</v>
      </c>
      <c r="P2266" s="42" t="str">
        <f>IFERROR(VLOOKUP(J2266,'Mã NV'!$B:$C,2,0),"")</f>
        <v>XE00768</v>
      </c>
      <c r="Q2266" s="70" t="str">
        <f>IFERROR(VLOOKUP(I2266,'Mã NV'!$J:$K,2,0),"")</f>
        <v>2.5T</v>
      </c>
    </row>
    <row r="2267" customHeight="1" spans="1:17">
      <c r="A2267" s="63">
        <f t="shared" si="141"/>
        <v>2259</v>
      </c>
      <c r="B2267" s="64">
        <v>46169</v>
      </c>
      <c r="D2267" s="66" t="s">
        <v>58</v>
      </c>
      <c r="E2267" s="66" t="s">
        <v>58</v>
      </c>
      <c r="F2267" s="66" t="s">
        <v>985</v>
      </c>
      <c r="G2267" s="66" t="s">
        <v>1076</v>
      </c>
      <c r="H2267" s="66" t="s">
        <v>1080</v>
      </c>
      <c r="I2267" s="66" t="s">
        <v>403</v>
      </c>
      <c r="J2267" s="66" t="s">
        <v>401</v>
      </c>
      <c r="K2267" s="66" t="s">
        <v>747</v>
      </c>
      <c r="L2267" s="44">
        <v>485224.5</v>
      </c>
      <c r="N2267" s="68">
        <f t="shared" si="139"/>
        <v>485224.5</v>
      </c>
      <c r="O2267" s="69">
        <f t="shared" si="138"/>
        <v>485224.5</v>
      </c>
      <c r="P2267" s="42" t="str">
        <f>IFERROR(VLOOKUP(J2267,'Mã NV'!$B:$C,2,0),"")</f>
        <v>XE01466</v>
      </c>
      <c r="Q2267" s="70" t="str">
        <f>IFERROR(VLOOKUP(I2267,'Mã NV'!$J:$K,2,0),"")</f>
        <v>3.5T</v>
      </c>
    </row>
    <row r="2268" customHeight="1" spans="1:17">
      <c r="A2268" s="63">
        <f t="shared" si="141"/>
        <v>2260</v>
      </c>
      <c r="B2268" s="64">
        <v>46169</v>
      </c>
      <c r="D2268" s="66" t="s">
        <v>58</v>
      </c>
      <c r="E2268" s="66" t="s">
        <v>58</v>
      </c>
      <c r="F2268" s="66" t="s">
        <v>985</v>
      </c>
      <c r="G2268" s="66" t="s">
        <v>1076</v>
      </c>
      <c r="H2268" s="66" t="s">
        <v>1081</v>
      </c>
      <c r="I2268" s="66" t="s">
        <v>403</v>
      </c>
      <c r="J2268" s="66" t="s">
        <v>401</v>
      </c>
      <c r="K2268" s="66" t="s">
        <v>747</v>
      </c>
      <c r="L2268" s="44">
        <v>477270</v>
      </c>
      <c r="N2268" s="68">
        <f t="shared" si="139"/>
        <v>477270</v>
      </c>
      <c r="O2268" s="69">
        <f t="shared" si="138"/>
        <v>477270</v>
      </c>
      <c r="P2268" s="42" t="str">
        <f>IFERROR(VLOOKUP(J2268,'Mã NV'!$B:$C,2,0),"")</f>
        <v>XE01466</v>
      </c>
      <c r="Q2268" s="70" t="str">
        <f>IFERROR(VLOOKUP(I2268,'Mã NV'!$J:$K,2,0),"")</f>
        <v>3.5T</v>
      </c>
    </row>
    <row r="2269" customHeight="1" spans="1:17">
      <c r="A2269" s="63">
        <f t="shared" si="141"/>
        <v>2261</v>
      </c>
      <c r="B2269" s="64">
        <v>46169</v>
      </c>
      <c r="D2269" s="66" t="s">
        <v>58</v>
      </c>
      <c r="E2269" s="66" t="s">
        <v>58</v>
      </c>
      <c r="F2269" s="66" t="s">
        <v>985</v>
      </c>
      <c r="G2269" s="66" t="s">
        <v>1076</v>
      </c>
      <c r="H2269" s="66" t="s">
        <v>1082</v>
      </c>
      <c r="I2269" s="66" t="s">
        <v>403</v>
      </c>
      <c r="J2269" s="66" t="s">
        <v>401</v>
      </c>
      <c r="K2269" s="66" t="s">
        <v>747</v>
      </c>
      <c r="L2269" s="44">
        <v>678784</v>
      </c>
      <c r="N2269" s="68">
        <f t="shared" si="139"/>
        <v>678784</v>
      </c>
      <c r="O2269" s="69">
        <f t="shared" si="138"/>
        <v>678784</v>
      </c>
      <c r="P2269" s="42" t="str">
        <f>IFERROR(VLOOKUP(J2269,'Mã NV'!$B:$C,2,0),"")</f>
        <v>XE01466</v>
      </c>
      <c r="Q2269" s="70" t="str">
        <f>IFERROR(VLOOKUP(I2269,'Mã NV'!$J:$K,2,0),"")</f>
        <v>3.5T</v>
      </c>
    </row>
    <row r="2270" customHeight="1" spans="1:17">
      <c r="A2270" s="63">
        <f t="shared" si="141"/>
        <v>2262</v>
      </c>
      <c r="B2270" s="64">
        <v>46169</v>
      </c>
      <c r="D2270" s="66" t="s">
        <v>58</v>
      </c>
      <c r="E2270" s="66" t="s">
        <v>58</v>
      </c>
      <c r="F2270" s="66" t="s">
        <v>985</v>
      </c>
      <c r="G2270" s="66" t="s">
        <v>1076</v>
      </c>
      <c r="H2270" s="66" t="s">
        <v>1084</v>
      </c>
      <c r="I2270" s="66" t="s">
        <v>177</v>
      </c>
      <c r="J2270" s="66" t="s">
        <v>174</v>
      </c>
      <c r="K2270" s="66" t="s">
        <v>747</v>
      </c>
      <c r="L2270" s="44">
        <v>373861.5</v>
      </c>
      <c r="N2270" s="68">
        <f t="shared" si="139"/>
        <v>373861.5</v>
      </c>
      <c r="O2270" s="69">
        <f t="shared" si="138"/>
        <v>373861.5</v>
      </c>
      <c r="P2270" s="42" t="str">
        <f>IFERROR(VLOOKUP(J2270,'Mã NV'!$B:$C,2,0),"")</f>
        <v>XE00975</v>
      </c>
      <c r="Q2270" s="70" t="str">
        <f>IFERROR(VLOOKUP(I2270,'Mã NV'!$J:$K,2,0),"")</f>
        <v>2.5T Lạnh</v>
      </c>
    </row>
    <row r="2271" customHeight="1" spans="1:17">
      <c r="A2271" s="63">
        <f t="shared" si="141"/>
        <v>2263</v>
      </c>
      <c r="B2271" s="64">
        <v>46169</v>
      </c>
      <c r="D2271" s="66" t="s">
        <v>58</v>
      </c>
      <c r="E2271" s="66" t="s">
        <v>58</v>
      </c>
      <c r="F2271" s="66" t="s">
        <v>985</v>
      </c>
      <c r="G2271" s="66" t="s">
        <v>1076</v>
      </c>
      <c r="H2271" s="66" t="s">
        <v>1085</v>
      </c>
      <c r="I2271" s="66" t="s">
        <v>177</v>
      </c>
      <c r="J2271" s="66" t="s">
        <v>174</v>
      </c>
      <c r="K2271" s="66" t="s">
        <v>747</v>
      </c>
      <c r="L2271" s="44">
        <v>283710.5</v>
      </c>
      <c r="N2271" s="68">
        <f t="shared" si="139"/>
        <v>283710.5</v>
      </c>
      <c r="O2271" s="69">
        <f t="shared" si="138"/>
        <v>283710.5</v>
      </c>
      <c r="P2271" s="42" t="str">
        <f>IFERROR(VLOOKUP(J2271,'Mã NV'!$B:$C,2,0),"")</f>
        <v>XE00975</v>
      </c>
      <c r="Q2271" s="70" t="str">
        <f>IFERROR(VLOOKUP(I2271,'Mã NV'!$J:$K,2,0),"")</f>
        <v>2.5T Lạnh</v>
      </c>
    </row>
    <row r="2272" customHeight="1" spans="1:17">
      <c r="A2272" s="63">
        <f t="shared" si="141"/>
        <v>2264</v>
      </c>
      <c r="B2272" s="64">
        <v>46169</v>
      </c>
      <c r="D2272" s="66" t="s">
        <v>58</v>
      </c>
      <c r="E2272" s="66" t="s">
        <v>58</v>
      </c>
      <c r="F2272" s="66" t="s">
        <v>985</v>
      </c>
      <c r="G2272" s="66" t="s">
        <v>1076</v>
      </c>
      <c r="H2272" s="66" t="s">
        <v>1087</v>
      </c>
      <c r="I2272" s="66" t="s">
        <v>177</v>
      </c>
      <c r="J2272" s="66" t="s">
        <v>174</v>
      </c>
      <c r="K2272" s="66" t="s">
        <v>747</v>
      </c>
      <c r="L2272" s="44">
        <v>286362</v>
      </c>
      <c r="N2272" s="68">
        <f t="shared" si="139"/>
        <v>286362</v>
      </c>
      <c r="O2272" s="69">
        <f t="shared" si="138"/>
        <v>286362</v>
      </c>
      <c r="P2272" s="42" t="str">
        <f>IFERROR(VLOOKUP(J2272,'Mã NV'!$B:$C,2,0),"")</f>
        <v>XE00975</v>
      </c>
      <c r="Q2272" s="70" t="str">
        <f>IFERROR(VLOOKUP(I2272,'Mã NV'!$J:$K,2,0),"")</f>
        <v>2.5T Lạnh</v>
      </c>
    </row>
    <row r="2273" customHeight="1" spans="1:17">
      <c r="A2273" s="63">
        <f t="shared" si="141"/>
        <v>2265</v>
      </c>
      <c r="B2273" s="64">
        <v>46169</v>
      </c>
      <c r="D2273" s="66" t="s">
        <v>58</v>
      </c>
      <c r="E2273" s="66" t="s">
        <v>58</v>
      </c>
      <c r="F2273" s="66" t="s">
        <v>985</v>
      </c>
      <c r="G2273" s="66" t="s">
        <v>1076</v>
      </c>
      <c r="H2273" s="66" t="s">
        <v>1104</v>
      </c>
      <c r="I2273" s="66" t="s">
        <v>323</v>
      </c>
      <c r="J2273" s="66" t="s">
        <v>321</v>
      </c>
      <c r="K2273" s="66" t="s">
        <v>747</v>
      </c>
      <c r="L2273" s="44">
        <v>389770.5</v>
      </c>
      <c r="N2273" s="68">
        <f t="shared" si="139"/>
        <v>389770.5</v>
      </c>
      <c r="O2273" s="69">
        <f t="shared" si="138"/>
        <v>389770.5</v>
      </c>
      <c r="P2273" s="42" t="str">
        <f>IFERROR(VLOOKUP(J2273,'Mã NV'!$B:$C,2,0),"")</f>
        <v>XE01537</v>
      </c>
      <c r="Q2273" s="70" t="str">
        <f>IFERROR(VLOOKUP(I2273,'Mã NV'!$J:$K,2,0),"")</f>
        <v>2.5T</v>
      </c>
    </row>
    <row r="2274" customHeight="1" spans="1:17">
      <c r="A2274" s="63">
        <f t="shared" si="141"/>
        <v>2266</v>
      </c>
      <c r="B2274" s="64">
        <v>46169</v>
      </c>
      <c r="D2274" s="66" t="s">
        <v>58</v>
      </c>
      <c r="E2274" s="66" t="s">
        <v>58</v>
      </c>
      <c r="F2274" s="66" t="s">
        <v>985</v>
      </c>
      <c r="G2274" s="66" t="s">
        <v>1076</v>
      </c>
      <c r="H2274" s="66" t="s">
        <v>1103</v>
      </c>
      <c r="I2274" s="66" t="s">
        <v>323</v>
      </c>
      <c r="J2274" s="66" t="s">
        <v>321</v>
      </c>
      <c r="K2274" s="66" t="s">
        <v>747</v>
      </c>
      <c r="L2274" s="44">
        <v>225377.5</v>
      </c>
      <c r="N2274" s="68">
        <f t="shared" si="139"/>
        <v>225377.5</v>
      </c>
      <c r="O2274" s="69">
        <f t="shared" si="138"/>
        <v>225377.5</v>
      </c>
      <c r="P2274" s="42" t="str">
        <f>IFERROR(VLOOKUP(J2274,'Mã NV'!$B:$C,2,0),"")</f>
        <v>XE01537</v>
      </c>
      <c r="Q2274" s="70" t="str">
        <f>IFERROR(VLOOKUP(I2274,'Mã NV'!$J:$K,2,0),"")</f>
        <v>2.5T</v>
      </c>
    </row>
    <row r="2275" customHeight="1" spans="1:17">
      <c r="A2275" s="63">
        <f t="shared" si="141"/>
        <v>2267</v>
      </c>
      <c r="B2275" s="64">
        <v>46169</v>
      </c>
      <c r="D2275" s="66" t="s">
        <v>58</v>
      </c>
      <c r="E2275" s="66" t="s">
        <v>58</v>
      </c>
      <c r="F2275" s="66" t="s">
        <v>985</v>
      </c>
      <c r="G2275" s="66" t="s">
        <v>1076</v>
      </c>
      <c r="H2275" s="66" t="s">
        <v>1086</v>
      </c>
      <c r="I2275" s="66" t="s">
        <v>323</v>
      </c>
      <c r="J2275" s="66" t="s">
        <v>321</v>
      </c>
      <c r="K2275" s="66" t="s">
        <v>747</v>
      </c>
      <c r="L2275" s="44">
        <v>434846</v>
      </c>
      <c r="N2275" s="68">
        <f t="shared" si="139"/>
        <v>434846</v>
      </c>
      <c r="O2275" s="69">
        <f t="shared" si="138"/>
        <v>434846</v>
      </c>
      <c r="P2275" s="42" t="str">
        <f>IFERROR(VLOOKUP(J2275,'Mã NV'!$B:$C,2,0),"")</f>
        <v>XE01537</v>
      </c>
      <c r="Q2275" s="70" t="str">
        <f>IFERROR(VLOOKUP(I2275,'Mã NV'!$J:$K,2,0),"")</f>
        <v>2.5T</v>
      </c>
    </row>
    <row r="2276" customHeight="1" spans="1:17">
      <c r="A2276" s="63">
        <f t="shared" si="141"/>
        <v>2268</v>
      </c>
      <c r="B2276" s="64">
        <v>46169</v>
      </c>
      <c r="D2276" s="66" t="s">
        <v>58</v>
      </c>
      <c r="E2276" s="66" t="s">
        <v>58</v>
      </c>
      <c r="F2276" s="66" t="s">
        <v>985</v>
      </c>
      <c r="G2276" s="66" t="s">
        <v>1076</v>
      </c>
      <c r="H2276" s="66" t="s">
        <v>1089</v>
      </c>
      <c r="I2276" s="66" t="s">
        <v>57</v>
      </c>
      <c r="J2276" s="66" t="s">
        <v>55</v>
      </c>
      <c r="K2276" s="66" t="s">
        <v>747</v>
      </c>
      <c r="L2276" s="44">
        <v>429543</v>
      </c>
      <c r="N2276" s="68">
        <f t="shared" si="139"/>
        <v>429543</v>
      </c>
      <c r="O2276" s="69">
        <f t="shared" si="138"/>
        <v>429543</v>
      </c>
      <c r="P2276" s="42" t="str">
        <f>IFERROR(VLOOKUP(J2276,'Mã NV'!$B:$C,2,0),"")</f>
        <v>XE00768</v>
      </c>
      <c r="Q2276" s="70" t="str">
        <f>IFERROR(VLOOKUP(I2276,'Mã NV'!$J:$K,2,0),"")</f>
        <v>2.5T</v>
      </c>
    </row>
    <row r="2277" customHeight="1" spans="1:17">
      <c r="A2277" s="63">
        <f t="shared" si="141"/>
        <v>2269</v>
      </c>
      <c r="B2277" s="64">
        <v>46169</v>
      </c>
      <c r="D2277" s="66" t="s">
        <v>58</v>
      </c>
      <c r="E2277" s="66" t="s">
        <v>58</v>
      </c>
      <c r="F2277" s="66" t="s">
        <v>985</v>
      </c>
      <c r="G2277" s="66" t="s">
        <v>1076</v>
      </c>
      <c r="H2277" s="66" t="s">
        <v>1091</v>
      </c>
      <c r="I2277" s="66" t="s">
        <v>57</v>
      </c>
      <c r="J2277" s="66" t="s">
        <v>55</v>
      </c>
      <c r="K2277" s="66" t="s">
        <v>747</v>
      </c>
      <c r="L2277" s="44">
        <v>270453</v>
      </c>
      <c r="N2277" s="68">
        <f t="shared" si="139"/>
        <v>270453</v>
      </c>
      <c r="O2277" s="69">
        <f t="shared" si="138"/>
        <v>270453</v>
      </c>
      <c r="P2277" s="42" t="str">
        <f>IFERROR(VLOOKUP(J2277,'Mã NV'!$B:$C,2,0),"")</f>
        <v>XE00768</v>
      </c>
      <c r="Q2277" s="70" t="str">
        <f>IFERROR(VLOOKUP(I2277,'Mã NV'!$J:$K,2,0),"")</f>
        <v>2.5T</v>
      </c>
    </row>
    <row r="2278" customHeight="1" spans="1:17">
      <c r="A2278" s="63">
        <f t="shared" si="141"/>
        <v>2270</v>
      </c>
      <c r="B2278" s="64">
        <v>46169</v>
      </c>
      <c r="D2278" s="66" t="s">
        <v>58</v>
      </c>
      <c r="E2278" s="66" t="s">
        <v>58</v>
      </c>
      <c r="F2278" s="66" t="s">
        <v>985</v>
      </c>
      <c r="G2278" s="66" t="s">
        <v>1076</v>
      </c>
      <c r="H2278" s="66" t="s">
        <v>1098</v>
      </c>
      <c r="I2278" s="66" t="s">
        <v>57</v>
      </c>
      <c r="J2278" s="66" t="s">
        <v>55</v>
      </c>
      <c r="K2278" s="66" t="s">
        <v>747</v>
      </c>
      <c r="L2278" s="44">
        <v>206817</v>
      </c>
      <c r="N2278" s="68">
        <f t="shared" si="139"/>
        <v>206817</v>
      </c>
      <c r="O2278" s="69">
        <f t="shared" si="138"/>
        <v>206817</v>
      </c>
      <c r="P2278" s="42" t="str">
        <f>IFERROR(VLOOKUP(J2278,'Mã NV'!$B:$C,2,0),"")</f>
        <v>XE00768</v>
      </c>
      <c r="Q2278" s="70" t="str">
        <f>IFERROR(VLOOKUP(I2278,'Mã NV'!$J:$K,2,0),"")</f>
        <v>2.5T</v>
      </c>
    </row>
    <row r="2279" customHeight="1" spans="1:17">
      <c r="A2279" s="63">
        <f t="shared" si="141"/>
        <v>2271</v>
      </c>
      <c r="B2279" s="64">
        <v>46169</v>
      </c>
      <c r="D2279" s="66" t="s">
        <v>58</v>
      </c>
      <c r="E2279" s="66" t="s">
        <v>58</v>
      </c>
      <c r="F2279" s="66" t="s">
        <v>985</v>
      </c>
      <c r="G2279" s="66" t="s">
        <v>1076</v>
      </c>
      <c r="H2279" s="66" t="s">
        <v>1099</v>
      </c>
      <c r="I2279" s="66" t="s">
        <v>403</v>
      </c>
      <c r="J2279" s="66" t="s">
        <v>401</v>
      </c>
      <c r="K2279" s="66" t="s">
        <v>747</v>
      </c>
      <c r="L2279" s="44">
        <v>326134.5</v>
      </c>
      <c r="N2279" s="68">
        <f t="shared" si="139"/>
        <v>326134.5</v>
      </c>
      <c r="O2279" s="69">
        <f t="shared" si="138"/>
        <v>326134.5</v>
      </c>
      <c r="P2279" s="42" t="str">
        <f>IFERROR(VLOOKUP(J2279,'Mã NV'!$B:$C,2,0),"")</f>
        <v>XE01466</v>
      </c>
      <c r="Q2279" s="70" t="str">
        <f>IFERROR(VLOOKUP(I2279,'Mã NV'!$J:$K,2,0),"")</f>
        <v>3.5T</v>
      </c>
    </row>
    <row r="2280" customHeight="1" spans="1:17">
      <c r="A2280" s="63">
        <f t="shared" si="141"/>
        <v>2272</v>
      </c>
      <c r="B2280" s="64">
        <v>46169</v>
      </c>
      <c r="D2280" s="66" t="s">
        <v>58</v>
      </c>
      <c r="E2280" s="66" t="s">
        <v>58</v>
      </c>
      <c r="F2280" s="66" t="s">
        <v>985</v>
      </c>
      <c r="G2280" s="66" t="s">
        <v>1076</v>
      </c>
      <c r="H2280" s="66" t="s">
        <v>1100</v>
      </c>
      <c r="I2280" s="66" t="s">
        <v>403</v>
      </c>
      <c r="J2280" s="66" t="s">
        <v>401</v>
      </c>
      <c r="K2280" s="66" t="s">
        <v>747</v>
      </c>
      <c r="L2280" s="44">
        <v>426891.5</v>
      </c>
      <c r="N2280" s="68">
        <f t="shared" si="139"/>
        <v>426891.5</v>
      </c>
      <c r="O2280" s="69">
        <f t="shared" si="138"/>
        <v>426891.5</v>
      </c>
      <c r="P2280" s="42" t="str">
        <f>IFERROR(VLOOKUP(J2280,'Mã NV'!$B:$C,2,0),"")</f>
        <v>XE01466</v>
      </c>
      <c r="Q2280" s="70" t="str">
        <f>IFERROR(VLOOKUP(I2280,'Mã NV'!$J:$K,2,0),"")</f>
        <v>3.5T</v>
      </c>
    </row>
    <row r="2281" customHeight="1" spans="1:17">
      <c r="A2281" s="63">
        <f t="shared" si="141"/>
        <v>2273</v>
      </c>
      <c r="B2281" s="64">
        <v>46169</v>
      </c>
      <c r="D2281" s="66" t="s">
        <v>58</v>
      </c>
      <c r="E2281" s="66" t="s">
        <v>58</v>
      </c>
      <c r="F2281" s="66" t="s">
        <v>985</v>
      </c>
      <c r="G2281" s="66" t="s">
        <v>1076</v>
      </c>
      <c r="H2281" s="66" t="s">
        <v>1077</v>
      </c>
      <c r="I2281" s="66" t="s">
        <v>403</v>
      </c>
      <c r="J2281" s="66" t="s">
        <v>401</v>
      </c>
      <c r="K2281" s="66" t="s">
        <v>747</v>
      </c>
      <c r="L2281" s="44">
        <v>342043.5</v>
      </c>
      <c r="N2281" s="68">
        <f t="shared" si="139"/>
        <v>342043.5</v>
      </c>
      <c r="O2281" s="69">
        <f t="shared" si="138"/>
        <v>342043.5</v>
      </c>
      <c r="P2281" s="42" t="str">
        <f>IFERROR(VLOOKUP(J2281,'Mã NV'!$B:$C,2,0),"")</f>
        <v>XE01466</v>
      </c>
      <c r="Q2281" s="70" t="str">
        <f>IFERROR(VLOOKUP(I2281,'Mã NV'!$J:$K,2,0),"")</f>
        <v>3.5T</v>
      </c>
    </row>
    <row r="2282" customHeight="1" spans="1:17">
      <c r="A2282" s="63">
        <f t="shared" si="141"/>
        <v>2274</v>
      </c>
      <c r="B2282" s="64">
        <v>46169</v>
      </c>
      <c r="D2282" s="66" t="s">
        <v>58</v>
      </c>
      <c r="E2282" s="66" t="s">
        <v>58</v>
      </c>
      <c r="F2282" s="66" t="s">
        <v>985</v>
      </c>
      <c r="G2282" s="66" t="s">
        <v>1076</v>
      </c>
      <c r="H2282" s="66" t="s">
        <v>1090</v>
      </c>
      <c r="I2282" s="66" t="s">
        <v>403</v>
      </c>
      <c r="J2282" s="66" t="s">
        <v>401</v>
      </c>
      <c r="K2282" s="66" t="s">
        <v>747</v>
      </c>
      <c r="L2282" s="44">
        <v>304922.5</v>
      </c>
      <c r="N2282" s="68">
        <f t="shared" si="139"/>
        <v>304922.5</v>
      </c>
      <c r="O2282" s="69">
        <f t="shared" si="138"/>
        <v>304922.5</v>
      </c>
      <c r="P2282" s="42" t="str">
        <f>IFERROR(VLOOKUP(J2282,'Mã NV'!$B:$C,2,0),"")</f>
        <v>XE01466</v>
      </c>
      <c r="Q2282" s="70" t="str">
        <f>IFERROR(VLOOKUP(I2282,'Mã NV'!$J:$K,2,0),"")</f>
        <v>3.5T</v>
      </c>
    </row>
    <row r="2283" customHeight="1" spans="1:17">
      <c r="A2283" s="63">
        <f t="shared" si="141"/>
        <v>2275</v>
      </c>
      <c r="B2283" s="64">
        <v>46169</v>
      </c>
      <c r="D2283" s="66" t="s">
        <v>58</v>
      </c>
      <c r="E2283" s="66" t="s">
        <v>58</v>
      </c>
      <c r="F2283" s="66" t="s">
        <v>985</v>
      </c>
      <c r="G2283" s="66" t="s">
        <v>1076</v>
      </c>
      <c r="H2283" s="66" t="s">
        <v>1102</v>
      </c>
      <c r="I2283" s="66" t="s">
        <v>133</v>
      </c>
      <c r="J2283" s="66" t="s">
        <v>347</v>
      </c>
      <c r="K2283" s="66" t="s">
        <v>747</v>
      </c>
      <c r="L2283" s="44">
        <v>363255.5</v>
      </c>
      <c r="N2283" s="68">
        <f t="shared" si="139"/>
        <v>363255.5</v>
      </c>
      <c r="O2283" s="69">
        <f t="shared" si="138"/>
        <v>363255.5</v>
      </c>
      <c r="P2283" s="42" t="str">
        <f>IFERROR(VLOOKUP(J2283,'Mã NV'!$B:$C,2,0),"")</f>
        <v>XE01653</v>
      </c>
      <c r="Q2283" s="70" t="str">
        <f>IFERROR(VLOOKUP(I2283,'Mã NV'!$J:$K,2,0),"")</f>
        <v>2.5T</v>
      </c>
    </row>
    <row r="2284" customHeight="1" spans="1:17">
      <c r="A2284" s="63">
        <f t="shared" si="141"/>
        <v>2276</v>
      </c>
      <c r="B2284" s="64">
        <v>46169</v>
      </c>
      <c r="D2284" s="66" t="s">
        <v>58</v>
      </c>
      <c r="E2284" s="66" t="s">
        <v>58</v>
      </c>
      <c r="F2284" s="66" t="s">
        <v>985</v>
      </c>
      <c r="G2284" s="66" t="s">
        <v>1076</v>
      </c>
      <c r="H2284" s="66" t="s">
        <v>1079</v>
      </c>
      <c r="I2284" s="66" t="s">
        <v>133</v>
      </c>
      <c r="J2284" s="66" t="s">
        <v>347</v>
      </c>
      <c r="K2284" s="66" t="s">
        <v>747</v>
      </c>
      <c r="L2284" s="44">
        <v>360604</v>
      </c>
      <c r="N2284" s="68">
        <f t="shared" si="139"/>
        <v>360604</v>
      </c>
      <c r="O2284" s="69">
        <f t="shared" si="138"/>
        <v>360604</v>
      </c>
      <c r="P2284" s="42" t="str">
        <f>IFERROR(VLOOKUP(J2284,'Mã NV'!$B:$C,2,0),"")</f>
        <v>XE01653</v>
      </c>
      <c r="Q2284" s="70" t="str">
        <f>IFERROR(VLOOKUP(I2284,'Mã NV'!$J:$K,2,0),"")</f>
        <v>2.5T</v>
      </c>
    </row>
    <row r="2285" customHeight="1" spans="1:17">
      <c r="A2285" s="63">
        <f t="shared" si="141"/>
        <v>2277</v>
      </c>
      <c r="B2285" s="64">
        <v>46169</v>
      </c>
      <c r="D2285" s="66" t="s">
        <v>58</v>
      </c>
      <c r="E2285" s="66" t="s">
        <v>58</v>
      </c>
      <c r="F2285" s="66" t="s">
        <v>985</v>
      </c>
      <c r="G2285" s="66" t="s">
        <v>1076</v>
      </c>
      <c r="H2285" s="66" t="s">
        <v>1093</v>
      </c>
      <c r="I2285" s="66" t="s">
        <v>133</v>
      </c>
      <c r="J2285" s="66" t="s">
        <v>347</v>
      </c>
      <c r="K2285" s="66" t="s">
        <v>747</v>
      </c>
      <c r="L2285" s="44">
        <v>442800.5</v>
      </c>
      <c r="N2285" s="68">
        <f t="shared" si="139"/>
        <v>442800.5</v>
      </c>
      <c r="O2285" s="69">
        <f t="shared" si="138"/>
        <v>442800.5</v>
      </c>
      <c r="P2285" s="42" t="str">
        <f>IFERROR(VLOOKUP(J2285,'Mã NV'!$B:$C,2,0),"")</f>
        <v>XE01653</v>
      </c>
      <c r="Q2285" s="70" t="str">
        <f>IFERROR(VLOOKUP(I2285,'Mã NV'!$J:$K,2,0),"")</f>
        <v>2.5T</v>
      </c>
    </row>
    <row r="2286" customHeight="1" spans="1:17">
      <c r="A2286" s="63">
        <f t="shared" si="141"/>
        <v>2278</v>
      </c>
      <c r="B2286" s="64">
        <v>46169</v>
      </c>
      <c r="D2286" s="66" t="s">
        <v>58</v>
      </c>
      <c r="E2286" s="66" t="s">
        <v>58</v>
      </c>
      <c r="F2286" s="66" t="s">
        <v>985</v>
      </c>
      <c r="G2286" s="66" t="s">
        <v>1076</v>
      </c>
      <c r="H2286" s="66" t="s">
        <v>1095</v>
      </c>
      <c r="I2286" s="66" t="s">
        <v>134</v>
      </c>
      <c r="J2286" s="66" t="s">
        <v>359</v>
      </c>
      <c r="K2286" s="66" t="s">
        <v>747</v>
      </c>
      <c r="L2286" s="44">
        <v>601890.5</v>
      </c>
      <c r="N2286" s="68">
        <f t="shared" si="139"/>
        <v>601890.5</v>
      </c>
      <c r="O2286" s="69">
        <f t="shared" si="138"/>
        <v>601890.5</v>
      </c>
      <c r="P2286" s="42" t="str">
        <f>IFERROR(VLOOKUP(J2286,'Mã NV'!$B:$C,2,0),"")</f>
        <v>XE01639</v>
      </c>
      <c r="Q2286" s="70" t="str">
        <f>IFERROR(VLOOKUP(I2286,'Mã NV'!$J:$K,2,0),"")</f>
        <v>2.5T Lạnh</v>
      </c>
    </row>
    <row r="2287" customHeight="1" spans="1:17">
      <c r="A2287" s="63">
        <f t="shared" si="141"/>
        <v>2279</v>
      </c>
      <c r="B2287" s="64">
        <v>46169</v>
      </c>
      <c r="D2287" s="66" t="s">
        <v>58</v>
      </c>
      <c r="E2287" s="66" t="s">
        <v>58</v>
      </c>
      <c r="F2287" s="66" t="s">
        <v>985</v>
      </c>
      <c r="G2287" s="66" t="s">
        <v>1076</v>
      </c>
      <c r="H2287" s="66" t="s">
        <v>1094</v>
      </c>
      <c r="I2287" s="66" t="s">
        <v>134</v>
      </c>
      <c r="J2287" s="66" t="s">
        <v>359</v>
      </c>
      <c r="K2287" s="66" t="s">
        <v>747</v>
      </c>
      <c r="L2287" s="44">
        <v>212120</v>
      </c>
      <c r="N2287" s="68">
        <f t="shared" si="139"/>
        <v>212120</v>
      </c>
      <c r="O2287" s="69">
        <f t="shared" si="138"/>
        <v>212120</v>
      </c>
      <c r="P2287" s="42" t="str">
        <f>IFERROR(VLOOKUP(J2287,'Mã NV'!$B:$C,2,0),"")</f>
        <v>XE01639</v>
      </c>
      <c r="Q2287" s="70" t="str">
        <f>IFERROR(VLOOKUP(I2287,'Mã NV'!$J:$K,2,0),"")</f>
        <v>2.5T Lạnh</v>
      </c>
    </row>
    <row r="2288" customHeight="1" spans="1:17">
      <c r="A2288" s="63">
        <f t="shared" si="141"/>
        <v>2280</v>
      </c>
      <c r="B2288" s="64">
        <v>46169</v>
      </c>
      <c r="D2288" s="66" t="s">
        <v>58</v>
      </c>
      <c r="E2288" s="66" t="s">
        <v>58</v>
      </c>
      <c r="F2288" s="66" t="s">
        <v>985</v>
      </c>
      <c r="G2288" s="66" t="s">
        <v>1076</v>
      </c>
      <c r="H2288" s="66" t="s">
        <v>1092</v>
      </c>
      <c r="I2288" s="66" t="s">
        <v>134</v>
      </c>
      <c r="J2288" s="66" t="s">
        <v>359</v>
      </c>
      <c r="K2288" s="66" t="s">
        <v>747</v>
      </c>
      <c r="L2288" s="44">
        <v>188256.5</v>
      </c>
      <c r="N2288" s="68">
        <f t="shared" si="139"/>
        <v>188256.5</v>
      </c>
      <c r="O2288" s="69">
        <f t="shared" si="138"/>
        <v>188256.5</v>
      </c>
      <c r="P2288" s="42" t="str">
        <f>IFERROR(VLOOKUP(J2288,'Mã NV'!$B:$C,2,0),"")</f>
        <v>XE01639</v>
      </c>
      <c r="Q2288" s="70" t="str">
        <f>IFERROR(VLOOKUP(I2288,'Mã NV'!$J:$K,2,0),"")</f>
        <v>2.5T Lạnh</v>
      </c>
    </row>
    <row r="2289" customHeight="1" spans="1:17">
      <c r="A2289" s="63">
        <f t="shared" si="141"/>
        <v>2281</v>
      </c>
      <c r="B2289" s="64">
        <v>46169</v>
      </c>
      <c r="D2289" s="66" t="s">
        <v>58</v>
      </c>
      <c r="E2289" s="66" t="s">
        <v>58</v>
      </c>
      <c r="F2289" s="66" t="s">
        <v>985</v>
      </c>
      <c r="G2289" s="66" t="s">
        <v>1076</v>
      </c>
      <c r="H2289" s="66" t="s">
        <v>1101</v>
      </c>
      <c r="I2289" s="66" t="s">
        <v>177</v>
      </c>
      <c r="J2289" s="66" t="s">
        <v>174</v>
      </c>
      <c r="K2289" s="66" t="s">
        <v>747</v>
      </c>
      <c r="L2289" s="44">
        <v>225377.5</v>
      </c>
      <c r="N2289" s="68">
        <f t="shared" si="139"/>
        <v>225377.5</v>
      </c>
      <c r="O2289" s="69">
        <f t="shared" si="138"/>
        <v>225377.5</v>
      </c>
      <c r="P2289" s="42" t="str">
        <f>IFERROR(VLOOKUP(J2289,'Mã NV'!$B:$C,2,0),"")</f>
        <v>XE00975</v>
      </c>
      <c r="Q2289" s="70" t="str">
        <f>IFERROR(VLOOKUP(I2289,'Mã NV'!$J:$K,2,0),"")</f>
        <v>2.5T Lạnh</v>
      </c>
    </row>
    <row r="2290" customHeight="1" spans="1:17">
      <c r="A2290" s="63">
        <f t="shared" si="141"/>
        <v>2282</v>
      </c>
      <c r="B2290" s="64">
        <v>46169</v>
      </c>
      <c r="D2290" s="66" t="s">
        <v>58</v>
      </c>
      <c r="E2290" s="66" t="s">
        <v>58</v>
      </c>
      <c r="F2290" s="66" t="s">
        <v>985</v>
      </c>
      <c r="G2290" s="66" t="s">
        <v>1076</v>
      </c>
      <c r="H2290" s="66" t="s">
        <v>1078</v>
      </c>
      <c r="I2290" s="66" t="s">
        <v>177</v>
      </c>
      <c r="J2290" s="66" t="s">
        <v>174</v>
      </c>
      <c r="K2290" s="66" t="s">
        <v>747</v>
      </c>
      <c r="L2290" s="44">
        <v>217423</v>
      </c>
      <c r="N2290" s="68">
        <f t="shared" si="139"/>
        <v>217423</v>
      </c>
      <c r="O2290" s="69">
        <f t="shared" si="138"/>
        <v>217423</v>
      </c>
      <c r="P2290" s="42" t="str">
        <f>IFERROR(VLOOKUP(J2290,'Mã NV'!$B:$C,2,0),"")</f>
        <v>XE00975</v>
      </c>
      <c r="Q2290" s="70" t="str">
        <f>IFERROR(VLOOKUP(I2290,'Mã NV'!$J:$K,2,0),"")</f>
        <v>2.5T Lạnh</v>
      </c>
    </row>
    <row r="2291" customHeight="1" spans="1:17">
      <c r="A2291" s="63">
        <f t="shared" si="141"/>
        <v>2283</v>
      </c>
      <c r="B2291" s="64">
        <v>46169</v>
      </c>
      <c r="D2291" s="66" t="s">
        <v>58</v>
      </c>
      <c r="E2291" s="66" t="s">
        <v>58</v>
      </c>
      <c r="F2291" s="66" t="s">
        <v>985</v>
      </c>
      <c r="G2291" s="66" t="s">
        <v>1076</v>
      </c>
      <c r="H2291" s="66" t="s">
        <v>1111</v>
      </c>
      <c r="I2291" s="66" t="s">
        <v>177</v>
      </c>
      <c r="J2291" s="66" t="s">
        <v>174</v>
      </c>
      <c r="K2291" s="66" t="s">
        <v>747</v>
      </c>
      <c r="L2291" s="44">
        <v>182953.5</v>
      </c>
      <c r="N2291" s="68">
        <f t="shared" si="139"/>
        <v>182953.5</v>
      </c>
      <c r="O2291" s="69">
        <f t="shared" ref="O2291:O2354" si="142">N2291/$P$1</f>
        <v>182953.5</v>
      </c>
      <c r="P2291" s="42" t="str">
        <f>IFERROR(VLOOKUP(J2291,'Mã NV'!$B:$C,2,0),"")</f>
        <v>XE00975</v>
      </c>
      <c r="Q2291" s="70" t="str">
        <f>IFERROR(VLOOKUP(I2291,'Mã NV'!$J:$K,2,0),"")</f>
        <v>2.5T Lạnh</v>
      </c>
    </row>
    <row r="2292" customHeight="1" spans="1:17">
      <c r="A2292" s="63">
        <f t="shared" si="141"/>
        <v>2284</v>
      </c>
      <c r="B2292" s="64">
        <v>46169</v>
      </c>
      <c r="D2292" s="66" t="s">
        <v>58</v>
      </c>
      <c r="E2292" s="66" t="s">
        <v>58</v>
      </c>
      <c r="F2292" s="66" t="s">
        <v>985</v>
      </c>
      <c r="G2292" s="66" t="s">
        <v>1076</v>
      </c>
      <c r="H2292" s="66" t="s">
        <v>1096</v>
      </c>
      <c r="I2292" s="66" t="s">
        <v>323</v>
      </c>
      <c r="J2292" s="66" t="s">
        <v>321</v>
      </c>
      <c r="K2292" s="66" t="s">
        <v>747</v>
      </c>
      <c r="L2292" s="44">
        <v>357952.5</v>
      </c>
      <c r="N2292" s="68">
        <f t="shared" ref="N2292:N2355" si="143">L2292-M2292</f>
        <v>357952.5</v>
      </c>
      <c r="O2292" s="69">
        <f t="shared" si="142"/>
        <v>357952.5</v>
      </c>
      <c r="P2292" s="42" t="str">
        <f>IFERROR(VLOOKUP(J2292,'Mã NV'!$B:$C,2,0),"")</f>
        <v>XE01537</v>
      </c>
      <c r="Q2292" s="70" t="str">
        <f>IFERROR(VLOOKUP(I2292,'Mã NV'!$J:$K,2,0),"")</f>
        <v>2.5T</v>
      </c>
    </row>
    <row r="2293" customHeight="1" spans="1:17">
      <c r="A2293" s="63">
        <f t="shared" si="141"/>
        <v>2285</v>
      </c>
      <c r="B2293" s="64">
        <v>46169</v>
      </c>
      <c r="D2293" s="66" t="s">
        <v>58</v>
      </c>
      <c r="E2293" s="66" t="s">
        <v>58</v>
      </c>
      <c r="F2293" s="66" t="s">
        <v>985</v>
      </c>
      <c r="G2293" s="66" t="s">
        <v>1076</v>
      </c>
      <c r="H2293" s="66" t="s">
        <v>1097</v>
      </c>
      <c r="I2293" s="66" t="s">
        <v>323</v>
      </c>
      <c r="J2293" s="66" t="s">
        <v>321</v>
      </c>
      <c r="K2293" s="66" t="s">
        <v>747</v>
      </c>
      <c r="L2293" s="44">
        <v>312877</v>
      </c>
      <c r="N2293" s="68">
        <f t="shared" si="143"/>
        <v>312877</v>
      </c>
      <c r="O2293" s="69">
        <f t="shared" si="142"/>
        <v>312877</v>
      </c>
      <c r="P2293" s="42" t="str">
        <f>IFERROR(VLOOKUP(J2293,'Mã NV'!$B:$C,2,0),"")</f>
        <v>XE01537</v>
      </c>
      <c r="Q2293" s="70" t="str">
        <f>IFERROR(VLOOKUP(I2293,'Mã NV'!$J:$K,2,0),"")</f>
        <v>2.5T</v>
      </c>
    </row>
    <row r="2294" customHeight="1" spans="1:17">
      <c r="A2294" s="63">
        <f t="shared" si="141"/>
        <v>2286</v>
      </c>
      <c r="B2294" s="64">
        <v>46169</v>
      </c>
      <c r="D2294" s="66" t="s">
        <v>58</v>
      </c>
      <c r="E2294" s="66" t="s">
        <v>58</v>
      </c>
      <c r="F2294" s="66" t="s">
        <v>985</v>
      </c>
      <c r="G2294" s="66" t="s">
        <v>1076</v>
      </c>
      <c r="H2294" s="66" t="s">
        <v>1088</v>
      </c>
      <c r="I2294" s="66" t="s">
        <v>323</v>
      </c>
      <c r="J2294" s="66" t="s">
        <v>321</v>
      </c>
      <c r="K2294" s="66" t="s">
        <v>747</v>
      </c>
      <c r="L2294" s="44">
        <v>228029</v>
      </c>
      <c r="N2294" s="68">
        <f t="shared" si="143"/>
        <v>228029</v>
      </c>
      <c r="O2294" s="69">
        <f t="shared" si="142"/>
        <v>228029</v>
      </c>
      <c r="P2294" s="42" t="str">
        <f>IFERROR(VLOOKUP(J2294,'Mã NV'!$B:$C,2,0),"")</f>
        <v>XE01537</v>
      </c>
      <c r="Q2294" s="70" t="str">
        <f>IFERROR(VLOOKUP(I2294,'Mã NV'!$J:$K,2,0),"")</f>
        <v>2.5T</v>
      </c>
    </row>
    <row r="2295" customHeight="1" spans="1:17">
      <c r="A2295" s="63">
        <f t="shared" si="141"/>
        <v>2287</v>
      </c>
      <c r="B2295" s="64">
        <v>46170</v>
      </c>
      <c r="D2295" s="66" t="s">
        <v>58</v>
      </c>
      <c r="E2295" s="66" t="s">
        <v>58</v>
      </c>
      <c r="F2295" s="66" t="s">
        <v>985</v>
      </c>
      <c r="G2295" s="66" t="s">
        <v>1076</v>
      </c>
      <c r="H2295" s="66" t="s">
        <v>1108</v>
      </c>
      <c r="I2295" s="66" t="s">
        <v>57</v>
      </c>
      <c r="J2295" s="66" t="s">
        <v>55</v>
      </c>
      <c r="K2295" s="66" t="s">
        <v>747</v>
      </c>
      <c r="L2295" s="44">
        <v>829923.5</v>
      </c>
      <c r="N2295" s="68">
        <f t="shared" si="143"/>
        <v>829923.5</v>
      </c>
      <c r="O2295" s="69">
        <f t="shared" si="142"/>
        <v>829923.5</v>
      </c>
      <c r="P2295" s="42" t="str">
        <f>IFERROR(VLOOKUP(J2295,'Mã NV'!$B:$C,2,0),"")</f>
        <v>XE00768</v>
      </c>
      <c r="Q2295" s="70" t="str">
        <f>IFERROR(VLOOKUP(I2295,'Mã NV'!$J:$K,2,0),"")</f>
        <v>2.5T</v>
      </c>
    </row>
    <row r="2296" customHeight="1" spans="1:17">
      <c r="A2296" s="63">
        <f t="shared" si="141"/>
        <v>2288</v>
      </c>
      <c r="B2296" s="64">
        <v>46170</v>
      </c>
      <c r="D2296" s="66" t="s">
        <v>58</v>
      </c>
      <c r="E2296" s="66" t="s">
        <v>58</v>
      </c>
      <c r="F2296" s="66" t="s">
        <v>985</v>
      </c>
      <c r="G2296" s="66" t="s">
        <v>1076</v>
      </c>
      <c r="H2296" s="66" t="s">
        <v>1106</v>
      </c>
      <c r="I2296" s="66" t="s">
        <v>57</v>
      </c>
      <c r="J2296" s="66" t="s">
        <v>55</v>
      </c>
      <c r="K2296" s="66" t="s">
        <v>747</v>
      </c>
      <c r="L2296" s="44">
        <v>760980.5</v>
      </c>
      <c r="N2296" s="68">
        <f t="shared" si="143"/>
        <v>760980.5</v>
      </c>
      <c r="O2296" s="69">
        <f t="shared" si="142"/>
        <v>760980.5</v>
      </c>
      <c r="P2296" s="42" t="str">
        <f>IFERROR(VLOOKUP(J2296,'Mã NV'!$B:$C,2,0),"")</f>
        <v>XE00768</v>
      </c>
      <c r="Q2296" s="70" t="str">
        <f>IFERROR(VLOOKUP(I2296,'Mã NV'!$J:$K,2,0),"")</f>
        <v>2.5T</v>
      </c>
    </row>
    <row r="2297" customHeight="1" spans="1:17">
      <c r="A2297" s="63">
        <f t="shared" si="141"/>
        <v>2289</v>
      </c>
      <c r="B2297" s="64">
        <v>46170</v>
      </c>
      <c r="D2297" s="66" t="s">
        <v>58</v>
      </c>
      <c r="E2297" s="66" t="s">
        <v>58</v>
      </c>
      <c r="F2297" s="66" t="s">
        <v>985</v>
      </c>
      <c r="G2297" s="66" t="s">
        <v>1076</v>
      </c>
      <c r="H2297" s="66" t="s">
        <v>1106</v>
      </c>
      <c r="I2297" s="66" t="s">
        <v>403</v>
      </c>
      <c r="J2297" s="66" t="s">
        <v>401</v>
      </c>
      <c r="K2297" s="66" t="s">
        <v>747</v>
      </c>
      <c r="L2297" s="44">
        <v>1450370.5</v>
      </c>
      <c r="N2297" s="68">
        <f t="shared" si="143"/>
        <v>1450370.5</v>
      </c>
      <c r="O2297" s="69">
        <f t="shared" si="142"/>
        <v>1450370.5</v>
      </c>
      <c r="P2297" s="42" t="str">
        <f>IFERROR(VLOOKUP(J2297,'Mã NV'!$B:$C,2,0),"")</f>
        <v>XE01466</v>
      </c>
      <c r="Q2297" s="70" t="str">
        <f>IFERROR(VLOOKUP(I2297,'Mã NV'!$J:$K,2,0),"")</f>
        <v>3.5T</v>
      </c>
    </row>
    <row r="2298" customHeight="1" spans="1:17">
      <c r="A2298" s="63">
        <f t="shared" si="141"/>
        <v>2290</v>
      </c>
      <c r="B2298" s="64">
        <v>46170</v>
      </c>
      <c r="D2298" s="66" t="s">
        <v>58</v>
      </c>
      <c r="E2298" s="66" t="s">
        <v>58</v>
      </c>
      <c r="F2298" s="66" t="s">
        <v>985</v>
      </c>
      <c r="G2298" s="66" t="s">
        <v>1076</v>
      </c>
      <c r="H2298" s="66" t="s">
        <v>1104</v>
      </c>
      <c r="I2298" s="66" t="s">
        <v>134</v>
      </c>
      <c r="J2298" s="66" t="s">
        <v>359</v>
      </c>
      <c r="K2298" s="66" t="s">
        <v>747</v>
      </c>
      <c r="L2298" s="44">
        <v>281059</v>
      </c>
      <c r="N2298" s="68">
        <f t="shared" si="143"/>
        <v>281059</v>
      </c>
      <c r="O2298" s="69">
        <f t="shared" si="142"/>
        <v>281059</v>
      </c>
      <c r="P2298" s="42" t="str">
        <f>IFERROR(VLOOKUP(J2298,'Mã NV'!$B:$C,2,0),"")</f>
        <v>XE01639</v>
      </c>
      <c r="Q2298" s="70" t="str">
        <f>IFERROR(VLOOKUP(I2298,'Mã NV'!$J:$K,2,0),"")</f>
        <v>2.5T Lạnh</v>
      </c>
    </row>
    <row r="2299" customHeight="1" spans="1:17">
      <c r="A2299" s="63">
        <f t="shared" si="141"/>
        <v>2291</v>
      </c>
      <c r="B2299" s="64">
        <v>46170</v>
      </c>
      <c r="D2299" s="66" t="s">
        <v>58</v>
      </c>
      <c r="E2299" s="66" t="s">
        <v>58</v>
      </c>
      <c r="F2299" s="66" t="s">
        <v>985</v>
      </c>
      <c r="G2299" s="66" t="s">
        <v>1076</v>
      </c>
      <c r="H2299" s="66" t="s">
        <v>1103</v>
      </c>
      <c r="I2299" s="66" t="s">
        <v>134</v>
      </c>
      <c r="J2299" s="66" t="s">
        <v>359</v>
      </c>
      <c r="K2299" s="66" t="s">
        <v>747</v>
      </c>
      <c r="L2299" s="44">
        <v>92802.5</v>
      </c>
      <c r="N2299" s="68">
        <f t="shared" si="143"/>
        <v>92802.5</v>
      </c>
      <c r="O2299" s="69">
        <f t="shared" si="142"/>
        <v>92802.5</v>
      </c>
      <c r="P2299" s="42" t="str">
        <f>IFERROR(VLOOKUP(J2299,'Mã NV'!$B:$C,2,0),"")</f>
        <v>XE01639</v>
      </c>
      <c r="Q2299" s="70" t="str">
        <f>IFERROR(VLOOKUP(I2299,'Mã NV'!$J:$K,2,0),"")</f>
        <v>2.5T Lạnh</v>
      </c>
    </row>
    <row r="2300" customHeight="1" spans="1:17">
      <c r="A2300" s="63">
        <f t="shared" si="141"/>
        <v>2292</v>
      </c>
      <c r="B2300" s="64">
        <v>46170</v>
      </c>
      <c r="D2300" s="66" t="s">
        <v>58</v>
      </c>
      <c r="E2300" s="66" t="s">
        <v>58</v>
      </c>
      <c r="F2300" s="66" t="s">
        <v>985</v>
      </c>
      <c r="G2300" s="66" t="s">
        <v>1076</v>
      </c>
      <c r="H2300" s="66" t="s">
        <v>1086</v>
      </c>
      <c r="I2300" s="66" t="s">
        <v>134</v>
      </c>
      <c r="J2300" s="66" t="s">
        <v>359</v>
      </c>
      <c r="K2300" s="66" t="s">
        <v>747</v>
      </c>
      <c r="L2300" s="44">
        <v>241286.5</v>
      </c>
      <c r="N2300" s="68">
        <f t="shared" si="143"/>
        <v>241286.5</v>
      </c>
      <c r="O2300" s="69">
        <f t="shared" si="142"/>
        <v>241286.5</v>
      </c>
      <c r="P2300" s="42" t="str">
        <f>IFERROR(VLOOKUP(J2300,'Mã NV'!$B:$C,2,0),"")</f>
        <v>XE01639</v>
      </c>
      <c r="Q2300" s="70" t="str">
        <f>IFERROR(VLOOKUP(I2300,'Mã NV'!$J:$K,2,0),"")</f>
        <v>2.5T Lạnh</v>
      </c>
    </row>
    <row r="2301" customHeight="1" spans="1:17">
      <c r="A2301" s="63">
        <f t="shared" si="141"/>
        <v>2293</v>
      </c>
      <c r="B2301" s="64">
        <v>46170</v>
      </c>
      <c r="D2301" s="66" t="s">
        <v>58</v>
      </c>
      <c r="E2301" s="66" t="s">
        <v>58</v>
      </c>
      <c r="F2301" s="66" t="s">
        <v>985</v>
      </c>
      <c r="G2301" s="66" t="s">
        <v>1076</v>
      </c>
      <c r="H2301" s="66" t="s">
        <v>1087</v>
      </c>
      <c r="I2301" s="66" t="s">
        <v>134</v>
      </c>
      <c r="J2301" s="66" t="s">
        <v>359</v>
      </c>
      <c r="K2301" s="66" t="s">
        <v>747</v>
      </c>
      <c r="L2301" s="44">
        <v>257195.5</v>
      </c>
      <c r="N2301" s="68">
        <f t="shared" si="143"/>
        <v>257195.5</v>
      </c>
      <c r="O2301" s="69">
        <f t="shared" si="142"/>
        <v>257195.5</v>
      </c>
      <c r="P2301" s="42" t="str">
        <f>IFERROR(VLOOKUP(J2301,'Mã NV'!$B:$C,2,0),"")</f>
        <v>XE01639</v>
      </c>
      <c r="Q2301" s="70" t="str">
        <f>IFERROR(VLOOKUP(I2301,'Mã NV'!$J:$K,2,0),"")</f>
        <v>2.5T Lạnh</v>
      </c>
    </row>
    <row r="2302" customHeight="1" spans="1:17">
      <c r="A2302" s="63">
        <f t="shared" si="141"/>
        <v>2294</v>
      </c>
      <c r="B2302" s="64">
        <v>46170</v>
      </c>
      <c r="D2302" s="66" t="s">
        <v>58</v>
      </c>
      <c r="E2302" s="66" t="s">
        <v>58</v>
      </c>
      <c r="F2302" s="66" t="s">
        <v>985</v>
      </c>
      <c r="G2302" s="66" t="s">
        <v>1076</v>
      </c>
      <c r="H2302" s="66" t="s">
        <v>1083</v>
      </c>
      <c r="I2302" s="66" t="s">
        <v>177</v>
      </c>
      <c r="J2302" s="66" t="s">
        <v>174</v>
      </c>
      <c r="K2302" s="66" t="s">
        <v>747</v>
      </c>
      <c r="L2302" s="44">
        <v>320831.5</v>
      </c>
      <c r="N2302" s="68">
        <f t="shared" si="143"/>
        <v>320831.5</v>
      </c>
      <c r="O2302" s="69">
        <f t="shared" si="142"/>
        <v>320831.5</v>
      </c>
      <c r="P2302" s="42" t="str">
        <f>IFERROR(VLOOKUP(J2302,'Mã NV'!$B:$C,2,0),"")</f>
        <v>XE00975</v>
      </c>
      <c r="Q2302" s="70" t="str">
        <f>IFERROR(VLOOKUP(I2302,'Mã NV'!$J:$K,2,0),"")</f>
        <v>2.5T Lạnh</v>
      </c>
    </row>
    <row r="2303" customHeight="1" spans="1:17">
      <c r="A2303" s="63">
        <f t="shared" si="141"/>
        <v>2295</v>
      </c>
      <c r="B2303" s="64">
        <v>46170</v>
      </c>
      <c r="D2303" s="66" t="s">
        <v>58</v>
      </c>
      <c r="E2303" s="66" t="s">
        <v>58</v>
      </c>
      <c r="F2303" s="66" t="s">
        <v>985</v>
      </c>
      <c r="G2303" s="66" t="s">
        <v>1076</v>
      </c>
      <c r="H2303" s="66" t="s">
        <v>1109</v>
      </c>
      <c r="I2303" s="66" t="s">
        <v>177</v>
      </c>
      <c r="J2303" s="66" t="s">
        <v>174</v>
      </c>
      <c r="K2303" s="66" t="s">
        <v>747</v>
      </c>
      <c r="L2303" s="44">
        <v>262498.5</v>
      </c>
      <c r="N2303" s="68">
        <f t="shared" si="143"/>
        <v>262498.5</v>
      </c>
      <c r="O2303" s="69">
        <f t="shared" si="142"/>
        <v>262498.5</v>
      </c>
      <c r="P2303" s="42" t="str">
        <f>IFERROR(VLOOKUP(J2303,'Mã NV'!$B:$C,2,0),"")</f>
        <v>XE00975</v>
      </c>
      <c r="Q2303" s="70" t="str">
        <f>IFERROR(VLOOKUP(I2303,'Mã NV'!$J:$K,2,0),"")</f>
        <v>2.5T Lạnh</v>
      </c>
    </row>
    <row r="2304" customHeight="1" spans="1:17">
      <c r="A2304" s="63">
        <f t="shared" si="141"/>
        <v>2296</v>
      </c>
      <c r="B2304" s="64">
        <v>46170</v>
      </c>
      <c r="D2304" s="66" t="s">
        <v>58</v>
      </c>
      <c r="E2304" s="66" t="s">
        <v>58</v>
      </c>
      <c r="F2304" s="66" t="s">
        <v>985</v>
      </c>
      <c r="G2304" s="66" t="s">
        <v>1076</v>
      </c>
      <c r="H2304" s="66" t="s">
        <v>1095</v>
      </c>
      <c r="I2304" s="66" t="s">
        <v>177</v>
      </c>
      <c r="J2304" s="66" t="s">
        <v>174</v>
      </c>
      <c r="K2304" s="66" t="s">
        <v>747</v>
      </c>
      <c r="L2304" s="44">
        <v>254544</v>
      </c>
      <c r="N2304" s="68">
        <f t="shared" si="143"/>
        <v>254544</v>
      </c>
      <c r="O2304" s="69">
        <f t="shared" si="142"/>
        <v>254544</v>
      </c>
      <c r="P2304" s="42" t="str">
        <f>IFERROR(VLOOKUP(J2304,'Mã NV'!$B:$C,2,0),"")</f>
        <v>XE00975</v>
      </c>
      <c r="Q2304" s="70" t="str">
        <f>IFERROR(VLOOKUP(I2304,'Mã NV'!$J:$K,2,0),"")</f>
        <v>2.5T Lạnh</v>
      </c>
    </row>
    <row r="2305" customHeight="1" spans="1:17">
      <c r="A2305" s="63">
        <f t="shared" si="141"/>
        <v>2297</v>
      </c>
      <c r="B2305" s="64">
        <v>46170</v>
      </c>
      <c r="D2305" s="66" t="s">
        <v>58</v>
      </c>
      <c r="E2305" s="66" t="s">
        <v>58</v>
      </c>
      <c r="F2305" s="66" t="s">
        <v>985</v>
      </c>
      <c r="G2305" s="66" t="s">
        <v>1076</v>
      </c>
      <c r="H2305" s="66" t="s">
        <v>1094</v>
      </c>
      <c r="I2305" s="66" t="s">
        <v>177</v>
      </c>
      <c r="J2305" s="66" t="s">
        <v>174</v>
      </c>
      <c r="K2305" s="66" t="s">
        <v>747</v>
      </c>
      <c r="L2305" s="44">
        <v>90151</v>
      </c>
      <c r="N2305" s="68">
        <f t="shared" si="143"/>
        <v>90151</v>
      </c>
      <c r="O2305" s="69">
        <f t="shared" si="142"/>
        <v>90151</v>
      </c>
      <c r="P2305" s="42" t="str">
        <f>IFERROR(VLOOKUP(J2305,'Mã NV'!$B:$C,2,0),"")</f>
        <v>XE00975</v>
      </c>
      <c r="Q2305" s="70" t="str">
        <f>IFERROR(VLOOKUP(I2305,'Mã NV'!$J:$K,2,0),"")</f>
        <v>2.5T Lạnh</v>
      </c>
    </row>
    <row r="2306" customHeight="1" spans="1:17">
      <c r="A2306" s="63">
        <f t="shared" si="141"/>
        <v>2298</v>
      </c>
      <c r="B2306" s="64">
        <v>46170</v>
      </c>
      <c r="D2306" s="66" t="s">
        <v>58</v>
      </c>
      <c r="E2306" s="66" t="s">
        <v>58</v>
      </c>
      <c r="F2306" s="66" t="s">
        <v>985</v>
      </c>
      <c r="G2306" s="66" t="s">
        <v>1076</v>
      </c>
      <c r="H2306" s="66" t="s">
        <v>1101</v>
      </c>
      <c r="I2306" s="66" t="s">
        <v>323</v>
      </c>
      <c r="J2306" s="66" t="s">
        <v>321</v>
      </c>
      <c r="K2306" s="66" t="s">
        <v>747</v>
      </c>
      <c r="L2306" s="44">
        <v>190908</v>
      </c>
      <c r="N2306" s="68">
        <f t="shared" si="143"/>
        <v>190908</v>
      </c>
      <c r="O2306" s="69">
        <f t="shared" si="142"/>
        <v>190908</v>
      </c>
      <c r="P2306" s="42" t="str">
        <f>IFERROR(VLOOKUP(J2306,'Mã NV'!$B:$C,2,0),"")</f>
        <v>XE01537</v>
      </c>
      <c r="Q2306" s="70" t="str">
        <f>IFERROR(VLOOKUP(I2306,'Mã NV'!$J:$K,2,0),"")</f>
        <v>2.5T</v>
      </c>
    </row>
    <row r="2307" customHeight="1" spans="1:17">
      <c r="A2307" s="63">
        <f t="shared" si="141"/>
        <v>2299</v>
      </c>
      <c r="B2307" s="64">
        <v>46170</v>
      </c>
      <c r="D2307" s="66" t="s">
        <v>58</v>
      </c>
      <c r="E2307" s="66" t="s">
        <v>58</v>
      </c>
      <c r="F2307" s="66" t="s">
        <v>985</v>
      </c>
      <c r="G2307" s="66" t="s">
        <v>1076</v>
      </c>
      <c r="H2307" s="66" t="s">
        <v>1084</v>
      </c>
      <c r="I2307" s="66" t="s">
        <v>323</v>
      </c>
      <c r="J2307" s="66" t="s">
        <v>321</v>
      </c>
      <c r="K2307" s="66" t="s">
        <v>747</v>
      </c>
      <c r="L2307" s="44">
        <v>257195.5</v>
      </c>
      <c r="N2307" s="68">
        <f t="shared" si="143"/>
        <v>257195.5</v>
      </c>
      <c r="O2307" s="69">
        <f t="shared" si="142"/>
        <v>257195.5</v>
      </c>
      <c r="P2307" s="42" t="str">
        <f>IFERROR(VLOOKUP(J2307,'Mã NV'!$B:$C,2,0),"")</f>
        <v>XE01537</v>
      </c>
      <c r="Q2307" s="70" t="str">
        <f>IFERROR(VLOOKUP(I2307,'Mã NV'!$J:$K,2,0),"")</f>
        <v>2.5T</v>
      </c>
    </row>
    <row r="2308" customHeight="1" spans="1:17">
      <c r="A2308" s="63">
        <f t="shared" si="141"/>
        <v>2300</v>
      </c>
      <c r="B2308" s="64">
        <v>46170</v>
      </c>
      <c r="D2308" s="66" t="s">
        <v>58</v>
      </c>
      <c r="E2308" s="66" t="s">
        <v>58</v>
      </c>
      <c r="F2308" s="66" t="s">
        <v>985</v>
      </c>
      <c r="G2308" s="66" t="s">
        <v>1076</v>
      </c>
      <c r="H2308" s="66" t="s">
        <v>1085</v>
      </c>
      <c r="I2308" s="66" t="s">
        <v>323</v>
      </c>
      <c r="J2308" s="66" t="s">
        <v>321</v>
      </c>
      <c r="K2308" s="66" t="s">
        <v>747</v>
      </c>
      <c r="L2308" s="44">
        <v>161741.5</v>
      </c>
      <c r="N2308" s="68">
        <f t="shared" si="143"/>
        <v>161741.5</v>
      </c>
      <c r="O2308" s="69">
        <f t="shared" si="142"/>
        <v>161741.5</v>
      </c>
      <c r="P2308" s="42" t="str">
        <f>IFERROR(VLOOKUP(J2308,'Mã NV'!$B:$C,2,0),"")</f>
        <v>XE01537</v>
      </c>
      <c r="Q2308" s="70" t="str">
        <f>IFERROR(VLOOKUP(I2308,'Mã NV'!$J:$K,2,0),"")</f>
        <v>2.5T</v>
      </c>
    </row>
    <row r="2309" customHeight="1" spans="1:17">
      <c r="A2309" s="63">
        <f t="shared" si="141"/>
        <v>2301</v>
      </c>
      <c r="B2309" s="64">
        <v>46170</v>
      </c>
      <c r="D2309" s="66" t="s">
        <v>58</v>
      </c>
      <c r="E2309" s="66" t="s">
        <v>58</v>
      </c>
      <c r="F2309" s="66" t="s">
        <v>985</v>
      </c>
      <c r="G2309" s="66" t="s">
        <v>1076</v>
      </c>
      <c r="H2309" s="66" t="s">
        <v>1078</v>
      </c>
      <c r="I2309" s="66" t="s">
        <v>323</v>
      </c>
      <c r="J2309" s="66" t="s">
        <v>321</v>
      </c>
      <c r="K2309" s="66" t="s">
        <v>747</v>
      </c>
      <c r="L2309" s="44">
        <v>177650.5</v>
      </c>
      <c r="N2309" s="68">
        <f t="shared" si="143"/>
        <v>177650.5</v>
      </c>
      <c r="O2309" s="69">
        <f t="shared" si="142"/>
        <v>177650.5</v>
      </c>
      <c r="P2309" s="42" t="str">
        <f>IFERROR(VLOOKUP(J2309,'Mã NV'!$B:$C,2,0),"")</f>
        <v>XE01537</v>
      </c>
      <c r="Q2309" s="70" t="str">
        <f>IFERROR(VLOOKUP(I2309,'Mã NV'!$J:$K,2,0),"")</f>
        <v>2.5T</v>
      </c>
    </row>
    <row r="2310" customHeight="1" spans="1:17">
      <c r="A2310" s="63">
        <f t="shared" si="141"/>
        <v>2302</v>
      </c>
      <c r="B2310" s="64">
        <v>46170</v>
      </c>
      <c r="D2310" s="66" t="s">
        <v>58</v>
      </c>
      <c r="E2310" s="66" t="s">
        <v>58</v>
      </c>
      <c r="F2310" s="66" t="s">
        <v>985</v>
      </c>
      <c r="G2310" s="66" t="s">
        <v>1076</v>
      </c>
      <c r="H2310" s="66" t="s">
        <v>1111</v>
      </c>
      <c r="I2310" s="66" t="s">
        <v>323</v>
      </c>
      <c r="J2310" s="66" t="s">
        <v>321</v>
      </c>
      <c r="K2310" s="66" t="s">
        <v>747</v>
      </c>
      <c r="L2310" s="44">
        <v>74242</v>
      </c>
      <c r="N2310" s="68">
        <f t="shared" si="143"/>
        <v>74242</v>
      </c>
      <c r="O2310" s="69">
        <f t="shared" si="142"/>
        <v>74242</v>
      </c>
      <c r="P2310" s="42" t="str">
        <f>IFERROR(VLOOKUP(J2310,'Mã NV'!$B:$C,2,0),"")</f>
        <v>XE01537</v>
      </c>
      <c r="Q2310" s="70" t="str">
        <f>IFERROR(VLOOKUP(I2310,'Mã NV'!$J:$K,2,0),"")</f>
        <v>2.5T</v>
      </c>
    </row>
    <row r="2311" customHeight="1" spans="1:17">
      <c r="A2311" s="63">
        <f t="shared" si="141"/>
        <v>2303</v>
      </c>
      <c r="B2311" s="64">
        <v>46170</v>
      </c>
      <c r="D2311" s="66" t="s">
        <v>58</v>
      </c>
      <c r="E2311" s="66" t="s">
        <v>58</v>
      </c>
      <c r="F2311" s="66" t="s">
        <v>985</v>
      </c>
      <c r="G2311" s="66" t="s">
        <v>1076</v>
      </c>
      <c r="H2311" s="66" t="s">
        <v>1098</v>
      </c>
      <c r="I2311" s="66" t="s">
        <v>57</v>
      </c>
      <c r="J2311" s="66" t="s">
        <v>55</v>
      </c>
      <c r="K2311" s="66" t="s">
        <v>747</v>
      </c>
      <c r="L2311" s="44">
        <v>127272</v>
      </c>
      <c r="N2311" s="68">
        <f t="shared" si="143"/>
        <v>127272</v>
      </c>
      <c r="O2311" s="69">
        <f t="shared" si="142"/>
        <v>127272</v>
      </c>
      <c r="P2311" s="42" t="str">
        <f>IFERROR(VLOOKUP(J2311,'Mã NV'!$B:$C,2,0),"")</f>
        <v>XE00768</v>
      </c>
      <c r="Q2311" s="70" t="str">
        <f>IFERROR(VLOOKUP(I2311,'Mã NV'!$J:$K,2,0),"")</f>
        <v>2.5T</v>
      </c>
    </row>
    <row r="2312" customHeight="1" spans="1:17">
      <c r="A2312" s="63">
        <f t="shared" si="141"/>
        <v>2304</v>
      </c>
      <c r="B2312" s="64">
        <v>46170</v>
      </c>
      <c r="D2312" s="66" t="s">
        <v>58</v>
      </c>
      <c r="E2312" s="66" t="s">
        <v>58</v>
      </c>
      <c r="F2312" s="66" t="s">
        <v>985</v>
      </c>
      <c r="G2312" s="66" t="s">
        <v>1076</v>
      </c>
      <c r="H2312" s="66" t="s">
        <v>1097</v>
      </c>
      <c r="I2312" s="66" t="s">
        <v>57</v>
      </c>
      <c r="J2312" s="66" t="s">
        <v>55</v>
      </c>
      <c r="K2312" s="66" t="s">
        <v>747</v>
      </c>
      <c r="L2312" s="44">
        <v>434846</v>
      </c>
      <c r="N2312" s="68">
        <f t="shared" si="143"/>
        <v>434846</v>
      </c>
      <c r="O2312" s="69">
        <f t="shared" si="142"/>
        <v>434846</v>
      </c>
      <c r="P2312" s="42" t="str">
        <f>IFERROR(VLOOKUP(J2312,'Mã NV'!$B:$C,2,0),"")</f>
        <v>XE00768</v>
      </c>
      <c r="Q2312" s="70" t="str">
        <f>IFERROR(VLOOKUP(I2312,'Mã NV'!$J:$K,2,0),"")</f>
        <v>2.5T</v>
      </c>
    </row>
    <row r="2313" customHeight="1" spans="1:17">
      <c r="A2313" s="63">
        <f t="shared" si="141"/>
        <v>2305</v>
      </c>
      <c r="B2313" s="64">
        <v>46170</v>
      </c>
      <c r="D2313" s="66" t="s">
        <v>58</v>
      </c>
      <c r="E2313" s="66" t="s">
        <v>58</v>
      </c>
      <c r="F2313" s="66" t="s">
        <v>985</v>
      </c>
      <c r="G2313" s="66" t="s">
        <v>1076</v>
      </c>
      <c r="H2313" s="66" t="s">
        <v>1092</v>
      </c>
      <c r="I2313" s="66" t="s">
        <v>57</v>
      </c>
      <c r="J2313" s="66" t="s">
        <v>55</v>
      </c>
      <c r="K2313" s="66" t="s">
        <v>747</v>
      </c>
      <c r="L2313" s="44">
        <v>289013.5</v>
      </c>
      <c r="N2313" s="68">
        <f t="shared" si="143"/>
        <v>289013.5</v>
      </c>
      <c r="O2313" s="69">
        <f t="shared" si="142"/>
        <v>289013.5</v>
      </c>
      <c r="P2313" s="42" t="str">
        <f>IFERROR(VLOOKUP(J2313,'Mã NV'!$B:$C,2,0),"")</f>
        <v>XE00768</v>
      </c>
      <c r="Q2313" s="70" t="str">
        <f>IFERROR(VLOOKUP(I2313,'Mã NV'!$J:$K,2,0),"")</f>
        <v>2.5T</v>
      </c>
    </row>
    <row r="2314" customHeight="1" spans="1:17">
      <c r="A2314" s="63">
        <f t="shared" si="141"/>
        <v>2306</v>
      </c>
      <c r="B2314" s="64">
        <v>46170</v>
      </c>
      <c r="D2314" s="66" t="s">
        <v>58</v>
      </c>
      <c r="E2314" s="66" t="s">
        <v>58</v>
      </c>
      <c r="F2314" s="66" t="s">
        <v>985</v>
      </c>
      <c r="G2314" s="66" t="s">
        <v>1076</v>
      </c>
      <c r="H2314" s="66" t="s">
        <v>1099</v>
      </c>
      <c r="I2314" s="66" t="s">
        <v>403</v>
      </c>
      <c r="J2314" s="66" t="s">
        <v>401</v>
      </c>
      <c r="K2314" s="66" t="s">
        <v>747</v>
      </c>
      <c r="L2314" s="44">
        <v>201514</v>
      </c>
      <c r="N2314" s="68">
        <f t="shared" si="143"/>
        <v>201514</v>
      </c>
      <c r="O2314" s="69">
        <f t="shared" si="142"/>
        <v>201514</v>
      </c>
      <c r="P2314" s="42" t="str">
        <f>IFERROR(VLOOKUP(J2314,'Mã NV'!$B:$C,2,0),"")</f>
        <v>XE01466</v>
      </c>
      <c r="Q2314" s="70" t="str">
        <f>IFERROR(VLOOKUP(I2314,'Mã NV'!$J:$K,2,0),"")</f>
        <v>3.5T</v>
      </c>
    </row>
    <row r="2315" customHeight="1" spans="1:17">
      <c r="A2315" s="63">
        <f t="shared" si="141"/>
        <v>2307</v>
      </c>
      <c r="B2315" s="64">
        <v>46170</v>
      </c>
      <c r="D2315" s="66" t="s">
        <v>58</v>
      </c>
      <c r="E2315" s="66" t="s">
        <v>58</v>
      </c>
      <c r="F2315" s="66" t="s">
        <v>985</v>
      </c>
      <c r="G2315" s="66" t="s">
        <v>1076</v>
      </c>
      <c r="H2315" s="66" t="s">
        <v>1100</v>
      </c>
      <c r="I2315" s="66" t="s">
        <v>403</v>
      </c>
      <c r="J2315" s="66" t="s">
        <v>401</v>
      </c>
      <c r="K2315" s="66" t="s">
        <v>747</v>
      </c>
      <c r="L2315" s="44">
        <v>238635</v>
      </c>
      <c r="N2315" s="68">
        <f t="shared" si="143"/>
        <v>238635</v>
      </c>
      <c r="O2315" s="69">
        <f t="shared" si="142"/>
        <v>238635</v>
      </c>
      <c r="P2315" s="42" t="str">
        <f>IFERROR(VLOOKUP(J2315,'Mã NV'!$B:$C,2,0),"")</f>
        <v>XE01466</v>
      </c>
      <c r="Q2315" s="70" t="str">
        <f>IFERROR(VLOOKUP(I2315,'Mã NV'!$J:$K,2,0),"")</f>
        <v>3.5T</v>
      </c>
    </row>
    <row r="2316" customHeight="1" spans="1:17">
      <c r="A2316" s="63">
        <f t="shared" si="141"/>
        <v>2308</v>
      </c>
      <c r="B2316" s="64">
        <v>46170</v>
      </c>
      <c r="D2316" s="66" t="s">
        <v>58</v>
      </c>
      <c r="E2316" s="66" t="s">
        <v>58</v>
      </c>
      <c r="F2316" s="66" t="s">
        <v>985</v>
      </c>
      <c r="G2316" s="66" t="s">
        <v>1076</v>
      </c>
      <c r="H2316" s="66" t="s">
        <v>1093</v>
      </c>
      <c r="I2316" s="66" t="s">
        <v>403</v>
      </c>
      <c r="J2316" s="66" t="s">
        <v>401</v>
      </c>
      <c r="K2316" s="66" t="s">
        <v>747</v>
      </c>
      <c r="L2316" s="44">
        <v>259847</v>
      </c>
      <c r="N2316" s="68">
        <f t="shared" si="143"/>
        <v>259847</v>
      </c>
      <c r="O2316" s="69">
        <f t="shared" si="142"/>
        <v>259847</v>
      </c>
      <c r="P2316" s="42" t="str">
        <f>IFERROR(VLOOKUP(J2316,'Mã NV'!$B:$C,2,0),"")</f>
        <v>XE01466</v>
      </c>
      <c r="Q2316" s="70" t="str">
        <f>IFERROR(VLOOKUP(I2316,'Mã NV'!$J:$K,2,0),"")</f>
        <v>3.5T</v>
      </c>
    </row>
    <row r="2317" customHeight="1" spans="1:17">
      <c r="A2317" s="63">
        <f t="shared" si="141"/>
        <v>2309</v>
      </c>
      <c r="B2317" s="64">
        <v>46170</v>
      </c>
      <c r="D2317" s="66" t="s">
        <v>58</v>
      </c>
      <c r="E2317" s="66" t="s">
        <v>58</v>
      </c>
      <c r="F2317" s="66" t="s">
        <v>985</v>
      </c>
      <c r="G2317" s="66" t="s">
        <v>1076</v>
      </c>
      <c r="H2317" s="66" t="s">
        <v>1090</v>
      </c>
      <c r="I2317" s="66" t="s">
        <v>403</v>
      </c>
      <c r="J2317" s="66" t="s">
        <v>401</v>
      </c>
      <c r="K2317" s="66" t="s">
        <v>747</v>
      </c>
      <c r="L2317" s="44">
        <v>331437.5</v>
      </c>
      <c r="N2317" s="68">
        <f t="shared" si="143"/>
        <v>331437.5</v>
      </c>
      <c r="O2317" s="69">
        <f t="shared" si="142"/>
        <v>331437.5</v>
      </c>
      <c r="P2317" s="42" t="str">
        <f>IFERROR(VLOOKUP(J2317,'Mã NV'!$B:$C,2,0),"")</f>
        <v>XE01466</v>
      </c>
      <c r="Q2317" s="70" t="str">
        <f>IFERROR(VLOOKUP(I2317,'Mã NV'!$J:$K,2,0),"")</f>
        <v>3.5T</v>
      </c>
    </row>
    <row r="2318" customHeight="1" spans="1:17">
      <c r="A2318" s="63">
        <f t="shared" si="141"/>
        <v>2310</v>
      </c>
      <c r="B2318" s="64">
        <v>46170</v>
      </c>
      <c r="D2318" s="66" t="s">
        <v>58</v>
      </c>
      <c r="E2318" s="66" t="s">
        <v>58</v>
      </c>
      <c r="F2318" s="66" t="s">
        <v>985</v>
      </c>
      <c r="G2318" s="66" t="s">
        <v>1076</v>
      </c>
      <c r="H2318" s="66" t="s">
        <v>1080</v>
      </c>
      <c r="I2318" s="66" t="s">
        <v>133</v>
      </c>
      <c r="J2318" s="66" t="s">
        <v>347</v>
      </c>
      <c r="K2318" s="66" t="s">
        <v>747</v>
      </c>
      <c r="L2318" s="44">
        <v>349998</v>
      </c>
      <c r="N2318" s="68">
        <f t="shared" si="143"/>
        <v>349998</v>
      </c>
      <c r="O2318" s="69">
        <f t="shared" si="142"/>
        <v>349998</v>
      </c>
      <c r="P2318" s="42" t="str">
        <f>IFERROR(VLOOKUP(J2318,'Mã NV'!$B:$C,2,0),"")</f>
        <v>XE01653</v>
      </c>
      <c r="Q2318" s="70" t="str">
        <f>IFERROR(VLOOKUP(I2318,'Mã NV'!$J:$K,2,0),"")</f>
        <v>2.5T</v>
      </c>
    </row>
    <row r="2319" customHeight="1" spans="1:17">
      <c r="A2319" s="63">
        <f t="shared" si="141"/>
        <v>2311</v>
      </c>
      <c r="B2319" s="64">
        <v>46170</v>
      </c>
      <c r="D2319" s="66" t="s">
        <v>58</v>
      </c>
      <c r="E2319" s="66" t="s">
        <v>58</v>
      </c>
      <c r="F2319" s="66" t="s">
        <v>985</v>
      </c>
      <c r="G2319" s="66" t="s">
        <v>1076</v>
      </c>
      <c r="H2319" s="66" t="s">
        <v>1081</v>
      </c>
      <c r="I2319" s="66" t="s">
        <v>133</v>
      </c>
      <c r="J2319" s="66" t="s">
        <v>347</v>
      </c>
      <c r="K2319" s="66" t="s">
        <v>747</v>
      </c>
      <c r="L2319" s="44">
        <v>307574</v>
      </c>
      <c r="N2319" s="68">
        <f t="shared" si="143"/>
        <v>307574</v>
      </c>
      <c r="O2319" s="69">
        <f t="shared" si="142"/>
        <v>307574</v>
      </c>
      <c r="P2319" s="42" t="str">
        <f>IFERROR(VLOOKUP(J2319,'Mã NV'!$B:$C,2,0),"")</f>
        <v>XE01653</v>
      </c>
      <c r="Q2319" s="70" t="str">
        <f>IFERROR(VLOOKUP(I2319,'Mã NV'!$J:$K,2,0),"")</f>
        <v>2.5T</v>
      </c>
    </row>
    <row r="2320" customHeight="1" spans="1:17">
      <c r="A2320" s="63">
        <f t="shared" si="141"/>
        <v>2312</v>
      </c>
      <c r="B2320" s="64">
        <v>46170</v>
      </c>
      <c r="D2320" s="66" t="s">
        <v>58</v>
      </c>
      <c r="E2320" s="66" t="s">
        <v>58</v>
      </c>
      <c r="F2320" s="66" t="s">
        <v>985</v>
      </c>
      <c r="G2320" s="66" t="s">
        <v>1076</v>
      </c>
      <c r="H2320" s="66" t="s">
        <v>1082</v>
      </c>
      <c r="I2320" s="66" t="s">
        <v>133</v>
      </c>
      <c r="J2320" s="66" t="s">
        <v>347</v>
      </c>
      <c r="K2320" s="66" t="s">
        <v>747</v>
      </c>
      <c r="L2320" s="44">
        <v>304922.5</v>
      </c>
      <c r="N2320" s="68">
        <f t="shared" si="143"/>
        <v>304922.5</v>
      </c>
      <c r="O2320" s="69">
        <f t="shared" si="142"/>
        <v>304922.5</v>
      </c>
      <c r="P2320" s="42" t="str">
        <f>IFERROR(VLOOKUP(J2320,'Mã NV'!$B:$C,2,0),"")</f>
        <v>XE01653</v>
      </c>
      <c r="Q2320" s="70" t="str">
        <f>IFERROR(VLOOKUP(I2320,'Mã NV'!$J:$K,2,0),"")</f>
        <v>2.5T</v>
      </c>
    </row>
    <row r="2321" customHeight="1" spans="1:17">
      <c r="A2321" s="63">
        <f t="shared" ref="A2321:A2384" si="144">A2320+1</f>
        <v>2313</v>
      </c>
      <c r="B2321" s="64">
        <v>46170</v>
      </c>
      <c r="D2321" s="66" t="s">
        <v>58</v>
      </c>
      <c r="E2321" s="66" t="s">
        <v>58</v>
      </c>
      <c r="F2321" s="66" t="s">
        <v>985</v>
      </c>
      <c r="G2321" s="66" t="s">
        <v>1076</v>
      </c>
      <c r="H2321" s="66" t="s">
        <v>1079</v>
      </c>
      <c r="I2321" s="66" t="s">
        <v>133</v>
      </c>
      <c r="J2321" s="66" t="s">
        <v>347</v>
      </c>
      <c r="K2321" s="66" t="s">
        <v>747</v>
      </c>
      <c r="L2321" s="44">
        <v>151135.5</v>
      </c>
      <c r="N2321" s="68">
        <f t="shared" si="143"/>
        <v>151135.5</v>
      </c>
      <c r="O2321" s="69">
        <f t="shared" si="142"/>
        <v>151135.5</v>
      </c>
      <c r="P2321" s="42" t="str">
        <f>IFERROR(VLOOKUP(J2321,'Mã NV'!$B:$C,2,0),"")</f>
        <v>XE01653</v>
      </c>
      <c r="Q2321" s="70" t="str">
        <f>IFERROR(VLOOKUP(I2321,'Mã NV'!$J:$K,2,0),"")</f>
        <v>2.5T</v>
      </c>
    </row>
    <row r="2322" customHeight="1" spans="1:17">
      <c r="A2322" s="63">
        <f t="shared" si="144"/>
        <v>2314</v>
      </c>
      <c r="B2322" s="64">
        <v>46170</v>
      </c>
      <c r="D2322" s="66" t="s">
        <v>58</v>
      </c>
      <c r="E2322" s="66" t="s">
        <v>58</v>
      </c>
      <c r="F2322" s="66" t="s">
        <v>985</v>
      </c>
      <c r="G2322" s="66" t="s">
        <v>1076</v>
      </c>
      <c r="H2322" s="66" t="s">
        <v>1102</v>
      </c>
      <c r="I2322" s="66" t="s">
        <v>134</v>
      </c>
      <c r="J2322" s="66" t="s">
        <v>359</v>
      </c>
      <c r="K2322" s="66" t="s">
        <v>747</v>
      </c>
      <c r="L2322" s="44">
        <v>206817</v>
      </c>
      <c r="N2322" s="68">
        <f t="shared" si="143"/>
        <v>206817</v>
      </c>
      <c r="O2322" s="69">
        <f t="shared" si="142"/>
        <v>206817</v>
      </c>
      <c r="P2322" s="42" t="str">
        <f>IFERROR(VLOOKUP(J2322,'Mã NV'!$B:$C,2,0),"")</f>
        <v>XE01639</v>
      </c>
      <c r="Q2322" s="70" t="str">
        <f>IFERROR(VLOOKUP(I2322,'Mã NV'!$J:$K,2,0),"")</f>
        <v>2.5T Lạnh</v>
      </c>
    </row>
    <row r="2323" customHeight="1" spans="1:17">
      <c r="A2323" s="63">
        <f t="shared" si="144"/>
        <v>2315</v>
      </c>
      <c r="B2323" s="64">
        <v>46170</v>
      </c>
      <c r="D2323" s="66" t="s">
        <v>58</v>
      </c>
      <c r="E2323" s="66" t="s">
        <v>58</v>
      </c>
      <c r="F2323" s="66" t="s">
        <v>985</v>
      </c>
      <c r="G2323" s="66" t="s">
        <v>1076</v>
      </c>
      <c r="H2323" s="66" t="s">
        <v>1096</v>
      </c>
      <c r="I2323" s="66" t="s">
        <v>134</v>
      </c>
      <c r="J2323" s="66" t="s">
        <v>359</v>
      </c>
      <c r="K2323" s="66" t="s">
        <v>747</v>
      </c>
      <c r="L2323" s="44">
        <v>212120</v>
      </c>
      <c r="N2323" s="68">
        <f t="shared" si="143"/>
        <v>212120</v>
      </c>
      <c r="O2323" s="69">
        <f t="shared" si="142"/>
        <v>212120</v>
      </c>
      <c r="P2323" s="42" t="str">
        <f>IFERROR(VLOOKUP(J2323,'Mã NV'!$B:$C,2,0),"")</f>
        <v>XE01639</v>
      </c>
      <c r="Q2323" s="70" t="str">
        <f>IFERROR(VLOOKUP(I2323,'Mã NV'!$J:$K,2,0),"")</f>
        <v>2.5T Lạnh</v>
      </c>
    </row>
    <row r="2324" customHeight="1" spans="1:17">
      <c r="A2324" s="63">
        <f t="shared" si="144"/>
        <v>2316</v>
      </c>
      <c r="B2324" s="64">
        <v>46170</v>
      </c>
      <c r="D2324" s="66" t="s">
        <v>58</v>
      </c>
      <c r="E2324" s="66" t="s">
        <v>58</v>
      </c>
      <c r="F2324" s="66" t="s">
        <v>985</v>
      </c>
      <c r="G2324" s="66" t="s">
        <v>1076</v>
      </c>
      <c r="H2324" s="66" t="s">
        <v>1091</v>
      </c>
      <c r="I2324" s="66" t="s">
        <v>134</v>
      </c>
      <c r="J2324" s="66" t="s">
        <v>359</v>
      </c>
      <c r="K2324" s="66" t="s">
        <v>747</v>
      </c>
      <c r="L2324" s="44">
        <v>182953.5</v>
      </c>
      <c r="N2324" s="68">
        <f t="shared" si="143"/>
        <v>182953.5</v>
      </c>
      <c r="O2324" s="69">
        <f t="shared" si="142"/>
        <v>182953.5</v>
      </c>
      <c r="P2324" s="42" t="str">
        <f>IFERROR(VLOOKUP(J2324,'Mã NV'!$B:$C,2,0),"")</f>
        <v>XE01639</v>
      </c>
      <c r="Q2324" s="70" t="str">
        <f>IFERROR(VLOOKUP(I2324,'Mã NV'!$J:$K,2,0),"")</f>
        <v>2.5T Lạnh</v>
      </c>
    </row>
    <row r="2325" customHeight="1" spans="1:17">
      <c r="A2325" s="63">
        <f t="shared" si="144"/>
        <v>2317</v>
      </c>
      <c r="B2325" s="64">
        <v>46170</v>
      </c>
      <c r="D2325" s="66" t="s">
        <v>58</v>
      </c>
      <c r="E2325" s="66" t="s">
        <v>58</v>
      </c>
      <c r="F2325" s="66" t="s">
        <v>985</v>
      </c>
      <c r="G2325" s="66" t="s">
        <v>1076</v>
      </c>
      <c r="H2325" s="66" t="s">
        <v>1089</v>
      </c>
      <c r="I2325" s="66" t="s">
        <v>177</v>
      </c>
      <c r="J2325" s="66" t="s">
        <v>174</v>
      </c>
      <c r="K2325" s="66" t="s">
        <v>747</v>
      </c>
      <c r="L2325" s="44">
        <v>538254.5</v>
      </c>
      <c r="N2325" s="68">
        <f t="shared" si="143"/>
        <v>538254.5</v>
      </c>
      <c r="O2325" s="69">
        <f t="shared" si="142"/>
        <v>538254.5</v>
      </c>
      <c r="P2325" s="42" t="str">
        <f>IFERROR(VLOOKUP(J2325,'Mã NV'!$B:$C,2,0),"")</f>
        <v>XE00975</v>
      </c>
      <c r="Q2325" s="70" t="str">
        <f>IFERROR(VLOOKUP(I2325,'Mã NV'!$J:$K,2,0),"")</f>
        <v>2.5T Lạnh</v>
      </c>
    </row>
    <row r="2326" customHeight="1" spans="1:17">
      <c r="A2326" s="63">
        <f t="shared" si="144"/>
        <v>2318</v>
      </c>
      <c r="B2326" s="64">
        <v>46170</v>
      </c>
      <c r="D2326" s="66" t="s">
        <v>58</v>
      </c>
      <c r="E2326" s="66" t="s">
        <v>58</v>
      </c>
      <c r="F2326" s="66" t="s">
        <v>985</v>
      </c>
      <c r="G2326" s="66" t="s">
        <v>1076</v>
      </c>
      <c r="H2326" s="66" t="s">
        <v>1088</v>
      </c>
      <c r="I2326" s="66" t="s">
        <v>177</v>
      </c>
      <c r="J2326" s="66" t="s">
        <v>174</v>
      </c>
      <c r="K2326" s="66" t="s">
        <v>747</v>
      </c>
      <c r="L2326" s="44">
        <v>450755</v>
      </c>
      <c r="N2326" s="68">
        <f t="shared" si="143"/>
        <v>450755</v>
      </c>
      <c r="O2326" s="69">
        <f t="shared" si="142"/>
        <v>450755</v>
      </c>
      <c r="P2326" s="42" t="str">
        <f>IFERROR(VLOOKUP(J2326,'Mã NV'!$B:$C,2,0),"")</f>
        <v>XE00975</v>
      </c>
      <c r="Q2326" s="70" t="str">
        <f>IFERROR(VLOOKUP(I2326,'Mã NV'!$J:$K,2,0),"")</f>
        <v>2.5T Lạnh</v>
      </c>
    </row>
    <row r="2327" customHeight="1" spans="1:17">
      <c r="A2327" s="63">
        <f t="shared" si="144"/>
        <v>2319</v>
      </c>
      <c r="B2327" s="64">
        <v>46171</v>
      </c>
      <c r="D2327" s="66" t="s">
        <v>58</v>
      </c>
      <c r="E2327" s="66" t="s">
        <v>58</v>
      </c>
      <c r="F2327" s="66" t="s">
        <v>985</v>
      </c>
      <c r="G2327" s="66" t="s">
        <v>1076</v>
      </c>
      <c r="H2327" s="66" t="s">
        <v>1101</v>
      </c>
      <c r="I2327" s="66" t="s">
        <v>57</v>
      </c>
      <c r="J2327" s="66" t="s">
        <v>55</v>
      </c>
      <c r="K2327" s="66" t="s">
        <v>747</v>
      </c>
      <c r="L2327" s="44">
        <v>233332</v>
      </c>
      <c r="N2327" s="68">
        <f t="shared" si="143"/>
        <v>233332</v>
      </c>
      <c r="O2327" s="69">
        <f t="shared" si="142"/>
        <v>233332</v>
      </c>
      <c r="P2327" s="42" t="str">
        <f>IFERROR(VLOOKUP(J2327,'Mã NV'!$B:$C,2,0),"")</f>
        <v>XE00768</v>
      </c>
      <c r="Q2327" s="70" t="str">
        <f>IFERROR(VLOOKUP(I2327,'Mã NV'!$J:$K,2,0),"")</f>
        <v>2.5T</v>
      </c>
    </row>
    <row r="2328" customHeight="1" spans="1:17">
      <c r="A2328" s="63">
        <f t="shared" si="144"/>
        <v>2320</v>
      </c>
      <c r="B2328" s="64">
        <v>46171</v>
      </c>
      <c r="D2328" s="66" t="s">
        <v>58</v>
      </c>
      <c r="E2328" s="66" t="s">
        <v>58</v>
      </c>
      <c r="F2328" s="66" t="s">
        <v>985</v>
      </c>
      <c r="G2328" s="66" t="s">
        <v>1076</v>
      </c>
      <c r="H2328" s="66" t="s">
        <v>1077</v>
      </c>
      <c r="I2328" s="66" t="s">
        <v>57</v>
      </c>
      <c r="J2328" s="66" t="s">
        <v>55</v>
      </c>
      <c r="K2328" s="66" t="s">
        <v>747</v>
      </c>
      <c r="L2328" s="44">
        <v>551512</v>
      </c>
      <c r="N2328" s="68">
        <f t="shared" si="143"/>
        <v>551512</v>
      </c>
      <c r="O2328" s="69">
        <f t="shared" si="142"/>
        <v>551512</v>
      </c>
      <c r="P2328" s="42" t="str">
        <f>IFERROR(VLOOKUP(J2328,'Mã NV'!$B:$C,2,0),"")</f>
        <v>XE00768</v>
      </c>
      <c r="Q2328" s="70" t="str">
        <f>IFERROR(VLOOKUP(I2328,'Mã NV'!$J:$K,2,0),"")</f>
        <v>2.5T</v>
      </c>
    </row>
    <row r="2329" customHeight="1" spans="1:17">
      <c r="A2329" s="63">
        <f t="shared" si="144"/>
        <v>2321</v>
      </c>
      <c r="B2329" s="64">
        <v>46171</v>
      </c>
      <c r="D2329" s="66" t="s">
        <v>58</v>
      </c>
      <c r="E2329" s="66" t="s">
        <v>58</v>
      </c>
      <c r="F2329" s="66" t="s">
        <v>985</v>
      </c>
      <c r="G2329" s="66" t="s">
        <v>1076</v>
      </c>
      <c r="H2329" s="66" t="s">
        <v>1084</v>
      </c>
      <c r="I2329" s="66" t="s">
        <v>57</v>
      </c>
      <c r="J2329" s="66" t="s">
        <v>55</v>
      </c>
      <c r="K2329" s="66" t="s">
        <v>747</v>
      </c>
      <c r="L2329" s="44">
        <v>180302</v>
      </c>
      <c r="N2329" s="68">
        <f t="shared" si="143"/>
        <v>180302</v>
      </c>
      <c r="O2329" s="69">
        <f t="shared" si="142"/>
        <v>180302</v>
      </c>
      <c r="P2329" s="42" t="str">
        <f>IFERROR(VLOOKUP(J2329,'Mã NV'!$B:$C,2,0),"")</f>
        <v>XE00768</v>
      </c>
      <c r="Q2329" s="70" t="str">
        <f>IFERROR(VLOOKUP(I2329,'Mã NV'!$J:$K,2,0),"")</f>
        <v>2.5T</v>
      </c>
    </row>
    <row r="2330" customHeight="1" spans="1:17">
      <c r="A2330" s="63">
        <f t="shared" si="144"/>
        <v>2322</v>
      </c>
      <c r="B2330" s="64">
        <v>46171</v>
      </c>
      <c r="D2330" s="66" t="s">
        <v>58</v>
      </c>
      <c r="E2330" s="66" t="s">
        <v>58</v>
      </c>
      <c r="F2330" s="66" t="s">
        <v>985</v>
      </c>
      <c r="G2330" s="66" t="s">
        <v>1076</v>
      </c>
      <c r="H2330" s="66" t="s">
        <v>1080</v>
      </c>
      <c r="I2330" s="66" t="s">
        <v>403</v>
      </c>
      <c r="J2330" s="66" t="s">
        <v>401</v>
      </c>
      <c r="K2330" s="66" t="s">
        <v>747</v>
      </c>
      <c r="L2330" s="44">
        <v>238635</v>
      </c>
      <c r="N2330" s="68">
        <f t="shared" si="143"/>
        <v>238635</v>
      </c>
      <c r="O2330" s="69">
        <f t="shared" si="142"/>
        <v>238635</v>
      </c>
      <c r="P2330" s="42" t="str">
        <f>IFERROR(VLOOKUP(J2330,'Mã NV'!$B:$C,2,0),"")</f>
        <v>XE01466</v>
      </c>
      <c r="Q2330" s="70" t="str">
        <f>IFERROR(VLOOKUP(I2330,'Mã NV'!$J:$K,2,0),"")</f>
        <v>3.5T</v>
      </c>
    </row>
    <row r="2331" customHeight="1" spans="1:17">
      <c r="A2331" s="63">
        <f t="shared" si="144"/>
        <v>2323</v>
      </c>
      <c r="B2331" s="64">
        <v>46171</v>
      </c>
      <c r="D2331" s="66" t="s">
        <v>58</v>
      </c>
      <c r="E2331" s="66" t="s">
        <v>58</v>
      </c>
      <c r="F2331" s="66" t="s">
        <v>985</v>
      </c>
      <c r="G2331" s="66" t="s">
        <v>1076</v>
      </c>
      <c r="H2331" s="66" t="s">
        <v>1081</v>
      </c>
      <c r="I2331" s="66" t="s">
        <v>403</v>
      </c>
      <c r="J2331" s="66" t="s">
        <v>401</v>
      </c>
      <c r="K2331" s="66" t="s">
        <v>747</v>
      </c>
      <c r="L2331" s="44">
        <v>222726</v>
      </c>
      <c r="N2331" s="68">
        <f t="shared" si="143"/>
        <v>222726</v>
      </c>
      <c r="O2331" s="69">
        <f t="shared" si="142"/>
        <v>222726</v>
      </c>
      <c r="P2331" s="42" t="str">
        <f>IFERROR(VLOOKUP(J2331,'Mã NV'!$B:$C,2,0),"")</f>
        <v>XE01466</v>
      </c>
      <c r="Q2331" s="70" t="str">
        <f>IFERROR(VLOOKUP(I2331,'Mã NV'!$J:$K,2,0),"")</f>
        <v>3.5T</v>
      </c>
    </row>
    <row r="2332" customHeight="1" spans="1:17">
      <c r="A2332" s="63">
        <f t="shared" si="144"/>
        <v>2324</v>
      </c>
      <c r="B2332" s="64">
        <v>46171</v>
      </c>
      <c r="D2332" s="66" t="s">
        <v>58</v>
      </c>
      <c r="E2332" s="66" t="s">
        <v>58</v>
      </c>
      <c r="F2332" s="66" t="s">
        <v>985</v>
      </c>
      <c r="G2332" s="66" t="s">
        <v>1076</v>
      </c>
      <c r="H2332" s="66" t="s">
        <v>1082</v>
      </c>
      <c r="I2332" s="66" t="s">
        <v>403</v>
      </c>
      <c r="J2332" s="66" t="s">
        <v>401</v>
      </c>
      <c r="K2332" s="66" t="s">
        <v>747</v>
      </c>
      <c r="L2332" s="44">
        <v>286362</v>
      </c>
      <c r="N2332" s="68">
        <f t="shared" si="143"/>
        <v>286362</v>
      </c>
      <c r="O2332" s="69">
        <f t="shared" si="142"/>
        <v>286362</v>
      </c>
      <c r="P2332" s="42" t="str">
        <f>IFERROR(VLOOKUP(J2332,'Mã NV'!$B:$C,2,0),"")</f>
        <v>XE01466</v>
      </c>
      <c r="Q2332" s="70" t="str">
        <f>IFERROR(VLOOKUP(I2332,'Mã NV'!$J:$K,2,0),"")</f>
        <v>3.5T</v>
      </c>
    </row>
    <row r="2333" customHeight="1" spans="1:17">
      <c r="A2333" s="63">
        <f t="shared" si="144"/>
        <v>2325</v>
      </c>
      <c r="B2333" s="64">
        <v>46171</v>
      </c>
      <c r="D2333" s="66" t="s">
        <v>58</v>
      </c>
      <c r="E2333" s="66" t="s">
        <v>58</v>
      </c>
      <c r="F2333" s="66" t="s">
        <v>985</v>
      </c>
      <c r="G2333" s="66" t="s">
        <v>1076</v>
      </c>
      <c r="H2333" s="66" t="s">
        <v>1083</v>
      </c>
      <c r="I2333" s="66" t="s">
        <v>403</v>
      </c>
      <c r="J2333" s="66" t="s">
        <v>401</v>
      </c>
      <c r="K2333" s="66" t="s">
        <v>747</v>
      </c>
      <c r="L2333" s="44">
        <v>204165.5</v>
      </c>
      <c r="N2333" s="68">
        <f t="shared" si="143"/>
        <v>204165.5</v>
      </c>
      <c r="O2333" s="69">
        <f t="shared" si="142"/>
        <v>204165.5</v>
      </c>
      <c r="P2333" s="42" t="str">
        <f>IFERROR(VLOOKUP(J2333,'Mã NV'!$B:$C,2,0),"")</f>
        <v>XE01466</v>
      </c>
      <c r="Q2333" s="70" t="str">
        <f>IFERROR(VLOOKUP(I2333,'Mã NV'!$J:$K,2,0),"")</f>
        <v>3.5T</v>
      </c>
    </row>
    <row r="2334" customHeight="1" spans="1:17">
      <c r="A2334" s="63">
        <f t="shared" si="144"/>
        <v>2326</v>
      </c>
      <c r="B2334" s="64">
        <v>46171</v>
      </c>
      <c r="D2334" s="66" t="s">
        <v>58</v>
      </c>
      <c r="E2334" s="66" t="s">
        <v>58</v>
      </c>
      <c r="F2334" s="66" t="s">
        <v>985</v>
      </c>
      <c r="G2334" s="66" t="s">
        <v>1076</v>
      </c>
      <c r="H2334" s="66" t="s">
        <v>1109</v>
      </c>
      <c r="I2334" s="66" t="s">
        <v>403</v>
      </c>
      <c r="J2334" s="66" t="s">
        <v>401</v>
      </c>
      <c r="K2334" s="66" t="s">
        <v>747</v>
      </c>
      <c r="L2334" s="44">
        <v>29166.5</v>
      </c>
      <c r="N2334" s="68">
        <f t="shared" si="143"/>
        <v>29166.5</v>
      </c>
      <c r="O2334" s="69">
        <f t="shared" si="142"/>
        <v>29166.5</v>
      </c>
      <c r="P2334" s="42" t="str">
        <f>IFERROR(VLOOKUP(J2334,'Mã NV'!$B:$C,2,0),"")</f>
        <v>XE01466</v>
      </c>
      <c r="Q2334" s="70" t="str">
        <f>IFERROR(VLOOKUP(I2334,'Mã NV'!$J:$K,2,0),"")</f>
        <v>3.5T</v>
      </c>
    </row>
    <row r="2335" customHeight="1" spans="1:17">
      <c r="A2335" s="63">
        <f t="shared" si="144"/>
        <v>2327</v>
      </c>
      <c r="B2335" s="64">
        <v>46171</v>
      </c>
      <c r="D2335" s="66" t="s">
        <v>58</v>
      </c>
      <c r="E2335" s="66" t="s">
        <v>58</v>
      </c>
      <c r="F2335" s="66" t="s">
        <v>985</v>
      </c>
      <c r="G2335" s="66" t="s">
        <v>1076</v>
      </c>
      <c r="H2335" s="66" t="s">
        <v>1104</v>
      </c>
      <c r="I2335" s="66" t="s">
        <v>177</v>
      </c>
      <c r="J2335" s="66" t="s">
        <v>174</v>
      </c>
      <c r="K2335" s="66" t="s">
        <v>747</v>
      </c>
      <c r="L2335" s="44">
        <v>228029</v>
      </c>
      <c r="N2335" s="68">
        <f t="shared" si="143"/>
        <v>228029</v>
      </c>
      <c r="O2335" s="69">
        <f t="shared" si="142"/>
        <v>228029</v>
      </c>
      <c r="P2335" s="42" t="str">
        <f>IFERROR(VLOOKUP(J2335,'Mã NV'!$B:$C,2,0),"")</f>
        <v>XE00975</v>
      </c>
      <c r="Q2335" s="70" t="str">
        <f>IFERROR(VLOOKUP(I2335,'Mã NV'!$J:$K,2,0),"")</f>
        <v>2.5T Lạnh</v>
      </c>
    </row>
    <row r="2336" customHeight="1" spans="1:17">
      <c r="A2336" s="63">
        <f t="shared" si="144"/>
        <v>2328</v>
      </c>
      <c r="B2336" s="64">
        <v>46171</v>
      </c>
      <c r="D2336" s="66" t="s">
        <v>58</v>
      </c>
      <c r="E2336" s="66" t="s">
        <v>58</v>
      </c>
      <c r="F2336" s="66" t="s">
        <v>985</v>
      </c>
      <c r="G2336" s="66" t="s">
        <v>1076</v>
      </c>
      <c r="H2336" s="66" t="s">
        <v>1103</v>
      </c>
      <c r="I2336" s="66" t="s">
        <v>177</v>
      </c>
      <c r="J2336" s="66" t="s">
        <v>174</v>
      </c>
      <c r="K2336" s="66" t="s">
        <v>747</v>
      </c>
      <c r="L2336" s="44">
        <v>98105.5</v>
      </c>
      <c r="N2336" s="68">
        <f t="shared" si="143"/>
        <v>98105.5</v>
      </c>
      <c r="O2336" s="69">
        <f t="shared" si="142"/>
        <v>98105.5</v>
      </c>
      <c r="P2336" s="42" t="str">
        <f>IFERROR(VLOOKUP(J2336,'Mã NV'!$B:$C,2,0),"")</f>
        <v>XE00975</v>
      </c>
      <c r="Q2336" s="70" t="str">
        <f>IFERROR(VLOOKUP(I2336,'Mã NV'!$J:$K,2,0),"")</f>
        <v>2.5T Lạnh</v>
      </c>
    </row>
    <row r="2337" customHeight="1" spans="1:17">
      <c r="A2337" s="63">
        <f t="shared" si="144"/>
        <v>2329</v>
      </c>
      <c r="B2337" s="64">
        <v>46171</v>
      </c>
      <c r="D2337" s="66" t="s">
        <v>58</v>
      </c>
      <c r="E2337" s="66" t="s">
        <v>58</v>
      </c>
      <c r="F2337" s="66" t="s">
        <v>985</v>
      </c>
      <c r="G2337" s="66" t="s">
        <v>1076</v>
      </c>
      <c r="H2337" s="66" t="s">
        <v>1086</v>
      </c>
      <c r="I2337" s="66" t="s">
        <v>177</v>
      </c>
      <c r="J2337" s="66" t="s">
        <v>174</v>
      </c>
      <c r="K2337" s="66" t="s">
        <v>747</v>
      </c>
      <c r="L2337" s="44">
        <v>241286.5</v>
      </c>
      <c r="N2337" s="68">
        <f t="shared" si="143"/>
        <v>241286.5</v>
      </c>
      <c r="O2337" s="69">
        <f t="shared" si="142"/>
        <v>241286.5</v>
      </c>
      <c r="P2337" s="42" t="str">
        <f>IFERROR(VLOOKUP(J2337,'Mã NV'!$B:$C,2,0),"")</f>
        <v>XE00975</v>
      </c>
      <c r="Q2337" s="70" t="str">
        <f>IFERROR(VLOOKUP(I2337,'Mã NV'!$J:$K,2,0),"")</f>
        <v>2.5T Lạnh</v>
      </c>
    </row>
    <row r="2338" customHeight="1" spans="1:17">
      <c r="A2338" s="63">
        <f t="shared" si="144"/>
        <v>2330</v>
      </c>
      <c r="B2338" s="64">
        <v>46171</v>
      </c>
      <c r="D2338" s="66" t="s">
        <v>58</v>
      </c>
      <c r="E2338" s="66" t="s">
        <v>58</v>
      </c>
      <c r="F2338" s="66" t="s">
        <v>985</v>
      </c>
      <c r="G2338" s="66" t="s">
        <v>1076</v>
      </c>
      <c r="H2338" s="66" t="s">
        <v>1087</v>
      </c>
      <c r="I2338" s="66" t="s">
        <v>177</v>
      </c>
      <c r="J2338" s="66" t="s">
        <v>174</v>
      </c>
      <c r="K2338" s="66" t="s">
        <v>747</v>
      </c>
      <c r="L2338" s="44">
        <v>233332</v>
      </c>
      <c r="N2338" s="68">
        <f t="shared" si="143"/>
        <v>233332</v>
      </c>
      <c r="O2338" s="69">
        <f t="shared" si="142"/>
        <v>233332</v>
      </c>
      <c r="P2338" s="42" t="str">
        <f>IFERROR(VLOOKUP(J2338,'Mã NV'!$B:$C,2,0),"")</f>
        <v>XE00975</v>
      </c>
      <c r="Q2338" s="70" t="str">
        <f>IFERROR(VLOOKUP(I2338,'Mã NV'!$J:$K,2,0),"")</f>
        <v>2.5T Lạnh</v>
      </c>
    </row>
    <row r="2339" customHeight="1" spans="1:17">
      <c r="A2339" s="63">
        <f t="shared" si="144"/>
        <v>2331</v>
      </c>
      <c r="B2339" s="64">
        <v>46171</v>
      </c>
      <c r="D2339" s="66" t="s">
        <v>58</v>
      </c>
      <c r="E2339" s="66" t="s">
        <v>58</v>
      </c>
      <c r="F2339" s="66" t="s">
        <v>985</v>
      </c>
      <c r="G2339" s="66" t="s">
        <v>1076</v>
      </c>
      <c r="H2339" s="66" t="s">
        <v>1085</v>
      </c>
      <c r="I2339" s="66" t="s">
        <v>323</v>
      </c>
      <c r="J2339" s="66" t="s">
        <v>321</v>
      </c>
      <c r="K2339" s="66" t="s">
        <v>747</v>
      </c>
      <c r="L2339" s="44">
        <v>151135.5</v>
      </c>
      <c r="N2339" s="68">
        <f t="shared" si="143"/>
        <v>151135.5</v>
      </c>
      <c r="O2339" s="69">
        <f t="shared" si="142"/>
        <v>151135.5</v>
      </c>
      <c r="P2339" s="42" t="str">
        <f>IFERROR(VLOOKUP(J2339,'Mã NV'!$B:$C,2,0),"")</f>
        <v>XE01537</v>
      </c>
      <c r="Q2339" s="70" t="str">
        <f>IFERROR(VLOOKUP(I2339,'Mã NV'!$J:$K,2,0),"")</f>
        <v>2.5T</v>
      </c>
    </row>
    <row r="2340" customHeight="1" spans="1:17">
      <c r="A2340" s="63">
        <f t="shared" si="144"/>
        <v>2332</v>
      </c>
      <c r="B2340" s="64">
        <v>46171</v>
      </c>
      <c r="D2340" s="66" t="s">
        <v>58</v>
      </c>
      <c r="E2340" s="66" t="s">
        <v>58</v>
      </c>
      <c r="F2340" s="66" t="s">
        <v>985</v>
      </c>
      <c r="G2340" s="66" t="s">
        <v>1076</v>
      </c>
      <c r="H2340" s="66" t="s">
        <v>1078</v>
      </c>
      <c r="I2340" s="66" t="s">
        <v>323</v>
      </c>
      <c r="J2340" s="66" t="s">
        <v>321</v>
      </c>
      <c r="K2340" s="66" t="s">
        <v>747</v>
      </c>
      <c r="L2340" s="44">
        <v>212120</v>
      </c>
      <c r="N2340" s="68">
        <f t="shared" si="143"/>
        <v>212120</v>
      </c>
      <c r="O2340" s="69">
        <f t="shared" si="142"/>
        <v>212120</v>
      </c>
      <c r="P2340" s="42" t="str">
        <f>IFERROR(VLOOKUP(J2340,'Mã NV'!$B:$C,2,0),"")</f>
        <v>XE01537</v>
      </c>
      <c r="Q2340" s="70" t="str">
        <f>IFERROR(VLOOKUP(I2340,'Mã NV'!$J:$K,2,0),"")</f>
        <v>2.5T</v>
      </c>
    </row>
    <row r="2341" customHeight="1" spans="1:17">
      <c r="A2341" s="63">
        <f t="shared" si="144"/>
        <v>2333</v>
      </c>
      <c r="B2341" s="64">
        <v>46171</v>
      </c>
      <c r="D2341" s="66" t="s">
        <v>58</v>
      </c>
      <c r="E2341" s="66" t="s">
        <v>58</v>
      </c>
      <c r="F2341" s="66" t="s">
        <v>985</v>
      </c>
      <c r="G2341" s="66" t="s">
        <v>1076</v>
      </c>
      <c r="H2341" s="66" t="s">
        <v>1111</v>
      </c>
      <c r="I2341" s="66" t="s">
        <v>323</v>
      </c>
      <c r="J2341" s="66" t="s">
        <v>321</v>
      </c>
      <c r="K2341" s="66" t="s">
        <v>747</v>
      </c>
      <c r="L2341" s="44">
        <v>169696</v>
      </c>
      <c r="N2341" s="68">
        <f t="shared" si="143"/>
        <v>169696</v>
      </c>
      <c r="O2341" s="69">
        <f t="shared" si="142"/>
        <v>169696</v>
      </c>
      <c r="P2341" s="42" t="str">
        <f>IFERROR(VLOOKUP(J2341,'Mã NV'!$B:$C,2,0),"")</f>
        <v>XE01537</v>
      </c>
      <c r="Q2341" s="70" t="str">
        <f>IFERROR(VLOOKUP(I2341,'Mã NV'!$J:$K,2,0),"")</f>
        <v>2.5T</v>
      </c>
    </row>
    <row r="2342" customHeight="1" spans="1:17">
      <c r="A2342" s="63">
        <f t="shared" si="144"/>
        <v>2334</v>
      </c>
      <c r="B2342" s="64">
        <v>46171</v>
      </c>
      <c r="D2342" s="66" t="s">
        <v>58</v>
      </c>
      <c r="E2342" s="66" t="s">
        <v>58</v>
      </c>
      <c r="F2342" s="66" t="s">
        <v>985</v>
      </c>
      <c r="G2342" s="66" t="s">
        <v>1076</v>
      </c>
      <c r="H2342" s="66" t="s">
        <v>1079</v>
      </c>
      <c r="I2342" s="66" t="s">
        <v>323</v>
      </c>
      <c r="J2342" s="66" t="s">
        <v>321</v>
      </c>
      <c r="K2342" s="66" t="s">
        <v>747</v>
      </c>
      <c r="L2342" s="44">
        <v>161741.5</v>
      </c>
      <c r="N2342" s="68">
        <f t="shared" si="143"/>
        <v>161741.5</v>
      </c>
      <c r="O2342" s="69">
        <f t="shared" si="142"/>
        <v>161741.5</v>
      </c>
      <c r="P2342" s="42" t="str">
        <f>IFERROR(VLOOKUP(J2342,'Mã NV'!$B:$C,2,0),"")</f>
        <v>XE01537</v>
      </c>
      <c r="Q2342" s="70" t="str">
        <f>IFERROR(VLOOKUP(I2342,'Mã NV'!$J:$K,2,0),"")</f>
        <v>2.5T</v>
      </c>
    </row>
    <row r="2343" customHeight="1" spans="1:17">
      <c r="A2343" s="63">
        <f t="shared" si="144"/>
        <v>2335</v>
      </c>
      <c r="B2343" s="64">
        <v>46171</v>
      </c>
      <c r="D2343" s="66" t="s">
        <v>58</v>
      </c>
      <c r="E2343" s="66" t="s">
        <v>58</v>
      </c>
      <c r="F2343" s="66" t="s">
        <v>985</v>
      </c>
      <c r="G2343" s="66" t="s">
        <v>1076</v>
      </c>
      <c r="H2343" s="66" t="s">
        <v>1102</v>
      </c>
      <c r="I2343" s="66" t="s">
        <v>133</v>
      </c>
      <c r="J2343" s="66" t="s">
        <v>347</v>
      </c>
      <c r="K2343" s="66" t="s">
        <v>747</v>
      </c>
      <c r="L2343" s="44">
        <v>405679.5</v>
      </c>
      <c r="N2343" s="68">
        <f t="shared" si="143"/>
        <v>405679.5</v>
      </c>
      <c r="O2343" s="69">
        <f t="shared" si="142"/>
        <v>405679.5</v>
      </c>
      <c r="P2343" s="42" t="str">
        <f>IFERROR(VLOOKUP(J2343,'Mã NV'!$B:$C,2,0),"")</f>
        <v>XE01653</v>
      </c>
      <c r="Q2343" s="70" t="str">
        <f>IFERROR(VLOOKUP(I2343,'Mã NV'!$J:$K,2,0),"")</f>
        <v>2.5T</v>
      </c>
    </row>
    <row r="2344" customHeight="1" spans="1:17">
      <c r="A2344" s="63">
        <f t="shared" si="144"/>
        <v>2336</v>
      </c>
      <c r="B2344" s="64">
        <v>46171</v>
      </c>
      <c r="D2344" s="66" t="s">
        <v>58</v>
      </c>
      <c r="E2344" s="66" t="s">
        <v>58</v>
      </c>
      <c r="F2344" s="66" t="s">
        <v>985</v>
      </c>
      <c r="G2344" s="66" t="s">
        <v>1076</v>
      </c>
      <c r="H2344" s="66" t="s">
        <v>1095</v>
      </c>
      <c r="I2344" s="66" t="s">
        <v>133</v>
      </c>
      <c r="J2344" s="66" t="s">
        <v>347</v>
      </c>
      <c r="K2344" s="66" t="s">
        <v>747</v>
      </c>
      <c r="L2344" s="44">
        <v>307574</v>
      </c>
      <c r="N2344" s="68">
        <f t="shared" si="143"/>
        <v>307574</v>
      </c>
      <c r="O2344" s="69">
        <f t="shared" si="142"/>
        <v>307574</v>
      </c>
      <c r="P2344" s="42" t="str">
        <f>IFERROR(VLOOKUP(J2344,'Mã NV'!$B:$C,2,0),"")</f>
        <v>XE01653</v>
      </c>
      <c r="Q2344" s="70" t="str">
        <f>IFERROR(VLOOKUP(I2344,'Mã NV'!$J:$K,2,0),"")</f>
        <v>2.5T</v>
      </c>
    </row>
    <row r="2345" customHeight="1" spans="1:17">
      <c r="A2345" s="63">
        <f t="shared" si="144"/>
        <v>2337</v>
      </c>
      <c r="B2345" s="64">
        <v>46171</v>
      </c>
      <c r="D2345" s="66" t="s">
        <v>58</v>
      </c>
      <c r="E2345" s="66" t="s">
        <v>58</v>
      </c>
      <c r="F2345" s="66" t="s">
        <v>985</v>
      </c>
      <c r="G2345" s="66" t="s">
        <v>1076</v>
      </c>
      <c r="H2345" s="66" t="s">
        <v>1094</v>
      </c>
      <c r="I2345" s="66" t="s">
        <v>133</v>
      </c>
      <c r="J2345" s="66" t="s">
        <v>347</v>
      </c>
      <c r="K2345" s="66" t="s">
        <v>747</v>
      </c>
      <c r="L2345" s="44">
        <v>119317.5</v>
      </c>
      <c r="N2345" s="68">
        <f t="shared" si="143"/>
        <v>119317.5</v>
      </c>
      <c r="O2345" s="69">
        <f t="shared" si="142"/>
        <v>119317.5</v>
      </c>
      <c r="P2345" s="42" t="str">
        <f>IFERROR(VLOOKUP(J2345,'Mã NV'!$B:$C,2,0),"")</f>
        <v>XE01653</v>
      </c>
      <c r="Q2345" s="70" t="str">
        <f>IFERROR(VLOOKUP(I2345,'Mã NV'!$J:$K,2,0),"")</f>
        <v>2.5T</v>
      </c>
    </row>
    <row r="2346" customHeight="1" spans="1:17">
      <c r="A2346" s="63">
        <f t="shared" si="144"/>
        <v>2338</v>
      </c>
      <c r="B2346" s="64">
        <v>46171</v>
      </c>
      <c r="D2346" s="66" t="s">
        <v>58</v>
      </c>
      <c r="E2346" s="66" t="s">
        <v>58</v>
      </c>
      <c r="F2346" s="66" t="s">
        <v>985</v>
      </c>
      <c r="G2346" s="66" t="s">
        <v>1076</v>
      </c>
      <c r="H2346" s="66" t="s">
        <v>1089</v>
      </c>
      <c r="I2346" s="66" t="s">
        <v>57</v>
      </c>
      <c r="J2346" s="66" t="s">
        <v>55</v>
      </c>
      <c r="K2346" s="66" t="s">
        <v>747</v>
      </c>
      <c r="L2346" s="44">
        <v>349998</v>
      </c>
      <c r="N2346" s="68">
        <f t="shared" si="143"/>
        <v>349998</v>
      </c>
      <c r="O2346" s="69">
        <f t="shared" si="142"/>
        <v>349998</v>
      </c>
      <c r="P2346" s="42" t="str">
        <f>IFERROR(VLOOKUP(J2346,'Mã NV'!$B:$C,2,0),"")</f>
        <v>XE00768</v>
      </c>
      <c r="Q2346" s="70" t="str">
        <f>IFERROR(VLOOKUP(I2346,'Mã NV'!$J:$K,2,0),"")</f>
        <v>2.5T</v>
      </c>
    </row>
    <row r="2347" customHeight="1" spans="1:17">
      <c r="A2347" s="63">
        <f t="shared" si="144"/>
        <v>2339</v>
      </c>
      <c r="B2347" s="64">
        <v>46171</v>
      </c>
      <c r="D2347" s="66" t="s">
        <v>58</v>
      </c>
      <c r="E2347" s="66" t="s">
        <v>58</v>
      </c>
      <c r="F2347" s="66" t="s">
        <v>985</v>
      </c>
      <c r="G2347" s="66" t="s">
        <v>1076</v>
      </c>
      <c r="H2347" s="66" t="s">
        <v>1091</v>
      </c>
      <c r="I2347" s="66" t="s">
        <v>57</v>
      </c>
      <c r="J2347" s="66" t="s">
        <v>55</v>
      </c>
      <c r="K2347" s="66" t="s">
        <v>747</v>
      </c>
      <c r="L2347" s="44">
        <v>347346.5</v>
      </c>
      <c r="N2347" s="68">
        <f t="shared" si="143"/>
        <v>347346.5</v>
      </c>
      <c r="O2347" s="69">
        <f t="shared" si="142"/>
        <v>347346.5</v>
      </c>
      <c r="P2347" s="42" t="str">
        <f>IFERROR(VLOOKUP(J2347,'Mã NV'!$B:$C,2,0),"")</f>
        <v>XE00768</v>
      </c>
      <c r="Q2347" s="70" t="str">
        <f>IFERROR(VLOOKUP(I2347,'Mã NV'!$J:$K,2,0),"")</f>
        <v>2.5T</v>
      </c>
    </row>
    <row r="2348" customHeight="1" spans="1:17">
      <c r="A2348" s="63">
        <f t="shared" si="144"/>
        <v>2340</v>
      </c>
      <c r="B2348" s="64">
        <v>46171</v>
      </c>
      <c r="D2348" s="66" t="s">
        <v>58</v>
      </c>
      <c r="E2348" s="66" t="s">
        <v>58</v>
      </c>
      <c r="F2348" s="66" t="s">
        <v>985</v>
      </c>
      <c r="G2348" s="66" t="s">
        <v>1076</v>
      </c>
      <c r="H2348" s="66" t="s">
        <v>1096</v>
      </c>
      <c r="I2348" s="66" t="s">
        <v>57</v>
      </c>
      <c r="J2348" s="66" t="s">
        <v>55</v>
      </c>
      <c r="K2348" s="66" t="s">
        <v>747</v>
      </c>
      <c r="L2348" s="44">
        <v>238635</v>
      </c>
      <c r="N2348" s="68">
        <f t="shared" si="143"/>
        <v>238635</v>
      </c>
      <c r="O2348" s="69">
        <f t="shared" si="142"/>
        <v>238635</v>
      </c>
      <c r="P2348" s="42" t="str">
        <f>IFERROR(VLOOKUP(J2348,'Mã NV'!$B:$C,2,0),"")</f>
        <v>XE00768</v>
      </c>
      <c r="Q2348" s="70" t="str">
        <f>IFERROR(VLOOKUP(I2348,'Mã NV'!$J:$K,2,0),"")</f>
        <v>2.5T</v>
      </c>
    </row>
    <row r="2349" customHeight="1" spans="1:17">
      <c r="A2349" s="63">
        <f t="shared" si="144"/>
        <v>2341</v>
      </c>
      <c r="B2349" s="64">
        <v>46171</v>
      </c>
      <c r="D2349" s="66" t="s">
        <v>58</v>
      </c>
      <c r="E2349" s="66" t="s">
        <v>58</v>
      </c>
      <c r="F2349" s="66" t="s">
        <v>985</v>
      </c>
      <c r="G2349" s="66" t="s">
        <v>1076</v>
      </c>
      <c r="H2349" s="66" t="s">
        <v>1099</v>
      </c>
      <c r="I2349" s="66" t="s">
        <v>403</v>
      </c>
      <c r="J2349" s="66" t="s">
        <v>401</v>
      </c>
      <c r="K2349" s="66" t="s">
        <v>747</v>
      </c>
      <c r="L2349" s="44">
        <v>190908</v>
      </c>
      <c r="N2349" s="68">
        <f t="shared" si="143"/>
        <v>190908</v>
      </c>
      <c r="O2349" s="69">
        <f t="shared" si="142"/>
        <v>190908</v>
      </c>
      <c r="P2349" s="42" t="str">
        <f>IFERROR(VLOOKUP(J2349,'Mã NV'!$B:$C,2,0),"")</f>
        <v>XE01466</v>
      </c>
      <c r="Q2349" s="70" t="str">
        <f>IFERROR(VLOOKUP(I2349,'Mã NV'!$J:$K,2,0),"")</f>
        <v>3.5T</v>
      </c>
    </row>
    <row r="2350" customHeight="1" spans="1:17">
      <c r="A2350" s="63">
        <f t="shared" si="144"/>
        <v>2342</v>
      </c>
      <c r="B2350" s="64">
        <v>46171</v>
      </c>
      <c r="D2350" s="66" t="s">
        <v>58</v>
      </c>
      <c r="E2350" s="66" t="s">
        <v>58</v>
      </c>
      <c r="F2350" s="66" t="s">
        <v>985</v>
      </c>
      <c r="G2350" s="66" t="s">
        <v>1076</v>
      </c>
      <c r="H2350" s="66" t="s">
        <v>1100</v>
      </c>
      <c r="I2350" s="66" t="s">
        <v>403</v>
      </c>
      <c r="J2350" s="66" t="s">
        <v>401</v>
      </c>
      <c r="K2350" s="66" t="s">
        <v>747</v>
      </c>
      <c r="L2350" s="44">
        <v>174999</v>
      </c>
      <c r="N2350" s="68">
        <f t="shared" si="143"/>
        <v>174999</v>
      </c>
      <c r="O2350" s="69">
        <f t="shared" si="142"/>
        <v>174999</v>
      </c>
      <c r="P2350" s="42" t="str">
        <f>IFERROR(VLOOKUP(J2350,'Mã NV'!$B:$C,2,0),"")</f>
        <v>XE01466</v>
      </c>
      <c r="Q2350" s="70" t="str">
        <f>IFERROR(VLOOKUP(I2350,'Mã NV'!$J:$K,2,0),"")</f>
        <v>3.5T</v>
      </c>
    </row>
    <row r="2351" customHeight="1" spans="1:17">
      <c r="A2351" s="63">
        <f t="shared" si="144"/>
        <v>2343</v>
      </c>
      <c r="B2351" s="64">
        <v>46171</v>
      </c>
      <c r="D2351" s="66" t="s">
        <v>58</v>
      </c>
      <c r="E2351" s="66" t="s">
        <v>58</v>
      </c>
      <c r="F2351" s="66" t="s">
        <v>985</v>
      </c>
      <c r="G2351" s="66" t="s">
        <v>1076</v>
      </c>
      <c r="H2351" s="66" t="s">
        <v>1093</v>
      </c>
      <c r="I2351" s="66" t="s">
        <v>403</v>
      </c>
      <c r="J2351" s="66" t="s">
        <v>401</v>
      </c>
      <c r="K2351" s="66" t="s">
        <v>747</v>
      </c>
      <c r="L2351" s="44">
        <v>212120</v>
      </c>
      <c r="N2351" s="68">
        <f t="shared" si="143"/>
        <v>212120</v>
      </c>
      <c r="O2351" s="69">
        <f t="shared" si="142"/>
        <v>212120</v>
      </c>
      <c r="P2351" s="42" t="str">
        <f>IFERROR(VLOOKUP(J2351,'Mã NV'!$B:$C,2,0),"")</f>
        <v>XE01466</v>
      </c>
      <c r="Q2351" s="70" t="str">
        <f>IFERROR(VLOOKUP(I2351,'Mã NV'!$J:$K,2,0),"")</f>
        <v>3.5T</v>
      </c>
    </row>
    <row r="2352" customHeight="1" spans="1:17">
      <c r="A2352" s="63">
        <f t="shared" si="144"/>
        <v>2344</v>
      </c>
      <c r="B2352" s="64">
        <v>46171</v>
      </c>
      <c r="D2352" s="66" t="s">
        <v>58</v>
      </c>
      <c r="E2352" s="66" t="s">
        <v>58</v>
      </c>
      <c r="F2352" s="66" t="s">
        <v>985</v>
      </c>
      <c r="G2352" s="66" t="s">
        <v>1076</v>
      </c>
      <c r="H2352" s="66" t="s">
        <v>1092</v>
      </c>
      <c r="I2352" s="66" t="s">
        <v>403</v>
      </c>
      <c r="J2352" s="66" t="s">
        <v>401</v>
      </c>
      <c r="K2352" s="66" t="s">
        <v>747</v>
      </c>
      <c r="L2352" s="44">
        <v>267801.5</v>
      </c>
      <c r="N2352" s="68">
        <f t="shared" si="143"/>
        <v>267801.5</v>
      </c>
      <c r="O2352" s="69">
        <f t="shared" si="142"/>
        <v>267801.5</v>
      </c>
      <c r="P2352" s="42" t="str">
        <f>IFERROR(VLOOKUP(J2352,'Mã NV'!$B:$C,2,0),"")</f>
        <v>XE01466</v>
      </c>
      <c r="Q2352" s="70" t="str">
        <f>IFERROR(VLOOKUP(I2352,'Mã NV'!$J:$K,2,0),"")</f>
        <v>3.5T</v>
      </c>
    </row>
    <row r="2353" customHeight="1" spans="1:17">
      <c r="A2353" s="63">
        <f t="shared" si="144"/>
        <v>2345</v>
      </c>
      <c r="B2353" s="64">
        <v>46171</v>
      </c>
      <c r="D2353" s="66" t="s">
        <v>58</v>
      </c>
      <c r="E2353" s="66" t="s">
        <v>58</v>
      </c>
      <c r="F2353" s="66" t="s">
        <v>985</v>
      </c>
      <c r="G2353" s="66" t="s">
        <v>1076</v>
      </c>
      <c r="H2353" s="66" t="s">
        <v>1090</v>
      </c>
      <c r="I2353" s="66" t="s">
        <v>403</v>
      </c>
      <c r="J2353" s="66" t="s">
        <v>401</v>
      </c>
      <c r="K2353" s="66" t="s">
        <v>747</v>
      </c>
      <c r="L2353" s="44">
        <v>76893.5</v>
      </c>
      <c r="N2353" s="68">
        <f t="shared" si="143"/>
        <v>76893.5</v>
      </c>
      <c r="O2353" s="69">
        <f t="shared" si="142"/>
        <v>76893.5</v>
      </c>
      <c r="P2353" s="42" t="str">
        <f>IFERROR(VLOOKUP(J2353,'Mã NV'!$B:$C,2,0),"")</f>
        <v>XE01466</v>
      </c>
      <c r="Q2353" s="70" t="str">
        <f>IFERROR(VLOOKUP(I2353,'Mã NV'!$J:$K,2,0),"")</f>
        <v>3.5T</v>
      </c>
    </row>
    <row r="2354" customHeight="1" spans="1:17">
      <c r="A2354" s="63">
        <f t="shared" si="144"/>
        <v>2346</v>
      </c>
      <c r="B2354" s="64">
        <v>46171</v>
      </c>
      <c r="D2354" s="66" t="s">
        <v>58</v>
      </c>
      <c r="E2354" s="66" t="s">
        <v>58</v>
      </c>
      <c r="F2354" s="66" t="s">
        <v>985</v>
      </c>
      <c r="G2354" s="66" t="s">
        <v>1076</v>
      </c>
      <c r="H2354" s="66" t="s">
        <v>1097</v>
      </c>
      <c r="I2354" s="66" t="s">
        <v>323</v>
      </c>
      <c r="J2354" s="66" t="s">
        <v>321</v>
      </c>
      <c r="K2354" s="66" t="s">
        <v>747</v>
      </c>
      <c r="L2354" s="44">
        <v>259847</v>
      </c>
      <c r="N2354" s="68">
        <f t="shared" si="143"/>
        <v>259847</v>
      </c>
      <c r="O2354" s="69">
        <f t="shared" si="142"/>
        <v>259847</v>
      </c>
      <c r="P2354" s="42" t="str">
        <f>IFERROR(VLOOKUP(J2354,'Mã NV'!$B:$C,2,0),"")</f>
        <v>XE01537</v>
      </c>
      <c r="Q2354" s="70" t="str">
        <f>IFERROR(VLOOKUP(I2354,'Mã NV'!$J:$K,2,0),"")</f>
        <v>2.5T</v>
      </c>
    </row>
    <row r="2355" customHeight="1" spans="1:17">
      <c r="A2355" s="63">
        <f t="shared" si="144"/>
        <v>2347</v>
      </c>
      <c r="B2355" s="64">
        <v>46171</v>
      </c>
      <c r="D2355" s="66" t="s">
        <v>58</v>
      </c>
      <c r="E2355" s="66" t="s">
        <v>58</v>
      </c>
      <c r="F2355" s="66" t="s">
        <v>985</v>
      </c>
      <c r="G2355" s="66" t="s">
        <v>1076</v>
      </c>
      <c r="H2355" s="66" t="s">
        <v>1098</v>
      </c>
      <c r="I2355" s="66" t="s">
        <v>323</v>
      </c>
      <c r="J2355" s="66" t="s">
        <v>321</v>
      </c>
      <c r="K2355" s="66" t="s">
        <v>747</v>
      </c>
      <c r="L2355" s="44">
        <v>111363</v>
      </c>
      <c r="N2355" s="68">
        <f t="shared" si="143"/>
        <v>111363</v>
      </c>
      <c r="O2355" s="69">
        <f t="shared" ref="O2355:O2398" si="145">N2355/$P$1</f>
        <v>111363</v>
      </c>
      <c r="P2355" s="42" t="str">
        <f>IFERROR(VLOOKUP(J2355,'Mã NV'!$B:$C,2,0),"")</f>
        <v>XE01537</v>
      </c>
      <c r="Q2355" s="70" t="str">
        <f>IFERROR(VLOOKUP(I2355,'Mã NV'!$J:$K,2,0),"")</f>
        <v>2.5T</v>
      </c>
    </row>
    <row r="2356" customHeight="1" spans="1:17">
      <c r="A2356" s="63">
        <f t="shared" si="144"/>
        <v>2348</v>
      </c>
      <c r="B2356" s="64">
        <v>46171</v>
      </c>
      <c r="D2356" s="66" t="s">
        <v>58</v>
      </c>
      <c r="E2356" s="66" t="s">
        <v>58</v>
      </c>
      <c r="F2356" s="66" t="s">
        <v>985</v>
      </c>
      <c r="G2356" s="66" t="s">
        <v>1076</v>
      </c>
      <c r="H2356" s="66" t="s">
        <v>1088</v>
      </c>
      <c r="I2356" s="66" t="s">
        <v>323</v>
      </c>
      <c r="J2356" s="66" t="s">
        <v>321</v>
      </c>
      <c r="K2356" s="66" t="s">
        <v>747</v>
      </c>
      <c r="L2356" s="44">
        <v>469315.5</v>
      </c>
      <c r="N2356" s="68">
        <f t="shared" ref="N2356:N2398" si="146">L2356-M2356</f>
        <v>469315.5</v>
      </c>
      <c r="O2356" s="69">
        <f t="shared" si="145"/>
        <v>469315.5</v>
      </c>
      <c r="P2356" s="42" t="str">
        <f>IFERROR(VLOOKUP(J2356,'Mã NV'!$B:$C,2,0),"")</f>
        <v>XE01537</v>
      </c>
      <c r="Q2356" s="70" t="str">
        <f>IFERROR(VLOOKUP(I2356,'Mã NV'!$J:$K,2,0),"")</f>
        <v>2.5T</v>
      </c>
    </row>
    <row r="2357" customHeight="1" spans="1:17">
      <c r="A2357" s="63">
        <f t="shared" si="144"/>
        <v>2349</v>
      </c>
      <c r="B2357" s="64">
        <v>46172</v>
      </c>
      <c r="D2357" s="66" t="s">
        <v>58</v>
      </c>
      <c r="E2357" s="66" t="s">
        <v>58</v>
      </c>
      <c r="F2357" s="66" t="s">
        <v>985</v>
      </c>
      <c r="G2357" s="66" t="s">
        <v>1076</v>
      </c>
      <c r="H2357" s="66" t="s">
        <v>1109</v>
      </c>
      <c r="I2357" s="66" t="s">
        <v>57</v>
      </c>
      <c r="J2357" s="66" t="s">
        <v>55</v>
      </c>
      <c r="K2357" s="66" t="s">
        <v>747</v>
      </c>
      <c r="L2357" s="44">
        <v>371210</v>
      </c>
      <c r="N2357" s="68">
        <f t="shared" si="146"/>
        <v>371210</v>
      </c>
      <c r="O2357" s="69">
        <f t="shared" si="145"/>
        <v>371210</v>
      </c>
      <c r="P2357" s="42" t="str">
        <f>IFERROR(VLOOKUP(J2357,'Mã NV'!$B:$C,2,0),"")</f>
        <v>XE00768</v>
      </c>
      <c r="Q2357" s="70" t="str">
        <f>IFERROR(VLOOKUP(I2357,'Mã NV'!$J:$K,2,0),"")</f>
        <v>2.5T</v>
      </c>
    </row>
    <row r="2358" customHeight="1" spans="1:17">
      <c r="A2358" s="63">
        <f t="shared" si="144"/>
        <v>2350</v>
      </c>
      <c r="B2358" s="64">
        <v>46172</v>
      </c>
      <c r="D2358" s="66" t="s">
        <v>58</v>
      </c>
      <c r="E2358" s="66" t="s">
        <v>58</v>
      </c>
      <c r="F2358" s="66" t="s">
        <v>985</v>
      </c>
      <c r="G2358" s="66" t="s">
        <v>1076</v>
      </c>
      <c r="H2358" s="66" t="s">
        <v>1106</v>
      </c>
      <c r="I2358" s="66" t="s">
        <v>57</v>
      </c>
      <c r="J2358" s="66" t="s">
        <v>55</v>
      </c>
      <c r="K2358" s="66" t="s">
        <v>747</v>
      </c>
      <c r="L2358" s="44">
        <v>291665</v>
      </c>
      <c r="N2358" s="68">
        <f t="shared" si="146"/>
        <v>291665</v>
      </c>
      <c r="O2358" s="69">
        <f t="shared" si="145"/>
        <v>291665</v>
      </c>
      <c r="P2358" s="42" t="str">
        <f>IFERROR(VLOOKUP(J2358,'Mã NV'!$B:$C,2,0),"")</f>
        <v>XE00768</v>
      </c>
      <c r="Q2358" s="70" t="str">
        <f>IFERROR(VLOOKUP(I2358,'Mã NV'!$J:$K,2,0),"")</f>
        <v>2.5T</v>
      </c>
    </row>
    <row r="2359" customHeight="1" spans="1:17">
      <c r="A2359" s="63">
        <f t="shared" si="144"/>
        <v>2351</v>
      </c>
      <c r="B2359" s="64">
        <v>46172</v>
      </c>
      <c r="D2359" s="66" t="s">
        <v>58</v>
      </c>
      <c r="E2359" s="66" t="s">
        <v>58</v>
      </c>
      <c r="F2359" s="66" t="s">
        <v>985</v>
      </c>
      <c r="G2359" s="66" t="s">
        <v>1076</v>
      </c>
      <c r="H2359" s="66" t="s">
        <v>1088</v>
      </c>
      <c r="I2359" s="66" t="s">
        <v>403</v>
      </c>
      <c r="J2359" s="66" t="s">
        <v>401</v>
      </c>
      <c r="K2359" s="66" t="s">
        <v>747</v>
      </c>
      <c r="L2359" s="44">
        <v>257195.5</v>
      </c>
      <c r="N2359" s="68">
        <f t="shared" si="146"/>
        <v>257195.5</v>
      </c>
      <c r="O2359" s="69">
        <f t="shared" si="145"/>
        <v>257195.5</v>
      </c>
      <c r="P2359" s="42" t="str">
        <f>IFERROR(VLOOKUP(J2359,'Mã NV'!$B:$C,2,0),"")</f>
        <v>XE01466</v>
      </c>
      <c r="Q2359" s="70" t="str">
        <f>IFERROR(VLOOKUP(I2359,'Mã NV'!$J:$K,2,0),"")</f>
        <v>3.5T</v>
      </c>
    </row>
    <row r="2360" customHeight="1" spans="1:17">
      <c r="A2360" s="63">
        <f t="shared" si="144"/>
        <v>2352</v>
      </c>
      <c r="B2360" s="64">
        <v>46172</v>
      </c>
      <c r="D2360" s="66" t="s">
        <v>58</v>
      </c>
      <c r="E2360" s="66" t="s">
        <v>58</v>
      </c>
      <c r="F2360" s="66" t="s">
        <v>985</v>
      </c>
      <c r="G2360" s="66" t="s">
        <v>1076</v>
      </c>
      <c r="H2360" s="66" t="s">
        <v>1098</v>
      </c>
      <c r="I2360" s="66" t="s">
        <v>403</v>
      </c>
      <c r="J2360" s="66" t="s">
        <v>401</v>
      </c>
      <c r="K2360" s="66" t="s">
        <v>747</v>
      </c>
      <c r="L2360" s="44">
        <v>34469.5</v>
      </c>
      <c r="N2360" s="68">
        <f t="shared" si="146"/>
        <v>34469.5</v>
      </c>
      <c r="O2360" s="69">
        <f t="shared" si="145"/>
        <v>34469.5</v>
      </c>
      <c r="P2360" s="42" t="str">
        <f>IFERROR(VLOOKUP(J2360,'Mã NV'!$B:$C,2,0),"")</f>
        <v>XE01466</v>
      </c>
      <c r="Q2360" s="70" t="str">
        <f>IFERROR(VLOOKUP(I2360,'Mã NV'!$J:$K,2,0),"")</f>
        <v>3.5T</v>
      </c>
    </row>
    <row r="2361" customHeight="1" spans="1:17">
      <c r="A2361" s="63">
        <f t="shared" si="144"/>
        <v>2353</v>
      </c>
      <c r="B2361" s="64">
        <v>46172</v>
      </c>
      <c r="D2361" s="66" t="s">
        <v>58</v>
      </c>
      <c r="E2361" s="66" t="s">
        <v>58</v>
      </c>
      <c r="F2361" s="66" t="s">
        <v>985</v>
      </c>
      <c r="G2361" s="66" t="s">
        <v>1076</v>
      </c>
      <c r="H2361" s="66" t="s">
        <v>1096</v>
      </c>
      <c r="I2361" s="66" t="s">
        <v>403</v>
      </c>
      <c r="J2361" s="66" t="s">
        <v>401</v>
      </c>
      <c r="K2361" s="66" t="s">
        <v>747</v>
      </c>
      <c r="L2361" s="44">
        <v>82196.5</v>
      </c>
      <c r="N2361" s="68">
        <f t="shared" si="146"/>
        <v>82196.5</v>
      </c>
      <c r="O2361" s="69">
        <f t="shared" si="145"/>
        <v>82196.5</v>
      </c>
      <c r="P2361" s="42" t="str">
        <f>IFERROR(VLOOKUP(J2361,'Mã NV'!$B:$C,2,0),"")</f>
        <v>XE01466</v>
      </c>
      <c r="Q2361" s="70" t="str">
        <f>IFERROR(VLOOKUP(I2361,'Mã NV'!$J:$K,2,0),"")</f>
        <v>3.5T</v>
      </c>
    </row>
    <row r="2362" customHeight="1" spans="1:17">
      <c r="A2362" s="63">
        <f t="shared" si="144"/>
        <v>2354</v>
      </c>
      <c r="B2362" s="64">
        <v>46172</v>
      </c>
      <c r="D2362" s="66" t="s">
        <v>58</v>
      </c>
      <c r="E2362" s="66" t="s">
        <v>58</v>
      </c>
      <c r="F2362" s="66" t="s">
        <v>985</v>
      </c>
      <c r="G2362" s="66" t="s">
        <v>1076</v>
      </c>
      <c r="H2362" s="66" t="s">
        <v>1091</v>
      </c>
      <c r="I2362" s="66" t="s">
        <v>403</v>
      </c>
      <c r="J2362" s="66" t="s">
        <v>401</v>
      </c>
      <c r="K2362" s="66" t="s">
        <v>747</v>
      </c>
      <c r="L2362" s="44">
        <v>405679.5</v>
      </c>
      <c r="N2362" s="68">
        <f t="shared" si="146"/>
        <v>405679.5</v>
      </c>
      <c r="O2362" s="69">
        <f t="shared" si="145"/>
        <v>405679.5</v>
      </c>
      <c r="P2362" s="42" t="str">
        <f>IFERROR(VLOOKUP(J2362,'Mã NV'!$B:$C,2,0),"")</f>
        <v>XE01466</v>
      </c>
      <c r="Q2362" s="70" t="str">
        <f>IFERROR(VLOOKUP(I2362,'Mã NV'!$J:$K,2,0),"")</f>
        <v>3.5T</v>
      </c>
    </row>
    <row r="2363" customHeight="1" spans="1:17">
      <c r="A2363" s="63">
        <f t="shared" si="144"/>
        <v>2355</v>
      </c>
      <c r="B2363" s="64">
        <v>46172</v>
      </c>
      <c r="D2363" s="66" t="s">
        <v>58</v>
      </c>
      <c r="E2363" s="66" t="s">
        <v>58</v>
      </c>
      <c r="F2363" s="66" t="s">
        <v>985</v>
      </c>
      <c r="G2363" s="66" t="s">
        <v>1076</v>
      </c>
      <c r="H2363" s="66" t="s">
        <v>1089</v>
      </c>
      <c r="I2363" s="66" t="s">
        <v>403</v>
      </c>
      <c r="J2363" s="66" t="s">
        <v>401</v>
      </c>
      <c r="K2363" s="66" t="s">
        <v>747</v>
      </c>
      <c r="L2363" s="44">
        <v>591284.5</v>
      </c>
      <c r="N2363" s="68">
        <f t="shared" si="146"/>
        <v>591284.5</v>
      </c>
      <c r="O2363" s="69">
        <f t="shared" si="145"/>
        <v>591284.5</v>
      </c>
      <c r="P2363" s="42" t="str">
        <f>IFERROR(VLOOKUP(J2363,'Mã NV'!$B:$C,2,0),"")</f>
        <v>XE01466</v>
      </c>
      <c r="Q2363" s="70" t="str">
        <f>IFERROR(VLOOKUP(I2363,'Mã NV'!$J:$K,2,0),"")</f>
        <v>3.5T</v>
      </c>
    </row>
    <row r="2364" customHeight="1" spans="1:17">
      <c r="A2364" s="63">
        <f t="shared" si="144"/>
        <v>2356</v>
      </c>
      <c r="B2364" s="64">
        <v>46172</v>
      </c>
      <c r="D2364" s="66" t="s">
        <v>58</v>
      </c>
      <c r="E2364" s="66" t="s">
        <v>58</v>
      </c>
      <c r="F2364" s="66" t="s">
        <v>985</v>
      </c>
      <c r="G2364" s="66" t="s">
        <v>1076</v>
      </c>
      <c r="H2364" s="66" t="s">
        <v>1087</v>
      </c>
      <c r="I2364" s="66" t="s">
        <v>177</v>
      </c>
      <c r="J2364" s="66" t="s">
        <v>174</v>
      </c>
      <c r="K2364" s="66" t="s">
        <v>747</v>
      </c>
      <c r="L2364" s="44">
        <v>71590.5</v>
      </c>
      <c r="N2364" s="68">
        <f t="shared" si="146"/>
        <v>71590.5</v>
      </c>
      <c r="O2364" s="69">
        <f t="shared" si="145"/>
        <v>71590.5</v>
      </c>
      <c r="P2364" s="42" t="str">
        <f>IFERROR(VLOOKUP(J2364,'Mã NV'!$B:$C,2,0),"")</f>
        <v>XE00975</v>
      </c>
      <c r="Q2364" s="70" t="str">
        <f>IFERROR(VLOOKUP(I2364,'Mã NV'!$J:$K,2,0),"")</f>
        <v>2.5T Lạnh</v>
      </c>
    </row>
    <row r="2365" customHeight="1" spans="1:17">
      <c r="A2365" s="63">
        <f t="shared" si="144"/>
        <v>2357</v>
      </c>
      <c r="B2365" s="64">
        <v>46172</v>
      </c>
      <c r="D2365" s="66" t="s">
        <v>58</v>
      </c>
      <c r="E2365" s="66" t="s">
        <v>58</v>
      </c>
      <c r="F2365" s="66" t="s">
        <v>985</v>
      </c>
      <c r="G2365" s="66" t="s">
        <v>1076</v>
      </c>
      <c r="H2365" s="66" t="s">
        <v>1080</v>
      </c>
      <c r="I2365" s="66" t="s">
        <v>177</v>
      </c>
      <c r="J2365" s="66" t="s">
        <v>174</v>
      </c>
      <c r="K2365" s="66" t="s">
        <v>747</v>
      </c>
      <c r="L2365" s="44">
        <v>440149</v>
      </c>
      <c r="N2365" s="68">
        <f t="shared" si="146"/>
        <v>440149</v>
      </c>
      <c r="O2365" s="69">
        <f t="shared" si="145"/>
        <v>440149</v>
      </c>
      <c r="P2365" s="42" t="str">
        <f>IFERROR(VLOOKUP(J2365,'Mã NV'!$B:$C,2,0),"")</f>
        <v>XE00975</v>
      </c>
      <c r="Q2365" s="70" t="str">
        <f>IFERROR(VLOOKUP(I2365,'Mã NV'!$J:$K,2,0),"")</f>
        <v>2.5T Lạnh</v>
      </c>
    </row>
    <row r="2366" customHeight="1" spans="1:17">
      <c r="A2366" s="63">
        <f t="shared" si="144"/>
        <v>2358</v>
      </c>
      <c r="B2366" s="64">
        <v>46172</v>
      </c>
      <c r="D2366" s="66" t="s">
        <v>58</v>
      </c>
      <c r="E2366" s="66" t="s">
        <v>58</v>
      </c>
      <c r="F2366" s="66" t="s">
        <v>985</v>
      </c>
      <c r="G2366" s="66" t="s">
        <v>1076</v>
      </c>
      <c r="H2366" s="66" t="s">
        <v>1081</v>
      </c>
      <c r="I2366" s="66" t="s">
        <v>177</v>
      </c>
      <c r="J2366" s="66" t="s">
        <v>174</v>
      </c>
      <c r="K2366" s="66" t="s">
        <v>747</v>
      </c>
      <c r="L2366" s="44">
        <v>129923.5</v>
      </c>
      <c r="N2366" s="68">
        <f t="shared" si="146"/>
        <v>129923.5</v>
      </c>
      <c r="O2366" s="69">
        <f t="shared" si="145"/>
        <v>129923.5</v>
      </c>
      <c r="P2366" s="42" t="str">
        <f>IFERROR(VLOOKUP(J2366,'Mã NV'!$B:$C,2,0),"")</f>
        <v>XE00975</v>
      </c>
      <c r="Q2366" s="70" t="str">
        <f>IFERROR(VLOOKUP(I2366,'Mã NV'!$J:$K,2,0),"")</f>
        <v>2.5T Lạnh</v>
      </c>
    </row>
    <row r="2367" customHeight="1" spans="1:17">
      <c r="A2367" s="63">
        <f t="shared" si="144"/>
        <v>2359</v>
      </c>
      <c r="B2367" s="64">
        <v>46172</v>
      </c>
      <c r="D2367" s="66" t="s">
        <v>58</v>
      </c>
      <c r="E2367" s="66" t="s">
        <v>58</v>
      </c>
      <c r="F2367" s="66" t="s">
        <v>985</v>
      </c>
      <c r="G2367" s="66" t="s">
        <v>1076</v>
      </c>
      <c r="H2367" s="66" t="s">
        <v>1082</v>
      </c>
      <c r="I2367" s="66" t="s">
        <v>177</v>
      </c>
      <c r="J2367" s="66" t="s">
        <v>174</v>
      </c>
      <c r="K2367" s="66" t="s">
        <v>747</v>
      </c>
      <c r="L2367" s="44">
        <v>148484</v>
      </c>
      <c r="N2367" s="68">
        <f t="shared" si="146"/>
        <v>148484</v>
      </c>
      <c r="O2367" s="69">
        <f t="shared" si="145"/>
        <v>148484</v>
      </c>
      <c r="P2367" s="42" t="str">
        <f>IFERROR(VLOOKUP(J2367,'Mã NV'!$B:$C,2,0),"")</f>
        <v>XE00975</v>
      </c>
      <c r="Q2367" s="70" t="str">
        <f>IFERROR(VLOOKUP(I2367,'Mã NV'!$J:$K,2,0),"")</f>
        <v>2.5T Lạnh</v>
      </c>
    </row>
    <row r="2368" customHeight="1" spans="1:17">
      <c r="A2368" s="63">
        <f t="shared" si="144"/>
        <v>2360</v>
      </c>
      <c r="B2368" s="64">
        <v>46172</v>
      </c>
      <c r="D2368" s="66" t="s">
        <v>58</v>
      </c>
      <c r="E2368" s="66" t="s">
        <v>58</v>
      </c>
      <c r="F2368" s="66" t="s">
        <v>985</v>
      </c>
      <c r="G2368" s="66" t="s">
        <v>1076</v>
      </c>
      <c r="H2368" s="66" t="s">
        <v>1083</v>
      </c>
      <c r="I2368" s="66" t="s">
        <v>177</v>
      </c>
      <c r="J2368" s="66" t="s">
        <v>174</v>
      </c>
      <c r="K2368" s="66" t="s">
        <v>747</v>
      </c>
      <c r="L2368" s="44">
        <v>92802.5</v>
      </c>
      <c r="N2368" s="68">
        <f t="shared" si="146"/>
        <v>92802.5</v>
      </c>
      <c r="O2368" s="69">
        <f t="shared" si="145"/>
        <v>92802.5</v>
      </c>
      <c r="P2368" s="42" t="str">
        <f>IFERROR(VLOOKUP(J2368,'Mã NV'!$B:$C,2,0),"")</f>
        <v>XE00975</v>
      </c>
      <c r="Q2368" s="70" t="str">
        <f>IFERROR(VLOOKUP(I2368,'Mã NV'!$J:$K,2,0),"")</f>
        <v>2.5T Lạnh</v>
      </c>
    </row>
    <row r="2369" customHeight="1" spans="1:17">
      <c r="A2369" s="63">
        <f t="shared" si="144"/>
        <v>2361</v>
      </c>
      <c r="B2369" s="64">
        <v>46172</v>
      </c>
      <c r="D2369" s="66" t="s">
        <v>58</v>
      </c>
      <c r="E2369" s="66" t="s">
        <v>58</v>
      </c>
      <c r="F2369" s="66" t="s">
        <v>985</v>
      </c>
      <c r="G2369" s="66" t="s">
        <v>1076</v>
      </c>
      <c r="H2369" s="66" t="s">
        <v>1102</v>
      </c>
      <c r="I2369" s="66" t="s">
        <v>134</v>
      </c>
      <c r="J2369" s="66" t="s">
        <v>359</v>
      </c>
      <c r="K2369" s="66" t="s">
        <v>747</v>
      </c>
      <c r="L2369" s="44">
        <v>243938</v>
      </c>
      <c r="N2369" s="68">
        <f t="shared" si="146"/>
        <v>243938</v>
      </c>
      <c r="O2369" s="69">
        <f t="shared" si="145"/>
        <v>243938</v>
      </c>
      <c r="P2369" s="42" t="str">
        <f>IFERROR(VLOOKUP(J2369,'Mã NV'!$B:$C,2,0),"")</f>
        <v>XE01639</v>
      </c>
      <c r="Q2369" s="70" t="str">
        <f>IFERROR(VLOOKUP(I2369,'Mã NV'!$J:$K,2,0),"")</f>
        <v>2.5T Lạnh</v>
      </c>
    </row>
    <row r="2370" customHeight="1" spans="1:17">
      <c r="A2370" s="63">
        <f t="shared" si="144"/>
        <v>2362</v>
      </c>
      <c r="B2370" s="64">
        <v>46172</v>
      </c>
      <c r="D2370" s="66" t="s">
        <v>58</v>
      </c>
      <c r="E2370" s="66" t="s">
        <v>58</v>
      </c>
      <c r="F2370" s="66" t="s">
        <v>985</v>
      </c>
      <c r="G2370" s="66" t="s">
        <v>1076</v>
      </c>
      <c r="H2370" s="66" t="s">
        <v>1104</v>
      </c>
      <c r="I2370" s="66" t="s">
        <v>134</v>
      </c>
      <c r="J2370" s="66" t="s">
        <v>359</v>
      </c>
      <c r="K2370" s="66" t="s">
        <v>747</v>
      </c>
      <c r="L2370" s="44">
        <v>291665</v>
      </c>
      <c r="N2370" s="68">
        <f t="shared" si="146"/>
        <v>291665</v>
      </c>
      <c r="O2370" s="69">
        <f t="shared" si="145"/>
        <v>291665</v>
      </c>
      <c r="P2370" s="42" t="str">
        <f>IFERROR(VLOOKUP(J2370,'Mã NV'!$B:$C,2,0),"")</f>
        <v>XE01639</v>
      </c>
      <c r="Q2370" s="70" t="str">
        <f>IFERROR(VLOOKUP(I2370,'Mã NV'!$J:$K,2,0),"")</f>
        <v>2.5T Lạnh</v>
      </c>
    </row>
    <row r="2371" customHeight="1" spans="1:17">
      <c r="A2371" s="63">
        <f t="shared" si="144"/>
        <v>2363</v>
      </c>
      <c r="B2371" s="64">
        <v>46172</v>
      </c>
      <c r="D2371" s="66" t="s">
        <v>58</v>
      </c>
      <c r="E2371" s="66" t="s">
        <v>58</v>
      </c>
      <c r="F2371" s="66" t="s">
        <v>985</v>
      </c>
      <c r="G2371" s="66" t="s">
        <v>1076</v>
      </c>
      <c r="H2371" s="66" t="s">
        <v>1103</v>
      </c>
      <c r="I2371" s="66" t="s">
        <v>134</v>
      </c>
      <c r="J2371" s="66" t="s">
        <v>359</v>
      </c>
      <c r="K2371" s="66" t="s">
        <v>747</v>
      </c>
      <c r="L2371" s="44">
        <v>92802.5</v>
      </c>
      <c r="N2371" s="68">
        <f t="shared" si="146"/>
        <v>92802.5</v>
      </c>
      <c r="O2371" s="69">
        <f t="shared" si="145"/>
        <v>92802.5</v>
      </c>
      <c r="P2371" s="42" t="str">
        <f>IFERROR(VLOOKUP(J2371,'Mã NV'!$B:$C,2,0),"")</f>
        <v>XE01639</v>
      </c>
      <c r="Q2371" s="70" t="str">
        <f>IFERROR(VLOOKUP(I2371,'Mã NV'!$J:$K,2,0),"")</f>
        <v>2.5T Lạnh</v>
      </c>
    </row>
    <row r="2372" customHeight="1" spans="1:17">
      <c r="A2372" s="63">
        <f t="shared" si="144"/>
        <v>2364</v>
      </c>
      <c r="B2372" s="64">
        <v>46172</v>
      </c>
      <c r="D2372" s="66" t="s">
        <v>58</v>
      </c>
      <c r="E2372" s="66" t="s">
        <v>58</v>
      </c>
      <c r="F2372" s="66" t="s">
        <v>985</v>
      </c>
      <c r="G2372" s="66" t="s">
        <v>1076</v>
      </c>
      <c r="H2372" s="66" t="s">
        <v>1086</v>
      </c>
      <c r="I2372" s="66" t="s">
        <v>134</v>
      </c>
      <c r="J2372" s="66" t="s">
        <v>359</v>
      </c>
      <c r="K2372" s="66" t="s">
        <v>747</v>
      </c>
      <c r="L2372" s="44">
        <v>119317.5</v>
      </c>
      <c r="N2372" s="68">
        <f t="shared" si="146"/>
        <v>119317.5</v>
      </c>
      <c r="O2372" s="69">
        <f t="shared" si="145"/>
        <v>119317.5</v>
      </c>
      <c r="P2372" s="42" t="str">
        <f>IFERROR(VLOOKUP(J2372,'Mã NV'!$B:$C,2,0),"")</f>
        <v>XE01639</v>
      </c>
      <c r="Q2372" s="70" t="str">
        <f>IFERROR(VLOOKUP(I2372,'Mã NV'!$J:$K,2,0),"")</f>
        <v>2.5T Lạnh</v>
      </c>
    </row>
    <row r="2373" customHeight="1" spans="1:17">
      <c r="A2373" s="63">
        <f t="shared" si="144"/>
        <v>2365</v>
      </c>
      <c r="B2373" s="64">
        <v>46172</v>
      </c>
      <c r="D2373" s="66" t="s">
        <v>58</v>
      </c>
      <c r="E2373" s="66" t="s">
        <v>58</v>
      </c>
      <c r="F2373" s="66" t="s">
        <v>985</v>
      </c>
      <c r="G2373" s="66" t="s">
        <v>1076</v>
      </c>
      <c r="H2373" s="66" t="s">
        <v>1077</v>
      </c>
      <c r="I2373" s="66" t="s">
        <v>323</v>
      </c>
      <c r="J2373" s="66" t="s">
        <v>321</v>
      </c>
      <c r="K2373" s="66" t="s">
        <v>747</v>
      </c>
      <c r="L2373" s="44">
        <v>281059</v>
      </c>
      <c r="N2373" s="68">
        <f t="shared" si="146"/>
        <v>281059</v>
      </c>
      <c r="O2373" s="69">
        <f t="shared" si="145"/>
        <v>281059</v>
      </c>
      <c r="P2373" s="42" t="str">
        <f>IFERROR(VLOOKUP(J2373,'Mã NV'!$B:$C,2,0),"")</f>
        <v>XE01537</v>
      </c>
      <c r="Q2373" s="70" t="str">
        <f>IFERROR(VLOOKUP(I2373,'Mã NV'!$J:$K,2,0),"")</f>
        <v>2.5T</v>
      </c>
    </row>
    <row r="2374" customHeight="1" spans="1:17">
      <c r="A2374" s="63">
        <f t="shared" si="144"/>
        <v>2366</v>
      </c>
      <c r="B2374" s="64">
        <v>46172</v>
      </c>
      <c r="D2374" s="66" t="s">
        <v>58</v>
      </c>
      <c r="E2374" s="66" t="s">
        <v>58</v>
      </c>
      <c r="F2374" s="66" t="s">
        <v>985</v>
      </c>
      <c r="G2374" s="66" t="s">
        <v>1076</v>
      </c>
      <c r="H2374" s="66" t="s">
        <v>1084</v>
      </c>
      <c r="I2374" s="66" t="s">
        <v>323</v>
      </c>
      <c r="J2374" s="66" t="s">
        <v>321</v>
      </c>
      <c r="K2374" s="66" t="s">
        <v>747</v>
      </c>
      <c r="L2374" s="44">
        <v>127272</v>
      </c>
      <c r="N2374" s="68">
        <f t="shared" si="146"/>
        <v>127272</v>
      </c>
      <c r="O2374" s="69">
        <f t="shared" si="145"/>
        <v>127272</v>
      </c>
      <c r="P2374" s="42" t="str">
        <f>IFERROR(VLOOKUP(J2374,'Mã NV'!$B:$C,2,0),"")</f>
        <v>XE01537</v>
      </c>
      <c r="Q2374" s="70" t="str">
        <f>IFERROR(VLOOKUP(I2374,'Mã NV'!$J:$K,2,0),"")</f>
        <v>2.5T</v>
      </c>
    </row>
    <row r="2375" customHeight="1" spans="1:17">
      <c r="A2375" s="63">
        <f t="shared" si="144"/>
        <v>2367</v>
      </c>
      <c r="B2375" s="64">
        <v>46172</v>
      </c>
      <c r="D2375" s="66" t="s">
        <v>58</v>
      </c>
      <c r="E2375" s="66" t="s">
        <v>58</v>
      </c>
      <c r="F2375" s="66" t="s">
        <v>985</v>
      </c>
      <c r="G2375" s="66" t="s">
        <v>1076</v>
      </c>
      <c r="H2375" s="66" t="s">
        <v>1085</v>
      </c>
      <c r="I2375" s="66" t="s">
        <v>323</v>
      </c>
      <c r="J2375" s="66" t="s">
        <v>321</v>
      </c>
      <c r="K2375" s="66" t="s">
        <v>747</v>
      </c>
      <c r="L2375" s="44">
        <v>114014.5</v>
      </c>
      <c r="N2375" s="68">
        <f t="shared" si="146"/>
        <v>114014.5</v>
      </c>
      <c r="O2375" s="69">
        <f t="shared" si="145"/>
        <v>114014.5</v>
      </c>
      <c r="P2375" s="42" t="str">
        <f>IFERROR(VLOOKUP(J2375,'Mã NV'!$B:$C,2,0),"")</f>
        <v>XE01537</v>
      </c>
      <c r="Q2375" s="70" t="str">
        <f>IFERROR(VLOOKUP(I2375,'Mã NV'!$J:$K,2,0),"")</f>
        <v>2.5T</v>
      </c>
    </row>
    <row r="2376" customHeight="1" spans="1:17">
      <c r="A2376" s="63">
        <f t="shared" si="144"/>
        <v>2368</v>
      </c>
      <c r="B2376" s="64">
        <v>46172</v>
      </c>
      <c r="D2376" s="66" t="s">
        <v>58</v>
      </c>
      <c r="E2376" s="66" t="s">
        <v>58</v>
      </c>
      <c r="F2376" s="66" t="s">
        <v>985</v>
      </c>
      <c r="G2376" s="66" t="s">
        <v>1076</v>
      </c>
      <c r="H2376" s="66" t="s">
        <v>1078</v>
      </c>
      <c r="I2376" s="66" t="s">
        <v>323</v>
      </c>
      <c r="J2376" s="66" t="s">
        <v>321</v>
      </c>
      <c r="K2376" s="66" t="s">
        <v>747</v>
      </c>
      <c r="L2376" s="44">
        <v>220074.5</v>
      </c>
      <c r="N2376" s="68">
        <f t="shared" si="146"/>
        <v>220074.5</v>
      </c>
      <c r="O2376" s="69">
        <f t="shared" si="145"/>
        <v>220074.5</v>
      </c>
      <c r="P2376" s="42" t="str">
        <f>IFERROR(VLOOKUP(J2376,'Mã NV'!$B:$C,2,0),"")</f>
        <v>XE01537</v>
      </c>
      <c r="Q2376" s="70" t="str">
        <f>IFERROR(VLOOKUP(I2376,'Mã NV'!$J:$K,2,0),"")</f>
        <v>2.5T</v>
      </c>
    </row>
    <row r="2377" customHeight="1" spans="1:17">
      <c r="A2377" s="63">
        <f t="shared" si="144"/>
        <v>2369</v>
      </c>
      <c r="B2377" s="64">
        <v>46172</v>
      </c>
      <c r="D2377" s="66" t="s">
        <v>58</v>
      </c>
      <c r="E2377" s="66" t="s">
        <v>58</v>
      </c>
      <c r="F2377" s="66" t="s">
        <v>985</v>
      </c>
      <c r="G2377" s="66" t="s">
        <v>1076</v>
      </c>
      <c r="H2377" s="66" t="s">
        <v>1111</v>
      </c>
      <c r="I2377" s="66" t="s">
        <v>323</v>
      </c>
      <c r="J2377" s="66" t="s">
        <v>321</v>
      </c>
      <c r="K2377" s="66" t="s">
        <v>747</v>
      </c>
      <c r="L2377" s="44">
        <v>222726</v>
      </c>
      <c r="N2377" s="68">
        <f t="shared" si="146"/>
        <v>222726</v>
      </c>
      <c r="O2377" s="69">
        <f t="shared" si="145"/>
        <v>222726</v>
      </c>
      <c r="P2377" s="42" t="str">
        <f>IFERROR(VLOOKUP(J2377,'Mã NV'!$B:$C,2,0),"")</f>
        <v>XE01537</v>
      </c>
      <c r="Q2377" s="70" t="str">
        <f>IFERROR(VLOOKUP(I2377,'Mã NV'!$J:$K,2,0),"")</f>
        <v>2.5T</v>
      </c>
    </row>
    <row r="2378" customHeight="1" spans="1:17">
      <c r="A2378" s="63">
        <f t="shared" si="144"/>
        <v>2370</v>
      </c>
      <c r="B2378" s="64">
        <v>46172</v>
      </c>
      <c r="D2378" s="66" t="s">
        <v>58</v>
      </c>
      <c r="E2378" s="66" t="s">
        <v>58</v>
      </c>
      <c r="F2378" s="66" t="s">
        <v>985</v>
      </c>
      <c r="G2378" s="66" t="s">
        <v>1076</v>
      </c>
      <c r="H2378" s="66" t="s">
        <v>1097</v>
      </c>
      <c r="I2378" s="66" t="s">
        <v>57</v>
      </c>
      <c r="J2378" s="66" t="s">
        <v>55</v>
      </c>
      <c r="K2378" s="66" t="s">
        <v>747</v>
      </c>
      <c r="L2378" s="44">
        <v>124620.5</v>
      </c>
      <c r="N2378" s="68">
        <f t="shared" si="146"/>
        <v>124620.5</v>
      </c>
      <c r="O2378" s="69">
        <f t="shared" si="145"/>
        <v>124620.5</v>
      </c>
      <c r="P2378" s="42" t="str">
        <f>IFERROR(VLOOKUP(J2378,'Mã NV'!$B:$C,2,0),"")</f>
        <v>XE00768</v>
      </c>
      <c r="Q2378" s="70" t="str">
        <f>IFERROR(VLOOKUP(I2378,'Mã NV'!$J:$K,2,0),"")</f>
        <v>2.5T</v>
      </c>
    </row>
    <row r="2379" customHeight="1" spans="1:17">
      <c r="A2379" s="63">
        <f t="shared" si="144"/>
        <v>2371</v>
      </c>
      <c r="B2379" s="64">
        <v>46172</v>
      </c>
      <c r="D2379" s="66" t="s">
        <v>58</v>
      </c>
      <c r="E2379" s="66" t="s">
        <v>58</v>
      </c>
      <c r="F2379" s="66" t="s">
        <v>985</v>
      </c>
      <c r="G2379" s="66" t="s">
        <v>1076</v>
      </c>
      <c r="H2379" s="66" t="s">
        <v>1092</v>
      </c>
      <c r="I2379" s="66" t="s">
        <v>57</v>
      </c>
      <c r="J2379" s="66" t="s">
        <v>55</v>
      </c>
      <c r="K2379" s="66" t="s">
        <v>747</v>
      </c>
      <c r="L2379" s="44">
        <v>121969</v>
      </c>
      <c r="N2379" s="68">
        <f t="shared" si="146"/>
        <v>121969</v>
      </c>
      <c r="O2379" s="69">
        <f t="shared" si="145"/>
        <v>121969</v>
      </c>
      <c r="P2379" s="42" t="str">
        <f>IFERROR(VLOOKUP(J2379,'Mã NV'!$B:$C,2,0),"")</f>
        <v>XE00768</v>
      </c>
      <c r="Q2379" s="70" t="str">
        <f>IFERROR(VLOOKUP(I2379,'Mã NV'!$J:$K,2,0),"")</f>
        <v>2.5T</v>
      </c>
    </row>
    <row r="2380" customHeight="1" spans="1:17">
      <c r="A2380" s="63">
        <f t="shared" si="144"/>
        <v>2372</v>
      </c>
      <c r="B2380" s="64">
        <v>46172</v>
      </c>
      <c r="D2380" s="66" t="s">
        <v>58</v>
      </c>
      <c r="E2380" s="66" t="s">
        <v>58</v>
      </c>
      <c r="F2380" s="66" t="s">
        <v>985</v>
      </c>
      <c r="G2380" s="66" t="s">
        <v>1076</v>
      </c>
      <c r="H2380" s="66" t="s">
        <v>1094</v>
      </c>
      <c r="I2380" s="66" t="s">
        <v>57</v>
      </c>
      <c r="J2380" s="66" t="s">
        <v>55</v>
      </c>
      <c r="K2380" s="66" t="s">
        <v>747</v>
      </c>
      <c r="L2380" s="44">
        <v>26515</v>
      </c>
      <c r="N2380" s="68">
        <f t="shared" si="146"/>
        <v>26515</v>
      </c>
      <c r="O2380" s="69">
        <f t="shared" si="145"/>
        <v>26515</v>
      </c>
      <c r="P2380" s="42" t="str">
        <f>IFERROR(VLOOKUP(J2380,'Mã NV'!$B:$C,2,0),"")</f>
        <v>XE00768</v>
      </c>
      <c r="Q2380" s="70" t="str">
        <f>IFERROR(VLOOKUP(I2380,'Mã NV'!$J:$K,2,0),"")</f>
        <v>2.5T</v>
      </c>
    </row>
    <row r="2381" customHeight="1" spans="1:17">
      <c r="A2381" s="63">
        <f t="shared" si="144"/>
        <v>2373</v>
      </c>
      <c r="B2381" s="64">
        <v>46172</v>
      </c>
      <c r="D2381" s="66" t="s">
        <v>58</v>
      </c>
      <c r="E2381" s="66" t="s">
        <v>58</v>
      </c>
      <c r="F2381" s="66" t="s">
        <v>985</v>
      </c>
      <c r="G2381" s="66" t="s">
        <v>1076</v>
      </c>
      <c r="H2381" s="66" t="s">
        <v>1093</v>
      </c>
      <c r="I2381" s="66" t="s">
        <v>57</v>
      </c>
      <c r="J2381" s="66" t="s">
        <v>55</v>
      </c>
      <c r="K2381" s="66" t="s">
        <v>747</v>
      </c>
      <c r="L2381" s="44">
        <v>100757</v>
      </c>
      <c r="N2381" s="68">
        <f t="shared" si="146"/>
        <v>100757</v>
      </c>
      <c r="O2381" s="69">
        <f t="shared" si="145"/>
        <v>100757</v>
      </c>
      <c r="P2381" s="42" t="str">
        <f>IFERROR(VLOOKUP(J2381,'Mã NV'!$B:$C,2,0),"")</f>
        <v>XE00768</v>
      </c>
      <c r="Q2381" s="70" t="str">
        <f>IFERROR(VLOOKUP(I2381,'Mã NV'!$J:$K,2,0),"")</f>
        <v>2.5T</v>
      </c>
    </row>
    <row r="2382" customHeight="1" spans="1:17">
      <c r="A2382" s="63">
        <f t="shared" si="144"/>
        <v>2374</v>
      </c>
      <c r="B2382" s="64">
        <v>46172</v>
      </c>
      <c r="D2382" s="66" t="s">
        <v>58</v>
      </c>
      <c r="E2382" s="66" t="s">
        <v>58</v>
      </c>
      <c r="F2382" s="66" t="s">
        <v>985</v>
      </c>
      <c r="G2382" s="66" t="s">
        <v>1076</v>
      </c>
      <c r="H2382" s="66" t="s">
        <v>1090</v>
      </c>
      <c r="I2382" s="66" t="s">
        <v>57</v>
      </c>
      <c r="J2382" s="66" t="s">
        <v>55</v>
      </c>
      <c r="K2382" s="66" t="s">
        <v>747</v>
      </c>
      <c r="L2382" s="44">
        <v>493179</v>
      </c>
      <c r="N2382" s="68">
        <f t="shared" si="146"/>
        <v>493179</v>
      </c>
      <c r="O2382" s="69">
        <f t="shared" si="145"/>
        <v>493179</v>
      </c>
      <c r="P2382" s="42" t="str">
        <f>IFERROR(VLOOKUP(J2382,'Mã NV'!$B:$C,2,0),"")</f>
        <v>XE00768</v>
      </c>
      <c r="Q2382" s="70" t="str">
        <f>IFERROR(VLOOKUP(I2382,'Mã NV'!$J:$K,2,0),"")</f>
        <v>2.5T</v>
      </c>
    </row>
    <row r="2383" customHeight="1" spans="1:17">
      <c r="A2383" s="63">
        <f t="shared" si="144"/>
        <v>2375</v>
      </c>
      <c r="B2383" s="64">
        <v>46172</v>
      </c>
      <c r="D2383" s="66" t="s">
        <v>58</v>
      </c>
      <c r="E2383" s="66" t="s">
        <v>58</v>
      </c>
      <c r="F2383" s="66" t="s">
        <v>985</v>
      </c>
      <c r="G2383" s="66" t="s">
        <v>1076</v>
      </c>
      <c r="H2383" s="66" t="s">
        <v>1099</v>
      </c>
      <c r="I2383" s="66" t="s">
        <v>403</v>
      </c>
      <c r="J2383" s="66" t="s">
        <v>401</v>
      </c>
      <c r="K2383" s="66" t="s">
        <v>747</v>
      </c>
      <c r="L2383" s="44">
        <v>79545</v>
      </c>
      <c r="N2383" s="68">
        <f t="shared" si="146"/>
        <v>79545</v>
      </c>
      <c r="O2383" s="69">
        <f t="shared" si="145"/>
        <v>79545</v>
      </c>
      <c r="P2383" s="42" t="str">
        <f>IFERROR(VLOOKUP(J2383,'Mã NV'!$B:$C,2,0),"")</f>
        <v>XE01466</v>
      </c>
      <c r="Q2383" s="70" t="str">
        <f>IFERROR(VLOOKUP(I2383,'Mã NV'!$J:$K,2,0),"")</f>
        <v>3.5T</v>
      </c>
    </row>
    <row r="2384" customHeight="1" spans="1:17">
      <c r="A2384" s="63">
        <f t="shared" si="144"/>
        <v>2376</v>
      </c>
      <c r="B2384" s="64">
        <v>46172</v>
      </c>
      <c r="D2384" s="66" t="s">
        <v>58</v>
      </c>
      <c r="E2384" s="66" t="s">
        <v>58</v>
      </c>
      <c r="F2384" s="66" t="s">
        <v>985</v>
      </c>
      <c r="G2384" s="66" t="s">
        <v>1076</v>
      </c>
      <c r="H2384" s="66" t="s">
        <v>1100</v>
      </c>
      <c r="I2384" s="66" t="s">
        <v>403</v>
      </c>
      <c r="J2384" s="66" t="s">
        <v>401</v>
      </c>
      <c r="K2384" s="66" t="s">
        <v>747</v>
      </c>
      <c r="L2384" s="44">
        <v>167044.5</v>
      </c>
      <c r="N2384" s="68">
        <f t="shared" si="146"/>
        <v>167044.5</v>
      </c>
      <c r="O2384" s="69">
        <f t="shared" si="145"/>
        <v>167044.5</v>
      </c>
      <c r="P2384" s="42" t="str">
        <f>IFERROR(VLOOKUP(J2384,'Mã NV'!$B:$C,2,0),"")</f>
        <v>XE01466</v>
      </c>
      <c r="Q2384" s="70" t="str">
        <f>IFERROR(VLOOKUP(I2384,'Mã NV'!$J:$K,2,0),"")</f>
        <v>3.5T</v>
      </c>
    </row>
    <row r="2385" customHeight="1" spans="1:17">
      <c r="A2385" s="63">
        <f t="shared" ref="A2385:A2448" si="147">A2384+1</f>
        <v>2377</v>
      </c>
      <c r="B2385" s="64">
        <v>46172</v>
      </c>
      <c r="D2385" s="66" t="s">
        <v>58</v>
      </c>
      <c r="E2385" s="66" t="s">
        <v>58</v>
      </c>
      <c r="F2385" s="66" t="s">
        <v>985</v>
      </c>
      <c r="G2385" s="66" t="s">
        <v>1076</v>
      </c>
      <c r="H2385" s="66" t="s">
        <v>1101</v>
      </c>
      <c r="I2385" s="66" t="s">
        <v>403</v>
      </c>
      <c r="J2385" s="66" t="s">
        <v>401</v>
      </c>
      <c r="K2385" s="66" t="s">
        <v>747</v>
      </c>
      <c r="L2385" s="44">
        <v>204165.5</v>
      </c>
      <c r="N2385" s="68">
        <f t="shared" si="146"/>
        <v>204165.5</v>
      </c>
      <c r="O2385" s="69">
        <f t="shared" si="145"/>
        <v>204165.5</v>
      </c>
      <c r="P2385" s="42" t="str">
        <f>IFERROR(VLOOKUP(J2385,'Mã NV'!$B:$C,2,0),"")</f>
        <v>XE01466</v>
      </c>
      <c r="Q2385" s="70" t="str">
        <f>IFERROR(VLOOKUP(I2385,'Mã NV'!$J:$K,2,0),"")</f>
        <v>3.5T</v>
      </c>
    </row>
    <row r="2386" customHeight="1" spans="1:17">
      <c r="A2386" s="63">
        <f t="shared" si="147"/>
        <v>2378</v>
      </c>
      <c r="B2386" s="64">
        <v>46172</v>
      </c>
      <c r="D2386" s="66" t="s">
        <v>58</v>
      </c>
      <c r="E2386" s="66" t="s">
        <v>58</v>
      </c>
      <c r="F2386" s="66" t="s">
        <v>985</v>
      </c>
      <c r="G2386" s="66" t="s">
        <v>1076</v>
      </c>
      <c r="H2386" s="66" t="s">
        <v>1095</v>
      </c>
      <c r="I2386" s="66" t="s">
        <v>403</v>
      </c>
      <c r="J2386" s="66" t="s">
        <v>401</v>
      </c>
      <c r="K2386" s="66" t="s">
        <v>747</v>
      </c>
      <c r="L2386" s="44">
        <v>212120</v>
      </c>
      <c r="N2386" s="68">
        <f t="shared" si="146"/>
        <v>212120</v>
      </c>
      <c r="O2386" s="69">
        <f t="shared" si="145"/>
        <v>212120</v>
      </c>
      <c r="P2386" s="42" t="str">
        <f>IFERROR(VLOOKUP(J2386,'Mã NV'!$B:$C,2,0),"")</f>
        <v>XE01466</v>
      </c>
      <c r="Q2386" s="70" t="str">
        <f>IFERROR(VLOOKUP(I2386,'Mã NV'!$J:$K,2,0),"")</f>
        <v>3.5T</v>
      </c>
    </row>
    <row r="2387" customHeight="1" spans="1:17">
      <c r="A2387" s="63">
        <f t="shared" si="147"/>
        <v>2379</v>
      </c>
      <c r="B2387" s="64">
        <v>46172</v>
      </c>
      <c r="D2387" s="66" t="s">
        <v>58</v>
      </c>
      <c r="E2387" s="66" t="s">
        <v>58</v>
      </c>
      <c r="F2387" s="66" t="s">
        <v>985</v>
      </c>
      <c r="G2387" s="66" t="s">
        <v>1076</v>
      </c>
      <c r="H2387" s="66" t="s">
        <v>1094</v>
      </c>
      <c r="I2387" s="66" t="s">
        <v>403</v>
      </c>
      <c r="J2387" s="66" t="s">
        <v>401</v>
      </c>
      <c r="K2387" s="66" t="s">
        <v>747</v>
      </c>
      <c r="L2387" s="44">
        <v>18560.5</v>
      </c>
      <c r="N2387" s="68">
        <f t="shared" si="146"/>
        <v>18560.5</v>
      </c>
      <c r="O2387" s="69">
        <f t="shared" si="145"/>
        <v>18560.5</v>
      </c>
      <c r="P2387" s="42" t="str">
        <f>IFERROR(VLOOKUP(J2387,'Mã NV'!$B:$C,2,0),"")</f>
        <v>XE01466</v>
      </c>
      <c r="Q2387" s="70" t="str">
        <f>IFERROR(VLOOKUP(I2387,'Mã NV'!$J:$K,2,0),"")</f>
        <v>3.5T</v>
      </c>
    </row>
    <row r="2388" customHeight="1" spans="1:17">
      <c r="A2388" s="63">
        <f t="shared" si="147"/>
        <v>2380</v>
      </c>
      <c r="B2388" s="64">
        <v>46172</v>
      </c>
      <c r="D2388" s="66" t="s">
        <v>58</v>
      </c>
      <c r="E2388" s="66" t="s">
        <v>58</v>
      </c>
      <c r="F2388" s="66" t="s">
        <v>985</v>
      </c>
      <c r="G2388" s="66" t="s">
        <v>1076</v>
      </c>
      <c r="H2388" s="66" t="s">
        <v>1079</v>
      </c>
      <c r="I2388" s="66" t="s">
        <v>403</v>
      </c>
      <c r="J2388" s="66" t="s">
        <v>401</v>
      </c>
      <c r="K2388" s="66" t="s">
        <v>747</v>
      </c>
      <c r="L2388" s="44">
        <v>153787</v>
      </c>
      <c r="N2388" s="68">
        <f t="shared" si="146"/>
        <v>153787</v>
      </c>
      <c r="O2388" s="69">
        <f t="shared" si="145"/>
        <v>153787</v>
      </c>
      <c r="P2388" s="42" t="str">
        <f>IFERROR(VLOOKUP(J2388,'Mã NV'!$B:$C,2,0),"")</f>
        <v>XE01466</v>
      </c>
      <c r="Q2388" s="70" t="str">
        <f>IFERROR(VLOOKUP(I2388,'Mã NV'!$J:$K,2,0),"")</f>
        <v>3.5T</v>
      </c>
    </row>
    <row r="2389" customHeight="1" spans="1:17">
      <c r="A2389" s="63">
        <f t="shared" si="147"/>
        <v>2381</v>
      </c>
      <c r="B2389" s="64">
        <v>46172</v>
      </c>
      <c r="D2389" s="66" t="s">
        <v>34</v>
      </c>
      <c r="E2389" s="66" t="s">
        <v>34</v>
      </c>
      <c r="F2389" s="66" t="s">
        <v>744</v>
      </c>
      <c r="G2389" s="66" t="s">
        <v>804</v>
      </c>
      <c r="H2389" s="66" t="s">
        <v>950</v>
      </c>
      <c r="I2389" s="66" t="s">
        <v>29</v>
      </c>
      <c r="J2389" s="66" t="s">
        <v>27</v>
      </c>
      <c r="K2389" s="66" t="s">
        <v>747</v>
      </c>
      <c r="L2389" s="44">
        <v>12500000</v>
      </c>
      <c r="N2389" s="68">
        <f t="shared" si="146"/>
        <v>12500000</v>
      </c>
      <c r="O2389" s="69">
        <f t="shared" si="145"/>
        <v>12500000</v>
      </c>
      <c r="P2389" s="42" t="str">
        <f>IFERROR(VLOOKUP(J2389,'Mã NV'!$B:$C,2,0),"")</f>
        <v>XE00991</v>
      </c>
      <c r="Q2389" s="70" t="str">
        <f>IFERROR(VLOOKUP(I2389,'Mã NV'!$J:$K,2,0),"")</f>
        <v>Cont 50F</v>
      </c>
    </row>
    <row r="2390" customHeight="1" spans="1:17">
      <c r="A2390" s="63">
        <f t="shared" si="147"/>
        <v>2382</v>
      </c>
      <c r="B2390" s="64">
        <v>46172</v>
      </c>
      <c r="D2390" s="66" t="s">
        <v>34</v>
      </c>
      <c r="E2390" s="66" t="s">
        <v>34</v>
      </c>
      <c r="F2390" s="66" t="s">
        <v>744</v>
      </c>
      <c r="G2390" s="66" t="s">
        <v>804</v>
      </c>
      <c r="H2390" s="66" t="s">
        <v>950</v>
      </c>
      <c r="I2390" s="66" t="s">
        <v>29</v>
      </c>
      <c r="J2390" s="66" t="s">
        <v>185</v>
      </c>
      <c r="K2390" s="66" t="s">
        <v>747</v>
      </c>
      <c r="L2390" s="44">
        <v>12500000</v>
      </c>
      <c r="N2390" s="68">
        <f t="shared" si="146"/>
        <v>12500000</v>
      </c>
      <c r="O2390" s="69">
        <f t="shared" si="145"/>
        <v>12500000</v>
      </c>
      <c r="P2390" s="42" t="str">
        <f>IFERROR(VLOOKUP(J2390,'Mã NV'!$B:$C,2,0),"")</f>
        <v>XE00854</v>
      </c>
      <c r="Q2390" s="70" t="str">
        <f>IFERROR(VLOOKUP(I2390,'Mã NV'!$J:$K,2,0),"")</f>
        <v>Cont 50F</v>
      </c>
    </row>
    <row r="2391" customHeight="1" spans="1:17">
      <c r="A2391" s="63">
        <f t="shared" si="147"/>
        <v>2383</v>
      </c>
      <c r="B2391" s="64">
        <v>46173</v>
      </c>
      <c r="D2391" s="66" t="s">
        <v>34</v>
      </c>
      <c r="E2391" s="66" t="s">
        <v>34</v>
      </c>
      <c r="F2391" s="66" t="s">
        <v>744</v>
      </c>
      <c r="G2391" s="66" t="s">
        <v>804</v>
      </c>
      <c r="H2391" s="66" t="s">
        <v>950</v>
      </c>
      <c r="I2391" s="66" t="s">
        <v>200</v>
      </c>
      <c r="J2391" s="66" t="s">
        <v>198</v>
      </c>
      <c r="K2391" s="66" t="s">
        <v>747</v>
      </c>
      <c r="L2391" s="44">
        <v>12500000</v>
      </c>
      <c r="N2391" s="68">
        <f t="shared" si="146"/>
        <v>12500000</v>
      </c>
      <c r="O2391" s="69">
        <f t="shared" si="145"/>
        <v>12500000</v>
      </c>
      <c r="P2391" s="42" t="str">
        <f>IFERROR(VLOOKUP(J2391,'Mã NV'!$B:$C,2,0),"")</f>
        <v>XE00865</v>
      </c>
      <c r="Q2391" s="70" t="str">
        <f>IFERROR(VLOOKUP(I2391,'Mã NV'!$J:$K,2,0),"")</f>
        <v>Cont 50F</v>
      </c>
    </row>
    <row r="2392" customHeight="1" spans="1:17">
      <c r="A2392" s="63">
        <f t="shared" si="147"/>
        <v>2384</v>
      </c>
      <c r="B2392" s="64">
        <v>46173</v>
      </c>
      <c r="D2392" s="66" t="s">
        <v>34</v>
      </c>
      <c r="E2392" s="66" t="s">
        <v>34</v>
      </c>
      <c r="F2392" s="66" t="s">
        <v>744</v>
      </c>
      <c r="G2392" s="66" t="s">
        <v>804</v>
      </c>
      <c r="H2392" s="66" t="s">
        <v>950</v>
      </c>
      <c r="I2392" s="66" t="s">
        <v>200</v>
      </c>
      <c r="J2392" s="66" t="s">
        <v>237</v>
      </c>
      <c r="K2392" s="66" t="s">
        <v>747</v>
      </c>
      <c r="L2392" s="44">
        <v>12500000</v>
      </c>
      <c r="N2392" s="68">
        <f t="shared" si="146"/>
        <v>12500000</v>
      </c>
      <c r="O2392" s="69">
        <f t="shared" si="145"/>
        <v>12500000</v>
      </c>
      <c r="P2392" s="42" t="str">
        <f>IFERROR(VLOOKUP(J2392,'Mã NV'!$B:$C,2,0),"")</f>
        <v>XE00985</v>
      </c>
      <c r="Q2392" s="70" t="str">
        <f>IFERROR(VLOOKUP(I2392,'Mã NV'!$J:$K,2,0),"")</f>
        <v>Cont 50F</v>
      </c>
    </row>
    <row r="2393" customHeight="1" spans="1:17">
      <c r="A2393" s="63">
        <f t="shared" si="147"/>
        <v>2385</v>
      </c>
      <c r="B2393" s="64">
        <v>46137</v>
      </c>
      <c r="D2393" s="66" t="s">
        <v>24</v>
      </c>
      <c r="E2393" s="66" t="s">
        <v>1112</v>
      </c>
      <c r="F2393" s="66" t="s">
        <v>744</v>
      </c>
      <c r="G2393" s="66" t="s">
        <v>769</v>
      </c>
      <c r="H2393" s="66" t="s">
        <v>950</v>
      </c>
      <c r="I2393" s="66" t="s">
        <v>200</v>
      </c>
      <c r="J2393" s="66" t="s">
        <v>1113</v>
      </c>
      <c r="K2393" s="66" t="s">
        <v>747</v>
      </c>
      <c r="L2393" s="44">
        <v>6000000</v>
      </c>
      <c r="N2393" s="68">
        <f t="shared" si="146"/>
        <v>6000000</v>
      </c>
      <c r="O2393" s="69">
        <f t="shared" si="145"/>
        <v>6000000</v>
      </c>
      <c r="P2393" s="42" t="str">
        <f>IFERROR(VLOOKUP(J2393,'Mã NV'!$B:$C,2,0),"")</f>
        <v>XE00985</v>
      </c>
      <c r="Q2393" s="70" t="str">
        <f>IFERROR(VLOOKUP(I2393,'Mã NV'!$J:$K,2,0),"")</f>
        <v>Cont 50F</v>
      </c>
    </row>
    <row r="2394" customHeight="1" spans="1:17">
      <c r="A2394" s="63">
        <f t="shared" si="147"/>
        <v>2386</v>
      </c>
      <c r="B2394" s="64">
        <v>46137</v>
      </c>
      <c r="D2394" s="66" t="s">
        <v>24</v>
      </c>
      <c r="E2394" s="66" t="s">
        <v>1112</v>
      </c>
      <c r="F2394" s="66" t="s">
        <v>744</v>
      </c>
      <c r="G2394" s="66" t="s">
        <v>769</v>
      </c>
      <c r="H2394" s="66" t="s">
        <v>950</v>
      </c>
      <c r="I2394" s="66" t="s">
        <v>200</v>
      </c>
      <c r="J2394" s="66" t="s">
        <v>198</v>
      </c>
      <c r="K2394" s="66" t="s">
        <v>747</v>
      </c>
      <c r="L2394" s="44">
        <v>6000000</v>
      </c>
      <c r="N2394" s="68">
        <f t="shared" si="146"/>
        <v>6000000</v>
      </c>
      <c r="O2394" s="69">
        <f t="shared" si="145"/>
        <v>6000000</v>
      </c>
      <c r="P2394" s="42" t="str">
        <f>IFERROR(VLOOKUP(J2394,'Mã NV'!$B:$C,2,0),"")</f>
        <v>XE00865</v>
      </c>
      <c r="Q2394" s="70" t="str">
        <f>IFERROR(VLOOKUP(I2394,'Mã NV'!$J:$K,2,0),"")</f>
        <v>Cont 50F</v>
      </c>
    </row>
    <row r="2395" customHeight="1" spans="1:17">
      <c r="A2395" s="63">
        <f t="shared" si="147"/>
        <v>2387</v>
      </c>
      <c r="B2395" s="40">
        <v>46140</v>
      </c>
      <c r="D2395" s="41" t="s">
        <v>287</v>
      </c>
      <c r="E2395" s="41" t="s">
        <v>287</v>
      </c>
      <c r="F2395" s="66" t="s">
        <v>744</v>
      </c>
      <c r="G2395" s="42" t="s">
        <v>750</v>
      </c>
      <c r="H2395" s="42" t="s">
        <v>950</v>
      </c>
      <c r="I2395" s="39" t="s">
        <v>293</v>
      </c>
      <c r="J2395" s="43" t="s">
        <v>294</v>
      </c>
      <c r="K2395" s="66" t="s">
        <v>747</v>
      </c>
      <c r="L2395" s="44">
        <v>7000000</v>
      </c>
      <c r="N2395" s="68">
        <f t="shared" si="146"/>
        <v>7000000</v>
      </c>
      <c r="O2395" s="69">
        <f t="shared" si="145"/>
        <v>7000000</v>
      </c>
      <c r="P2395" s="42" t="str">
        <f>IFERROR(VLOOKUP(J2395,'Mã NV'!$B:$C,2,0),"")</f>
        <v>XE01551</v>
      </c>
      <c r="Q2395" s="70" t="str">
        <f>IFERROR(VLOOKUP(I2395,'Mã NV'!$J:$K,2,0),"")</f>
        <v>8T</v>
      </c>
    </row>
    <row r="2396" customHeight="1" spans="1:17">
      <c r="A2396" s="63">
        <f t="shared" si="147"/>
        <v>2388</v>
      </c>
      <c r="B2396" s="40">
        <v>46140</v>
      </c>
      <c r="D2396" s="41" t="s">
        <v>287</v>
      </c>
      <c r="E2396" s="41" t="s">
        <v>287</v>
      </c>
      <c r="F2396" s="66" t="s">
        <v>744</v>
      </c>
      <c r="G2396" s="42" t="s">
        <v>750</v>
      </c>
      <c r="H2396" s="42" t="s">
        <v>950</v>
      </c>
      <c r="I2396" s="39" t="s">
        <v>293</v>
      </c>
      <c r="J2396" s="43" t="s">
        <v>291</v>
      </c>
      <c r="K2396" s="66" t="s">
        <v>747</v>
      </c>
      <c r="L2396" s="44">
        <v>7000000</v>
      </c>
      <c r="N2396" s="68">
        <f t="shared" si="146"/>
        <v>7000000</v>
      </c>
      <c r="O2396" s="69">
        <f t="shared" si="145"/>
        <v>7000000</v>
      </c>
      <c r="P2396" s="42" t="str">
        <f>IFERROR(VLOOKUP(J2396,'Mã NV'!$B:$C,2,0),"")</f>
        <v>XE01552</v>
      </c>
      <c r="Q2396" s="70" t="str">
        <f>IFERROR(VLOOKUP(I2396,'Mã NV'!$J:$K,2,0),"")</f>
        <v>8T</v>
      </c>
    </row>
    <row r="2397" customHeight="1" spans="1:17">
      <c r="A2397" s="63">
        <f t="shared" si="147"/>
        <v>2389</v>
      </c>
      <c r="B2397" s="40">
        <v>46152</v>
      </c>
      <c r="D2397" s="41" t="s">
        <v>287</v>
      </c>
      <c r="E2397" s="41" t="s">
        <v>287</v>
      </c>
      <c r="F2397" s="66" t="s">
        <v>744</v>
      </c>
      <c r="G2397" s="42" t="s">
        <v>950</v>
      </c>
      <c r="H2397" s="42" t="s">
        <v>750</v>
      </c>
      <c r="I2397" s="39" t="s">
        <v>286</v>
      </c>
      <c r="J2397" s="43" t="s">
        <v>284</v>
      </c>
      <c r="K2397" s="66" t="s">
        <v>747</v>
      </c>
      <c r="L2397" s="44">
        <v>7500000</v>
      </c>
      <c r="N2397" s="68">
        <f t="shared" si="146"/>
        <v>7500000</v>
      </c>
      <c r="O2397" s="69">
        <f t="shared" si="145"/>
        <v>7500000</v>
      </c>
      <c r="P2397" s="42" t="str">
        <f>IFERROR(VLOOKUP(J2397,'Mã NV'!$B:$C,2,0),"")</f>
        <v>XE01543</v>
      </c>
      <c r="Q2397" s="70" t="str">
        <f>IFERROR(VLOOKUP(I2397,'Mã NV'!$J:$K,2,0),"")</f>
        <v>8T</v>
      </c>
    </row>
    <row r="2398" customHeight="1" spans="1:17">
      <c r="A2398" s="63">
        <f t="shared" si="147"/>
        <v>2390</v>
      </c>
      <c r="B2398" s="40">
        <v>46152</v>
      </c>
      <c r="D2398" s="41" t="s">
        <v>287</v>
      </c>
      <c r="E2398" s="41" t="s">
        <v>287</v>
      </c>
      <c r="F2398" s="66" t="s">
        <v>744</v>
      </c>
      <c r="G2398" s="42" t="s">
        <v>950</v>
      </c>
      <c r="H2398" s="42" t="s">
        <v>750</v>
      </c>
      <c r="I2398" s="39" t="s">
        <v>286</v>
      </c>
      <c r="J2398" s="43" t="s">
        <v>335</v>
      </c>
      <c r="K2398" s="66" t="s">
        <v>747</v>
      </c>
      <c r="L2398" s="44">
        <v>7500000</v>
      </c>
      <c r="N2398" s="68">
        <f t="shared" si="146"/>
        <v>7500000</v>
      </c>
      <c r="O2398" s="69">
        <f t="shared" si="145"/>
        <v>7500000</v>
      </c>
      <c r="P2398" s="42" t="str">
        <f>IFERROR(VLOOKUP(J2398,'Mã NV'!$B:$C,2,0),"")</f>
        <v>XE01622</v>
      </c>
      <c r="Q2398" s="70" t="str">
        <f>IFERROR(VLOOKUP(I2398,'Mã NV'!$J:$K,2,0),"")</f>
        <v>8T</v>
      </c>
    </row>
    <row r="2399" customHeight="1" spans="1:17">
      <c r="A2399" s="63">
        <f t="shared" si="147"/>
        <v>2391</v>
      </c>
      <c r="B2399" s="40">
        <v>46154</v>
      </c>
      <c r="D2399" s="41" t="s">
        <v>26</v>
      </c>
      <c r="E2399" s="41" t="s">
        <v>1114</v>
      </c>
      <c r="F2399" s="41" t="s">
        <v>744</v>
      </c>
      <c r="G2399" s="42" t="s">
        <v>768</v>
      </c>
      <c r="H2399" s="42" t="s">
        <v>754</v>
      </c>
      <c r="I2399" s="39" t="s">
        <v>290</v>
      </c>
      <c r="J2399" s="43" t="s">
        <v>288</v>
      </c>
      <c r="K2399" s="41" t="s">
        <v>747</v>
      </c>
      <c r="L2399" s="44">
        <v>1500000</v>
      </c>
      <c r="M2399" s="44">
        <v>0</v>
      </c>
      <c r="N2399" s="68">
        <f t="shared" ref="N2399:N2460" si="148">L2399-M2399</f>
        <v>1500000</v>
      </c>
      <c r="O2399" s="69">
        <f t="shared" ref="O2399:O2460" si="149">N2399/$P$1</f>
        <v>1500000</v>
      </c>
      <c r="P2399" s="42" t="str">
        <f>IFERROR(VLOOKUP(J2399,'Mã NV'!$B:$C,2,0),"")</f>
        <v>XE01563</v>
      </c>
      <c r="Q2399" s="70" t="str">
        <f>IFERROR(VLOOKUP(I2399,'Mã NV'!$J:$K,2,0),"")</f>
        <v>8T</v>
      </c>
    </row>
    <row r="2400" customHeight="1" spans="1:17">
      <c r="A2400" s="63">
        <f t="shared" si="147"/>
        <v>2392</v>
      </c>
      <c r="B2400" s="40">
        <v>46154</v>
      </c>
      <c r="D2400" s="41" t="s">
        <v>26</v>
      </c>
      <c r="E2400" s="41" t="s">
        <v>1114</v>
      </c>
      <c r="F2400" s="41" t="s">
        <v>744</v>
      </c>
      <c r="G2400" s="42" t="s">
        <v>768</v>
      </c>
      <c r="H2400" s="42" t="s">
        <v>754</v>
      </c>
      <c r="I2400" s="39" t="s">
        <v>290</v>
      </c>
      <c r="J2400" s="43" t="s">
        <v>329</v>
      </c>
      <c r="K2400" s="41" t="s">
        <v>747</v>
      </c>
      <c r="L2400" s="44">
        <v>1500000</v>
      </c>
      <c r="M2400" s="44">
        <v>0</v>
      </c>
      <c r="N2400" s="68">
        <f t="shared" si="148"/>
        <v>1500000</v>
      </c>
      <c r="O2400" s="69">
        <f t="shared" si="149"/>
        <v>1500000</v>
      </c>
      <c r="P2400" s="42" t="str">
        <f>IFERROR(VLOOKUP(J2400,'Mã NV'!$B:$C,2,0),"")</f>
        <v>XE01609</v>
      </c>
      <c r="Q2400" s="70" t="str">
        <f>IFERROR(VLOOKUP(I2400,'Mã NV'!$J:$K,2,0),"")</f>
        <v>8T</v>
      </c>
    </row>
    <row r="2401" customHeight="1" spans="1:17">
      <c r="A2401" s="63">
        <f t="shared" si="147"/>
        <v>2393</v>
      </c>
      <c r="B2401" s="40">
        <v>46155</v>
      </c>
      <c r="D2401" s="41" t="s">
        <v>26</v>
      </c>
      <c r="E2401" s="41" t="s">
        <v>1114</v>
      </c>
      <c r="F2401" s="41" t="s">
        <v>744</v>
      </c>
      <c r="G2401" s="42" t="s">
        <v>768</v>
      </c>
      <c r="H2401" s="42" t="s">
        <v>927</v>
      </c>
      <c r="I2401" s="39" t="s">
        <v>87</v>
      </c>
      <c r="J2401" s="43" t="s">
        <v>85</v>
      </c>
      <c r="K2401" s="41" t="s">
        <v>747</v>
      </c>
      <c r="L2401" s="44">
        <v>500000</v>
      </c>
      <c r="M2401" s="44">
        <v>0</v>
      </c>
      <c r="N2401" s="68">
        <f t="shared" si="148"/>
        <v>500000</v>
      </c>
      <c r="O2401" s="69">
        <f t="shared" si="149"/>
        <v>500000</v>
      </c>
      <c r="P2401" s="42" t="str">
        <f>IFERROR(VLOOKUP(J2401,'Mã NV'!$B:$C,2,0),"")</f>
        <v>XE01456</v>
      </c>
      <c r="Q2401" s="70" t="str">
        <f>IFERROR(VLOOKUP(I2401,'Mã NV'!$J:$K,2,0),"")</f>
        <v>8T</v>
      </c>
    </row>
    <row r="2402" customHeight="1" spans="1:17">
      <c r="A2402" s="63">
        <f t="shared" si="147"/>
        <v>2394</v>
      </c>
      <c r="B2402" s="40">
        <v>46155</v>
      </c>
      <c r="D2402" s="41" t="s">
        <v>26</v>
      </c>
      <c r="E2402" s="41" t="s">
        <v>1114</v>
      </c>
      <c r="F2402" s="41" t="s">
        <v>744</v>
      </c>
      <c r="G2402" s="42" t="s">
        <v>768</v>
      </c>
      <c r="H2402" s="42" t="s">
        <v>927</v>
      </c>
      <c r="I2402" s="39" t="s">
        <v>87</v>
      </c>
      <c r="J2402" s="43" t="s">
        <v>305</v>
      </c>
      <c r="K2402" s="41" t="s">
        <v>747</v>
      </c>
      <c r="L2402" s="44">
        <v>500000</v>
      </c>
      <c r="M2402" s="44">
        <v>0</v>
      </c>
      <c r="N2402" s="68">
        <f t="shared" si="148"/>
        <v>500000</v>
      </c>
      <c r="O2402" s="69">
        <f t="shared" si="149"/>
        <v>500000</v>
      </c>
      <c r="P2402" s="42" t="str">
        <f>IFERROR(VLOOKUP(J2402,'Mã NV'!$B:$C,2,0),"")</f>
        <v>XE01599</v>
      </c>
      <c r="Q2402" s="70" t="str">
        <f>IFERROR(VLOOKUP(I2402,'Mã NV'!$J:$K,2,0),"")</f>
        <v>8T</v>
      </c>
    </row>
    <row r="2403" customHeight="1" spans="1:17">
      <c r="A2403" s="63">
        <f t="shared" si="147"/>
        <v>2395</v>
      </c>
      <c r="B2403" s="40">
        <v>46155</v>
      </c>
      <c r="D2403" s="41" t="s">
        <v>26</v>
      </c>
      <c r="E2403" s="41" t="s">
        <v>1114</v>
      </c>
      <c r="F2403" s="41" t="s">
        <v>744</v>
      </c>
      <c r="G2403" s="42" t="s">
        <v>1115</v>
      </c>
      <c r="H2403" s="42" t="s">
        <v>767</v>
      </c>
      <c r="I2403" s="39" t="s">
        <v>293</v>
      </c>
      <c r="J2403" s="43" t="s">
        <v>294</v>
      </c>
      <c r="K2403" s="41" t="s">
        <v>747</v>
      </c>
      <c r="L2403" s="44">
        <v>1500000</v>
      </c>
      <c r="M2403" s="44">
        <v>0</v>
      </c>
      <c r="N2403" s="68">
        <f t="shared" si="148"/>
        <v>1500000</v>
      </c>
      <c r="O2403" s="69">
        <f t="shared" si="149"/>
        <v>1500000</v>
      </c>
      <c r="P2403" s="42" t="str">
        <f>IFERROR(VLOOKUP(J2403,'Mã NV'!$B:$C,2,0),"")</f>
        <v>XE01551</v>
      </c>
      <c r="Q2403" s="70" t="str">
        <f>IFERROR(VLOOKUP(I2403,'Mã NV'!$J:$K,2,0),"")</f>
        <v>8T</v>
      </c>
    </row>
    <row r="2404" customHeight="1" spans="1:17">
      <c r="A2404" s="63">
        <f t="shared" si="147"/>
        <v>2396</v>
      </c>
      <c r="B2404" s="40">
        <v>46155</v>
      </c>
      <c r="D2404" s="41" t="s">
        <v>26</v>
      </c>
      <c r="E2404" s="41" t="s">
        <v>1114</v>
      </c>
      <c r="F2404" s="41" t="s">
        <v>744</v>
      </c>
      <c r="G2404" s="42" t="s">
        <v>1115</v>
      </c>
      <c r="H2404" s="42" t="s">
        <v>767</v>
      </c>
      <c r="I2404" s="39" t="s">
        <v>293</v>
      </c>
      <c r="J2404" s="43" t="s">
        <v>291</v>
      </c>
      <c r="K2404" s="41" t="s">
        <v>747</v>
      </c>
      <c r="L2404" s="44">
        <v>1500000</v>
      </c>
      <c r="M2404" s="44">
        <v>0</v>
      </c>
      <c r="N2404" s="68">
        <f t="shared" si="148"/>
        <v>1500000</v>
      </c>
      <c r="O2404" s="69">
        <f t="shared" si="149"/>
        <v>1500000</v>
      </c>
      <c r="P2404" s="42" t="str">
        <f>IFERROR(VLOOKUP(J2404,'Mã NV'!$B:$C,2,0),"")</f>
        <v>XE01552</v>
      </c>
      <c r="Q2404" s="70" t="str">
        <f>IFERROR(VLOOKUP(I2404,'Mã NV'!$J:$K,2,0),"")</f>
        <v>8T</v>
      </c>
    </row>
    <row r="2405" customHeight="1" spans="1:17">
      <c r="A2405" s="63">
        <f t="shared" si="147"/>
        <v>2397</v>
      </c>
      <c r="B2405" s="40">
        <v>46155</v>
      </c>
      <c r="D2405" s="41" t="s">
        <v>26</v>
      </c>
      <c r="E2405" s="41" t="s">
        <v>1114</v>
      </c>
      <c r="F2405" s="41" t="s">
        <v>748</v>
      </c>
      <c r="G2405" s="42" t="s">
        <v>810</v>
      </c>
      <c r="H2405" s="42" t="s">
        <v>767</v>
      </c>
      <c r="I2405" s="39" t="s">
        <v>358</v>
      </c>
      <c r="J2405" s="43" t="s">
        <v>356</v>
      </c>
      <c r="K2405" s="41" t="s">
        <v>747</v>
      </c>
      <c r="L2405" s="44">
        <v>600000</v>
      </c>
      <c r="N2405" s="68">
        <f t="shared" si="148"/>
        <v>600000</v>
      </c>
      <c r="O2405" s="69">
        <f t="shared" si="149"/>
        <v>600000</v>
      </c>
      <c r="P2405" s="42" t="str">
        <f>IFERROR(VLOOKUP(J2405,'Mã NV'!$B:$C,2,0),"")</f>
        <v>XE01616</v>
      </c>
      <c r="Q2405" s="70" t="str">
        <f>IFERROR(VLOOKUP(I2405,'Mã NV'!$J:$K,2,0),"")</f>
        <v>2.5T Lạnh</v>
      </c>
    </row>
    <row r="2406" customHeight="1" spans="1:17">
      <c r="A2406" s="63">
        <f t="shared" si="147"/>
        <v>2398</v>
      </c>
      <c r="B2406" s="40">
        <v>46155</v>
      </c>
      <c r="D2406" s="41" t="s">
        <v>26</v>
      </c>
      <c r="E2406" s="41" t="s">
        <v>1114</v>
      </c>
      <c r="F2406" s="41" t="s">
        <v>744</v>
      </c>
      <c r="G2406" s="42" t="s">
        <v>768</v>
      </c>
      <c r="H2406" s="42" t="s">
        <v>1116</v>
      </c>
      <c r="I2406" s="39" t="s">
        <v>293</v>
      </c>
      <c r="J2406" s="43" t="s">
        <v>294</v>
      </c>
      <c r="K2406" s="41" t="s">
        <v>747</v>
      </c>
      <c r="L2406" s="44">
        <v>1100000</v>
      </c>
      <c r="M2406" s="44">
        <v>0</v>
      </c>
      <c r="N2406" s="68">
        <f t="shared" si="148"/>
        <v>1100000</v>
      </c>
      <c r="O2406" s="69">
        <f t="shared" si="149"/>
        <v>1100000</v>
      </c>
      <c r="P2406" s="42" t="str">
        <f>IFERROR(VLOOKUP(J2406,'Mã NV'!$B:$C,2,0),"")</f>
        <v>XE01551</v>
      </c>
      <c r="Q2406" s="70" t="str">
        <f>IFERROR(VLOOKUP(I2406,'Mã NV'!$J:$K,2,0),"")</f>
        <v>8T</v>
      </c>
    </row>
    <row r="2407" customHeight="1" spans="1:17">
      <c r="A2407" s="63">
        <f t="shared" si="147"/>
        <v>2399</v>
      </c>
      <c r="B2407" s="40">
        <v>46155</v>
      </c>
      <c r="D2407" s="41" t="s">
        <v>26</v>
      </c>
      <c r="E2407" s="41" t="s">
        <v>1114</v>
      </c>
      <c r="F2407" s="41" t="s">
        <v>744</v>
      </c>
      <c r="G2407" s="42" t="s">
        <v>768</v>
      </c>
      <c r="H2407" s="42" t="s">
        <v>1116</v>
      </c>
      <c r="I2407" s="39" t="s">
        <v>293</v>
      </c>
      <c r="J2407" s="43" t="s">
        <v>291</v>
      </c>
      <c r="K2407" s="41" t="s">
        <v>747</v>
      </c>
      <c r="L2407" s="44">
        <v>1100000</v>
      </c>
      <c r="M2407" s="44">
        <v>0</v>
      </c>
      <c r="N2407" s="68">
        <f t="shared" si="148"/>
        <v>1100000</v>
      </c>
      <c r="O2407" s="69">
        <f t="shared" si="149"/>
        <v>1100000</v>
      </c>
      <c r="P2407" s="42" t="str">
        <f>IFERROR(VLOOKUP(J2407,'Mã NV'!$B:$C,2,0),"")</f>
        <v>XE01552</v>
      </c>
      <c r="Q2407" s="70" t="str">
        <f>IFERROR(VLOOKUP(I2407,'Mã NV'!$J:$K,2,0),"")</f>
        <v>8T</v>
      </c>
    </row>
    <row r="2408" customHeight="1" spans="1:17">
      <c r="A2408" s="63">
        <f t="shared" si="147"/>
        <v>2400</v>
      </c>
      <c r="B2408" s="40">
        <v>46156</v>
      </c>
      <c r="D2408" s="41" t="s">
        <v>26</v>
      </c>
      <c r="E2408" s="41" t="s">
        <v>1114</v>
      </c>
      <c r="F2408" s="41" t="s">
        <v>744</v>
      </c>
      <c r="G2408" s="42" t="s">
        <v>1115</v>
      </c>
      <c r="H2408" s="42" t="s">
        <v>777</v>
      </c>
      <c r="I2408" s="39" t="s">
        <v>286</v>
      </c>
      <c r="J2408" s="43" t="s">
        <v>284</v>
      </c>
      <c r="K2408" s="41" t="s">
        <v>747</v>
      </c>
      <c r="L2408" s="44">
        <v>1250000</v>
      </c>
      <c r="M2408" s="44">
        <v>0</v>
      </c>
      <c r="N2408" s="68">
        <f t="shared" si="148"/>
        <v>1250000</v>
      </c>
      <c r="O2408" s="69">
        <f t="shared" si="149"/>
        <v>1250000</v>
      </c>
      <c r="P2408" s="42" t="str">
        <f>IFERROR(VLOOKUP(J2408,'Mã NV'!$B:$C,2,0),"")</f>
        <v>XE01543</v>
      </c>
      <c r="Q2408" s="70" t="str">
        <f>IFERROR(VLOOKUP(I2408,'Mã NV'!$J:$K,2,0),"")</f>
        <v>8T</v>
      </c>
    </row>
    <row r="2409" customHeight="1" spans="1:17">
      <c r="A2409" s="63">
        <f t="shared" si="147"/>
        <v>2401</v>
      </c>
      <c r="B2409" s="40">
        <v>46156</v>
      </c>
      <c r="D2409" s="41" t="s">
        <v>26</v>
      </c>
      <c r="E2409" s="41" t="s">
        <v>1114</v>
      </c>
      <c r="F2409" s="41" t="s">
        <v>744</v>
      </c>
      <c r="G2409" s="42" t="s">
        <v>1115</v>
      </c>
      <c r="H2409" s="42" t="s">
        <v>777</v>
      </c>
      <c r="I2409" s="39" t="s">
        <v>286</v>
      </c>
      <c r="J2409" s="43" t="s">
        <v>335</v>
      </c>
      <c r="K2409" s="41" t="s">
        <v>747</v>
      </c>
      <c r="L2409" s="44">
        <v>1250000</v>
      </c>
      <c r="M2409" s="44">
        <v>0</v>
      </c>
      <c r="N2409" s="68">
        <f t="shared" si="148"/>
        <v>1250000</v>
      </c>
      <c r="O2409" s="69">
        <f t="shared" si="149"/>
        <v>1250000</v>
      </c>
      <c r="P2409" s="42" t="str">
        <f>IFERROR(VLOOKUP(J2409,'Mã NV'!$B:$C,2,0),"")</f>
        <v>XE01622</v>
      </c>
      <c r="Q2409" s="70" t="str">
        <f>IFERROR(VLOOKUP(I2409,'Mã NV'!$J:$K,2,0),"")</f>
        <v>8T</v>
      </c>
    </row>
    <row r="2410" customHeight="1" spans="1:17">
      <c r="A2410" s="63">
        <f t="shared" si="147"/>
        <v>2402</v>
      </c>
      <c r="B2410" s="40">
        <v>46156</v>
      </c>
      <c r="D2410" s="41" t="s">
        <v>26</v>
      </c>
      <c r="E2410" s="41" t="s">
        <v>1114</v>
      </c>
      <c r="F2410" s="41" t="s">
        <v>744</v>
      </c>
      <c r="G2410" s="42" t="s">
        <v>1117</v>
      </c>
      <c r="H2410" s="42" t="s">
        <v>1118</v>
      </c>
      <c r="I2410" s="39" t="s">
        <v>286</v>
      </c>
      <c r="J2410" s="43" t="s">
        <v>284</v>
      </c>
      <c r="K2410" s="41" t="s">
        <v>747</v>
      </c>
      <c r="L2410" s="44">
        <v>8000000</v>
      </c>
      <c r="M2410" s="44">
        <v>0</v>
      </c>
      <c r="N2410" s="68">
        <f t="shared" si="148"/>
        <v>8000000</v>
      </c>
      <c r="O2410" s="69">
        <f t="shared" si="149"/>
        <v>8000000</v>
      </c>
      <c r="P2410" s="42" t="str">
        <f>IFERROR(VLOOKUP(J2410,'Mã NV'!$B:$C,2,0),"")</f>
        <v>XE01543</v>
      </c>
      <c r="Q2410" s="70" t="str">
        <f>IFERROR(VLOOKUP(I2410,'Mã NV'!$J:$K,2,0),"")</f>
        <v>8T</v>
      </c>
    </row>
    <row r="2411" customHeight="1" spans="1:17">
      <c r="A2411" s="63">
        <f t="shared" si="147"/>
        <v>2403</v>
      </c>
      <c r="B2411" s="40">
        <v>46156</v>
      </c>
      <c r="D2411" s="41" t="s">
        <v>26</v>
      </c>
      <c r="E2411" s="41" t="s">
        <v>1114</v>
      </c>
      <c r="F2411" s="41" t="s">
        <v>744</v>
      </c>
      <c r="G2411" s="42" t="s">
        <v>1117</v>
      </c>
      <c r="H2411" s="42" t="s">
        <v>1118</v>
      </c>
      <c r="I2411" s="39" t="s">
        <v>286</v>
      </c>
      <c r="J2411" s="43" t="s">
        <v>335</v>
      </c>
      <c r="K2411" s="41" t="s">
        <v>747</v>
      </c>
      <c r="L2411" s="44">
        <v>8000000</v>
      </c>
      <c r="M2411" s="44">
        <v>0</v>
      </c>
      <c r="N2411" s="68">
        <f t="shared" si="148"/>
        <v>8000000</v>
      </c>
      <c r="O2411" s="69">
        <f t="shared" si="149"/>
        <v>8000000</v>
      </c>
      <c r="P2411" s="42" t="str">
        <f>IFERROR(VLOOKUP(J2411,'Mã NV'!$B:$C,2,0),"")</f>
        <v>XE01622</v>
      </c>
      <c r="Q2411" s="70" t="str">
        <f>IFERROR(VLOOKUP(I2411,'Mã NV'!$J:$K,2,0),"")</f>
        <v>8T</v>
      </c>
    </row>
    <row r="2412" customHeight="1" spans="1:17">
      <c r="A2412" s="63">
        <f t="shared" si="147"/>
        <v>2404</v>
      </c>
      <c r="B2412" s="40">
        <v>46158</v>
      </c>
      <c r="D2412" s="41" t="s">
        <v>26</v>
      </c>
      <c r="E2412" s="41" t="s">
        <v>1114</v>
      </c>
      <c r="F2412" s="41" t="s">
        <v>744</v>
      </c>
      <c r="G2412" s="42" t="s">
        <v>753</v>
      </c>
      <c r="H2412" s="42" t="s">
        <v>746</v>
      </c>
      <c r="I2412" s="39" t="s">
        <v>103</v>
      </c>
      <c r="J2412" s="43" t="s">
        <v>172</v>
      </c>
      <c r="K2412" s="41" t="s">
        <v>747</v>
      </c>
      <c r="L2412" s="44">
        <v>1500000</v>
      </c>
      <c r="M2412" s="44">
        <v>0</v>
      </c>
      <c r="N2412" s="68">
        <f t="shared" si="148"/>
        <v>1500000</v>
      </c>
      <c r="O2412" s="69">
        <f t="shared" si="149"/>
        <v>1500000</v>
      </c>
      <c r="P2412" s="42" t="str">
        <f>IFERROR(VLOOKUP(J2412,'Mã NV'!$B:$C,2,0),"")</f>
        <v>XE01433</v>
      </c>
      <c r="Q2412" s="70" t="str">
        <f>IFERROR(VLOOKUP(I2412,'Mã NV'!$J:$K,2,0),"")</f>
        <v>7.1t</v>
      </c>
    </row>
    <row r="2413" customHeight="1" spans="1:17">
      <c r="A2413" s="63">
        <f t="shared" si="147"/>
        <v>2405</v>
      </c>
      <c r="B2413" s="40">
        <v>46158</v>
      </c>
      <c r="D2413" s="41" t="s">
        <v>26</v>
      </c>
      <c r="E2413" s="41" t="s">
        <v>1114</v>
      </c>
      <c r="F2413" s="41" t="s">
        <v>744</v>
      </c>
      <c r="G2413" s="42" t="s">
        <v>753</v>
      </c>
      <c r="H2413" s="42" t="s">
        <v>746</v>
      </c>
      <c r="I2413" s="39" t="s">
        <v>103</v>
      </c>
      <c r="J2413" s="43" t="s">
        <v>181</v>
      </c>
      <c r="K2413" s="41" t="s">
        <v>747</v>
      </c>
      <c r="L2413" s="44">
        <v>1500000</v>
      </c>
      <c r="M2413" s="44">
        <v>0</v>
      </c>
      <c r="N2413" s="68">
        <f t="shared" si="148"/>
        <v>1500000</v>
      </c>
      <c r="O2413" s="69">
        <f t="shared" si="149"/>
        <v>1500000</v>
      </c>
      <c r="P2413" s="42" t="str">
        <f>IFERROR(VLOOKUP(J2413,'Mã NV'!$B:$C,2,0),"")</f>
        <v>XE01281</v>
      </c>
      <c r="Q2413" s="70" t="str">
        <f>IFERROR(VLOOKUP(I2413,'Mã NV'!$J:$K,2,0),"")</f>
        <v>7.1t</v>
      </c>
    </row>
    <row r="2414" customHeight="1" spans="1:17">
      <c r="A2414" s="63">
        <f t="shared" si="147"/>
        <v>2406</v>
      </c>
      <c r="B2414" s="40">
        <v>46158</v>
      </c>
      <c r="D2414" s="41" t="s">
        <v>26</v>
      </c>
      <c r="E2414" s="41" t="s">
        <v>1114</v>
      </c>
      <c r="F2414" s="41" t="s">
        <v>744</v>
      </c>
      <c r="G2414" s="42" t="s">
        <v>1119</v>
      </c>
      <c r="H2414" s="42" t="s">
        <v>1120</v>
      </c>
      <c r="I2414" s="39" t="s">
        <v>230</v>
      </c>
      <c r="J2414" s="43" t="s">
        <v>228</v>
      </c>
      <c r="K2414" s="41" t="s">
        <v>747</v>
      </c>
      <c r="L2414" s="44">
        <v>2000000</v>
      </c>
      <c r="M2414" s="44">
        <v>0</v>
      </c>
      <c r="N2414" s="68">
        <f t="shared" si="148"/>
        <v>2000000</v>
      </c>
      <c r="O2414" s="69">
        <f t="shared" si="149"/>
        <v>2000000</v>
      </c>
      <c r="P2414" s="42" t="str">
        <f>IFERROR(VLOOKUP(J2414,'Mã NV'!$B:$C,2,0),"")</f>
        <v>XE01390</v>
      </c>
      <c r="Q2414" s="70" t="str">
        <f>IFERROR(VLOOKUP(I2414,'Mã NV'!$J:$K,2,0),"")</f>
        <v>15T</v>
      </c>
    </row>
    <row r="2415" customHeight="1" spans="1:17">
      <c r="A2415" s="63">
        <f t="shared" si="147"/>
        <v>2407</v>
      </c>
      <c r="B2415" s="40">
        <v>46158</v>
      </c>
      <c r="D2415" s="41" t="s">
        <v>26</v>
      </c>
      <c r="E2415" s="41" t="s">
        <v>1114</v>
      </c>
      <c r="F2415" s="41" t="s">
        <v>744</v>
      </c>
      <c r="G2415" s="42" t="s">
        <v>1119</v>
      </c>
      <c r="H2415" s="42" t="s">
        <v>1120</v>
      </c>
      <c r="I2415" s="39" t="s">
        <v>230</v>
      </c>
      <c r="J2415" s="43" t="s">
        <v>364</v>
      </c>
      <c r="K2415" s="41" t="s">
        <v>747</v>
      </c>
      <c r="L2415" s="44">
        <v>2000000</v>
      </c>
      <c r="M2415" s="44">
        <v>0</v>
      </c>
      <c r="N2415" s="68">
        <f t="shared" si="148"/>
        <v>2000000</v>
      </c>
      <c r="O2415" s="69">
        <f t="shared" si="149"/>
        <v>2000000</v>
      </c>
      <c r="P2415" s="42" t="str">
        <f>IFERROR(VLOOKUP(J2415,'Mã NV'!$B:$C,2,0),"")</f>
        <v>XE01690</v>
      </c>
      <c r="Q2415" s="70" t="str">
        <f>IFERROR(VLOOKUP(I2415,'Mã NV'!$J:$K,2,0),"")</f>
        <v>15T</v>
      </c>
    </row>
    <row r="2416" customHeight="1" spans="1:17">
      <c r="A2416" s="63">
        <f t="shared" si="147"/>
        <v>2408</v>
      </c>
      <c r="B2416" s="40">
        <v>46158</v>
      </c>
      <c r="D2416" s="41" t="s">
        <v>26</v>
      </c>
      <c r="E2416" s="41" t="s">
        <v>1114</v>
      </c>
      <c r="F2416" s="41" t="s">
        <v>744</v>
      </c>
      <c r="G2416" s="42" t="s">
        <v>1121</v>
      </c>
      <c r="H2416" s="42" t="s">
        <v>845</v>
      </c>
      <c r="I2416" s="39" t="s">
        <v>141</v>
      </c>
      <c r="J2416" s="43" t="s">
        <v>145</v>
      </c>
      <c r="K2416" s="41" t="s">
        <v>747</v>
      </c>
      <c r="L2416" s="44">
        <v>3000000</v>
      </c>
      <c r="M2416" s="44">
        <v>0</v>
      </c>
      <c r="N2416" s="68">
        <f t="shared" si="148"/>
        <v>3000000</v>
      </c>
      <c r="O2416" s="69">
        <f t="shared" si="149"/>
        <v>3000000</v>
      </c>
      <c r="P2416" s="42" t="str">
        <f>IFERROR(VLOOKUP(J2416,'Mã NV'!$B:$C,2,0),"")</f>
        <v>XE01326</v>
      </c>
      <c r="Q2416" s="70" t="str">
        <f>IFERROR(VLOOKUP(I2416,'Mã NV'!$J:$K,2,0),"")</f>
        <v>7.1t</v>
      </c>
    </row>
    <row r="2417" customHeight="1" spans="1:17">
      <c r="A2417" s="63">
        <f t="shared" si="147"/>
        <v>2409</v>
      </c>
      <c r="B2417" s="40">
        <v>46158</v>
      </c>
      <c r="D2417" s="41" t="s">
        <v>26</v>
      </c>
      <c r="E2417" s="41" t="s">
        <v>1114</v>
      </c>
      <c r="F2417" s="41" t="s">
        <v>744</v>
      </c>
      <c r="G2417" s="42" t="s">
        <v>1121</v>
      </c>
      <c r="H2417" s="42" t="s">
        <v>845</v>
      </c>
      <c r="I2417" s="39" t="s">
        <v>141</v>
      </c>
      <c r="J2417" s="43" t="s">
        <v>139</v>
      </c>
      <c r="K2417" s="41" t="s">
        <v>747</v>
      </c>
      <c r="L2417" s="44">
        <v>3000000</v>
      </c>
      <c r="M2417" s="44">
        <v>0</v>
      </c>
      <c r="N2417" s="68">
        <f t="shared" si="148"/>
        <v>3000000</v>
      </c>
      <c r="O2417" s="69">
        <f t="shared" si="149"/>
        <v>3000000</v>
      </c>
      <c r="P2417" s="42" t="str">
        <f>IFERROR(VLOOKUP(J2417,'Mã NV'!$B:$C,2,0),"")</f>
        <v>XE01325</v>
      </c>
      <c r="Q2417" s="70" t="str">
        <f>IFERROR(VLOOKUP(I2417,'Mã NV'!$J:$K,2,0),"")</f>
        <v>7.1t</v>
      </c>
    </row>
    <row r="2418" customHeight="1" spans="1:17">
      <c r="A2418" s="63">
        <f t="shared" si="147"/>
        <v>2410</v>
      </c>
      <c r="B2418" s="40">
        <v>46160</v>
      </c>
      <c r="D2418" s="41" t="s">
        <v>26</v>
      </c>
      <c r="E2418" s="41" t="s">
        <v>1114</v>
      </c>
      <c r="F2418" s="41" t="s">
        <v>744</v>
      </c>
      <c r="G2418" s="42" t="s">
        <v>753</v>
      </c>
      <c r="H2418" s="42" t="s">
        <v>745</v>
      </c>
      <c r="I2418" s="39" t="s">
        <v>286</v>
      </c>
      <c r="J2418" s="43" t="s">
        <v>284</v>
      </c>
      <c r="K2418" s="41" t="s">
        <v>747</v>
      </c>
      <c r="L2418" s="44">
        <v>1400000</v>
      </c>
      <c r="M2418" s="44">
        <v>0</v>
      </c>
      <c r="N2418" s="68">
        <f t="shared" si="148"/>
        <v>1400000</v>
      </c>
      <c r="O2418" s="69">
        <f t="shared" si="149"/>
        <v>1400000</v>
      </c>
      <c r="P2418" s="42" t="str">
        <f>IFERROR(VLOOKUP(J2418,'Mã NV'!$B:$C,2,0),"")</f>
        <v>XE01543</v>
      </c>
      <c r="Q2418" s="70" t="str">
        <f>IFERROR(VLOOKUP(I2418,'Mã NV'!$J:$K,2,0),"")</f>
        <v>8T</v>
      </c>
    </row>
    <row r="2419" customHeight="1" spans="1:17">
      <c r="A2419" s="63">
        <f t="shared" si="147"/>
        <v>2411</v>
      </c>
      <c r="B2419" s="40">
        <v>46160</v>
      </c>
      <c r="D2419" s="41" t="s">
        <v>26</v>
      </c>
      <c r="E2419" s="41" t="s">
        <v>1114</v>
      </c>
      <c r="F2419" s="41" t="s">
        <v>744</v>
      </c>
      <c r="G2419" s="42" t="s">
        <v>753</v>
      </c>
      <c r="H2419" s="42" t="s">
        <v>745</v>
      </c>
      <c r="I2419" s="39" t="s">
        <v>286</v>
      </c>
      <c r="J2419" s="43" t="s">
        <v>335</v>
      </c>
      <c r="K2419" s="41" t="s">
        <v>747</v>
      </c>
      <c r="L2419" s="44">
        <v>1400000</v>
      </c>
      <c r="M2419" s="44">
        <v>0</v>
      </c>
      <c r="N2419" s="68">
        <f t="shared" si="148"/>
        <v>1400000</v>
      </c>
      <c r="O2419" s="69">
        <f t="shared" si="149"/>
        <v>1400000</v>
      </c>
      <c r="P2419" s="42" t="str">
        <f>IFERROR(VLOOKUP(J2419,'Mã NV'!$B:$C,2,0),"")</f>
        <v>XE01622</v>
      </c>
      <c r="Q2419" s="70" t="str">
        <f>IFERROR(VLOOKUP(I2419,'Mã NV'!$J:$K,2,0),"")</f>
        <v>8T</v>
      </c>
    </row>
    <row r="2420" customHeight="1" spans="1:17">
      <c r="A2420" s="63">
        <f t="shared" si="147"/>
        <v>2412</v>
      </c>
      <c r="B2420" s="40">
        <v>46160</v>
      </c>
      <c r="D2420" s="41" t="s">
        <v>26</v>
      </c>
      <c r="E2420" s="41" t="s">
        <v>1114</v>
      </c>
      <c r="F2420" s="41" t="s">
        <v>744</v>
      </c>
      <c r="G2420" s="42" t="s">
        <v>1122</v>
      </c>
      <c r="H2420" s="42" t="s">
        <v>771</v>
      </c>
      <c r="I2420" s="39" t="s">
        <v>290</v>
      </c>
      <c r="J2420" s="43" t="s">
        <v>288</v>
      </c>
      <c r="K2420" s="41" t="s">
        <v>747</v>
      </c>
      <c r="L2420" s="44">
        <v>1500000</v>
      </c>
      <c r="M2420" s="44">
        <v>0</v>
      </c>
      <c r="N2420" s="68">
        <f t="shared" si="148"/>
        <v>1500000</v>
      </c>
      <c r="O2420" s="69">
        <f t="shared" si="149"/>
        <v>1500000</v>
      </c>
      <c r="P2420" s="42" t="str">
        <f>IFERROR(VLOOKUP(J2420,'Mã NV'!$B:$C,2,0),"")</f>
        <v>XE01563</v>
      </c>
      <c r="Q2420" s="70" t="str">
        <f>IFERROR(VLOOKUP(I2420,'Mã NV'!$J:$K,2,0),"")</f>
        <v>8T</v>
      </c>
    </row>
    <row r="2421" customHeight="1" spans="1:17">
      <c r="A2421" s="63">
        <f t="shared" si="147"/>
        <v>2413</v>
      </c>
      <c r="B2421" s="40">
        <v>46160</v>
      </c>
      <c r="D2421" s="41" t="s">
        <v>26</v>
      </c>
      <c r="E2421" s="41" t="s">
        <v>1114</v>
      </c>
      <c r="F2421" s="41" t="s">
        <v>744</v>
      </c>
      <c r="G2421" s="42" t="s">
        <v>1122</v>
      </c>
      <c r="H2421" s="42" t="s">
        <v>771</v>
      </c>
      <c r="I2421" s="39" t="s">
        <v>290</v>
      </c>
      <c r="J2421" s="43" t="s">
        <v>329</v>
      </c>
      <c r="K2421" s="41" t="s">
        <v>747</v>
      </c>
      <c r="L2421" s="44">
        <v>1500000</v>
      </c>
      <c r="M2421" s="44">
        <v>0</v>
      </c>
      <c r="N2421" s="68">
        <f t="shared" si="148"/>
        <v>1500000</v>
      </c>
      <c r="O2421" s="69">
        <f t="shared" si="149"/>
        <v>1500000</v>
      </c>
      <c r="P2421" s="42" t="str">
        <f>IFERROR(VLOOKUP(J2421,'Mã NV'!$B:$C,2,0),"")</f>
        <v>XE01609</v>
      </c>
      <c r="Q2421" s="70" t="str">
        <f>IFERROR(VLOOKUP(I2421,'Mã NV'!$J:$K,2,0),"")</f>
        <v>8T</v>
      </c>
    </row>
    <row r="2422" customHeight="1" spans="1:17">
      <c r="A2422" s="63">
        <f t="shared" si="147"/>
        <v>2414</v>
      </c>
      <c r="B2422" s="40">
        <v>46161</v>
      </c>
      <c r="D2422" s="41" t="s">
        <v>26</v>
      </c>
      <c r="E2422" s="41" t="s">
        <v>1114</v>
      </c>
      <c r="F2422" s="41" t="s">
        <v>744</v>
      </c>
      <c r="G2422" s="42" t="s">
        <v>1115</v>
      </c>
      <c r="H2422" s="42" t="s">
        <v>771</v>
      </c>
      <c r="I2422" s="39" t="s">
        <v>176</v>
      </c>
      <c r="J2422" s="43" t="s">
        <v>192</v>
      </c>
      <c r="K2422" s="41" t="s">
        <v>747</v>
      </c>
      <c r="L2422" s="44">
        <v>1500000</v>
      </c>
      <c r="M2422" s="44">
        <v>0</v>
      </c>
      <c r="N2422" s="68">
        <f t="shared" si="148"/>
        <v>1500000</v>
      </c>
      <c r="O2422" s="69">
        <f t="shared" si="149"/>
        <v>1500000</v>
      </c>
      <c r="P2422" s="42" t="str">
        <f>IFERROR(VLOOKUP(J2422,'Mã NV'!$B:$C,2,0),"")</f>
        <v>XE01335</v>
      </c>
      <c r="Q2422" s="70" t="str">
        <f>IFERROR(VLOOKUP(I2422,'Mã NV'!$J:$K,2,0),"")</f>
        <v>8T</v>
      </c>
    </row>
    <row r="2423" customHeight="1" spans="1:17">
      <c r="A2423" s="63">
        <f t="shared" si="147"/>
        <v>2415</v>
      </c>
      <c r="B2423" s="40">
        <v>46161</v>
      </c>
      <c r="D2423" s="41" t="s">
        <v>26</v>
      </c>
      <c r="E2423" s="41" t="s">
        <v>1114</v>
      </c>
      <c r="F2423" s="41" t="s">
        <v>744</v>
      </c>
      <c r="G2423" s="42" t="s">
        <v>1115</v>
      </c>
      <c r="H2423" s="42" t="s">
        <v>771</v>
      </c>
      <c r="I2423" s="39" t="s">
        <v>176</v>
      </c>
      <c r="J2423" s="43" t="s">
        <v>354</v>
      </c>
      <c r="K2423" s="41" t="s">
        <v>747</v>
      </c>
      <c r="L2423" s="44">
        <v>1500000</v>
      </c>
      <c r="M2423" s="44">
        <v>0</v>
      </c>
      <c r="N2423" s="68">
        <f t="shared" si="148"/>
        <v>1500000</v>
      </c>
      <c r="O2423" s="69">
        <f t="shared" si="149"/>
        <v>1500000</v>
      </c>
      <c r="P2423" s="42" t="str">
        <f>IFERROR(VLOOKUP(J2423,'Mã NV'!$B:$C,2,0),"")</f>
        <v>XE01644</v>
      </c>
      <c r="Q2423" s="70" t="str">
        <f>IFERROR(VLOOKUP(I2423,'Mã NV'!$J:$K,2,0),"")</f>
        <v>8T</v>
      </c>
    </row>
    <row r="2424" customHeight="1" spans="1:17">
      <c r="A2424" s="63">
        <f t="shared" si="147"/>
        <v>2416</v>
      </c>
      <c r="B2424" s="40">
        <v>46161</v>
      </c>
      <c r="D2424" s="41" t="s">
        <v>26</v>
      </c>
      <c r="E2424" s="41" t="s">
        <v>1114</v>
      </c>
      <c r="F2424" s="41" t="s">
        <v>744</v>
      </c>
      <c r="G2424" s="42" t="s">
        <v>1115</v>
      </c>
      <c r="H2424" s="42" t="s">
        <v>771</v>
      </c>
      <c r="I2424" s="39" t="s">
        <v>176</v>
      </c>
      <c r="J2424" s="43" t="s">
        <v>192</v>
      </c>
      <c r="K2424" s="41" t="s">
        <v>747</v>
      </c>
      <c r="L2424" s="44">
        <v>3500000</v>
      </c>
      <c r="M2424" s="44">
        <v>0</v>
      </c>
      <c r="N2424" s="68">
        <f t="shared" si="148"/>
        <v>3500000</v>
      </c>
      <c r="O2424" s="69">
        <f t="shared" si="149"/>
        <v>3500000</v>
      </c>
      <c r="P2424" s="42" t="str">
        <f>IFERROR(VLOOKUP(J2424,'Mã NV'!$B:$C,2,0),"")</f>
        <v>XE01335</v>
      </c>
      <c r="Q2424" s="70" t="str">
        <f>IFERROR(VLOOKUP(I2424,'Mã NV'!$J:$K,2,0),"")</f>
        <v>8T</v>
      </c>
    </row>
    <row r="2425" customHeight="1" spans="1:17">
      <c r="A2425" s="63">
        <f t="shared" si="147"/>
        <v>2417</v>
      </c>
      <c r="B2425" s="40">
        <v>46161</v>
      </c>
      <c r="D2425" s="41" t="s">
        <v>26</v>
      </c>
      <c r="E2425" s="41" t="s">
        <v>1114</v>
      </c>
      <c r="F2425" s="41" t="s">
        <v>744</v>
      </c>
      <c r="G2425" s="42" t="s">
        <v>1115</v>
      </c>
      <c r="H2425" s="42" t="s">
        <v>771</v>
      </c>
      <c r="I2425" s="39" t="s">
        <v>176</v>
      </c>
      <c r="J2425" s="43" t="s">
        <v>354</v>
      </c>
      <c r="K2425" s="41" t="s">
        <v>747</v>
      </c>
      <c r="L2425" s="44">
        <v>3500000</v>
      </c>
      <c r="M2425" s="44">
        <v>0</v>
      </c>
      <c r="N2425" s="68">
        <f t="shared" si="148"/>
        <v>3500000</v>
      </c>
      <c r="O2425" s="69">
        <f t="shared" si="149"/>
        <v>3500000</v>
      </c>
      <c r="P2425" s="42" t="str">
        <f>IFERROR(VLOOKUP(J2425,'Mã NV'!$B:$C,2,0),"")</f>
        <v>XE01644</v>
      </c>
      <c r="Q2425" s="70" t="str">
        <f>IFERROR(VLOOKUP(I2425,'Mã NV'!$J:$K,2,0),"")</f>
        <v>8T</v>
      </c>
    </row>
    <row r="2426" customHeight="1" spans="1:17">
      <c r="A2426" s="63">
        <f t="shared" si="147"/>
        <v>2418</v>
      </c>
      <c r="B2426" s="40">
        <v>46162</v>
      </c>
      <c r="D2426" s="41" t="s">
        <v>26</v>
      </c>
      <c r="E2426" s="41" t="s">
        <v>1114</v>
      </c>
      <c r="F2426" s="41" t="s">
        <v>744</v>
      </c>
      <c r="G2426" s="42" t="s">
        <v>768</v>
      </c>
      <c r="H2426" s="42" t="s">
        <v>758</v>
      </c>
      <c r="I2426" s="39" t="s">
        <v>93</v>
      </c>
      <c r="J2426" s="43" t="s">
        <v>307</v>
      </c>
      <c r="K2426" s="41" t="s">
        <v>747</v>
      </c>
      <c r="L2426" s="44">
        <v>1250000</v>
      </c>
      <c r="M2426" s="44">
        <v>0</v>
      </c>
      <c r="N2426" s="68">
        <f t="shared" si="148"/>
        <v>1250000</v>
      </c>
      <c r="O2426" s="69">
        <f t="shared" si="149"/>
        <v>1250000</v>
      </c>
      <c r="P2426" s="42" t="str">
        <f>IFERROR(VLOOKUP(J2426,'Mã NV'!$B:$C,2,0),"")</f>
        <v>XE01548</v>
      </c>
      <c r="Q2426" s="70" t="str">
        <f>IFERROR(VLOOKUP(I2426,'Mã NV'!$J:$K,2,0),"")</f>
        <v>7.1t</v>
      </c>
    </row>
    <row r="2427" customHeight="1" spans="1:17">
      <c r="A2427" s="63">
        <f t="shared" si="147"/>
        <v>2419</v>
      </c>
      <c r="B2427" s="40">
        <v>46162</v>
      </c>
      <c r="D2427" s="41" t="s">
        <v>26</v>
      </c>
      <c r="E2427" s="41" t="s">
        <v>1114</v>
      </c>
      <c r="F2427" s="41" t="s">
        <v>744</v>
      </c>
      <c r="G2427" s="42" t="s">
        <v>768</v>
      </c>
      <c r="H2427" s="42" t="s">
        <v>758</v>
      </c>
      <c r="I2427" s="39" t="s">
        <v>93</v>
      </c>
      <c r="J2427" s="43" t="s">
        <v>310</v>
      </c>
      <c r="K2427" s="41" t="s">
        <v>747</v>
      </c>
      <c r="L2427" s="44">
        <v>1250000</v>
      </c>
      <c r="M2427" s="44">
        <v>0</v>
      </c>
      <c r="N2427" s="68">
        <f t="shared" si="148"/>
        <v>1250000</v>
      </c>
      <c r="O2427" s="69">
        <f t="shared" si="149"/>
        <v>1250000</v>
      </c>
      <c r="P2427" s="42" t="str">
        <f>IFERROR(VLOOKUP(J2427,'Mã NV'!$B:$C,2,0),"")</f>
        <v>XE01549</v>
      </c>
      <c r="Q2427" s="70" t="str">
        <f>IFERROR(VLOOKUP(I2427,'Mã NV'!$J:$K,2,0),"")</f>
        <v>7.1t</v>
      </c>
    </row>
    <row r="2428" customHeight="1" spans="1:17">
      <c r="A2428" s="63">
        <f t="shared" si="147"/>
        <v>2420</v>
      </c>
      <c r="B2428" s="40">
        <v>46162</v>
      </c>
      <c r="D2428" s="41" t="s">
        <v>26</v>
      </c>
      <c r="E2428" s="41" t="s">
        <v>1114</v>
      </c>
      <c r="F2428" s="41" t="s">
        <v>744</v>
      </c>
      <c r="G2428" s="42" t="s">
        <v>1115</v>
      </c>
      <c r="H2428" s="42" t="s">
        <v>779</v>
      </c>
      <c r="I2428" s="39" t="s">
        <v>93</v>
      </c>
      <c r="J2428" s="43" t="s">
        <v>307</v>
      </c>
      <c r="K2428" s="41" t="s">
        <v>747</v>
      </c>
      <c r="L2428" s="44">
        <v>1250000</v>
      </c>
      <c r="M2428" s="44">
        <v>0</v>
      </c>
      <c r="N2428" s="68">
        <f t="shared" si="148"/>
        <v>1250000</v>
      </c>
      <c r="O2428" s="69">
        <f t="shared" si="149"/>
        <v>1250000</v>
      </c>
      <c r="P2428" s="42" t="str">
        <f>IFERROR(VLOOKUP(J2428,'Mã NV'!$B:$C,2,0),"")</f>
        <v>XE01548</v>
      </c>
      <c r="Q2428" s="70" t="str">
        <f>IFERROR(VLOOKUP(I2428,'Mã NV'!$J:$K,2,0),"")</f>
        <v>7.1t</v>
      </c>
    </row>
    <row r="2429" customHeight="1" spans="1:17">
      <c r="A2429" s="63">
        <f t="shared" si="147"/>
        <v>2421</v>
      </c>
      <c r="B2429" s="40">
        <v>46162</v>
      </c>
      <c r="D2429" s="41" t="s">
        <v>26</v>
      </c>
      <c r="E2429" s="41" t="s">
        <v>1114</v>
      </c>
      <c r="F2429" s="41" t="s">
        <v>744</v>
      </c>
      <c r="G2429" s="42" t="s">
        <v>1115</v>
      </c>
      <c r="H2429" s="42" t="s">
        <v>779</v>
      </c>
      <c r="I2429" s="39" t="s">
        <v>93</v>
      </c>
      <c r="J2429" s="43" t="s">
        <v>310</v>
      </c>
      <c r="K2429" s="41" t="s">
        <v>747</v>
      </c>
      <c r="L2429" s="44">
        <v>1250000</v>
      </c>
      <c r="M2429" s="44">
        <v>0</v>
      </c>
      <c r="N2429" s="68">
        <f t="shared" si="148"/>
        <v>1250000</v>
      </c>
      <c r="O2429" s="69">
        <f t="shared" si="149"/>
        <v>1250000</v>
      </c>
      <c r="P2429" s="42" t="str">
        <f>IFERROR(VLOOKUP(J2429,'Mã NV'!$B:$C,2,0),"")</f>
        <v>XE01549</v>
      </c>
      <c r="Q2429" s="70" t="str">
        <f>IFERROR(VLOOKUP(I2429,'Mã NV'!$J:$K,2,0),"")</f>
        <v>7.1t</v>
      </c>
    </row>
    <row r="2430" customHeight="1" spans="1:17">
      <c r="A2430" s="63">
        <f t="shared" si="147"/>
        <v>2422</v>
      </c>
      <c r="B2430" s="40">
        <v>46162</v>
      </c>
      <c r="D2430" s="41" t="s">
        <v>26</v>
      </c>
      <c r="E2430" s="41" t="s">
        <v>1114</v>
      </c>
      <c r="F2430" s="41" t="s">
        <v>744</v>
      </c>
      <c r="G2430" s="42" t="s">
        <v>1115</v>
      </c>
      <c r="H2430" s="42" t="s">
        <v>801</v>
      </c>
      <c r="I2430" s="39" t="s">
        <v>93</v>
      </c>
      <c r="J2430" s="43" t="s">
        <v>307</v>
      </c>
      <c r="K2430" s="41" t="s">
        <v>747</v>
      </c>
      <c r="L2430" s="44">
        <v>1000000</v>
      </c>
      <c r="M2430" s="44">
        <v>0</v>
      </c>
      <c r="N2430" s="68">
        <f t="shared" si="148"/>
        <v>1000000</v>
      </c>
      <c r="O2430" s="69">
        <f t="shared" si="149"/>
        <v>1000000</v>
      </c>
      <c r="P2430" s="42" t="str">
        <f>IFERROR(VLOOKUP(J2430,'Mã NV'!$B:$C,2,0),"")</f>
        <v>XE01548</v>
      </c>
      <c r="Q2430" s="70" t="str">
        <f>IFERROR(VLOOKUP(I2430,'Mã NV'!$J:$K,2,0),"")</f>
        <v>7.1t</v>
      </c>
    </row>
    <row r="2431" customHeight="1" spans="1:17">
      <c r="A2431" s="63">
        <f t="shared" si="147"/>
        <v>2423</v>
      </c>
      <c r="B2431" s="40">
        <v>46162</v>
      </c>
      <c r="D2431" s="41" t="s">
        <v>26</v>
      </c>
      <c r="E2431" s="41" t="s">
        <v>1114</v>
      </c>
      <c r="F2431" s="41" t="s">
        <v>744</v>
      </c>
      <c r="G2431" s="42" t="s">
        <v>1115</v>
      </c>
      <c r="H2431" s="42" t="s">
        <v>801</v>
      </c>
      <c r="I2431" s="39" t="s">
        <v>93</v>
      </c>
      <c r="J2431" s="43" t="s">
        <v>310</v>
      </c>
      <c r="K2431" s="41" t="s">
        <v>747</v>
      </c>
      <c r="L2431" s="44">
        <v>1000000</v>
      </c>
      <c r="M2431" s="44">
        <v>0</v>
      </c>
      <c r="N2431" s="68">
        <f t="shared" si="148"/>
        <v>1000000</v>
      </c>
      <c r="O2431" s="69">
        <f t="shared" si="149"/>
        <v>1000000</v>
      </c>
      <c r="P2431" s="42" t="str">
        <f>IFERROR(VLOOKUP(J2431,'Mã NV'!$B:$C,2,0),"")</f>
        <v>XE01549</v>
      </c>
      <c r="Q2431" s="70" t="str">
        <f>IFERROR(VLOOKUP(I2431,'Mã NV'!$J:$K,2,0),"")</f>
        <v>7.1t</v>
      </c>
    </row>
    <row r="2432" customHeight="1" spans="1:17">
      <c r="A2432" s="63">
        <f t="shared" si="147"/>
        <v>2424</v>
      </c>
      <c r="B2432" s="40">
        <v>46163</v>
      </c>
      <c r="D2432" s="41" t="s">
        <v>26</v>
      </c>
      <c r="E2432" s="41" t="s">
        <v>1114</v>
      </c>
      <c r="F2432" s="41" t="s">
        <v>744</v>
      </c>
      <c r="G2432" s="42" t="s">
        <v>768</v>
      </c>
      <c r="H2432" s="42" t="s">
        <v>854</v>
      </c>
      <c r="I2432" s="39" t="s">
        <v>103</v>
      </c>
      <c r="J2432" s="43" t="s">
        <v>181</v>
      </c>
      <c r="K2432" s="41" t="s">
        <v>747</v>
      </c>
      <c r="L2432" s="44">
        <v>1500000</v>
      </c>
      <c r="M2432" s="44">
        <v>0</v>
      </c>
      <c r="N2432" s="68">
        <f t="shared" si="148"/>
        <v>1500000</v>
      </c>
      <c r="O2432" s="69">
        <f t="shared" si="149"/>
        <v>1500000</v>
      </c>
      <c r="P2432" s="42" t="str">
        <f>IFERROR(VLOOKUP(J2432,'Mã NV'!$B:$C,2,0),"")</f>
        <v>XE01281</v>
      </c>
      <c r="Q2432" s="70" t="str">
        <f>IFERROR(VLOOKUP(I2432,'Mã NV'!$J:$K,2,0),"")</f>
        <v>7.1t</v>
      </c>
    </row>
    <row r="2433" customHeight="1" spans="1:17">
      <c r="A2433" s="63">
        <f t="shared" si="147"/>
        <v>2425</v>
      </c>
      <c r="B2433" s="40">
        <v>46163</v>
      </c>
      <c r="D2433" s="41" t="s">
        <v>26</v>
      </c>
      <c r="E2433" s="41" t="s">
        <v>1114</v>
      </c>
      <c r="F2433" s="41" t="s">
        <v>744</v>
      </c>
      <c r="G2433" s="42" t="s">
        <v>768</v>
      </c>
      <c r="H2433" s="42" t="s">
        <v>854</v>
      </c>
      <c r="I2433" s="39" t="s">
        <v>103</v>
      </c>
      <c r="J2433" s="43" t="s">
        <v>172</v>
      </c>
      <c r="K2433" s="41" t="s">
        <v>747</v>
      </c>
      <c r="L2433" s="44">
        <v>1500000</v>
      </c>
      <c r="M2433" s="44">
        <v>0</v>
      </c>
      <c r="N2433" s="68">
        <f t="shared" si="148"/>
        <v>1500000</v>
      </c>
      <c r="O2433" s="69">
        <f t="shared" si="149"/>
        <v>1500000</v>
      </c>
      <c r="P2433" s="42" t="str">
        <f>IFERROR(VLOOKUP(J2433,'Mã NV'!$B:$C,2,0),"")</f>
        <v>XE01433</v>
      </c>
      <c r="Q2433" s="70" t="str">
        <f>IFERROR(VLOOKUP(I2433,'Mã NV'!$J:$K,2,0),"")</f>
        <v>7.1t</v>
      </c>
    </row>
    <row r="2434" customHeight="1" spans="1:17">
      <c r="A2434" s="63">
        <f t="shared" si="147"/>
        <v>2426</v>
      </c>
      <c r="B2434" s="40">
        <v>46164</v>
      </c>
      <c r="D2434" s="41" t="s">
        <v>26</v>
      </c>
      <c r="E2434" s="41" t="s">
        <v>1114</v>
      </c>
      <c r="F2434" s="41" t="s">
        <v>744</v>
      </c>
      <c r="G2434" s="42" t="s">
        <v>836</v>
      </c>
      <c r="H2434" s="42" t="s">
        <v>745</v>
      </c>
      <c r="I2434" s="39" t="s">
        <v>293</v>
      </c>
      <c r="J2434" s="43" t="s">
        <v>294</v>
      </c>
      <c r="K2434" s="41" t="s">
        <v>747</v>
      </c>
      <c r="L2434" s="44">
        <v>1000000</v>
      </c>
      <c r="M2434" s="44">
        <v>0</v>
      </c>
      <c r="N2434" s="68">
        <f t="shared" si="148"/>
        <v>1000000</v>
      </c>
      <c r="O2434" s="69">
        <f t="shared" si="149"/>
        <v>1000000</v>
      </c>
      <c r="P2434" s="42" t="str">
        <f>IFERROR(VLOOKUP(J2434,'Mã NV'!$B:$C,2,0),"")</f>
        <v>XE01551</v>
      </c>
      <c r="Q2434" s="70" t="str">
        <f>IFERROR(VLOOKUP(I2434,'Mã NV'!$J:$K,2,0),"")</f>
        <v>8T</v>
      </c>
    </row>
    <row r="2435" customHeight="1" spans="1:17">
      <c r="A2435" s="63">
        <f t="shared" si="147"/>
        <v>2427</v>
      </c>
      <c r="B2435" s="40">
        <v>46164</v>
      </c>
      <c r="D2435" s="41" t="s">
        <v>26</v>
      </c>
      <c r="E2435" s="41" t="s">
        <v>1114</v>
      </c>
      <c r="F2435" s="41" t="s">
        <v>744</v>
      </c>
      <c r="G2435" s="42" t="s">
        <v>836</v>
      </c>
      <c r="H2435" s="42" t="s">
        <v>745</v>
      </c>
      <c r="I2435" s="39" t="s">
        <v>293</v>
      </c>
      <c r="J2435" s="43" t="s">
        <v>291</v>
      </c>
      <c r="K2435" s="41" t="s">
        <v>747</v>
      </c>
      <c r="L2435" s="44">
        <v>1000000</v>
      </c>
      <c r="M2435" s="44">
        <v>0</v>
      </c>
      <c r="N2435" s="68">
        <f t="shared" si="148"/>
        <v>1000000</v>
      </c>
      <c r="O2435" s="69">
        <f t="shared" si="149"/>
        <v>1000000</v>
      </c>
      <c r="P2435" s="42" t="str">
        <f>IFERROR(VLOOKUP(J2435,'Mã NV'!$B:$C,2,0),"")</f>
        <v>XE01552</v>
      </c>
      <c r="Q2435" s="70" t="str">
        <f>IFERROR(VLOOKUP(I2435,'Mã NV'!$J:$K,2,0),"")</f>
        <v>8T</v>
      </c>
    </row>
    <row r="2436" customHeight="1" spans="1:17">
      <c r="A2436" s="63">
        <f t="shared" si="147"/>
        <v>2428</v>
      </c>
      <c r="B2436" s="40">
        <v>46164</v>
      </c>
      <c r="D2436" s="41" t="s">
        <v>26</v>
      </c>
      <c r="E2436" s="41" t="s">
        <v>1114</v>
      </c>
      <c r="F2436" s="41" t="s">
        <v>744</v>
      </c>
      <c r="G2436" s="42" t="s">
        <v>770</v>
      </c>
      <c r="H2436" s="42" t="s">
        <v>771</v>
      </c>
      <c r="I2436" s="39" t="s">
        <v>286</v>
      </c>
      <c r="J2436" s="43" t="s">
        <v>284</v>
      </c>
      <c r="K2436" s="41" t="s">
        <v>747</v>
      </c>
      <c r="L2436" s="44">
        <v>1000000</v>
      </c>
      <c r="M2436" s="44">
        <v>0</v>
      </c>
      <c r="N2436" s="68">
        <f t="shared" si="148"/>
        <v>1000000</v>
      </c>
      <c r="O2436" s="69">
        <f t="shared" si="149"/>
        <v>1000000</v>
      </c>
      <c r="P2436" s="42" t="str">
        <f>IFERROR(VLOOKUP(J2436,'Mã NV'!$B:$C,2,0),"")</f>
        <v>XE01543</v>
      </c>
      <c r="Q2436" s="70" t="str">
        <f>IFERROR(VLOOKUP(I2436,'Mã NV'!$J:$K,2,0),"")</f>
        <v>8T</v>
      </c>
    </row>
    <row r="2437" customHeight="1" spans="1:17">
      <c r="A2437" s="63">
        <f t="shared" si="147"/>
        <v>2429</v>
      </c>
      <c r="B2437" s="40">
        <v>46164</v>
      </c>
      <c r="D2437" s="41" t="s">
        <v>26</v>
      </c>
      <c r="E2437" s="41" t="s">
        <v>1114</v>
      </c>
      <c r="F2437" s="41" t="s">
        <v>744</v>
      </c>
      <c r="G2437" s="42" t="s">
        <v>770</v>
      </c>
      <c r="H2437" s="42" t="s">
        <v>771</v>
      </c>
      <c r="I2437" s="39" t="s">
        <v>286</v>
      </c>
      <c r="J2437" s="43" t="s">
        <v>335</v>
      </c>
      <c r="K2437" s="41" t="s">
        <v>747</v>
      </c>
      <c r="L2437" s="44">
        <v>1000000</v>
      </c>
      <c r="M2437" s="44">
        <v>0</v>
      </c>
      <c r="N2437" s="68">
        <f t="shared" si="148"/>
        <v>1000000</v>
      </c>
      <c r="O2437" s="69">
        <f t="shared" si="149"/>
        <v>1000000</v>
      </c>
      <c r="P2437" s="42" t="str">
        <f>IFERROR(VLOOKUP(J2437,'Mã NV'!$B:$C,2,0),"")</f>
        <v>XE01622</v>
      </c>
      <c r="Q2437" s="70" t="str">
        <f>IFERROR(VLOOKUP(I2437,'Mã NV'!$J:$K,2,0),"")</f>
        <v>8T</v>
      </c>
    </row>
    <row r="2438" customHeight="1" spans="1:17">
      <c r="A2438" s="63">
        <f t="shared" si="147"/>
        <v>2430</v>
      </c>
      <c r="B2438" s="40">
        <v>46164</v>
      </c>
      <c r="D2438" s="41" t="s">
        <v>26</v>
      </c>
      <c r="E2438" s="41" t="s">
        <v>1114</v>
      </c>
      <c r="F2438" s="41" t="s">
        <v>744</v>
      </c>
      <c r="G2438" s="42" t="s">
        <v>770</v>
      </c>
      <c r="H2438" s="42" t="s">
        <v>854</v>
      </c>
      <c r="I2438" s="39" t="s">
        <v>286</v>
      </c>
      <c r="J2438" s="43" t="s">
        <v>284</v>
      </c>
      <c r="K2438" s="41" t="s">
        <v>747</v>
      </c>
      <c r="L2438" s="44">
        <v>1000000</v>
      </c>
      <c r="M2438" s="44">
        <v>0</v>
      </c>
      <c r="N2438" s="68">
        <f t="shared" si="148"/>
        <v>1000000</v>
      </c>
      <c r="O2438" s="69">
        <f t="shared" si="149"/>
        <v>1000000</v>
      </c>
      <c r="P2438" s="42" t="str">
        <f>IFERROR(VLOOKUP(J2438,'Mã NV'!$B:$C,2,0),"")</f>
        <v>XE01543</v>
      </c>
      <c r="Q2438" s="70" t="str">
        <f>IFERROR(VLOOKUP(I2438,'Mã NV'!$J:$K,2,0),"")</f>
        <v>8T</v>
      </c>
    </row>
    <row r="2439" customHeight="1" spans="1:17">
      <c r="A2439" s="63">
        <f t="shared" si="147"/>
        <v>2431</v>
      </c>
      <c r="B2439" s="40">
        <v>46164</v>
      </c>
      <c r="D2439" s="41" t="s">
        <v>26</v>
      </c>
      <c r="E2439" s="41" t="s">
        <v>1114</v>
      </c>
      <c r="F2439" s="41" t="s">
        <v>744</v>
      </c>
      <c r="G2439" s="42" t="s">
        <v>770</v>
      </c>
      <c r="H2439" s="42" t="s">
        <v>854</v>
      </c>
      <c r="I2439" s="39" t="s">
        <v>286</v>
      </c>
      <c r="J2439" s="43" t="s">
        <v>335</v>
      </c>
      <c r="K2439" s="41" t="s">
        <v>747</v>
      </c>
      <c r="L2439" s="44">
        <v>1000000</v>
      </c>
      <c r="M2439" s="44">
        <v>0</v>
      </c>
      <c r="N2439" s="68">
        <f t="shared" si="148"/>
        <v>1000000</v>
      </c>
      <c r="O2439" s="69">
        <f t="shared" si="149"/>
        <v>1000000</v>
      </c>
      <c r="P2439" s="42" t="str">
        <f>IFERROR(VLOOKUP(J2439,'Mã NV'!$B:$C,2,0),"")</f>
        <v>XE01622</v>
      </c>
      <c r="Q2439" s="70" t="str">
        <f>IFERROR(VLOOKUP(I2439,'Mã NV'!$J:$K,2,0),"")</f>
        <v>8T</v>
      </c>
    </row>
    <row r="2440" customHeight="1" spans="1:17">
      <c r="A2440" s="63">
        <f t="shared" si="147"/>
        <v>2432</v>
      </c>
      <c r="B2440" s="40">
        <v>46164</v>
      </c>
      <c r="D2440" s="41" t="s">
        <v>26</v>
      </c>
      <c r="E2440" s="41" t="s">
        <v>1114</v>
      </c>
      <c r="F2440" s="41" t="s">
        <v>744</v>
      </c>
      <c r="G2440" s="42" t="s">
        <v>770</v>
      </c>
      <c r="H2440" s="42" t="s">
        <v>815</v>
      </c>
      <c r="I2440" s="39" t="s">
        <v>286</v>
      </c>
      <c r="J2440" s="43" t="s">
        <v>284</v>
      </c>
      <c r="K2440" s="41" t="s">
        <v>747</v>
      </c>
      <c r="L2440" s="44">
        <v>1000000</v>
      </c>
      <c r="M2440" s="44">
        <v>0</v>
      </c>
      <c r="N2440" s="68">
        <f t="shared" si="148"/>
        <v>1000000</v>
      </c>
      <c r="O2440" s="69">
        <f t="shared" si="149"/>
        <v>1000000</v>
      </c>
      <c r="P2440" s="42" t="str">
        <f>IFERROR(VLOOKUP(J2440,'Mã NV'!$B:$C,2,0),"")</f>
        <v>XE01543</v>
      </c>
      <c r="Q2440" s="70" t="str">
        <f>IFERROR(VLOOKUP(I2440,'Mã NV'!$J:$K,2,0),"")</f>
        <v>8T</v>
      </c>
    </row>
    <row r="2441" customHeight="1" spans="1:17">
      <c r="A2441" s="63">
        <f t="shared" si="147"/>
        <v>2433</v>
      </c>
      <c r="B2441" s="40">
        <v>46164</v>
      </c>
      <c r="D2441" s="41" t="s">
        <v>26</v>
      </c>
      <c r="E2441" s="41" t="s">
        <v>1114</v>
      </c>
      <c r="F2441" s="41" t="s">
        <v>744</v>
      </c>
      <c r="G2441" s="42" t="s">
        <v>770</v>
      </c>
      <c r="H2441" s="42" t="s">
        <v>815</v>
      </c>
      <c r="I2441" s="39" t="s">
        <v>286</v>
      </c>
      <c r="J2441" s="43" t="s">
        <v>335</v>
      </c>
      <c r="K2441" s="41" t="s">
        <v>747</v>
      </c>
      <c r="L2441" s="44">
        <v>1000000</v>
      </c>
      <c r="M2441" s="44">
        <v>0</v>
      </c>
      <c r="N2441" s="68">
        <f t="shared" si="148"/>
        <v>1000000</v>
      </c>
      <c r="O2441" s="69">
        <f t="shared" si="149"/>
        <v>1000000</v>
      </c>
      <c r="P2441" s="42" t="str">
        <f>IFERROR(VLOOKUP(J2441,'Mã NV'!$B:$C,2,0),"")</f>
        <v>XE01622</v>
      </c>
      <c r="Q2441" s="70" t="str">
        <f>IFERROR(VLOOKUP(I2441,'Mã NV'!$J:$K,2,0),"")</f>
        <v>8T</v>
      </c>
    </row>
    <row r="2442" customHeight="1" spans="1:17">
      <c r="A2442" s="63">
        <f t="shared" si="147"/>
        <v>2434</v>
      </c>
      <c r="B2442" s="40">
        <v>46164</v>
      </c>
      <c r="D2442" s="41" t="s">
        <v>26</v>
      </c>
      <c r="E2442" s="41" t="s">
        <v>1114</v>
      </c>
      <c r="F2442" s="41" t="s">
        <v>744</v>
      </c>
      <c r="G2442" s="42" t="s">
        <v>770</v>
      </c>
      <c r="H2442" s="42" t="s">
        <v>758</v>
      </c>
      <c r="I2442" s="39" t="s">
        <v>286</v>
      </c>
      <c r="J2442" s="43" t="s">
        <v>284</v>
      </c>
      <c r="K2442" s="41" t="s">
        <v>747</v>
      </c>
      <c r="L2442" s="44">
        <v>2000000</v>
      </c>
      <c r="M2442" s="44">
        <v>0</v>
      </c>
      <c r="N2442" s="68">
        <f t="shared" si="148"/>
        <v>2000000</v>
      </c>
      <c r="O2442" s="69">
        <f t="shared" si="149"/>
        <v>2000000</v>
      </c>
      <c r="P2442" s="42" t="str">
        <f>IFERROR(VLOOKUP(J2442,'Mã NV'!$B:$C,2,0),"")</f>
        <v>XE01543</v>
      </c>
      <c r="Q2442" s="70" t="str">
        <f>IFERROR(VLOOKUP(I2442,'Mã NV'!$J:$K,2,0),"")</f>
        <v>8T</v>
      </c>
    </row>
    <row r="2443" customHeight="1" spans="1:17">
      <c r="A2443" s="63">
        <f t="shared" si="147"/>
        <v>2435</v>
      </c>
      <c r="B2443" s="40">
        <v>46164</v>
      </c>
      <c r="D2443" s="41" t="s">
        <v>26</v>
      </c>
      <c r="E2443" s="41" t="s">
        <v>1114</v>
      </c>
      <c r="F2443" s="41" t="s">
        <v>744</v>
      </c>
      <c r="G2443" s="42" t="s">
        <v>770</v>
      </c>
      <c r="H2443" s="42" t="s">
        <v>758</v>
      </c>
      <c r="I2443" s="39" t="s">
        <v>286</v>
      </c>
      <c r="J2443" s="43" t="s">
        <v>335</v>
      </c>
      <c r="K2443" s="41" t="s">
        <v>747</v>
      </c>
      <c r="L2443" s="44">
        <v>2000000</v>
      </c>
      <c r="M2443" s="44">
        <v>0</v>
      </c>
      <c r="N2443" s="68">
        <f t="shared" si="148"/>
        <v>2000000</v>
      </c>
      <c r="O2443" s="69">
        <f t="shared" si="149"/>
        <v>2000000</v>
      </c>
      <c r="P2443" s="42" t="str">
        <f>IFERROR(VLOOKUP(J2443,'Mã NV'!$B:$C,2,0),"")</f>
        <v>XE01622</v>
      </c>
      <c r="Q2443" s="70" t="str">
        <f>IFERROR(VLOOKUP(I2443,'Mã NV'!$J:$K,2,0),"")</f>
        <v>8T</v>
      </c>
    </row>
    <row r="2444" customHeight="1" spans="1:17">
      <c r="A2444" s="63">
        <f t="shared" si="147"/>
        <v>2436</v>
      </c>
      <c r="B2444" s="40">
        <v>46164</v>
      </c>
      <c r="D2444" s="41" t="s">
        <v>26</v>
      </c>
      <c r="E2444" s="41" t="s">
        <v>1114</v>
      </c>
      <c r="F2444" s="41" t="s">
        <v>744</v>
      </c>
      <c r="G2444" s="42" t="s">
        <v>770</v>
      </c>
      <c r="H2444" s="42" t="s">
        <v>836</v>
      </c>
      <c r="I2444" s="39" t="s">
        <v>286</v>
      </c>
      <c r="J2444" s="43" t="s">
        <v>284</v>
      </c>
      <c r="K2444" s="41" t="s">
        <v>747</v>
      </c>
      <c r="L2444" s="44">
        <v>1000000</v>
      </c>
      <c r="M2444" s="44">
        <v>0</v>
      </c>
      <c r="N2444" s="68">
        <f t="shared" si="148"/>
        <v>1000000</v>
      </c>
      <c r="O2444" s="69">
        <f t="shared" si="149"/>
        <v>1000000</v>
      </c>
      <c r="P2444" s="42" t="str">
        <f>IFERROR(VLOOKUP(J2444,'Mã NV'!$B:$C,2,0),"")</f>
        <v>XE01543</v>
      </c>
      <c r="Q2444" s="70" t="str">
        <f>IFERROR(VLOOKUP(I2444,'Mã NV'!$J:$K,2,0),"")</f>
        <v>8T</v>
      </c>
    </row>
    <row r="2445" customHeight="1" spans="1:17">
      <c r="A2445" s="63">
        <f t="shared" si="147"/>
        <v>2437</v>
      </c>
      <c r="B2445" s="40">
        <v>46164</v>
      </c>
      <c r="D2445" s="41" t="s">
        <v>26</v>
      </c>
      <c r="E2445" s="41" t="s">
        <v>1114</v>
      </c>
      <c r="F2445" s="41" t="s">
        <v>744</v>
      </c>
      <c r="G2445" s="42" t="s">
        <v>770</v>
      </c>
      <c r="H2445" s="42" t="s">
        <v>836</v>
      </c>
      <c r="I2445" s="39" t="s">
        <v>286</v>
      </c>
      <c r="J2445" s="43" t="s">
        <v>335</v>
      </c>
      <c r="K2445" s="41" t="s">
        <v>747</v>
      </c>
      <c r="L2445" s="44">
        <v>1000000</v>
      </c>
      <c r="M2445" s="44">
        <v>0</v>
      </c>
      <c r="N2445" s="68">
        <f t="shared" si="148"/>
        <v>1000000</v>
      </c>
      <c r="O2445" s="69">
        <f t="shared" si="149"/>
        <v>1000000</v>
      </c>
      <c r="P2445" s="42" t="str">
        <f>IFERROR(VLOOKUP(J2445,'Mã NV'!$B:$C,2,0),"")</f>
        <v>XE01622</v>
      </c>
      <c r="Q2445" s="70" t="str">
        <f>IFERROR(VLOOKUP(I2445,'Mã NV'!$J:$K,2,0),"")</f>
        <v>8T</v>
      </c>
    </row>
    <row r="2446" customHeight="1" spans="1:17">
      <c r="A2446" s="63">
        <f t="shared" si="147"/>
        <v>2438</v>
      </c>
      <c r="B2446" s="40">
        <v>46168</v>
      </c>
      <c r="D2446" s="41" t="s">
        <v>26</v>
      </c>
      <c r="E2446" s="41" t="s">
        <v>1114</v>
      </c>
      <c r="F2446" s="41" t="s">
        <v>744</v>
      </c>
      <c r="G2446" s="42" t="s">
        <v>1115</v>
      </c>
      <c r="H2446" s="42" t="s">
        <v>769</v>
      </c>
      <c r="I2446" s="39" t="s">
        <v>158</v>
      </c>
      <c r="J2446" s="43" t="s">
        <v>156</v>
      </c>
      <c r="K2446" s="41" t="s">
        <v>747</v>
      </c>
      <c r="L2446" s="44">
        <v>7000000</v>
      </c>
      <c r="M2446" s="44">
        <v>500000</v>
      </c>
      <c r="N2446" s="68">
        <f t="shared" si="148"/>
        <v>6500000</v>
      </c>
      <c r="O2446" s="69">
        <f t="shared" si="149"/>
        <v>6500000</v>
      </c>
      <c r="P2446" s="42" t="str">
        <f>IFERROR(VLOOKUP(J2446,'Mã NV'!$B:$C,2,0),"")</f>
        <v>XE01316</v>
      </c>
      <c r="Q2446" s="70" t="str">
        <f>IFERROR(VLOOKUP(I2446,'Mã NV'!$J:$K,2,0),"")</f>
        <v>8T</v>
      </c>
    </row>
    <row r="2447" customHeight="1" spans="1:17">
      <c r="A2447" s="63">
        <f t="shared" si="147"/>
        <v>2439</v>
      </c>
      <c r="B2447" s="40">
        <v>46168</v>
      </c>
      <c r="D2447" s="41" t="s">
        <v>26</v>
      </c>
      <c r="E2447" s="41" t="s">
        <v>1114</v>
      </c>
      <c r="F2447" s="41" t="s">
        <v>744</v>
      </c>
      <c r="G2447" s="42" t="s">
        <v>1115</v>
      </c>
      <c r="H2447" s="42" t="s">
        <v>769</v>
      </c>
      <c r="I2447" s="39" t="s">
        <v>158</v>
      </c>
      <c r="J2447" s="43" t="s">
        <v>277</v>
      </c>
      <c r="K2447" s="41" t="s">
        <v>747</v>
      </c>
      <c r="L2447" s="44">
        <v>7000000</v>
      </c>
      <c r="M2447" s="44">
        <v>500000</v>
      </c>
      <c r="N2447" s="68">
        <f t="shared" si="148"/>
        <v>6500000</v>
      </c>
      <c r="O2447" s="69">
        <f t="shared" si="149"/>
        <v>6500000</v>
      </c>
      <c r="P2447" s="42" t="str">
        <f>IFERROR(VLOOKUP(J2447,'Mã NV'!$B:$C,2,0),"")</f>
        <v>XE01534</v>
      </c>
      <c r="Q2447" s="70" t="str">
        <f>IFERROR(VLOOKUP(I2447,'Mã NV'!$J:$K,2,0),"")</f>
        <v>8T</v>
      </c>
    </row>
    <row r="2448" customHeight="1" spans="1:17">
      <c r="A2448" s="63">
        <f t="shared" si="147"/>
        <v>2440</v>
      </c>
      <c r="B2448" s="40">
        <v>46168</v>
      </c>
      <c r="D2448" s="41" t="s">
        <v>26</v>
      </c>
      <c r="E2448" s="41" t="s">
        <v>1114</v>
      </c>
      <c r="F2448" s="41" t="s">
        <v>744</v>
      </c>
      <c r="G2448" s="42" t="s">
        <v>1115</v>
      </c>
      <c r="H2448" s="42" t="s">
        <v>769</v>
      </c>
      <c r="I2448" s="39" t="s">
        <v>158</v>
      </c>
      <c r="J2448" s="43" t="s">
        <v>156</v>
      </c>
      <c r="K2448" s="41" t="s">
        <v>747</v>
      </c>
      <c r="L2448" s="44">
        <v>1500000</v>
      </c>
      <c r="M2448" s="44">
        <v>0</v>
      </c>
      <c r="N2448" s="68">
        <f t="shared" si="148"/>
        <v>1500000</v>
      </c>
      <c r="O2448" s="69">
        <f t="shared" si="149"/>
        <v>1500000</v>
      </c>
      <c r="P2448" s="42" t="str">
        <f>IFERROR(VLOOKUP(J2448,'Mã NV'!$B:$C,2,0),"")</f>
        <v>XE01316</v>
      </c>
      <c r="Q2448" s="70" t="str">
        <f>IFERROR(VLOOKUP(I2448,'Mã NV'!$J:$K,2,0),"")</f>
        <v>8T</v>
      </c>
    </row>
    <row r="2449" customHeight="1" spans="1:17">
      <c r="A2449" s="63">
        <f t="shared" ref="A2449:A2479" si="150">A2448+1</f>
        <v>2441</v>
      </c>
      <c r="B2449" s="40">
        <v>46168</v>
      </c>
      <c r="D2449" s="41" t="s">
        <v>26</v>
      </c>
      <c r="E2449" s="41" t="s">
        <v>1114</v>
      </c>
      <c r="F2449" s="41" t="s">
        <v>744</v>
      </c>
      <c r="G2449" s="42" t="s">
        <v>1115</v>
      </c>
      <c r="H2449" s="42" t="s">
        <v>769</v>
      </c>
      <c r="I2449" s="39" t="s">
        <v>158</v>
      </c>
      <c r="J2449" s="43" t="s">
        <v>277</v>
      </c>
      <c r="K2449" s="41" t="s">
        <v>747</v>
      </c>
      <c r="L2449" s="44">
        <v>1500000</v>
      </c>
      <c r="M2449" s="44">
        <v>0</v>
      </c>
      <c r="N2449" s="68">
        <f t="shared" si="148"/>
        <v>1500000</v>
      </c>
      <c r="O2449" s="69">
        <f t="shared" si="149"/>
        <v>1500000</v>
      </c>
      <c r="P2449" s="42" t="str">
        <f>IFERROR(VLOOKUP(J2449,'Mã NV'!$B:$C,2,0),"")</f>
        <v>XE01534</v>
      </c>
      <c r="Q2449" s="70" t="str">
        <f>IFERROR(VLOOKUP(I2449,'Mã NV'!$J:$K,2,0),"")</f>
        <v>8T</v>
      </c>
    </row>
    <row r="2450" customHeight="1" spans="1:17">
      <c r="A2450" s="63">
        <f t="shared" si="150"/>
        <v>2442</v>
      </c>
      <c r="B2450" s="40">
        <v>46168</v>
      </c>
      <c r="D2450" s="41" t="s">
        <v>26</v>
      </c>
      <c r="E2450" s="41" t="s">
        <v>1114</v>
      </c>
      <c r="F2450" s="41" t="s">
        <v>744</v>
      </c>
      <c r="G2450" s="42" t="s">
        <v>1115</v>
      </c>
      <c r="H2450" s="42" t="s">
        <v>777</v>
      </c>
      <c r="I2450" s="39" t="s">
        <v>158</v>
      </c>
      <c r="J2450" s="43" t="s">
        <v>156</v>
      </c>
      <c r="K2450" s="41" t="s">
        <v>747</v>
      </c>
      <c r="L2450" s="44">
        <v>1550000</v>
      </c>
      <c r="M2450" s="44">
        <v>0</v>
      </c>
      <c r="N2450" s="68">
        <f t="shared" si="148"/>
        <v>1550000</v>
      </c>
      <c r="O2450" s="69">
        <f t="shared" si="149"/>
        <v>1550000</v>
      </c>
      <c r="P2450" s="42" t="str">
        <f>IFERROR(VLOOKUP(J2450,'Mã NV'!$B:$C,2,0),"")</f>
        <v>XE01316</v>
      </c>
      <c r="Q2450" s="70" t="str">
        <f>IFERROR(VLOOKUP(I2450,'Mã NV'!$J:$K,2,0),"")</f>
        <v>8T</v>
      </c>
    </row>
    <row r="2451" customHeight="1" spans="1:17">
      <c r="A2451" s="63">
        <f t="shared" si="150"/>
        <v>2443</v>
      </c>
      <c r="B2451" s="40">
        <v>46168</v>
      </c>
      <c r="D2451" s="41" t="s">
        <v>26</v>
      </c>
      <c r="E2451" s="41" t="s">
        <v>1114</v>
      </c>
      <c r="F2451" s="41" t="s">
        <v>744</v>
      </c>
      <c r="G2451" s="42" t="s">
        <v>1115</v>
      </c>
      <c r="H2451" s="42" t="s">
        <v>777</v>
      </c>
      <c r="I2451" s="39" t="s">
        <v>158</v>
      </c>
      <c r="J2451" s="43" t="s">
        <v>277</v>
      </c>
      <c r="K2451" s="41" t="s">
        <v>747</v>
      </c>
      <c r="L2451" s="44">
        <v>1550000</v>
      </c>
      <c r="M2451" s="44">
        <v>0</v>
      </c>
      <c r="N2451" s="68">
        <f t="shared" si="148"/>
        <v>1550000</v>
      </c>
      <c r="O2451" s="69">
        <f t="shared" si="149"/>
        <v>1550000</v>
      </c>
      <c r="P2451" s="42" t="str">
        <f>IFERROR(VLOOKUP(J2451,'Mã NV'!$B:$C,2,0),"")</f>
        <v>XE01534</v>
      </c>
      <c r="Q2451" s="70" t="str">
        <f>IFERROR(VLOOKUP(I2451,'Mã NV'!$J:$K,2,0),"")</f>
        <v>8T</v>
      </c>
    </row>
    <row r="2452" customHeight="1" spans="1:17">
      <c r="A2452" s="63">
        <f t="shared" si="150"/>
        <v>2444</v>
      </c>
      <c r="B2452" s="40">
        <v>46169</v>
      </c>
      <c r="D2452" s="41" t="s">
        <v>26</v>
      </c>
      <c r="E2452" s="41" t="s">
        <v>1114</v>
      </c>
      <c r="F2452" s="41" t="s">
        <v>744</v>
      </c>
      <c r="G2452" s="42" t="s">
        <v>768</v>
      </c>
      <c r="H2452" s="42" t="s">
        <v>754</v>
      </c>
      <c r="I2452" s="39" t="s">
        <v>211</v>
      </c>
      <c r="J2452" s="43" t="s">
        <v>209</v>
      </c>
      <c r="K2452" s="41" t="s">
        <v>747</v>
      </c>
      <c r="L2452" s="44">
        <v>4000000</v>
      </c>
      <c r="M2452" s="44">
        <v>0</v>
      </c>
      <c r="N2452" s="68">
        <f t="shared" si="148"/>
        <v>4000000</v>
      </c>
      <c r="O2452" s="69">
        <f t="shared" si="149"/>
        <v>4000000</v>
      </c>
      <c r="P2452" s="42" t="str">
        <f>IFERROR(VLOOKUP(J2452,'Mã NV'!$B:$C,2,0),"")</f>
        <v>XE01098</v>
      </c>
      <c r="Q2452" s="70" t="str">
        <f>IFERROR(VLOOKUP(I2452,'Mã NV'!$J:$K,2,0),"")</f>
        <v>7.1t</v>
      </c>
    </row>
    <row r="2453" customHeight="1" spans="1:17">
      <c r="A2453" s="63">
        <f t="shared" si="150"/>
        <v>2445</v>
      </c>
      <c r="B2453" s="40">
        <v>46169</v>
      </c>
      <c r="D2453" s="41" t="s">
        <v>26</v>
      </c>
      <c r="E2453" s="41" t="s">
        <v>1114</v>
      </c>
      <c r="F2453" s="41" t="s">
        <v>744</v>
      </c>
      <c r="G2453" s="42" t="s">
        <v>768</v>
      </c>
      <c r="H2453" s="42" t="s">
        <v>754</v>
      </c>
      <c r="I2453" s="39" t="s">
        <v>211</v>
      </c>
      <c r="J2453" s="43" t="s">
        <v>316</v>
      </c>
      <c r="K2453" s="41" t="s">
        <v>747</v>
      </c>
      <c r="L2453" s="44">
        <v>4000000</v>
      </c>
      <c r="M2453" s="44">
        <v>0</v>
      </c>
      <c r="N2453" s="68">
        <f t="shared" si="148"/>
        <v>4000000</v>
      </c>
      <c r="O2453" s="69">
        <f t="shared" si="149"/>
        <v>4000000</v>
      </c>
      <c r="P2453" s="42" t="str">
        <f>IFERROR(VLOOKUP(J2453,'Mã NV'!$B:$C,2,0),"")</f>
        <v>XE01600</v>
      </c>
      <c r="Q2453" s="70" t="str">
        <f>IFERROR(VLOOKUP(I2453,'Mã NV'!$J:$K,2,0),"")</f>
        <v>7.1t</v>
      </c>
    </row>
    <row r="2454" customHeight="1" spans="1:17">
      <c r="A2454" s="63">
        <f t="shared" si="150"/>
        <v>2446</v>
      </c>
      <c r="B2454" s="40">
        <v>46169</v>
      </c>
      <c r="D2454" s="41" t="s">
        <v>26</v>
      </c>
      <c r="E2454" s="41" t="s">
        <v>1114</v>
      </c>
      <c r="F2454" s="41" t="s">
        <v>744</v>
      </c>
      <c r="G2454" s="42" t="s">
        <v>1115</v>
      </c>
      <c r="H2454" s="42" t="s">
        <v>767</v>
      </c>
      <c r="I2454" s="39" t="s">
        <v>211</v>
      </c>
      <c r="J2454" s="43" t="s">
        <v>209</v>
      </c>
      <c r="K2454" s="41" t="s">
        <v>747</v>
      </c>
      <c r="L2454" s="44">
        <v>1500000</v>
      </c>
      <c r="M2454" s="44">
        <v>0</v>
      </c>
      <c r="N2454" s="68">
        <f t="shared" si="148"/>
        <v>1500000</v>
      </c>
      <c r="O2454" s="69">
        <f t="shared" si="149"/>
        <v>1500000</v>
      </c>
      <c r="P2454" s="42" t="str">
        <f>IFERROR(VLOOKUP(J2454,'Mã NV'!$B:$C,2,0),"")</f>
        <v>XE01098</v>
      </c>
      <c r="Q2454" s="70" t="str">
        <f>IFERROR(VLOOKUP(I2454,'Mã NV'!$J:$K,2,0),"")</f>
        <v>7.1t</v>
      </c>
    </row>
    <row r="2455" customHeight="1" spans="1:17">
      <c r="A2455" s="63">
        <f t="shared" si="150"/>
        <v>2447</v>
      </c>
      <c r="B2455" s="40">
        <v>46169</v>
      </c>
      <c r="D2455" s="41" t="s">
        <v>26</v>
      </c>
      <c r="E2455" s="41" t="s">
        <v>1114</v>
      </c>
      <c r="F2455" s="41" t="s">
        <v>744</v>
      </c>
      <c r="G2455" s="42" t="s">
        <v>1115</v>
      </c>
      <c r="H2455" s="42" t="s">
        <v>767</v>
      </c>
      <c r="I2455" s="39" t="s">
        <v>211</v>
      </c>
      <c r="J2455" s="43" t="s">
        <v>316</v>
      </c>
      <c r="K2455" s="41" t="s">
        <v>747</v>
      </c>
      <c r="L2455" s="44">
        <v>1500000</v>
      </c>
      <c r="M2455" s="44">
        <v>0</v>
      </c>
      <c r="N2455" s="68">
        <f t="shared" si="148"/>
        <v>1500000</v>
      </c>
      <c r="O2455" s="69">
        <f t="shared" si="149"/>
        <v>1500000</v>
      </c>
      <c r="P2455" s="42" t="str">
        <f>IFERROR(VLOOKUP(J2455,'Mã NV'!$B:$C,2,0),"")</f>
        <v>XE01600</v>
      </c>
      <c r="Q2455" s="70" t="str">
        <f>IFERROR(VLOOKUP(I2455,'Mã NV'!$J:$K,2,0),"")</f>
        <v>7.1t</v>
      </c>
    </row>
    <row r="2456" customHeight="1" spans="1:17">
      <c r="A2456" s="63">
        <f t="shared" si="150"/>
        <v>2448</v>
      </c>
      <c r="B2456" s="40">
        <v>46169</v>
      </c>
      <c r="D2456" s="41" t="s">
        <v>26</v>
      </c>
      <c r="E2456" s="41" t="s">
        <v>1114</v>
      </c>
      <c r="F2456" s="41" t="s">
        <v>744</v>
      </c>
      <c r="G2456" s="42" t="s">
        <v>770</v>
      </c>
      <c r="H2456" s="42" t="s">
        <v>1123</v>
      </c>
      <c r="I2456" s="39" t="s">
        <v>275</v>
      </c>
      <c r="J2456" s="43" t="s">
        <v>273</v>
      </c>
      <c r="K2456" s="41" t="s">
        <v>747</v>
      </c>
      <c r="L2456" s="44">
        <v>2750000</v>
      </c>
      <c r="M2456" s="44">
        <v>0</v>
      </c>
      <c r="N2456" s="68">
        <f t="shared" si="148"/>
        <v>2750000</v>
      </c>
      <c r="O2456" s="69">
        <f t="shared" si="149"/>
        <v>2750000</v>
      </c>
      <c r="P2456" s="42" t="str">
        <f>IFERROR(VLOOKUP(J2456,'Mã NV'!$B:$C,2,0),"")</f>
        <v>XE01527</v>
      </c>
      <c r="Q2456" s="70" t="str">
        <f>IFERROR(VLOOKUP(I2456,'Mã NV'!$J:$K,2,0),"")</f>
        <v>8T</v>
      </c>
    </row>
    <row r="2457" customHeight="1" spans="1:17">
      <c r="A2457" s="63">
        <f t="shared" si="150"/>
        <v>2449</v>
      </c>
      <c r="B2457" s="40">
        <v>46169</v>
      </c>
      <c r="D2457" s="41" t="s">
        <v>26</v>
      </c>
      <c r="E2457" s="41" t="s">
        <v>1114</v>
      </c>
      <c r="F2457" s="41" t="s">
        <v>744</v>
      </c>
      <c r="G2457" s="42" t="s">
        <v>770</v>
      </c>
      <c r="H2457" s="42" t="s">
        <v>1123</v>
      </c>
      <c r="I2457" s="39" t="s">
        <v>275</v>
      </c>
      <c r="J2457" s="43" t="s">
        <v>303</v>
      </c>
      <c r="K2457" s="41" t="s">
        <v>747</v>
      </c>
      <c r="L2457" s="44">
        <v>2750000</v>
      </c>
      <c r="M2457" s="44">
        <v>0</v>
      </c>
      <c r="N2457" s="68">
        <f t="shared" si="148"/>
        <v>2750000</v>
      </c>
      <c r="O2457" s="69">
        <f t="shared" si="149"/>
        <v>2750000</v>
      </c>
      <c r="P2457" s="42" t="str">
        <f>IFERROR(VLOOKUP(J2457,'Mã NV'!$B:$C,2,0),"")</f>
        <v>XE01574</v>
      </c>
      <c r="Q2457" s="70" t="str">
        <f>IFERROR(VLOOKUP(I2457,'Mã NV'!$J:$K,2,0),"")</f>
        <v>8T</v>
      </c>
    </row>
    <row r="2458" customHeight="1" spans="1:17">
      <c r="A2458" s="63">
        <f t="shared" si="150"/>
        <v>2450</v>
      </c>
      <c r="B2458" s="40">
        <v>46172</v>
      </c>
      <c r="D2458" s="41" t="s">
        <v>26</v>
      </c>
      <c r="E2458" s="41" t="s">
        <v>1114</v>
      </c>
      <c r="F2458" s="41" t="s">
        <v>748</v>
      </c>
      <c r="G2458" s="42" t="s">
        <v>810</v>
      </c>
      <c r="H2458" s="42" t="s">
        <v>1124</v>
      </c>
      <c r="I2458" s="39" t="s">
        <v>358</v>
      </c>
      <c r="J2458" s="43" t="s">
        <v>356</v>
      </c>
      <c r="K2458" s="41" t="s">
        <v>747</v>
      </c>
      <c r="L2458" s="44">
        <v>1100000</v>
      </c>
      <c r="N2458" s="68">
        <f t="shared" si="148"/>
        <v>1100000</v>
      </c>
      <c r="O2458" s="69">
        <f t="shared" si="149"/>
        <v>1100000</v>
      </c>
      <c r="P2458" s="42" t="str">
        <f>IFERROR(VLOOKUP(J2458,'Mã NV'!$B:$C,2,0),"")</f>
        <v>XE01616</v>
      </c>
      <c r="Q2458" s="70" t="str">
        <f>IFERROR(VLOOKUP(I2458,'Mã NV'!$J:$K,2,0),"")</f>
        <v>2.5T Lạnh</v>
      </c>
    </row>
    <row r="2459" customHeight="1" spans="1:17">
      <c r="A2459" s="63">
        <f t="shared" si="150"/>
        <v>2451</v>
      </c>
      <c r="B2459" s="40">
        <v>46170</v>
      </c>
      <c r="D2459" s="41" t="s">
        <v>26</v>
      </c>
      <c r="E2459" s="41" t="s">
        <v>1114</v>
      </c>
      <c r="F2459" s="41" t="s">
        <v>744</v>
      </c>
      <c r="G2459" s="42" t="s">
        <v>770</v>
      </c>
      <c r="H2459" s="42" t="s">
        <v>1125</v>
      </c>
      <c r="I2459" s="39" t="s">
        <v>8</v>
      </c>
      <c r="J2459" s="43" t="s">
        <v>382</v>
      </c>
      <c r="K2459" s="41" t="s">
        <v>747</v>
      </c>
      <c r="L2459" s="44">
        <v>4000000</v>
      </c>
      <c r="M2459" s="44">
        <v>0</v>
      </c>
      <c r="N2459" s="68">
        <f t="shared" si="148"/>
        <v>4000000</v>
      </c>
      <c r="O2459" s="69">
        <f t="shared" si="149"/>
        <v>4000000</v>
      </c>
      <c r="P2459" s="42" t="str">
        <f>IFERROR(VLOOKUP(J2459,'Mã NV'!$B:$C,2,0),"")</f>
        <v>XE01685</v>
      </c>
      <c r="Q2459" s="70" t="str">
        <f>IFERROR(VLOOKUP(I2459,'Mã NV'!$J:$K,2,0),"")</f>
        <v>5.5T</v>
      </c>
    </row>
    <row r="2460" customHeight="1" spans="1:17">
      <c r="A2460" s="63">
        <f t="shared" si="150"/>
        <v>2452</v>
      </c>
      <c r="B2460" s="40">
        <v>46170</v>
      </c>
      <c r="D2460" s="41" t="s">
        <v>26</v>
      </c>
      <c r="E2460" s="41" t="s">
        <v>1114</v>
      </c>
      <c r="F2460" s="41" t="s">
        <v>744</v>
      </c>
      <c r="G2460" s="42" t="s">
        <v>768</v>
      </c>
      <c r="H2460" s="42" t="s">
        <v>884</v>
      </c>
      <c r="I2460" s="39" t="s">
        <v>8</v>
      </c>
      <c r="J2460" s="43" t="s">
        <v>382</v>
      </c>
      <c r="K2460" s="41" t="s">
        <v>747</v>
      </c>
      <c r="L2460" s="44">
        <v>1600000</v>
      </c>
      <c r="M2460" s="44">
        <v>0</v>
      </c>
      <c r="N2460" s="68">
        <f t="shared" si="148"/>
        <v>1600000</v>
      </c>
      <c r="O2460" s="69">
        <f t="shared" si="149"/>
        <v>1600000</v>
      </c>
      <c r="P2460" s="42" t="str">
        <f>IFERROR(VLOOKUP(J2460,'Mã NV'!$B:$C,2,0),"")</f>
        <v>XE01685</v>
      </c>
      <c r="Q2460" s="70" t="str">
        <f>IFERROR(VLOOKUP(I2460,'Mã NV'!$J:$K,2,0),"")</f>
        <v>5.5T</v>
      </c>
    </row>
    <row r="2461" customHeight="1" spans="1:17">
      <c r="A2461" s="63">
        <f t="shared" si="150"/>
        <v>2453</v>
      </c>
      <c r="B2461" s="40">
        <v>46170</v>
      </c>
      <c r="D2461" s="41" t="s">
        <v>26</v>
      </c>
      <c r="E2461" s="41" t="s">
        <v>1114</v>
      </c>
      <c r="F2461" s="41" t="s">
        <v>744</v>
      </c>
      <c r="G2461" s="42" t="s">
        <v>770</v>
      </c>
      <c r="H2461" s="42" t="s">
        <v>1126</v>
      </c>
      <c r="I2461" s="39" t="s">
        <v>119</v>
      </c>
      <c r="J2461" s="43" t="s">
        <v>117</v>
      </c>
      <c r="K2461" s="41" t="s">
        <v>747</v>
      </c>
      <c r="L2461" s="44">
        <v>15000000</v>
      </c>
      <c r="M2461" s="44">
        <v>0</v>
      </c>
      <c r="N2461" s="68">
        <f t="shared" ref="N2461:N2479" si="151">L2461-M2461</f>
        <v>15000000</v>
      </c>
      <c r="O2461" s="69">
        <f t="shared" ref="O2461:O2479" si="152">N2461/$P$1</f>
        <v>15000000</v>
      </c>
      <c r="P2461" s="42" t="str">
        <f>IFERROR(VLOOKUP(J2461,'Mã NV'!$B:$C,2,0),"")</f>
        <v>XE01453</v>
      </c>
      <c r="Q2461" s="70" t="str">
        <f>IFERROR(VLOOKUP(I2461,'Mã NV'!$J:$K,2,0),"")</f>
        <v>8T</v>
      </c>
    </row>
    <row r="2462" customHeight="1" spans="1:17">
      <c r="A2462" s="63">
        <f t="shared" si="150"/>
        <v>2454</v>
      </c>
      <c r="B2462" s="40">
        <v>46170</v>
      </c>
      <c r="D2462" s="41" t="s">
        <v>26</v>
      </c>
      <c r="E2462" s="41" t="s">
        <v>1114</v>
      </c>
      <c r="F2462" s="41" t="s">
        <v>744</v>
      </c>
      <c r="G2462" s="42" t="s">
        <v>768</v>
      </c>
      <c r="H2462" s="42" t="s">
        <v>769</v>
      </c>
      <c r="I2462" s="39" t="s">
        <v>161</v>
      </c>
      <c r="J2462" s="43" t="s">
        <v>225</v>
      </c>
      <c r="K2462" s="41" t="s">
        <v>747</v>
      </c>
      <c r="L2462" s="44">
        <v>1000000</v>
      </c>
      <c r="M2462" s="44">
        <v>0</v>
      </c>
      <c r="N2462" s="68">
        <f t="shared" si="151"/>
        <v>1000000</v>
      </c>
      <c r="O2462" s="69">
        <f t="shared" si="152"/>
        <v>1000000</v>
      </c>
      <c r="P2462" s="42" t="str">
        <f>IFERROR(VLOOKUP(J2462,'Mã NV'!$B:$C,2,0),"")</f>
        <v>XE01164</v>
      </c>
      <c r="Q2462" s="70" t="str">
        <f>IFERROR(VLOOKUP(I2462,'Mã NV'!$J:$K,2,0),"")</f>
        <v>8T</v>
      </c>
    </row>
    <row r="2463" customHeight="1" spans="1:17">
      <c r="A2463" s="63">
        <f t="shared" si="150"/>
        <v>2455</v>
      </c>
      <c r="B2463" s="40">
        <v>46170</v>
      </c>
      <c r="D2463" s="41" t="s">
        <v>26</v>
      </c>
      <c r="E2463" s="41" t="s">
        <v>1114</v>
      </c>
      <c r="F2463" s="41" t="s">
        <v>744</v>
      </c>
      <c r="G2463" s="42" t="s">
        <v>768</v>
      </c>
      <c r="H2463" s="42" t="s">
        <v>769</v>
      </c>
      <c r="I2463" s="39" t="s">
        <v>161</v>
      </c>
      <c r="J2463" s="43" t="s">
        <v>371</v>
      </c>
      <c r="K2463" s="41" t="s">
        <v>747</v>
      </c>
      <c r="L2463" s="44">
        <v>1000000</v>
      </c>
      <c r="M2463" s="44">
        <v>0</v>
      </c>
      <c r="N2463" s="68">
        <f t="shared" si="151"/>
        <v>1000000</v>
      </c>
      <c r="O2463" s="69">
        <f t="shared" si="152"/>
        <v>1000000</v>
      </c>
      <c r="P2463" s="42" t="str">
        <f>IFERROR(VLOOKUP(J2463,'Mã NV'!$B:$C,2,0),"")</f>
        <v>XE01698</v>
      </c>
      <c r="Q2463" s="70" t="str">
        <f>IFERROR(VLOOKUP(I2463,'Mã NV'!$J:$K,2,0),"")</f>
        <v>8T</v>
      </c>
    </row>
    <row r="2464" customHeight="1" spans="1:17">
      <c r="A2464" s="63">
        <f t="shared" si="150"/>
        <v>2456</v>
      </c>
      <c r="B2464" s="40">
        <v>46170</v>
      </c>
      <c r="D2464" s="41" t="s">
        <v>26</v>
      </c>
      <c r="E2464" s="41" t="s">
        <v>1114</v>
      </c>
      <c r="F2464" s="41" t="s">
        <v>744</v>
      </c>
      <c r="G2464" s="42" t="s">
        <v>770</v>
      </c>
      <c r="H2464" s="42" t="s">
        <v>746</v>
      </c>
      <c r="I2464" s="39" t="s">
        <v>290</v>
      </c>
      <c r="J2464" s="43" t="s">
        <v>288</v>
      </c>
      <c r="K2464" s="41" t="s">
        <v>747</v>
      </c>
      <c r="L2464" s="44">
        <v>6750000</v>
      </c>
      <c r="M2464" s="44">
        <v>0</v>
      </c>
      <c r="N2464" s="68">
        <f t="shared" si="151"/>
        <v>6750000</v>
      </c>
      <c r="O2464" s="69">
        <f t="shared" si="152"/>
        <v>6750000</v>
      </c>
      <c r="P2464" s="42" t="str">
        <f>IFERROR(VLOOKUP(J2464,'Mã NV'!$B:$C,2,0),"")</f>
        <v>XE01563</v>
      </c>
      <c r="Q2464" s="70" t="str">
        <f>IFERROR(VLOOKUP(I2464,'Mã NV'!$J:$K,2,0),"")</f>
        <v>8T</v>
      </c>
    </row>
    <row r="2465" customHeight="1" spans="1:17">
      <c r="A2465" s="63">
        <f t="shared" si="150"/>
        <v>2457</v>
      </c>
      <c r="B2465" s="40">
        <v>46170</v>
      </c>
      <c r="D2465" s="41" t="s">
        <v>26</v>
      </c>
      <c r="E2465" s="41" t="s">
        <v>1114</v>
      </c>
      <c r="F2465" s="41" t="s">
        <v>744</v>
      </c>
      <c r="G2465" s="42" t="s">
        <v>770</v>
      </c>
      <c r="H2465" s="42" t="s">
        <v>746</v>
      </c>
      <c r="I2465" s="39" t="s">
        <v>290</v>
      </c>
      <c r="J2465" s="43" t="s">
        <v>329</v>
      </c>
      <c r="K2465" s="41" t="s">
        <v>747</v>
      </c>
      <c r="L2465" s="44">
        <v>6750000</v>
      </c>
      <c r="M2465" s="44">
        <v>0</v>
      </c>
      <c r="N2465" s="68">
        <f t="shared" si="151"/>
        <v>6750000</v>
      </c>
      <c r="O2465" s="69">
        <f t="shared" si="152"/>
        <v>6750000</v>
      </c>
      <c r="P2465" s="42" t="str">
        <f>IFERROR(VLOOKUP(J2465,'Mã NV'!$B:$C,2,0),"")</f>
        <v>XE01609</v>
      </c>
      <c r="Q2465" s="70" t="str">
        <f>IFERROR(VLOOKUP(I2465,'Mã NV'!$J:$K,2,0),"")</f>
        <v>8T</v>
      </c>
    </row>
    <row r="2466" customHeight="1" spans="1:17">
      <c r="A2466" s="63">
        <f t="shared" si="150"/>
        <v>2458</v>
      </c>
      <c r="B2466" s="40">
        <v>46170</v>
      </c>
      <c r="D2466" s="41" t="s">
        <v>26</v>
      </c>
      <c r="E2466" s="41" t="s">
        <v>1114</v>
      </c>
      <c r="F2466" s="41" t="s">
        <v>744</v>
      </c>
      <c r="G2466" s="42" t="s">
        <v>768</v>
      </c>
      <c r="H2466" s="42" t="s">
        <v>1126</v>
      </c>
      <c r="I2466" s="39" t="s">
        <v>290</v>
      </c>
      <c r="J2466" s="43" t="s">
        <v>288</v>
      </c>
      <c r="K2466" s="41" t="s">
        <v>747</v>
      </c>
      <c r="L2466" s="44">
        <v>750000</v>
      </c>
      <c r="M2466" s="44">
        <v>0</v>
      </c>
      <c r="N2466" s="68">
        <f t="shared" si="151"/>
        <v>750000</v>
      </c>
      <c r="O2466" s="69">
        <f t="shared" si="152"/>
        <v>750000</v>
      </c>
      <c r="P2466" s="42" t="str">
        <f>IFERROR(VLOOKUP(J2466,'Mã NV'!$B:$C,2,0),"")</f>
        <v>XE01563</v>
      </c>
      <c r="Q2466" s="70" t="str">
        <f>IFERROR(VLOOKUP(I2466,'Mã NV'!$J:$K,2,0),"")</f>
        <v>8T</v>
      </c>
    </row>
    <row r="2467" customHeight="1" spans="1:17">
      <c r="A2467" s="63">
        <f t="shared" si="150"/>
        <v>2459</v>
      </c>
      <c r="B2467" s="40">
        <v>46170</v>
      </c>
      <c r="D2467" s="41" t="s">
        <v>26</v>
      </c>
      <c r="E2467" s="41" t="s">
        <v>1114</v>
      </c>
      <c r="F2467" s="41" t="s">
        <v>744</v>
      </c>
      <c r="G2467" s="42" t="s">
        <v>768</v>
      </c>
      <c r="H2467" s="42" t="s">
        <v>1126</v>
      </c>
      <c r="I2467" s="39" t="s">
        <v>290</v>
      </c>
      <c r="J2467" s="43" t="s">
        <v>329</v>
      </c>
      <c r="K2467" s="41" t="s">
        <v>747</v>
      </c>
      <c r="L2467" s="44">
        <v>750000</v>
      </c>
      <c r="M2467" s="44">
        <v>0</v>
      </c>
      <c r="N2467" s="68">
        <f t="shared" si="151"/>
        <v>750000</v>
      </c>
      <c r="O2467" s="69">
        <f t="shared" si="152"/>
        <v>750000</v>
      </c>
      <c r="P2467" s="42" t="str">
        <f>IFERROR(VLOOKUP(J2467,'Mã NV'!$B:$C,2,0),"")</f>
        <v>XE01609</v>
      </c>
      <c r="Q2467" s="70" t="str">
        <f>IFERROR(VLOOKUP(I2467,'Mã NV'!$J:$K,2,0),"")</f>
        <v>8T</v>
      </c>
    </row>
    <row r="2468" customHeight="1" spans="1:17">
      <c r="A2468" s="63">
        <f t="shared" si="150"/>
        <v>2460</v>
      </c>
      <c r="B2468" s="40">
        <v>46171</v>
      </c>
      <c r="D2468" s="41" t="s">
        <v>26</v>
      </c>
      <c r="E2468" s="41" t="s">
        <v>1114</v>
      </c>
      <c r="F2468" s="41" t="s">
        <v>744</v>
      </c>
      <c r="G2468" s="42" t="s">
        <v>1127</v>
      </c>
      <c r="H2468" s="42" t="s">
        <v>887</v>
      </c>
      <c r="I2468" s="39" t="s">
        <v>176</v>
      </c>
      <c r="J2468" s="43" t="s">
        <v>192</v>
      </c>
      <c r="K2468" s="41" t="s">
        <v>747</v>
      </c>
      <c r="L2468" s="44">
        <v>1400000</v>
      </c>
      <c r="M2468" s="44">
        <v>0</v>
      </c>
      <c r="N2468" s="68">
        <f t="shared" si="151"/>
        <v>1400000</v>
      </c>
      <c r="O2468" s="69">
        <f t="shared" si="152"/>
        <v>1400000</v>
      </c>
      <c r="P2468" s="42" t="str">
        <f>IFERROR(VLOOKUP(J2468,'Mã NV'!$B:$C,2,0),"")</f>
        <v>XE01335</v>
      </c>
      <c r="Q2468" s="70" t="str">
        <f>IFERROR(VLOOKUP(I2468,'Mã NV'!$J:$K,2,0),"")</f>
        <v>8T</v>
      </c>
    </row>
    <row r="2469" customHeight="1" spans="1:17">
      <c r="A2469" s="63">
        <f t="shared" si="150"/>
        <v>2461</v>
      </c>
      <c r="B2469" s="40">
        <v>46171</v>
      </c>
      <c r="D2469" s="41" t="s">
        <v>26</v>
      </c>
      <c r="E2469" s="41" t="s">
        <v>1114</v>
      </c>
      <c r="F2469" s="41" t="s">
        <v>744</v>
      </c>
      <c r="G2469" s="42" t="s">
        <v>1127</v>
      </c>
      <c r="H2469" s="42" t="s">
        <v>887</v>
      </c>
      <c r="I2469" s="39" t="s">
        <v>176</v>
      </c>
      <c r="J2469" s="43" t="s">
        <v>354</v>
      </c>
      <c r="K2469" s="41" t="s">
        <v>747</v>
      </c>
      <c r="L2469" s="44">
        <v>1400000</v>
      </c>
      <c r="M2469" s="44">
        <v>0</v>
      </c>
      <c r="N2469" s="68">
        <f t="shared" si="151"/>
        <v>1400000</v>
      </c>
      <c r="O2469" s="69">
        <f t="shared" si="152"/>
        <v>1400000</v>
      </c>
      <c r="P2469" s="42" t="str">
        <f>IFERROR(VLOOKUP(J2469,'Mã NV'!$B:$C,2,0),"")</f>
        <v>XE01644</v>
      </c>
      <c r="Q2469" s="70" t="str">
        <f>IFERROR(VLOOKUP(I2469,'Mã NV'!$J:$K,2,0),"")</f>
        <v>8T</v>
      </c>
    </row>
    <row r="2470" customHeight="1" spans="1:17">
      <c r="A2470" s="63">
        <f t="shared" si="150"/>
        <v>2462</v>
      </c>
      <c r="B2470" s="40">
        <v>46171</v>
      </c>
      <c r="D2470" s="41" t="s">
        <v>26</v>
      </c>
      <c r="E2470" s="41" t="s">
        <v>1114</v>
      </c>
      <c r="F2470" s="41" t="s">
        <v>744</v>
      </c>
      <c r="G2470" s="42" t="s">
        <v>768</v>
      </c>
      <c r="H2470" s="42" t="s">
        <v>833</v>
      </c>
      <c r="I2470" s="39" t="s">
        <v>103</v>
      </c>
      <c r="J2470" s="43" t="s">
        <v>101</v>
      </c>
      <c r="K2470" s="41" t="s">
        <v>747</v>
      </c>
      <c r="L2470" s="44">
        <v>1500000</v>
      </c>
      <c r="M2470" s="44">
        <v>0</v>
      </c>
      <c r="N2470" s="68">
        <f t="shared" si="151"/>
        <v>1500000</v>
      </c>
      <c r="O2470" s="69">
        <f t="shared" si="152"/>
        <v>1500000</v>
      </c>
      <c r="P2470" s="42" t="str">
        <f>IFERROR(VLOOKUP(J2470,'Mã NV'!$B:$C,2,0),"")</f>
        <v>XE01434</v>
      </c>
      <c r="Q2470" s="70" t="str">
        <f>IFERROR(VLOOKUP(I2470,'Mã NV'!$J:$K,2,0),"")</f>
        <v>7.1t</v>
      </c>
    </row>
    <row r="2471" customHeight="1" spans="1:17">
      <c r="A2471" s="63">
        <f t="shared" si="150"/>
        <v>2463</v>
      </c>
      <c r="B2471" s="40">
        <v>46171</v>
      </c>
      <c r="D2471" s="41" t="s">
        <v>26</v>
      </c>
      <c r="E2471" s="41" t="s">
        <v>1114</v>
      </c>
      <c r="F2471" s="41" t="s">
        <v>744</v>
      </c>
      <c r="G2471" s="42" t="s">
        <v>768</v>
      </c>
      <c r="H2471" s="42" t="s">
        <v>833</v>
      </c>
      <c r="I2471" s="39" t="s">
        <v>103</v>
      </c>
      <c r="J2471" s="43" t="s">
        <v>385</v>
      </c>
      <c r="K2471" s="41" t="s">
        <v>747</v>
      </c>
      <c r="L2471" s="44">
        <v>1500000</v>
      </c>
      <c r="M2471" s="44">
        <v>0</v>
      </c>
      <c r="N2471" s="68">
        <f t="shared" si="151"/>
        <v>1500000</v>
      </c>
      <c r="O2471" s="69">
        <f t="shared" si="152"/>
        <v>1500000</v>
      </c>
      <c r="P2471" s="42" t="str">
        <f>IFERROR(VLOOKUP(J2471,'Mã NV'!$B:$C,2,0),"")</f>
        <v>XE01714</v>
      </c>
      <c r="Q2471" s="70" t="str">
        <f>IFERROR(VLOOKUP(I2471,'Mã NV'!$J:$K,2,0),"")</f>
        <v>7.1t</v>
      </c>
    </row>
    <row r="2472" customHeight="1" spans="1:17">
      <c r="A2472" s="63">
        <f t="shared" si="150"/>
        <v>2464</v>
      </c>
      <c r="B2472" s="40">
        <v>46172</v>
      </c>
      <c r="D2472" s="41" t="s">
        <v>26</v>
      </c>
      <c r="E2472" s="41" t="s">
        <v>1114</v>
      </c>
      <c r="F2472" s="41" t="s">
        <v>744</v>
      </c>
      <c r="G2472" s="42" t="s">
        <v>1127</v>
      </c>
      <c r="H2472" s="42" t="s">
        <v>825</v>
      </c>
      <c r="I2472" s="39" t="s">
        <v>93</v>
      </c>
      <c r="J2472" s="43" t="s">
        <v>307</v>
      </c>
      <c r="K2472" s="41" t="s">
        <v>747</v>
      </c>
      <c r="L2472" s="44">
        <v>1250000</v>
      </c>
      <c r="M2472" s="44">
        <v>0</v>
      </c>
      <c r="N2472" s="68">
        <f t="shared" si="151"/>
        <v>1250000</v>
      </c>
      <c r="O2472" s="69">
        <f t="shared" si="152"/>
        <v>1250000</v>
      </c>
      <c r="P2472" s="42" t="str">
        <f>IFERROR(VLOOKUP(J2472,'Mã NV'!$B:$C,2,0),"")</f>
        <v>XE01548</v>
      </c>
      <c r="Q2472" s="70" t="str">
        <f>IFERROR(VLOOKUP(I2472,'Mã NV'!$J:$K,2,0),"")</f>
        <v>7.1t</v>
      </c>
    </row>
    <row r="2473" customHeight="1" spans="1:17">
      <c r="A2473" s="63">
        <f t="shared" si="150"/>
        <v>2465</v>
      </c>
      <c r="B2473" s="40">
        <v>46172</v>
      </c>
      <c r="D2473" s="41" t="s">
        <v>26</v>
      </c>
      <c r="E2473" s="41" t="s">
        <v>1114</v>
      </c>
      <c r="F2473" s="41" t="s">
        <v>744</v>
      </c>
      <c r="G2473" s="42" t="s">
        <v>1127</v>
      </c>
      <c r="H2473" s="42" t="s">
        <v>825</v>
      </c>
      <c r="I2473" s="39" t="s">
        <v>93</v>
      </c>
      <c r="J2473" s="43" t="s">
        <v>310</v>
      </c>
      <c r="K2473" s="41" t="s">
        <v>747</v>
      </c>
      <c r="L2473" s="44">
        <v>1250000</v>
      </c>
      <c r="M2473" s="44">
        <v>0</v>
      </c>
      <c r="N2473" s="68">
        <f t="shared" si="151"/>
        <v>1250000</v>
      </c>
      <c r="O2473" s="69">
        <f t="shared" si="152"/>
        <v>1250000</v>
      </c>
      <c r="P2473" s="42" t="str">
        <f>IFERROR(VLOOKUP(J2473,'Mã NV'!$B:$C,2,0),"")</f>
        <v>XE01549</v>
      </c>
      <c r="Q2473" s="70" t="str">
        <f>IFERROR(VLOOKUP(I2473,'Mã NV'!$J:$K,2,0),"")</f>
        <v>7.1t</v>
      </c>
    </row>
    <row r="2474" customHeight="1" spans="1:17">
      <c r="A2474" s="63">
        <f t="shared" si="150"/>
        <v>2466</v>
      </c>
      <c r="B2474" s="40">
        <v>46172</v>
      </c>
      <c r="D2474" s="41" t="s">
        <v>26</v>
      </c>
      <c r="E2474" s="41" t="s">
        <v>1114</v>
      </c>
      <c r="F2474" s="41" t="s">
        <v>744</v>
      </c>
      <c r="G2474" s="42" t="s">
        <v>1128</v>
      </c>
      <c r="H2474" s="42" t="s">
        <v>769</v>
      </c>
      <c r="I2474" s="39" t="s">
        <v>205</v>
      </c>
      <c r="J2474" s="43" t="s">
        <v>314</v>
      </c>
      <c r="K2474" s="41" t="s">
        <v>747</v>
      </c>
      <c r="L2474" s="44">
        <v>2000000</v>
      </c>
      <c r="M2474" s="44">
        <v>0</v>
      </c>
      <c r="N2474" s="68">
        <f t="shared" si="151"/>
        <v>2000000</v>
      </c>
      <c r="O2474" s="69">
        <f t="shared" si="152"/>
        <v>2000000</v>
      </c>
      <c r="P2474" s="42" t="str">
        <f>IFERROR(VLOOKUP(J2474,'Mã NV'!$B:$C,2,0),"")</f>
        <v>XE01583</v>
      </c>
      <c r="Q2474" s="70" t="str">
        <f>IFERROR(VLOOKUP(I2474,'Mã NV'!$J:$K,2,0),"")</f>
        <v>8T</v>
      </c>
    </row>
    <row r="2475" customHeight="1" spans="1:17">
      <c r="A2475" s="63">
        <f t="shared" si="150"/>
        <v>2467</v>
      </c>
      <c r="B2475" s="40">
        <v>46172</v>
      </c>
      <c r="D2475" s="41" t="s">
        <v>26</v>
      </c>
      <c r="E2475" s="41" t="s">
        <v>1114</v>
      </c>
      <c r="F2475" s="41" t="s">
        <v>744</v>
      </c>
      <c r="G2475" s="42" t="s">
        <v>1128</v>
      </c>
      <c r="H2475" s="42" t="s">
        <v>769</v>
      </c>
      <c r="I2475" s="39" t="s">
        <v>205</v>
      </c>
      <c r="J2475" s="43" t="s">
        <v>387</v>
      </c>
      <c r="K2475" s="41" t="s">
        <v>747</v>
      </c>
      <c r="L2475" s="44">
        <v>2000000</v>
      </c>
      <c r="M2475" s="44">
        <v>0</v>
      </c>
      <c r="N2475" s="68">
        <f t="shared" si="151"/>
        <v>2000000</v>
      </c>
      <c r="O2475" s="69">
        <f t="shared" si="152"/>
        <v>2000000</v>
      </c>
      <c r="P2475" s="42" t="str">
        <f>IFERROR(VLOOKUP(J2475,'Mã NV'!$B:$C,2,0),"")</f>
        <v/>
      </c>
      <c r="Q2475" s="70" t="str">
        <f>IFERROR(VLOOKUP(I2475,'Mã NV'!$J:$K,2,0),"")</f>
        <v>8T</v>
      </c>
    </row>
    <row r="2476" customHeight="1" spans="1:17">
      <c r="A2476" s="63">
        <f t="shared" si="150"/>
        <v>2468</v>
      </c>
      <c r="B2476" s="40">
        <v>46172</v>
      </c>
      <c r="D2476" s="41" t="s">
        <v>26</v>
      </c>
      <c r="E2476" s="41" t="s">
        <v>1114</v>
      </c>
      <c r="F2476" s="41" t="s">
        <v>744</v>
      </c>
      <c r="G2476" s="42" t="s">
        <v>1115</v>
      </c>
      <c r="H2476" s="42" t="s">
        <v>836</v>
      </c>
      <c r="I2476" s="39" t="s">
        <v>205</v>
      </c>
      <c r="J2476" s="43" t="s">
        <v>314</v>
      </c>
      <c r="K2476" s="41" t="s">
        <v>747</v>
      </c>
      <c r="L2476" s="44">
        <v>4000000</v>
      </c>
      <c r="M2476" s="44">
        <v>0</v>
      </c>
      <c r="N2476" s="68">
        <f t="shared" si="151"/>
        <v>4000000</v>
      </c>
      <c r="O2476" s="69">
        <f t="shared" si="152"/>
        <v>4000000</v>
      </c>
      <c r="P2476" s="42" t="str">
        <f>IFERROR(VLOOKUP(J2476,'Mã NV'!$B:$C,2,0),"")</f>
        <v>XE01583</v>
      </c>
      <c r="Q2476" s="70" t="str">
        <f>IFERROR(VLOOKUP(I2476,'Mã NV'!$J:$K,2,0),"")</f>
        <v>8T</v>
      </c>
    </row>
    <row r="2477" customHeight="1" spans="1:17">
      <c r="A2477" s="63">
        <f t="shared" si="150"/>
        <v>2469</v>
      </c>
      <c r="B2477" s="40">
        <v>46172</v>
      </c>
      <c r="D2477" s="41" t="s">
        <v>26</v>
      </c>
      <c r="E2477" s="41" t="s">
        <v>1114</v>
      </c>
      <c r="F2477" s="41" t="s">
        <v>744</v>
      </c>
      <c r="G2477" s="42" t="s">
        <v>1115</v>
      </c>
      <c r="H2477" s="42" t="s">
        <v>836</v>
      </c>
      <c r="I2477" s="39" t="s">
        <v>205</v>
      </c>
      <c r="J2477" s="43" t="s">
        <v>387</v>
      </c>
      <c r="K2477" s="41" t="s">
        <v>747</v>
      </c>
      <c r="L2477" s="44">
        <v>4000000</v>
      </c>
      <c r="M2477" s="44">
        <v>0</v>
      </c>
      <c r="N2477" s="68">
        <f t="shared" si="151"/>
        <v>4000000</v>
      </c>
      <c r="O2477" s="69">
        <f t="shared" si="152"/>
        <v>4000000</v>
      </c>
      <c r="P2477" s="42" t="str">
        <f>IFERROR(VLOOKUP(J2477,'Mã NV'!$B:$C,2,0),"")</f>
        <v/>
      </c>
      <c r="Q2477" s="70" t="str">
        <f>IFERROR(VLOOKUP(I2477,'Mã NV'!$J:$K,2,0),"")</f>
        <v>8T</v>
      </c>
    </row>
    <row r="2478" customHeight="1" spans="1:17">
      <c r="A2478" s="63">
        <f t="shared" si="150"/>
        <v>2470</v>
      </c>
      <c r="B2478" s="40">
        <v>46172</v>
      </c>
      <c r="D2478" s="41" t="s">
        <v>26</v>
      </c>
      <c r="E2478" s="41" t="s">
        <v>1114</v>
      </c>
      <c r="F2478" s="41" t="s">
        <v>744</v>
      </c>
      <c r="G2478" s="42" t="s">
        <v>1129</v>
      </c>
      <c r="H2478" s="42" t="s">
        <v>765</v>
      </c>
      <c r="I2478" s="39" t="s">
        <v>170</v>
      </c>
      <c r="J2478" s="43" t="s">
        <v>168</v>
      </c>
      <c r="K2478" s="41" t="s">
        <v>747</v>
      </c>
      <c r="L2478" s="44">
        <v>1750000</v>
      </c>
      <c r="M2478" s="44">
        <v>0</v>
      </c>
      <c r="N2478" s="68">
        <f t="shared" si="151"/>
        <v>1750000</v>
      </c>
      <c r="O2478" s="69">
        <f t="shared" si="152"/>
        <v>1750000</v>
      </c>
      <c r="P2478" s="42" t="str">
        <f>IFERROR(VLOOKUP(J2478,'Mã NV'!$B:$C,2,0),"")</f>
        <v>XE01263</v>
      </c>
      <c r="Q2478" s="70" t="str">
        <f>IFERROR(VLOOKUP(I2478,'Mã NV'!$J:$K,2,0),"")</f>
        <v>8T</v>
      </c>
    </row>
    <row r="2479" customHeight="1" spans="1:17">
      <c r="A2479" s="63">
        <f t="shared" si="150"/>
        <v>2471</v>
      </c>
      <c r="B2479" s="40">
        <v>46172</v>
      </c>
      <c r="D2479" s="41" t="s">
        <v>26</v>
      </c>
      <c r="E2479" s="41" t="s">
        <v>1114</v>
      </c>
      <c r="F2479" s="41" t="s">
        <v>744</v>
      </c>
      <c r="G2479" s="42" t="s">
        <v>1129</v>
      </c>
      <c r="H2479" s="42" t="s">
        <v>765</v>
      </c>
      <c r="I2479" s="39" t="s">
        <v>170</v>
      </c>
      <c r="J2479" s="43" t="s">
        <v>312</v>
      </c>
      <c r="K2479" s="41" t="s">
        <v>747</v>
      </c>
      <c r="L2479" s="44">
        <v>1750000</v>
      </c>
      <c r="M2479" s="44">
        <v>0</v>
      </c>
      <c r="N2479" s="68">
        <f t="shared" si="151"/>
        <v>1750000</v>
      </c>
      <c r="O2479" s="69">
        <f t="shared" si="152"/>
        <v>1750000</v>
      </c>
      <c r="P2479" s="42" t="str">
        <f>IFERROR(VLOOKUP(J2479,'Mã NV'!$B:$C,2,0),"")</f>
        <v>XE01582</v>
      </c>
      <c r="Q2479" s="70" t="str">
        <f>IFERROR(VLOOKUP(I2479,'Mã NV'!$J:$K,2,0),"")</f>
        <v>8T</v>
      </c>
    </row>
    <row r="2480" customHeight="1" spans="1:17">
      <c r="B2480" s="40">
        <v>46170</v>
      </c>
      <c r="D2480" s="41" t="s">
        <v>54</v>
      </c>
      <c r="E2480" s="41" t="s">
        <v>54</v>
      </c>
      <c r="F2480" s="41" t="s">
        <v>985</v>
      </c>
      <c r="G2480" s="42" t="s">
        <v>1130</v>
      </c>
      <c r="H2480" s="42" t="s">
        <v>1131</v>
      </c>
      <c r="I2480" s="39" t="s">
        <v>130</v>
      </c>
      <c r="J2480" s="43" t="s">
        <v>131</v>
      </c>
      <c r="K2480" s="41" t="s">
        <v>747</v>
      </c>
      <c r="L2480" s="44">
        <v>3678000</v>
      </c>
      <c r="M2480" s="44">
        <v>600000</v>
      </c>
      <c r="N2480" s="68">
        <f t="shared" ref="N2480:N2488" si="153">L2480-M2480</f>
        <v>3078000</v>
      </c>
      <c r="O2480" s="69">
        <f t="shared" ref="O2480:O2488" si="154">N2480/$P$1</f>
        <v>3078000</v>
      </c>
      <c r="P2480" s="42" t="str">
        <f>IFERROR(VLOOKUP(J2480,'Mã NV'!$B:$C,2,0),"")</f>
        <v>XE00847</v>
      </c>
      <c r="Q2480" s="70" t="str">
        <f>IFERROR(VLOOKUP(I2480,'Mã NV'!$J:$K,2,0),"")</f>
        <v>8T</v>
      </c>
    </row>
    <row r="2481" customHeight="1" spans="2:17">
      <c r="B2481" s="40">
        <v>46170</v>
      </c>
      <c r="D2481" s="41" t="s">
        <v>54</v>
      </c>
      <c r="E2481" s="41" t="s">
        <v>54</v>
      </c>
      <c r="F2481" s="41" t="s">
        <v>985</v>
      </c>
      <c r="G2481" s="42" t="s">
        <v>1130</v>
      </c>
      <c r="H2481" s="42" t="s">
        <v>1131</v>
      </c>
      <c r="I2481" s="39" t="s">
        <v>115</v>
      </c>
      <c r="J2481" s="43" t="s">
        <v>113</v>
      </c>
      <c r="K2481" s="41" t="s">
        <v>747</v>
      </c>
      <c r="L2481" s="44">
        <v>3678000</v>
      </c>
      <c r="M2481" s="44">
        <v>600000</v>
      </c>
      <c r="N2481" s="68">
        <f t="shared" si="153"/>
        <v>3078000</v>
      </c>
      <c r="O2481" s="69">
        <f t="shared" si="154"/>
        <v>3078000</v>
      </c>
      <c r="P2481" s="42" t="str">
        <f>IFERROR(VLOOKUP(J2481,'Mã NV'!$B:$C,2,0),"")</f>
        <v>XE00447</v>
      </c>
      <c r="Q2481" s="70" t="str">
        <f>IFERROR(VLOOKUP(I2481,'Mã NV'!$J:$K,2,0),"")</f>
        <v>8T</v>
      </c>
    </row>
    <row r="2482" customHeight="1" spans="2:17">
      <c r="B2482" s="40">
        <v>46170</v>
      </c>
      <c r="D2482" s="41" t="s">
        <v>54</v>
      </c>
      <c r="E2482" s="41" t="s">
        <v>54</v>
      </c>
      <c r="F2482" s="41" t="s">
        <v>985</v>
      </c>
      <c r="G2482" s="42" t="s">
        <v>1130</v>
      </c>
      <c r="H2482" s="42" t="s">
        <v>1131</v>
      </c>
      <c r="I2482" s="39" t="s">
        <v>127</v>
      </c>
      <c r="J2482" s="43" t="s">
        <v>125</v>
      </c>
      <c r="K2482" s="41" t="s">
        <v>747</v>
      </c>
      <c r="L2482" s="44">
        <v>3678000</v>
      </c>
      <c r="M2482" s="44">
        <v>600000</v>
      </c>
      <c r="N2482" s="68">
        <f t="shared" si="153"/>
        <v>3078000</v>
      </c>
      <c r="O2482" s="69">
        <f t="shared" si="154"/>
        <v>3078000</v>
      </c>
      <c r="P2482" s="42" t="str">
        <f>IFERROR(VLOOKUP(J2482,'Mã NV'!$B:$C,2,0),"")</f>
        <v>XE00547</v>
      </c>
      <c r="Q2482" s="70" t="str">
        <f>IFERROR(VLOOKUP(I2482,'Mã NV'!$J:$K,2,0),"")</f>
        <v>8T</v>
      </c>
    </row>
    <row r="2483" customHeight="1" spans="2:17">
      <c r="B2483" s="40">
        <v>46170</v>
      </c>
      <c r="D2483" s="41" t="s">
        <v>54</v>
      </c>
      <c r="E2483" s="41" t="s">
        <v>54</v>
      </c>
      <c r="F2483" s="41" t="s">
        <v>985</v>
      </c>
      <c r="G2483" s="42" t="s">
        <v>1130</v>
      </c>
      <c r="H2483" s="42" t="s">
        <v>1131</v>
      </c>
      <c r="I2483" s="39" t="s">
        <v>52</v>
      </c>
      <c r="J2483" s="43" t="s">
        <v>46</v>
      </c>
      <c r="K2483" s="41" t="s">
        <v>747</v>
      </c>
      <c r="L2483" s="44">
        <v>3678000</v>
      </c>
      <c r="M2483" s="44">
        <v>600000</v>
      </c>
      <c r="N2483" s="68">
        <f t="shared" si="153"/>
        <v>3078000</v>
      </c>
      <c r="O2483" s="69">
        <f t="shared" si="154"/>
        <v>3078000</v>
      </c>
      <c r="P2483" s="42" t="str">
        <f>IFERROR(VLOOKUP(J2483,'Mã NV'!$B:$C,2,0),"")</f>
        <v>XE00900</v>
      </c>
      <c r="Q2483" s="70" t="str">
        <f>IFERROR(VLOOKUP(I2483,'Mã NV'!$J:$K,2,0),"")</f>
        <v>8T</v>
      </c>
    </row>
    <row r="2484" customHeight="1" spans="2:17">
      <c r="B2484" s="40">
        <v>46170</v>
      </c>
      <c r="D2484" s="41" t="s">
        <v>54</v>
      </c>
      <c r="E2484" s="41" t="s">
        <v>54</v>
      </c>
      <c r="F2484" s="41" t="s">
        <v>985</v>
      </c>
      <c r="G2484" s="42" t="s">
        <v>1130</v>
      </c>
      <c r="H2484" s="42" t="s">
        <v>1131</v>
      </c>
      <c r="I2484" s="39" t="s">
        <v>165</v>
      </c>
      <c r="J2484" s="43" t="s">
        <v>162</v>
      </c>
      <c r="K2484" s="41" t="s">
        <v>747</v>
      </c>
      <c r="L2484" s="44">
        <v>4478000</v>
      </c>
      <c r="M2484" s="44">
        <v>1400000</v>
      </c>
      <c r="N2484" s="68">
        <f t="shared" si="153"/>
        <v>3078000</v>
      </c>
      <c r="O2484" s="69">
        <f t="shared" si="154"/>
        <v>3078000</v>
      </c>
      <c r="P2484" s="42" t="str">
        <f>IFERROR(VLOOKUP(J2484,'Mã NV'!$B:$C,2,0),"")</f>
        <v>XE00779</v>
      </c>
      <c r="Q2484" s="70" t="str">
        <f>IFERROR(VLOOKUP(I2484,'Mã NV'!$J:$K,2,0),"")</f>
        <v>15T</v>
      </c>
    </row>
    <row r="2485" customHeight="1" spans="2:17">
      <c r="B2485" s="40">
        <v>46172</v>
      </c>
      <c r="D2485" s="41" t="s">
        <v>54</v>
      </c>
      <c r="E2485" s="41" t="s">
        <v>54</v>
      </c>
      <c r="F2485" s="41" t="s">
        <v>985</v>
      </c>
      <c r="G2485" s="42" t="s">
        <v>1130</v>
      </c>
      <c r="H2485" s="42" t="s">
        <v>1132</v>
      </c>
      <c r="I2485" s="39" t="s">
        <v>127</v>
      </c>
      <c r="J2485" s="43" t="s">
        <v>125</v>
      </c>
      <c r="K2485" s="41" t="s">
        <v>747</v>
      </c>
      <c r="L2485" s="44">
        <v>3300000</v>
      </c>
      <c r="M2485" s="44">
        <v>500000</v>
      </c>
      <c r="N2485" s="68">
        <f t="shared" si="153"/>
        <v>2800000</v>
      </c>
      <c r="O2485" s="69">
        <f t="shared" si="154"/>
        <v>2800000</v>
      </c>
      <c r="P2485" s="42" t="str">
        <f>IFERROR(VLOOKUP(J2485,'Mã NV'!$B:$C,2,0),"")</f>
        <v>XE00547</v>
      </c>
      <c r="Q2485" s="70" t="str">
        <f>IFERROR(VLOOKUP(I2485,'Mã NV'!$J:$K,2,0),"")</f>
        <v>8T</v>
      </c>
    </row>
    <row r="2486" customHeight="1" spans="2:17">
      <c r="B2486" s="40">
        <v>46173</v>
      </c>
      <c r="D2486" s="41" t="s">
        <v>54</v>
      </c>
      <c r="E2486" s="41" t="s">
        <v>54</v>
      </c>
      <c r="F2486" s="41" t="s">
        <v>985</v>
      </c>
      <c r="G2486" s="42" t="s">
        <v>1133</v>
      </c>
      <c r="H2486" s="42" t="s">
        <v>1134</v>
      </c>
      <c r="I2486" s="39" t="s">
        <v>130</v>
      </c>
      <c r="J2486" s="43" t="s">
        <v>131</v>
      </c>
      <c r="K2486" s="41" t="s">
        <v>747</v>
      </c>
      <c r="L2486" s="44">
        <v>3650000</v>
      </c>
      <c r="M2486" s="44">
        <v>850000</v>
      </c>
      <c r="N2486" s="68">
        <f t="shared" si="153"/>
        <v>2800000</v>
      </c>
      <c r="O2486" s="69">
        <f t="shared" si="154"/>
        <v>2800000</v>
      </c>
      <c r="P2486" s="42" t="str">
        <f>IFERROR(VLOOKUP(J2486,'Mã NV'!$B:$C,2,0),"")</f>
        <v>XE00847</v>
      </c>
      <c r="Q2486" s="70" t="str">
        <f>IFERROR(VLOOKUP(I2486,'Mã NV'!$J:$K,2,0),"")</f>
        <v>8T</v>
      </c>
    </row>
    <row r="2487" customHeight="1" spans="2:17">
      <c r="B2487" s="40">
        <v>46173</v>
      </c>
      <c r="D2487" s="41" t="s">
        <v>54</v>
      </c>
      <c r="E2487" s="41" t="s">
        <v>54</v>
      </c>
      <c r="F2487" s="41" t="s">
        <v>985</v>
      </c>
      <c r="G2487" s="42" t="s">
        <v>1133</v>
      </c>
      <c r="H2487" s="42" t="s">
        <v>1134</v>
      </c>
      <c r="I2487" s="39" t="s">
        <v>165</v>
      </c>
      <c r="J2487" s="43" t="s">
        <v>162</v>
      </c>
      <c r="K2487" s="41" t="s">
        <v>747</v>
      </c>
      <c r="L2487" s="44">
        <v>3650000</v>
      </c>
      <c r="M2487" s="44">
        <v>850000</v>
      </c>
      <c r="N2487" s="68">
        <f t="shared" si="153"/>
        <v>2800000</v>
      </c>
      <c r="O2487" s="69">
        <f t="shared" si="154"/>
        <v>2800000</v>
      </c>
      <c r="P2487" s="42" t="str">
        <f>IFERROR(VLOOKUP(J2487,'Mã NV'!$B:$C,2,0),"")</f>
        <v>XE00779</v>
      </c>
      <c r="Q2487" s="70" t="str">
        <f>IFERROR(VLOOKUP(I2487,'Mã NV'!$J:$K,2,0),"")</f>
        <v>15T</v>
      </c>
    </row>
    <row r="2488" customHeight="1" spans="2:17">
      <c r="B2488" s="40">
        <v>46170</v>
      </c>
      <c r="D2488" s="41" t="s">
        <v>21</v>
      </c>
      <c r="E2488" s="41" t="s">
        <v>21</v>
      </c>
      <c r="F2488" s="41" t="s">
        <v>744</v>
      </c>
      <c r="G2488" s="42" t="s">
        <v>777</v>
      </c>
      <c r="H2488" s="42" t="s">
        <v>745</v>
      </c>
      <c r="I2488" s="39" t="s">
        <v>205</v>
      </c>
      <c r="J2488" s="43" t="s">
        <v>314</v>
      </c>
      <c r="K2488" s="41" t="s">
        <v>747</v>
      </c>
      <c r="L2488" s="44">
        <v>9750000</v>
      </c>
      <c r="N2488" s="68">
        <f t="shared" si="153"/>
        <v>9750000</v>
      </c>
      <c r="O2488" s="69">
        <f t="shared" si="154"/>
        <v>9750000</v>
      </c>
      <c r="P2488" s="42" t="str">
        <f>IFERROR(VLOOKUP(J2488,'Mã NV'!$B:$C,2,0),"")</f>
        <v>XE01583</v>
      </c>
      <c r="Q2488" s="70" t="str">
        <f>IFERROR(VLOOKUP(I2488,'Mã NV'!$J:$K,2,0),"")</f>
        <v>8T</v>
      </c>
    </row>
    <row r="2489" customHeight="1" spans="2:17">
      <c r="B2489" s="40">
        <v>46170</v>
      </c>
      <c r="D2489" s="41" t="s">
        <v>21</v>
      </c>
      <c r="E2489" s="41" t="s">
        <v>21</v>
      </c>
      <c r="F2489" s="41" t="s">
        <v>744</v>
      </c>
      <c r="G2489" s="42" t="s">
        <v>777</v>
      </c>
      <c r="H2489" s="42" t="s">
        <v>745</v>
      </c>
      <c r="I2489" s="39" t="s">
        <v>205</v>
      </c>
      <c r="J2489" s="43" t="s">
        <v>203</v>
      </c>
      <c r="K2489" s="41" t="s">
        <v>747</v>
      </c>
      <c r="L2489" s="44">
        <v>9750000</v>
      </c>
      <c r="N2489" s="68">
        <f t="shared" ref="N2489:N2511" si="155">L2489-M2489</f>
        <v>9750000</v>
      </c>
      <c r="O2489" s="69">
        <f t="shared" ref="O2489:O2511" si="156">N2489/$P$1</f>
        <v>9750000</v>
      </c>
      <c r="P2489" s="42" t="str">
        <f>IFERROR(VLOOKUP(J2489,'Mã NV'!$B:$C,2,0),"")</f>
        <v>XE01149</v>
      </c>
      <c r="Q2489" s="70" t="str">
        <f>IFERROR(VLOOKUP(I2489,'Mã NV'!$J:$K,2,0),"")</f>
        <v>8T</v>
      </c>
    </row>
    <row r="2490" customHeight="1" spans="2:17">
      <c r="B2490" s="40">
        <v>46170</v>
      </c>
      <c r="D2490" s="41" t="s">
        <v>21</v>
      </c>
      <c r="E2490" s="41" t="s">
        <v>21</v>
      </c>
      <c r="F2490" s="41" t="s">
        <v>744</v>
      </c>
      <c r="G2490" s="42" t="s">
        <v>750</v>
      </c>
      <c r="H2490" s="42" t="s">
        <v>755</v>
      </c>
      <c r="I2490" s="39" t="s">
        <v>286</v>
      </c>
      <c r="J2490" s="43" t="s">
        <v>284</v>
      </c>
      <c r="K2490" s="41" t="s">
        <v>747</v>
      </c>
      <c r="L2490" s="44">
        <v>11000000</v>
      </c>
      <c r="N2490" s="68">
        <f t="shared" si="155"/>
        <v>11000000</v>
      </c>
      <c r="O2490" s="69">
        <f t="shared" si="156"/>
        <v>11000000</v>
      </c>
      <c r="P2490" s="42" t="str">
        <f>IFERROR(VLOOKUP(J2490,'Mã NV'!$B:$C,2,0),"")</f>
        <v>XE01543</v>
      </c>
      <c r="Q2490" s="70" t="str">
        <f>IFERROR(VLOOKUP(I2490,'Mã NV'!$J:$K,2,0),"")</f>
        <v>8T</v>
      </c>
    </row>
    <row r="2491" customHeight="1" spans="2:17">
      <c r="B2491" s="40">
        <v>46170</v>
      </c>
      <c r="D2491" s="41" t="s">
        <v>21</v>
      </c>
      <c r="E2491" s="41" t="s">
        <v>21</v>
      </c>
      <c r="F2491" s="41" t="s">
        <v>744</v>
      </c>
      <c r="G2491" s="42" t="s">
        <v>750</v>
      </c>
      <c r="H2491" s="42" t="s">
        <v>755</v>
      </c>
      <c r="I2491" s="39" t="s">
        <v>286</v>
      </c>
      <c r="J2491" s="43" t="s">
        <v>335</v>
      </c>
      <c r="K2491" s="41" t="s">
        <v>747</v>
      </c>
      <c r="L2491" s="44">
        <v>11000000</v>
      </c>
      <c r="N2491" s="68">
        <f t="shared" si="155"/>
        <v>11000000</v>
      </c>
      <c r="O2491" s="69">
        <f t="shared" si="156"/>
        <v>11000000</v>
      </c>
      <c r="P2491" s="42" t="str">
        <f>IFERROR(VLOOKUP(J2491,'Mã NV'!$B:$C,2,0),"")</f>
        <v>XE01622</v>
      </c>
      <c r="Q2491" s="70" t="str">
        <f>IFERROR(VLOOKUP(I2491,'Mã NV'!$J:$K,2,0),"")</f>
        <v>8T</v>
      </c>
    </row>
    <row r="2492" customHeight="1" spans="2:17">
      <c r="B2492" s="40">
        <v>46170</v>
      </c>
      <c r="D2492" s="41" t="s">
        <v>21</v>
      </c>
      <c r="E2492" s="41" t="s">
        <v>21</v>
      </c>
      <c r="F2492" s="41" t="s">
        <v>744</v>
      </c>
      <c r="G2492" s="42" t="s">
        <v>750</v>
      </c>
      <c r="H2492" s="42" t="s">
        <v>745</v>
      </c>
      <c r="I2492" s="39" t="s">
        <v>17</v>
      </c>
      <c r="J2492" s="43" t="s">
        <v>15</v>
      </c>
      <c r="K2492" s="41" t="s">
        <v>747</v>
      </c>
      <c r="L2492" s="44">
        <v>3000000</v>
      </c>
      <c r="M2492" s="44">
        <v>102500</v>
      </c>
      <c r="N2492" s="68">
        <f t="shared" si="155"/>
        <v>2897500</v>
      </c>
      <c r="O2492" s="69">
        <f t="shared" si="156"/>
        <v>2897500</v>
      </c>
      <c r="P2492" s="42" t="str">
        <f>IFERROR(VLOOKUP(J2492,'Mã NV'!$B:$C,2,0),"")</f>
        <v>XE01331</v>
      </c>
      <c r="Q2492" s="70" t="str">
        <f>IFERROR(VLOOKUP(I2492,'Mã NV'!$J:$K,2,0),"")</f>
        <v>15T</v>
      </c>
    </row>
    <row r="2493" customHeight="1" spans="2:17">
      <c r="B2493" s="40">
        <v>46170</v>
      </c>
      <c r="D2493" s="41" t="s">
        <v>21</v>
      </c>
      <c r="E2493" s="41" t="s">
        <v>21</v>
      </c>
      <c r="F2493" s="41" t="s">
        <v>744</v>
      </c>
      <c r="G2493" s="42" t="s">
        <v>750</v>
      </c>
      <c r="H2493" s="42" t="s">
        <v>745</v>
      </c>
      <c r="I2493" s="39" t="s">
        <v>17</v>
      </c>
      <c r="J2493" s="43" t="s">
        <v>341</v>
      </c>
      <c r="K2493" s="41" t="s">
        <v>747</v>
      </c>
      <c r="L2493" s="44">
        <v>3000000</v>
      </c>
      <c r="M2493" s="44">
        <v>102500</v>
      </c>
      <c r="N2493" s="68">
        <f t="shared" si="155"/>
        <v>2897500</v>
      </c>
      <c r="O2493" s="69">
        <f t="shared" si="156"/>
        <v>2897500</v>
      </c>
      <c r="P2493" s="42" t="str">
        <f>IFERROR(VLOOKUP(J2493,'Mã NV'!$B:$C,2,0),"")</f>
        <v>XE01645</v>
      </c>
      <c r="Q2493" s="70" t="str">
        <f>IFERROR(VLOOKUP(I2493,'Mã NV'!$J:$K,2,0),"")</f>
        <v>15T</v>
      </c>
    </row>
    <row r="2494" customHeight="1" spans="2:17">
      <c r="B2494" s="40">
        <v>46171</v>
      </c>
      <c r="D2494" s="41" t="s">
        <v>21</v>
      </c>
      <c r="E2494" s="41" t="s">
        <v>21</v>
      </c>
      <c r="F2494" s="41" t="s">
        <v>744</v>
      </c>
      <c r="G2494" s="42" t="s">
        <v>774</v>
      </c>
      <c r="H2494" s="42" t="s">
        <v>745</v>
      </c>
      <c r="I2494" s="39" t="s">
        <v>266</v>
      </c>
      <c r="J2494" s="43" t="s">
        <v>264</v>
      </c>
      <c r="K2494" s="41" t="s">
        <v>747</v>
      </c>
      <c r="L2494" s="44">
        <v>9750000</v>
      </c>
      <c r="N2494" s="68">
        <f t="shared" si="155"/>
        <v>9750000</v>
      </c>
      <c r="O2494" s="69">
        <f t="shared" si="156"/>
        <v>9750000</v>
      </c>
      <c r="P2494" s="42" t="str">
        <f>IFERROR(VLOOKUP(J2494,'Mã NV'!$B:$C,2,0),"")</f>
        <v>XE01678</v>
      </c>
      <c r="Q2494" s="70" t="str">
        <f>IFERROR(VLOOKUP(I2494,'Mã NV'!$J:$K,2,0),"")</f>
        <v>7.1t</v>
      </c>
    </row>
    <row r="2495" customHeight="1" spans="2:17">
      <c r="B2495" s="40">
        <v>46171</v>
      </c>
      <c r="D2495" s="41" t="s">
        <v>21</v>
      </c>
      <c r="E2495" s="41" t="s">
        <v>21</v>
      </c>
      <c r="F2495" s="41" t="s">
        <v>744</v>
      </c>
      <c r="G2495" s="42" t="s">
        <v>774</v>
      </c>
      <c r="H2495" s="42" t="s">
        <v>745</v>
      </c>
      <c r="I2495" s="39" t="s">
        <v>266</v>
      </c>
      <c r="J2495" s="66" t="s">
        <v>399</v>
      </c>
      <c r="K2495" s="41" t="s">
        <v>747</v>
      </c>
      <c r="L2495" s="44">
        <v>9750000</v>
      </c>
      <c r="N2495" s="68">
        <f t="shared" si="155"/>
        <v>9750000</v>
      </c>
      <c r="O2495" s="69">
        <f t="shared" si="156"/>
        <v>9750000</v>
      </c>
      <c r="P2495" s="42" t="str">
        <f>IFERROR(VLOOKUP(J2495,'Mã NV'!$B:$C,2,0),"")</f>
        <v>XE01679</v>
      </c>
      <c r="Q2495" s="70" t="str">
        <f>IFERROR(VLOOKUP(I2495,'Mã NV'!$J:$K,2,0),"")</f>
        <v>7.1t</v>
      </c>
    </row>
    <row r="2496" customHeight="1" spans="2:17">
      <c r="B2496" s="40">
        <v>46171</v>
      </c>
      <c r="D2496" s="41" t="s">
        <v>21</v>
      </c>
      <c r="E2496" s="41" t="s">
        <v>21</v>
      </c>
      <c r="F2496" s="41" t="s">
        <v>744</v>
      </c>
      <c r="G2496" s="42" t="s">
        <v>745</v>
      </c>
      <c r="H2496" s="42" t="s">
        <v>753</v>
      </c>
      <c r="I2496" s="39" t="s">
        <v>109</v>
      </c>
      <c r="J2496" s="43" t="s">
        <v>107</v>
      </c>
      <c r="K2496" s="41" t="s">
        <v>747</v>
      </c>
      <c r="L2496" s="44">
        <v>12500000</v>
      </c>
      <c r="N2496" s="68">
        <f t="shared" si="155"/>
        <v>12500000</v>
      </c>
      <c r="O2496" s="69">
        <f t="shared" si="156"/>
        <v>12500000</v>
      </c>
      <c r="P2496" s="42" t="str">
        <f>IFERROR(VLOOKUP(J2496,'Mã NV'!$B:$C,2,0),"")</f>
        <v>XE01102</v>
      </c>
      <c r="Q2496" s="70" t="str">
        <f>IFERROR(VLOOKUP(I2496,'Mã NV'!$J:$K,2,0),"")</f>
        <v>15T</v>
      </c>
    </row>
    <row r="2497" customHeight="1" spans="2:17">
      <c r="B2497" s="40">
        <v>46171</v>
      </c>
      <c r="D2497" s="41" t="s">
        <v>21</v>
      </c>
      <c r="E2497" s="41" t="s">
        <v>21</v>
      </c>
      <c r="F2497" s="41" t="s">
        <v>744</v>
      </c>
      <c r="G2497" s="42" t="s">
        <v>745</v>
      </c>
      <c r="H2497" s="42" t="s">
        <v>753</v>
      </c>
      <c r="I2497" s="39" t="s">
        <v>109</v>
      </c>
      <c r="J2497" s="43" t="s">
        <v>120</v>
      </c>
      <c r="K2497" s="41" t="s">
        <v>747</v>
      </c>
      <c r="L2497" s="44">
        <v>12500000</v>
      </c>
      <c r="N2497" s="68">
        <f t="shared" si="155"/>
        <v>12500000</v>
      </c>
      <c r="O2497" s="69">
        <f t="shared" si="156"/>
        <v>12500000</v>
      </c>
      <c r="P2497" s="42" t="str">
        <f>IFERROR(VLOOKUP(J2497,'Mã NV'!$B:$C,2,0),"")</f>
        <v>XE01315</v>
      </c>
      <c r="Q2497" s="70" t="str">
        <f>IFERROR(VLOOKUP(I2497,'Mã NV'!$J:$K,2,0),"")</f>
        <v>15T</v>
      </c>
    </row>
    <row r="2498" customHeight="1" spans="2:17">
      <c r="B2498" s="40">
        <v>46171</v>
      </c>
      <c r="D2498" s="41" t="s">
        <v>21</v>
      </c>
      <c r="E2498" s="41" t="s">
        <v>21</v>
      </c>
      <c r="F2498" s="41" t="s">
        <v>744</v>
      </c>
      <c r="G2498" s="42" t="s">
        <v>777</v>
      </c>
      <c r="H2498" s="42" t="s">
        <v>745</v>
      </c>
      <c r="I2498" s="39" t="s">
        <v>158</v>
      </c>
      <c r="J2498" s="43" t="s">
        <v>156</v>
      </c>
      <c r="K2498" s="41" t="s">
        <v>747</v>
      </c>
      <c r="L2498" s="44">
        <v>9750000</v>
      </c>
      <c r="N2498" s="68">
        <f t="shared" si="155"/>
        <v>9750000</v>
      </c>
      <c r="O2498" s="69">
        <f t="shared" si="156"/>
        <v>9750000</v>
      </c>
      <c r="P2498" s="42" t="str">
        <f>IFERROR(VLOOKUP(J2498,'Mã NV'!$B:$C,2,0),"")</f>
        <v>XE01316</v>
      </c>
      <c r="Q2498" s="70" t="str">
        <f>IFERROR(VLOOKUP(I2498,'Mã NV'!$J:$K,2,0),"")</f>
        <v>8T</v>
      </c>
    </row>
    <row r="2499" customHeight="1" spans="2:17">
      <c r="B2499" s="40">
        <v>46171</v>
      </c>
      <c r="D2499" s="41" t="s">
        <v>21</v>
      </c>
      <c r="E2499" s="41" t="s">
        <v>21</v>
      </c>
      <c r="F2499" s="41" t="s">
        <v>744</v>
      </c>
      <c r="G2499" s="42" t="s">
        <v>777</v>
      </c>
      <c r="H2499" s="42" t="s">
        <v>745</v>
      </c>
      <c r="I2499" s="39" t="s">
        <v>158</v>
      </c>
      <c r="J2499" s="43" t="s">
        <v>277</v>
      </c>
      <c r="K2499" s="41" t="s">
        <v>747</v>
      </c>
      <c r="L2499" s="44">
        <v>9750000</v>
      </c>
      <c r="N2499" s="68">
        <f t="shared" si="155"/>
        <v>9750000</v>
      </c>
      <c r="O2499" s="69">
        <f t="shared" si="156"/>
        <v>9750000</v>
      </c>
      <c r="P2499" s="42" t="str">
        <f>IFERROR(VLOOKUP(J2499,'Mã NV'!$B:$C,2,0),"")</f>
        <v>XE01534</v>
      </c>
      <c r="Q2499" s="70" t="str">
        <f>IFERROR(VLOOKUP(I2499,'Mã NV'!$J:$K,2,0),"")</f>
        <v>8T</v>
      </c>
    </row>
    <row r="2500" customHeight="1" spans="2:17">
      <c r="B2500" s="40">
        <v>46171</v>
      </c>
      <c r="D2500" s="41" t="s">
        <v>21</v>
      </c>
      <c r="E2500" s="41" t="s">
        <v>21</v>
      </c>
      <c r="F2500" s="41" t="s">
        <v>744</v>
      </c>
      <c r="G2500" s="42" t="s">
        <v>750</v>
      </c>
      <c r="H2500" s="42" t="s">
        <v>755</v>
      </c>
      <c r="I2500" s="39" t="s">
        <v>141</v>
      </c>
      <c r="J2500" s="43" t="s">
        <v>145</v>
      </c>
      <c r="K2500" s="41" t="s">
        <v>747</v>
      </c>
      <c r="L2500" s="44">
        <v>11000000</v>
      </c>
      <c r="N2500" s="68">
        <f t="shared" si="155"/>
        <v>11000000</v>
      </c>
      <c r="O2500" s="69">
        <f t="shared" si="156"/>
        <v>11000000</v>
      </c>
      <c r="P2500" s="42" t="str">
        <f>IFERROR(VLOOKUP(J2500,'Mã NV'!$B:$C,2,0),"")</f>
        <v>XE01326</v>
      </c>
      <c r="Q2500" s="70" t="str">
        <f>IFERROR(VLOOKUP(I2500,'Mã NV'!$J:$K,2,0),"")</f>
        <v>7.1t</v>
      </c>
    </row>
    <row r="2501" customHeight="1" spans="2:17">
      <c r="B2501" s="40">
        <v>46171</v>
      </c>
      <c r="D2501" s="41" t="s">
        <v>21</v>
      </c>
      <c r="E2501" s="41" t="s">
        <v>21</v>
      </c>
      <c r="F2501" s="41" t="s">
        <v>744</v>
      </c>
      <c r="G2501" s="42" t="s">
        <v>750</v>
      </c>
      <c r="H2501" s="42" t="s">
        <v>755</v>
      </c>
      <c r="I2501" s="39" t="s">
        <v>141</v>
      </c>
      <c r="J2501" s="43" t="s">
        <v>139</v>
      </c>
      <c r="K2501" s="41" t="s">
        <v>747</v>
      </c>
      <c r="L2501" s="44">
        <v>11000000</v>
      </c>
      <c r="N2501" s="68">
        <f t="shared" si="155"/>
        <v>11000000</v>
      </c>
      <c r="O2501" s="69">
        <f t="shared" si="156"/>
        <v>11000000</v>
      </c>
      <c r="P2501" s="42" t="str">
        <f>IFERROR(VLOOKUP(J2501,'Mã NV'!$B:$C,2,0),"")</f>
        <v>XE01325</v>
      </c>
      <c r="Q2501" s="70" t="str">
        <f>IFERROR(VLOOKUP(I2501,'Mã NV'!$J:$K,2,0),"")</f>
        <v>7.1t</v>
      </c>
    </row>
    <row r="2502" customHeight="1" spans="2:17">
      <c r="B2502" s="40">
        <v>46173</v>
      </c>
      <c r="D2502" s="41" t="s">
        <v>21</v>
      </c>
      <c r="E2502" s="41" t="s">
        <v>21</v>
      </c>
      <c r="F2502" s="41" t="s">
        <v>744</v>
      </c>
      <c r="G2502" s="42" t="s">
        <v>768</v>
      </c>
      <c r="H2502" s="42" t="s">
        <v>746</v>
      </c>
      <c r="I2502" s="39" t="s">
        <v>170</v>
      </c>
      <c r="J2502" s="43" t="s">
        <v>168</v>
      </c>
      <c r="K2502" s="41" t="s">
        <v>747</v>
      </c>
      <c r="L2502" s="44">
        <v>3750000</v>
      </c>
      <c r="M2502" s="44">
        <v>102500</v>
      </c>
      <c r="N2502" s="68">
        <f t="shared" si="155"/>
        <v>3647500</v>
      </c>
      <c r="O2502" s="69">
        <f t="shared" si="156"/>
        <v>3647500</v>
      </c>
      <c r="P2502" s="42" t="str">
        <f>IFERROR(VLOOKUP(J2502,'Mã NV'!$B:$C,2,0),"")</f>
        <v>XE01263</v>
      </c>
      <c r="Q2502" s="70" t="str">
        <f>IFERROR(VLOOKUP(I2502,'Mã NV'!$J:$K,2,0),"")</f>
        <v>8T</v>
      </c>
    </row>
    <row r="2503" customHeight="1" spans="2:17">
      <c r="B2503" s="40">
        <v>46173</v>
      </c>
      <c r="D2503" s="41" t="s">
        <v>21</v>
      </c>
      <c r="E2503" s="41" t="s">
        <v>21</v>
      </c>
      <c r="F2503" s="41" t="s">
        <v>744</v>
      </c>
      <c r="G2503" s="42" t="s">
        <v>768</v>
      </c>
      <c r="H2503" s="42" t="s">
        <v>746</v>
      </c>
      <c r="I2503" s="39" t="s">
        <v>170</v>
      </c>
      <c r="J2503" s="43" t="s">
        <v>312</v>
      </c>
      <c r="K2503" s="41" t="s">
        <v>747</v>
      </c>
      <c r="L2503" s="44">
        <v>3750000</v>
      </c>
      <c r="M2503" s="44">
        <v>102500</v>
      </c>
      <c r="N2503" s="68">
        <f t="shared" si="155"/>
        <v>3647500</v>
      </c>
      <c r="O2503" s="69">
        <f t="shared" si="156"/>
        <v>3647500</v>
      </c>
      <c r="P2503" s="42" t="str">
        <f>IFERROR(VLOOKUP(J2503,'Mã NV'!$B:$C,2,0),"")</f>
        <v>XE01582</v>
      </c>
      <c r="Q2503" s="70" t="str">
        <f>IFERROR(VLOOKUP(I2503,'Mã NV'!$J:$K,2,0),"")</f>
        <v>8T</v>
      </c>
    </row>
    <row r="2504" customHeight="1" spans="2:17">
      <c r="B2504" s="40">
        <v>46172</v>
      </c>
      <c r="D2504" s="41" t="s">
        <v>21</v>
      </c>
      <c r="E2504" s="41" t="s">
        <v>21</v>
      </c>
      <c r="F2504" s="41" t="s">
        <v>744</v>
      </c>
      <c r="G2504" s="42" t="s">
        <v>750</v>
      </c>
      <c r="H2504" s="42" t="s">
        <v>745</v>
      </c>
      <c r="I2504" s="39" t="s">
        <v>300</v>
      </c>
      <c r="J2504" s="43" t="s">
        <v>298</v>
      </c>
      <c r="K2504" s="41" t="s">
        <v>747</v>
      </c>
      <c r="L2504" s="44">
        <v>9750000</v>
      </c>
      <c r="N2504" s="68">
        <f t="shared" si="155"/>
        <v>9750000</v>
      </c>
      <c r="O2504" s="69">
        <f t="shared" si="156"/>
        <v>9750000</v>
      </c>
      <c r="P2504" s="42" t="str">
        <f>IFERROR(VLOOKUP(J2504,'Mã NV'!$B:$C,2,0),"")</f>
        <v>XE01590</v>
      </c>
      <c r="Q2504" s="70" t="str">
        <f>IFERROR(VLOOKUP(I2504,'Mã NV'!$J:$K,2,0),"")</f>
        <v>8T</v>
      </c>
    </row>
    <row r="2505" customHeight="1" spans="2:17">
      <c r="B2505" s="40">
        <v>46172</v>
      </c>
      <c r="D2505" s="41" t="s">
        <v>21</v>
      </c>
      <c r="E2505" s="41" t="s">
        <v>21</v>
      </c>
      <c r="F2505" s="41" t="s">
        <v>744</v>
      </c>
      <c r="G2505" s="42" t="s">
        <v>750</v>
      </c>
      <c r="H2505" s="42" t="s">
        <v>745</v>
      </c>
      <c r="I2505" s="39" t="s">
        <v>300</v>
      </c>
      <c r="J2505" s="43" t="s">
        <v>301</v>
      </c>
      <c r="K2505" s="41" t="s">
        <v>747</v>
      </c>
      <c r="L2505" s="44">
        <v>9750000</v>
      </c>
      <c r="N2505" s="68">
        <f t="shared" si="155"/>
        <v>9750000</v>
      </c>
      <c r="O2505" s="69">
        <f t="shared" si="156"/>
        <v>9750000</v>
      </c>
      <c r="P2505" s="42" t="str">
        <f>IFERROR(VLOOKUP(J2505,'Mã NV'!$B:$C,2,0),"")</f>
        <v>XE01591</v>
      </c>
      <c r="Q2505" s="70" t="str">
        <f>IFERROR(VLOOKUP(I2505,'Mã NV'!$J:$K,2,0),"")</f>
        <v>8T</v>
      </c>
    </row>
    <row r="2506" customHeight="1" spans="2:17">
      <c r="D2506" s="41" t="s">
        <v>104</v>
      </c>
      <c r="E2506" s="41" t="s">
        <v>104</v>
      </c>
      <c r="F2506" s="41" t="s">
        <v>744</v>
      </c>
      <c r="G2506" s="42" t="s">
        <v>949</v>
      </c>
      <c r="H2506" s="42" t="s">
        <v>770</v>
      </c>
      <c r="I2506" s="39" t="s">
        <v>103</v>
      </c>
      <c r="J2506" s="43" t="s">
        <v>101</v>
      </c>
      <c r="K2506" s="41" t="s">
        <v>747</v>
      </c>
      <c r="L2506" s="44">
        <v>9500000</v>
      </c>
      <c r="N2506" s="68">
        <f t="shared" si="155"/>
        <v>9500000</v>
      </c>
      <c r="O2506" s="69">
        <f t="shared" si="156"/>
        <v>9500000</v>
      </c>
      <c r="P2506" s="42" t="str">
        <f>IFERROR(VLOOKUP(J2506,'Mã NV'!$B:$C,2,0),"")</f>
        <v>XE01434</v>
      </c>
      <c r="Q2506" s="70" t="str">
        <f>IFERROR(VLOOKUP(I2506,'Mã NV'!$J:$K,2,0),"")</f>
        <v>7.1t</v>
      </c>
    </row>
    <row r="2507" customHeight="1" spans="2:17">
      <c r="D2507" s="41" t="s">
        <v>104</v>
      </c>
      <c r="E2507" s="41" t="s">
        <v>104</v>
      </c>
      <c r="F2507" s="41" t="s">
        <v>744</v>
      </c>
      <c r="G2507" s="42" t="s">
        <v>949</v>
      </c>
      <c r="H2507" s="42" t="s">
        <v>770</v>
      </c>
      <c r="I2507" s="39" t="s">
        <v>103</v>
      </c>
      <c r="J2507" s="43" t="s">
        <v>172</v>
      </c>
      <c r="K2507" s="41" t="s">
        <v>747</v>
      </c>
      <c r="L2507" s="44">
        <v>9500000</v>
      </c>
      <c r="N2507" s="68">
        <f t="shared" si="155"/>
        <v>9500000</v>
      </c>
      <c r="O2507" s="69">
        <f t="shared" si="156"/>
        <v>9500000</v>
      </c>
      <c r="P2507" s="42" t="str">
        <f>IFERROR(VLOOKUP(J2507,'Mã NV'!$B:$C,2,0),"")</f>
        <v>XE01433</v>
      </c>
      <c r="Q2507" s="70" t="str">
        <f>IFERROR(VLOOKUP(I2507,'Mã NV'!$J:$K,2,0),"")</f>
        <v>7.1t</v>
      </c>
    </row>
    <row r="2508" customHeight="1" spans="2:17">
      <c r="B2508" s="40">
        <v>46172</v>
      </c>
      <c r="D2508" s="41" t="s">
        <v>26</v>
      </c>
      <c r="E2508" s="41" t="s">
        <v>912</v>
      </c>
      <c r="F2508" s="41" t="s">
        <v>744</v>
      </c>
      <c r="G2508" s="42" t="s">
        <v>805</v>
      </c>
      <c r="H2508" s="42" t="s">
        <v>745</v>
      </c>
      <c r="I2508" s="39" t="s">
        <v>87</v>
      </c>
      <c r="J2508" s="43" t="s">
        <v>85</v>
      </c>
      <c r="K2508" s="41" t="s">
        <v>747</v>
      </c>
      <c r="L2508" s="44">
        <v>10500000</v>
      </c>
      <c r="N2508" s="68">
        <f t="shared" si="155"/>
        <v>10500000</v>
      </c>
      <c r="O2508" s="69">
        <f t="shared" si="156"/>
        <v>10500000</v>
      </c>
      <c r="P2508" s="42" t="str">
        <f>IFERROR(VLOOKUP(J2508,'Mã NV'!$B:$C,2,0),"")</f>
        <v>XE01456</v>
      </c>
      <c r="Q2508" s="70" t="str">
        <f>IFERROR(VLOOKUP(I2508,'Mã NV'!$J:$K,2,0),"")</f>
        <v>8T</v>
      </c>
    </row>
    <row r="2509" customHeight="1" spans="2:17">
      <c r="B2509" s="40">
        <v>46172</v>
      </c>
      <c r="D2509" s="41" t="s">
        <v>26</v>
      </c>
      <c r="E2509" s="41" t="s">
        <v>912</v>
      </c>
      <c r="F2509" s="41" t="s">
        <v>744</v>
      </c>
      <c r="G2509" s="42" t="s">
        <v>805</v>
      </c>
      <c r="H2509" s="42" t="s">
        <v>745</v>
      </c>
      <c r="I2509" s="39" t="s">
        <v>87</v>
      </c>
      <c r="J2509" s="43" t="s">
        <v>305</v>
      </c>
      <c r="K2509" s="41" t="s">
        <v>747</v>
      </c>
      <c r="L2509" s="44">
        <v>10500000</v>
      </c>
      <c r="N2509" s="68">
        <f t="shared" si="155"/>
        <v>10500000</v>
      </c>
      <c r="O2509" s="69">
        <f t="shared" si="156"/>
        <v>10500000</v>
      </c>
      <c r="P2509" s="42" t="str">
        <f>IFERROR(VLOOKUP(J2509,'Mã NV'!$B:$C,2,0),"")</f>
        <v>XE01599</v>
      </c>
      <c r="Q2509" s="70" t="str">
        <f>IFERROR(VLOOKUP(I2509,'Mã NV'!$J:$K,2,0),"")</f>
        <v>8T</v>
      </c>
    </row>
    <row r="2510" customHeight="1" spans="2:17">
      <c r="B2510" s="40">
        <v>46172</v>
      </c>
      <c r="D2510" s="41" t="s">
        <v>26</v>
      </c>
      <c r="E2510" s="41" t="s">
        <v>912</v>
      </c>
      <c r="F2510" s="41" t="s">
        <v>744</v>
      </c>
      <c r="G2510" s="42" t="s">
        <v>805</v>
      </c>
      <c r="H2510" s="42" t="s">
        <v>745</v>
      </c>
      <c r="I2510" s="39" t="s">
        <v>42</v>
      </c>
      <c r="J2510" s="43" t="s">
        <v>40</v>
      </c>
      <c r="K2510" s="41" t="s">
        <v>747</v>
      </c>
      <c r="L2510" s="44">
        <v>20500000</v>
      </c>
      <c r="N2510" s="68">
        <f t="shared" si="155"/>
        <v>20500000</v>
      </c>
      <c r="O2510" s="69">
        <f t="shared" si="156"/>
        <v>20500000</v>
      </c>
      <c r="P2510" s="42" t="str">
        <f>IFERROR(VLOOKUP(J2510,'Mã NV'!$B:$C,2,0),"")</f>
        <v>XE01417</v>
      </c>
      <c r="Q2510" s="70" t="str">
        <f>IFERROR(VLOOKUP(I2510,'Mã NV'!$J:$K,2,0),"")</f>
        <v>7.1t</v>
      </c>
    </row>
    <row r="2511" customHeight="1" spans="2:17">
      <c r="B2511" s="40">
        <v>46172</v>
      </c>
      <c r="D2511" s="41" t="s">
        <v>26</v>
      </c>
      <c r="E2511" s="41" t="s">
        <v>912</v>
      </c>
      <c r="F2511" s="41" t="s">
        <v>744</v>
      </c>
      <c r="G2511" s="42" t="s">
        <v>805</v>
      </c>
      <c r="H2511" s="42" t="s">
        <v>745</v>
      </c>
      <c r="I2511" s="39" t="s">
        <v>42</v>
      </c>
      <c r="J2511" s="43" t="s">
        <v>333</v>
      </c>
      <c r="K2511" s="41" t="s">
        <v>747</v>
      </c>
      <c r="L2511" s="44">
        <v>20500000</v>
      </c>
      <c r="N2511" s="68">
        <f t="shared" si="155"/>
        <v>20500000</v>
      </c>
      <c r="O2511" s="69">
        <f t="shared" si="156"/>
        <v>20500000</v>
      </c>
      <c r="P2511" s="42" t="str">
        <f>IFERROR(VLOOKUP(J2511,'Mã NV'!$B:$C,2,0),"")</f>
        <v>XE01671</v>
      </c>
      <c r="Q2511" s="70" t="str">
        <f>IFERROR(VLOOKUP(I2511,'Mã NV'!$J:$K,2,0),"")</f>
        <v>7.1t</v>
      </c>
    </row>
  </sheetData>
  <autoFilter xmlns:etc="http://www.wps.cn/officeDocument/2017/etCustomData" ref="A3:T2511" etc:filterBottomFollowUsedRange="0">
    <extLst/>
  </autoFilter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19"/>
  <sheetViews>
    <sheetView workbookViewId="0">
      <pane ySplit="3" topLeftCell="A113" activePane="bottomLeft" state="frozen"/>
      <selection/>
      <selection pane="bottomLeft" activeCell="D145" sqref="D145"/>
    </sheetView>
  </sheetViews>
  <sheetFormatPr defaultColWidth="14.4285714285714" defaultRowHeight="15"/>
  <cols>
    <col min="1" max="1" width="16" customWidth="1"/>
    <col min="2" max="2" width="34" customWidth="1"/>
    <col min="3" max="3" width="22.2857142857143" customWidth="1"/>
    <col min="4" max="4" width="36.5714285714286" customWidth="1"/>
    <col min="5" max="5" width="13.4285714285714" customWidth="1"/>
    <col min="6" max="6" width="28.2857142857143" customWidth="1"/>
    <col min="7" max="7" width="25" customWidth="1"/>
    <col min="8" max="8" width="20.5714285714286" customWidth="1"/>
    <col min="9" max="9" width="26.4285714285714" customWidth="1"/>
    <col min="10" max="10" width="11.2857142857143" customWidth="1"/>
    <col min="11" max="25" width="8.71428571428571" customWidth="1"/>
    <col min="257" max="257" width="16" customWidth="1"/>
    <col min="258" max="258" width="28.1428571428571" customWidth="1"/>
    <col min="259" max="259" width="22.2857142857143" customWidth="1"/>
    <col min="260" max="260" width="34.4285714285714" customWidth="1"/>
    <col min="261" max="261" width="13.4285714285714" customWidth="1"/>
    <col min="262" max="262" width="28.2857142857143" customWidth="1"/>
    <col min="263" max="263" width="25" customWidth="1"/>
    <col min="264" max="264" width="20.5714285714286" customWidth="1"/>
    <col min="265" max="265" width="55.8571428571429" customWidth="1"/>
    <col min="266" max="266" width="11.2857142857143" customWidth="1"/>
    <col min="267" max="281" width="8.71428571428571" customWidth="1"/>
    <col min="513" max="513" width="16" customWidth="1"/>
    <col min="514" max="514" width="28.1428571428571" customWidth="1"/>
    <col min="515" max="515" width="22.2857142857143" customWidth="1"/>
    <col min="516" max="516" width="34.4285714285714" customWidth="1"/>
    <col min="517" max="517" width="13.4285714285714" customWidth="1"/>
    <col min="518" max="518" width="28.2857142857143" customWidth="1"/>
    <col min="519" max="519" width="25" customWidth="1"/>
    <col min="520" max="520" width="20.5714285714286" customWidth="1"/>
    <col min="521" max="521" width="55.8571428571429" customWidth="1"/>
    <col min="522" max="522" width="11.2857142857143" customWidth="1"/>
    <col min="523" max="537" width="8.71428571428571" customWidth="1"/>
    <col min="769" max="769" width="16" customWidth="1"/>
    <col min="770" max="770" width="28.1428571428571" customWidth="1"/>
    <col min="771" max="771" width="22.2857142857143" customWidth="1"/>
    <col min="772" max="772" width="34.4285714285714" customWidth="1"/>
    <col min="773" max="773" width="13.4285714285714" customWidth="1"/>
    <col min="774" max="774" width="28.2857142857143" customWidth="1"/>
    <col min="775" max="775" width="25" customWidth="1"/>
    <col min="776" max="776" width="20.5714285714286" customWidth="1"/>
    <col min="777" max="777" width="55.8571428571429" customWidth="1"/>
    <col min="778" max="778" width="11.2857142857143" customWidth="1"/>
    <col min="779" max="793" width="8.71428571428571" customWidth="1"/>
    <col min="1025" max="1025" width="16" customWidth="1"/>
    <col min="1026" max="1026" width="28.1428571428571" customWidth="1"/>
    <col min="1027" max="1027" width="22.2857142857143" customWidth="1"/>
    <col min="1028" max="1028" width="34.4285714285714" customWidth="1"/>
    <col min="1029" max="1029" width="13.4285714285714" customWidth="1"/>
    <col min="1030" max="1030" width="28.2857142857143" customWidth="1"/>
    <col min="1031" max="1031" width="25" customWidth="1"/>
    <col min="1032" max="1032" width="20.5714285714286" customWidth="1"/>
    <col min="1033" max="1033" width="55.8571428571429" customWidth="1"/>
    <col min="1034" max="1034" width="11.2857142857143" customWidth="1"/>
    <col min="1035" max="1049" width="8.71428571428571" customWidth="1"/>
    <col min="1281" max="1281" width="16" customWidth="1"/>
    <col min="1282" max="1282" width="28.1428571428571" customWidth="1"/>
    <col min="1283" max="1283" width="22.2857142857143" customWidth="1"/>
    <col min="1284" max="1284" width="34.4285714285714" customWidth="1"/>
    <col min="1285" max="1285" width="13.4285714285714" customWidth="1"/>
    <col min="1286" max="1286" width="28.2857142857143" customWidth="1"/>
    <col min="1287" max="1287" width="25" customWidth="1"/>
    <col min="1288" max="1288" width="20.5714285714286" customWidth="1"/>
    <col min="1289" max="1289" width="55.8571428571429" customWidth="1"/>
    <col min="1290" max="1290" width="11.2857142857143" customWidth="1"/>
    <col min="1291" max="1305" width="8.71428571428571" customWidth="1"/>
    <col min="1537" max="1537" width="16" customWidth="1"/>
    <col min="1538" max="1538" width="28.1428571428571" customWidth="1"/>
    <col min="1539" max="1539" width="22.2857142857143" customWidth="1"/>
    <col min="1540" max="1540" width="34.4285714285714" customWidth="1"/>
    <col min="1541" max="1541" width="13.4285714285714" customWidth="1"/>
    <col min="1542" max="1542" width="28.2857142857143" customWidth="1"/>
    <col min="1543" max="1543" width="25" customWidth="1"/>
    <col min="1544" max="1544" width="20.5714285714286" customWidth="1"/>
    <col min="1545" max="1545" width="55.8571428571429" customWidth="1"/>
    <col min="1546" max="1546" width="11.2857142857143" customWidth="1"/>
    <col min="1547" max="1561" width="8.71428571428571" customWidth="1"/>
    <col min="1793" max="1793" width="16" customWidth="1"/>
    <col min="1794" max="1794" width="28.1428571428571" customWidth="1"/>
    <col min="1795" max="1795" width="22.2857142857143" customWidth="1"/>
    <col min="1796" max="1796" width="34.4285714285714" customWidth="1"/>
    <col min="1797" max="1797" width="13.4285714285714" customWidth="1"/>
    <col min="1798" max="1798" width="28.2857142857143" customWidth="1"/>
    <col min="1799" max="1799" width="25" customWidth="1"/>
    <col min="1800" max="1800" width="20.5714285714286" customWidth="1"/>
    <col min="1801" max="1801" width="55.8571428571429" customWidth="1"/>
    <col min="1802" max="1802" width="11.2857142857143" customWidth="1"/>
    <col min="1803" max="1817" width="8.71428571428571" customWidth="1"/>
    <col min="2049" max="2049" width="16" customWidth="1"/>
    <col min="2050" max="2050" width="28.1428571428571" customWidth="1"/>
    <col min="2051" max="2051" width="22.2857142857143" customWidth="1"/>
    <col min="2052" max="2052" width="34.4285714285714" customWidth="1"/>
    <col min="2053" max="2053" width="13.4285714285714" customWidth="1"/>
    <col min="2054" max="2054" width="28.2857142857143" customWidth="1"/>
    <col min="2055" max="2055" width="25" customWidth="1"/>
    <col min="2056" max="2056" width="20.5714285714286" customWidth="1"/>
    <col min="2057" max="2057" width="55.8571428571429" customWidth="1"/>
    <col min="2058" max="2058" width="11.2857142857143" customWidth="1"/>
    <col min="2059" max="2073" width="8.71428571428571" customWidth="1"/>
    <col min="2305" max="2305" width="16" customWidth="1"/>
    <col min="2306" max="2306" width="28.1428571428571" customWidth="1"/>
    <col min="2307" max="2307" width="22.2857142857143" customWidth="1"/>
    <col min="2308" max="2308" width="34.4285714285714" customWidth="1"/>
    <col min="2309" max="2309" width="13.4285714285714" customWidth="1"/>
    <col min="2310" max="2310" width="28.2857142857143" customWidth="1"/>
    <col min="2311" max="2311" width="25" customWidth="1"/>
    <col min="2312" max="2312" width="20.5714285714286" customWidth="1"/>
    <col min="2313" max="2313" width="55.8571428571429" customWidth="1"/>
    <col min="2314" max="2314" width="11.2857142857143" customWidth="1"/>
    <col min="2315" max="2329" width="8.71428571428571" customWidth="1"/>
    <col min="2561" max="2561" width="16" customWidth="1"/>
    <col min="2562" max="2562" width="28.1428571428571" customWidth="1"/>
    <col min="2563" max="2563" width="22.2857142857143" customWidth="1"/>
    <col min="2564" max="2564" width="34.4285714285714" customWidth="1"/>
    <col min="2565" max="2565" width="13.4285714285714" customWidth="1"/>
    <col min="2566" max="2566" width="28.2857142857143" customWidth="1"/>
    <col min="2567" max="2567" width="25" customWidth="1"/>
    <col min="2568" max="2568" width="20.5714285714286" customWidth="1"/>
    <col min="2569" max="2569" width="55.8571428571429" customWidth="1"/>
    <col min="2570" max="2570" width="11.2857142857143" customWidth="1"/>
    <col min="2571" max="2585" width="8.71428571428571" customWidth="1"/>
    <col min="2817" max="2817" width="16" customWidth="1"/>
    <col min="2818" max="2818" width="28.1428571428571" customWidth="1"/>
    <col min="2819" max="2819" width="22.2857142857143" customWidth="1"/>
    <col min="2820" max="2820" width="34.4285714285714" customWidth="1"/>
    <col min="2821" max="2821" width="13.4285714285714" customWidth="1"/>
    <col min="2822" max="2822" width="28.2857142857143" customWidth="1"/>
    <col min="2823" max="2823" width="25" customWidth="1"/>
    <col min="2824" max="2824" width="20.5714285714286" customWidth="1"/>
    <col min="2825" max="2825" width="55.8571428571429" customWidth="1"/>
    <col min="2826" max="2826" width="11.2857142857143" customWidth="1"/>
    <col min="2827" max="2841" width="8.71428571428571" customWidth="1"/>
    <col min="3073" max="3073" width="16" customWidth="1"/>
    <col min="3074" max="3074" width="28.1428571428571" customWidth="1"/>
    <col min="3075" max="3075" width="22.2857142857143" customWidth="1"/>
    <col min="3076" max="3076" width="34.4285714285714" customWidth="1"/>
    <col min="3077" max="3077" width="13.4285714285714" customWidth="1"/>
    <col min="3078" max="3078" width="28.2857142857143" customWidth="1"/>
    <col min="3079" max="3079" width="25" customWidth="1"/>
    <col min="3080" max="3080" width="20.5714285714286" customWidth="1"/>
    <col min="3081" max="3081" width="55.8571428571429" customWidth="1"/>
    <col min="3082" max="3082" width="11.2857142857143" customWidth="1"/>
    <col min="3083" max="3097" width="8.71428571428571" customWidth="1"/>
    <col min="3329" max="3329" width="16" customWidth="1"/>
    <col min="3330" max="3330" width="28.1428571428571" customWidth="1"/>
    <col min="3331" max="3331" width="22.2857142857143" customWidth="1"/>
    <col min="3332" max="3332" width="34.4285714285714" customWidth="1"/>
    <col min="3333" max="3333" width="13.4285714285714" customWidth="1"/>
    <col min="3334" max="3334" width="28.2857142857143" customWidth="1"/>
    <col min="3335" max="3335" width="25" customWidth="1"/>
    <col min="3336" max="3336" width="20.5714285714286" customWidth="1"/>
    <col min="3337" max="3337" width="55.8571428571429" customWidth="1"/>
    <col min="3338" max="3338" width="11.2857142857143" customWidth="1"/>
    <col min="3339" max="3353" width="8.71428571428571" customWidth="1"/>
    <col min="3585" max="3585" width="16" customWidth="1"/>
    <col min="3586" max="3586" width="28.1428571428571" customWidth="1"/>
    <col min="3587" max="3587" width="22.2857142857143" customWidth="1"/>
    <col min="3588" max="3588" width="34.4285714285714" customWidth="1"/>
    <col min="3589" max="3589" width="13.4285714285714" customWidth="1"/>
    <col min="3590" max="3590" width="28.2857142857143" customWidth="1"/>
    <col min="3591" max="3591" width="25" customWidth="1"/>
    <col min="3592" max="3592" width="20.5714285714286" customWidth="1"/>
    <col min="3593" max="3593" width="55.8571428571429" customWidth="1"/>
    <col min="3594" max="3594" width="11.2857142857143" customWidth="1"/>
    <col min="3595" max="3609" width="8.71428571428571" customWidth="1"/>
    <col min="3841" max="3841" width="16" customWidth="1"/>
    <col min="3842" max="3842" width="28.1428571428571" customWidth="1"/>
    <col min="3843" max="3843" width="22.2857142857143" customWidth="1"/>
    <col min="3844" max="3844" width="34.4285714285714" customWidth="1"/>
    <col min="3845" max="3845" width="13.4285714285714" customWidth="1"/>
    <col min="3846" max="3846" width="28.2857142857143" customWidth="1"/>
    <col min="3847" max="3847" width="25" customWidth="1"/>
    <col min="3848" max="3848" width="20.5714285714286" customWidth="1"/>
    <col min="3849" max="3849" width="55.8571428571429" customWidth="1"/>
    <col min="3850" max="3850" width="11.2857142857143" customWidth="1"/>
    <col min="3851" max="3865" width="8.71428571428571" customWidth="1"/>
    <col min="4097" max="4097" width="16" customWidth="1"/>
    <col min="4098" max="4098" width="28.1428571428571" customWidth="1"/>
    <col min="4099" max="4099" width="22.2857142857143" customWidth="1"/>
    <col min="4100" max="4100" width="34.4285714285714" customWidth="1"/>
    <col min="4101" max="4101" width="13.4285714285714" customWidth="1"/>
    <col min="4102" max="4102" width="28.2857142857143" customWidth="1"/>
    <col min="4103" max="4103" width="25" customWidth="1"/>
    <col min="4104" max="4104" width="20.5714285714286" customWidth="1"/>
    <col min="4105" max="4105" width="55.8571428571429" customWidth="1"/>
    <col min="4106" max="4106" width="11.2857142857143" customWidth="1"/>
    <col min="4107" max="4121" width="8.71428571428571" customWidth="1"/>
    <col min="4353" max="4353" width="16" customWidth="1"/>
    <col min="4354" max="4354" width="28.1428571428571" customWidth="1"/>
    <col min="4355" max="4355" width="22.2857142857143" customWidth="1"/>
    <col min="4356" max="4356" width="34.4285714285714" customWidth="1"/>
    <col min="4357" max="4357" width="13.4285714285714" customWidth="1"/>
    <col min="4358" max="4358" width="28.2857142857143" customWidth="1"/>
    <col min="4359" max="4359" width="25" customWidth="1"/>
    <col min="4360" max="4360" width="20.5714285714286" customWidth="1"/>
    <col min="4361" max="4361" width="55.8571428571429" customWidth="1"/>
    <col min="4362" max="4362" width="11.2857142857143" customWidth="1"/>
    <col min="4363" max="4377" width="8.71428571428571" customWidth="1"/>
    <col min="4609" max="4609" width="16" customWidth="1"/>
    <col min="4610" max="4610" width="28.1428571428571" customWidth="1"/>
    <col min="4611" max="4611" width="22.2857142857143" customWidth="1"/>
    <col min="4612" max="4612" width="34.4285714285714" customWidth="1"/>
    <col min="4613" max="4613" width="13.4285714285714" customWidth="1"/>
    <col min="4614" max="4614" width="28.2857142857143" customWidth="1"/>
    <col min="4615" max="4615" width="25" customWidth="1"/>
    <col min="4616" max="4616" width="20.5714285714286" customWidth="1"/>
    <col min="4617" max="4617" width="55.8571428571429" customWidth="1"/>
    <col min="4618" max="4618" width="11.2857142857143" customWidth="1"/>
    <col min="4619" max="4633" width="8.71428571428571" customWidth="1"/>
    <col min="4865" max="4865" width="16" customWidth="1"/>
    <col min="4866" max="4866" width="28.1428571428571" customWidth="1"/>
    <col min="4867" max="4867" width="22.2857142857143" customWidth="1"/>
    <col min="4868" max="4868" width="34.4285714285714" customWidth="1"/>
    <col min="4869" max="4869" width="13.4285714285714" customWidth="1"/>
    <col min="4870" max="4870" width="28.2857142857143" customWidth="1"/>
    <col min="4871" max="4871" width="25" customWidth="1"/>
    <col min="4872" max="4872" width="20.5714285714286" customWidth="1"/>
    <col min="4873" max="4873" width="55.8571428571429" customWidth="1"/>
    <col min="4874" max="4874" width="11.2857142857143" customWidth="1"/>
    <col min="4875" max="4889" width="8.71428571428571" customWidth="1"/>
    <col min="5121" max="5121" width="16" customWidth="1"/>
    <col min="5122" max="5122" width="28.1428571428571" customWidth="1"/>
    <col min="5123" max="5123" width="22.2857142857143" customWidth="1"/>
    <col min="5124" max="5124" width="34.4285714285714" customWidth="1"/>
    <col min="5125" max="5125" width="13.4285714285714" customWidth="1"/>
    <col min="5126" max="5126" width="28.2857142857143" customWidth="1"/>
    <col min="5127" max="5127" width="25" customWidth="1"/>
    <col min="5128" max="5128" width="20.5714285714286" customWidth="1"/>
    <col min="5129" max="5129" width="55.8571428571429" customWidth="1"/>
    <col min="5130" max="5130" width="11.2857142857143" customWidth="1"/>
    <col min="5131" max="5145" width="8.71428571428571" customWidth="1"/>
    <col min="5377" max="5377" width="16" customWidth="1"/>
    <col min="5378" max="5378" width="28.1428571428571" customWidth="1"/>
    <col min="5379" max="5379" width="22.2857142857143" customWidth="1"/>
    <col min="5380" max="5380" width="34.4285714285714" customWidth="1"/>
    <col min="5381" max="5381" width="13.4285714285714" customWidth="1"/>
    <col min="5382" max="5382" width="28.2857142857143" customWidth="1"/>
    <col min="5383" max="5383" width="25" customWidth="1"/>
    <col min="5384" max="5384" width="20.5714285714286" customWidth="1"/>
    <col min="5385" max="5385" width="55.8571428571429" customWidth="1"/>
    <col min="5386" max="5386" width="11.2857142857143" customWidth="1"/>
    <col min="5387" max="5401" width="8.71428571428571" customWidth="1"/>
    <col min="5633" max="5633" width="16" customWidth="1"/>
    <col min="5634" max="5634" width="28.1428571428571" customWidth="1"/>
    <col min="5635" max="5635" width="22.2857142857143" customWidth="1"/>
    <col min="5636" max="5636" width="34.4285714285714" customWidth="1"/>
    <col min="5637" max="5637" width="13.4285714285714" customWidth="1"/>
    <col min="5638" max="5638" width="28.2857142857143" customWidth="1"/>
    <col min="5639" max="5639" width="25" customWidth="1"/>
    <col min="5640" max="5640" width="20.5714285714286" customWidth="1"/>
    <col min="5641" max="5641" width="55.8571428571429" customWidth="1"/>
    <col min="5642" max="5642" width="11.2857142857143" customWidth="1"/>
    <col min="5643" max="5657" width="8.71428571428571" customWidth="1"/>
    <col min="5889" max="5889" width="16" customWidth="1"/>
    <col min="5890" max="5890" width="28.1428571428571" customWidth="1"/>
    <col min="5891" max="5891" width="22.2857142857143" customWidth="1"/>
    <col min="5892" max="5892" width="34.4285714285714" customWidth="1"/>
    <col min="5893" max="5893" width="13.4285714285714" customWidth="1"/>
    <col min="5894" max="5894" width="28.2857142857143" customWidth="1"/>
    <col min="5895" max="5895" width="25" customWidth="1"/>
    <col min="5896" max="5896" width="20.5714285714286" customWidth="1"/>
    <col min="5897" max="5897" width="55.8571428571429" customWidth="1"/>
    <col min="5898" max="5898" width="11.2857142857143" customWidth="1"/>
    <col min="5899" max="5913" width="8.71428571428571" customWidth="1"/>
    <col min="6145" max="6145" width="16" customWidth="1"/>
    <col min="6146" max="6146" width="28.1428571428571" customWidth="1"/>
    <col min="6147" max="6147" width="22.2857142857143" customWidth="1"/>
    <col min="6148" max="6148" width="34.4285714285714" customWidth="1"/>
    <col min="6149" max="6149" width="13.4285714285714" customWidth="1"/>
    <col min="6150" max="6150" width="28.2857142857143" customWidth="1"/>
    <col min="6151" max="6151" width="25" customWidth="1"/>
    <col min="6152" max="6152" width="20.5714285714286" customWidth="1"/>
    <col min="6153" max="6153" width="55.8571428571429" customWidth="1"/>
    <col min="6154" max="6154" width="11.2857142857143" customWidth="1"/>
    <col min="6155" max="6169" width="8.71428571428571" customWidth="1"/>
    <col min="6401" max="6401" width="16" customWidth="1"/>
    <col min="6402" max="6402" width="28.1428571428571" customWidth="1"/>
    <col min="6403" max="6403" width="22.2857142857143" customWidth="1"/>
    <col min="6404" max="6404" width="34.4285714285714" customWidth="1"/>
    <col min="6405" max="6405" width="13.4285714285714" customWidth="1"/>
    <col min="6406" max="6406" width="28.2857142857143" customWidth="1"/>
    <col min="6407" max="6407" width="25" customWidth="1"/>
    <col min="6408" max="6408" width="20.5714285714286" customWidth="1"/>
    <col min="6409" max="6409" width="55.8571428571429" customWidth="1"/>
    <col min="6410" max="6410" width="11.2857142857143" customWidth="1"/>
    <col min="6411" max="6425" width="8.71428571428571" customWidth="1"/>
    <col min="6657" max="6657" width="16" customWidth="1"/>
    <col min="6658" max="6658" width="28.1428571428571" customWidth="1"/>
    <col min="6659" max="6659" width="22.2857142857143" customWidth="1"/>
    <col min="6660" max="6660" width="34.4285714285714" customWidth="1"/>
    <col min="6661" max="6661" width="13.4285714285714" customWidth="1"/>
    <col min="6662" max="6662" width="28.2857142857143" customWidth="1"/>
    <col min="6663" max="6663" width="25" customWidth="1"/>
    <col min="6664" max="6664" width="20.5714285714286" customWidth="1"/>
    <col min="6665" max="6665" width="55.8571428571429" customWidth="1"/>
    <col min="6666" max="6666" width="11.2857142857143" customWidth="1"/>
    <col min="6667" max="6681" width="8.71428571428571" customWidth="1"/>
    <col min="6913" max="6913" width="16" customWidth="1"/>
    <col min="6914" max="6914" width="28.1428571428571" customWidth="1"/>
    <col min="6915" max="6915" width="22.2857142857143" customWidth="1"/>
    <col min="6916" max="6916" width="34.4285714285714" customWidth="1"/>
    <col min="6917" max="6917" width="13.4285714285714" customWidth="1"/>
    <col min="6918" max="6918" width="28.2857142857143" customWidth="1"/>
    <col min="6919" max="6919" width="25" customWidth="1"/>
    <col min="6920" max="6920" width="20.5714285714286" customWidth="1"/>
    <col min="6921" max="6921" width="55.8571428571429" customWidth="1"/>
    <col min="6922" max="6922" width="11.2857142857143" customWidth="1"/>
    <col min="6923" max="6937" width="8.71428571428571" customWidth="1"/>
    <col min="7169" max="7169" width="16" customWidth="1"/>
    <col min="7170" max="7170" width="28.1428571428571" customWidth="1"/>
    <col min="7171" max="7171" width="22.2857142857143" customWidth="1"/>
    <col min="7172" max="7172" width="34.4285714285714" customWidth="1"/>
    <col min="7173" max="7173" width="13.4285714285714" customWidth="1"/>
    <col min="7174" max="7174" width="28.2857142857143" customWidth="1"/>
    <col min="7175" max="7175" width="25" customWidth="1"/>
    <col min="7176" max="7176" width="20.5714285714286" customWidth="1"/>
    <col min="7177" max="7177" width="55.8571428571429" customWidth="1"/>
    <col min="7178" max="7178" width="11.2857142857143" customWidth="1"/>
    <col min="7179" max="7193" width="8.71428571428571" customWidth="1"/>
    <col min="7425" max="7425" width="16" customWidth="1"/>
    <col min="7426" max="7426" width="28.1428571428571" customWidth="1"/>
    <col min="7427" max="7427" width="22.2857142857143" customWidth="1"/>
    <col min="7428" max="7428" width="34.4285714285714" customWidth="1"/>
    <col min="7429" max="7429" width="13.4285714285714" customWidth="1"/>
    <col min="7430" max="7430" width="28.2857142857143" customWidth="1"/>
    <col min="7431" max="7431" width="25" customWidth="1"/>
    <col min="7432" max="7432" width="20.5714285714286" customWidth="1"/>
    <col min="7433" max="7433" width="55.8571428571429" customWidth="1"/>
    <col min="7434" max="7434" width="11.2857142857143" customWidth="1"/>
    <col min="7435" max="7449" width="8.71428571428571" customWidth="1"/>
    <col min="7681" max="7681" width="16" customWidth="1"/>
    <col min="7682" max="7682" width="28.1428571428571" customWidth="1"/>
    <col min="7683" max="7683" width="22.2857142857143" customWidth="1"/>
    <col min="7684" max="7684" width="34.4285714285714" customWidth="1"/>
    <col min="7685" max="7685" width="13.4285714285714" customWidth="1"/>
    <col min="7686" max="7686" width="28.2857142857143" customWidth="1"/>
    <col min="7687" max="7687" width="25" customWidth="1"/>
    <col min="7688" max="7688" width="20.5714285714286" customWidth="1"/>
    <col min="7689" max="7689" width="55.8571428571429" customWidth="1"/>
    <col min="7690" max="7690" width="11.2857142857143" customWidth="1"/>
    <col min="7691" max="7705" width="8.71428571428571" customWidth="1"/>
    <col min="7937" max="7937" width="16" customWidth="1"/>
    <col min="7938" max="7938" width="28.1428571428571" customWidth="1"/>
    <col min="7939" max="7939" width="22.2857142857143" customWidth="1"/>
    <col min="7940" max="7940" width="34.4285714285714" customWidth="1"/>
    <col min="7941" max="7941" width="13.4285714285714" customWidth="1"/>
    <col min="7942" max="7942" width="28.2857142857143" customWidth="1"/>
    <col min="7943" max="7943" width="25" customWidth="1"/>
    <col min="7944" max="7944" width="20.5714285714286" customWidth="1"/>
    <col min="7945" max="7945" width="55.8571428571429" customWidth="1"/>
    <col min="7946" max="7946" width="11.2857142857143" customWidth="1"/>
    <col min="7947" max="7961" width="8.71428571428571" customWidth="1"/>
    <col min="8193" max="8193" width="16" customWidth="1"/>
    <col min="8194" max="8194" width="28.1428571428571" customWidth="1"/>
    <col min="8195" max="8195" width="22.2857142857143" customWidth="1"/>
    <col min="8196" max="8196" width="34.4285714285714" customWidth="1"/>
    <col min="8197" max="8197" width="13.4285714285714" customWidth="1"/>
    <col min="8198" max="8198" width="28.2857142857143" customWidth="1"/>
    <col min="8199" max="8199" width="25" customWidth="1"/>
    <col min="8200" max="8200" width="20.5714285714286" customWidth="1"/>
    <col min="8201" max="8201" width="55.8571428571429" customWidth="1"/>
    <col min="8202" max="8202" width="11.2857142857143" customWidth="1"/>
    <col min="8203" max="8217" width="8.71428571428571" customWidth="1"/>
    <col min="8449" max="8449" width="16" customWidth="1"/>
    <col min="8450" max="8450" width="28.1428571428571" customWidth="1"/>
    <col min="8451" max="8451" width="22.2857142857143" customWidth="1"/>
    <col min="8452" max="8452" width="34.4285714285714" customWidth="1"/>
    <col min="8453" max="8453" width="13.4285714285714" customWidth="1"/>
    <col min="8454" max="8454" width="28.2857142857143" customWidth="1"/>
    <col min="8455" max="8455" width="25" customWidth="1"/>
    <col min="8456" max="8456" width="20.5714285714286" customWidth="1"/>
    <col min="8457" max="8457" width="55.8571428571429" customWidth="1"/>
    <col min="8458" max="8458" width="11.2857142857143" customWidth="1"/>
    <col min="8459" max="8473" width="8.71428571428571" customWidth="1"/>
    <col min="8705" max="8705" width="16" customWidth="1"/>
    <col min="8706" max="8706" width="28.1428571428571" customWidth="1"/>
    <col min="8707" max="8707" width="22.2857142857143" customWidth="1"/>
    <col min="8708" max="8708" width="34.4285714285714" customWidth="1"/>
    <col min="8709" max="8709" width="13.4285714285714" customWidth="1"/>
    <col min="8710" max="8710" width="28.2857142857143" customWidth="1"/>
    <col min="8711" max="8711" width="25" customWidth="1"/>
    <col min="8712" max="8712" width="20.5714285714286" customWidth="1"/>
    <col min="8713" max="8713" width="55.8571428571429" customWidth="1"/>
    <col min="8714" max="8714" width="11.2857142857143" customWidth="1"/>
    <col min="8715" max="8729" width="8.71428571428571" customWidth="1"/>
    <col min="8961" max="8961" width="16" customWidth="1"/>
    <col min="8962" max="8962" width="28.1428571428571" customWidth="1"/>
    <col min="8963" max="8963" width="22.2857142857143" customWidth="1"/>
    <col min="8964" max="8964" width="34.4285714285714" customWidth="1"/>
    <col min="8965" max="8965" width="13.4285714285714" customWidth="1"/>
    <col min="8966" max="8966" width="28.2857142857143" customWidth="1"/>
    <col min="8967" max="8967" width="25" customWidth="1"/>
    <col min="8968" max="8968" width="20.5714285714286" customWidth="1"/>
    <col min="8969" max="8969" width="55.8571428571429" customWidth="1"/>
    <col min="8970" max="8970" width="11.2857142857143" customWidth="1"/>
    <col min="8971" max="8985" width="8.71428571428571" customWidth="1"/>
    <col min="9217" max="9217" width="16" customWidth="1"/>
    <col min="9218" max="9218" width="28.1428571428571" customWidth="1"/>
    <col min="9219" max="9219" width="22.2857142857143" customWidth="1"/>
    <col min="9220" max="9220" width="34.4285714285714" customWidth="1"/>
    <col min="9221" max="9221" width="13.4285714285714" customWidth="1"/>
    <col min="9222" max="9222" width="28.2857142857143" customWidth="1"/>
    <col min="9223" max="9223" width="25" customWidth="1"/>
    <col min="9224" max="9224" width="20.5714285714286" customWidth="1"/>
    <col min="9225" max="9225" width="55.8571428571429" customWidth="1"/>
    <col min="9226" max="9226" width="11.2857142857143" customWidth="1"/>
    <col min="9227" max="9241" width="8.71428571428571" customWidth="1"/>
    <col min="9473" max="9473" width="16" customWidth="1"/>
    <col min="9474" max="9474" width="28.1428571428571" customWidth="1"/>
    <col min="9475" max="9475" width="22.2857142857143" customWidth="1"/>
    <col min="9476" max="9476" width="34.4285714285714" customWidth="1"/>
    <col min="9477" max="9477" width="13.4285714285714" customWidth="1"/>
    <col min="9478" max="9478" width="28.2857142857143" customWidth="1"/>
    <col min="9479" max="9479" width="25" customWidth="1"/>
    <col min="9480" max="9480" width="20.5714285714286" customWidth="1"/>
    <col min="9481" max="9481" width="55.8571428571429" customWidth="1"/>
    <col min="9482" max="9482" width="11.2857142857143" customWidth="1"/>
    <col min="9483" max="9497" width="8.71428571428571" customWidth="1"/>
    <col min="9729" max="9729" width="16" customWidth="1"/>
    <col min="9730" max="9730" width="28.1428571428571" customWidth="1"/>
    <col min="9731" max="9731" width="22.2857142857143" customWidth="1"/>
    <col min="9732" max="9732" width="34.4285714285714" customWidth="1"/>
    <col min="9733" max="9733" width="13.4285714285714" customWidth="1"/>
    <col min="9734" max="9734" width="28.2857142857143" customWidth="1"/>
    <col min="9735" max="9735" width="25" customWidth="1"/>
    <col min="9736" max="9736" width="20.5714285714286" customWidth="1"/>
    <col min="9737" max="9737" width="55.8571428571429" customWidth="1"/>
    <col min="9738" max="9738" width="11.2857142857143" customWidth="1"/>
    <col min="9739" max="9753" width="8.71428571428571" customWidth="1"/>
    <col min="9985" max="9985" width="16" customWidth="1"/>
    <col min="9986" max="9986" width="28.1428571428571" customWidth="1"/>
    <col min="9987" max="9987" width="22.2857142857143" customWidth="1"/>
    <col min="9988" max="9988" width="34.4285714285714" customWidth="1"/>
    <col min="9989" max="9989" width="13.4285714285714" customWidth="1"/>
    <col min="9990" max="9990" width="28.2857142857143" customWidth="1"/>
    <col min="9991" max="9991" width="25" customWidth="1"/>
    <col min="9992" max="9992" width="20.5714285714286" customWidth="1"/>
    <col min="9993" max="9993" width="55.8571428571429" customWidth="1"/>
    <col min="9994" max="9994" width="11.2857142857143" customWidth="1"/>
    <col min="9995" max="10009" width="8.71428571428571" customWidth="1"/>
    <col min="10241" max="10241" width="16" customWidth="1"/>
    <col min="10242" max="10242" width="28.1428571428571" customWidth="1"/>
    <col min="10243" max="10243" width="22.2857142857143" customWidth="1"/>
    <col min="10244" max="10244" width="34.4285714285714" customWidth="1"/>
    <col min="10245" max="10245" width="13.4285714285714" customWidth="1"/>
    <col min="10246" max="10246" width="28.2857142857143" customWidth="1"/>
    <col min="10247" max="10247" width="25" customWidth="1"/>
    <col min="10248" max="10248" width="20.5714285714286" customWidth="1"/>
    <col min="10249" max="10249" width="55.8571428571429" customWidth="1"/>
    <col min="10250" max="10250" width="11.2857142857143" customWidth="1"/>
    <col min="10251" max="10265" width="8.71428571428571" customWidth="1"/>
    <col min="10497" max="10497" width="16" customWidth="1"/>
    <col min="10498" max="10498" width="28.1428571428571" customWidth="1"/>
    <col min="10499" max="10499" width="22.2857142857143" customWidth="1"/>
    <col min="10500" max="10500" width="34.4285714285714" customWidth="1"/>
    <col min="10501" max="10501" width="13.4285714285714" customWidth="1"/>
    <col min="10502" max="10502" width="28.2857142857143" customWidth="1"/>
    <col min="10503" max="10503" width="25" customWidth="1"/>
    <col min="10504" max="10504" width="20.5714285714286" customWidth="1"/>
    <col min="10505" max="10505" width="55.8571428571429" customWidth="1"/>
    <col min="10506" max="10506" width="11.2857142857143" customWidth="1"/>
    <col min="10507" max="10521" width="8.71428571428571" customWidth="1"/>
    <col min="10753" max="10753" width="16" customWidth="1"/>
    <col min="10754" max="10754" width="28.1428571428571" customWidth="1"/>
    <col min="10755" max="10755" width="22.2857142857143" customWidth="1"/>
    <col min="10756" max="10756" width="34.4285714285714" customWidth="1"/>
    <col min="10757" max="10757" width="13.4285714285714" customWidth="1"/>
    <col min="10758" max="10758" width="28.2857142857143" customWidth="1"/>
    <col min="10759" max="10759" width="25" customWidth="1"/>
    <col min="10760" max="10760" width="20.5714285714286" customWidth="1"/>
    <col min="10761" max="10761" width="55.8571428571429" customWidth="1"/>
    <col min="10762" max="10762" width="11.2857142857143" customWidth="1"/>
    <col min="10763" max="10777" width="8.71428571428571" customWidth="1"/>
    <col min="11009" max="11009" width="16" customWidth="1"/>
    <col min="11010" max="11010" width="28.1428571428571" customWidth="1"/>
    <col min="11011" max="11011" width="22.2857142857143" customWidth="1"/>
    <col min="11012" max="11012" width="34.4285714285714" customWidth="1"/>
    <col min="11013" max="11013" width="13.4285714285714" customWidth="1"/>
    <col min="11014" max="11014" width="28.2857142857143" customWidth="1"/>
    <col min="11015" max="11015" width="25" customWidth="1"/>
    <col min="11016" max="11016" width="20.5714285714286" customWidth="1"/>
    <col min="11017" max="11017" width="55.8571428571429" customWidth="1"/>
    <col min="11018" max="11018" width="11.2857142857143" customWidth="1"/>
    <col min="11019" max="11033" width="8.71428571428571" customWidth="1"/>
    <col min="11265" max="11265" width="16" customWidth="1"/>
    <col min="11266" max="11266" width="28.1428571428571" customWidth="1"/>
    <col min="11267" max="11267" width="22.2857142857143" customWidth="1"/>
    <col min="11268" max="11268" width="34.4285714285714" customWidth="1"/>
    <col min="11269" max="11269" width="13.4285714285714" customWidth="1"/>
    <col min="11270" max="11270" width="28.2857142857143" customWidth="1"/>
    <col min="11271" max="11271" width="25" customWidth="1"/>
    <col min="11272" max="11272" width="20.5714285714286" customWidth="1"/>
    <col min="11273" max="11273" width="55.8571428571429" customWidth="1"/>
    <col min="11274" max="11274" width="11.2857142857143" customWidth="1"/>
    <col min="11275" max="11289" width="8.71428571428571" customWidth="1"/>
    <col min="11521" max="11521" width="16" customWidth="1"/>
    <col min="11522" max="11522" width="28.1428571428571" customWidth="1"/>
    <col min="11523" max="11523" width="22.2857142857143" customWidth="1"/>
    <col min="11524" max="11524" width="34.4285714285714" customWidth="1"/>
    <col min="11525" max="11525" width="13.4285714285714" customWidth="1"/>
    <col min="11526" max="11526" width="28.2857142857143" customWidth="1"/>
    <col min="11527" max="11527" width="25" customWidth="1"/>
    <col min="11528" max="11528" width="20.5714285714286" customWidth="1"/>
    <col min="11529" max="11529" width="55.8571428571429" customWidth="1"/>
    <col min="11530" max="11530" width="11.2857142857143" customWidth="1"/>
    <col min="11531" max="11545" width="8.71428571428571" customWidth="1"/>
    <col min="11777" max="11777" width="16" customWidth="1"/>
    <col min="11778" max="11778" width="28.1428571428571" customWidth="1"/>
    <col min="11779" max="11779" width="22.2857142857143" customWidth="1"/>
    <col min="11780" max="11780" width="34.4285714285714" customWidth="1"/>
    <col min="11781" max="11781" width="13.4285714285714" customWidth="1"/>
    <col min="11782" max="11782" width="28.2857142857143" customWidth="1"/>
    <col min="11783" max="11783" width="25" customWidth="1"/>
    <col min="11784" max="11784" width="20.5714285714286" customWidth="1"/>
    <col min="11785" max="11785" width="55.8571428571429" customWidth="1"/>
    <col min="11786" max="11786" width="11.2857142857143" customWidth="1"/>
    <col min="11787" max="11801" width="8.71428571428571" customWidth="1"/>
    <col min="12033" max="12033" width="16" customWidth="1"/>
    <col min="12034" max="12034" width="28.1428571428571" customWidth="1"/>
    <col min="12035" max="12035" width="22.2857142857143" customWidth="1"/>
    <col min="12036" max="12036" width="34.4285714285714" customWidth="1"/>
    <col min="12037" max="12037" width="13.4285714285714" customWidth="1"/>
    <col min="12038" max="12038" width="28.2857142857143" customWidth="1"/>
    <col min="12039" max="12039" width="25" customWidth="1"/>
    <col min="12040" max="12040" width="20.5714285714286" customWidth="1"/>
    <col min="12041" max="12041" width="55.8571428571429" customWidth="1"/>
    <col min="12042" max="12042" width="11.2857142857143" customWidth="1"/>
    <col min="12043" max="12057" width="8.71428571428571" customWidth="1"/>
    <col min="12289" max="12289" width="16" customWidth="1"/>
    <col min="12290" max="12290" width="28.1428571428571" customWidth="1"/>
    <col min="12291" max="12291" width="22.2857142857143" customWidth="1"/>
    <col min="12292" max="12292" width="34.4285714285714" customWidth="1"/>
    <col min="12293" max="12293" width="13.4285714285714" customWidth="1"/>
    <col min="12294" max="12294" width="28.2857142857143" customWidth="1"/>
    <col min="12295" max="12295" width="25" customWidth="1"/>
    <col min="12296" max="12296" width="20.5714285714286" customWidth="1"/>
    <col min="12297" max="12297" width="55.8571428571429" customWidth="1"/>
    <col min="12298" max="12298" width="11.2857142857143" customWidth="1"/>
    <col min="12299" max="12313" width="8.71428571428571" customWidth="1"/>
    <col min="12545" max="12545" width="16" customWidth="1"/>
    <col min="12546" max="12546" width="28.1428571428571" customWidth="1"/>
    <col min="12547" max="12547" width="22.2857142857143" customWidth="1"/>
    <col min="12548" max="12548" width="34.4285714285714" customWidth="1"/>
    <col min="12549" max="12549" width="13.4285714285714" customWidth="1"/>
    <col min="12550" max="12550" width="28.2857142857143" customWidth="1"/>
    <col min="12551" max="12551" width="25" customWidth="1"/>
    <col min="12552" max="12552" width="20.5714285714286" customWidth="1"/>
    <col min="12553" max="12553" width="55.8571428571429" customWidth="1"/>
    <col min="12554" max="12554" width="11.2857142857143" customWidth="1"/>
    <col min="12555" max="12569" width="8.71428571428571" customWidth="1"/>
    <col min="12801" max="12801" width="16" customWidth="1"/>
    <col min="12802" max="12802" width="28.1428571428571" customWidth="1"/>
    <col min="12803" max="12803" width="22.2857142857143" customWidth="1"/>
    <col min="12804" max="12804" width="34.4285714285714" customWidth="1"/>
    <col min="12805" max="12805" width="13.4285714285714" customWidth="1"/>
    <col min="12806" max="12806" width="28.2857142857143" customWidth="1"/>
    <col min="12807" max="12807" width="25" customWidth="1"/>
    <col min="12808" max="12808" width="20.5714285714286" customWidth="1"/>
    <col min="12809" max="12809" width="55.8571428571429" customWidth="1"/>
    <col min="12810" max="12810" width="11.2857142857143" customWidth="1"/>
    <col min="12811" max="12825" width="8.71428571428571" customWidth="1"/>
    <col min="13057" max="13057" width="16" customWidth="1"/>
    <col min="13058" max="13058" width="28.1428571428571" customWidth="1"/>
    <col min="13059" max="13059" width="22.2857142857143" customWidth="1"/>
    <col min="13060" max="13060" width="34.4285714285714" customWidth="1"/>
    <col min="13061" max="13061" width="13.4285714285714" customWidth="1"/>
    <col min="13062" max="13062" width="28.2857142857143" customWidth="1"/>
    <col min="13063" max="13063" width="25" customWidth="1"/>
    <col min="13064" max="13064" width="20.5714285714286" customWidth="1"/>
    <col min="13065" max="13065" width="55.8571428571429" customWidth="1"/>
    <col min="13066" max="13066" width="11.2857142857143" customWidth="1"/>
    <col min="13067" max="13081" width="8.71428571428571" customWidth="1"/>
    <col min="13313" max="13313" width="16" customWidth="1"/>
    <col min="13314" max="13314" width="28.1428571428571" customWidth="1"/>
    <col min="13315" max="13315" width="22.2857142857143" customWidth="1"/>
    <col min="13316" max="13316" width="34.4285714285714" customWidth="1"/>
    <col min="13317" max="13317" width="13.4285714285714" customWidth="1"/>
    <col min="13318" max="13318" width="28.2857142857143" customWidth="1"/>
    <col min="13319" max="13319" width="25" customWidth="1"/>
    <col min="13320" max="13320" width="20.5714285714286" customWidth="1"/>
    <col min="13321" max="13321" width="55.8571428571429" customWidth="1"/>
    <col min="13322" max="13322" width="11.2857142857143" customWidth="1"/>
    <col min="13323" max="13337" width="8.71428571428571" customWidth="1"/>
    <col min="13569" max="13569" width="16" customWidth="1"/>
    <col min="13570" max="13570" width="28.1428571428571" customWidth="1"/>
    <col min="13571" max="13571" width="22.2857142857143" customWidth="1"/>
    <col min="13572" max="13572" width="34.4285714285714" customWidth="1"/>
    <col min="13573" max="13573" width="13.4285714285714" customWidth="1"/>
    <col min="13574" max="13574" width="28.2857142857143" customWidth="1"/>
    <col min="13575" max="13575" width="25" customWidth="1"/>
    <col min="13576" max="13576" width="20.5714285714286" customWidth="1"/>
    <col min="13577" max="13577" width="55.8571428571429" customWidth="1"/>
    <col min="13578" max="13578" width="11.2857142857143" customWidth="1"/>
    <col min="13579" max="13593" width="8.71428571428571" customWidth="1"/>
    <col min="13825" max="13825" width="16" customWidth="1"/>
    <col min="13826" max="13826" width="28.1428571428571" customWidth="1"/>
    <col min="13827" max="13827" width="22.2857142857143" customWidth="1"/>
    <col min="13828" max="13828" width="34.4285714285714" customWidth="1"/>
    <col min="13829" max="13829" width="13.4285714285714" customWidth="1"/>
    <col min="13830" max="13830" width="28.2857142857143" customWidth="1"/>
    <col min="13831" max="13831" width="25" customWidth="1"/>
    <col min="13832" max="13832" width="20.5714285714286" customWidth="1"/>
    <col min="13833" max="13833" width="55.8571428571429" customWidth="1"/>
    <col min="13834" max="13834" width="11.2857142857143" customWidth="1"/>
    <col min="13835" max="13849" width="8.71428571428571" customWidth="1"/>
    <col min="14081" max="14081" width="16" customWidth="1"/>
    <col min="14082" max="14082" width="28.1428571428571" customWidth="1"/>
    <col min="14083" max="14083" width="22.2857142857143" customWidth="1"/>
    <col min="14084" max="14084" width="34.4285714285714" customWidth="1"/>
    <col min="14085" max="14085" width="13.4285714285714" customWidth="1"/>
    <col min="14086" max="14086" width="28.2857142857143" customWidth="1"/>
    <col min="14087" max="14087" width="25" customWidth="1"/>
    <col min="14088" max="14088" width="20.5714285714286" customWidth="1"/>
    <col min="14089" max="14089" width="55.8571428571429" customWidth="1"/>
    <col min="14090" max="14090" width="11.2857142857143" customWidth="1"/>
    <col min="14091" max="14105" width="8.71428571428571" customWidth="1"/>
    <col min="14337" max="14337" width="16" customWidth="1"/>
    <col min="14338" max="14338" width="28.1428571428571" customWidth="1"/>
    <col min="14339" max="14339" width="22.2857142857143" customWidth="1"/>
    <col min="14340" max="14340" width="34.4285714285714" customWidth="1"/>
    <col min="14341" max="14341" width="13.4285714285714" customWidth="1"/>
    <col min="14342" max="14342" width="28.2857142857143" customWidth="1"/>
    <col min="14343" max="14343" width="25" customWidth="1"/>
    <col min="14344" max="14344" width="20.5714285714286" customWidth="1"/>
    <col min="14345" max="14345" width="55.8571428571429" customWidth="1"/>
    <col min="14346" max="14346" width="11.2857142857143" customWidth="1"/>
    <col min="14347" max="14361" width="8.71428571428571" customWidth="1"/>
    <col min="14593" max="14593" width="16" customWidth="1"/>
    <col min="14594" max="14594" width="28.1428571428571" customWidth="1"/>
    <col min="14595" max="14595" width="22.2857142857143" customWidth="1"/>
    <col min="14596" max="14596" width="34.4285714285714" customWidth="1"/>
    <col min="14597" max="14597" width="13.4285714285714" customWidth="1"/>
    <col min="14598" max="14598" width="28.2857142857143" customWidth="1"/>
    <col min="14599" max="14599" width="25" customWidth="1"/>
    <col min="14600" max="14600" width="20.5714285714286" customWidth="1"/>
    <col min="14601" max="14601" width="55.8571428571429" customWidth="1"/>
    <col min="14602" max="14602" width="11.2857142857143" customWidth="1"/>
    <col min="14603" max="14617" width="8.71428571428571" customWidth="1"/>
    <col min="14849" max="14849" width="16" customWidth="1"/>
    <col min="14850" max="14850" width="28.1428571428571" customWidth="1"/>
    <col min="14851" max="14851" width="22.2857142857143" customWidth="1"/>
    <col min="14852" max="14852" width="34.4285714285714" customWidth="1"/>
    <col min="14853" max="14853" width="13.4285714285714" customWidth="1"/>
    <col min="14854" max="14854" width="28.2857142857143" customWidth="1"/>
    <col min="14855" max="14855" width="25" customWidth="1"/>
    <col min="14856" max="14856" width="20.5714285714286" customWidth="1"/>
    <col min="14857" max="14857" width="55.8571428571429" customWidth="1"/>
    <col min="14858" max="14858" width="11.2857142857143" customWidth="1"/>
    <col min="14859" max="14873" width="8.71428571428571" customWidth="1"/>
    <col min="15105" max="15105" width="16" customWidth="1"/>
    <col min="15106" max="15106" width="28.1428571428571" customWidth="1"/>
    <col min="15107" max="15107" width="22.2857142857143" customWidth="1"/>
    <col min="15108" max="15108" width="34.4285714285714" customWidth="1"/>
    <col min="15109" max="15109" width="13.4285714285714" customWidth="1"/>
    <col min="15110" max="15110" width="28.2857142857143" customWidth="1"/>
    <col min="15111" max="15111" width="25" customWidth="1"/>
    <col min="15112" max="15112" width="20.5714285714286" customWidth="1"/>
    <col min="15113" max="15113" width="55.8571428571429" customWidth="1"/>
    <col min="15114" max="15114" width="11.2857142857143" customWidth="1"/>
    <col min="15115" max="15129" width="8.71428571428571" customWidth="1"/>
    <col min="15361" max="15361" width="16" customWidth="1"/>
    <col min="15362" max="15362" width="28.1428571428571" customWidth="1"/>
    <col min="15363" max="15363" width="22.2857142857143" customWidth="1"/>
    <col min="15364" max="15364" width="34.4285714285714" customWidth="1"/>
    <col min="15365" max="15365" width="13.4285714285714" customWidth="1"/>
    <col min="15366" max="15366" width="28.2857142857143" customWidth="1"/>
    <col min="15367" max="15367" width="25" customWidth="1"/>
    <col min="15368" max="15368" width="20.5714285714286" customWidth="1"/>
    <col min="15369" max="15369" width="55.8571428571429" customWidth="1"/>
    <col min="15370" max="15370" width="11.2857142857143" customWidth="1"/>
    <col min="15371" max="15385" width="8.71428571428571" customWidth="1"/>
    <col min="15617" max="15617" width="16" customWidth="1"/>
    <col min="15618" max="15618" width="28.1428571428571" customWidth="1"/>
    <col min="15619" max="15619" width="22.2857142857143" customWidth="1"/>
    <col min="15620" max="15620" width="34.4285714285714" customWidth="1"/>
    <col min="15621" max="15621" width="13.4285714285714" customWidth="1"/>
    <col min="15622" max="15622" width="28.2857142857143" customWidth="1"/>
    <col min="15623" max="15623" width="25" customWidth="1"/>
    <col min="15624" max="15624" width="20.5714285714286" customWidth="1"/>
    <col min="15625" max="15625" width="55.8571428571429" customWidth="1"/>
    <col min="15626" max="15626" width="11.2857142857143" customWidth="1"/>
    <col min="15627" max="15641" width="8.71428571428571" customWidth="1"/>
    <col min="15873" max="15873" width="16" customWidth="1"/>
    <col min="15874" max="15874" width="28.1428571428571" customWidth="1"/>
    <col min="15875" max="15875" width="22.2857142857143" customWidth="1"/>
    <col min="15876" max="15876" width="34.4285714285714" customWidth="1"/>
    <col min="15877" max="15877" width="13.4285714285714" customWidth="1"/>
    <col min="15878" max="15878" width="28.2857142857143" customWidth="1"/>
    <col min="15879" max="15879" width="25" customWidth="1"/>
    <col min="15880" max="15880" width="20.5714285714286" customWidth="1"/>
    <col min="15881" max="15881" width="55.8571428571429" customWidth="1"/>
    <col min="15882" max="15882" width="11.2857142857143" customWidth="1"/>
    <col min="15883" max="15897" width="8.71428571428571" customWidth="1"/>
    <col min="16129" max="16129" width="16" customWidth="1"/>
    <col min="16130" max="16130" width="28.1428571428571" customWidth="1"/>
    <col min="16131" max="16131" width="22.2857142857143" customWidth="1"/>
    <col min="16132" max="16132" width="34.4285714285714" customWidth="1"/>
    <col min="16133" max="16133" width="13.4285714285714" customWidth="1"/>
    <col min="16134" max="16134" width="28.2857142857143" customWidth="1"/>
    <col min="16135" max="16135" width="25" customWidth="1"/>
    <col min="16136" max="16136" width="20.5714285714286" customWidth="1"/>
    <col min="16137" max="16137" width="55.8571428571429" customWidth="1"/>
    <col min="16138" max="16138" width="11.2857142857143" customWidth="1"/>
    <col min="16139" max="16153" width="8.71428571428571" customWidth="1"/>
  </cols>
  <sheetData>
    <row r="1" ht="22.5" spans="1:25">
      <c r="A1" s="11" t="s">
        <v>1135</v>
      </c>
    </row>
    <row r="2" ht="23.25" spans="1:25">
      <c r="A2" s="12"/>
      <c r="G2" s="13"/>
    </row>
    <row r="3" ht="18.75" spans="1:25">
      <c r="A3" s="14" t="s">
        <v>1136</v>
      </c>
      <c r="B3" s="14" t="s">
        <v>1137</v>
      </c>
      <c r="C3" s="14" t="s">
        <v>1138</v>
      </c>
      <c r="D3" s="14" t="s">
        <v>1139</v>
      </c>
      <c r="E3" s="14" t="s">
        <v>1140</v>
      </c>
      <c r="F3" s="15" t="s">
        <v>1141</v>
      </c>
      <c r="G3" s="15" t="s">
        <v>1142</v>
      </c>
      <c r="H3" s="16" t="s">
        <v>1143</v>
      </c>
      <c r="I3" s="17" t="s">
        <v>1144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18" customHeight="1" spans="1:25">
      <c r="A4" s="19" t="s">
        <v>1145</v>
      </c>
      <c r="B4" s="20"/>
      <c r="C4" s="20"/>
      <c r="D4" s="20"/>
      <c r="E4" s="20" t="s">
        <v>72</v>
      </c>
      <c r="F4" s="20" t="s">
        <v>70</v>
      </c>
      <c r="G4" s="21" t="s">
        <v>405</v>
      </c>
      <c r="H4" s="22">
        <v>667272.090982287</v>
      </c>
      <c r="I4" s="20" t="s">
        <v>1146</v>
      </c>
      <c r="J4" s="23" t="str">
        <f>IFERROR(VLOOKUP(F4,'Mã NV'!$B:$C,2,0),"")</f>
        <v>XE00843</v>
      </c>
      <c r="K4" s="23" t="str">
        <f>"Trừ lương lái xe "&amp;F4&amp;" do "&amp;I4&amp;" ngày "&amp;TEXT(A4,"dd/mm/yyyy")</f>
        <v>Trừ lương lái xe Hà Nguyên Dậu do theo định mức tiêu hao dầu ngày Tháng 5</v>
      </c>
      <c r="L4" s="23" t="str">
        <f>RIGHT(E4,5)</f>
        <v>12420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ht="18" customHeight="1" spans="1:25">
      <c r="A5" s="19" t="s">
        <v>1145</v>
      </c>
      <c r="B5" s="20"/>
      <c r="C5" s="20"/>
      <c r="D5" s="20"/>
      <c r="E5" s="20" t="s">
        <v>72</v>
      </c>
      <c r="F5" s="20" t="s">
        <v>166</v>
      </c>
      <c r="G5" s="21" t="s">
        <v>405</v>
      </c>
      <c r="H5" s="22">
        <v>667272.090982287</v>
      </c>
      <c r="I5" s="20" t="s">
        <v>1146</v>
      </c>
      <c r="J5" s="23" t="str">
        <f>IFERROR(VLOOKUP(F5,'Mã NV'!$B:$C,2,0),"")</f>
        <v>XE00844</v>
      </c>
      <c r="K5" s="23" t="str">
        <f t="shared" ref="K5" si="0">"Trừ lương lái xe "&amp;F5&amp;" do "&amp;I5&amp;" ngày "&amp;TEXT(A5,"dd/mm/yyyy")</f>
        <v>Trừ lương lái xe Nguyễn Thanh Bình do theo định mức tiêu hao dầu ngày Tháng 5</v>
      </c>
      <c r="L5" s="23" t="str">
        <f t="shared" ref="L5" si="1">RIGHT(E5,5)</f>
        <v>12420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ht="18" customHeight="1" spans="1:25">
      <c r="A6" s="19" t="s">
        <v>1145</v>
      </c>
      <c r="B6" s="20"/>
      <c r="C6" s="20"/>
      <c r="D6" s="20"/>
      <c r="E6" s="20" t="s">
        <v>69</v>
      </c>
      <c r="F6" s="20" t="s">
        <v>67</v>
      </c>
      <c r="G6" s="21" t="s">
        <v>405</v>
      </c>
      <c r="H6" s="22">
        <v>423073.150592217</v>
      </c>
      <c r="I6" s="20" t="s">
        <v>1146</v>
      </c>
      <c r="J6" s="23" t="str">
        <f>IFERROR(VLOOKUP(F6,'Mã NV'!$B:$C,2,0),"")</f>
        <v>XE00855</v>
      </c>
      <c r="K6" s="23" t="str">
        <f t="shared" ref="K6:K69" si="2">"Trừ lương lái xe "&amp;F6&amp;" do "&amp;I6&amp;" ngày "&amp;TEXT(A6,"dd/mm/yyyy")</f>
        <v>Trừ lương lái xe Đỗ Văn Nam do theo định mức tiêu hao dầu ngày Tháng 5</v>
      </c>
      <c r="L6" s="23" t="str">
        <f t="shared" ref="L6:L69" si="3">RIGHT(E6,5)</f>
        <v>12143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ht="18" customHeight="1" spans="1:25">
      <c r="A7" s="19" t="s">
        <v>1145</v>
      </c>
      <c r="B7" s="20"/>
      <c r="C7" s="20"/>
      <c r="D7" s="20"/>
      <c r="E7" s="20" t="s">
        <v>69</v>
      </c>
      <c r="F7" s="20" t="s">
        <v>183</v>
      </c>
      <c r="G7" s="21" t="s">
        <v>405</v>
      </c>
      <c r="H7" s="22">
        <v>423073.150592217</v>
      </c>
      <c r="I7" s="20" t="s">
        <v>1146</v>
      </c>
      <c r="J7" s="23" t="str">
        <f>IFERROR(VLOOKUP(F7,'Mã NV'!$B:$C,2,0),"")</f>
        <v>XE00894</v>
      </c>
      <c r="K7" s="23" t="str">
        <f t="shared" si="2"/>
        <v>Trừ lương lái xe Phạm Ngọc Cần do theo định mức tiêu hao dầu ngày Tháng 5</v>
      </c>
      <c r="L7" s="23" t="str">
        <f t="shared" si="3"/>
        <v>12143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ht="18" customHeight="1" spans="1:25">
      <c r="A8" s="19" t="s">
        <v>1145</v>
      </c>
      <c r="B8" s="20"/>
      <c r="C8" s="20"/>
      <c r="D8" s="20"/>
      <c r="E8" s="20" t="s">
        <v>180</v>
      </c>
      <c r="F8" s="20" t="s">
        <v>178</v>
      </c>
      <c r="G8" s="21" t="s">
        <v>405</v>
      </c>
      <c r="H8" s="22">
        <v>3699593.93791021</v>
      </c>
      <c r="I8" s="20" t="s">
        <v>1146</v>
      </c>
      <c r="J8" s="23" t="str">
        <f>IFERROR(VLOOKUP(F8,'Mã NV'!$B:$C,2,0),"")</f>
        <v>XE00952</v>
      </c>
      <c r="K8" s="23" t="str">
        <f t="shared" si="2"/>
        <v>Trừ lương lái xe Nguyễn Văn Mạnh do theo định mức tiêu hao dầu ngày Tháng 5</v>
      </c>
      <c r="L8" s="23" t="str">
        <f t="shared" si="3"/>
        <v>12333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ht="18" customHeight="1" spans="1:25">
      <c r="A9" s="19" t="s">
        <v>1145</v>
      </c>
      <c r="B9" s="20"/>
      <c r="C9" s="20"/>
      <c r="D9" s="20"/>
      <c r="E9" s="20" t="s">
        <v>180</v>
      </c>
      <c r="F9" s="20" t="s">
        <v>201</v>
      </c>
      <c r="G9" s="21" t="s">
        <v>405</v>
      </c>
      <c r="H9" s="22">
        <v>3699593.93791021</v>
      </c>
      <c r="I9" s="20" t="s">
        <v>1146</v>
      </c>
      <c r="J9" s="23" t="str">
        <f>IFERROR(VLOOKUP(F9,'Mã NV'!$B:$C,2,0),"")</f>
        <v>XE01308</v>
      </c>
      <c r="K9" s="23" t="str">
        <f t="shared" si="2"/>
        <v>Trừ lương lái xe Phạm Văn Phố do theo định mức tiêu hao dầu ngày Tháng 5</v>
      </c>
      <c r="L9" s="23" t="str">
        <f t="shared" si="3"/>
        <v>12333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ht="18" customHeight="1" spans="1:25">
      <c r="A10" s="19" t="s">
        <v>1145</v>
      </c>
      <c r="B10" s="20"/>
      <c r="C10" s="20"/>
      <c r="D10" s="20"/>
      <c r="E10" s="20" t="s">
        <v>66</v>
      </c>
      <c r="F10" s="20" t="s">
        <v>64</v>
      </c>
      <c r="G10" s="21" t="s">
        <v>405</v>
      </c>
      <c r="H10" s="22">
        <v>850093.953488372</v>
      </c>
      <c r="I10" s="20" t="s">
        <v>1146</v>
      </c>
      <c r="J10" s="23" t="str">
        <f>IFERROR(VLOOKUP(F10,'Mã NV'!$B:$C,2,0),"")</f>
        <v>XE00858</v>
      </c>
      <c r="K10" s="23" t="str">
        <f t="shared" si="2"/>
        <v>Trừ lương lái xe Đỗ Ngọc Thông do theo định mức tiêu hao dầu ngày Tháng 5</v>
      </c>
      <c r="L10" s="23" t="str">
        <f t="shared" si="3"/>
        <v>12412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ht="18" customHeight="1" spans="1:25">
      <c r="A11" s="19" t="s">
        <v>1145</v>
      </c>
      <c r="B11" s="20"/>
      <c r="C11" s="20"/>
      <c r="D11" s="20"/>
      <c r="E11" s="20" t="s">
        <v>66</v>
      </c>
      <c r="F11" s="20" t="s">
        <v>327</v>
      </c>
      <c r="G11" s="21" t="s">
        <v>405</v>
      </c>
      <c r="H11" s="22">
        <v>850093.953488372</v>
      </c>
      <c r="I11" s="20" t="s">
        <v>1146</v>
      </c>
      <c r="J11" s="23" t="str">
        <f>IFERROR(VLOOKUP(F11,'Mã NV'!$B:$C,2,0),"")</f>
        <v>XE01539</v>
      </c>
      <c r="K11" s="23" t="str">
        <f t="shared" si="2"/>
        <v>Trừ lương lái xe Nguyễn Ngọc Tịnh do theo định mức tiêu hao dầu ngày Tháng 5</v>
      </c>
      <c r="L11" s="23" t="str">
        <f t="shared" si="3"/>
        <v>12412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ht="18" customHeight="1" spans="1:25">
      <c r="A12" s="19" t="s">
        <v>1145</v>
      </c>
      <c r="B12" s="20"/>
      <c r="C12" s="20"/>
      <c r="D12" s="20"/>
      <c r="E12" s="20" t="s">
        <v>38</v>
      </c>
      <c r="F12" s="20" t="s">
        <v>35</v>
      </c>
      <c r="G12" s="21" t="s">
        <v>405</v>
      </c>
      <c r="H12" s="22">
        <v>600599.778999538</v>
      </c>
      <c r="I12" s="20" t="s">
        <v>1146</v>
      </c>
      <c r="J12" s="23" t="str">
        <f>IFERROR(VLOOKUP(F12,'Mã NV'!$B:$C,2,0),"")</f>
        <v>XE01303</v>
      </c>
      <c r="K12" s="23" t="str">
        <f t="shared" si="2"/>
        <v>Trừ lương lái xe Đào Văn Hùng do theo định mức tiêu hao dầu ngày Tháng 5</v>
      </c>
      <c r="L12" s="23" t="str">
        <f t="shared" si="3"/>
        <v>12120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ht="18" customHeight="1" spans="1:25">
      <c r="A13" s="19" t="s">
        <v>1145</v>
      </c>
      <c r="B13" s="20" t="s">
        <v>1147</v>
      </c>
      <c r="C13" s="20"/>
      <c r="D13" s="20"/>
      <c r="E13" s="20" t="s">
        <v>38</v>
      </c>
      <c r="F13" s="20" t="s">
        <v>105</v>
      </c>
      <c r="G13" s="21" t="s">
        <v>405</v>
      </c>
      <c r="H13" s="22">
        <v>600599.778999538</v>
      </c>
      <c r="I13" s="20" t="s">
        <v>1146</v>
      </c>
      <c r="J13" s="23" t="str">
        <f>IFERROR(VLOOKUP(F13,'Mã NV'!$B:$C,2,0),"")</f>
        <v>XE00853</v>
      </c>
      <c r="K13" s="23" t="str">
        <f t="shared" si="2"/>
        <v>Trừ lương lái xe Lê Thanh Đang do theo định mức tiêu hao dầu ngày Tháng 5</v>
      </c>
      <c r="L13" s="23" t="str">
        <f t="shared" si="3"/>
        <v>12120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ht="18" customHeight="1" spans="1:25">
      <c r="A14" s="19" t="s">
        <v>1145</v>
      </c>
      <c r="B14" s="20"/>
      <c r="C14" s="20"/>
      <c r="D14" s="20"/>
      <c r="E14" s="20" t="s">
        <v>200</v>
      </c>
      <c r="F14" s="20" t="s">
        <v>198</v>
      </c>
      <c r="G14" s="21" t="s">
        <v>405</v>
      </c>
      <c r="H14" s="22">
        <v>2440530.67199804</v>
      </c>
      <c r="I14" s="20" t="s">
        <v>1146</v>
      </c>
      <c r="J14" s="23" t="str">
        <f>IFERROR(VLOOKUP(F14,'Mã NV'!$B:$C,2,0),"")</f>
        <v>XE00865</v>
      </c>
      <c r="K14" s="23" t="str">
        <f t="shared" si="2"/>
        <v>Trừ lương lái xe Phạm Văn Khâm do theo định mức tiêu hao dầu ngày Tháng 5</v>
      </c>
      <c r="L14" s="23" t="str">
        <f t="shared" si="3"/>
        <v>12436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ht="18" customHeight="1" spans="1:25">
      <c r="A15" s="19" t="s">
        <v>1145</v>
      </c>
      <c r="B15" s="20"/>
      <c r="C15" s="20"/>
      <c r="D15" s="20"/>
      <c r="E15" s="20" t="s">
        <v>200</v>
      </c>
      <c r="F15" s="20" t="s">
        <v>237</v>
      </c>
      <c r="G15" s="21" t="s">
        <v>405</v>
      </c>
      <c r="H15" s="22">
        <v>2440530.67199804</v>
      </c>
      <c r="I15" s="20" t="s">
        <v>1146</v>
      </c>
      <c r="J15" s="23" t="str">
        <f>IFERROR(VLOOKUP(F15,'Mã NV'!$B:$C,2,0),"")</f>
        <v>XE00985</v>
      </c>
      <c r="K15" s="23" t="str">
        <f t="shared" si="2"/>
        <v>Trừ lương lái xe Vũ Văn Quân do theo định mức tiêu hao dầu ngày Tháng 5</v>
      </c>
      <c r="L15" s="23" t="str">
        <f t="shared" si="3"/>
        <v>12436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ht="18" customHeight="1" spans="1:25">
      <c r="A16" s="19" t="s">
        <v>1145</v>
      </c>
      <c r="B16" s="20"/>
      <c r="C16" s="20"/>
      <c r="D16" s="20"/>
      <c r="E16" s="20" t="s">
        <v>124</v>
      </c>
      <c r="F16" s="20" t="s">
        <v>122</v>
      </c>
      <c r="G16" s="21" t="s">
        <v>405</v>
      </c>
      <c r="H16" s="22">
        <v>1516048.65771714</v>
      </c>
      <c r="I16" s="20" t="s">
        <v>1146</v>
      </c>
      <c r="J16" s="23" t="str">
        <f>IFERROR(VLOOKUP(F16,'Mã NV'!$B:$C,2,0),"")</f>
        <v>XE01034</v>
      </c>
      <c r="K16" s="23" t="str">
        <f t="shared" si="2"/>
        <v>Trừ lương lái xe Mã Đức Diễn do theo định mức tiêu hao dầu ngày Tháng 5</v>
      </c>
      <c r="L16" s="23" t="str">
        <f t="shared" si="3"/>
        <v>14424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ht="18" customHeight="1" spans="1:25">
      <c r="A17" s="19" t="s">
        <v>1145</v>
      </c>
      <c r="B17" s="20"/>
      <c r="C17" s="20"/>
      <c r="D17" s="20"/>
      <c r="E17" s="20" t="s">
        <v>124</v>
      </c>
      <c r="F17" s="20" t="s">
        <v>187</v>
      </c>
      <c r="G17" s="21" t="s">
        <v>405</v>
      </c>
      <c r="H17" s="22">
        <v>1516048.65771714</v>
      </c>
      <c r="I17" s="20" t="s">
        <v>1146</v>
      </c>
      <c r="J17" s="23" t="str">
        <f>IFERROR(VLOOKUP(F17,'Mã NV'!$B:$C,2,0),"")</f>
        <v>XE01064</v>
      </c>
      <c r="K17" s="23" t="str">
        <f t="shared" si="2"/>
        <v>Trừ lương lái xe Phạm Tuấn Sơn do theo định mức tiêu hao dầu ngày Tháng 5</v>
      </c>
      <c r="L17" s="23" t="str">
        <f t="shared" si="3"/>
        <v>14424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ht="18" customHeight="1" spans="1:25">
      <c r="A18" s="19" t="s">
        <v>1145</v>
      </c>
      <c r="B18" s="20"/>
      <c r="C18" s="20"/>
      <c r="D18" s="20"/>
      <c r="E18" s="20" t="s">
        <v>62</v>
      </c>
      <c r="F18" s="20" t="s">
        <v>60</v>
      </c>
      <c r="G18" s="21" t="s">
        <v>405</v>
      </c>
      <c r="H18" s="22">
        <v>2223964.02046253</v>
      </c>
      <c r="I18" s="20" t="s">
        <v>1146</v>
      </c>
      <c r="J18" s="23" t="str">
        <f>IFERROR(VLOOKUP(F18,'Mã NV'!$B:$C,2,0),"")</f>
        <v>XE00910</v>
      </c>
      <c r="K18" s="23" t="str">
        <f t="shared" si="2"/>
        <v>Trừ lương lái xe Đỗ Ngọc Chiến do theo định mức tiêu hao dầu ngày Tháng 5</v>
      </c>
      <c r="L18" s="23" t="str">
        <f t="shared" si="3"/>
        <v>14214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ht="18" customHeight="1" spans="1:25">
      <c r="A19" s="19" t="s">
        <v>1145</v>
      </c>
      <c r="B19" s="20"/>
      <c r="C19" s="20"/>
      <c r="D19" s="20"/>
      <c r="E19" s="20" t="s">
        <v>62</v>
      </c>
      <c r="F19" s="20" t="s">
        <v>366</v>
      </c>
      <c r="G19" s="21" t="s">
        <v>405</v>
      </c>
      <c r="H19" s="22">
        <v>2223964.02046253</v>
      </c>
      <c r="I19" s="20" t="s">
        <v>1146</v>
      </c>
      <c r="J19" s="23" t="str">
        <f>IFERROR(VLOOKUP(F19,'Mã NV'!$B:$C,2,0),"")</f>
        <v>XE00909</v>
      </c>
      <c r="K19" s="23" t="str">
        <f t="shared" si="2"/>
        <v>Trừ lương lái xe Trần Xuân Thỏa do theo định mức tiêu hao dầu ngày Tháng 5</v>
      </c>
      <c r="L19" s="23" t="str">
        <f t="shared" si="3"/>
        <v>14214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ht="18" customHeight="1" spans="1:25">
      <c r="A20" s="19" t="s">
        <v>1145</v>
      </c>
      <c r="B20" s="20"/>
      <c r="C20" s="20"/>
      <c r="D20" s="20"/>
      <c r="E20" s="20" t="s">
        <v>76</v>
      </c>
      <c r="F20" s="20" t="s">
        <v>368</v>
      </c>
      <c r="G20" s="21" t="s">
        <v>405</v>
      </c>
      <c r="H20" s="22">
        <v>564233.676046816</v>
      </c>
      <c r="I20" s="20" t="s">
        <v>1146</v>
      </c>
      <c r="J20" s="23" t="str">
        <f>IFERROR(VLOOKUP(F20,'Mã NV'!$B:$C,2,0),"")</f>
        <v>XE00907</v>
      </c>
      <c r="K20" s="23" t="str">
        <f t="shared" si="2"/>
        <v>Trừ lương lái xe Hỏa Văn Lâm do theo định mức tiêu hao dầu ngày Tháng 5</v>
      </c>
      <c r="L20" s="23" t="str">
        <f t="shared" si="3"/>
        <v>14310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ht="18" customHeight="1" spans="1:25">
      <c r="A21" s="19" t="s">
        <v>1145</v>
      </c>
      <c r="B21" s="20"/>
      <c r="C21" s="20"/>
      <c r="D21" s="20"/>
      <c r="E21" s="20" t="s">
        <v>76</v>
      </c>
      <c r="F21" s="20" t="s">
        <v>369</v>
      </c>
      <c r="G21" s="21" t="s">
        <v>405</v>
      </c>
      <c r="H21" s="22">
        <v>564233.676046816</v>
      </c>
      <c r="I21" s="20" t="s">
        <v>1146</v>
      </c>
      <c r="J21" s="23" t="str">
        <f>IFERROR(VLOOKUP(F21,'Mã NV'!$B:$C,2,0),"")</f>
        <v>XE00908</v>
      </c>
      <c r="K21" s="23" t="str">
        <f t="shared" si="2"/>
        <v>Trừ lương lái xe Hỏa Văn Quyết do theo định mức tiêu hao dầu ngày Tháng 5</v>
      </c>
      <c r="L21" s="23" t="str">
        <f t="shared" si="3"/>
        <v>14310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ht="18" customHeight="1" spans="1:25">
      <c r="A22" s="19" t="s">
        <v>1145</v>
      </c>
      <c r="B22" s="20"/>
      <c r="C22" s="20"/>
      <c r="D22" s="20"/>
      <c r="E22" s="20" t="s">
        <v>234</v>
      </c>
      <c r="F22" s="20" t="s">
        <v>232</v>
      </c>
      <c r="G22" s="21" t="s">
        <v>405</v>
      </c>
      <c r="H22" s="22">
        <v>649102.56227758</v>
      </c>
      <c r="I22" s="20" t="s">
        <v>1146</v>
      </c>
      <c r="J22" s="23" t="str">
        <f>IFERROR(VLOOKUP(F22,'Mã NV'!$B:$C,2,0),"")</f>
        <v>XE00893</v>
      </c>
      <c r="K22" s="23" t="str">
        <f t="shared" si="2"/>
        <v>Trừ lương lái xe Vũ Ngọc Thường do theo định mức tiêu hao dầu ngày Tháng 5</v>
      </c>
      <c r="L22" s="23" t="str">
        <f t="shared" si="3"/>
        <v>35397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ht="18" customHeight="1" spans="1:25">
      <c r="A23" s="19" t="s">
        <v>1145</v>
      </c>
      <c r="B23" s="20"/>
      <c r="C23" s="20"/>
      <c r="D23" s="20"/>
      <c r="E23" s="20" t="s">
        <v>234</v>
      </c>
      <c r="F23" s="20" t="s">
        <v>239</v>
      </c>
      <c r="G23" s="21" t="s">
        <v>405</v>
      </c>
      <c r="H23" s="22">
        <v>649102.56227758</v>
      </c>
      <c r="I23" s="20" t="s">
        <v>1146</v>
      </c>
      <c r="J23" s="23" t="str">
        <f>IFERROR(VLOOKUP(F23,'Mã NV'!$B:$C,2,0),"")</f>
        <v>XE01021</v>
      </c>
      <c r="K23" s="23" t="str">
        <f t="shared" si="2"/>
        <v>Trừ lương lái xe Vũ Văn Tỉnh do theo định mức tiêu hao dầu ngày Tháng 5</v>
      </c>
      <c r="L23" s="23" t="str">
        <f t="shared" si="3"/>
        <v>35397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ht="18" customHeight="1" spans="1:25">
      <c r="A24" s="19" t="s">
        <v>1145</v>
      </c>
      <c r="B24" s="20"/>
      <c r="C24" s="20"/>
      <c r="D24" s="20"/>
      <c r="E24" s="20" t="s">
        <v>37</v>
      </c>
      <c r="F24" s="20" t="s">
        <v>327</v>
      </c>
      <c r="G24" s="21" t="s">
        <v>405</v>
      </c>
      <c r="H24" s="22">
        <v>548295.406164354</v>
      </c>
      <c r="I24" s="20" t="s">
        <v>1146</v>
      </c>
      <c r="J24" s="23" t="str">
        <f>IFERROR(VLOOKUP(F24,'Mã NV'!$B:$C,2,0),"")</f>
        <v>XE01539</v>
      </c>
      <c r="K24" s="23" t="str">
        <f t="shared" si="2"/>
        <v>Trừ lương lái xe Nguyễn Ngọc Tịnh do theo định mức tiêu hao dầu ngày Tháng 5</v>
      </c>
      <c r="L24" s="23" t="str">
        <f t="shared" si="3"/>
        <v>35064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ht="18" customHeight="1" spans="1:25">
      <c r="A25" s="19" t="s">
        <v>1145</v>
      </c>
      <c r="B25" s="20"/>
      <c r="C25" s="20"/>
      <c r="D25" s="20"/>
      <c r="E25" s="20" t="s">
        <v>37</v>
      </c>
      <c r="F25" s="20" t="s">
        <v>35</v>
      </c>
      <c r="G25" s="21" t="s">
        <v>405</v>
      </c>
      <c r="H25" s="22">
        <v>548295.406164354</v>
      </c>
      <c r="I25" s="20" t="s">
        <v>1146</v>
      </c>
      <c r="J25" s="23" t="str">
        <f>IFERROR(VLOOKUP(F25,'Mã NV'!$B:$C,2,0),"")</f>
        <v>XE01303</v>
      </c>
      <c r="K25" s="23" t="str">
        <f t="shared" si="2"/>
        <v>Trừ lương lái xe Đào Văn Hùng do theo định mức tiêu hao dầu ngày Tháng 5</v>
      </c>
      <c r="L25" s="23" t="str">
        <f t="shared" si="3"/>
        <v>35064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ht="18" customHeight="1" spans="1:25">
      <c r="A26" s="19" t="s">
        <v>1145</v>
      </c>
      <c r="B26" s="20"/>
      <c r="C26" s="20"/>
      <c r="D26" s="20"/>
      <c r="E26" s="20" t="s">
        <v>37</v>
      </c>
      <c r="F26" s="20" t="s">
        <v>241</v>
      </c>
      <c r="G26" s="21" t="s">
        <v>405</v>
      </c>
      <c r="H26" s="22">
        <v>1186816.63865955</v>
      </c>
      <c r="I26" s="20" t="s">
        <v>1146</v>
      </c>
      <c r="J26" s="23" t="str">
        <f>IFERROR(VLOOKUP(F26,'Mã NV'!$B:$C,2,0),"")</f>
        <v>XE01443</v>
      </c>
      <c r="K26" s="23" t="str">
        <f t="shared" si="2"/>
        <v>Trừ lương lái xe Trần Quang Trung do theo định mức tiêu hao dầu ngày Tháng 5</v>
      </c>
      <c r="L26" s="23" t="str">
        <f t="shared" si="3"/>
        <v>35064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ht="18" customHeight="1" spans="1:25">
      <c r="A27" s="19" t="s">
        <v>1145</v>
      </c>
      <c r="B27" s="20"/>
      <c r="C27" s="20"/>
      <c r="D27" s="20"/>
      <c r="E27" s="20" t="s">
        <v>37</v>
      </c>
      <c r="F27" s="20" t="s">
        <v>243</v>
      </c>
      <c r="G27" s="21" t="s">
        <v>405</v>
      </c>
      <c r="H27" s="22">
        <v>1186816.63865955</v>
      </c>
      <c r="I27" s="20" t="s">
        <v>1146</v>
      </c>
      <c r="J27" s="23" t="str">
        <f>IFERROR(VLOOKUP(F27,'Mã NV'!$B:$C,2,0),"")</f>
        <v>XE01444</v>
      </c>
      <c r="K27" s="23" t="str">
        <f t="shared" si="2"/>
        <v>Trừ lương lái xe Trần Xuân Quảng do theo định mức tiêu hao dầu ngày Tháng 5</v>
      </c>
      <c r="L27" s="23" t="str">
        <f t="shared" si="3"/>
        <v>35064</v>
      </c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ht="18" customHeight="1" spans="1:25">
      <c r="A28" s="19" t="s">
        <v>1145</v>
      </c>
      <c r="B28" s="20"/>
      <c r="C28" s="20"/>
      <c r="D28" s="20"/>
      <c r="E28" s="20" t="s">
        <v>29</v>
      </c>
      <c r="F28" s="20" t="s">
        <v>27</v>
      </c>
      <c r="G28" s="21" t="s">
        <v>405</v>
      </c>
      <c r="H28" s="22">
        <v>4090337.10161668</v>
      </c>
      <c r="I28" s="20" t="s">
        <v>1146</v>
      </c>
      <c r="J28" s="23" t="str">
        <f>IFERROR(VLOOKUP(F28,'Mã NV'!$B:$C,2,0),"")</f>
        <v>XE00991</v>
      </c>
      <c r="K28" s="23" t="str">
        <f t="shared" si="2"/>
        <v>Trừ lương lái xe Đào Ngọc Ngà do theo định mức tiêu hao dầu ngày Tháng 5</v>
      </c>
      <c r="L28" s="23" t="str">
        <f t="shared" si="3"/>
        <v>35164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ht="18" customHeight="1" spans="1:25">
      <c r="A29" s="19" t="s">
        <v>1145</v>
      </c>
      <c r="B29" s="20"/>
      <c r="C29" s="20"/>
      <c r="D29" s="20"/>
      <c r="E29" s="20" t="s">
        <v>29</v>
      </c>
      <c r="F29" s="20" t="s">
        <v>185</v>
      </c>
      <c r="G29" s="21" t="s">
        <v>405</v>
      </c>
      <c r="H29" s="22">
        <v>4090337.10161668</v>
      </c>
      <c r="I29" s="20" t="s">
        <v>1146</v>
      </c>
      <c r="J29" s="23" t="str">
        <f>IFERROR(VLOOKUP(F29,'Mã NV'!$B:$C,2,0),"")</f>
        <v>XE00854</v>
      </c>
      <c r="K29" s="23" t="str">
        <f t="shared" si="2"/>
        <v>Trừ lương lái xe Phạm Quốc Toàn do theo định mức tiêu hao dầu ngày Tháng 5</v>
      </c>
      <c r="L29" s="23" t="str">
        <f t="shared" si="3"/>
        <v>35164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ht="18" customHeight="1" spans="1:25">
      <c r="A30" s="19" t="s">
        <v>1145</v>
      </c>
      <c r="B30" s="20"/>
      <c r="C30" s="20"/>
      <c r="D30" s="20"/>
      <c r="E30" s="20" t="s">
        <v>170</v>
      </c>
      <c r="F30" s="20" t="s">
        <v>168</v>
      </c>
      <c r="G30" s="21" t="s">
        <v>405</v>
      </c>
      <c r="H30" s="22">
        <v>1995250.82314538</v>
      </c>
      <c r="I30" s="20" t="s">
        <v>1146</v>
      </c>
      <c r="J30" s="23" t="str">
        <f>IFERROR(VLOOKUP(F30,'Mã NV'!$B:$C,2,0),"")</f>
        <v>XE01263</v>
      </c>
      <c r="K30" s="23" t="str">
        <f t="shared" si="2"/>
        <v>Trừ lương lái xe Nguyễn Trọng Đạt do theo định mức tiêu hao dầu ngày Tháng 5</v>
      </c>
      <c r="L30" s="23" t="str">
        <f t="shared" si="3"/>
        <v>06824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ht="18" customHeight="1" spans="1:25">
      <c r="A31" s="19" t="s">
        <v>1145</v>
      </c>
      <c r="B31" s="20"/>
      <c r="C31" s="20"/>
      <c r="D31" s="20"/>
      <c r="E31" s="20" t="s">
        <v>170</v>
      </c>
      <c r="F31" s="20" t="s">
        <v>203</v>
      </c>
      <c r="G31" s="21" t="s">
        <v>405</v>
      </c>
      <c r="H31" s="22">
        <v>1356770.55973886</v>
      </c>
      <c r="I31" s="20" t="s">
        <v>1146</v>
      </c>
      <c r="J31" s="23" t="str">
        <f>IFERROR(VLOOKUP(F31,'Mã NV'!$B:$C,2,0),"")</f>
        <v>XE01149</v>
      </c>
      <c r="K31" s="23" t="str">
        <f t="shared" si="2"/>
        <v>Trừ lương lái xe Phạm Văn Thưởng do theo định mức tiêu hao dầu ngày Tháng 5</v>
      </c>
      <c r="L31" s="23" t="str">
        <f t="shared" si="3"/>
        <v>06824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ht="18" customHeight="1" spans="1:25">
      <c r="A32" s="19" t="s">
        <v>1145</v>
      </c>
      <c r="B32" s="20"/>
      <c r="C32" s="20"/>
      <c r="D32" s="20"/>
      <c r="E32" s="20" t="s">
        <v>170</v>
      </c>
      <c r="F32" s="20" t="s">
        <v>312</v>
      </c>
      <c r="G32" s="21" t="s">
        <v>405</v>
      </c>
      <c r="H32" s="22">
        <v>638480.263406523</v>
      </c>
      <c r="I32" s="20" t="s">
        <v>1146</v>
      </c>
      <c r="J32" s="23" t="str">
        <f>IFERROR(VLOOKUP(F32,'Mã NV'!$B:$C,2,0),"")</f>
        <v>XE01582</v>
      </c>
      <c r="K32" s="23" t="str">
        <f t="shared" si="2"/>
        <v>Trừ lương lái xe Nguyễn Văn Chiến do theo định mức tiêu hao dầu ngày Tháng 5</v>
      </c>
      <c r="L32" s="23" t="str">
        <f t="shared" si="3"/>
        <v>06824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ht="18" customHeight="1" spans="1:25">
      <c r="A33" s="19" t="s">
        <v>1145</v>
      </c>
      <c r="B33" s="20"/>
      <c r="C33" s="20"/>
      <c r="D33" s="20"/>
      <c r="E33" s="20" t="s">
        <v>151</v>
      </c>
      <c r="F33" s="20" t="s">
        <v>147</v>
      </c>
      <c r="G33" s="21" t="s">
        <v>405</v>
      </c>
      <c r="H33" s="22">
        <v>932173.646009675</v>
      </c>
      <c r="I33" s="20" t="s">
        <v>1146</v>
      </c>
      <c r="J33" s="23" t="str">
        <f>IFERROR(VLOOKUP(F33,'Mã NV'!$B:$C,2,0),"")</f>
        <v>XE01304</v>
      </c>
      <c r="K33" s="23" t="str">
        <f t="shared" si="2"/>
        <v>Trừ lương lái xe Nguyễn Hữu Hưởng do theo định mức tiêu hao dầu ngày Tháng 5</v>
      </c>
      <c r="L33" s="23" t="str">
        <f t="shared" si="3"/>
        <v>06820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ht="18" customHeight="1" spans="1:25">
      <c r="A34" s="19" t="s">
        <v>1145</v>
      </c>
      <c r="B34" s="20"/>
      <c r="C34" s="20"/>
      <c r="D34" s="20"/>
      <c r="E34" s="20" t="s">
        <v>151</v>
      </c>
      <c r="F34" s="20" t="s">
        <v>235</v>
      </c>
      <c r="G34" s="21" t="s">
        <v>405</v>
      </c>
      <c r="H34" s="22">
        <v>932173.646009675</v>
      </c>
      <c r="I34" s="20" t="s">
        <v>1146</v>
      </c>
      <c r="J34" s="23" t="str">
        <f>IFERROR(VLOOKUP(F34,'Mã NV'!$B:$C,2,0),"")</f>
        <v>XE01305</v>
      </c>
      <c r="K34" s="23" t="str">
        <f t="shared" si="2"/>
        <v>Trừ lương lái xe Vũ Thế An do theo định mức tiêu hao dầu ngày Tháng 5</v>
      </c>
      <c r="L34" s="23" t="str">
        <f t="shared" si="3"/>
        <v>06820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ht="18" customHeight="1" spans="1:25">
      <c r="A35" s="19" t="s">
        <v>1145</v>
      </c>
      <c r="B35" s="20"/>
      <c r="C35" s="20"/>
      <c r="D35" s="20"/>
      <c r="E35" s="20" t="s">
        <v>151</v>
      </c>
      <c r="F35" s="20" t="s">
        <v>250</v>
      </c>
      <c r="G35" s="21" t="s">
        <v>405</v>
      </c>
      <c r="H35" s="22">
        <v>237509.857946095</v>
      </c>
      <c r="I35" s="20" t="s">
        <v>1146</v>
      </c>
      <c r="J35" s="23" t="str">
        <f>IFERROR(VLOOKUP(F35,'Mã NV'!$B:$C,2,0),"")</f>
        <v>XE01469</v>
      </c>
      <c r="K35" s="23" t="str">
        <f t="shared" si="2"/>
        <v>Trừ lương lái xe Nguyễn Bá Bảo do theo định mức tiêu hao dầu ngày Tháng 5</v>
      </c>
      <c r="L35" s="23" t="str">
        <f t="shared" si="3"/>
        <v>06820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ht="18" customHeight="1" spans="1:25">
      <c r="A36" s="19" t="s">
        <v>1145</v>
      </c>
      <c r="B36" s="20"/>
      <c r="C36" s="20"/>
      <c r="D36" s="20"/>
      <c r="E36" s="20" t="s">
        <v>161</v>
      </c>
      <c r="F36" s="20" t="s">
        <v>159</v>
      </c>
      <c r="G36" s="21" t="s">
        <v>405</v>
      </c>
      <c r="H36" s="22">
        <v>987839.109000243</v>
      </c>
      <c r="I36" s="20" t="s">
        <v>1146</v>
      </c>
      <c r="J36" s="23" t="str">
        <f>IFERROR(VLOOKUP(F36,'Mã NV'!$B:$C,2,0),"")</f>
        <v>XE01005</v>
      </c>
      <c r="K36" s="23" t="str">
        <f t="shared" si="2"/>
        <v>Trừ lương lái xe Nguyễn Quốc Bình do theo định mức tiêu hao dầu ngày Tháng 5</v>
      </c>
      <c r="L36" s="23" t="str">
        <f t="shared" si="3"/>
        <v>13905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ht="18" customHeight="1" spans="1:25">
      <c r="A37" s="19" t="s">
        <v>1145</v>
      </c>
      <c r="B37" s="20"/>
      <c r="C37" s="20"/>
      <c r="D37" s="20"/>
      <c r="E37" s="20" t="s">
        <v>161</v>
      </c>
      <c r="F37" s="20" t="s">
        <v>225</v>
      </c>
      <c r="G37" s="21" t="s">
        <v>405</v>
      </c>
      <c r="H37" s="22">
        <v>1885189.13931344</v>
      </c>
      <c r="I37" s="20" t="s">
        <v>1146</v>
      </c>
      <c r="J37" s="23" t="str">
        <f>IFERROR(VLOOKUP(F37,'Mã NV'!$B:$C,2,0),"")</f>
        <v>XE01164</v>
      </c>
      <c r="K37" s="23" t="str">
        <f t="shared" si="2"/>
        <v>Trừ lương lái xe Trịnh Văn Lực do theo định mức tiêu hao dầu ngày Tháng 5</v>
      </c>
      <c r="L37" s="23" t="str">
        <f t="shared" si="3"/>
        <v>13905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ht="18" customHeight="1" spans="1:25">
      <c r="A38" s="19" t="s">
        <v>1145</v>
      </c>
      <c r="B38" s="20"/>
      <c r="C38" s="20"/>
      <c r="D38" s="20"/>
      <c r="E38" s="20" t="s">
        <v>161</v>
      </c>
      <c r="F38" s="20" t="s">
        <v>371</v>
      </c>
      <c r="G38" s="21" t="s">
        <v>405</v>
      </c>
      <c r="H38" s="22">
        <v>897350.030313198</v>
      </c>
      <c r="I38" s="20" t="s">
        <v>1146</v>
      </c>
      <c r="J38" s="23" t="str">
        <f>IFERROR(VLOOKUP(F38,'Mã NV'!$B:$C,2,0),"")</f>
        <v>XE01698</v>
      </c>
      <c r="K38" s="23" t="str">
        <f t="shared" si="2"/>
        <v>Trừ lương lái xe Nguyễn Viết Vinh do theo định mức tiêu hao dầu ngày Tháng 5</v>
      </c>
      <c r="L38" s="23" t="str">
        <f t="shared" si="3"/>
        <v>13905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ht="18" customHeight="1" spans="1:25">
      <c r="A39" s="19" t="s">
        <v>1145</v>
      </c>
      <c r="B39" s="20"/>
      <c r="C39" s="20"/>
      <c r="D39" s="20"/>
      <c r="E39" s="20" t="s">
        <v>87</v>
      </c>
      <c r="F39" s="20" t="s">
        <v>1148</v>
      </c>
      <c r="G39" s="21" t="s">
        <v>405</v>
      </c>
      <c r="H39" s="22">
        <v>2122412.87751931</v>
      </c>
      <c r="I39" s="20" t="s">
        <v>1146</v>
      </c>
      <c r="J39" s="23" t="str">
        <f>IFERROR(VLOOKUP(F39,'Mã NV'!$B:$C,2,0),"")</f>
        <v>XE01456</v>
      </c>
      <c r="K39" s="23" t="str">
        <f t="shared" si="2"/>
        <v>Trừ lương lái xe Hoàng Văn Lợi  do theo định mức tiêu hao dầu ngày Tháng 5</v>
      </c>
      <c r="L39" s="23" t="str">
        <f t="shared" si="3"/>
        <v>13459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ht="18" customHeight="1" spans="1:25">
      <c r="A40" s="19" t="s">
        <v>1145</v>
      </c>
      <c r="B40" s="20"/>
      <c r="C40" s="20"/>
      <c r="D40" s="20"/>
      <c r="E40" s="20" t="s">
        <v>87</v>
      </c>
      <c r="F40" s="20" t="s">
        <v>305</v>
      </c>
      <c r="G40" s="21" t="s">
        <v>405</v>
      </c>
      <c r="H40" s="22">
        <v>2122412.87751931</v>
      </c>
      <c r="I40" s="20" t="s">
        <v>1146</v>
      </c>
      <c r="J40" s="23" t="str">
        <f>IFERROR(VLOOKUP(F40,'Mã NV'!$B:$C,2,0),"")</f>
        <v>XE01599</v>
      </c>
      <c r="K40" s="23" t="str">
        <f t="shared" si="2"/>
        <v>Trừ lương lái xe Nguyễn Minh Trọng do theo định mức tiêu hao dầu ngày Tháng 5</v>
      </c>
      <c r="L40" s="23" t="str">
        <f t="shared" si="3"/>
        <v>13459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ht="18" customHeight="1" spans="1:25">
      <c r="A41" s="19" t="s">
        <v>1145</v>
      </c>
      <c r="B41" s="20"/>
      <c r="C41" s="20"/>
      <c r="D41" s="20"/>
      <c r="E41" s="20" t="s">
        <v>176</v>
      </c>
      <c r="F41" s="20" t="s">
        <v>354</v>
      </c>
      <c r="G41" s="21" t="s">
        <v>405</v>
      </c>
      <c r="H41" s="22">
        <v>3845859.38082607</v>
      </c>
      <c r="I41" s="20" t="s">
        <v>1146</v>
      </c>
      <c r="J41" s="23" t="str">
        <f>IFERROR(VLOOKUP(F41,'Mã NV'!$B:$C,2,0),"")</f>
        <v>XE01644</v>
      </c>
      <c r="K41" s="23" t="str">
        <f t="shared" si="2"/>
        <v>Trừ lương lái xe Nguyễn Thanh Lâm do theo định mức tiêu hao dầu ngày Tháng 5</v>
      </c>
      <c r="L41" s="23" t="str">
        <f t="shared" si="3"/>
        <v>12747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ht="18" customHeight="1" spans="1:25">
      <c r="A42" s="19" t="s">
        <v>1145</v>
      </c>
      <c r="B42" s="20"/>
      <c r="C42" s="20"/>
      <c r="D42" s="20"/>
      <c r="E42" s="20" t="s">
        <v>176</v>
      </c>
      <c r="F42" s="20" t="s">
        <v>192</v>
      </c>
      <c r="G42" s="21" t="s">
        <v>405</v>
      </c>
      <c r="H42" s="22">
        <v>3845859.38082607</v>
      </c>
      <c r="I42" s="20" t="s">
        <v>1146</v>
      </c>
      <c r="J42" s="23" t="str">
        <f>IFERROR(VLOOKUP(F42,'Mã NV'!$B:$C,2,0),"")</f>
        <v>XE01335</v>
      </c>
      <c r="K42" s="23" t="str">
        <f t="shared" si="2"/>
        <v>Trừ lương lái xe Phạm Thanh Tuấn do theo định mức tiêu hao dầu ngày Tháng 5</v>
      </c>
      <c r="L42" s="23" t="str">
        <f t="shared" si="3"/>
        <v>12747</v>
      </c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ht="18" customHeight="1" spans="1:25">
      <c r="A43" s="19" t="s">
        <v>1145</v>
      </c>
      <c r="B43" s="20"/>
      <c r="C43" s="20"/>
      <c r="D43" s="20"/>
      <c r="E43" s="20" t="s">
        <v>119</v>
      </c>
      <c r="F43" s="20" t="s">
        <v>363</v>
      </c>
      <c r="G43" s="21" t="s">
        <v>405</v>
      </c>
      <c r="H43" s="22">
        <v>85549.6689689242</v>
      </c>
      <c r="I43" s="20" t="s">
        <v>1146</v>
      </c>
      <c r="J43" s="23" t="str">
        <f>IFERROR(VLOOKUP(F43,'Mã NV'!$B:$C,2,0),"")</f>
        <v/>
      </c>
      <c r="K43" s="23" t="str">
        <f t="shared" si="2"/>
        <v>Trừ lương lái xe Đinh Văn Phấn do theo định mức tiêu hao dầu ngày Tháng 5</v>
      </c>
      <c r="L43" s="23" t="str">
        <f t="shared" si="3"/>
        <v>37344</v>
      </c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ht="18" customHeight="1" spans="1:25">
      <c r="A44" s="19" t="s">
        <v>1145</v>
      </c>
      <c r="B44" s="20"/>
      <c r="C44" s="20"/>
      <c r="D44" s="20"/>
      <c r="E44" s="20" t="s">
        <v>119</v>
      </c>
      <c r="F44" s="20" t="s">
        <v>117</v>
      </c>
      <c r="G44" s="21" t="s">
        <v>405</v>
      </c>
      <c r="H44" s="22">
        <v>276571.53255707</v>
      </c>
      <c r="I44" s="20" t="s">
        <v>1146</v>
      </c>
      <c r="J44" s="23" t="str">
        <f>IFERROR(VLOOKUP(F44,'Mã NV'!$B:$C,2,0),"")</f>
        <v>XE01453</v>
      </c>
      <c r="K44" s="23" t="str">
        <f t="shared" si="2"/>
        <v>Trừ lương lái xe Lê Văn Khiêm do theo định mức tiêu hao dầu ngày Tháng 5</v>
      </c>
      <c r="L44" s="23" t="str">
        <f t="shared" si="3"/>
        <v>37344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ht="18" customHeight="1" spans="1:25">
      <c r="A45" s="19" t="s">
        <v>1145</v>
      </c>
      <c r="B45" s="20"/>
      <c r="C45" s="20"/>
      <c r="D45" s="20"/>
      <c r="E45" s="20" t="s">
        <v>119</v>
      </c>
      <c r="F45" s="20" t="s">
        <v>310</v>
      </c>
      <c r="G45" s="21" t="s">
        <v>405</v>
      </c>
      <c r="H45" s="22">
        <v>362121.201525994</v>
      </c>
      <c r="I45" s="20" t="s">
        <v>1146</v>
      </c>
      <c r="J45" s="23" t="str">
        <f>IFERROR(VLOOKUP(F45,'Mã NV'!$B:$C,2,0),"")</f>
        <v>XE01549</v>
      </c>
      <c r="K45" s="23" t="str">
        <f t="shared" si="2"/>
        <v>Trừ lương lái xe Ngô Hoàng Vũ do theo định mức tiêu hao dầu ngày Tháng 5</v>
      </c>
      <c r="L45" s="23" t="str">
        <f t="shared" si="3"/>
        <v>37344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ht="18" customHeight="1" spans="1:25">
      <c r="A46" s="19" t="s">
        <v>1145</v>
      </c>
      <c r="B46" s="20"/>
      <c r="C46" s="20"/>
      <c r="D46" s="20"/>
      <c r="E46" s="20" t="s">
        <v>119</v>
      </c>
      <c r="F46" s="20" t="s">
        <v>307</v>
      </c>
      <c r="G46" s="21" t="s">
        <v>405</v>
      </c>
      <c r="H46" s="22">
        <v>362121.201525994</v>
      </c>
      <c r="I46" s="20" t="s">
        <v>1146</v>
      </c>
      <c r="J46" s="23" t="str">
        <f>IFERROR(VLOOKUP(F46,'Mã NV'!$B:$C,2,0),"")</f>
        <v>XE01548</v>
      </c>
      <c r="K46" s="23" t="str">
        <f t="shared" si="2"/>
        <v>Trừ lương lái xe Nguyễn Duy Tuấn do theo định mức tiêu hao dầu ngày Tháng 5</v>
      </c>
      <c r="L46" s="23" t="str">
        <f t="shared" si="3"/>
        <v>37344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ht="18" customHeight="1" spans="1:25">
      <c r="A47" s="19" t="s">
        <v>1145</v>
      </c>
      <c r="B47" s="20"/>
      <c r="C47" s="20"/>
      <c r="D47" s="20"/>
      <c r="E47" s="20" t="s">
        <v>119</v>
      </c>
      <c r="F47" s="20" t="s">
        <v>281</v>
      </c>
      <c r="G47" s="21" t="s">
        <v>405</v>
      </c>
      <c r="H47" s="22">
        <v>85549.6689689242</v>
      </c>
      <c r="I47" s="20" t="s">
        <v>1146</v>
      </c>
      <c r="J47" s="23" t="str">
        <f>IFERROR(VLOOKUP(F47,'Mã NV'!$B:$C,2,0),"")</f>
        <v>XE01532</v>
      </c>
      <c r="K47" s="23" t="str">
        <f t="shared" si="2"/>
        <v>Trừ lương lái xe Phan Tấn Thành do theo định mức tiêu hao dầu ngày Tháng 5</v>
      </c>
      <c r="L47" s="23" t="str">
        <f t="shared" si="3"/>
        <v>37344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ht="18" customHeight="1" spans="1:25">
      <c r="A48" s="19" t="s">
        <v>1145</v>
      </c>
      <c r="B48" s="20"/>
      <c r="C48" s="20"/>
      <c r="D48" s="20"/>
      <c r="E48" s="20" t="s">
        <v>286</v>
      </c>
      <c r="F48" s="20" t="s">
        <v>335</v>
      </c>
      <c r="G48" s="21" t="s">
        <v>405</v>
      </c>
      <c r="H48" s="22">
        <v>947057.185838221</v>
      </c>
      <c r="I48" s="20" t="s">
        <v>1146</v>
      </c>
      <c r="J48" s="23" t="str">
        <f>IFERROR(VLOOKUP(F48,'Mã NV'!$B:$C,2,0),"")</f>
        <v>XE01622</v>
      </c>
      <c r="K48" s="23" t="str">
        <f t="shared" si="2"/>
        <v>Trừ lương lái xe Lý Hồng Ngà do theo định mức tiêu hao dầu ngày Tháng 5</v>
      </c>
      <c r="L48" s="23" t="str">
        <f t="shared" si="3"/>
        <v>70193</v>
      </c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ht="18" customHeight="1" spans="1:25">
      <c r="A49" s="19" t="s">
        <v>1145</v>
      </c>
      <c r="B49" s="20"/>
      <c r="C49" s="20"/>
      <c r="D49" s="20"/>
      <c r="E49" s="20" t="s">
        <v>286</v>
      </c>
      <c r="F49" s="20" t="s">
        <v>284</v>
      </c>
      <c r="G49" s="21" t="s">
        <v>405</v>
      </c>
      <c r="H49" s="22">
        <v>947057.185838221</v>
      </c>
      <c r="I49" s="20" t="s">
        <v>1146</v>
      </c>
      <c r="J49" s="23" t="str">
        <f>IFERROR(VLOOKUP(F49,'Mã NV'!$B:$C,2,0),"")</f>
        <v>XE01543</v>
      </c>
      <c r="K49" s="23" t="str">
        <f t="shared" si="2"/>
        <v>Trừ lương lái xe Võ Minh Liệp do theo định mức tiêu hao dầu ngày Tháng 5</v>
      </c>
      <c r="L49" s="23" t="str">
        <f t="shared" si="3"/>
        <v>70193</v>
      </c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ht="18" customHeight="1" spans="1:25">
      <c r="A50" s="19" t="s">
        <v>1145</v>
      </c>
      <c r="B50" s="20"/>
      <c r="C50" s="20"/>
      <c r="D50" s="20"/>
      <c r="E50" s="20" t="s">
        <v>149</v>
      </c>
      <c r="F50" s="20" t="s">
        <v>147</v>
      </c>
      <c r="G50" s="21" t="s">
        <v>405</v>
      </c>
      <c r="H50" s="22">
        <v>1553565.27233101</v>
      </c>
      <c r="I50" s="20" t="s">
        <v>1146</v>
      </c>
      <c r="J50" s="23" t="str">
        <f>IFERROR(VLOOKUP(F50,'Mã NV'!$B:$C,2,0),"")</f>
        <v>XE01304</v>
      </c>
      <c r="K50" s="23" t="str">
        <f t="shared" si="2"/>
        <v>Trừ lương lái xe Nguyễn Hữu Hưởng do theo định mức tiêu hao dầu ngày Tháng 5</v>
      </c>
      <c r="L50" s="23" t="str">
        <f t="shared" si="3"/>
        <v>02325</v>
      </c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ht="18" customHeight="1" spans="1:25">
      <c r="A51" s="19" t="s">
        <v>1145</v>
      </c>
      <c r="B51" s="20"/>
      <c r="C51" s="20"/>
      <c r="D51" s="20"/>
      <c r="E51" s="20" t="s">
        <v>149</v>
      </c>
      <c r="F51" s="20" t="s">
        <v>235</v>
      </c>
      <c r="G51" s="21" t="s">
        <v>405</v>
      </c>
      <c r="H51" s="22">
        <v>1553565.27233101</v>
      </c>
      <c r="I51" s="20" t="s">
        <v>1146</v>
      </c>
      <c r="J51" s="23" t="str">
        <f>IFERROR(VLOOKUP(F51,'Mã NV'!$B:$C,2,0),"")</f>
        <v>XE01305</v>
      </c>
      <c r="K51" s="23" t="str">
        <f t="shared" si="2"/>
        <v>Trừ lương lái xe Vũ Thế An do theo định mức tiêu hao dầu ngày Tháng 5</v>
      </c>
      <c r="L51" s="23" t="str">
        <f t="shared" si="3"/>
        <v>02325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ht="18" customHeight="1" spans="1:25">
      <c r="A52" s="19" t="s">
        <v>1145</v>
      </c>
      <c r="B52" s="20"/>
      <c r="C52" s="20"/>
      <c r="D52" s="20"/>
      <c r="E52" s="20" t="s">
        <v>290</v>
      </c>
      <c r="F52" s="20" t="s">
        <v>288</v>
      </c>
      <c r="G52" s="21" t="s">
        <v>405</v>
      </c>
      <c r="H52" s="22">
        <v>980258.297364834</v>
      </c>
      <c r="I52" s="20" t="s">
        <v>1146</v>
      </c>
      <c r="J52" s="23" t="str">
        <f>IFERROR(VLOOKUP(F52,'Mã NV'!$B:$C,2,0),"")</f>
        <v>XE01563</v>
      </c>
      <c r="K52" s="23" t="str">
        <f t="shared" si="2"/>
        <v>Trừ lương lái xe Bùi Duy Hiếu do theo định mức tiêu hao dầu ngày Tháng 5</v>
      </c>
      <c r="L52" s="23" t="str">
        <f t="shared" si="3"/>
        <v>38126</v>
      </c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ht="18" customHeight="1" spans="1:25">
      <c r="A53" s="19" t="s">
        <v>1145</v>
      </c>
      <c r="B53" s="20"/>
      <c r="C53" s="20"/>
      <c r="D53" s="20"/>
      <c r="E53" s="20" t="s">
        <v>290</v>
      </c>
      <c r="F53" s="20" t="s">
        <v>329</v>
      </c>
      <c r="G53" s="21" t="s">
        <v>405</v>
      </c>
      <c r="H53" s="22">
        <v>980258.297364834</v>
      </c>
      <c r="I53" s="20" t="s">
        <v>1146</v>
      </c>
      <c r="J53" s="23" t="str">
        <f>IFERROR(VLOOKUP(F53,'Mã NV'!$B:$C,2,0),"")</f>
        <v>XE01609</v>
      </c>
      <c r="K53" s="23" t="str">
        <f t="shared" si="2"/>
        <v>Trừ lương lái xe Võ Văn Trỗi do theo định mức tiêu hao dầu ngày Tháng 5</v>
      </c>
      <c r="L53" s="23" t="str">
        <f t="shared" si="3"/>
        <v>38126</v>
      </c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ht="18" customHeight="1" spans="1:25">
      <c r="A54" s="19" t="s">
        <v>1145</v>
      </c>
      <c r="B54" s="20"/>
      <c r="C54" s="20"/>
      <c r="D54" s="20"/>
      <c r="E54" s="20" t="s">
        <v>205</v>
      </c>
      <c r="F54" s="20" t="s">
        <v>312</v>
      </c>
      <c r="G54" s="21" t="s">
        <v>405</v>
      </c>
      <c r="H54" s="22">
        <v>1916325.92562068</v>
      </c>
      <c r="I54" s="20" t="s">
        <v>1146</v>
      </c>
      <c r="J54" s="23" t="str">
        <f>IFERROR(VLOOKUP(F54,'Mã NV'!$B:$C,2,0),"")</f>
        <v>XE01582</v>
      </c>
      <c r="K54" s="23" t="str">
        <f t="shared" si="2"/>
        <v>Trừ lương lái xe Nguyễn Văn Chiến do theo định mức tiêu hao dầu ngày Tháng 5</v>
      </c>
      <c r="L54" s="23" t="str">
        <f t="shared" si="3"/>
        <v>38128</v>
      </c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ht="18" customHeight="1" spans="1:25">
      <c r="A55" s="19" t="s">
        <v>1145</v>
      </c>
      <c r="B55" s="20"/>
      <c r="C55" s="20"/>
      <c r="D55" s="20"/>
      <c r="E55" s="20" t="s">
        <v>205</v>
      </c>
      <c r="F55" s="20" t="s">
        <v>314</v>
      </c>
      <c r="G55" s="21" t="s">
        <v>405</v>
      </c>
      <c r="H55" s="22">
        <v>2234241.74738264</v>
      </c>
      <c r="I55" s="20" t="s">
        <v>1146</v>
      </c>
      <c r="J55" s="23" t="str">
        <f>IFERROR(VLOOKUP(F55,'Mã NV'!$B:$C,2,0),"")</f>
        <v>XE01583</v>
      </c>
      <c r="K55" s="23" t="str">
        <f t="shared" si="2"/>
        <v>Trừ lương lái xe Nguyễn Văn Thắng do theo định mức tiêu hao dầu ngày Tháng 5</v>
      </c>
      <c r="L55" s="23" t="str">
        <f t="shared" si="3"/>
        <v>38128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ht="18" customHeight="1" spans="1:25">
      <c r="A56" s="19" t="s">
        <v>1145</v>
      </c>
      <c r="B56" s="20"/>
      <c r="C56" s="20"/>
      <c r="D56" s="20"/>
      <c r="E56" s="20" t="s">
        <v>205</v>
      </c>
      <c r="F56" s="20" t="s">
        <v>203</v>
      </c>
      <c r="G56" s="21" t="s">
        <v>405</v>
      </c>
      <c r="H56" s="22">
        <v>264929.851468297</v>
      </c>
      <c r="I56" s="20" t="s">
        <v>1146</v>
      </c>
      <c r="J56" s="23" t="str">
        <f>IFERROR(VLOOKUP(F56,'Mã NV'!$B:$C,2,0),"")</f>
        <v>XE01149</v>
      </c>
      <c r="K56" s="23" t="str">
        <f t="shared" si="2"/>
        <v>Trừ lương lái xe Phạm Văn Thưởng do theo định mức tiêu hao dầu ngày Tháng 5</v>
      </c>
      <c r="L56" s="23" t="str">
        <f t="shared" si="3"/>
        <v>38128</v>
      </c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ht="18" customHeight="1" spans="1:25">
      <c r="A57" s="19" t="s">
        <v>1145</v>
      </c>
      <c r="B57" s="20"/>
      <c r="C57" s="20"/>
      <c r="D57" s="20"/>
      <c r="E57" s="20" t="s">
        <v>300</v>
      </c>
      <c r="F57" s="20" t="s">
        <v>301</v>
      </c>
      <c r="G57" s="21" t="s">
        <v>405</v>
      </c>
      <c r="H57" s="22">
        <v>2618170.56825516</v>
      </c>
      <c r="I57" s="20" t="s">
        <v>1146</v>
      </c>
      <c r="J57" s="23" t="str">
        <f>IFERROR(VLOOKUP(F57,'Mã NV'!$B:$C,2,0),"")</f>
        <v>XE01591</v>
      </c>
      <c r="K57" s="23" t="str">
        <f t="shared" si="2"/>
        <v>Trừ lương lái xe Cao Phong Anh do theo định mức tiêu hao dầu ngày Tháng 5</v>
      </c>
      <c r="L57" s="23" t="str">
        <f t="shared" si="3"/>
        <v>38159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ht="18" customHeight="1" spans="1:25">
      <c r="A58" s="19" t="s">
        <v>1145</v>
      </c>
      <c r="B58" s="20"/>
      <c r="C58" s="20"/>
      <c r="D58" s="20"/>
      <c r="E58" s="20" t="s">
        <v>300</v>
      </c>
      <c r="F58" s="20" t="s">
        <v>298</v>
      </c>
      <c r="G58" s="21" t="s">
        <v>405</v>
      </c>
      <c r="H58" s="22">
        <v>2618170.56825516</v>
      </c>
      <c r="I58" s="20" t="s">
        <v>1146</v>
      </c>
      <c r="J58" s="23" t="str">
        <f>IFERROR(VLOOKUP(F58,'Mã NV'!$B:$C,2,0),"")</f>
        <v>XE01590</v>
      </c>
      <c r="K58" s="23" t="str">
        <f t="shared" si="2"/>
        <v>Trừ lương lái xe Cao Tuấn Anh do theo định mức tiêu hao dầu ngày Tháng 5</v>
      </c>
      <c r="L58" s="23" t="str">
        <f t="shared" si="3"/>
        <v>38159</v>
      </c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ht="18" customHeight="1" spans="1:25">
      <c r="A59" s="19" t="s">
        <v>1145</v>
      </c>
      <c r="B59" s="20"/>
      <c r="C59" s="20"/>
      <c r="D59" s="20"/>
      <c r="E59" s="20" t="s">
        <v>275</v>
      </c>
      <c r="F59" s="20" t="s">
        <v>303</v>
      </c>
      <c r="G59" s="21" t="s">
        <v>405</v>
      </c>
      <c r="H59" s="22">
        <v>361841.156164451</v>
      </c>
      <c r="I59" s="20" t="s">
        <v>1146</v>
      </c>
      <c r="J59" s="23" t="str">
        <f>IFERROR(VLOOKUP(F59,'Mã NV'!$B:$C,2,0),"")</f>
        <v>XE01574</v>
      </c>
      <c r="K59" s="23" t="str">
        <f t="shared" si="2"/>
        <v>Trừ lương lái xe Nguyễn Thanh Nhân do theo định mức tiêu hao dầu ngày Tháng 5</v>
      </c>
      <c r="L59" s="23" t="str">
        <f t="shared" si="3"/>
        <v>38331</v>
      </c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ht="18" customHeight="1" spans="1:25">
      <c r="A60" s="19" t="s">
        <v>1145</v>
      </c>
      <c r="B60" s="20"/>
      <c r="C60" s="20"/>
      <c r="D60" s="20"/>
      <c r="E60" s="20" t="s">
        <v>275</v>
      </c>
      <c r="F60" s="20" t="s">
        <v>273</v>
      </c>
      <c r="G60" s="21" t="s">
        <v>405</v>
      </c>
      <c r="H60" s="22">
        <v>361841.156164451</v>
      </c>
      <c r="I60" s="20" t="s">
        <v>1146</v>
      </c>
      <c r="J60" s="23" t="str">
        <f>IFERROR(VLOOKUP(F60,'Mã NV'!$B:$C,2,0),"")</f>
        <v>XE01527</v>
      </c>
      <c r="K60" s="23" t="str">
        <f t="shared" si="2"/>
        <v>Trừ lương lái xe Trần Phúc Đạt do theo định mức tiêu hao dầu ngày Tháng 5</v>
      </c>
      <c r="L60" s="23" t="str">
        <f t="shared" si="3"/>
        <v>38331</v>
      </c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ht="18" customHeight="1" spans="1:25">
      <c r="A61" s="19" t="s">
        <v>1145</v>
      </c>
      <c r="B61" s="20"/>
      <c r="C61" s="20"/>
      <c r="D61" s="20"/>
      <c r="E61" s="20" t="s">
        <v>293</v>
      </c>
      <c r="F61" s="20" t="s">
        <v>294</v>
      </c>
      <c r="G61" s="21" t="s">
        <v>405</v>
      </c>
      <c r="H61" s="22">
        <v>3989754.23441182</v>
      </c>
      <c r="I61" s="20" t="s">
        <v>1146</v>
      </c>
      <c r="J61" s="23" t="str">
        <f>IFERROR(VLOOKUP(F61,'Mã NV'!$B:$C,2,0),"")</f>
        <v>XE01551</v>
      </c>
      <c r="K61" s="23" t="str">
        <f t="shared" si="2"/>
        <v>Trừ lương lái xe Mai Tấn Toàn do theo định mức tiêu hao dầu ngày Tháng 5</v>
      </c>
      <c r="L61" s="23" t="str">
        <f t="shared" si="3"/>
        <v>38345</v>
      </c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ht="18" customHeight="1" spans="1:25">
      <c r="A62" s="19" t="s">
        <v>1145</v>
      </c>
      <c r="B62" s="20"/>
      <c r="C62" s="20"/>
      <c r="D62" s="20"/>
      <c r="E62" s="20" t="s">
        <v>293</v>
      </c>
      <c r="F62" s="20" t="s">
        <v>291</v>
      </c>
      <c r="G62" s="21" t="s">
        <v>405</v>
      </c>
      <c r="H62" s="22">
        <v>3989754.23441182</v>
      </c>
      <c r="I62" s="20" t="s">
        <v>1146</v>
      </c>
      <c r="J62" s="23" t="str">
        <f>IFERROR(VLOOKUP(F62,'Mã NV'!$B:$C,2,0),"")</f>
        <v>XE01552</v>
      </c>
      <c r="K62" s="23" t="str">
        <f t="shared" si="2"/>
        <v>Trừ lương lái xe Nguyễn Khánh Phú do theo định mức tiêu hao dầu ngày Tháng 5</v>
      </c>
      <c r="L62" s="23" t="str">
        <f t="shared" si="3"/>
        <v>38345</v>
      </c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ht="18" customHeight="1" spans="1:25">
      <c r="A63" s="19" t="s">
        <v>1145</v>
      </c>
      <c r="B63" s="20"/>
      <c r="C63" s="20"/>
      <c r="D63" s="20"/>
      <c r="E63" s="92" t="s">
        <v>158</v>
      </c>
      <c r="F63" s="20" t="s">
        <v>277</v>
      </c>
      <c r="G63" s="21" t="s">
        <v>405</v>
      </c>
      <c r="H63" s="22">
        <v>1452452.7971643</v>
      </c>
      <c r="I63" s="20" t="s">
        <v>1146</v>
      </c>
      <c r="J63" s="23" t="str">
        <f>IFERROR(VLOOKUP(F63,'Mã NV'!$B:$C,2,0),"")</f>
        <v>XE01534</v>
      </c>
      <c r="K63" s="23" t="str">
        <f t="shared" si="2"/>
        <v>Trừ lương lái xe Lê Văn Hoàng do theo định mức tiêu hao dầu ngày Tháng 5</v>
      </c>
      <c r="L63" s="23" t="str">
        <f t="shared" si="3"/>
        <v>00028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ht="18" customHeight="1" spans="1:25">
      <c r="A64" s="19" t="s">
        <v>1145</v>
      </c>
      <c r="B64" s="20"/>
      <c r="C64" s="20"/>
      <c r="D64" s="20"/>
      <c r="E64" s="92" t="s">
        <v>158</v>
      </c>
      <c r="F64" s="20" t="s">
        <v>156</v>
      </c>
      <c r="G64" s="21" t="s">
        <v>405</v>
      </c>
      <c r="H64" s="22">
        <v>1452452.7971643</v>
      </c>
      <c r="I64" s="20" t="s">
        <v>1146</v>
      </c>
      <c r="J64" s="23" t="str">
        <f>IFERROR(VLOOKUP(F64,'Mã NV'!$B:$C,2,0),"")</f>
        <v>XE01316</v>
      </c>
      <c r="K64" s="23" t="str">
        <f t="shared" si="2"/>
        <v>Trừ lương lái xe Nguyễn Ngọc Ân do theo định mức tiêu hao dầu ngày Tháng 5</v>
      </c>
      <c r="L64" s="23" t="str">
        <f t="shared" si="3"/>
        <v>00028</v>
      </c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ht="18" customHeight="1" spans="1:25">
      <c r="A65" s="19" t="s">
        <v>1145</v>
      </c>
      <c r="B65" s="20"/>
      <c r="C65" s="20"/>
      <c r="D65" s="20"/>
      <c r="E65" s="20" t="s">
        <v>141</v>
      </c>
      <c r="F65" s="20" t="s">
        <v>139</v>
      </c>
      <c r="G65" s="21" t="s">
        <v>405</v>
      </c>
      <c r="H65" s="22">
        <v>2499968.33272049</v>
      </c>
      <c r="I65" s="20" t="s">
        <v>1146</v>
      </c>
      <c r="J65" s="23" t="str">
        <f>IFERROR(VLOOKUP(F65,'Mã NV'!$B:$C,2,0),"")</f>
        <v>XE01325</v>
      </c>
      <c r="K65" s="23" t="str">
        <f t="shared" si="2"/>
        <v>Trừ lương lái xe Nguyễn Công Thức do theo định mức tiêu hao dầu ngày Tháng 5</v>
      </c>
      <c r="L65" s="23" t="str">
        <f t="shared" si="3"/>
        <v>20543</v>
      </c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ht="18" customHeight="1" spans="1:25">
      <c r="A66" s="19" t="s">
        <v>1145</v>
      </c>
      <c r="B66" s="20"/>
      <c r="C66" s="20"/>
      <c r="D66" s="20"/>
      <c r="E66" s="20" t="s">
        <v>141</v>
      </c>
      <c r="F66" s="20" t="s">
        <v>145</v>
      </c>
      <c r="G66" s="21" t="s">
        <v>405</v>
      </c>
      <c r="H66" s="22">
        <v>2499968.33272049</v>
      </c>
      <c r="I66" s="20" t="s">
        <v>1146</v>
      </c>
      <c r="J66" s="23" t="str">
        <f>IFERROR(VLOOKUP(F66,'Mã NV'!$B:$C,2,0),"")</f>
        <v>XE01326</v>
      </c>
      <c r="K66" s="23" t="str">
        <f t="shared" si="2"/>
        <v>Trừ lương lái xe Nguyễn Đức Linh do theo định mức tiêu hao dầu ngày Tháng 5</v>
      </c>
      <c r="L66" s="23" t="str">
        <f t="shared" si="3"/>
        <v>20543</v>
      </c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ht="18" customHeight="1" spans="1:25">
      <c r="A67" s="19" t="s">
        <v>1145</v>
      </c>
      <c r="B67" s="20"/>
      <c r="C67" s="20"/>
      <c r="D67" s="20"/>
      <c r="E67" s="20" t="s">
        <v>223</v>
      </c>
      <c r="F67" s="20" t="s">
        <v>296</v>
      </c>
      <c r="G67" s="21" t="s">
        <v>405</v>
      </c>
      <c r="H67" s="22">
        <v>1118736.85910511</v>
      </c>
      <c r="I67" s="20" t="s">
        <v>1146</v>
      </c>
      <c r="J67" s="23" t="str">
        <f>IFERROR(VLOOKUP(F67,'Mã NV'!$B:$C,2,0),"")</f>
        <v>XE01541</v>
      </c>
      <c r="K67" s="23" t="str">
        <f t="shared" si="2"/>
        <v>Trừ lương lái xe Lê Thanh Sơn do theo định mức tiêu hao dầu ngày Tháng 5</v>
      </c>
      <c r="L67" s="23" t="str">
        <f t="shared" si="3"/>
        <v>54261</v>
      </c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ht="18" customHeight="1" spans="1:25">
      <c r="A68" s="19" t="s">
        <v>1145</v>
      </c>
      <c r="B68" s="20"/>
      <c r="C68" s="20"/>
      <c r="D68" s="20"/>
      <c r="E68" s="20" t="s">
        <v>223</v>
      </c>
      <c r="F68" s="20" t="s">
        <v>221</v>
      </c>
      <c r="G68" s="21" t="s">
        <v>405</v>
      </c>
      <c r="H68" s="22">
        <v>1118736.85910511</v>
      </c>
      <c r="I68" s="20" t="s">
        <v>1146</v>
      </c>
      <c r="J68" s="23" t="str">
        <f>IFERROR(VLOOKUP(F68,'Mã NV'!$B:$C,2,0),"")</f>
        <v>XE01283</v>
      </c>
      <c r="K68" s="23" t="str">
        <f t="shared" si="2"/>
        <v>Trừ lương lái xe Trịnh Cao Phong do theo định mức tiêu hao dầu ngày Tháng 5</v>
      </c>
      <c r="L68" s="23" t="str">
        <f t="shared" si="3"/>
        <v>54261</v>
      </c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ht="18" customHeight="1" spans="1:25">
      <c r="A69" s="19" t="s">
        <v>1145</v>
      </c>
      <c r="B69" s="20"/>
      <c r="C69" s="20"/>
      <c r="D69" s="20"/>
      <c r="E69" s="20" t="s">
        <v>93</v>
      </c>
      <c r="F69" s="20" t="s">
        <v>349</v>
      </c>
      <c r="G69" s="21" t="s">
        <v>405</v>
      </c>
      <c r="H69" s="22">
        <v>232503.536359275</v>
      </c>
      <c r="I69" s="20" t="s">
        <v>1146</v>
      </c>
      <c r="J69" s="23" t="str">
        <f>IFERROR(VLOOKUP(F69,'Mã NV'!$B:$C,2,0),"")</f>
        <v>XE01672</v>
      </c>
      <c r="K69" s="23" t="str">
        <f t="shared" si="2"/>
        <v>Trừ lương lái xe Đỗ Văn Cường do theo định mức tiêu hao dầu ngày Tháng 5</v>
      </c>
      <c r="L69" s="23" t="str">
        <f t="shared" si="3"/>
        <v>80501</v>
      </c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ht="18" customHeight="1" spans="1:25">
      <c r="A70" s="19" t="s">
        <v>1145</v>
      </c>
      <c r="B70" s="20"/>
      <c r="C70" s="20"/>
      <c r="D70" s="20"/>
      <c r="E70" s="20" t="s">
        <v>93</v>
      </c>
      <c r="F70" s="20" t="s">
        <v>89</v>
      </c>
      <c r="G70" s="21" t="s">
        <v>405</v>
      </c>
      <c r="H70" s="22">
        <v>232503.536359275</v>
      </c>
      <c r="I70" s="20" t="s">
        <v>1146</v>
      </c>
      <c r="J70" s="23" t="str">
        <f>IFERROR(VLOOKUP(F70,'Mã NV'!$B:$C,2,0),"")</f>
        <v>XE00873</v>
      </c>
      <c r="K70" s="23" t="str">
        <f t="shared" ref="K70:K133" si="4">"Trừ lương lái xe "&amp;F70&amp;" do "&amp;I70&amp;" ngày "&amp;TEXT(A70,"dd/mm/yyyy")</f>
        <v>Trừ lương lái xe Kiều Kim Tiến do theo định mức tiêu hao dầu ngày Tháng 5</v>
      </c>
      <c r="L70" s="23" t="str">
        <f t="shared" ref="L70:L133" si="5">RIGHT(E70,5)</f>
        <v>80501</v>
      </c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ht="18" customHeight="1" spans="1:25">
      <c r="A71" s="19" t="s">
        <v>1145</v>
      </c>
      <c r="B71" s="20"/>
      <c r="C71" s="20"/>
      <c r="D71" s="20"/>
      <c r="E71" s="20" t="s">
        <v>42</v>
      </c>
      <c r="F71" s="20" t="s">
        <v>40</v>
      </c>
      <c r="G71" s="21" t="s">
        <v>405</v>
      </c>
      <c r="H71" s="22">
        <v>3021043.4810915</v>
      </c>
      <c r="I71" s="20" t="s">
        <v>1146</v>
      </c>
      <c r="J71" s="23" t="str">
        <f>IFERROR(VLOOKUP(F71,'Mã NV'!$B:$C,2,0),"")</f>
        <v>XE01417</v>
      </c>
      <c r="K71" s="23" t="str">
        <f t="shared" si="4"/>
        <v>Trừ lương lái xe Đặng Công Đức do theo định mức tiêu hao dầu ngày Tháng 5</v>
      </c>
      <c r="L71" s="23" t="str">
        <f t="shared" si="5"/>
        <v>44377</v>
      </c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ht="18" customHeight="1" spans="1:25">
      <c r="A72" s="19" t="s">
        <v>1145</v>
      </c>
      <c r="B72" s="20"/>
      <c r="C72" s="20"/>
      <c r="D72" s="20"/>
      <c r="E72" s="20" t="s">
        <v>42</v>
      </c>
      <c r="F72" s="20" t="s">
        <v>333</v>
      </c>
      <c r="G72" s="21" t="s">
        <v>405</v>
      </c>
      <c r="H72" s="22">
        <v>3021043.4810915</v>
      </c>
      <c r="I72" s="20" t="s">
        <v>1146</v>
      </c>
      <c r="J72" s="23" t="str">
        <f>IFERROR(VLOOKUP(F72,'Mã NV'!$B:$C,2,0),"")</f>
        <v>XE01671</v>
      </c>
      <c r="K72" s="23" t="str">
        <f t="shared" si="4"/>
        <v>Trừ lương lái xe Huỳnh Xuân Nhân do theo định mức tiêu hao dầu ngày Tháng 5</v>
      </c>
      <c r="L72" s="23" t="str">
        <f t="shared" si="5"/>
        <v>44377</v>
      </c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ht="18" customHeight="1" spans="1:25">
      <c r="A73" s="19" t="s">
        <v>1145</v>
      </c>
      <c r="B73" s="20"/>
      <c r="C73" s="20"/>
      <c r="D73" s="20"/>
      <c r="E73" s="20" t="s">
        <v>103</v>
      </c>
      <c r="F73" s="20" t="s">
        <v>101</v>
      </c>
      <c r="G73" s="21" t="s">
        <v>405</v>
      </c>
      <c r="H73" s="22">
        <v>153461.990676956</v>
      </c>
      <c r="I73" s="20" t="s">
        <v>1146</v>
      </c>
      <c r="J73" s="23" t="str">
        <f>IFERROR(VLOOKUP(F73,'Mã NV'!$B:$C,2,0),"")</f>
        <v>XE01434</v>
      </c>
      <c r="K73" s="23" t="str">
        <f t="shared" si="4"/>
        <v>Trừ lương lái xe Lê Quốc Quân do theo định mức tiêu hao dầu ngày Tháng 5</v>
      </c>
      <c r="L73" s="23" t="str">
        <f t="shared" si="5"/>
        <v>44369</v>
      </c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ht="18" customHeight="1" spans="1:25">
      <c r="A74" s="19" t="s">
        <v>1145</v>
      </c>
      <c r="B74" s="20"/>
      <c r="C74" s="20"/>
      <c r="D74" s="20"/>
      <c r="E74" s="20" t="s">
        <v>103</v>
      </c>
      <c r="F74" s="20" t="s">
        <v>172</v>
      </c>
      <c r="G74" s="21" t="s">
        <v>405</v>
      </c>
      <c r="H74" s="22">
        <v>625884.197270723</v>
      </c>
      <c r="I74" s="20" t="s">
        <v>1146</v>
      </c>
      <c r="J74" s="23" t="str">
        <f>IFERROR(VLOOKUP(F74,'Mã NV'!$B:$C,2,0),"")</f>
        <v>XE01433</v>
      </c>
      <c r="K74" s="23" t="str">
        <f t="shared" si="4"/>
        <v>Trừ lương lái xe Nguyễn Văn Chí do theo định mức tiêu hao dầu ngày Tháng 5</v>
      </c>
      <c r="L74" s="23" t="str">
        <f t="shared" si="5"/>
        <v>44369</v>
      </c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ht="18" customHeight="1" spans="1:25">
      <c r="A75" s="19" t="s">
        <v>1145</v>
      </c>
      <c r="B75" s="20"/>
      <c r="C75" s="20"/>
      <c r="D75" s="20"/>
      <c r="E75" s="20" t="s">
        <v>103</v>
      </c>
      <c r="F75" s="20" t="s">
        <v>181</v>
      </c>
      <c r="G75" s="21" t="s">
        <v>405</v>
      </c>
      <c r="H75" s="22">
        <v>472422.206593767</v>
      </c>
      <c r="I75" s="20" t="s">
        <v>1146</v>
      </c>
      <c r="J75" s="23" t="str">
        <f>IFERROR(VLOOKUP(F75,'Mã NV'!$B:$C,2,0),"")</f>
        <v>XE01281</v>
      </c>
      <c r="K75" s="23" t="str">
        <f t="shared" si="4"/>
        <v>Trừ lương lái xe Nguyễn Văn Toàn do theo định mức tiêu hao dầu ngày Tháng 5</v>
      </c>
      <c r="L75" s="23" t="str">
        <f t="shared" si="5"/>
        <v>44369</v>
      </c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ht="18" customHeight="1" spans="1:25">
      <c r="A76" s="19" t="s">
        <v>1145</v>
      </c>
      <c r="B76" s="20"/>
      <c r="C76" s="20"/>
      <c r="D76" s="20"/>
      <c r="E76" s="20" t="s">
        <v>211</v>
      </c>
      <c r="F76" s="20" t="s">
        <v>316</v>
      </c>
      <c r="G76" s="21" t="s">
        <v>405</v>
      </c>
      <c r="H76" s="22">
        <v>1733754.89062926</v>
      </c>
      <c r="I76" s="20" t="s">
        <v>1146</v>
      </c>
      <c r="J76" s="23" t="str">
        <f>IFERROR(VLOOKUP(F76,'Mã NV'!$B:$C,2,0),"")</f>
        <v>XE01600</v>
      </c>
      <c r="K76" s="23" t="str">
        <f t="shared" si="4"/>
        <v>Trừ lương lái xe Nguyễn Đức Toàn do theo định mức tiêu hao dầu ngày Tháng 5</v>
      </c>
      <c r="L76" s="23" t="str">
        <f t="shared" si="5"/>
        <v>44326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ht="18" customHeight="1" spans="1:25">
      <c r="A77" s="19" t="s">
        <v>1145</v>
      </c>
      <c r="B77" s="20"/>
      <c r="C77" s="20"/>
      <c r="D77" s="20"/>
      <c r="E77" s="20" t="s">
        <v>211</v>
      </c>
      <c r="F77" s="20" t="s">
        <v>209</v>
      </c>
      <c r="G77" s="21" t="s">
        <v>405</v>
      </c>
      <c r="H77" s="22">
        <v>1733754.89062926</v>
      </c>
      <c r="I77" s="20" t="s">
        <v>1146</v>
      </c>
      <c r="J77" s="23" t="str">
        <f>IFERROR(VLOOKUP(F77,'Mã NV'!$B:$C,2,0),"")</f>
        <v>XE01098</v>
      </c>
      <c r="K77" s="23" t="str">
        <f t="shared" si="4"/>
        <v>Trừ lương lái xe Tạ Quốc Vương do theo định mức tiêu hao dầu ngày Tháng 5</v>
      </c>
      <c r="L77" s="23" t="str">
        <f t="shared" si="5"/>
        <v>44326</v>
      </c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ht="18" customHeight="1" spans="1:25">
      <c r="A78" s="19" t="s">
        <v>1145</v>
      </c>
      <c r="B78" s="20"/>
      <c r="C78" s="20"/>
      <c r="D78" s="20"/>
      <c r="E78" s="20" t="s">
        <v>127</v>
      </c>
      <c r="F78" s="20" t="s">
        <v>125</v>
      </c>
      <c r="G78" s="21" t="s">
        <v>405</v>
      </c>
      <c r="H78" s="22">
        <v>482415.661844485</v>
      </c>
      <c r="I78" s="20" t="s">
        <v>1146</v>
      </c>
      <c r="J78" s="23" t="str">
        <f>IFERROR(VLOOKUP(F78,'Mã NV'!$B:$C,2,0),"")</f>
        <v>XE00547</v>
      </c>
      <c r="K78" s="23" t="str">
        <f t="shared" si="4"/>
        <v>Trừ lương lái xe Mai Văn Long do theo định mức tiêu hao dầu ngày Tháng 5</v>
      </c>
      <c r="L78" s="23" t="str">
        <f t="shared" si="5"/>
        <v>06935</v>
      </c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ht="18" customHeight="1" spans="1:25">
      <c r="A79" s="19" t="s">
        <v>1145</v>
      </c>
      <c r="B79" s="20"/>
      <c r="C79" s="20"/>
      <c r="D79" s="20"/>
      <c r="E79" s="20" t="s">
        <v>115</v>
      </c>
      <c r="F79" s="20" t="s">
        <v>113</v>
      </c>
      <c r="G79" s="21" t="s">
        <v>405</v>
      </c>
      <c r="H79" s="22">
        <v>874270.565685249</v>
      </c>
      <c r="I79" s="20" t="s">
        <v>1146</v>
      </c>
      <c r="J79" s="23" t="str">
        <f>IFERROR(VLOOKUP(F79,'Mã NV'!$B:$C,2,0),"")</f>
        <v>XE00447</v>
      </c>
      <c r="K79" s="23" t="str">
        <f t="shared" si="4"/>
        <v>Trừ lương lái xe Lê Văn Giang do theo định mức tiêu hao dầu ngày Tháng 5</v>
      </c>
      <c r="L79" s="23" t="str">
        <f t="shared" si="5"/>
        <v>06374</v>
      </c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ht="18" customHeight="1" spans="1:25">
      <c r="A80" s="19" t="s">
        <v>1145</v>
      </c>
      <c r="B80" s="20"/>
      <c r="C80" s="20"/>
      <c r="D80" s="20"/>
      <c r="E80" s="20" t="s">
        <v>130</v>
      </c>
      <c r="F80" s="20" t="s">
        <v>128</v>
      </c>
      <c r="G80" s="21" t="s">
        <v>405</v>
      </c>
      <c r="H80" s="22">
        <v>257756.386761917</v>
      </c>
      <c r="I80" s="20" t="s">
        <v>1146</v>
      </c>
      <c r="J80" s="23" t="str">
        <f>IFERROR(VLOOKUP(F80,'Mã NV'!$B:$C,2,0),"")</f>
        <v>XE00953</v>
      </c>
      <c r="K80" s="23" t="str">
        <f t="shared" si="4"/>
        <v>Trừ lương lái xe Mai Văn Ngọc do theo định mức tiêu hao dầu ngày Tháng 5</v>
      </c>
      <c r="L80" s="23" t="str">
        <f t="shared" si="5"/>
        <v>13742</v>
      </c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ht="18" customHeight="1" spans="1:25">
      <c r="A81" s="19" t="s">
        <v>1145</v>
      </c>
      <c r="B81" s="20"/>
      <c r="C81" s="20"/>
      <c r="D81" s="20"/>
      <c r="E81" s="20" t="s">
        <v>130</v>
      </c>
      <c r="F81" s="20" t="s">
        <v>131</v>
      </c>
      <c r="G81" s="21" t="s">
        <v>405</v>
      </c>
      <c r="H81" s="22">
        <v>1031025.54704767</v>
      </c>
      <c r="I81" s="20" t="s">
        <v>1146</v>
      </c>
      <c r="J81" s="23" t="str">
        <f>IFERROR(VLOOKUP(F81,'Mã NV'!$B:$C,2,0),"")</f>
        <v>XE00847</v>
      </c>
      <c r="K81" s="23" t="str">
        <f t="shared" si="4"/>
        <v>Trừ lương lái xe Mai Văn Toản do theo định mức tiêu hao dầu ngày Tháng 5</v>
      </c>
      <c r="L81" s="23" t="str">
        <f t="shared" si="5"/>
        <v>13742</v>
      </c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ht="18" customHeight="1" spans="1:25">
      <c r="A82" s="19" t="s">
        <v>1145</v>
      </c>
      <c r="B82" s="20"/>
      <c r="C82" s="20"/>
      <c r="D82" s="20"/>
      <c r="E82" s="20" t="s">
        <v>52</v>
      </c>
      <c r="F82" s="20" t="s">
        <v>46</v>
      </c>
      <c r="G82" s="21" t="s">
        <v>405</v>
      </c>
      <c r="H82" s="22">
        <v>452069.458710875</v>
      </c>
      <c r="I82" s="20" t="s">
        <v>1146</v>
      </c>
      <c r="J82" s="23" t="str">
        <f>IFERROR(VLOOKUP(F82,'Mã NV'!$B:$C,2,0),"")</f>
        <v>XE00900</v>
      </c>
      <c r="K82" s="23" t="str">
        <f t="shared" si="4"/>
        <v>Trừ lương lái xe Đặng Văn Thắng do theo định mức tiêu hao dầu ngày Tháng 5</v>
      </c>
      <c r="L82" s="23" t="str">
        <f t="shared" si="5"/>
        <v>38311</v>
      </c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ht="18" customHeight="1" spans="1:25">
      <c r="A83" s="19" t="s">
        <v>1145</v>
      </c>
      <c r="B83" s="20"/>
      <c r="C83" s="20"/>
      <c r="D83" s="20"/>
      <c r="E83" s="20" t="s">
        <v>52</v>
      </c>
      <c r="F83" s="20" t="s">
        <v>128</v>
      </c>
      <c r="G83" s="21" t="s">
        <v>405</v>
      </c>
      <c r="H83" s="22">
        <v>452069.458710875</v>
      </c>
      <c r="I83" s="20" t="s">
        <v>1146</v>
      </c>
      <c r="J83" s="23" t="str">
        <f>IFERROR(VLOOKUP(F83,'Mã NV'!$B:$C,2,0),"")</f>
        <v>XE00953</v>
      </c>
      <c r="K83" s="23" t="str">
        <f t="shared" si="4"/>
        <v>Trừ lương lái xe Mai Văn Ngọc do theo định mức tiêu hao dầu ngày Tháng 5</v>
      </c>
      <c r="L83" s="23" t="str">
        <f t="shared" si="5"/>
        <v>38311</v>
      </c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ht="18" customHeight="1" spans="1:25">
      <c r="A84" s="19" t="s">
        <v>1145</v>
      </c>
      <c r="B84" s="20"/>
      <c r="C84" s="20"/>
      <c r="D84" s="20"/>
      <c r="E84" s="20" t="s">
        <v>52</v>
      </c>
      <c r="F84" s="20" t="s">
        <v>131</v>
      </c>
      <c r="G84" s="21" t="s">
        <v>405</v>
      </c>
      <c r="H84" s="22">
        <v>226034.729355438</v>
      </c>
      <c r="I84" s="20" t="s">
        <v>1146</v>
      </c>
      <c r="J84" s="23" t="str">
        <f>IFERROR(VLOOKUP(F84,'Mã NV'!$B:$C,2,0),"")</f>
        <v>XE00847</v>
      </c>
      <c r="K84" s="23" t="str">
        <f t="shared" si="4"/>
        <v>Trừ lương lái xe Mai Văn Toản do theo định mức tiêu hao dầu ngày Tháng 5</v>
      </c>
      <c r="L84" s="23" t="str">
        <f t="shared" si="5"/>
        <v>38311</v>
      </c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ht="18" customHeight="1" spans="1:25">
      <c r="A85" s="19" t="s">
        <v>1145</v>
      </c>
      <c r="B85" s="20"/>
      <c r="C85" s="20"/>
      <c r="D85" s="20"/>
      <c r="E85" s="20" t="s">
        <v>52</v>
      </c>
      <c r="F85" s="20" t="s">
        <v>162</v>
      </c>
      <c r="G85" s="21" t="s">
        <v>405</v>
      </c>
      <c r="H85" s="22">
        <v>59482.8235145889</v>
      </c>
      <c r="I85" s="20" t="s">
        <v>1146</v>
      </c>
      <c r="J85" s="23" t="str">
        <f>IFERROR(VLOOKUP(F85,'Mã NV'!$B:$C,2,0),"")</f>
        <v>XE00779</v>
      </c>
      <c r="K85" s="23" t="str">
        <f t="shared" si="4"/>
        <v>Trừ lương lái xe Nguyễn Tiến Công do theo định mức tiêu hao dầu ngày Tháng 5</v>
      </c>
      <c r="L85" s="23" t="str">
        <f t="shared" si="5"/>
        <v>38311</v>
      </c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ht="18" customHeight="1" spans="1:25">
      <c r="A86" s="19" t="s">
        <v>1145</v>
      </c>
      <c r="B86" s="20"/>
      <c r="C86" s="20"/>
      <c r="D86" s="20"/>
      <c r="E86" s="20" t="s">
        <v>81</v>
      </c>
      <c r="F86" s="20" t="s">
        <v>79</v>
      </c>
      <c r="G86" s="21" t="s">
        <v>405</v>
      </c>
      <c r="H86" s="22">
        <v>583326.5788336</v>
      </c>
      <c r="I86" s="20" t="s">
        <v>1146</v>
      </c>
      <c r="J86" s="23" t="str">
        <f>IFERROR(VLOOKUP(F86,'Mã NV'!$B:$C,2,0),"")</f>
        <v>XE00777</v>
      </c>
      <c r="K86" s="23" t="str">
        <f t="shared" si="4"/>
        <v>Trừ lương lái xe Hoàng Đức Mạnh do theo định mức tiêu hao dầu ngày Tháng 5</v>
      </c>
      <c r="L86" s="23" t="str">
        <f t="shared" si="5"/>
        <v>02311</v>
      </c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ht="18" customHeight="1" spans="1:25">
      <c r="A87" s="19" t="s">
        <v>1145</v>
      </c>
      <c r="B87" s="20"/>
      <c r="C87" s="20"/>
      <c r="D87" s="20"/>
      <c r="E87" s="20" t="s">
        <v>81</v>
      </c>
      <c r="F87" s="20" t="s">
        <v>361</v>
      </c>
      <c r="G87" s="21" t="s">
        <v>405</v>
      </c>
      <c r="H87" s="22">
        <v>21084.093210853</v>
      </c>
      <c r="I87" s="20" t="s">
        <v>1146</v>
      </c>
      <c r="J87" s="23" t="str">
        <f>IFERROR(VLOOKUP(F87,'Mã NV'!$B:$C,2,0),"")</f>
        <v>XE01641</v>
      </c>
      <c r="K87" s="23" t="str">
        <f t="shared" si="4"/>
        <v>Trừ lương lái xe Nguyễn Duy Trung do theo định mức tiêu hao dầu ngày Tháng 5</v>
      </c>
      <c r="L87" s="23" t="str">
        <f t="shared" si="5"/>
        <v>02311</v>
      </c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ht="18" customHeight="1" spans="1:25">
      <c r="A88" s="19" t="s">
        <v>1145</v>
      </c>
      <c r="B88" s="20"/>
      <c r="C88" s="20"/>
      <c r="D88" s="20"/>
      <c r="E88" s="20" t="s">
        <v>81</v>
      </c>
      <c r="F88" s="20" t="s">
        <v>343</v>
      </c>
      <c r="G88" s="21" t="s">
        <v>405</v>
      </c>
      <c r="H88" s="22">
        <v>21084.093210853</v>
      </c>
      <c r="I88" s="20" t="s">
        <v>1146</v>
      </c>
      <c r="J88" s="23" t="str">
        <f>IFERROR(VLOOKUP(F88,'Mã NV'!$B:$C,2,0),"")</f>
        <v>XE01615</v>
      </c>
      <c r="K88" s="23" t="str">
        <f t="shared" si="4"/>
        <v>Trừ lương lái xe Nguyễn Hữu Tuấn do theo định mức tiêu hao dầu ngày Tháng 5</v>
      </c>
      <c r="L88" s="23" t="str">
        <f t="shared" si="5"/>
        <v>02311</v>
      </c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ht="18" customHeight="1" spans="1:25">
      <c r="A89" s="19" t="s">
        <v>1145</v>
      </c>
      <c r="B89" s="20"/>
      <c r="C89" s="20"/>
      <c r="D89" s="20"/>
      <c r="E89" s="20" t="s">
        <v>81</v>
      </c>
      <c r="F89" s="20" t="s">
        <v>162</v>
      </c>
      <c r="G89" s="21" t="s">
        <v>405</v>
      </c>
      <c r="H89" s="22">
        <v>77308.3417731277</v>
      </c>
      <c r="I89" s="20" t="s">
        <v>1146</v>
      </c>
      <c r="J89" s="23" t="str">
        <f>IFERROR(VLOOKUP(F89,'Mã NV'!$B:$C,2,0),"")</f>
        <v>XE00779</v>
      </c>
      <c r="K89" s="23" t="str">
        <f t="shared" si="4"/>
        <v>Trừ lương lái xe Nguyễn Tiến Công do theo định mức tiêu hao dầu ngày Tháng 5</v>
      </c>
      <c r="L89" s="23" t="str">
        <f t="shared" si="5"/>
        <v>02311</v>
      </c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ht="18" customHeight="1" spans="1:25">
      <c r="A90" s="19" t="s">
        <v>1145</v>
      </c>
      <c r="B90" s="20"/>
      <c r="C90" s="20"/>
      <c r="D90" s="20"/>
      <c r="E90" s="20" t="s">
        <v>84</v>
      </c>
      <c r="F90" s="20" t="s">
        <v>82</v>
      </c>
      <c r="G90" s="21" t="s">
        <v>405</v>
      </c>
      <c r="H90" s="22">
        <v>564804.547178435</v>
      </c>
      <c r="I90" s="20" t="s">
        <v>1146</v>
      </c>
      <c r="J90" s="23" t="str">
        <f>IFERROR(VLOOKUP(F90,'Mã NV'!$B:$C,2,0),"")</f>
        <v>XE00832</v>
      </c>
      <c r="K90" s="23" t="str">
        <f t="shared" si="4"/>
        <v>Trừ lương lái xe Hoàng Văn Chuyền do theo định mức tiêu hao dầu ngày Tháng 5</v>
      </c>
      <c r="L90" s="23" t="str">
        <f t="shared" si="5"/>
        <v>02320</v>
      </c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ht="18" customHeight="1" spans="1:25">
      <c r="A91" s="19" t="s">
        <v>1145</v>
      </c>
      <c r="B91" s="20"/>
      <c r="C91" s="20"/>
      <c r="D91" s="20"/>
      <c r="E91" s="20" t="s">
        <v>51</v>
      </c>
      <c r="F91" s="20" t="s">
        <v>46</v>
      </c>
      <c r="G91" s="21" t="s">
        <v>405</v>
      </c>
      <c r="H91" s="22">
        <v>542709.824025357</v>
      </c>
      <c r="I91" s="20" t="s">
        <v>1146</v>
      </c>
      <c r="J91" s="23" t="str">
        <f>IFERROR(VLOOKUP(F91,'Mã NV'!$B:$C,2,0),"")</f>
        <v>XE00900</v>
      </c>
      <c r="K91" s="23" t="str">
        <f t="shared" si="4"/>
        <v>Trừ lương lái xe Đặng Văn Thắng do theo định mức tiêu hao dầu ngày Tháng 5</v>
      </c>
      <c r="L91" s="23" t="str">
        <f t="shared" si="5"/>
        <v>12348</v>
      </c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ht="18" customHeight="1" spans="1:25">
      <c r="A92" s="19" t="s">
        <v>1145</v>
      </c>
      <c r="B92" s="20"/>
      <c r="C92" s="20"/>
      <c r="D92" s="20"/>
      <c r="E92" s="20" t="s">
        <v>51</v>
      </c>
      <c r="F92" s="20" t="s">
        <v>128</v>
      </c>
      <c r="G92" s="21" t="s">
        <v>405</v>
      </c>
      <c r="H92" s="22">
        <v>565322.733359746</v>
      </c>
      <c r="I92" s="20" t="s">
        <v>1146</v>
      </c>
      <c r="J92" s="23" t="str">
        <f>IFERROR(VLOOKUP(F92,'Mã NV'!$B:$C,2,0),"")</f>
        <v>XE00953</v>
      </c>
      <c r="K92" s="23" t="str">
        <f t="shared" si="4"/>
        <v>Trừ lương lái xe Mai Văn Ngọc do theo định mức tiêu hao dầu ngày Tháng 5</v>
      </c>
      <c r="L92" s="23" t="str">
        <f t="shared" si="5"/>
        <v>12348</v>
      </c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ht="18" customHeight="1" spans="1:25">
      <c r="A93" s="19" t="s">
        <v>1145</v>
      </c>
      <c r="B93" s="20"/>
      <c r="C93" s="20"/>
      <c r="D93" s="20"/>
      <c r="E93" s="20" t="s">
        <v>51</v>
      </c>
      <c r="F93" s="20" t="s">
        <v>162</v>
      </c>
      <c r="G93" s="21" t="s">
        <v>405</v>
      </c>
      <c r="H93" s="22">
        <v>22612.9093343899</v>
      </c>
      <c r="I93" s="20" t="s">
        <v>1146</v>
      </c>
      <c r="J93" s="23" t="str">
        <f>IFERROR(VLOOKUP(F93,'Mã NV'!$B:$C,2,0),"")</f>
        <v>XE00779</v>
      </c>
      <c r="K93" s="23" t="str">
        <f t="shared" si="4"/>
        <v>Trừ lương lái xe Nguyễn Tiến Công do theo định mức tiêu hao dầu ngày Tháng 5</v>
      </c>
      <c r="L93" s="23" t="str">
        <f t="shared" si="5"/>
        <v>12348</v>
      </c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ht="18" customHeight="1" spans="1:25">
      <c r="A94" s="19" t="s">
        <v>1145</v>
      </c>
      <c r="B94" s="20"/>
      <c r="C94" s="20"/>
      <c r="D94" s="20"/>
      <c r="E94" s="20" t="s">
        <v>136</v>
      </c>
      <c r="F94" s="20" t="s">
        <v>361</v>
      </c>
      <c r="G94" s="21" t="s">
        <v>405</v>
      </c>
      <c r="H94" s="22">
        <v>957119.629946265</v>
      </c>
      <c r="I94" s="20" t="s">
        <v>1146</v>
      </c>
      <c r="J94" s="23" t="str">
        <f>IFERROR(VLOOKUP(F94,'Mã NV'!$B:$C,2,0),"")</f>
        <v>XE01641</v>
      </c>
      <c r="K94" s="23" t="str">
        <f t="shared" si="4"/>
        <v>Trừ lương lái xe Nguyễn Duy Trung do theo định mức tiêu hao dầu ngày Tháng 5</v>
      </c>
      <c r="L94" s="23" t="str">
        <f t="shared" si="5"/>
        <v>08058</v>
      </c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ht="18" customHeight="1" spans="1:25">
      <c r="A95" s="19" t="s">
        <v>1145</v>
      </c>
      <c r="B95" s="20"/>
      <c r="C95" s="20"/>
      <c r="D95" s="20"/>
      <c r="E95" s="20" t="s">
        <v>164</v>
      </c>
      <c r="F95" s="20" t="s">
        <v>217</v>
      </c>
      <c r="G95" s="21" t="s">
        <v>405</v>
      </c>
      <c r="H95" s="22">
        <v>896584.865935265</v>
      </c>
      <c r="I95" s="20" t="s">
        <v>1146</v>
      </c>
      <c r="J95" s="23" t="str">
        <f>IFERROR(VLOOKUP(F95,'Mã NV'!$B:$C,2,0),"")</f>
        <v>XE01004</v>
      </c>
      <c r="K95" s="23" t="str">
        <f t="shared" si="4"/>
        <v>Trừ lương lái xe Trần Văn Cương do theo định mức tiêu hao dầu ngày Tháng 5</v>
      </c>
      <c r="L95" s="23" t="str">
        <f t="shared" si="5"/>
        <v>18964</v>
      </c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ht="18" customHeight="1" spans="1:25">
      <c r="A96" s="19" t="s">
        <v>1145</v>
      </c>
      <c r="B96" s="20"/>
      <c r="C96" s="20"/>
      <c r="D96" s="20"/>
      <c r="E96" s="20" t="s">
        <v>97</v>
      </c>
      <c r="F96" s="20" t="s">
        <v>95</v>
      </c>
      <c r="G96" s="21" t="s">
        <v>405</v>
      </c>
      <c r="H96" s="22">
        <v>1463512</v>
      </c>
      <c r="I96" s="20" t="s">
        <v>1146</v>
      </c>
      <c r="J96" s="23" t="str">
        <f>IFERROR(VLOOKUP(F96,'Mã NV'!$B:$C,2,0),"")</f>
        <v>XE01379</v>
      </c>
      <c r="K96" s="23" t="str">
        <f t="shared" si="4"/>
        <v>Trừ lương lái xe Lê Minh Vin do theo định mức tiêu hao dầu ngày Tháng 5</v>
      </c>
      <c r="L96" s="23" t="str">
        <f t="shared" si="5"/>
        <v>49820</v>
      </c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ht="18" customHeight="1" spans="1:25">
      <c r="A97" s="19" t="s">
        <v>1145</v>
      </c>
      <c r="B97" s="20"/>
      <c r="C97" s="20"/>
      <c r="D97" s="20"/>
      <c r="E97" s="20" t="s">
        <v>255</v>
      </c>
      <c r="F97" s="20" t="s">
        <v>253</v>
      </c>
      <c r="G97" s="21" t="s">
        <v>405</v>
      </c>
      <c r="H97" s="22">
        <v>1986930.59632307</v>
      </c>
      <c r="I97" s="20" t="s">
        <v>1146</v>
      </c>
      <c r="J97" s="23" t="str">
        <f>IFERROR(VLOOKUP(F97,'Mã NV'!$B:$C,2,0),"")</f>
        <v>XE00171</v>
      </c>
      <c r="K97" s="23" t="str">
        <f t="shared" si="4"/>
        <v>Trừ lương lái xe Nhâm Văn Cương do theo định mức tiêu hao dầu ngày Tháng 5</v>
      </c>
      <c r="L97" s="23" t="str">
        <f t="shared" si="5"/>
        <v>06725</v>
      </c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ht="18" customHeight="1" spans="1:25">
      <c r="A98" s="19" t="s">
        <v>1145</v>
      </c>
      <c r="B98" s="20"/>
      <c r="C98" s="20"/>
      <c r="D98" s="20"/>
      <c r="E98" s="20" t="s">
        <v>320</v>
      </c>
      <c r="F98" s="20" t="s">
        <v>318</v>
      </c>
      <c r="G98" s="21" t="s">
        <v>405</v>
      </c>
      <c r="H98" s="22">
        <v>1465194</v>
      </c>
      <c r="I98" s="20" t="s">
        <v>1146</v>
      </c>
      <c r="J98" s="23" t="str">
        <f>IFERROR(VLOOKUP(F98,'Mã NV'!$B:$C,2,0),"")</f>
        <v>XE01597</v>
      </c>
      <c r="K98" s="23" t="str">
        <f t="shared" si="4"/>
        <v>Trừ lương lái xe Hồ Khang Vĩ do theo định mức tiêu hao dầu ngày Tháng 5</v>
      </c>
      <c r="L98" s="23" t="str">
        <f t="shared" si="5"/>
        <v>47562</v>
      </c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ht="18" customHeight="1" spans="1:25">
      <c r="A99" s="19" t="s">
        <v>1145</v>
      </c>
      <c r="B99" s="20"/>
      <c r="C99" s="20"/>
      <c r="D99" s="20"/>
      <c r="E99" s="20" t="s">
        <v>353</v>
      </c>
      <c r="F99" s="20" t="s">
        <v>351</v>
      </c>
      <c r="G99" s="21" t="s">
        <v>405</v>
      </c>
      <c r="H99" s="22">
        <v>1398807</v>
      </c>
      <c r="I99" s="20" t="s">
        <v>1146</v>
      </c>
      <c r="J99" s="23" t="str">
        <f>IFERROR(VLOOKUP(F99,'Mã NV'!$B:$C,2,0),"")</f>
        <v>XE01642</v>
      </c>
      <c r="K99" s="23" t="str">
        <f t="shared" si="4"/>
        <v>Trừ lương lái xe Nguyễn Xuân Lợi do theo định mức tiêu hao dầu ngày Tháng 5</v>
      </c>
      <c r="L99" s="23" t="str">
        <f t="shared" si="5"/>
        <v>02514</v>
      </c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ht="18" customHeight="1" spans="1:25">
      <c r="A100" s="19" t="s">
        <v>1145</v>
      </c>
      <c r="B100" s="20"/>
      <c r="C100" s="20"/>
      <c r="D100" s="20"/>
      <c r="E100" s="20" t="s">
        <v>283</v>
      </c>
      <c r="F100" s="20" t="s">
        <v>339</v>
      </c>
      <c r="G100" s="21" t="s">
        <v>405</v>
      </c>
      <c r="H100" s="22">
        <v>2542477.11510851</v>
      </c>
      <c r="I100" s="20" t="s">
        <v>1146</v>
      </c>
      <c r="J100" s="23" t="str">
        <f>IFERROR(VLOOKUP(F100,'Mã NV'!$B:$C,2,0),"")</f>
        <v>XE01670</v>
      </c>
      <c r="K100" s="23" t="str">
        <f t="shared" si="4"/>
        <v>Trừ lương lái xe Bùi Ngọc Ninh do theo định mức tiêu hao dầu ngày Tháng 5</v>
      </c>
      <c r="L100" s="23" t="str">
        <f t="shared" si="5"/>
        <v>12401</v>
      </c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ht="18" customHeight="1" spans="1:25">
      <c r="A101" s="19" t="s">
        <v>1145</v>
      </c>
      <c r="B101" s="20"/>
      <c r="C101" s="20"/>
      <c r="D101" s="20"/>
      <c r="E101" s="20" t="s">
        <v>283</v>
      </c>
      <c r="F101" s="20" t="s">
        <v>337</v>
      </c>
      <c r="G101" s="21" t="s">
        <v>405</v>
      </c>
      <c r="H101" s="22">
        <v>2542477.11510851</v>
      </c>
      <c r="I101" s="20" t="s">
        <v>1146</v>
      </c>
      <c r="J101" s="23" t="str">
        <f>IFERROR(VLOOKUP(F101,'Mã NV'!$B:$C,2,0),"")</f>
        <v>XE01477</v>
      </c>
      <c r="K101" s="23" t="str">
        <f t="shared" si="4"/>
        <v>Trừ lương lái xe Cao Hoài Tiên do theo định mức tiêu hao dầu ngày Tháng 5</v>
      </c>
      <c r="L101" s="23" t="str">
        <f t="shared" si="5"/>
        <v>12401</v>
      </c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ht="18" customHeight="1" spans="1:25">
      <c r="A102" s="19" t="s">
        <v>1145</v>
      </c>
      <c r="B102" s="20"/>
      <c r="C102" s="20"/>
      <c r="D102" s="20"/>
      <c r="E102" s="20" t="s">
        <v>283</v>
      </c>
      <c r="F102" s="20" t="s">
        <v>388</v>
      </c>
      <c r="G102" s="21" t="s">
        <v>405</v>
      </c>
      <c r="H102" s="22">
        <v>1089633.04933222</v>
      </c>
      <c r="I102" s="20" t="s">
        <v>1146</v>
      </c>
      <c r="J102" s="23" t="str">
        <f>IFERROR(VLOOKUP(F102,'Mã NV'!$B:$C,2,0),"")</f>
        <v>XE01710</v>
      </c>
      <c r="K102" s="23" t="str">
        <f t="shared" si="4"/>
        <v>Trừ lương lái xe Nguyễn Phước Sang do theo định mức tiêu hao dầu ngày Tháng 5</v>
      </c>
      <c r="L102" s="23" t="str">
        <f t="shared" si="5"/>
        <v>12401</v>
      </c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ht="18" customHeight="1" spans="1:25">
      <c r="A103" s="19" t="s">
        <v>1145</v>
      </c>
      <c r="B103" s="20"/>
      <c r="C103" s="20"/>
      <c r="D103" s="20"/>
      <c r="E103" s="20" t="s">
        <v>283</v>
      </c>
      <c r="F103" s="20" t="s">
        <v>281</v>
      </c>
      <c r="G103" s="21" t="s">
        <v>405</v>
      </c>
      <c r="H103" s="22">
        <v>1089633.04933222</v>
      </c>
      <c r="I103" s="20" t="s">
        <v>1146</v>
      </c>
      <c r="J103" s="23" t="str">
        <f>IFERROR(VLOOKUP(F103,'Mã NV'!$B:$C,2,0),"")</f>
        <v>XE01532</v>
      </c>
      <c r="K103" s="23" t="str">
        <f t="shared" si="4"/>
        <v>Trừ lương lái xe Phan Tấn Thành do theo định mức tiêu hao dầu ngày Tháng 5</v>
      </c>
      <c r="L103" s="23" t="str">
        <f t="shared" si="5"/>
        <v>12401</v>
      </c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ht="18" customHeight="1" spans="1:25">
      <c r="A104" s="19" t="s">
        <v>1145</v>
      </c>
      <c r="B104" s="20"/>
      <c r="C104" s="20"/>
      <c r="D104" s="20"/>
      <c r="E104" s="20" t="s">
        <v>208</v>
      </c>
      <c r="F104" s="20" t="s">
        <v>373</v>
      </c>
      <c r="G104" s="21" t="s">
        <v>405</v>
      </c>
      <c r="H104" s="22">
        <v>1165416.94361147</v>
      </c>
      <c r="I104" s="20" t="s">
        <v>1146</v>
      </c>
      <c r="J104" s="23" t="str">
        <f>IFERROR(VLOOKUP(F104,'Mã NV'!$B:$C,2,0),"")</f>
        <v>XE01694</v>
      </c>
      <c r="K104" s="23" t="str">
        <f t="shared" si="4"/>
        <v>Trừ lương lái xe Nguyễn Mạnh Trường do theo định mức tiêu hao dầu ngày Tháng 5</v>
      </c>
      <c r="L104" s="23" t="str">
        <f t="shared" si="5"/>
        <v>12073</v>
      </c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="30" customFormat="1" ht="18" customHeight="1" spans="1:25">
      <c r="A105" s="19" t="s">
        <v>1145</v>
      </c>
      <c r="B105" s="31"/>
      <c r="C105" s="31"/>
      <c r="D105" s="31"/>
      <c r="E105" s="32" t="s">
        <v>208</v>
      </c>
      <c r="F105" s="31" t="s">
        <v>206</v>
      </c>
      <c r="G105" s="21" t="s">
        <v>405</v>
      </c>
      <c r="H105" s="33">
        <v>716599.415165628</v>
      </c>
      <c r="I105" s="20" t="s">
        <v>1146</v>
      </c>
      <c r="J105" s="23" t="str">
        <f>IFERROR(VLOOKUP(F105,'Mã NV'!$B:$C,2,0),"")</f>
        <v>XE00934</v>
      </c>
      <c r="K105" s="23" t="str">
        <f t="shared" si="4"/>
        <v>Trừ lương lái xe Phan Văn Thành do theo định mức tiêu hao dầu ngày Tháng 5</v>
      </c>
      <c r="L105" s="23" t="str">
        <f t="shared" si="5"/>
        <v>12073</v>
      </c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 s="30" customFormat="1" ht="18" customHeight="1" spans="1:25">
      <c r="A106" s="19" t="s">
        <v>1145</v>
      </c>
      <c r="B106" s="31"/>
      <c r="C106" s="31"/>
      <c r="D106" s="31"/>
      <c r="E106" s="20" t="s">
        <v>208</v>
      </c>
      <c r="F106" s="31" t="s">
        <v>375</v>
      </c>
      <c r="G106" s="21" t="s">
        <v>405</v>
      </c>
      <c r="H106" s="33">
        <v>637396.321910479</v>
      </c>
      <c r="I106" s="20" t="s">
        <v>1146</v>
      </c>
      <c r="J106" s="23" t="str">
        <f>IFERROR(VLOOKUP(F106,'Mã NV'!$B:$C,2,0),"")</f>
        <v>XE01695</v>
      </c>
      <c r="K106" s="23" t="str">
        <f t="shared" si="4"/>
        <v>Trừ lương lái xe Trần Phước Tùng do theo định mức tiêu hao dầu ngày Tháng 5</v>
      </c>
      <c r="L106" s="23" t="str">
        <f t="shared" si="5"/>
        <v>12073</v>
      </c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 s="30" customFormat="1" ht="18" customHeight="1" spans="1:25">
      <c r="A107" s="19" t="s">
        <v>1145</v>
      </c>
      <c r="B107" s="31"/>
      <c r="C107" s="31"/>
      <c r="D107" s="31"/>
      <c r="E107" s="31" t="s">
        <v>208</v>
      </c>
      <c r="F107" s="20" t="s">
        <v>219</v>
      </c>
      <c r="G107" s="21" t="s">
        <v>405</v>
      </c>
      <c r="H107" s="33">
        <v>1252163.1886052</v>
      </c>
      <c r="I107" s="20" t="s">
        <v>1146</v>
      </c>
      <c r="J107" s="23" t="str">
        <f>IFERROR(VLOOKUP(F107,'Mã NV'!$B:$C,2,0),"")</f>
        <v>XE00499</v>
      </c>
      <c r="K107" s="23" t="str">
        <f t="shared" si="4"/>
        <v>Trừ lương lái xe Trần Xuân Trường do theo định mức tiêu hao dầu ngày Tháng 5</v>
      </c>
      <c r="L107" s="23" t="str">
        <f t="shared" si="5"/>
        <v>12073</v>
      </c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 s="30" customFormat="1" ht="18" customHeight="1" spans="1:25">
      <c r="A108" s="19" t="s">
        <v>1145</v>
      </c>
      <c r="B108" s="31"/>
      <c r="C108" s="31"/>
      <c r="D108" s="31"/>
      <c r="E108" s="31" t="s">
        <v>270</v>
      </c>
      <c r="F108" s="31" t="s">
        <v>271</v>
      </c>
      <c r="G108" s="21" t="s">
        <v>405</v>
      </c>
      <c r="H108" s="33">
        <v>1854892</v>
      </c>
      <c r="I108" s="20" t="s">
        <v>1146</v>
      </c>
      <c r="J108" s="23" t="str">
        <f>IFERROR(VLOOKUP(F108,'Mã NV'!$B:$C,2,0),"")</f>
        <v>XE01507</v>
      </c>
      <c r="K108" s="23" t="str">
        <f t="shared" si="4"/>
        <v>Trừ lương lái xe Đặng Tuân do theo định mức tiêu hao dầu ngày Tháng 5</v>
      </c>
      <c r="L108" s="23" t="str">
        <f t="shared" si="5"/>
        <v>12047</v>
      </c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ht="18" customHeight="1" spans="1:25">
      <c r="A109" s="19" t="s">
        <v>1145</v>
      </c>
      <c r="B109" s="20"/>
      <c r="C109" s="20"/>
      <c r="D109" s="20"/>
      <c r="E109" s="20" t="s">
        <v>270</v>
      </c>
      <c r="F109" s="20" t="s">
        <v>268</v>
      </c>
      <c r="G109" s="21" t="s">
        <v>405</v>
      </c>
      <c r="H109" s="22">
        <v>1854892</v>
      </c>
      <c r="I109" s="20" t="s">
        <v>1146</v>
      </c>
      <c r="J109" s="23" t="str">
        <f>IFERROR(VLOOKUP(F109,'Mã NV'!$B:$C,2,0),"")</f>
        <v>XE01506</v>
      </c>
      <c r="K109" s="23" t="str">
        <f t="shared" si="4"/>
        <v>Trừ lương lái xe Huỳnh Lê Trần Long do theo định mức tiêu hao dầu ngày Tháng 5</v>
      </c>
      <c r="L109" s="23" t="str">
        <f t="shared" si="5"/>
        <v>12047</v>
      </c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ht="18" customHeight="1" spans="1:25">
      <c r="A110" s="19" t="s">
        <v>1145</v>
      </c>
      <c r="B110" s="20"/>
      <c r="C110" s="20"/>
      <c r="D110" s="20"/>
      <c r="E110" s="20" t="s">
        <v>249</v>
      </c>
      <c r="F110" s="20" t="s">
        <v>250</v>
      </c>
      <c r="G110" s="21" t="s">
        <v>405</v>
      </c>
      <c r="H110" s="22">
        <v>2422928.35299079</v>
      </c>
      <c r="I110" s="20" t="s">
        <v>1146</v>
      </c>
      <c r="J110" s="23" t="str">
        <f>IFERROR(VLOOKUP(F110,'Mã NV'!$B:$C,2,0),"")</f>
        <v>XE01469</v>
      </c>
      <c r="K110" s="23" t="str">
        <f t="shared" si="4"/>
        <v>Trừ lương lái xe Nguyễn Bá Bảo do theo định mức tiêu hao dầu ngày Tháng 5</v>
      </c>
      <c r="L110" s="23" t="str">
        <f t="shared" si="5"/>
        <v>08426</v>
      </c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ht="18" customHeight="1" spans="1:25">
      <c r="A111" s="19" t="s">
        <v>1145</v>
      </c>
      <c r="B111" s="20"/>
      <c r="C111" s="20"/>
      <c r="D111" s="20"/>
      <c r="E111" s="20" t="s">
        <v>249</v>
      </c>
      <c r="F111" s="20" t="s">
        <v>245</v>
      </c>
      <c r="G111" s="21" t="s">
        <v>405</v>
      </c>
      <c r="H111" s="22">
        <v>2422928.35299079</v>
      </c>
      <c r="I111" s="20" t="s">
        <v>1146</v>
      </c>
      <c r="J111" s="23" t="str">
        <f>IFERROR(VLOOKUP(F111,'Mã NV'!$B:$C,2,0),"")</f>
        <v>XE01470</v>
      </c>
      <c r="K111" s="23" t="str">
        <f t="shared" si="4"/>
        <v>Trừ lương lái xe Trần Hữu Khánh do theo định mức tiêu hao dầu ngày Tháng 5</v>
      </c>
      <c r="L111" s="23" t="str">
        <f t="shared" si="5"/>
        <v>08426</v>
      </c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ht="18" customHeight="1" spans="1:25">
      <c r="A112" s="19" t="s">
        <v>1145</v>
      </c>
      <c r="B112" s="20"/>
      <c r="C112" s="20"/>
      <c r="D112" s="20"/>
      <c r="E112" s="20" t="s">
        <v>109</v>
      </c>
      <c r="F112" s="20" t="s">
        <v>107</v>
      </c>
      <c r="G112" s="21" t="s">
        <v>405</v>
      </c>
      <c r="H112" s="22">
        <v>5105445.22997456</v>
      </c>
      <c r="I112" s="20" t="s">
        <v>1146</v>
      </c>
      <c r="J112" s="23" t="str">
        <f>IFERROR(VLOOKUP(F112,'Mã NV'!$B:$C,2,0),"")</f>
        <v>XE01102</v>
      </c>
      <c r="K112" s="23" t="str">
        <f t="shared" si="4"/>
        <v>Trừ lương lái xe Lê Thế Xuân do theo định mức tiêu hao dầu ngày Tháng 5</v>
      </c>
      <c r="L112" s="23" t="str">
        <f t="shared" si="5"/>
        <v>07924</v>
      </c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ht="18" customHeight="1" spans="1:25">
      <c r="A113" s="19" t="s">
        <v>1145</v>
      </c>
      <c r="B113" s="20"/>
      <c r="C113" s="20"/>
      <c r="D113" s="20"/>
      <c r="E113" s="20" t="s">
        <v>109</v>
      </c>
      <c r="F113" s="20" t="s">
        <v>120</v>
      </c>
      <c r="G113" s="21" t="s">
        <v>405</v>
      </c>
      <c r="H113" s="22">
        <v>5105445.22997456</v>
      </c>
      <c r="I113" s="20" t="s">
        <v>1146</v>
      </c>
      <c r="J113" s="23" t="str">
        <f>IFERROR(VLOOKUP(F113,'Mã NV'!$B:$C,2,0),"")</f>
        <v>XE01315</v>
      </c>
      <c r="K113" s="23" t="str">
        <f t="shared" si="4"/>
        <v>Trừ lương lái xe Lê Xuân Tú do theo định mức tiêu hao dầu ngày Tháng 5</v>
      </c>
      <c r="L113" s="23" t="str">
        <f t="shared" si="5"/>
        <v>07924</v>
      </c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ht="18" customHeight="1" spans="1:25">
      <c r="A114" s="19" t="s">
        <v>1145</v>
      </c>
      <c r="B114" s="20"/>
      <c r="C114" s="20"/>
      <c r="D114" s="20"/>
      <c r="E114" s="20" t="s">
        <v>91</v>
      </c>
      <c r="F114" s="20" t="s">
        <v>349</v>
      </c>
      <c r="G114" s="21" t="s">
        <v>405</v>
      </c>
      <c r="H114" s="22">
        <v>565378.969094139</v>
      </c>
      <c r="I114" s="20" t="s">
        <v>1146</v>
      </c>
      <c r="J114" s="23" t="str">
        <f>IFERROR(VLOOKUP(F114,'Mã NV'!$B:$C,2,0),"")</f>
        <v>XE01672</v>
      </c>
      <c r="K114" s="23" t="str">
        <f t="shared" si="4"/>
        <v>Trừ lương lái xe Đỗ Văn Cường do theo định mức tiêu hao dầu ngày Tháng 5</v>
      </c>
      <c r="L114" s="23" t="str">
        <f t="shared" si="5"/>
        <v>08413</v>
      </c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ht="18" customHeight="1" spans="1:25">
      <c r="A115" s="19" t="s">
        <v>1145</v>
      </c>
      <c r="B115" s="20"/>
      <c r="C115" s="20"/>
      <c r="D115" s="20"/>
      <c r="E115" s="20" t="s">
        <v>91</v>
      </c>
      <c r="F115" s="20" t="s">
        <v>89</v>
      </c>
      <c r="G115" s="21" t="s">
        <v>405</v>
      </c>
      <c r="H115" s="22">
        <v>565378.969094139</v>
      </c>
      <c r="I115" s="20" t="s">
        <v>1146</v>
      </c>
      <c r="J115" s="23" t="str">
        <f>IFERROR(VLOOKUP(F115,'Mã NV'!$B:$C,2,0),"")</f>
        <v>XE00873</v>
      </c>
      <c r="K115" s="23" t="str">
        <f t="shared" si="4"/>
        <v>Trừ lương lái xe Kiều Kim Tiến do theo định mức tiêu hao dầu ngày Tháng 5</v>
      </c>
      <c r="L115" s="23" t="str">
        <f t="shared" si="5"/>
        <v>08413</v>
      </c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ht="18" customHeight="1" spans="1:25">
      <c r="A116" s="19" t="s">
        <v>1145</v>
      </c>
      <c r="B116" s="20"/>
      <c r="C116" s="20"/>
      <c r="D116" s="20"/>
      <c r="E116" s="20" t="s">
        <v>91</v>
      </c>
      <c r="F116" s="20" t="s">
        <v>364</v>
      </c>
      <c r="G116" s="21" t="s">
        <v>405</v>
      </c>
      <c r="H116" s="22">
        <v>1790366.73546477</v>
      </c>
      <c r="I116" s="20" t="s">
        <v>1146</v>
      </c>
      <c r="J116" s="23" t="str">
        <f>IFERROR(VLOOKUP(F116,'Mã NV'!$B:$C,2,0),"")</f>
        <v>XE01690</v>
      </c>
      <c r="K116" s="23" t="str">
        <f t="shared" si="4"/>
        <v>Trừ lương lái xe Phạm Ngọc Ẩn do theo định mức tiêu hao dầu ngày Tháng 5</v>
      </c>
      <c r="L116" s="23" t="str">
        <f t="shared" si="5"/>
        <v>08413</v>
      </c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ht="18" customHeight="1" spans="1:25">
      <c r="A117" s="19" t="s">
        <v>1145</v>
      </c>
      <c r="B117" s="20"/>
      <c r="C117" s="20"/>
      <c r="D117" s="20"/>
      <c r="E117" s="20" t="s">
        <v>91</v>
      </c>
      <c r="F117" s="20" t="s">
        <v>245</v>
      </c>
      <c r="G117" s="21" t="s">
        <v>405</v>
      </c>
      <c r="H117" s="22">
        <v>1790366.73546477</v>
      </c>
      <c r="I117" s="20" t="s">
        <v>1146</v>
      </c>
      <c r="J117" s="23" t="str">
        <f>IFERROR(VLOOKUP(F117,'Mã NV'!$B:$C,2,0),"")</f>
        <v>XE01470</v>
      </c>
      <c r="K117" s="23" t="str">
        <f t="shared" si="4"/>
        <v>Trừ lương lái xe Trần Hữu Khánh do theo định mức tiêu hao dầu ngày Tháng 5</v>
      </c>
      <c r="L117" s="23" t="str">
        <f t="shared" si="5"/>
        <v>08413</v>
      </c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ht="18" customHeight="1" spans="1:25">
      <c r="A118" s="19" t="s">
        <v>1145</v>
      </c>
      <c r="B118" s="20"/>
      <c r="C118" s="20"/>
      <c r="D118" s="20"/>
      <c r="E118" s="20" t="s">
        <v>230</v>
      </c>
      <c r="F118" s="20" t="s">
        <v>364</v>
      </c>
      <c r="G118" s="21" t="s">
        <v>405</v>
      </c>
      <c r="H118" s="22">
        <v>242294.498693998</v>
      </c>
      <c r="I118" s="20" t="s">
        <v>1146</v>
      </c>
      <c r="J118" s="23" t="str">
        <f>IFERROR(VLOOKUP(F118,'Mã NV'!$B:$C,2,0),"")</f>
        <v>XE01690</v>
      </c>
      <c r="K118" s="23" t="str">
        <f t="shared" si="4"/>
        <v>Trừ lương lái xe Phạm Ngọc Ẩn do theo định mức tiêu hao dầu ngày Tháng 5</v>
      </c>
      <c r="L118" s="23" t="str">
        <f t="shared" si="5"/>
        <v>09603</v>
      </c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ht="18" customHeight="1" spans="1:25">
      <c r="A119" s="19" t="s">
        <v>1145</v>
      </c>
      <c r="B119" s="20"/>
      <c r="C119" s="20"/>
      <c r="D119" s="20"/>
      <c r="E119" s="20" t="s">
        <v>230</v>
      </c>
      <c r="F119" s="20" t="s">
        <v>281</v>
      </c>
      <c r="G119" s="21" t="s">
        <v>405</v>
      </c>
      <c r="H119" s="22">
        <v>57689.1663557138</v>
      </c>
      <c r="I119" s="20" t="s">
        <v>1146</v>
      </c>
      <c r="J119" s="23" t="str">
        <f>IFERROR(VLOOKUP(F119,'Mã NV'!$B:$C,2,0),"")</f>
        <v>XE01532</v>
      </c>
      <c r="K119" s="23" t="str">
        <f t="shared" si="4"/>
        <v>Trừ lương lái xe Phan Tấn Thành do theo định mức tiêu hao dầu ngày Tháng 5</v>
      </c>
      <c r="L119" s="23" t="str">
        <f t="shared" si="5"/>
        <v>09603</v>
      </c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ht="18" customHeight="1" spans="1:25">
      <c r="A120" s="19" t="s">
        <v>1145</v>
      </c>
      <c r="B120" s="20"/>
      <c r="C120" s="20"/>
      <c r="D120" s="20"/>
      <c r="E120" s="20" t="s">
        <v>230</v>
      </c>
      <c r="F120" s="20" t="s">
        <v>370</v>
      </c>
      <c r="G120" s="21" t="s">
        <v>405</v>
      </c>
      <c r="H120" s="22">
        <v>103840.499440285</v>
      </c>
      <c r="I120" s="20" t="s">
        <v>1146</v>
      </c>
      <c r="J120" s="23" t="str">
        <f>IFERROR(VLOOKUP(F120,'Mã NV'!$B:$C,2,0),"")</f>
        <v/>
      </c>
      <c r="K120" s="23" t="str">
        <f t="shared" si="4"/>
        <v>Trừ lương lái xe Trần Phong Vũ do theo định mức tiêu hao dầu ngày Tháng 5</v>
      </c>
      <c r="L120" s="23" t="str">
        <f t="shared" si="5"/>
        <v>09603</v>
      </c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ht="18" customHeight="1" spans="1:25">
      <c r="A121" s="19" t="s">
        <v>1145</v>
      </c>
      <c r="B121" s="20"/>
      <c r="C121" s="20"/>
      <c r="D121" s="20"/>
      <c r="E121" s="20" t="s">
        <v>230</v>
      </c>
      <c r="F121" s="20" t="s">
        <v>228</v>
      </c>
      <c r="G121" s="21" t="s">
        <v>405</v>
      </c>
      <c r="H121" s="22">
        <v>749959.162624279</v>
      </c>
      <c r="I121" s="20" t="s">
        <v>1146</v>
      </c>
      <c r="J121" s="23" t="str">
        <f>IFERROR(VLOOKUP(F121,'Mã NV'!$B:$C,2,0),"")</f>
        <v>XE01390</v>
      </c>
      <c r="K121" s="23" t="str">
        <f t="shared" si="4"/>
        <v>Trừ lương lái xe Trương Cẩm Thành do theo định mức tiêu hao dầu ngày Tháng 5</v>
      </c>
      <c r="L121" s="23" t="str">
        <f t="shared" si="5"/>
        <v>09603</v>
      </c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ht="18" customHeight="1" spans="1:25">
      <c r="A122" s="19" t="s">
        <v>1145</v>
      </c>
      <c r="B122" s="20"/>
      <c r="C122" s="20"/>
      <c r="D122" s="20"/>
      <c r="E122" s="20" t="s">
        <v>17</v>
      </c>
      <c r="F122" s="20" t="s">
        <v>15</v>
      </c>
      <c r="G122" s="21" t="s">
        <v>405</v>
      </c>
      <c r="H122" s="22">
        <v>1348045.77502753</v>
      </c>
      <c r="I122" s="20" t="s">
        <v>1146</v>
      </c>
      <c r="J122" s="23" t="str">
        <f>IFERROR(VLOOKUP(F122,'Mã NV'!$B:$C,2,0),"")</f>
        <v>XE01331</v>
      </c>
      <c r="K122" s="23" t="str">
        <f t="shared" si="4"/>
        <v>Trừ lương lái xe Bùi Văn Đào do theo định mức tiêu hao dầu ngày Tháng 5</v>
      </c>
      <c r="L122" s="23" t="str">
        <f t="shared" si="5"/>
        <v>08175</v>
      </c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ht="18" customHeight="1" spans="1:25">
      <c r="A123" s="19" t="s">
        <v>1145</v>
      </c>
      <c r="B123" s="20"/>
      <c r="C123" s="20"/>
      <c r="D123" s="20"/>
      <c r="E123" s="20" t="s">
        <v>17</v>
      </c>
      <c r="F123" s="20" t="s">
        <v>341</v>
      </c>
      <c r="G123" s="21" t="s">
        <v>405</v>
      </c>
      <c r="H123" s="22">
        <v>1348045.77502753</v>
      </c>
      <c r="I123" s="20" t="s">
        <v>1146</v>
      </c>
      <c r="J123" s="23" t="str">
        <f>IFERROR(VLOOKUP(F123,'Mã NV'!$B:$C,2,0),"")</f>
        <v>XE01645</v>
      </c>
      <c r="K123" s="23" t="str">
        <f t="shared" si="4"/>
        <v>Trừ lương lái xe Nguyễn Doãn Quang do theo định mức tiêu hao dầu ngày Tháng 5</v>
      </c>
      <c r="L123" s="23" t="str">
        <f t="shared" si="5"/>
        <v>08175</v>
      </c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ht="15.75" customHeight="1" spans="1:25">
      <c r="A124" s="19">
        <v>46111</v>
      </c>
      <c r="B124" s="20" t="s">
        <v>1149</v>
      </c>
      <c r="C124" s="20" t="s">
        <v>1150</v>
      </c>
      <c r="D124" s="20" t="s">
        <v>1151</v>
      </c>
      <c r="E124" s="20" t="s">
        <v>205</v>
      </c>
      <c r="F124" s="20" t="s">
        <v>312</v>
      </c>
      <c r="G124" s="21" t="s">
        <v>405</v>
      </c>
      <c r="H124" s="22">
        <v>100000</v>
      </c>
      <c r="I124" s="20" t="s">
        <v>1152</v>
      </c>
      <c r="J124" s="23" t="str">
        <f>IFERROR(VLOOKUP(F124,'Mã NV'!$B:$C,2,0),"")</f>
        <v>XE01582</v>
      </c>
      <c r="K124" s="23" t="str">
        <f t="shared" ref="K124:K155" si="6">"Trừ lương lái xe "&amp;F124&amp;" do "&amp;I124&amp;" ngày "&amp;TEXT(A124,"dd/mm/yyyy")</f>
        <v>Trừ lương lái xe Nguyễn Văn Chiến do Thiếu Thao Tác App ngày 30/03/2026</v>
      </c>
      <c r="L124" s="23" t="str">
        <f t="shared" ref="L124:L155" si="7">RIGHT(E124,5)</f>
        <v>38128</v>
      </c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ht="15.75" customHeight="1" spans="1:25">
      <c r="A125" s="19">
        <v>46113</v>
      </c>
      <c r="B125" s="35" t="s">
        <v>1153</v>
      </c>
      <c r="C125" s="35" t="s">
        <v>1154</v>
      </c>
      <c r="D125" s="35" t="s">
        <v>1155</v>
      </c>
      <c r="E125" s="35" t="s">
        <v>275</v>
      </c>
      <c r="F125" s="20" t="s">
        <v>279</v>
      </c>
      <c r="G125" s="21" t="s">
        <v>405</v>
      </c>
      <c r="H125" s="22">
        <v>100000</v>
      </c>
      <c r="I125" s="20" t="s">
        <v>1152</v>
      </c>
      <c r="J125" s="23" t="str">
        <f>IFERROR(VLOOKUP(F125,'Mã NV'!$B:$C,2,0),"")</f>
        <v>XE01530</v>
      </c>
      <c r="K125" s="23" t="str">
        <f t="shared" si="6"/>
        <v>Trừ lương lái xe Trần Đình Mẫn do Thiếu Thao Tác App ngày 01/04/2026</v>
      </c>
      <c r="L125" s="23" t="str">
        <f t="shared" si="7"/>
        <v>38331</v>
      </c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ht="15.75" customHeight="1" spans="1:25">
      <c r="A126" s="19">
        <v>46115</v>
      </c>
      <c r="B126" s="35" t="s">
        <v>1156</v>
      </c>
      <c r="C126" s="35" t="s">
        <v>1157</v>
      </c>
      <c r="D126" s="35" t="s">
        <v>1158</v>
      </c>
      <c r="E126" s="35" t="s">
        <v>62</v>
      </c>
      <c r="F126" s="20" t="s">
        <v>1159</v>
      </c>
      <c r="G126" s="21" t="s">
        <v>405</v>
      </c>
      <c r="H126" s="22">
        <v>100000</v>
      </c>
      <c r="I126" s="20" t="s">
        <v>1152</v>
      </c>
      <c r="J126" s="23" t="str">
        <f>IFERROR(VLOOKUP(F126,'Mã NV'!$B:$C,2,0),"")</f>
        <v>XE00909</v>
      </c>
      <c r="K126" s="23" t="str">
        <f t="shared" si="6"/>
        <v>Trừ lương lái xe Trần Xuân Thoả do Thiếu Thao Tác App ngày 03/04/2026</v>
      </c>
      <c r="L126" s="23" t="str">
        <f t="shared" si="7"/>
        <v>14214</v>
      </c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ht="15.75" customHeight="1" spans="1:25">
      <c r="A127" s="19">
        <v>46117</v>
      </c>
      <c r="B127" s="35" t="s">
        <v>1160</v>
      </c>
      <c r="C127" s="35" t="s">
        <v>1161</v>
      </c>
      <c r="D127" s="35" t="s">
        <v>1162</v>
      </c>
      <c r="E127" s="35" t="s">
        <v>200</v>
      </c>
      <c r="F127" s="35" t="s">
        <v>198</v>
      </c>
      <c r="G127" s="21" t="s">
        <v>405</v>
      </c>
      <c r="H127" s="22">
        <v>100000</v>
      </c>
      <c r="I127" s="20" t="s">
        <v>1152</v>
      </c>
      <c r="J127" s="23" t="str">
        <f>IFERROR(VLOOKUP(F127,'Mã NV'!$B:$C,2,0),"")</f>
        <v>XE00865</v>
      </c>
      <c r="K127" s="23" t="str">
        <f t="shared" si="6"/>
        <v>Trừ lương lái xe Phạm Văn Khâm do Thiếu Thao Tác App ngày 05/04/2026</v>
      </c>
      <c r="L127" s="23" t="str">
        <f t="shared" si="7"/>
        <v>12436</v>
      </c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ht="15.75" customHeight="1" spans="1:25">
      <c r="A128" s="19">
        <v>46118</v>
      </c>
      <c r="B128" s="35" t="s">
        <v>1163</v>
      </c>
      <c r="C128" s="35" t="s">
        <v>1164</v>
      </c>
      <c r="D128" s="35" t="s">
        <v>1165</v>
      </c>
      <c r="E128" s="35" t="s">
        <v>151</v>
      </c>
      <c r="F128" s="35" t="s">
        <v>1166</v>
      </c>
      <c r="G128" s="21" t="s">
        <v>405</v>
      </c>
      <c r="H128" s="22">
        <v>100000</v>
      </c>
      <c r="I128" s="20" t="s">
        <v>1152</v>
      </c>
      <c r="J128" s="23" t="str">
        <f>IFERROR(VLOOKUP(F128,'Mã NV'!$B:$C,2,0),"")</f>
        <v>XE01389</v>
      </c>
      <c r="K128" s="23" t="str">
        <f t="shared" si="6"/>
        <v>Trừ lương lái xe Nguyễn Thành Quang do Thiếu Thao Tác App ngày 06/04/2026</v>
      </c>
      <c r="L128" s="23" t="str">
        <f t="shared" si="7"/>
        <v>06820</v>
      </c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ht="15.75" customHeight="1" spans="1:25">
      <c r="A129" s="19">
        <v>46119</v>
      </c>
      <c r="B129" s="35" t="s">
        <v>1167</v>
      </c>
      <c r="C129" s="35" t="s">
        <v>1168</v>
      </c>
      <c r="D129" s="35" t="s">
        <v>1169</v>
      </c>
      <c r="E129" s="35" t="s">
        <v>230</v>
      </c>
      <c r="F129" s="35" t="s">
        <v>1170</v>
      </c>
      <c r="G129" s="21" t="s">
        <v>405</v>
      </c>
      <c r="H129" s="22">
        <v>100000</v>
      </c>
      <c r="I129" s="20" t="s">
        <v>1152</v>
      </c>
      <c r="J129" s="23" t="str">
        <f>IFERROR(VLOOKUP(F129,'Mã NV'!$B:$C,2,0),"")</f>
        <v>XE01390</v>
      </c>
      <c r="K129" s="23" t="str">
        <f t="shared" si="6"/>
        <v>Trừ lương lái xe Trương Cẩm Thành do Thiếu Thao Tác App ngày 07/04/2026</v>
      </c>
      <c r="L129" s="23" t="str">
        <f t="shared" si="7"/>
        <v>09603</v>
      </c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ht="15.75" customHeight="1" spans="1:25">
      <c r="A130" s="19">
        <v>46122</v>
      </c>
      <c r="B130" s="35" t="s">
        <v>1163</v>
      </c>
      <c r="C130" s="35" t="s">
        <v>1171</v>
      </c>
      <c r="D130" s="35" t="s">
        <v>1172</v>
      </c>
      <c r="E130" s="35" t="s">
        <v>283</v>
      </c>
      <c r="F130" s="35" t="s">
        <v>337</v>
      </c>
      <c r="G130" s="21" t="s">
        <v>405</v>
      </c>
      <c r="H130" s="22">
        <v>100000</v>
      </c>
      <c r="I130" s="20" t="s">
        <v>1152</v>
      </c>
      <c r="J130" s="23" t="str">
        <f>IFERROR(VLOOKUP(F130,'Mã NV'!$B:$C,2,0),"")</f>
        <v>XE01477</v>
      </c>
      <c r="K130" s="23" t="str">
        <f t="shared" si="6"/>
        <v>Trừ lương lái xe Cao Hoài Tiên do Thiếu Thao Tác App ngày 10/04/2026</v>
      </c>
      <c r="L130" s="23" t="str">
        <f t="shared" si="7"/>
        <v>12401</v>
      </c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ht="15.75" customHeight="1" spans="1:25">
      <c r="A131" s="19">
        <v>46124</v>
      </c>
      <c r="B131" s="35" t="s">
        <v>1173</v>
      </c>
      <c r="C131" s="35" t="s">
        <v>1174</v>
      </c>
      <c r="D131" s="35" t="s">
        <v>1175</v>
      </c>
      <c r="E131" s="35" t="s">
        <v>266</v>
      </c>
      <c r="F131" s="35" t="s">
        <v>181</v>
      </c>
      <c r="G131" s="21" t="s">
        <v>405</v>
      </c>
      <c r="H131" s="22">
        <v>100000</v>
      </c>
      <c r="I131" s="20" t="s">
        <v>1152</v>
      </c>
      <c r="J131" s="23" t="str">
        <f>IFERROR(VLOOKUP(F131,'Mã NV'!$B:$C,2,0),"")</f>
        <v>XE01281</v>
      </c>
      <c r="K131" s="23" t="str">
        <f t="shared" si="6"/>
        <v>Trừ lương lái xe Nguyễn Văn Toàn do Thiếu Thao Tác App ngày 12/04/2026</v>
      </c>
      <c r="L131" s="23" t="str">
        <f t="shared" si="7"/>
        <v>54212</v>
      </c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ht="15.75" customHeight="1" spans="1:25">
      <c r="A132" s="19">
        <v>46111</v>
      </c>
      <c r="B132" s="35" t="s">
        <v>1149</v>
      </c>
      <c r="C132" s="35" t="s">
        <v>1150</v>
      </c>
      <c r="D132" s="35" t="s">
        <v>1151</v>
      </c>
      <c r="E132" s="35" t="s">
        <v>205</v>
      </c>
      <c r="F132" s="35" t="s">
        <v>314</v>
      </c>
      <c r="G132" s="21" t="s">
        <v>405</v>
      </c>
      <c r="H132" s="22">
        <v>100000</v>
      </c>
      <c r="I132" s="20" t="s">
        <v>1152</v>
      </c>
      <c r="J132" s="23" t="str">
        <f>IFERROR(VLOOKUP(F132,'Mã NV'!$B:$C,2,0),"")</f>
        <v>XE01583</v>
      </c>
      <c r="K132" s="23" t="str">
        <f t="shared" si="6"/>
        <v>Trừ lương lái xe Nguyễn Văn Thắng do Thiếu Thao Tác App ngày 30/03/2026</v>
      </c>
      <c r="L132" s="23" t="str">
        <f t="shared" si="7"/>
        <v>38128</v>
      </c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ht="15.75" customHeight="1" spans="1:25">
      <c r="A133" s="19">
        <v>46113</v>
      </c>
      <c r="B133" s="35" t="s">
        <v>1153</v>
      </c>
      <c r="C133" s="35" t="s">
        <v>1154</v>
      </c>
      <c r="D133" s="35" t="s">
        <v>1155</v>
      </c>
      <c r="E133" s="35" t="s">
        <v>275</v>
      </c>
      <c r="F133" s="35" t="s">
        <v>331</v>
      </c>
      <c r="G133" s="21" t="s">
        <v>405</v>
      </c>
      <c r="H133" s="22">
        <v>100000</v>
      </c>
      <c r="I133" s="20" t="s">
        <v>1152</v>
      </c>
      <c r="J133" s="23" t="str">
        <f>IFERROR(VLOOKUP(F133,'Mã NV'!$B:$C,2,0),"")</f>
        <v>XE01540</v>
      </c>
      <c r="K133" s="23" t="str">
        <f t="shared" si="6"/>
        <v>Trừ lương lái xe Huỳnh Tấn Huynh do Thiếu Thao Tác App ngày 01/04/2026</v>
      </c>
      <c r="L133" s="23" t="str">
        <f t="shared" si="7"/>
        <v>38331</v>
      </c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ht="15.75" customHeight="1" spans="1:25">
      <c r="A134" s="19">
        <v>46115</v>
      </c>
      <c r="B134" s="35" t="s">
        <v>1156</v>
      </c>
      <c r="C134" s="35" t="s">
        <v>1157</v>
      </c>
      <c r="D134" s="35" t="s">
        <v>1158</v>
      </c>
      <c r="E134" s="35" t="s">
        <v>62</v>
      </c>
      <c r="F134" s="35" t="s">
        <v>60</v>
      </c>
      <c r="G134" s="21" t="s">
        <v>405</v>
      </c>
      <c r="H134" s="22">
        <v>100000</v>
      </c>
      <c r="I134" s="20" t="s">
        <v>1152</v>
      </c>
      <c r="J134" s="23" t="str">
        <f>IFERROR(VLOOKUP(F134,'Mã NV'!$B:$C,2,0),"")</f>
        <v>XE00910</v>
      </c>
      <c r="K134" s="23" t="str">
        <f t="shared" si="6"/>
        <v>Trừ lương lái xe Đỗ Ngọc Chiến do Thiếu Thao Tác App ngày 03/04/2026</v>
      </c>
      <c r="L134" s="23" t="str">
        <f t="shared" si="7"/>
        <v>14214</v>
      </c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ht="15.75" customHeight="1" spans="1:25">
      <c r="A135" s="19">
        <v>46117</v>
      </c>
      <c r="B135" s="35" t="s">
        <v>1160</v>
      </c>
      <c r="C135" s="35" t="s">
        <v>1161</v>
      </c>
      <c r="D135" s="35" t="s">
        <v>1162</v>
      </c>
      <c r="E135" s="35" t="s">
        <v>200</v>
      </c>
      <c r="F135" s="35" t="s">
        <v>237</v>
      </c>
      <c r="G135" s="21" t="s">
        <v>405</v>
      </c>
      <c r="H135" s="22">
        <v>100000</v>
      </c>
      <c r="I135" s="20" t="s">
        <v>1152</v>
      </c>
      <c r="J135" s="23" t="str">
        <f>IFERROR(VLOOKUP(F135,'Mã NV'!$B:$C,2,0),"")</f>
        <v>XE00985</v>
      </c>
      <c r="K135" s="23" t="str">
        <f t="shared" si="6"/>
        <v>Trừ lương lái xe Vũ Văn Quân do Thiếu Thao Tác App ngày 05/04/2026</v>
      </c>
      <c r="L135" s="23" t="str">
        <f t="shared" si="7"/>
        <v>12436</v>
      </c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ht="15.75" customHeight="1" spans="1:25">
      <c r="A136" s="19">
        <v>46118</v>
      </c>
      <c r="B136" s="35" t="s">
        <v>1163</v>
      </c>
      <c r="C136" s="35" t="s">
        <v>1164</v>
      </c>
      <c r="D136" s="35" t="s">
        <v>1165</v>
      </c>
      <c r="E136" s="35" t="s">
        <v>151</v>
      </c>
      <c r="F136" s="35" t="s">
        <v>1176</v>
      </c>
      <c r="G136" s="21" t="s">
        <v>405</v>
      </c>
      <c r="H136" s="22">
        <v>100000</v>
      </c>
      <c r="I136" s="20" t="s">
        <v>1152</v>
      </c>
      <c r="J136" s="23" t="str">
        <f>IFERROR(VLOOKUP(F136,'Mã NV'!$B:$C,2,0),"")</f>
        <v>XE01588</v>
      </c>
      <c r="K136" s="23" t="str">
        <f t="shared" si="6"/>
        <v>Trừ lương lái xe Bùi Tiến Hưng do Thiếu Thao Tác App ngày 06/04/2026</v>
      </c>
      <c r="L136" s="23" t="str">
        <f t="shared" si="7"/>
        <v>06820</v>
      </c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ht="15.75" customHeight="1" spans="1:25">
      <c r="A137" s="19">
        <v>46119</v>
      </c>
      <c r="B137" s="35" t="s">
        <v>1167</v>
      </c>
      <c r="C137" s="35" t="s">
        <v>1168</v>
      </c>
      <c r="D137" s="35" t="s">
        <v>1169</v>
      </c>
      <c r="E137" s="35" t="s">
        <v>230</v>
      </c>
      <c r="F137" s="35" t="s">
        <v>1177</v>
      </c>
      <c r="G137" s="21" t="s">
        <v>405</v>
      </c>
      <c r="H137" s="22">
        <v>100000</v>
      </c>
      <c r="I137" s="20" t="s">
        <v>1152</v>
      </c>
      <c r="J137" s="23" t="str">
        <f>IFERROR(VLOOKUP(F137,'Mã NV'!$B:$C,2,0),"")</f>
        <v>XE01490</v>
      </c>
      <c r="K137" s="23" t="str">
        <f t="shared" si="6"/>
        <v>Trừ lương lái xe Trần Thanh Đạt do Thiếu Thao Tác App ngày 07/04/2026</v>
      </c>
      <c r="L137" s="23" t="str">
        <f t="shared" si="7"/>
        <v>09603</v>
      </c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ht="15.75" customHeight="1" spans="1:25">
      <c r="A138" s="19">
        <v>46122</v>
      </c>
      <c r="B138" s="35" t="s">
        <v>1163</v>
      </c>
      <c r="C138" s="35" t="s">
        <v>1171</v>
      </c>
      <c r="D138" s="35" t="s">
        <v>1172</v>
      </c>
      <c r="E138" s="35" t="s">
        <v>283</v>
      </c>
      <c r="F138" s="35" t="s">
        <v>339</v>
      </c>
      <c r="G138" s="21" t="s">
        <v>405</v>
      </c>
      <c r="H138" s="22">
        <v>100000</v>
      </c>
      <c r="I138" s="20" t="s">
        <v>1152</v>
      </c>
      <c r="J138" s="23" t="str">
        <f>IFERROR(VLOOKUP(F138,'Mã NV'!$B:$C,2,0),"")</f>
        <v>XE01670</v>
      </c>
      <c r="K138" s="23" t="str">
        <f t="shared" si="6"/>
        <v>Trừ lương lái xe Bùi Ngọc Ninh do Thiếu Thao Tác App ngày 10/04/2026</v>
      </c>
      <c r="L138" s="23" t="str">
        <f t="shared" si="7"/>
        <v>12401</v>
      </c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ht="15.75" customHeight="1" spans="1:25">
      <c r="A139" s="19">
        <v>46124</v>
      </c>
      <c r="B139" s="35" t="s">
        <v>1173</v>
      </c>
      <c r="C139" s="35" t="s">
        <v>1174</v>
      </c>
      <c r="D139" s="35" t="s">
        <v>1175</v>
      </c>
      <c r="E139" s="35" t="s">
        <v>266</v>
      </c>
      <c r="F139" s="35" t="s">
        <v>117</v>
      </c>
      <c r="G139" s="21" t="s">
        <v>405</v>
      </c>
      <c r="H139" s="22">
        <v>100000</v>
      </c>
      <c r="I139" s="20" t="s">
        <v>1152</v>
      </c>
      <c r="J139" s="23" t="str">
        <f>IFERROR(VLOOKUP(F139,'Mã NV'!$B:$C,2,0),"")</f>
        <v>XE01453</v>
      </c>
      <c r="K139" s="23" t="str">
        <f t="shared" si="6"/>
        <v>Trừ lương lái xe Lê Văn Khiêm do Thiếu Thao Tác App ngày 12/04/2026</v>
      </c>
      <c r="L139" s="23" t="str">
        <f t="shared" si="7"/>
        <v>54212</v>
      </c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ht="15.75" customHeight="1" spans="1:25">
      <c r="A140" s="19">
        <v>46112</v>
      </c>
      <c r="B140" s="35" t="s">
        <v>1178</v>
      </c>
      <c r="C140" s="35" t="s">
        <v>1179</v>
      </c>
      <c r="D140" s="35" t="s">
        <v>1180</v>
      </c>
      <c r="E140" s="35" t="s">
        <v>223</v>
      </c>
      <c r="F140" s="35" t="s">
        <v>221</v>
      </c>
      <c r="G140" s="21" t="s">
        <v>405</v>
      </c>
      <c r="H140" s="22">
        <v>820000</v>
      </c>
      <c r="I140" s="20" t="s">
        <v>1181</v>
      </c>
      <c r="J140" s="23" t="str">
        <f>IFERROR(VLOOKUP(F140,'Mã NV'!$B:$C,2,0),"")</f>
        <v>XE01283</v>
      </c>
      <c r="K140" s="23" t="str">
        <f t="shared" si="6"/>
        <v>Trừ lương lái xe Trịnh Cao Phong do Phạt Vi Phạm Thời Hiệu ngày 31/03/2026</v>
      </c>
      <c r="L140" s="23" t="str">
        <f t="shared" si="7"/>
        <v>54261</v>
      </c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ht="15.75" customHeight="1" spans="1:25">
      <c r="A141" s="19">
        <v>46116</v>
      </c>
      <c r="B141" s="35" t="s">
        <v>1182</v>
      </c>
      <c r="C141" s="35" t="s">
        <v>1183</v>
      </c>
      <c r="D141" s="35" t="s">
        <v>1184</v>
      </c>
      <c r="E141" s="35" t="s">
        <v>103</v>
      </c>
      <c r="F141" s="35" t="s">
        <v>101</v>
      </c>
      <c r="G141" s="21" t="s">
        <v>405</v>
      </c>
      <c r="H141" s="22">
        <v>670000</v>
      </c>
      <c r="I141" s="20" t="s">
        <v>1181</v>
      </c>
      <c r="J141" s="23" t="str">
        <f>IFERROR(VLOOKUP(F141,'Mã NV'!$B:$C,2,0),"")</f>
        <v>XE01434</v>
      </c>
      <c r="K141" s="23" t="str">
        <f t="shared" si="6"/>
        <v>Trừ lương lái xe Lê Quốc Quân do Phạt Vi Phạm Thời Hiệu ngày 04/04/2026</v>
      </c>
      <c r="L141" s="23" t="str">
        <f t="shared" si="7"/>
        <v>44369</v>
      </c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ht="15.75" customHeight="1" spans="1:25">
      <c r="A142" s="19">
        <v>46119</v>
      </c>
      <c r="B142" s="35" t="s">
        <v>1185</v>
      </c>
      <c r="C142" s="35" t="s">
        <v>1186</v>
      </c>
      <c r="D142" s="35" t="s">
        <v>1187</v>
      </c>
      <c r="E142" s="35" t="s">
        <v>300</v>
      </c>
      <c r="F142" s="35" t="s">
        <v>298</v>
      </c>
      <c r="G142" s="21" t="s">
        <v>405</v>
      </c>
      <c r="H142" s="22">
        <v>520000</v>
      </c>
      <c r="I142" s="20" t="s">
        <v>1181</v>
      </c>
      <c r="J142" s="23" t="str">
        <f>IFERROR(VLOOKUP(F142,'Mã NV'!$B:$C,2,0),"")</f>
        <v>XE01590</v>
      </c>
      <c r="K142" s="23" t="str">
        <f t="shared" si="6"/>
        <v>Trừ lương lái xe Cao Tuấn Anh do Phạt Vi Phạm Thời Hiệu ngày 07/04/2026</v>
      </c>
      <c r="L142" s="23" t="str">
        <f t="shared" si="7"/>
        <v>38159</v>
      </c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ht="15.75" customHeight="1" spans="1:25">
      <c r="A143" s="19">
        <v>46119</v>
      </c>
      <c r="B143" s="35" t="s">
        <v>1188</v>
      </c>
      <c r="C143" s="35" t="s">
        <v>1189</v>
      </c>
      <c r="D143" s="35" t="s">
        <v>1190</v>
      </c>
      <c r="E143" s="35" t="s">
        <v>76</v>
      </c>
      <c r="F143" s="35" t="s">
        <v>74</v>
      </c>
      <c r="G143" s="21" t="s">
        <v>405</v>
      </c>
      <c r="H143" s="22">
        <v>445000</v>
      </c>
      <c r="I143" s="20" t="s">
        <v>1181</v>
      </c>
      <c r="J143" s="23" t="str">
        <f>IFERROR(VLOOKUP(F143,'Mã NV'!$B:$C,2,0),"")</f>
        <v>XE00907</v>
      </c>
      <c r="K143" s="23" t="str">
        <f t="shared" si="6"/>
        <v>Trừ lương lái xe Hoả Văn Lâm do Phạt Vi Phạm Thời Hiệu ngày 07/04/2026</v>
      </c>
      <c r="L143" s="23" t="str">
        <f t="shared" si="7"/>
        <v>14310</v>
      </c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ht="15.75" customHeight="1" spans="1:25">
      <c r="A144" s="19">
        <v>46120</v>
      </c>
      <c r="B144" s="35" t="s">
        <v>1182</v>
      </c>
      <c r="C144" s="35" t="s">
        <v>1191</v>
      </c>
      <c r="D144" s="35" t="s">
        <v>1155</v>
      </c>
      <c r="E144" s="35" t="s">
        <v>275</v>
      </c>
      <c r="F144" s="35" t="s">
        <v>279</v>
      </c>
      <c r="G144" s="21" t="s">
        <v>405</v>
      </c>
      <c r="H144" s="22">
        <v>745000</v>
      </c>
      <c r="I144" s="20" t="s">
        <v>1181</v>
      </c>
      <c r="J144" s="23" t="str">
        <f>IFERROR(VLOOKUP(F144,'Mã NV'!$B:$C,2,0),"")</f>
        <v>XE01530</v>
      </c>
      <c r="K144" s="23" t="str">
        <f t="shared" si="6"/>
        <v>Trừ lương lái xe Trần Đình Mẫn do Phạt Vi Phạm Thời Hiệu ngày 08/04/2026</v>
      </c>
      <c r="L144" s="23" t="str">
        <f t="shared" si="7"/>
        <v>38331</v>
      </c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ht="15.75" customHeight="1" spans="1:25">
      <c r="A145" s="19">
        <v>46112</v>
      </c>
      <c r="B145" s="35" t="s">
        <v>1178</v>
      </c>
      <c r="C145" s="35" t="s">
        <v>1179</v>
      </c>
      <c r="D145" s="35" t="s">
        <v>1180</v>
      </c>
      <c r="E145" s="35" t="s">
        <v>223</v>
      </c>
      <c r="F145" s="35" t="s">
        <v>296</v>
      </c>
      <c r="G145" s="21" t="s">
        <v>405</v>
      </c>
      <c r="H145" s="22">
        <v>820000</v>
      </c>
      <c r="I145" s="20" t="s">
        <v>1181</v>
      </c>
      <c r="J145" s="23" t="str">
        <f>IFERROR(VLOOKUP(F145,'Mã NV'!$B:$C,2,0),"")</f>
        <v>XE01541</v>
      </c>
      <c r="K145" s="23" t="str">
        <f t="shared" si="6"/>
        <v>Trừ lương lái xe Lê Thanh Sơn do Phạt Vi Phạm Thời Hiệu ngày 31/03/2026</v>
      </c>
      <c r="L145" s="23" t="str">
        <f t="shared" si="7"/>
        <v>54261</v>
      </c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ht="15.75" customHeight="1" spans="1:25">
      <c r="A146" s="19">
        <v>46116</v>
      </c>
      <c r="B146" s="35" t="s">
        <v>1182</v>
      </c>
      <c r="C146" s="35" t="s">
        <v>1183</v>
      </c>
      <c r="D146" s="35" t="s">
        <v>1184</v>
      </c>
      <c r="E146" s="35" t="s">
        <v>103</v>
      </c>
      <c r="F146" s="35" t="s">
        <v>172</v>
      </c>
      <c r="G146" s="21" t="s">
        <v>405</v>
      </c>
      <c r="H146" s="22">
        <v>670000</v>
      </c>
      <c r="I146" s="20" t="s">
        <v>1181</v>
      </c>
      <c r="J146" s="23" t="str">
        <f>IFERROR(VLOOKUP(F146,'Mã NV'!$B:$C,2,0),"")</f>
        <v>XE01433</v>
      </c>
      <c r="K146" s="23" t="str">
        <f t="shared" si="6"/>
        <v>Trừ lương lái xe Nguyễn Văn Chí do Phạt Vi Phạm Thời Hiệu ngày 04/04/2026</v>
      </c>
      <c r="L146" s="23" t="str">
        <f t="shared" si="7"/>
        <v>44369</v>
      </c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ht="15.75" customHeight="1" spans="1:25">
      <c r="A147" s="19">
        <v>46119</v>
      </c>
      <c r="B147" s="35" t="s">
        <v>1185</v>
      </c>
      <c r="C147" s="35" t="s">
        <v>1186</v>
      </c>
      <c r="D147" s="35" t="s">
        <v>1187</v>
      </c>
      <c r="E147" s="35" t="s">
        <v>300</v>
      </c>
      <c r="F147" s="35" t="s">
        <v>301</v>
      </c>
      <c r="G147" s="21" t="s">
        <v>405</v>
      </c>
      <c r="H147" s="22">
        <v>520000</v>
      </c>
      <c r="I147" s="20" t="s">
        <v>1181</v>
      </c>
      <c r="J147" s="23" t="str">
        <f>IFERROR(VLOOKUP(F147,'Mã NV'!$B:$C,2,0),"")</f>
        <v>XE01591</v>
      </c>
      <c r="K147" s="23" t="str">
        <f t="shared" si="6"/>
        <v>Trừ lương lái xe Cao Phong Anh do Phạt Vi Phạm Thời Hiệu ngày 07/04/2026</v>
      </c>
      <c r="L147" s="23" t="str">
        <f t="shared" si="7"/>
        <v>38159</v>
      </c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ht="15.75" customHeight="1" spans="1:25">
      <c r="A148" s="19">
        <v>46119</v>
      </c>
      <c r="B148" s="35" t="s">
        <v>1188</v>
      </c>
      <c r="C148" s="35" t="s">
        <v>1189</v>
      </c>
      <c r="D148" s="35" t="s">
        <v>1190</v>
      </c>
      <c r="E148" s="35" t="s">
        <v>76</v>
      </c>
      <c r="F148" s="35" t="s">
        <v>77</v>
      </c>
      <c r="G148" s="21" t="s">
        <v>405</v>
      </c>
      <c r="H148" s="22">
        <v>445000</v>
      </c>
      <c r="I148" s="20" t="s">
        <v>1181</v>
      </c>
      <c r="J148" s="23" t="str">
        <f>IFERROR(VLOOKUP(F148,'Mã NV'!$B:$C,2,0),"")</f>
        <v>XE00908</v>
      </c>
      <c r="K148" s="23" t="str">
        <f t="shared" si="6"/>
        <v>Trừ lương lái xe Hoả Văn Quyết do Phạt Vi Phạm Thời Hiệu ngày 07/04/2026</v>
      </c>
      <c r="L148" s="23" t="str">
        <f t="shared" si="7"/>
        <v>14310</v>
      </c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ht="15.75" customHeight="1" spans="1:25">
      <c r="A149" s="19">
        <v>46120</v>
      </c>
      <c r="B149" s="35" t="s">
        <v>1182</v>
      </c>
      <c r="C149" s="35" t="s">
        <v>1191</v>
      </c>
      <c r="D149" s="35" t="s">
        <v>1155</v>
      </c>
      <c r="E149" s="35" t="s">
        <v>275</v>
      </c>
      <c r="F149" s="35" t="s">
        <v>331</v>
      </c>
      <c r="G149" s="21" t="s">
        <v>405</v>
      </c>
      <c r="H149" s="22">
        <v>745000</v>
      </c>
      <c r="I149" s="20" t="s">
        <v>1181</v>
      </c>
      <c r="J149" s="23" t="str">
        <f>IFERROR(VLOOKUP(F149,'Mã NV'!$B:$C,2,0),"")</f>
        <v>XE01540</v>
      </c>
      <c r="K149" s="23" t="str">
        <f t="shared" si="6"/>
        <v>Trừ lương lái xe Huỳnh Tấn Huynh do Phạt Vi Phạm Thời Hiệu ngày 08/04/2026</v>
      </c>
      <c r="L149" s="23" t="str">
        <f t="shared" si="7"/>
        <v>38331</v>
      </c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ht="15.75" customHeight="1" spans="1:25">
      <c r="A150" s="19"/>
      <c r="B150" s="35"/>
      <c r="C150" s="35"/>
      <c r="D150" s="35"/>
      <c r="E150" s="35"/>
      <c r="F150" s="35"/>
      <c r="G150" s="21"/>
      <c r="H150" s="22"/>
      <c r="I150" s="20"/>
      <c r="J150" s="23" t="str">
        <f>IFERROR(VLOOKUP(F150,'Mã NV'!$B:$C,2,0),"")</f>
        <v/>
      </c>
      <c r="K150" s="23" t="str">
        <f t="shared" si="6"/>
        <v>Trừ lương lái xe  do  ngày 00/01/1900</v>
      </c>
      <c r="L150" s="23" t="str">
        <f t="shared" si="7"/>
        <v/>
      </c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ht="15.75" customHeight="1" spans="1:25">
      <c r="A151" s="19"/>
      <c r="B151" s="35"/>
      <c r="C151" s="35"/>
      <c r="D151" s="35"/>
      <c r="E151" s="35"/>
      <c r="F151" s="35"/>
      <c r="G151" s="21"/>
      <c r="H151" s="22"/>
      <c r="I151" s="20"/>
      <c r="J151" s="23" t="str">
        <f>IFERROR(VLOOKUP(F151,'Mã NV'!$B:$C,2,0),"")</f>
        <v/>
      </c>
      <c r="K151" s="23" t="str">
        <f t="shared" si="6"/>
        <v>Trừ lương lái xe  do  ngày 00/01/1900</v>
      </c>
      <c r="L151" s="23" t="str">
        <f t="shared" si="7"/>
        <v/>
      </c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ht="15.75" customHeight="1" spans="1:25">
      <c r="A152" s="19"/>
      <c r="B152" s="35"/>
      <c r="C152" s="35"/>
      <c r="D152" s="35"/>
      <c r="E152" s="35"/>
      <c r="F152" s="35"/>
      <c r="G152" s="21"/>
      <c r="H152" s="22"/>
      <c r="I152" s="20"/>
      <c r="J152" s="23" t="str">
        <f>IFERROR(VLOOKUP(F152,'Mã NV'!$B:$C,2,0),"")</f>
        <v/>
      </c>
      <c r="K152" s="23" t="str">
        <f t="shared" si="6"/>
        <v>Trừ lương lái xe  do  ngày 00/01/1900</v>
      </c>
      <c r="L152" s="23" t="str">
        <f t="shared" si="7"/>
        <v/>
      </c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ht="15.75" customHeight="1" spans="1:25">
      <c r="A153" s="19"/>
      <c r="B153" s="35"/>
      <c r="C153" s="35"/>
      <c r="D153" s="35"/>
      <c r="E153" s="35"/>
      <c r="F153" s="35"/>
      <c r="G153" s="21"/>
      <c r="H153" s="22"/>
      <c r="I153" s="20"/>
      <c r="J153" s="23" t="str">
        <f>IFERROR(VLOOKUP(F153,'Mã NV'!$B:$C,2,0),"")</f>
        <v/>
      </c>
      <c r="K153" s="23" t="str">
        <f t="shared" si="6"/>
        <v>Trừ lương lái xe  do  ngày 00/01/1900</v>
      </c>
      <c r="L153" s="23" t="str">
        <f t="shared" si="7"/>
        <v/>
      </c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ht="15.75" customHeight="1" spans="1:25">
      <c r="A154" s="19"/>
      <c r="B154" s="35"/>
      <c r="C154" s="35"/>
      <c r="D154" s="35"/>
      <c r="E154" s="35"/>
      <c r="F154" s="35"/>
      <c r="G154" s="21"/>
      <c r="H154" s="22"/>
      <c r="I154" s="20"/>
      <c r="J154" s="23" t="str">
        <f>IFERROR(VLOOKUP(F154,'Mã NV'!$B:$C,2,0),"")</f>
        <v/>
      </c>
      <c r="K154" s="23" t="str">
        <f t="shared" si="6"/>
        <v>Trừ lương lái xe  do  ngày 00/01/1900</v>
      </c>
      <c r="L154" s="23" t="str">
        <f t="shared" si="7"/>
        <v/>
      </c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ht="15.75" customHeight="1" spans="1:25">
      <c r="A155" s="19"/>
      <c r="B155" s="35"/>
      <c r="C155" s="35"/>
      <c r="D155" s="35"/>
      <c r="E155" s="35"/>
      <c r="F155" s="35"/>
      <c r="G155" s="21"/>
      <c r="H155" s="22"/>
      <c r="I155" s="20"/>
      <c r="J155" s="23" t="str">
        <f>IFERROR(VLOOKUP(F155,'Mã NV'!$B:$C,2,0),"")</f>
        <v/>
      </c>
      <c r="K155" s="23" t="str">
        <f t="shared" si="6"/>
        <v>Trừ lương lái xe  do  ngày 00/01/1900</v>
      </c>
      <c r="L155" s="23" t="str">
        <f t="shared" si="7"/>
        <v/>
      </c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ht="21.75" customHeight="1" spans="1:25">
      <c r="A156" s="24" t="s">
        <v>1192</v>
      </c>
      <c r="B156" s="25"/>
      <c r="C156" s="25"/>
      <c r="D156" s="25"/>
      <c r="E156" s="25"/>
      <c r="F156" s="25"/>
      <c r="G156" s="26"/>
      <c r="H156" s="27">
        <f>SUM(H4:H155)</f>
        <v>169341816.795989</v>
      </c>
      <c r="I156" s="28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ht="15.75" customHeight="1" spans="1:25">
      <c r="G157" s="13"/>
    </row>
    <row r="158" ht="15.75" customHeight="1" spans="1:25">
      <c r="G158" s="13"/>
    </row>
    <row r="159" ht="15.75" customHeight="1" spans="1:25">
      <c r="G159" s="13"/>
    </row>
    <row r="160" ht="15.75" customHeight="1" spans="1:25">
      <c r="G160" s="13"/>
    </row>
    <row r="161" ht="15.75" customHeight="1" spans="7:7">
      <c r="G161" s="13"/>
    </row>
    <row r="162" ht="15.75" customHeight="1" spans="7:7">
      <c r="G162" s="13"/>
    </row>
    <row r="163" ht="15.75" customHeight="1" spans="7:7">
      <c r="G163" s="13"/>
    </row>
    <row r="164" ht="15.75" customHeight="1" spans="7:7">
      <c r="G164" s="13"/>
    </row>
    <row r="165" ht="15.75" customHeight="1" spans="7:7">
      <c r="G165" s="13"/>
    </row>
    <row r="166" ht="15.75" customHeight="1" spans="7:7">
      <c r="G166" s="13"/>
    </row>
    <row r="167" ht="15.75" customHeight="1" spans="7:7">
      <c r="G167" s="13"/>
    </row>
    <row r="168" ht="15.75" customHeight="1" spans="7:7">
      <c r="G168" s="13"/>
    </row>
    <row r="169" ht="15.75" customHeight="1" spans="7:7">
      <c r="G169" s="13"/>
    </row>
    <row r="170" ht="15.75" customHeight="1" spans="7:7">
      <c r="G170" s="13"/>
    </row>
    <row r="171" ht="15.75" customHeight="1" spans="7:7">
      <c r="G171" s="13"/>
    </row>
    <row r="172" ht="15.75" customHeight="1" spans="7:7">
      <c r="G172" s="13"/>
    </row>
    <row r="173" ht="15.75" customHeight="1" spans="7:7">
      <c r="G173" s="13"/>
    </row>
    <row r="174" ht="15.75" customHeight="1" spans="7:7">
      <c r="G174" s="13"/>
    </row>
    <row r="175" ht="15.75" customHeight="1" spans="7:7">
      <c r="G175" s="13"/>
    </row>
    <row r="176" ht="15.75" customHeight="1" spans="7:7">
      <c r="G176" s="13"/>
    </row>
    <row r="177" ht="15.75" customHeight="1" spans="7:7">
      <c r="G177" s="13"/>
    </row>
    <row r="178" ht="15.75" customHeight="1" spans="7:7">
      <c r="G178" s="13"/>
    </row>
    <row r="179" ht="15.75" customHeight="1" spans="7:7">
      <c r="G179" s="13"/>
    </row>
    <row r="180" ht="15.75" customHeight="1" spans="7:7">
      <c r="G180" s="13"/>
    </row>
    <row r="181" ht="15.75" customHeight="1" spans="7:7">
      <c r="G181" s="13"/>
    </row>
    <row r="182" ht="15.75" customHeight="1" spans="7:7">
      <c r="G182" s="13"/>
    </row>
    <row r="183" ht="15.75" customHeight="1" spans="7:7">
      <c r="G183" s="13"/>
    </row>
    <row r="184" ht="15.75" customHeight="1" spans="7:7">
      <c r="G184" s="13"/>
    </row>
    <row r="185" ht="15.75" customHeight="1" spans="7:7">
      <c r="G185" s="13"/>
    </row>
    <row r="186" ht="15.75" customHeight="1" spans="7:7">
      <c r="G186" s="13"/>
    </row>
    <row r="187" ht="15.75" customHeight="1" spans="7:7">
      <c r="G187" s="13"/>
    </row>
    <row r="188" ht="15.75" customHeight="1" spans="7:7">
      <c r="G188" s="13"/>
    </row>
    <row r="189" ht="15.75" customHeight="1" spans="7:7">
      <c r="G189" s="13"/>
    </row>
    <row r="190" ht="15.75" customHeight="1" spans="7:7">
      <c r="G190" s="13"/>
    </row>
    <row r="191" ht="15.75" customHeight="1" spans="7:7">
      <c r="G191" s="13"/>
    </row>
    <row r="192" ht="15.75" customHeight="1" spans="7:7">
      <c r="G192" s="13"/>
    </row>
    <row r="193" ht="15.75" customHeight="1" spans="7:7">
      <c r="G193" s="13"/>
    </row>
    <row r="194" ht="15.75" customHeight="1" spans="7:7">
      <c r="G194" s="13"/>
    </row>
    <row r="195" ht="15.75" customHeight="1" spans="7:7">
      <c r="G195" s="13"/>
    </row>
    <row r="196" ht="15.75" customHeight="1" spans="7:7">
      <c r="G196" s="13"/>
    </row>
    <row r="197" ht="15.75" customHeight="1" spans="7:7">
      <c r="G197" s="13"/>
    </row>
    <row r="198" ht="15.75" customHeight="1" spans="7:7">
      <c r="G198" s="13"/>
    </row>
    <row r="199" ht="15.75" customHeight="1" spans="7:7">
      <c r="G199" s="13"/>
    </row>
    <row r="200" ht="15.75" customHeight="1" spans="7:7">
      <c r="G200" s="13"/>
    </row>
    <row r="201" ht="15.75" customHeight="1" spans="7:7">
      <c r="G201" s="13"/>
    </row>
    <row r="202" ht="15.75" customHeight="1" spans="7:7">
      <c r="G202" s="13"/>
    </row>
    <row r="203" ht="15.75" customHeight="1" spans="7:7">
      <c r="G203" s="13"/>
    </row>
    <row r="204" ht="15.75" customHeight="1" spans="7:7">
      <c r="G204" s="13"/>
    </row>
    <row r="205" ht="15.75" customHeight="1" spans="7:7">
      <c r="G205" s="13"/>
    </row>
    <row r="206" ht="15.75" customHeight="1" spans="7:7">
      <c r="G206" s="13"/>
    </row>
    <row r="207" ht="15.75" customHeight="1" spans="7:7">
      <c r="G207" s="13"/>
    </row>
    <row r="208" ht="15.75" customHeight="1" spans="7:7">
      <c r="G208" s="13"/>
    </row>
    <row r="209" ht="15.75" customHeight="1" spans="7:7">
      <c r="G209" s="13"/>
    </row>
    <row r="210" ht="15.75" customHeight="1" spans="7:7">
      <c r="G210" s="13"/>
    </row>
    <row r="211" ht="15.75" customHeight="1" spans="7:7">
      <c r="G211" s="13"/>
    </row>
    <row r="212" ht="15.75" customHeight="1" spans="7:7">
      <c r="G212" s="13"/>
    </row>
    <row r="213" ht="15.75" customHeight="1" spans="7:7">
      <c r="G213" s="13"/>
    </row>
    <row r="214" ht="15.75" customHeight="1" spans="7:7">
      <c r="G214" s="13"/>
    </row>
    <row r="215" ht="15.75" customHeight="1" spans="7:7">
      <c r="G215" s="13"/>
    </row>
    <row r="216" ht="15.75" customHeight="1" spans="7:7">
      <c r="G216" s="13"/>
    </row>
    <row r="217" ht="15.75" customHeight="1" spans="7:7">
      <c r="G217" s="13"/>
    </row>
    <row r="218" ht="15.75" customHeight="1" spans="7:7">
      <c r="G218" s="13"/>
    </row>
    <row r="219" ht="15.75" customHeight="1" spans="7:7">
      <c r="G219" s="13"/>
    </row>
    <row r="220" ht="15.75" customHeight="1" spans="7:7">
      <c r="G220" s="13"/>
    </row>
    <row r="221" ht="15.75" customHeight="1" spans="7:7">
      <c r="G221" s="13"/>
    </row>
    <row r="222" ht="15.75" customHeight="1" spans="7:7">
      <c r="G222" s="13"/>
    </row>
    <row r="223" ht="15.75" customHeight="1" spans="7:7">
      <c r="G223" s="13"/>
    </row>
    <row r="224" ht="15.75" customHeight="1" spans="7:7">
      <c r="G224" s="13"/>
    </row>
    <row r="225" ht="15.75" customHeight="1" spans="7:7">
      <c r="G225" s="13"/>
    </row>
    <row r="226" ht="15.75" customHeight="1" spans="7:7">
      <c r="G226" s="13"/>
    </row>
    <row r="227" ht="15.75" customHeight="1" spans="7:7">
      <c r="G227" s="13"/>
    </row>
    <row r="228" ht="15.75" customHeight="1" spans="7:7">
      <c r="G228" s="13"/>
    </row>
    <row r="229" ht="15.75" customHeight="1" spans="7:7">
      <c r="G229" s="13"/>
    </row>
    <row r="230" ht="15.75" customHeight="1" spans="7:7">
      <c r="G230" s="13"/>
    </row>
    <row r="231" ht="15.75" customHeight="1" spans="7:7">
      <c r="G231" s="13"/>
    </row>
    <row r="232" ht="15.75" customHeight="1" spans="7:7">
      <c r="G232" s="13"/>
    </row>
    <row r="233" ht="15.75" customHeight="1" spans="7:7">
      <c r="G233" s="13"/>
    </row>
    <row r="234" ht="15.75" customHeight="1" spans="7:7">
      <c r="G234" s="13"/>
    </row>
    <row r="235" ht="15.75" customHeight="1" spans="7:7">
      <c r="G235" s="13"/>
    </row>
    <row r="236" ht="15.75" customHeight="1" spans="7:7">
      <c r="G236" s="13"/>
    </row>
    <row r="237" ht="15.75" customHeight="1" spans="7:7">
      <c r="G237" s="13"/>
    </row>
    <row r="238" ht="15.75" customHeight="1" spans="7:7">
      <c r="G238" s="13"/>
    </row>
    <row r="239" ht="15.75" customHeight="1" spans="7:7">
      <c r="G239" s="13"/>
    </row>
    <row r="240" ht="15.75" customHeight="1" spans="7:7">
      <c r="G240" s="13"/>
    </row>
    <row r="241" ht="15.75" customHeight="1" spans="7:7">
      <c r="G241" s="13"/>
    </row>
    <row r="242" ht="15.75" customHeight="1" spans="7:7">
      <c r="G242" s="13"/>
    </row>
    <row r="243" ht="15.75" customHeight="1" spans="7:7">
      <c r="G243" s="13"/>
    </row>
    <row r="244" ht="15.75" customHeight="1" spans="7:7">
      <c r="G244" s="13"/>
    </row>
    <row r="245" ht="15.75" customHeight="1" spans="7:7">
      <c r="G245" s="13"/>
    </row>
    <row r="246" ht="15.75" customHeight="1" spans="7:7">
      <c r="G246" s="13"/>
    </row>
    <row r="247" ht="15.75" customHeight="1" spans="7:7">
      <c r="G247" s="13"/>
    </row>
    <row r="248" ht="15.75" customHeight="1" spans="7:7">
      <c r="G248" s="13"/>
    </row>
    <row r="249" ht="15.75" customHeight="1" spans="7:7">
      <c r="G249" s="13"/>
    </row>
    <row r="250" ht="15.75" customHeight="1" spans="7:7">
      <c r="G250" s="13"/>
    </row>
    <row r="251" ht="15.75" customHeight="1" spans="7:7">
      <c r="G251" s="13"/>
    </row>
    <row r="252" ht="15.75" customHeight="1" spans="7:7">
      <c r="G252" s="13"/>
    </row>
    <row r="253" ht="15.75" customHeight="1" spans="7:7">
      <c r="G253" s="13"/>
    </row>
    <row r="254" ht="15.75" customHeight="1" spans="7:7">
      <c r="G254" s="13"/>
    </row>
    <row r="255" ht="15.75" customHeight="1" spans="7:7">
      <c r="G255" s="13"/>
    </row>
    <row r="256" ht="15.75" customHeight="1" spans="7:7">
      <c r="G256" s="13"/>
    </row>
    <row r="257" ht="15.75" customHeight="1" spans="7:7">
      <c r="G257" s="13"/>
    </row>
    <row r="258" ht="15.75" customHeight="1" spans="7:7">
      <c r="G258" s="13"/>
    </row>
    <row r="259" ht="15.75" customHeight="1" spans="7:7">
      <c r="G259" s="13"/>
    </row>
    <row r="260" ht="15.75" customHeight="1" spans="7:7">
      <c r="G260" s="13"/>
    </row>
    <row r="261" ht="15.75" customHeight="1" spans="7:7">
      <c r="G261" s="13"/>
    </row>
    <row r="262" ht="15.75" customHeight="1" spans="7:7">
      <c r="G262" s="13"/>
    </row>
    <row r="263" ht="15.75" customHeight="1" spans="7:7">
      <c r="G263" s="13"/>
    </row>
    <row r="264" ht="15.75" customHeight="1" spans="7:7">
      <c r="G264" s="13"/>
    </row>
    <row r="265" ht="15.75" customHeight="1" spans="7:7">
      <c r="G265" s="13"/>
    </row>
    <row r="266" ht="15.75" customHeight="1" spans="7:7">
      <c r="G266" s="13"/>
    </row>
    <row r="267" ht="15.75" customHeight="1" spans="7:7">
      <c r="G267" s="13"/>
    </row>
    <row r="268" ht="15.75" customHeight="1" spans="7:7">
      <c r="G268" s="13"/>
    </row>
    <row r="269" ht="15.75" customHeight="1" spans="7:7">
      <c r="G269" s="13"/>
    </row>
    <row r="270" ht="15.75" customHeight="1" spans="7:7">
      <c r="G270" s="13"/>
    </row>
    <row r="271" ht="15.75" customHeight="1" spans="7:7">
      <c r="G271" s="13"/>
    </row>
    <row r="272" ht="15.75" customHeight="1" spans="7:7">
      <c r="G272" s="13"/>
    </row>
    <row r="273" ht="15.75" customHeight="1" spans="7:7">
      <c r="G273" s="13"/>
    </row>
    <row r="274" ht="15.75" customHeight="1" spans="7:7">
      <c r="G274" s="13"/>
    </row>
    <row r="275" ht="15.75" customHeight="1" spans="7:7">
      <c r="G275" s="13"/>
    </row>
    <row r="276" ht="15.75" customHeight="1" spans="7:7">
      <c r="G276" s="13"/>
    </row>
    <row r="277" ht="15.75" customHeight="1" spans="7:7">
      <c r="G277" s="13"/>
    </row>
    <row r="278" ht="15.75" customHeight="1" spans="7:7">
      <c r="G278" s="13"/>
    </row>
    <row r="279" ht="15.75" customHeight="1" spans="7:7">
      <c r="G279" s="13"/>
    </row>
    <row r="280" ht="15.75" customHeight="1" spans="7:7">
      <c r="G280" s="13"/>
    </row>
    <row r="281" ht="15.75" customHeight="1" spans="7:7">
      <c r="G281" s="13"/>
    </row>
    <row r="282" ht="15.75" customHeight="1" spans="7:7">
      <c r="G282" s="13"/>
    </row>
    <row r="283" ht="15.75" customHeight="1" spans="7:7">
      <c r="G283" s="13"/>
    </row>
    <row r="284" ht="15.75" customHeight="1" spans="7:7">
      <c r="G284" s="13"/>
    </row>
    <row r="285" ht="15.75" customHeight="1" spans="7:7">
      <c r="G285" s="13"/>
    </row>
    <row r="286" ht="15.75" customHeight="1" spans="7:7">
      <c r="G286" s="13"/>
    </row>
    <row r="287" ht="15.75" customHeight="1" spans="7:7">
      <c r="G287" s="13"/>
    </row>
    <row r="288" ht="15.75" customHeight="1" spans="7:7">
      <c r="G288" s="13"/>
    </row>
    <row r="289" ht="15.75" customHeight="1" spans="7:7">
      <c r="G289" s="13"/>
    </row>
    <row r="290" ht="15.75" customHeight="1" spans="7:7">
      <c r="G290" s="13"/>
    </row>
    <row r="291" ht="15.75" customHeight="1" spans="7:7">
      <c r="G291" s="13"/>
    </row>
    <row r="292" ht="15.75" customHeight="1" spans="7:7">
      <c r="G292" s="13"/>
    </row>
    <row r="293" ht="15.75" customHeight="1" spans="7:7">
      <c r="G293" s="13"/>
    </row>
    <row r="294" ht="15.75" customHeight="1" spans="7:7">
      <c r="G294" s="13"/>
    </row>
    <row r="295" ht="15.75" customHeight="1" spans="7:7">
      <c r="G295" s="13"/>
    </row>
    <row r="296" ht="15.75" customHeight="1" spans="7:7">
      <c r="G296" s="13"/>
    </row>
    <row r="297" ht="15.75" customHeight="1" spans="7:7">
      <c r="G297" s="13"/>
    </row>
    <row r="298" ht="15.75" customHeight="1" spans="7:7">
      <c r="G298" s="13"/>
    </row>
    <row r="299" ht="15.75" customHeight="1" spans="7:7">
      <c r="G299" s="13"/>
    </row>
    <row r="300" ht="15.75" customHeight="1" spans="7:7">
      <c r="G300" s="13"/>
    </row>
    <row r="301" ht="15.75" customHeight="1" spans="7:7">
      <c r="G301" s="13"/>
    </row>
    <row r="302" ht="15.75" customHeight="1" spans="7:7">
      <c r="G302" s="13"/>
    </row>
    <row r="303" ht="15.75" customHeight="1" spans="7:7">
      <c r="G303" s="13"/>
    </row>
    <row r="304" ht="15.75" customHeight="1" spans="7:7">
      <c r="G304" s="13"/>
    </row>
    <row r="305" ht="15.75" customHeight="1" spans="7:7">
      <c r="G305" s="13"/>
    </row>
    <row r="306" ht="15.75" customHeight="1" spans="7:7">
      <c r="G306" s="13"/>
    </row>
    <row r="307" ht="15.75" customHeight="1" spans="7:7">
      <c r="G307" s="13"/>
    </row>
    <row r="308" ht="15.75" customHeight="1" spans="7:7">
      <c r="G308" s="13"/>
    </row>
    <row r="309" ht="15.75" customHeight="1" spans="7:7">
      <c r="G309" s="13"/>
    </row>
    <row r="310" ht="15.75" customHeight="1" spans="7:7">
      <c r="G310" s="13"/>
    </row>
    <row r="311" ht="15.75" customHeight="1" spans="7:7">
      <c r="G311" s="13"/>
    </row>
    <row r="312" ht="15.75" customHeight="1" spans="7:7">
      <c r="G312" s="13"/>
    </row>
    <row r="313" ht="15.75" customHeight="1" spans="7:7">
      <c r="G313" s="13"/>
    </row>
    <row r="314" ht="15.75" customHeight="1" spans="7:7">
      <c r="G314" s="13"/>
    </row>
    <row r="315" ht="15.75" customHeight="1" spans="7:7">
      <c r="G315" s="13"/>
    </row>
    <row r="316" ht="15.75" customHeight="1" spans="7:7">
      <c r="G316" s="13"/>
    </row>
    <row r="317" ht="15.75" customHeight="1" spans="7:7">
      <c r="G317" s="13"/>
    </row>
    <row r="318" ht="15.75" customHeight="1" spans="7:7">
      <c r="G318" s="13"/>
    </row>
    <row r="319" ht="15.75" customHeight="1" spans="7:7">
      <c r="G319" s="13"/>
    </row>
    <row r="320" ht="15.75" customHeight="1" spans="7:7">
      <c r="G320" s="13"/>
    </row>
    <row r="321" ht="15.75" customHeight="1" spans="7:7">
      <c r="G321" s="13"/>
    </row>
    <row r="322" ht="15.75" customHeight="1" spans="7:7">
      <c r="G322" s="13"/>
    </row>
    <row r="323" ht="15.75" customHeight="1" spans="7:7">
      <c r="G323" s="13"/>
    </row>
    <row r="324" ht="15.75" customHeight="1" spans="7:7">
      <c r="G324" s="13"/>
    </row>
    <row r="325" ht="15.75" customHeight="1" spans="7:7">
      <c r="G325" s="13"/>
    </row>
    <row r="326" ht="15.75" customHeight="1" spans="7:7">
      <c r="G326" s="13"/>
    </row>
    <row r="327" ht="15.75" customHeight="1" spans="7:7">
      <c r="G327" s="13"/>
    </row>
    <row r="328" ht="15.75" customHeight="1" spans="7:7">
      <c r="G328" s="13"/>
    </row>
    <row r="329" ht="15.75" customHeight="1" spans="7:7">
      <c r="G329" s="13"/>
    </row>
    <row r="330" ht="15.75" customHeight="1" spans="7:7">
      <c r="G330" s="13"/>
    </row>
    <row r="331" ht="15.75" customHeight="1" spans="7:7">
      <c r="G331" s="13"/>
    </row>
    <row r="332" ht="15.75" customHeight="1" spans="7:7">
      <c r="G332" s="13"/>
    </row>
    <row r="333" ht="15.75" customHeight="1" spans="7:7">
      <c r="G333" s="13"/>
    </row>
    <row r="334" ht="15.75" customHeight="1" spans="7:7">
      <c r="G334" s="13"/>
    </row>
    <row r="335" ht="15.75" customHeight="1" spans="7:7">
      <c r="G335" s="13"/>
    </row>
    <row r="336" ht="15.75" customHeight="1" spans="7:7">
      <c r="G336" s="13"/>
    </row>
    <row r="337" ht="15.75" customHeight="1" spans="7:7">
      <c r="G337" s="13"/>
    </row>
    <row r="338" ht="15.75" customHeight="1" spans="7:7">
      <c r="G338" s="13"/>
    </row>
    <row r="339" ht="15.75" customHeight="1" spans="7:7">
      <c r="G339" s="13"/>
    </row>
    <row r="340" ht="15.75" customHeight="1" spans="7:7">
      <c r="G340" s="13"/>
    </row>
    <row r="341" ht="15.75" customHeight="1" spans="7:7">
      <c r="G341" s="13"/>
    </row>
    <row r="342" ht="15.75" customHeight="1" spans="7:7">
      <c r="G342" s="13"/>
    </row>
    <row r="343" ht="15.75" customHeight="1" spans="7:7">
      <c r="G343" s="13"/>
    </row>
    <row r="344" ht="15.75" customHeight="1" spans="7:7">
      <c r="G344" s="13"/>
    </row>
    <row r="345" ht="15.75" customHeight="1" spans="7:7">
      <c r="G345" s="13"/>
    </row>
    <row r="346" ht="15.75" customHeight="1" spans="7:7">
      <c r="G346" s="13"/>
    </row>
    <row r="347" ht="15.75" customHeight="1" spans="7:7">
      <c r="G347" s="13"/>
    </row>
    <row r="348" ht="15.75" customHeight="1" spans="7:7">
      <c r="G348" s="13"/>
    </row>
    <row r="349" ht="15.75" customHeight="1" spans="7:7">
      <c r="G349" s="13"/>
    </row>
    <row r="350" ht="15.75" customHeight="1" spans="7:7">
      <c r="G350" s="13"/>
    </row>
    <row r="351" ht="15.75" customHeight="1" spans="7:7">
      <c r="G351" s="13"/>
    </row>
    <row r="352" ht="15.75" customHeight="1" spans="7:7">
      <c r="G352" s="13"/>
    </row>
    <row r="353" ht="15.75" customHeight="1" spans="7:7">
      <c r="G353" s="13"/>
    </row>
    <row r="354" ht="15.75" customHeight="1" spans="7:7">
      <c r="G354" s="13"/>
    </row>
    <row r="355" ht="15.75" customHeight="1" spans="7:7">
      <c r="G355" s="13"/>
    </row>
    <row r="356" ht="15.75" customHeight="1" spans="7:7">
      <c r="G356" s="13"/>
    </row>
    <row r="357" ht="15.75" customHeight="1" spans="7:7">
      <c r="G357" s="13"/>
    </row>
    <row r="358" ht="15.75" customHeight="1" spans="7:7">
      <c r="G358" s="13"/>
    </row>
    <row r="359" ht="15.75" customHeight="1" spans="7:7">
      <c r="G359" s="13"/>
    </row>
    <row r="360" ht="15.75" customHeight="1" spans="7:7">
      <c r="G360" s="13"/>
    </row>
    <row r="361" ht="15.75" customHeight="1" spans="7:7">
      <c r="G361" s="13"/>
    </row>
    <row r="362" ht="15.75" customHeight="1" spans="7:7">
      <c r="G362" s="13"/>
    </row>
    <row r="363" ht="15.75" customHeight="1" spans="7:7">
      <c r="G363" s="13"/>
    </row>
    <row r="364" ht="15.75" customHeight="1" spans="7:7">
      <c r="G364" s="13"/>
    </row>
    <row r="365" ht="15.75" customHeight="1" spans="7:7">
      <c r="G365" s="13"/>
    </row>
    <row r="366" ht="15.75" customHeight="1" spans="7:7">
      <c r="G366" s="13"/>
    </row>
    <row r="367" ht="15.75" customHeight="1" spans="7:7">
      <c r="G367" s="13"/>
    </row>
    <row r="368" ht="15.75" customHeight="1" spans="7:7">
      <c r="G368" s="13"/>
    </row>
    <row r="369" ht="15.75" customHeight="1" spans="7:7">
      <c r="G369" s="13"/>
    </row>
    <row r="370" ht="15.75" customHeight="1" spans="7:7">
      <c r="G370" s="13"/>
    </row>
    <row r="371" ht="15.75" customHeight="1" spans="7:7">
      <c r="G371" s="13"/>
    </row>
    <row r="372" ht="15.75" customHeight="1" spans="7:7">
      <c r="G372" s="13"/>
    </row>
    <row r="373" ht="15.75" customHeight="1" spans="7:7">
      <c r="G373" s="13"/>
    </row>
    <row r="374" ht="15.75" customHeight="1" spans="7:7">
      <c r="G374" s="13"/>
    </row>
    <row r="375" ht="15.75" customHeight="1" spans="7:7">
      <c r="G375" s="13"/>
    </row>
    <row r="376" ht="15.75" customHeight="1" spans="7:7">
      <c r="G376" s="13"/>
    </row>
    <row r="377" ht="15.75" customHeight="1" spans="7:7">
      <c r="G377" s="13"/>
    </row>
    <row r="378" ht="15.75" customHeight="1" spans="7:7">
      <c r="G378" s="13"/>
    </row>
    <row r="379" ht="15.75" customHeight="1" spans="7:7">
      <c r="G379" s="13"/>
    </row>
    <row r="380" ht="15.75" customHeight="1" spans="7:7">
      <c r="G380" s="13"/>
    </row>
    <row r="381" ht="15.75" customHeight="1" spans="7:7">
      <c r="G381" s="13"/>
    </row>
    <row r="382" ht="15.75" customHeight="1" spans="7:7">
      <c r="G382" s="13"/>
    </row>
    <row r="383" ht="15.75" customHeight="1" spans="7:7">
      <c r="G383" s="13"/>
    </row>
    <row r="384" ht="15.75" customHeight="1" spans="7:7">
      <c r="G384" s="13"/>
    </row>
    <row r="385" ht="15.75" customHeight="1" spans="7:7">
      <c r="G385" s="13"/>
    </row>
    <row r="386" ht="15.75" customHeight="1" spans="7:7">
      <c r="G386" s="13"/>
    </row>
    <row r="387" ht="15.75" customHeight="1" spans="7:7">
      <c r="G387" s="13"/>
    </row>
    <row r="388" ht="15.75" customHeight="1" spans="7:7">
      <c r="G388" s="13"/>
    </row>
    <row r="389" ht="15.75" customHeight="1" spans="7:7">
      <c r="G389" s="13"/>
    </row>
    <row r="390" ht="15.75" customHeight="1" spans="7:7">
      <c r="G390" s="13"/>
    </row>
    <row r="391" ht="15.75" customHeight="1" spans="7:7">
      <c r="G391" s="13"/>
    </row>
    <row r="392" ht="15.75" customHeight="1" spans="7:7">
      <c r="G392" s="13"/>
    </row>
    <row r="393" ht="15.75" customHeight="1" spans="7:7">
      <c r="G393" s="13"/>
    </row>
    <row r="394" ht="15.75" customHeight="1" spans="7:7">
      <c r="G394" s="13"/>
    </row>
    <row r="395" ht="15.75" customHeight="1" spans="7:7">
      <c r="G395" s="13"/>
    </row>
    <row r="396" ht="15.75" customHeight="1" spans="7:7">
      <c r="G396" s="13"/>
    </row>
    <row r="397" ht="15.75" customHeight="1" spans="7:7">
      <c r="G397" s="13"/>
    </row>
    <row r="398" ht="15.75" customHeight="1" spans="7:7">
      <c r="G398" s="13"/>
    </row>
    <row r="399" ht="15.75" customHeight="1" spans="7:7">
      <c r="G399" s="13"/>
    </row>
    <row r="400" ht="15.75" customHeight="1" spans="7:7">
      <c r="G400" s="13"/>
    </row>
    <row r="401" ht="15.75" customHeight="1" spans="7:7">
      <c r="G401" s="13"/>
    </row>
    <row r="402" ht="15.75" customHeight="1" spans="7:7">
      <c r="G402" s="13"/>
    </row>
    <row r="403" ht="15.75" customHeight="1" spans="7:7">
      <c r="G403" s="13"/>
    </row>
    <row r="404" ht="15.75" customHeight="1" spans="7:7">
      <c r="G404" s="13"/>
    </row>
    <row r="405" ht="15.75" customHeight="1" spans="7:7">
      <c r="G405" s="13"/>
    </row>
    <row r="406" ht="15.75" customHeight="1" spans="7:7">
      <c r="G406" s="13"/>
    </row>
    <row r="407" ht="15.75" customHeight="1" spans="7:7">
      <c r="G407" s="13"/>
    </row>
    <row r="408" ht="15.75" customHeight="1" spans="7:7">
      <c r="G408" s="13"/>
    </row>
    <row r="409" ht="15.75" customHeight="1" spans="7:7">
      <c r="G409" s="13"/>
    </row>
    <row r="410" ht="15.75" customHeight="1" spans="7:7">
      <c r="G410" s="13"/>
    </row>
    <row r="411" ht="15.75" customHeight="1" spans="7:7">
      <c r="G411" s="13"/>
    </row>
    <row r="412" ht="15.75" customHeight="1" spans="7:7">
      <c r="G412" s="13"/>
    </row>
    <row r="413" ht="15.75" customHeight="1" spans="7:7">
      <c r="G413" s="13"/>
    </row>
    <row r="414" ht="15.75" customHeight="1" spans="7:7">
      <c r="G414" s="13"/>
    </row>
    <row r="415" ht="15.75" customHeight="1" spans="7:7">
      <c r="G415" s="13"/>
    </row>
    <row r="416" ht="15.75" customHeight="1" spans="7:7">
      <c r="G416" s="13"/>
    </row>
    <row r="417" ht="15.75" customHeight="1" spans="7:7">
      <c r="G417" s="13"/>
    </row>
    <row r="418" ht="15.75" customHeight="1" spans="7:7">
      <c r="G418" s="13"/>
    </row>
    <row r="419" ht="15.75" customHeight="1" spans="7:7">
      <c r="G419" s="13"/>
    </row>
    <row r="420" ht="15.75" customHeight="1" spans="7:7">
      <c r="G420" s="13"/>
    </row>
    <row r="421" ht="15.75" customHeight="1" spans="7:7">
      <c r="G421" s="13"/>
    </row>
    <row r="422" ht="15.75" customHeight="1" spans="7:7">
      <c r="G422" s="13"/>
    </row>
    <row r="423" ht="15.75" customHeight="1" spans="7:7">
      <c r="G423" s="13"/>
    </row>
    <row r="424" ht="15.75" customHeight="1" spans="7:7">
      <c r="G424" s="13"/>
    </row>
    <row r="425" ht="15.75" customHeight="1" spans="7:7">
      <c r="G425" s="13"/>
    </row>
    <row r="426" ht="15.75" customHeight="1" spans="7:7">
      <c r="G426" s="13"/>
    </row>
    <row r="427" ht="15.75" customHeight="1" spans="7:7">
      <c r="G427" s="13"/>
    </row>
    <row r="428" ht="15.75" customHeight="1" spans="7:7">
      <c r="G428" s="13"/>
    </row>
    <row r="429" ht="15.75" customHeight="1" spans="7:7">
      <c r="G429" s="13"/>
    </row>
    <row r="430" ht="15.75" customHeight="1" spans="7:7">
      <c r="G430" s="13"/>
    </row>
    <row r="431" ht="15.75" customHeight="1" spans="7:7">
      <c r="G431" s="13"/>
    </row>
    <row r="432" ht="15.75" customHeight="1" spans="7:7">
      <c r="G432" s="13"/>
    </row>
    <row r="433" ht="15.75" customHeight="1" spans="7:7">
      <c r="G433" s="13"/>
    </row>
    <row r="434" ht="15.75" customHeight="1" spans="7:7">
      <c r="G434" s="13"/>
    </row>
    <row r="435" ht="15.75" customHeight="1" spans="7:7">
      <c r="G435" s="13"/>
    </row>
    <row r="436" ht="15.75" customHeight="1" spans="7:7">
      <c r="G436" s="13"/>
    </row>
    <row r="437" ht="15.75" customHeight="1" spans="7:7">
      <c r="G437" s="13"/>
    </row>
    <row r="438" ht="15.75" customHeight="1" spans="7:7">
      <c r="G438" s="13"/>
    </row>
    <row r="439" ht="15.75" customHeight="1" spans="7:7">
      <c r="G439" s="13"/>
    </row>
    <row r="440" ht="15.75" customHeight="1" spans="7:7">
      <c r="G440" s="13"/>
    </row>
    <row r="441" ht="15.75" customHeight="1" spans="7:7">
      <c r="G441" s="13"/>
    </row>
    <row r="442" ht="15.75" customHeight="1" spans="7:7">
      <c r="G442" s="13"/>
    </row>
    <row r="443" ht="15.75" customHeight="1" spans="7:7">
      <c r="G443" s="13"/>
    </row>
    <row r="444" ht="15.75" customHeight="1" spans="7:7">
      <c r="G444" s="13"/>
    </row>
    <row r="445" ht="15.75" customHeight="1" spans="7:7">
      <c r="G445" s="13"/>
    </row>
    <row r="446" ht="15.75" customHeight="1" spans="7:7">
      <c r="G446" s="13"/>
    </row>
    <row r="447" ht="15.75" customHeight="1" spans="7:7">
      <c r="G447" s="13"/>
    </row>
    <row r="448" ht="15.75" customHeight="1" spans="7:7">
      <c r="G448" s="13"/>
    </row>
    <row r="449" ht="15.75" customHeight="1" spans="7:7">
      <c r="G449" s="13"/>
    </row>
    <row r="450" ht="15.75" customHeight="1" spans="7:7">
      <c r="G450" s="13"/>
    </row>
    <row r="451" ht="15.75" customHeight="1" spans="7:7">
      <c r="G451" s="13"/>
    </row>
    <row r="452" ht="15.75" customHeight="1" spans="7:7">
      <c r="G452" s="13"/>
    </row>
    <row r="453" ht="15.75" customHeight="1" spans="7:7">
      <c r="G453" s="13"/>
    </row>
    <row r="454" ht="15.75" customHeight="1" spans="7:7">
      <c r="G454" s="13"/>
    </row>
    <row r="455" ht="15.75" customHeight="1" spans="7:7">
      <c r="G455" s="13"/>
    </row>
    <row r="456" ht="15.75" customHeight="1" spans="7:7">
      <c r="G456" s="13"/>
    </row>
    <row r="457" ht="15.75" customHeight="1" spans="7:7">
      <c r="G457" s="13"/>
    </row>
    <row r="458" ht="15.75" customHeight="1" spans="7:7">
      <c r="G458" s="13"/>
    </row>
    <row r="459" ht="15.75" customHeight="1" spans="7:7">
      <c r="G459" s="13"/>
    </row>
    <row r="460" ht="15.75" customHeight="1" spans="7:7">
      <c r="G460" s="13"/>
    </row>
    <row r="461" ht="15.75" customHeight="1" spans="7:7">
      <c r="G461" s="13"/>
    </row>
    <row r="462" ht="15.75" customHeight="1" spans="7:7">
      <c r="G462" s="13"/>
    </row>
    <row r="463" ht="15.75" customHeight="1" spans="7:7">
      <c r="G463" s="13"/>
    </row>
    <row r="464" ht="15.75" customHeight="1" spans="7:7">
      <c r="G464" s="13"/>
    </row>
    <row r="465" ht="15.75" customHeight="1" spans="7:7">
      <c r="G465" s="13"/>
    </row>
    <row r="466" ht="15.75" customHeight="1" spans="7:7">
      <c r="G466" s="13"/>
    </row>
    <row r="467" ht="15.75" customHeight="1" spans="7:7">
      <c r="G467" s="13"/>
    </row>
    <row r="468" ht="15.75" customHeight="1" spans="7:7">
      <c r="G468" s="13"/>
    </row>
    <row r="469" ht="15.75" customHeight="1" spans="7:7">
      <c r="G469" s="13"/>
    </row>
    <row r="470" ht="15.75" customHeight="1" spans="7:7">
      <c r="G470" s="13"/>
    </row>
    <row r="471" ht="15.75" customHeight="1" spans="7:7">
      <c r="G471" s="13"/>
    </row>
    <row r="472" ht="15.75" customHeight="1" spans="7:7">
      <c r="G472" s="13"/>
    </row>
    <row r="473" ht="15.75" customHeight="1" spans="7:7">
      <c r="G473" s="13"/>
    </row>
    <row r="474" ht="15.75" customHeight="1" spans="7:7">
      <c r="G474" s="13"/>
    </row>
    <row r="475" ht="15.75" customHeight="1" spans="7:7">
      <c r="G475" s="13"/>
    </row>
    <row r="476" ht="15.75" customHeight="1" spans="7:7">
      <c r="G476" s="13"/>
    </row>
    <row r="477" ht="15.75" customHeight="1" spans="7:7">
      <c r="G477" s="13"/>
    </row>
    <row r="478" ht="15.75" customHeight="1" spans="7:7">
      <c r="G478" s="13"/>
    </row>
    <row r="479" ht="15.75" customHeight="1" spans="7:7">
      <c r="G479" s="13"/>
    </row>
    <row r="480" ht="15.75" customHeight="1" spans="7:7">
      <c r="G480" s="13"/>
    </row>
    <row r="481" ht="15.75" customHeight="1" spans="7:7">
      <c r="G481" s="13"/>
    </row>
    <row r="482" ht="15.75" customHeight="1" spans="7:7">
      <c r="G482" s="13"/>
    </row>
    <row r="483" ht="15.75" customHeight="1" spans="7:7">
      <c r="G483" s="13"/>
    </row>
    <row r="484" ht="15.75" customHeight="1" spans="7:7">
      <c r="G484" s="13"/>
    </row>
    <row r="485" ht="15.75" customHeight="1" spans="7:7">
      <c r="G485" s="13"/>
    </row>
    <row r="486" ht="15.75" customHeight="1" spans="7:7">
      <c r="G486" s="13"/>
    </row>
    <row r="487" ht="15.75" customHeight="1" spans="7:7">
      <c r="G487" s="13"/>
    </row>
    <row r="488" ht="15.75" customHeight="1" spans="7:7">
      <c r="G488" s="13"/>
    </row>
    <row r="489" ht="15.75" customHeight="1" spans="7:7">
      <c r="G489" s="13"/>
    </row>
    <row r="490" ht="15.75" customHeight="1" spans="7:7">
      <c r="G490" s="13"/>
    </row>
    <row r="491" ht="15.75" customHeight="1" spans="7:7">
      <c r="G491" s="13"/>
    </row>
    <row r="492" ht="15.75" customHeight="1" spans="7:7">
      <c r="G492" s="13"/>
    </row>
    <row r="493" ht="15.75" customHeight="1" spans="7:7">
      <c r="G493" s="13"/>
    </row>
    <row r="494" ht="15.75" customHeight="1" spans="7:7">
      <c r="G494" s="13"/>
    </row>
    <row r="495" ht="15.75" customHeight="1" spans="7:7">
      <c r="G495" s="13"/>
    </row>
    <row r="496" ht="15.75" customHeight="1" spans="7:7">
      <c r="G496" s="13"/>
    </row>
    <row r="497" ht="15.75" customHeight="1" spans="7:7">
      <c r="G497" s="13"/>
    </row>
    <row r="498" ht="15.75" customHeight="1" spans="7:7">
      <c r="G498" s="13"/>
    </row>
    <row r="499" ht="15.75" customHeight="1" spans="7:7">
      <c r="G499" s="13"/>
    </row>
    <row r="500" ht="15.75" customHeight="1" spans="7:7">
      <c r="G500" s="13"/>
    </row>
    <row r="501" ht="15.75" customHeight="1" spans="7:7">
      <c r="G501" s="13"/>
    </row>
    <row r="502" ht="15.75" customHeight="1" spans="7:7">
      <c r="G502" s="13"/>
    </row>
    <row r="503" ht="15.75" customHeight="1" spans="7:7">
      <c r="G503" s="13"/>
    </row>
    <row r="504" ht="15.75" customHeight="1" spans="7:7">
      <c r="G504" s="13"/>
    </row>
    <row r="505" ht="15.75" customHeight="1" spans="7:7">
      <c r="G505" s="13"/>
    </row>
    <row r="506" ht="15.75" customHeight="1" spans="7:7">
      <c r="G506" s="13"/>
    </row>
    <row r="507" ht="15.75" customHeight="1" spans="7:7">
      <c r="G507" s="13"/>
    </row>
    <row r="508" ht="15.75" customHeight="1" spans="7:7">
      <c r="G508" s="13"/>
    </row>
    <row r="509" ht="15.75" customHeight="1" spans="7:7">
      <c r="G509" s="13"/>
    </row>
    <row r="510" ht="15.75" customHeight="1" spans="7:7">
      <c r="G510" s="13"/>
    </row>
    <row r="511" ht="15.75" customHeight="1" spans="7:7">
      <c r="G511" s="13"/>
    </row>
    <row r="512" ht="15.75" customHeight="1" spans="7:7">
      <c r="G512" s="13"/>
    </row>
    <row r="513" ht="15.75" customHeight="1" spans="7:7">
      <c r="G513" s="13"/>
    </row>
    <row r="514" ht="15.75" customHeight="1" spans="7:7">
      <c r="G514" s="13"/>
    </row>
    <row r="515" ht="15.75" customHeight="1" spans="7:7">
      <c r="G515" s="13"/>
    </row>
    <row r="516" ht="15.75" customHeight="1" spans="7:7">
      <c r="G516" s="13"/>
    </row>
    <row r="517" ht="15.75" customHeight="1" spans="7:7">
      <c r="G517" s="13"/>
    </row>
    <row r="518" ht="15.75" customHeight="1" spans="7:7">
      <c r="G518" s="13"/>
    </row>
    <row r="519" ht="15.75" customHeight="1" spans="7:7">
      <c r="G519" s="13"/>
    </row>
    <row r="520" ht="15.75" customHeight="1" spans="7:7">
      <c r="G520" s="13"/>
    </row>
    <row r="521" ht="15.75" customHeight="1" spans="7:7">
      <c r="G521" s="13"/>
    </row>
    <row r="522" ht="15.75" customHeight="1" spans="7:7">
      <c r="G522" s="13"/>
    </row>
    <row r="523" ht="15.75" customHeight="1" spans="7:7">
      <c r="G523" s="13"/>
    </row>
    <row r="524" ht="15.75" customHeight="1" spans="7:7">
      <c r="G524" s="13"/>
    </row>
    <row r="525" ht="15.75" customHeight="1" spans="7:7">
      <c r="G525" s="13"/>
    </row>
    <row r="526" ht="15.75" customHeight="1" spans="7:7">
      <c r="G526" s="13"/>
    </row>
    <row r="527" ht="15.75" customHeight="1" spans="7:7">
      <c r="G527" s="13"/>
    </row>
    <row r="528" ht="15.75" customHeight="1" spans="7:7">
      <c r="G528" s="13"/>
    </row>
    <row r="529" ht="15.75" customHeight="1" spans="7:7">
      <c r="G529" s="13"/>
    </row>
    <row r="530" ht="15.75" customHeight="1" spans="7:7">
      <c r="G530" s="13"/>
    </row>
    <row r="531" ht="15.75" customHeight="1" spans="7:7">
      <c r="G531" s="13"/>
    </row>
    <row r="532" ht="15.75" customHeight="1" spans="7:7">
      <c r="G532" s="13"/>
    </row>
    <row r="533" ht="15.75" customHeight="1" spans="7:7">
      <c r="G533" s="13"/>
    </row>
    <row r="534" ht="15.75" customHeight="1" spans="7:7">
      <c r="G534" s="13"/>
    </row>
    <row r="535" ht="15.75" customHeight="1" spans="7:7">
      <c r="G535" s="13"/>
    </row>
    <row r="536" ht="15.75" customHeight="1" spans="7:7">
      <c r="G536" s="13"/>
    </row>
    <row r="537" ht="15.75" customHeight="1" spans="7:7">
      <c r="G537" s="13"/>
    </row>
    <row r="538" ht="15.75" customHeight="1" spans="7:7">
      <c r="G538" s="13"/>
    </row>
    <row r="539" ht="15.75" customHeight="1" spans="7:7">
      <c r="G539" s="13"/>
    </row>
    <row r="540" ht="15.75" customHeight="1" spans="7:7">
      <c r="G540" s="13"/>
    </row>
    <row r="541" ht="15.75" customHeight="1" spans="7:7">
      <c r="G541" s="13"/>
    </row>
    <row r="542" ht="15.75" customHeight="1" spans="7:7">
      <c r="G542" s="13"/>
    </row>
    <row r="543" ht="15.75" customHeight="1" spans="7:7">
      <c r="G543" s="13"/>
    </row>
    <row r="544" ht="15.75" customHeight="1" spans="7:7">
      <c r="G544" s="13"/>
    </row>
    <row r="545" ht="15.75" customHeight="1" spans="7:7">
      <c r="G545" s="13"/>
    </row>
    <row r="546" ht="15.75" customHeight="1" spans="7:7">
      <c r="G546" s="13"/>
    </row>
    <row r="547" ht="15.75" customHeight="1" spans="7:7">
      <c r="G547" s="13"/>
    </row>
    <row r="548" ht="15.75" customHeight="1" spans="7:7">
      <c r="G548" s="13"/>
    </row>
    <row r="549" ht="15.75" customHeight="1" spans="7:7">
      <c r="G549" s="13"/>
    </row>
    <row r="550" ht="15.75" customHeight="1" spans="7:7">
      <c r="G550" s="13"/>
    </row>
    <row r="551" ht="15.75" customHeight="1" spans="7:7">
      <c r="G551" s="13"/>
    </row>
    <row r="552" ht="15.75" customHeight="1" spans="7:7">
      <c r="G552" s="13"/>
    </row>
    <row r="553" ht="15.75" customHeight="1" spans="7:7">
      <c r="G553" s="13"/>
    </row>
    <row r="554" ht="15.75" customHeight="1" spans="7:7">
      <c r="G554" s="13"/>
    </row>
    <row r="555" ht="15.75" customHeight="1" spans="7:7">
      <c r="G555" s="13"/>
    </row>
    <row r="556" ht="15.75" customHeight="1" spans="7:7">
      <c r="G556" s="13"/>
    </row>
    <row r="557" ht="15.75" customHeight="1" spans="7:7">
      <c r="G557" s="13"/>
    </row>
    <row r="558" ht="15.75" customHeight="1" spans="7:7">
      <c r="G558" s="13"/>
    </row>
    <row r="559" ht="15.75" customHeight="1" spans="7:7">
      <c r="G559" s="13"/>
    </row>
    <row r="560" ht="15.75" customHeight="1" spans="7:7">
      <c r="G560" s="13"/>
    </row>
    <row r="561" ht="15.75" customHeight="1" spans="7:7">
      <c r="G561" s="13"/>
    </row>
    <row r="562" ht="15.75" customHeight="1" spans="7:7">
      <c r="G562" s="13"/>
    </row>
    <row r="563" ht="15.75" customHeight="1" spans="7:7">
      <c r="G563" s="13"/>
    </row>
    <row r="564" ht="15.75" customHeight="1" spans="7:7">
      <c r="G564" s="13"/>
    </row>
    <row r="565" ht="15.75" customHeight="1" spans="7:7">
      <c r="G565" s="13"/>
    </row>
    <row r="566" ht="15.75" customHeight="1" spans="7:7">
      <c r="G566" s="13"/>
    </row>
    <row r="567" ht="15.75" customHeight="1" spans="7:7">
      <c r="G567" s="13"/>
    </row>
    <row r="568" ht="15.75" customHeight="1" spans="7:7">
      <c r="G568" s="13"/>
    </row>
    <row r="569" ht="15.75" customHeight="1" spans="7:7">
      <c r="G569" s="13"/>
    </row>
    <row r="570" ht="15.75" customHeight="1" spans="7:7">
      <c r="G570" s="13"/>
    </row>
    <row r="571" ht="15.75" customHeight="1" spans="7:7">
      <c r="G571" s="13"/>
    </row>
    <row r="572" ht="15.75" customHeight="1" spans="7:7">
      <c r="G572" s="13"/>
    </row>
    <row r="573" ht="15.75" customHeight="1" spans="7:7">
      <c r="G573" s="13"/>
    </row>
    <row r="574" ht="15.75" customHeight="1" spans="7:7">
      <c r="G574" s="13"/>
    </row>
    <row r="575" ht="15.75" customHeight="1" spans="7:7">
      <c r="G575" s="13"/>
    </row>
    <row r="576" ht="15.75" customHeight="1" spans="7:7">
      <c r="G576" s="13"/>
    </row>
    <row r="577" ht="15.75" customHeight="1" spans="7:7">
      <c r="G577" s="13"/>
    </row>
    <row r="578" ht="15.75" customHeight="1" spans="7:7">
      <c r="G578" s="13"/>
    </row>
    <row r="579" ht="15.75" customHeight="1" spans="7:7">
      <c r="G579" s="13"/>
    </row>
    <row r="580" ht="15.75" customHeight="1" spans="7:7">
      <c r="G580" s="13"/>
    </row>
    <row r="581" ht="15.75" customHeight="1" spans="7:7">
      <c r="G581" s="13"/>
    </row>
    <row r="582" ht="15.75" customHeight="1" spans="7:7">
      <c r="G582" s="13"/>
    </row>
    <row r="583" ht="15.75" customHeight="1" spans="7:7">
      <c r="G583" s="13"/>
    </row>
    <row r="584" ht="15.75" customHeight="1" spans="7:7">
      <c r="G584" s="13"/>
    </row>
    <row r="585" ht="15.75" customHeight="1" spans="7:7">
      <c r="G585" s="13"/>
    </row>
    <row r="586" ht="15.75" customHeight="1" spans="7:7">
      <c r="G586" s="13"/>
    </row>
    <row r="587" ht="15.75" customHeight="1" spans="7:7">
      <c r="G587" s="13"/>
    </row>
    <row r="588" ht="15.75" customHeight="1" spans="7:7">
      <c r="G588" s="13"/>
    </row>
    <row r="589" ht="15.75" customHeight="1" spans="7:7">
      <c r="G589" s="13"/>
    </row>
    <row r="590" ht="15.75" customHeight="1" spans="7:7">
      <c r="G590" s="13"/>
    </row>
    <row r="591" ht="15.75" customHeight="1" spans="7:7">
      <c r="G591" s="13"/>
    </row>
    <row r="592" ht="15.75" customHeight="1" spans="7:7">
      <c r="G592" s="13"/>
    </row>
    <row r="593" ht="15.75" customHeight="1" spans="7:7">
      <c r="G593" s="13"/>
    </row>
    <row r="594" ht="15.75" customHeight="1" spans="7:7">
      <c r="G594" s="13"/>
    </row>
    <row r="595" ht="15.75" customHeight="1" spans="7:7">
      <c r="G595" s="13"/>
    </row>
    <row r="596" ht="15.75" customHeight="1" spans="7:7">
      <c r="G596" s="13"/>
    </row>
    <row r="597" ht="15.75" customHeight="1" spans="7:7">
      <c r="G597" s="13"/>
    </row>
    <row r="598" ht="15.75" customHeight="1" spans="7:7">
      <c r="G598" s="13"/>
    </row>
    <row r="599" ht="15.75" customHeight="1" spans="7:7">
      <c r="G599" s="13"/>
    </row>
    <row r="600" ht="15.75" customHeight="1" spans="7:7">
      <c r="G600" s="13"/>
    </row>
    <row r="601" ht="15.75" customHeight="1" spans="7:7">
      <c r="G601" s="13"/>
    </row>
    <row r="602" ht="15.75" customHeight="1" spans="7:7">
      <c r="G602" s="13"/>
    </row>
    <row r="603" ht="15.75" customHeight="1" spans="7:7">
      <c r="G603" s="13"/>
    </row>
    <row r="604" ht="15.75" customHeight="1" spans="7:7">
      <c r="G604" s="13"/>
    </row>
    <row r="605" ht="15.75" customHeight="1" spans="7:7">
      <c r="G605" s="13"/>
    </row>
    <row r="606" ht="15.75" customHeight="1" spans="7:7">
      <c r="G606" s="13"/>
    </row>
    <row r="607" ht="15.75" customHeight="1" spans="7:7">
      <c r="G607" s="13"/>
    </row>
    <row r="608" ht="15.75" customHeight="1" spans="7:7">
      <c r="G608" s="13"/>
    </row>
    <row r="609" ht="15.75" customHeight="1" spans="7:7">
      <c r="G609" s="13"/>
    </row>
    <row r="610" ht="15.75" customHeight="1" spans="7:7">
      <c r="G610" s="13"/>
    </row>
    <row r="611" ht="15.75" customHeight="1" spans="7:7">
      <c r="G611" s="13"/>
    </row>
    <row r="612" ht="15.75" customHeight="1" spans="7:7">
      <c r="G612" s="13"/>
    </row>
    <row r="613" ht="15.75" customHeight="1" spans="7:7">
      <c r="G613" s="13"/>
    </row>
    <row r="614" ht="15.75" customHeight="1" spans="7:7">
      <c r="G614" s="13"/>
    </row>
    <row r="615" ht="15.75" customHeight="1" spans="7:7">
      <c r="G615" s="13"/>
    </row>
    <row r="616" ht="15.75" customHeight="1" spans="7:7">
      <c r="G616" s="13"/>
    </row>
    <row r="617" ht="15.75" customHeight="1" spans="7:7">
      <c r="G617" s="13"/>
    </row>
    <row r="618" ht="15.75" customHeight="1" spans="7:7">
      <c r="G618" s="13"/>
    </row>
    <row r="619" ht="15.75" customHeight="1" spans="7:7">
      <c r="G619" s="13"/>
    </row>
    <row r="620" ht="15.75" customHeight="1" spans="7:7">
      <c r="G620" s="13"/>
    </row>
    <row r="621" ht="15.75" customHeight="1" spans="7:7">
      <c r="G621" s="13"/>
    </row>
    <row r="622" ht="15.75" customHeight="1" spans="7:7">
      <c r="G622" s="13"/>
    </row>
    <row r="623" ht="15.75" customHeight="1" spans="7:7">
      <c r="G623" s="13"/>
    </row>
    <row r="624" ht="15.75" customHeight="1" spans="7:7">
      <c r="G624" s="13"/>
    </row>
    <row r="625" ht="15.75" customHeight="1" spans="7:7">
      <c r="G625" s="13"/>
    </row>
    <row r="626" ht="15.75" customHeight="1" spans="7:7">
      <c r="G626" s="13"/>
    </row>
    <row r="627" ht="15.75" customHeight="1" spans="7:7">
      <c r="G627" s="13"/>
    </row>
    <row r="628" ht="15.75" customHeight="1" spans="7:7">
      <c r="G628" s="13"/>
    </row>
    <row r="629" ht="15.75" customHeight="1" spans="7:7">
      <c r="G629" s="13"/>
    </row>
    <row r="630" ht="15.75" customHeight="1" spans="7:7">
      <c r="G630" s="13"/>
    </row>
    <row r="631" ht="15.75" customHeight="1" spans="7:7">
      <c r="G631" s="13"/>
    </row>
    <row r="632" ht="15.75" customHeight="1" spans="7:7">
      <c r="G632" s="13"/>
    </row>
    <row r="633" ht="15.75" customHeight="1" spans="7:7">
      <c r="G633" s="13"/>
    </row>
    <row r="634" ht="15.75" customHeight="1" spans="7:7">
      <c r="G634" s="13"/>
    </row>
    <row r="635" ht="15.75" customHeight="1" spans="7:7">
      <c r="G635" s="13"/>
    </row>
    <row r="636" ht="15.75" customHeight="1" spans="7:7">
      <c r="G636" s="13"/>
    </row>
    <row r="637" ht="15.75" customHeight="1" spans="7:7">
      <c r="G637" s="13"/>
    </row>
    <row r="638" ht="15.75" customHeight="1" spans="7:7">
      <c r="G638" s="13"/>
    </row>
    <row r="639" ht="15.75" customHeight="1" spans="7:7">
      <c r="G639" s="13"/>
    </row>
    <row r="640" ht="15.75" customHeight="1" spans="7:7">
      <c r="G640" s="13"/>
    </row>
    <row r="641" ht="15.75" customHeight="1" spans="7:7">
      <c r="G641" s="13"/>
    </row>
    <row r="642" ht="15.75" customHeight="1" spans="7:7">
      <c r="G642" s="13"/>
    </row>
    <row r="643" ht="15.75" customHeight="1" spans="7:7">
      <c r="G643" s="13"/>
    </row>
    <row r="644" ht="15.75" customHeight="1" spans="7:7">
      <c r="G644" s="13"/>
    </row>
    <row r="645" ht="15.75" customHeight="1" spans="7:7">
      <c r="G645" s="13"/>
    </row>
    <row r="646" ht="15.75" customHeight="1" spans="7:7">
      <c r="G646" s="13"/>
    </row>
    <row r="647" ht="15.75" customHeight="1" spans="7:7">
      <c r="G647" s="13"/>
    </row>
    <row r="648" ht="15.75" customHeight="1" spans="7:7">
      <c r="G648" s="13"/>
    </row>
    <row r="649" ht="15.75" customHeight="1" spans="7:7">
      <c r="G649" s="13"/>
    </row>
    <row r="650" ht="15.75" customHeight="1" spans="7:7">
      <c r="G650" s="13"/>
    </row>
    <row r="651" ht="15.75" customHeight="1" spans="7:7">
      <c r="G651" s="13"/>
    </row>
    <row r="652" ht="15.75" customHeight="1" spans="7:7">
      <c r="G652" s="13"/>
    </row>
    <row r="653" ht="15.75" customHeight="1" spans="7:7">
      <c r="G653" s="13"/>
    </row>
    <row r="654" ht="15.75" customHeight="1" spans="7:7">
      <c r="G654" s="13"/>
    </row>
    <row r="655" ht="15.75" customHeight="1" spans="7:7">
      <c r="G655" s="13"/>
    </row>
    <row r="656" ht="15.75" customHeight="1" spans="7:7">
      <c r="G656" s="13"/>
    </row>
    <row r="657" ht="15.75" customHeight="1" spans="7:7">
      <c r="G657" s="13"/>
    </row>
    <row r="658" ht="15.75" customHeight="1" spans="7:7">
      <c r="G658" s="13"/>
    </row>
    <row r="659" ht="15.75" customHeight="1" spans="7:7">
      <c r="G659" s="13"/>
    </row>
    <row r="660" ht="15.75" customHeight="1" spans="7:7">
      <c r="G660" s="13"/>
    </row>
    <row r="661" ht="15.75" customHeight="1" spans="7:7">
      <c r="G661" s="13"/>
    </row>
    <row r="662" ht="15.75" customHeight="1" spans="7:7">
      <c r="G662" s="13"/>
    </row>
    <row r="663" ht="15.75" customHeight="1" spans="7:7">
      <c r="G663" s="13"/>
    </row>
    <row r="664" ht="15.75" customHeight="1" spans="7:7">
      <c r="G664" s="13"/>
    </row>
    <row r="665" ht="15.75" customHeight="1" spans="7:7">
      <c r="G665" s="13"/>
    </row>
    <row r="666" ht="15.75" customHeight="1" spans="7:7">
      <c r="G666" s="13"/>
    </row>
    <row r="667" ht="15.75" customHeight="1" spans="7:7">
      <c r="G667" s="13"/>
    </row>
    <row r="668" ht="15.75" customHeight="1" spans="7:7">
      <c r="G668" s="13"/>
    </row>
    <row r="669" ht="15.75" customHeight="1" spans="7:7">
      <c r="G669" s="13"/>
    </row>
    <row r="670" ht="15.75" customHeight="1" spans="7:7">
      <c r="G670" s="13"/>
    </row>
    <row r="671" ht="15.75" customHeight="1" spans="7:7">
      <c r="G671" s="13"/>
    </row>
    <row r="672" ht="15.75" customHeight="1" spans="7:7">
      <c r="G672" s="13"/>
    </row>
    <row r="673" ht="15.75" customHeight="1" spans="7:7">
      <c r="G673" s="13"/>
    </row>
    <row r="674" ht="15.75" customHeight="1" spans="7:7">
      <c r="G674" s="13"/>
    </row>
    <row r="675" ht="15.75" customHeight="1" spans="7:7">
      <c r="G675" s="13"/>
    </row>
    <row r="676" ht="15.75" customHeight="1" spans="7:7">
      <c r="G676" s="13"/>
    </row>
    <row r="677" ht="15.75" customHeight="1" spans="7:7">
      <c r="G677" s="13"/>
    </row>
    <row r="678" ht="15.75" customHeight="1" spans="7:7">
      <c r="G678" s="13"/>
    </row>
    <row r="679" ht="15.75" customHeight="1" spans="7:7">
      <c r="G679" s="13"/>
    </row>
    <row r="680" ht="15.75" customHeight="1" spans="7:7">
      <c r="G680" s="13"/>
    </row>
    <row r="681" ht="15.75" customHeight="1" spans="7:7">
      <c r="G681" s="13"/>
    </row>
    <row r="682" ht="15.75" customHeight="1" spans="7:7">
      <c r="G682" s="13"/>
    </row>
    <row r="683" ht="15.75" customHeight="1" spans="7:7">
      <c r="G683" s="13"/>
    </row>
    <row r="684" ht="15.75" customHeight="1" spans="7:7">
      <c r="G684" s="13"/>
    </row>
    <row r="685" ht="15.75" customHeight="1" spans="7:7">
      <c r="G685" s="13"/>
    </row>
    <row r="686" ht="15.75" customHeight="1" spans="7:7">
      <c r="G686" s="13"/>
    </row>
    <row r="687" ht="15.75" customHeight="1" spans="7:7">
      <c r="G687" s="13"/>
    </row>
    <row r="688" ht="15.75" customHeight="1" spans="7:7">
      <c r="G688" s="13"/>
    </row>
    <row r="689" ht="15.75" customHeight="1" spans="7:7">
      <c r="G689" s="13"/>
    </row>
    <row r="690" ht="15.75" customHeight="1" spans="7:7">
      <c r="G690" s="13"/>
    </row>
    <row r="691" ht="15.75" customHeight="1" spans="7:7">
      <c r="G691" s="13"/>
    </row>
    <row r="692" ht="15.75" customHeight="1" spans="7:7">
      <c r="G692" s="13"/>
    </row>
    <row r="693" ht="15.75" customHeight="1" spans="7:7">
      <c r="G693" s="13"/>
    </row>
    <row r="694" ht="15.75" customHeight="1" spans="7:7">
      <c r="G694" s="13"/>
    </row>
    <row r="695" ht="15.75" customHeight="1" spans="7:7">
      <c r="G695" s="13"/>
    </row>
    <row r="696" ht="15.75" customHeight="1" spans="7:7">
      <c r="G696" s="13"/>
    </row>
    <row r="697" ht="15.75" customHeight="1" spans="7:7">
      <c r="G697" s="13"/>
    </row>
    <row r="698" ht="15.75" customHeight="1" spans="7:7">
      <c r="G698" s="13"/>
    </row>
    <row r="699" ht="15.75" customHeight="1" spans="7:7">
      <c r="G699" s="13"/>
    </row>
    <row r="700" ht="15.75" customHeight="1" spans="7:7">
      <c r="G700" s="13"/>
    </row>
    <row r="701" ht="15.75" customHeight="1" spans="7:7">
      <c r="G701" s="13"/>
    </row>
    <row r="702" ht="15.75" customHeight="1" spans="7:7">
      <c r="G702" s="13"/>
    </row>
    <row r="703" ht="15.75" customHeight="1" spans="7:7">
      <c r="G703" s="13"/>
    </row>
    <row r="704" ht="15.75" customHeight="1" spans="7:7">
      <c r="G704" s="13"/>
    </row>
    <row r="705" ht="15.75" customHeight="1" spans="7:7">
      <c r="G705" s="13"/>
    </row>
    <row r="706" ht="15.75" customHeight="1" spans="7:7">
      <c r="G706" s="13"/>
    </row>
    <row r="707" ht="15.75" customHeight="1" spans="7:7">
      <c r="G707" s="13"/>
    </row>
    <row r="708" ht="15.75" customHeight="1" spans="7:7">
      <c r="G708" s="13"/>
    </row>
    <row r="709" ht="15.75" customHeight="1" spans="7:7">
      <c r="G709" s="13"/>
    </row>
    <row r="710" ht="15.75" customHeight="1" spans="7:7">
      <c r="G710" s="13"/>
    </row>
    <row r="711" ht="15.75" customHeight="1" spans="7:7">
      <c r="G711" s="13"/>
    </row>
    <row r="712" ht="15.75" customHeight="1" spans="7:7">
      <c r="G712" s="13"/>
    </row>
    <row r="713" ht="15.75" customHeight="1" spans="7:7">
      <c r="G713" s="13"/>
    </row>
    <row r="714" ht="15.75" customHeight="1" spans="7:7">
      <c r="G714" s="13"/>
    </row>
    <row r="715" ht="15.75" customHeight="1" spans="7:7">
      <c r="G715" s="13"/>
    </row>
    <row r="716" ht="15.75" customHeight="1" spans="7:7">
      <c r="G716" s="13"/>
    </row>
    <row r="717" ht="15.75" customHeight="1" spans="7:7">
      <c r="G717" s="13"/>
    </row>
    <row r="718" ht="15.75" customHeight="1" spans="7:7">
      <c r="G718" s="13"/>
    </row>
    <row r="719" ht="15.75" customHeight="1" spans="7:7">
      <c r="G719" s="13"/>
    </row>
    <row r="720" ht="15.75" customHeight="1" spans="7:7">
      <c r="G720" s="13"/>
    </row>
    <row r="721" ht="15.75" customHeight="1" spans="7:7">
      <c r="G721" s="13"/>
    </row>
    <row r="722" ht="15.75" customHeight="1" spans="7:7">
      <c r="G722" s="13"/>
    </row>
    <row r="723" ht="15.75" customHeight="1" spans="7:7">
      <c r="G723" s="13"/>
    </row>
    <row r="724" ht="15.75" customHeight="1" spans="7:7">
      <c r="G724" s="13"/>
    </row>
    <row r="725" ht="15.75" customHeight="1" spans="7:7">
      <c r="G725" s="13"/>
    </row>
    <row r="726" ht="15.75" customHeight="1" spans="7:7">
      <c r="G726" s="13"/>
    </row>
    <row r="727" ht="15.75" customHeight="1" spans="7:7">
      <c r="G727" s="13"/>
    </row>
    <row r="728" ht="15.75" customHeight="1" spans="7:7">
      <c r="G728" s="13"/>
    </row>
    <row r="729" ht="15.75" customHeight="1" spans="7:7">
      <c r="G729" s="13"/>
    </row>
    <row r="730" ht="15.75" customHeight="1" spans="7:7">
      <c r="G730" s="13"/>
    </row>
    <row r="731" ht="15.75" customHeight="1" spans="7:7">
      <c r="G731" s="13"/>
    </row>
    <row r="732" ht="15.75" customHeight="1" spans="7:7">
      <c r="G732" s="13"/>
    </row>
    <row r="733" ht="15.75" customHeight="1" spans="7:7">
      <c r="G733" s="13"/>
    </row>
    <row r="734" ht="15.75" customHeight="1" spans="7:7">
      <c r="G734" s="13"/>
    </row>
    <row r="735" ht="15.75" customHeight="1" spans="7:7">
      <c r="G735" s="13"/>
    </row>
    <row r="736" ht="15.75" customHeight="1" spans="7:7">
      <c r="G736" s="13"/>
    </row>
    <row r="737" ht="15.75" customHeight="1" spans="7:7">
      <c r="G737" s="13"/>
    </row>
    <row r="738" ht="15.75" customHeight="1" spans="7:7">
      <c r="G738" s="13"/>
    </row>
    <row r="739" ht="15.75" customHeight="1" spans="7:7">
      <c r="G739" s="13"/>
    </row>
    <row r="740" ht="15.75" customHeight="1" spans="7:7">
      <c r="G740" s="13"/>
    </row>
    <row r="741" ht="15.75" customHeight="1" spans="7:7">
      <c r="G741" s="13"/>
    </row>
    <row r="742" ht="15.75" customHeight="1" spans="7:7">
      <c r="G742" s="13"/>
    </row>
    <row r="743" ht="15.75" customHeight="1" spans="7:7">
      <c r="G743" s="13"/>
    </row>
    <row r="744" ht="15.75" customHeight="1" spans="7:7">
      <c r="G744" s="13"/>
    </row>
    <row r="745" ht="15.75" customHeight="1" spans="7:7">
      <c r="G745" s="13"/>
    </row>
    <row r="746" ht="15.75" customHeight="1" spans="7:7">
      <c r="G746" s="13"/>
    </row>
    <row r="747" ht="15.75" customHeight="1" spans="7:7">
      <c r="G747" s="13"/>
    </row>
    <row r="748" ht="15.75" customHeight="1" spans="7:7">
      <c r="G748" s="13"/>
    </row>
    <row r="749" ht="15.75" customHeight="1" spans="7:7">
      <c r="G749" s="13"/>
    </row>
    <row r="750" ht="15.75" customHeight="1" spans="7:7">
      <c r="G750" s="13"/>
    </row>
    <row r="751" ht="15.75" customHeight="1" spans="7:7">
      <c r="G751" s="13"/>
    </row>
    <row r="752" ht="15.75" customHeight="1" spans="7:7">
      <c r="G752" s="13"/>
    </row>
    <row r="753" ht="15.75" customHeight="1" spans="7:7">
      <c r="G753" s="13"/>
    </row>
    <row r="754" ht="15.75" customHeight="1" spans="7:7">
      <c r="G754" s="13"/>
    </row>
    <row r="755" ht="15.75" customHeight="1" spans="7:7">
      <c r="G755" s="13"/>
    </row>
    <row r="756" ht="15.75" customHeight="1" spans="7:7">
      <c r="G756" s="13"/>
    </row>
    <row r="757" ht="15.75" customHeight="1" spans="7:7">
      <c r="G757" s="13"/>
    </row>
    <row r="758" ht="15.75" customHeight="1" spans="7:7">
      <c r="G758" s="13"/>
    </row>
    <row r="759" ht="15.75" customHeight="1" spans="7:7">
      <c r="G759" s="13"/>
    </row>
    <row r="760" ht="15.75" customHeight="1" spans="7:7">
      <c r="G760" s="13"/>
    </row>
    <row r="761" ht="15.75" customHeight="1" spans="7:7">
      <c r="G761" s="13"/>
    </row>
    <row r="762" ht="15.75" customHeight="1" spans="7:7">
      <c r="G762" s="13"/>
    </row>
    <row r="763" ht="15.75" customHeight="1" spans="7:7">
      <c r="G763" s="13"/>
    </row>
    <row r="764" ht="15.75" customHeight="1" spans="7:7">
      <c r="G764" s="13"/>
    </row>
    <row r="765" ht="15.75" customHeight="1" spans="7:7">
      <c r="G765" s="13"/>
    </row>
    <row r="766" ht="15.75" customHeight="1" spans="7:7">
      <c r="G766" s="13"/>
    </row>
    <row r="767" ht="15.75" customHeight="1" spans="7:7">
      <c r="G767" s="13"/>
    </row>
    <row r="768" ht="15.75" customHeight="1" spans="7:7">
      <c r="G768" s="13"/>
    </row>
    <row r="769" ht="15.75" customHeight="1" spans="7:7">
      <c r="G769" s="13"/>
    </row>
    <row r="770" ht="15.75" customHeight="1" spans="7:7">
      <c r="G770" s="13"/>
    </row>
    <row r="771" ht="15.75" customHeight="1" spans="7:7">
      <c r="G771" s="13"/>
    </row>
    <row r="772" ht="15.75" customHeight="1" spans="7:7">
      <c r="G772" s="13"/>
    </row>
    <row r="773" ht="15.75" customHeight="1" spans="7:7">
      <c r="G773" s="13"/>
    </row>
    <row r="774" ht="15.75" customHeight="1" spans="7:7">
      <c r="G774" s="13"/>
    </row>
    <row r="775" ht="15.75" customHeight="1" spans="7:7">
      <c r="G775" s="13"/>
    </row>
    <row r="776" ht="15.75" customHeight="1" spans="7:7">
      <c r="G776" s="13"/>
    </row>
    <row r="777" ht="15.75" customHeight="1" spans="7:7">
      <c r="G777" s="13"/>
    </row>
    <row r="778" ht="15.75" customHeight="1" spans="7:7">
      <c r="G778" s="13"/>
    </row>
    <row r="779" ht="15.75" customHeight="1" spans="7:7">
      <c r="G779" s="13"/>
    </row>
    <row r="780" ht="15.75" customHeight="1" spans="7:7">
      <c r="G780" s="13"/>
    </row>
    <row r="781" ht="15.75" customHeight="1" spans="7:7">
      <c r="G781" s="13"/>
    </row>
    <row r="782" ht="15.75" customHeight="1" spans="7:7">
      <c r="G782" s="13"/>
    </row>
    <row r="783" ht="15.75" customHeight="1" spans="7:7">
      <c r="G783" s="13"/>
    </row>
    <row r="784" ht="15.75" customHeight="1" spans="7:7">
      <c r="G784" s="13"/>
    </row>
    <row r="785" ht="15.75" customHeight="1" spans="7:7">
      <c r="G785" s="13"/>
    </row>
    <row r="786" ht="15.75" customHeight="1" spans="7:7">
      <c r="G786" s="13"/>
    </row>
    <row r="787" ht="15.75" customHeight="1" spans="7:7">
      <c r="G787" s="13"/>
    </row>
    <row r="788" ht="15.75" customHeight="1" spans="7:7">
      <c r="G788" s="13"/>
    </row>
    <row r="789" ht="15.75" customHeight="1" spans="7:7">
      <c r="G789" s="13"/>
    </row>
    <row r="790" ht="15.75" customHeight="1" spans="7:7">
      <c r="G790" s="13"/>
    </row>
    <row r="791" ht="15.75" customHeight="1" spans="7:7">
      <c r="G791" s="13"/>
    </row>
    <row r="792" ht="15.75" customHeight="1" spans="7:7">
      <c r="G792" s="13"/>
    </row>
    <row r="793" ht="15.75" customHeight="1" spans="7:7">
      <c r="G793" s="13"/>
    </row>
    <row r="794" ht="15.75" customHeight="1" spans="7:7">
      <c r="G794" s="13"/>
    </row>
    <row r="795" ht="15.75" customHeight="1" spans="7:7">
      <c r="G795" s="13"/>
    </row>
    <row r="796" ht="15.75" customHeight="1" spans="7:7">
      <c r="G796" s="13"/>
    </row>
    <row r="797" ht="15.75" customHeight="1" spans="7:7">
      <c r="G797" s="13"/>
    </row>
    <row r="798" ht="15.75" customHeight="1" spans="7:7">
      <c r="G798" s="13"/>
    </row>
    <row r="799" ht="15.75" customHeight="1" spans="7:7">
      <c r="G799" s="13"/>
    </row>
    <row r="800" ht="15.75" customHeight="1" spans="7:7">
      <c r="G800" s="13"/>
    </row>
    <row r="801" ht="15.75" customHeight="1" spans="7:7">
      <c r="G801" s="13"/>
    </row>
    <row r="802" ht="15.75" customHeight="1" spans="7:7">
      <c r="G802" s="13"/>
    </row>
    <row r="803" ht="15.75" customHeight="1" spans="7:7">
      <c r="G803" s="13"/>
    </row>
    <row r="804" ht="15.75" customHeight="1" spans="7:7">
      <c r="G804" s="13"/>
    </row>
    <row r="805" ht="15.75" customHeight="1" spans="7:7">
      <c r="G805" s="13"/>
    </row>
    <row r="806" ht="15.75" customHeight="1" spans="7:7">
      <c r="G806" s="13"/>
    </row>
    <row r="807" ht="15.75" customHeight="1" spans="7:7">
      <c r="G807" s="13"/>
    </row>
    <row r="808" ht="15.75" customHeight="1" spans="7:7">
      <c r="G808" s="13"/>
    </row>
    <row r="809" ht="15.75" customHeight="1" spans="7:7">
      <c r="G809" s="13"/>
    </row>
    <row r="810" ht="15.75" customHeight="1" spans="7:7">
      <c r="G810" s="13"/>
    </row>
    <row r="811" ht="15.75" customHeight="1" spans="7:7">
      <c r="G811" s="13"/>
    </row>
    <row r="812" ht="15.75" customHeight="1" spans="7:7">
      <c r="G812" s="13"/>
    </row>
    <row r="813" ht="15.75" customHeight="1" spans="7:7">
      <c r="G813" s="13"/>
    </row>
    <row r="814" ht="15.75" customHeight="1" spans="7:7">
      <c r="G814" s="13"/>
    </row>
    <row r="815" ht="15.75" customHeight="1" spans="7:7">
      <c r="G815" s="13"/>
    </row>
    <row r="816" ht="15.75" customHeight="1" spans="7:7">
      <c r="G816" s="13"/>
    </row>
    <row r="817" ht="15.75" customHeight="1" spans="7:7">
      <c r="G817" s="13"/>
    </row>
    <row r="818" ht="15.75" customHeight="1" spans="7:7">
      <c r="G818" s="13"/>
    </row>
    <row r="819" ht="15.75" customHeight="1" spans="7:7">
      <c r="G819" s="13"/>
    </row>
    <row r="820" ht="15.75" customHeight="1" spans="7:7">
      <c r="G820" s="13"/>
    </row>
    <row r="821" ht="15.75" customHeight="1" spans="7:7">
      <c r="G821" s="13"/>
    </row>
    <row r="822" ht="15.75" customHeight="1" spans="7:7">
      <c r="G822" s="13"/>
    </row>
    <row r="823" ht="15.75" customHeight="1" spans="7:7">
      <c r="G823" s="13"/>
    </row>
    <row r="824" ht="15.75" customHeight="1" spans="7:7">
      <c r="G824" s="13"/>
    </row>
    <row r="825" ht="15.75" customHeight="1" spans="7:7">
      <c r="G825" s="13"/>
    </row>
    <row r="826" ht="15.75" customHeight="1" spans="7:7">
      <c r="G826" s="13"/>
    </row>
    <row r="827" ht="15.75" customHeight="1" spans="7:7">
      <c r="G827" s="13"/>
    </row>
    <row r="828" ht="15.75" customHeight="1" spans="7:7">
      <c r="G828" s="13"/>
    </row>
    <row r="829" ht="15.75" customHeight="1" spans="7:7">
      <c r="G829" s="13"/>
    </row>
    <row r="830" ht="15.75" customHeight="1" spans="7:7">
      <c r="G830" s="13"/>
    </row>
    <row r="831" ht="15.75" customHeight="1" spans="7:7">
      <c r="G831" s="13"/>
    </row>
    <row r="832" ht="15.75" customHeight="1" spans="7:7">
      <c r="G832" s="13"/>
    </row>
    <row r="833" ht="15.75" customHeight="1" spans="7:7">
      <c r="G833" s="13"/>
    </row>
    <row r="834" ht="15.75" customHeight="1" spans="7:7">
      <c r="G834" s="13"/>
    </row>
    <row r="835" ht="15.75" customHeight="1" spans="7:7">
      <c r="G835" s="13"/>
    </row>
    <row r="836" ht="15.75" customHeight="1" spans="7:7">
      <c r="G836" s="13"/>
    </row>
    <row r="837" ht="15.75" customHeight="1" spans="7:7">
      <c r="G837" s="13"/>
    </row>
    <row r="838" ht="15.75" customHeight="1" spans="7:7">
      <c r="G838" s="13"/>
    </row>
    <row r="839" ht="15.75" customHeight="1" spans="7:7">
      <c r="G839" s="13"/>
    </row>
    <row r="840" ht="15.75" customHeight="1" spans="7:7">
      <c r="G840" s="13"/>
    </row>
    <row r="841" ht="15.75" customHeight="1" spans="7:7">
      <c r="G841" s="13"/>
    </row>
    <row r="842" ht="15.75" customHeight="1" spans="7:7">
      <c r="G842" s="13"/>
    </row>
    <row r="843" ht="15.75" customHeight="1" spans="7:7">
      <c r="G843" s="13"/>
    </row>
    <row r="844" ht="15.75" customHeight="1" spans="7:7">
      <c r="G844" s="13"/>
    </row>
    <row r="845" ht="15.75" customHeight="1" spans="7:7">
      <c r="G845" s="13"/>
    </row>
    <row r="846" ht="15.75" customHeight="1" spans="7:7">
      <c r="G846" s="13"/>
    </row>
    <row r="847" ht="15.75" customHeight="1" spans="7:7">
      <c r="G847" s="13"/>
    </row>
    <row r="848" ht="15.75" customHeight="1" spans="7:7">
      <c r="G848" s="13"/>
    </row>
    <row r="849" ht="15.75" customHeight="1" spans="7:7">
      <c r="G849" s="13"/>
    </row>
    <row r="850" ht="15.75" customHeight="1" spans="7:7">
      <c r="G850" s="13"/>
    </row>
    <row r="851" ht="15.75" customHeight="1" spans="7:7">
      <c r="G851" s="13"/>
    </row>
    <row r="852" ht="15.75" customHeight="1" spans="7:7">
      <c r="G852" s="13"/>
    </row>
    <row r="853" ht="15.75" customHeight="1" spans="7:7">
      <c r="G853" s="13"/>
    </row>
    <row r="854" ht="15.75" customHeight="1" spans="7:7">
      <c r="G854" s="13"/>
    </row>
    <row r="855" ht="15.75" customHeight="1" spans="7:7">
      <c r="G855" s="13"/>
    </row>
    <row r="856" ht="15.75" customHeight="1" spans="7:7">
      <c r="G856" s="13"/>
    </row>
    <row r="857" ht="15.75" customHeight="1" spans="7:7">
      <c r="G857" s="13"/>
    </row>
    <row r="858" ht="15.75" customHeight="1" spans="7:7">
      <c r="G858" s="13"/>
    </row>
    <row r="859" ht="15.75" customHeight="1" spans="7:7">
      <c r="G859" s="13"/>
    </row>
    <row r="860" ht="15.75" customHeight="1" spans="7:7">
      <c r="G860" s="13"/>
    </row>
    <row r="861" ht="15.75" customHeight="1" spans="7:7">
      <c r="G861" s="13"/>
    </row>
    <row r="862" ht="15.75" customHeight="1" spans="7:7">
      <c r="G862" s="13"/>
    </row>
    <row r="863" ht="15.75" customHeight="1" spans="7:7">
      <c r="G863" s="13"/>
    </row>
    <row r="864" ht="15.75" customHeight="1" spans="7:7">
      <c r="G864" s="13"/>
    </row>
    <row r="865" ht="15.75" customHeight="1" spans="7:7">
      <c r="G865" s="13"/>
    </row>
    <row r="866" ht="15.75" customHeight="1" spans="7:7">
      <c r="G866" s="13"/>
    </row>
    <row r="867" ht="15.75" customHeight="1" spans="7:7">
      <c r="G867" s="13"/>
    </row>
    <row r="868" ht="15.75" customHeight="1" spans="7:7">
      <c r="G868" s="13"/>
    </row>
    <row r="869" ht="15.75" customHeight="1" spans="7:7">
      <c r="G869" s="13"/>
    </row>
    <row r="870" ht="15.75" customHeight="1" spans="7:7">
      <c r="G870" s="13"/>
    </row>
    <row r="871" ht="15.75" customHeight="1" spans="7:7">
      <c r="G871" s="13"/>
    </row>
    <row r="872" ht="15.75" customHeight="1" spans="7:7">
      <c r="G872" s="13"/>
    </row>
    <row r="873" ht="15.75" customHeight="1" spans="7:7">
      <c r="G873" s="13"/>
    </row>
    <row r="874" ht="15.75" customHeight="1" spans="7:7">
      <c r="G874" s="13"/>
    </row>
    <row r="875" ht="15.75" customHeight="1" spans="7:7">
      <c r="G875" s="13"/>
    </row>
    <row r="876" ht="15.75" customHeight="1" spans="7:7">
      <c r="G876" s="13"/>
    </row>
    <row r="877" ht="15.75" customHeight="1" spans="7:7">
      <c r="G877" s="13"/>
    </row>
    <row r="878" ht="15.75" customHeight="1" spans="7:7">
      <c r="G878" s="13"/>
    </row>
    <row r="879" ht="15.75" customHeight="1" spans="7:7">
      <c r="G879" s="13"/>
    </row>
    <row r="880" ht="15.75" customHeight="1" spans="7:7">
      <c r="G880" s="13"/>
    </row>
    <row r="881" ht="15.75" customHeight="1" spans="7:7">
      <c r="G881" s="13"/>
    </row>
    <row r="882" ht="15.75" customHeight="1" spans="7:7">
      <c r="G882" s="13"/>
    </row>
    <row r="883" ht="15.75" customHeight="1" spans="7:7">
      <c r="G883" s="13"/>
    </row>
    <row r="884" ht="15.75" customHeight="1" spans="7:7">
      <c r="G884" s="13"/>
    </row>
    <row r="885" ht="15.75" customHeight="1" spans="7:7">
      <c r="G885" s="13"/>
    </row>
    <row r="886" ht="15.75" customHeight="1" spans="7:7">
      <c r="G886" s="13"/>
    </row>
    <row r="887" ht="15.75" customHeight="1" spans="7:7">
      <c r="G887" s="13"/>
    </row>
    <row r="888" ht="15.75" customHeight="1" spans="7:7">
      <c r="G888" s="13"/>
    </row>
    <row r="889" ht="15.75" customHeight="1" spans="7:7">
      <c r="G889" s="13"/>
    </row>
    <row r="890" ht="15.75" customHeight="1" spans="7:7">
      <c r="G890" s="13"/>
    </row>
    <row r="891" ht="15.75" customHeight="1" spans="7:7">
      <c r="G891" s="13"/>
    </row>
    <row r="892" ht="15.75" customHeight="1" spans="7:7">
      <c r="G892" s="13"/>
    </row>
    <row r="893" ht="15.75" customHeight="1" spans="7:7">
      <c r="G893" s="13"/>
    </row>
    <row r="894" ht="15.75" customHeight="1" spans="7:7">
      <c r="G894" s="13"/>
    </row>
    <row r="895" ht="15.75" customHeight="1" spans="7:7">
      <c r="G895" s="13"/>
    </row>
    <row r="896" ht="15.75" customHeight="1" spans="7:7">
      <c r="G896" s="13"/>
    </row>
    <row r="897" ht="15.75" customHeight="1" spans="7:7">
      <c r="G897" s="13"/>
    </row>
    <row r="898" ht="15.75" customHeight="1" spans="7:7">
      <c r="G898" s="13"/>
    </row>
    <row r="899" ht="15.75" customHeight="1" spans="7:7">
      <c r="G899" s="13"/>
    </row>
    <row r="900" ht="15.75" customHeight="1" spans="7:7">
      <c r="G900" s="13"/>
    </row>
    <row r="901" ht="15.75" customHeight="1" spans="7:7">
      <c r="G901" s="13"/>
    </row>
    <row r="902" ht="15.75" customHeight="1" spans="7:7">
      <c r="G902" s="13"/>
    </row>
    <row r="903" ht="15.75" customHeight="1" spans="7:7">
      <c r="G903" s="13"/>
    </row>
    <row r="904" ht="15.75" customHeight="1" spans="7:7">
      <c r="G904" s="13"/>
    </row>
    <row r="905" ht="15.75" customHeight="1" spans="7:7">
      <c r="G905" s="13"/>
    </row>
    <row r="906" ht="15.75" customHeight="1" spans="7:7">
      <c r="G906" s="13"/>
    </row>
    <row r="907" ht="15.75" customHeight="1" spans="7:7">
      <c r="G907" s="13"/>
    </row>
    <row r="908" ht="15.75" customHeight="1" spans="7:7">
      <c r="G908" s="13"/>
    </row>
    <row r="909" ht="15.75" customHeight="1" spans="7:7">
      <c r="G909" s="13"/>
    </row>
    <row r="910" ht="15.75" customHeight="1" spans="7:7">
      <c r="G910" s="13"/>
    </row>
    <row r="911" ht="15.75" customHeight="1" spans="7:7">
      <c r="G911" s="13"/>
    </row>
    <row r="912" ht="15.75" customHeight="1" spans="7:7">
      <c r="G912" s="13"/>
    </row>
    <row r="913" ht="15.75" customHeight="1" spans="7:7">
      <c r="G913" s="13"/>
    </row>
    <row r="914" ht="15.75" customHeight="1" spans="7:7">
      <c r="G914" s="13"/>
    </row>
    <row r="915" ht="15.75" customHeight="1" spans="7:7">
      <c r="G915" s="13"/>
    </row>
    <row r="916" ht="15.75" customHeight="1" spans="7:7">
      <c r="G916" s="13"/>
    </row>
    <row r="917" ht="15.75" customHeight="1" spans="7:7">
      <c r="G917" s="13"/>
    </row>
    <row r="918" ht="15.75" customHeight="1" spans="7:7">
      <c r="G918" s="13"/>
    </row>
    <row r="919" ht="15.75" customHeight="1" spans="7:7">
      <c r="G919" s="13"/>
    </row>
    <row r="920" ht="15.75" customHeight="1" spans="7:7">
      <c r="G920" s="13"/>
    </row>
    <row r="921" ht="15.75" customHeight="1" spans="7:7">
      <c r="G921" s="13"/>
    </row>
    <row r="922" ht="15.75" customHeight="1" spans="7:7">
      <c r="G922" s="13"/>
    </row>
    <row r="923" ht="15.75" customHeight="1" spans="7:7">
      <c r="G923" s="13"/>
    </row>
    <row r="924" ht="15.75" customHeight="1" spans="7:7">
      <c r="G924" s="13"/>
    </row>
    <row r="925" ht="15.75" customHeight="1" spans="7:7">
      <c r="G925" s="13"/>
    </row>
    <row r="926" ht="15.75" customHeight="1" spans="7:7">
      <c r="G926" s="13"/>
    </row>
    <row r="927" ht="15.75" customHeight="1" spans="7:7">
      <c r="G927" s="13"/>
    </row>
    <row r="928" ht="15.75" customHeight="1" spans="7:7">
      <c r="G928" s="13"/>
    </row>
    <row r="929" ht="15.75" customHeight="1" spans="7:7">
      <c r="G929" s="13"/>
    </row>
    <row r="930" ht="15.75" customHeight="1" spans="7:7">
      <c r="G930" s="13"/>
    </row>
    <row r="931" ht="15.75" customHeight="1" spans="7:7">
      <c r="G931" s="13"/>
    </row>
    <row r="932" ht="15.75" customHeight="1" spans="7:7">
      <c r="G932" s="13"/>
    </row>
    <row r="933" ht="15.75" customHeight="1" spans="7:7">
      <c r="G933" s="13"/>
    </row>
    <row r="934" ht="15.75" customHeight="1" spans="7:7">
      <c r="G934" s="13"/>
    </row>
    <row r="935" ht="15.75" customHeight="1" spans="7:7">
      <c r="G935" s="13"/>
    </row>
    <row r="936" ht="15.75" customHeight="1" spans="7:7">
      <c r="G936" s="13"/>
    </row>
    <row r="937" ht="15.75" customHeight="1" spans="7:7">
      <c r="G937" s="13"/>
    </row>
    <row r="938" ht="15.75" customHeight="1" spans="7:7">
      <c r="G938" s="13"/>
    </row>
    <row r="939" ht="15.75" customHeight="1" spans="7:7">
      <c r="G939" s="13"/>
    </row>
    <row r="940" ht="15.75" customHeight="1" spans="7:7">
      <c r="G940" s="13"/>
    </row>
    <row r="941" ht="15.75" customHeight="1" spans="7:7">
      <c r="G941" s="13"/>
    </row>
    <row r="942" ht="15.75" customHeight="1" spans="7:7">
      <c r="G942" s="13"/>
    </row>
    <row r="943" ht="15.75" customHeight="1" spans="7:7">
      <c r="G943" s="13"/>
    </row>
    <row r="944" ht="15.75" customHeight="1" spans="7:7">
      <c r="G944" s="13"/>
    </row>
    <row r="945" ht="15.75" customHeight="1" spans="7:7">
      <c r="G945" s="13"/>
    </row>
    <row r="946" ht="15.75" customHeight="1" spans="7:7">
      <c r="G946" s="13"/>
    </row>
    <row r="947" ht="15.75" customHeight="1" spans="7:7">
      <c r="G947" s="13"/>
    </row>
    <row r="948" ht="15.75" customHeight="1" spans="7:7">
      <c r="G948" s="13"/>
    </row>
    <row r="949" ht="15.75" customHeight="1" spans="7:7">
      <c r="G949" s="13"/>
    </row>
    <row r="950" ht="15.75" customHeight="1" spans="7:7">
      <c r="G950" s="13"/>
    </row>
    <row r="951" ht="15.75" customHeight="1" spans="7:7">
      <c r="G951" s="13"/>
    </row>
    <row r="952" ht="15.75" customHeight="1" spans="7:7">
      <c r="G952" s="13"/>
    </row>
    <row r="953" ht="15.75" customHeight="1" spans="7:7">
      <c r="G953" s="13"/>
    </row>
    <row r="954" ht="15.75" customHeight="1" spans="7:7">
      <c r="G954" s="13"/>
    </row>
    <row r="955" ht="15.75" customHeight="1" spans="7:7">
      <c r="G955" s="13"/>
    </row>
    <row r="956" ht="15.75" customHeight="1" spans="7:7">
      <c r="G956" s="13"/>
    </row>
    <row r="957" ht="15.75" customHeight="1" spans="7:7">
      <c r="G957" s="13"/>
    </row>
    <row r="958" ht="15.75" customHeight="1" spans="7:7">
      <c r="G958" s="13"/>
    </row>
    <row r="959" ht="15.75" customHeight="1" spans="7:7">
      <c r="G959" s="13"/>
    </row>
    <row r="960" ht="15.75" customHeight="1" spans="7:7">
      <c r="G960" s="13"/>
    </row>
    <row r="961" ht="15.75" customHeight="1" spans="7:7">
      <c r="G961" s="13"/>
    </row>
    <row r="962" ht="15.75" customHeight="1" spans="7:7">
      <c r="G962" s="13"/>
    </row>
    <row r="963" ht="15.75" customHeight="1" spans="7:7">
      <c r="G963" s="13"/>
    </row>
    <row r="964" ht="15.75" customHeight="1" spans="7:7">
      <c r="G964" s="13"/>
    </row>
    <row r="965" ht="15.75" customHeight="1" spans="7:7">
      <c r="G965" s="13"/>
    </row>
    <row r="966" ht="15.75" customHeight="1" spans="7:7">
      <c r="G966" s="13"/>
    </row>
    <row r="967" ht="15.75" customHeight="1" spans="7:7">
      <c r="G967" s="13"/>
    </row>
    <row r="968" ht="15.75" customHeight="1" spans="7:7">
      <c r="G968" s="13"/>
    </row>
    <row r="969" ht="15.75" customHeight="1" spans="7:7">
      <c r="G969" s="13"/>
    </row>
    <row r="970" ht="15.75" customHeight="1" spans="7:7">
      <c r="G970" s="13"/>
    </row>
    <row r="971" ht="15.75" customHeight="1" spans="7:7">
      <c r="G971" s="13"/>
    </row>
    <row r="972" ht="15.75" customHeight="1" spans="7:7">
      <c r="G972" s="13"/>
    </row>
    <row r="973" ht="15.75" customHeight="1" spans="7:7">
      <c r="G973" s="13"/>
    </row>
    <row r="974" ht="15.75" customHeight="1" spans="7:7">
      <c r="G974" s="13"/>
    </row>
    <row r="975" ht="15.75" customHeight="1" spans="7:7">
      <c r="G975" s="13"/>
    </row>
    <row r="976" ht="15.75" customHeight="1" spans="7:7">
      <c r="G976" s="13"/>
    </row>
    <row r="977" ht="15.75" customHeight="1" spans="7:7">
      <c r="G977" s="13"/>
    </row>
    <row r="978" ht="15.75" customHeight="1" spans="7:7">
      <c r="G978" s="13"/>
    </row>
    <row r="979" ht="15.75" customHeight="1" spans="7:7">
      <c r="G979" s="13"/>
    </row>
    <row r="980" ht="15.75" customHeight="1" spans="7:7">
      <c r="G980" s="13"/>
    </row>
    <row r="981" ht="15.75" customHeight="1" spans="7:7">
      <c r="G981" s="13"/>
    </row>
    <row r="982" ht="15.75" customHeight="1" spans="7:7">
      <c r="G982" s="13"/>
    </row>
    <row r="983" ht="15.75" customHeight="1" spans="7:7">
      <c r="G983" s="13"/>
    </row>
    <row r="984" ht="15.75" customHeight="1" spans="7:7">
      <c r="G984" s="13"/>
    </row>
    <row r="985" ht="15.75" customHeight="1" spans="7:7">
      <c r="G985" s="13"/>
    </row>
    <row r="986" ht="15.75" customHeight="1" spans="7:7">
      <c r="G986" s="13"/>
    </row>
    <row r="987" ht="15.75" customHeight="1" spans="7:7">
      <c r="G987" s="13"/>
    </row>
    <row r="988" ht="15.75" customHeight="1" spans="7:7">
      <c r="G988" s="13"/>
    </row>
    <row r="989" ht="15.75" customHeight="1" spans="7:7">
      <c r="G989" s="13"/>
    </row>
    <row r="990" ht="15.75" customHeight="1" spans="7:7">
      <c r="G990" s="13"/>
    </row>
    <row r="991" ht="15.75" customHeight="1" spans="7:7">
      <c r="G991" s="13"/>
    </row>
    <row r="992" ht="15.75" customHeight="1" spans="7:7">
      <c r="G992" s="13"/>
    </row>
    <row r="993" ht="15.75" customHeight="1" spans="7:7">
      <c r="G993" s="13"/>
    </row>
    <row r="994" ht="15.75" customHeight="1" spans="7:7">
      <c r="G994" s="13"/>
    </row>
    <row r="995" ht="15.75" customHeight="1" spans="7:7">
      <c r="G995" s="13"/>
    </row>
    <row r="996" ht="15.75" customHeight="1" spans="7:7">
      <c r="G996" s="13"/>
    </row>
    <row r="997" ht="15.75" customHeight="1" spans="7:7">
      <c r="G997" s="13"/>
    </row>
    <row r="998" ht="15.75" customHeight="1" spans="7:7">
      <c r="G998" s="13"/>
    </row>
    <row r="999" ht="15.75" customHeight="1" spans="7:7">
      <c r="G999" s="13"/>
    </row>
    <row r="1000" ht="15.75" customHeight="1" spans="7:7">
      <c r="G1000" s="13"/>
    </row>
    <row r="1001" ht="15.75" customHeight="1" spans="7:7">
      <c r="G1001" s="13"/>
    </row>
    <row r="1002" ht="15.75" customHeight="1" spans="7:7">
      <c r="G1002" s="13"/>
    </row>
    <row r="1003" ht="15.75" customHeight="1" spans="7:7">
      <c r="G1003" s="13"/>
    </row>
    <row r="1004" ht="15.75" customHeight="1" spans="7:7">
      <c r="G1004" s="13"/>
    </row>
    <row r="1005" ht="15.75" customHeight="1" spans="7:7">
      <c r="G1005" s="13"/>
    </row>
    <row r="1006" ht="15.75" customHeight="1" spans="7:7">
      <c r="G1006" s="13"/>
    </row>
    <row r="1007" ht="15.75" customHeight="1" spans="7:7">
      <c r="G1007" s="13"/>
    </row>
    <row r="1008" ht="15.75" customHeight="1" spans="7:7">
      <c r="G1008" s="13"/>
    </row>
    <row r="1009" ht="15.75" customHeight="1" spans="7:7">
      <c r="G1009" s="13"/>
    </row>
    <row r="1010" ht="15.75" customHeight="1" spans="7:7">
      <c r="G1010" s="13"/>
    </row>
    <row r="1011" ht="15.75" customHeight="1" spans="7:7">
      <c r="G1011" s="13"/>
    </row>
    <row r="1012" ht="15.75" customHeight="1" spans="7:7">
      <c r="G1012" s="13"/>
    </row>
    <row r="1013" ht="15.75" customHeight="1" spans="7:7">
      <c r="G1013" s="13"/>
    </row>
    <row r="1014" ht="15.75" customHeight="1" spans="7:7">
      <c r="G1014" s="13"/>
    </row>
    <row r="1015" ht="15.75" customHeight="1" spans="7:7">
      <c r="G1015" s="13"/>
    </row>
    <row r="1016" ht="15.75" customHeight="1" spans="7:7">
      <c r="G1016" s="13"/>
    </row>
    <row r="1017" ht="15.75" customHeight="1" spans="7:7">
      <c r="G1017" s="13"/>
    </row>
    <row r="1018" ht="15.75" customHeight="1" spans="7:7">
      <c r="G1018" s="13"/>
    </row>
    <row r="1019" ht="15.75" customHeight="1" spans="7:7">
      <c r="G1019" s="13"/>
    </row>
    <row r="1020" ht="15.75" customHeight="1" spans="7:7">
      <c r="G1020" s="13"/>
    </row>
    <row r="1021" ht="15.75" customHeight="1" spans="7:7">
      <c r="G1021" s="13"/>
    </row>
    <row r="1022" ht="15.75" customHeight="1" spans="7:7">
      <c r="G1022" s="13"/>
    </row>
    <row r="1023" ht="15.75" customHeight="1" spans="7:7">
      <c r="G1023" s="13"/>
    </row>
    <row r="1024" ht="15.75" customHeight="1" spans="7:7">
      <c r="G1024" s="13"/>
    </row>
    <row r="1025" ht="15.75" customHeight="1" spans="7:7">
      <c r="G1025" s="13"/>
    </row>
    <row r="1026" ht="15.75" customHeight="1" spans="7:7">
      <c r="G1026" s="13"/>
    </row>
    <row r="1027" ht="15.75" customHeight="1" spans="7:7">
      <c r="G1027" s="13"/>
    </row>
    <row r="1028" ht="15.75" customHeight="1" spans="7:7">
      <c r="G1028" s="13"/>
    </row>
    <row r="1029" ht="15.75" customHeight="1" spans="7:7">
      <c r="G1029" s="13"/>
    </row>
    <row r="1030" ht="15.75" customHeight="1" spans="7:7">
      <c r="G1030" s="13"/>
    </row>
    <row r="1031" ht="15.75" customHeight="1" spans="7:7">
      <c r="G1031" s="13"/>
    </row>
    <row r="1032" ht="15.75" customHeight="1" spans="7:7">
      <c r="G1032" s="13"/>
    </row>
    <row r="1033" ht="15.75" customHeight="1" spans="7:7">
      <c r="G1033" s="13"/>
    </row>
    <row r="1034" ht="15.75" customHeight="1" spans="7:7">
      <c r="G1034" s="13"/>
    </row>
    <row r="1035" ht="15.75" customHeight="1" spans="7:7">
      <c r="G1035" s="13"/>
    </row>
    <row r="1036" ht="15.75" customHeight="1" spans="7:7">
      <c r="G1036" s="13"/>
    </row>
    <row r="1037" ht="15.75" customHeight="1" spans="7:7">
      <c r="G1037" s="13"/>
    </row>
    <row r="1038" ht="15.75" customHeight="1" spans="7:7">
      <c r="G1038" s="13"/>
    </row>
    <row r="1039" ht="15.75" customHeight="1" spans="7:7">
      <c r="G1039" s="13"/>
    </row>
    <row r="1040" ht="15.75" customHeight="1" spans="7:7">
      <c r="G1040" s="13"/>
    </row>
    <row r="1041" ht="15.75" customHeight="1" spans="7:7">
      <c r="G1041" s="13"/>
    </row>
    <row r="1042" ht="15.75" customHeight="1" spans="7:7">
      <c r="G1042" s="13"/>
    </row>
    <row r="1043" ht="15.75" customHeight="1" spans="7:7">
      <c r="G1043" s="13"/>
    </row>
    <row r="1044" ht="15.75" customHeight="1" spans="7:7">
      <c r="G1044" s="13"/>
    </row>
    <row r="1045" ht="15.75" customHeight="1" spans="7:7">
      <c r="G1045" s="13"/>
    </row>
    <row r="1046" ht="15.75" customHeight="1" spans="7:7">
      <c r="G1046" s="13"/>
    </row>
    <row r="1047" ht="15.75" customHeight="1" spans="7:7">
      <c r="G1047" s="13"/>
    </row>
    <row r="1048" ht="15.75" customHeight="1" spans="7:7">
      <c r="G1048" s="13"/>
    </row>
    <row r="1049" ht="15.75" customHeight="1" spans="7:7">
      <c r="G1049" s="13"/>
    </row>
    <row r="1050" ht="15.75" customHeight="1" spans="7:7">
      <c r="G1050" s="13"/>
    </row>
    <row r="1051" ht="15.75" customHeight="1" spans="7:7">
      <c r="G1051" s="13"/>
    </row>
    <row r="1052" ht="15.75" customHeight="1" spans="7:7">
      <c r="G1052" s="13"/>
    </row>
    <row r="1053" ht="15.75" customHeight="1" spans="7:7">
      <c r="G1053" s="13"/>
    </row>
    <row r="1054" ht="15.75" customHeight="1" spans="7:7">
      <c r="G1054" s="13"/>
    </row>
    <row r="1055" ht="15.75" customHeight="1" spans="7:7">
      <c r="G1055" s="13"/>
    </row>
    <row r="1056" ht="15.75" customHeight="1" spans="7:7">
      <c r="G1056" s="13"/>
    </row>
    <row r="1057" ht="15.75" customHeight="1" spans="7:7">
      <c r="G1057" s="13"/>
    </row>
    <row r="1058" ht="15.75" customHeight="1" spans="7:7">
      <c r="G1058" s="13"/>
    </row>
    <row r="1059" ht="15.75" customHeight="1" spans="7:7">
      <c r="G1059" s="13"/>
    </row>
    <row r="1060" ht="15.75" customHeight="1" spans="7:7">
      <c r="G1060" s="13"/>
    </row>
    <row r="1061" ht="15.75" customHeight="1" spans="7:7">
      <c r="G1061" s="13"/>
    </row>
    <row r="1062" ht="15.75" customHeight="1" spans="7:7">
      <c r="G1062" s="13"/>
    </row>
    <row r="1063" ht="15.75" customHeight="1" spans="7:7">
      <c r="G1063" s="13"/>
    </row>
    <row r="1064" ht="15.75" customHeight="1" spans="7:7">
      <c r="G1064" s="13"/>
    </row>
    <row r="1065" ht="15.75" customHeight="1" spans="7:7">
      <c r="G1065" s="13"/>
    </row>
    <row r="1066" ht="15.75" customHeight="1" spans="7:7">
      <c r="G1066" s="13"/>
    </row>
    <row r="1067" ht="15.75" customHeight="1" spans="7:7">
      <c r="G1067" s="13"/>
    </row>
    <row r="1068" ht="15.75" customHeight="1" spans="7:7">
      <c r="G1068" s="13"/>
    </row>
    <row r="1069" ht="15.75" customHeight="1" spans="7:7">
      <c r="G1069" s="13"/>
    </row>
    <row r="1070" ht="15.75" customHeight="1" spans="7:7">
      <c r="G1070" s="13"/>
    </row>
    <row r="1071" ht="15.75" customHeight="1" spans="7:7">
      <c r="G1071" s="13"/>
    </row>
    <row r="1072" ht="15.75" customHeight="1" spans="7:7">
      <c r="G1072" s="13"/>
    </row>
    <row r="1073" ht="15.75" customHeight="1" spans="7:7">
      <c r="G1073" s="13"/>
    </row>
    <row r="1074" ht="15.75" customHeight="1" spans="7:7">
      <c r="G1074" s="13"/>
    </row>
    <row r="1075" ht="15.75" customHeight="1" spans="7:7">
      <c r="G1075" s="13"/>
    </row>
    <row r="1076" ht="15.75" customHeight="1" spans="7:7">
      <c r="G1076" s="13"/>
    </row>
    <row r="1077" ht="15.75" customHeight="1" spans="7:7">
      <c r="G1077" s="13"/>
    </row>
    <row r="1078" ht="15.75" customHeight="1" spans="7:7">
      <c r="G1078" s="13"/>
    </row>
    <row r="1079" ht="15.75" customHeight="1" spans="7:7">
      <c r="G1079" s="13"/>
    </row>
    <row r="1080" ht="15.75" customHeight="1" spans="7:7">
      <c r="G1080" s="13"/>
    </row>
    <row r="1081" ht="15.75" customHeight="1" spans="7:7">
      <c r="G1081" s="13"/>
    </row>
    <row r="1082" ht="15.75" customHeight="1" spans="7:7">
      <c r="G1082" s="13"/>
    </row>
    <row r="1083" ht="15.75" customHeight="1" spans="7:7">
      <c r="G1083" s="13"/>
    </row>
    <row r="1084" ht="15.75" customHeight="1" spans="7:7">
      <c r="G1084" s="13"/>
    </row>
    <row r="1085" ht="15.75" customHeight="1" spans="7:7">
      <c r="G1085" s="13"/>
    </row>
    <row r="1086" ht="15.75" customHeight="1" spans="7:7">
      <c r="G1086" s="13"/>
    </row>
    <row r="1087" ht="15.75" customHeight="1" spans="7:7">
      <c r="G1087" s="13"/>
    </row>
    <row r="1088" ht="15.75" customHeight="1" spans="7:7">
      <c r="G1088" s="13"/>
    </row>
    <row r="1089" ht="15.75" customHeight="1" spans="7:7">
      <c r="G1089" s="13"/>
    </row>
    <row r="1090" ht="15.75" customHeight="1" spans="7:7">
      <c r="G1090" s="13"/>
    </row>
    <row r="1091" ht="15.75" customHeight="1" spans="7:7">
      <c r="G1091" s="13"/>
    </row>
    <row r="1092" ht="15.75" customHeight="1" spans="7:7">
      <c r="G1092" s="13"/>
    </row>
    <row r="1093" ht="15.75" customHeight="1" spans="7:7">
      <c r="G1093" s="13"/>
    </row>
    <row r="1094" ht="15.75" customHeight="1" spans="7:7">
      <c r="G1094" s="13"/>
    </row>
    <row r="1095" ht="15.75" customHeight="1" spans="7:7">
      <c r="G1095" s="13"/>
    </row>
    <row r="1096" ht="15.75" customHeight="1" spans="7:7">
      <c r="G1096" s="13"/>
    </row>
    <row r="1097" ht="15.75" customHeight="1" spans="7:7">
      <c r="G1097" s="13"/>
    </row>
    <row r="1098" ht="15.75" customHeight="1" spans="7:7">
      <c r="G1098" s="13"/>
    </row>
    <row r="1099" ht="15.75" customHeight="1" spans="7:7">
      <c r="G1099" s="13"/>
    </row>
    <row r="1100" ht="15.75" customHeight="1" spans="7:7">
      <c r="G1100" s="13"/>
    </row>
    <row r="1101" ht="15.75" customHeight="1" spans="7:7">
      <c r="G1101" s="13"/>
    </row>
    <row r="1102" ht="15.75" customHeight="1" spans="7:7">
      <c r="G1102" s="13"/>
    </row>
    <row r="1103" ht="15.75" customHeight="1" spans="7:7">
      <c r="G1103" s="13"/>
    </row>
    <row r="1104" ht="15.75" customHeight="1" spans="7:7">
      <c r="G1104" s="13"/>
    </row>
    <row r="1105" ht="15.75" customHeight="1" spans="7:7">
      <c r="G1105" s="13"/>
    </row>
    <row r="1106" ht="15.75" customHeight="1" spans="7:7">
      <c r="G1106" s="13"/>
    </row>
    <row r="1107" ht="15.75" customHeight="1" spans="7:7">
      <c r="G1107" s="13"/>
    </row>
    <row r="1108" ht="15.75" customHeight="1" spans="7:7">
      <c r="G1108" s="13"/>
    </row>
    <row r="1109" ht="15.75" customHeight="1" spans="7:7">
      <c r="G1109" s="13"/>
    </row>
    <row r="1110" ht="15.75" customHeight="1" spans="7:7">
      <c r="G1110" s="13"/>
    </row>
    <row r="1111" ht="15.75" customHeight="1" spans="7:7">
      <c r="G1111" s="13"/>
    </row>
    <row r="1112" ht="15.75" customHeight="1" spans="7:7">
      <c r="G1112" s="13"/>
    </row>
    <row r="1113" ht="15.75" customHeight="1" spans="7:7">
      <c r="G1113" s="13"/>
    </row>
    <row r="1114" ht="15.75" customHeight="1" spans="7:7">
      <c r="G1114" s="13"/>
    </row>
    <row r="1115" ht="15.75" customHeight="1" spans="7:7">
      <c r="G1115" s="13"/>
    </row>
    <row r="1116" ht="15.75" customHeight="1" spans="7:7">
      <c r="G1116" s="13"/>
    </row>
    <row r="1117" ht="15.75" customHeight="1" spans="7:7">
      <c r="G1117" s="13"/>
    </row>
    <row r="1118" ht="15.75" customHeight="1" spans="7:7">
      <c r="G1118" s="13"/>
    </row>
    <row r="1119" ht="15.75" customHeight="1" spans="7:7">
      <c r="G1119" s="13"/>
    </row>
  </sheetData>
  <autoFilter xmlns:etc="http://www.wps.cn/officeDocument/2017/etCustomData" ref="A3:Y156" etc:filterBottomFollowUsedRange="0">
    <extLst/>
  </autoFilter>
  <mergeCells count="2">
    <mergeCell ref="A1:I1"/>
    <mergeCell ref="A156:G15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76"/>
  <sheetViews>
    <sheetView workbookViewId="0">
      <selection activeCell="H18" sqref="H18"/>
    </sheetView>
  </sheetViews>
  <sheetFormatPr defaultColWidth="14.4285714285714" defaultRowHeight="15"/>
  <cols>
    <col min="1" max="1" width="16" customWidth="1"/>
    <col min="2" max="2" width="34" customWidth="1"/>
    <col min="3" max="3" width="22.2857142857143" customWidth="1"/>
    <col min="4" max="4" width="36.5714285714286" customWidth="1"/>
    <col min="5" max="5" width="13.4285714285714" customWidth="1"/>
    <col min="6" max="6" width="28.2857142857143" customWidth="1"/>
    <col min="7" max="7" width="25" customWidth="1"/>
    <col min="8" max="8" width="20.5714285714286" customWidth="1"/>
    <col min="9" max="9" width="26.4285714285714" customWidth="1"/>
    <col min="10" max="10" width="11.2857142857143" customWidth="1"/>
    <col min="11" max="25" width="8.71428571428571" customWidth="1"/>
    <col min="257" max="257" width="16" customWidth="1"/>
    <col min="258" max="258" width="28.1428571428571" customWidth="1"/>
    <col min="259" max="259" width="22.2857142857143" customWidth="1"/>
    <col min="260" max="260" width="34.4285714285714" customWidth="1"/>
    <col min="261" max="261" width="13.4285714285714" customWidth="1"/>
    <col min="262" max="262" width="28.2857142857143" customWidth="1"/>
    <col min="263" max="263" width="25" customWidth="1"/>
    <col min="264" max="264" width="20.5714285714286" customWidth="1"/>
    <col min="265" max="265" width="55.8571428571429" customWidth="1"/>
    <col min="266" max="266" width="11.2857142857143" customWidth="1"/>
    <col min="267" max="281" width="8.71428571428571" customWidth="1"/>
    <col min="513" max="513" width="16" customWidth="1"/>
    <col min="514" max="514" width="28.1428571428571" customWidth="1"/>
    <col min="515" max="515" width="22.2857142857143" customWidth="1"/>
    <col min="516" max="516" width="34.4285714285714" customWidth="1"/>
    <col min="517" max="517" width="13.4285714285714" customWidth="1"/>
    <col min="518" max="518" width="28.2857142857143" customWidth="1"/>
    <col min="519" max="519" width="25" customWidth="1"/>
    <col min="520" max="520" width="20.5714285714286" customWidth="1"/>
    <col min="521" max="521" width="55.8571428571429" customWidth="1"/>
    <col min="522" max="522" width="11.2857142857143" customWidth="1"/>
    <col min="523" max="537" width="8.71428571428571" customWidth="1"/>
    <col min="769" max="769" width="16" customWidth="1"/>
    <col min="770" max="770" width="28.1428571428571" customWidth="1"/>
    <col min="771" max="771" width="22.2857142857143" customWidth="1"/>
    <col min="772" max="772" width="34.4285714285714" customWidth="1"/>
    <col min="773" max="773" width="13.4285714285714" customWidth="1"/>
    <col min="774" max="774" width="28.2857142857143" customWidth="1"/>
    <col min="775" max="775" width="25" customWidth="1"/>
    <col min="776" max="776" width="20.5714285714286" customWidth="1"/>
    <col min="777" max="777" width="55.8571428571429" customWidth="1"/>
    <col min="778" max="778" width="11.2857142857143" customWidth="1"/>
    <col min="779" max="793" width="8.71428571428571" customWidth="1"/>
    <col min="1025" max="1025" width="16" customWidth="1"/>
    <col min="1026" max="1026" width="28.1428571428571" customWidth="1"/>
    <col min="1027" max="1027" width="22.2857142857143" customWidth="1"/>
    <col min="1028" max="1028" width="34.4285714285714" customWidth="1"/>
    <col min="1029" max="1029" width="13.4285714285714" customWidth="1"/>
    <col min="1030" max="1030" width="28.2857142857143" customWidth="1"/>
    <col min="1031" max="1031" width="25" customWidth="1"/>
    <col min="1032" max="1032" width="20.5714285714286" customWidth="1"/>
    <col min="1033" max="1033" width="55.8571428571429" customWidth="1"/>
    <col min="1034" max="1034" width="11.2857142857143" customWidth="1"/>
    <col min="1035" max="1049" width="8.71428571428571" customWidth="1"/>
    <col min="1281" max="1281" width="16" customWidth="1"/>
    <col min="1282" max="1282" width="28.1428571428571" customWidth="1"/>
    <col min="1283" max="1283" width="22.2857142857143" customWidth="1"/>
    <col min="1284" max="1284" width="34.4285714285714" customWidth="1"/>
    <col min="1285" max="1285" width="13.4285714285714" customWidth="1"/>
    <col min="1286" max="1286" width="28.2857142857143" customWidth="1"/>
    <col min="1287" max="1287" width="25" customWidth="1"/>
    <col min="1288" max="1288" width="20.5714285714286" customWidth="1"/>
    <col min="1289" max="1289" width="55.8571428571429" customWidth="1"/>
    <col min="1290" max="1290" width="11.2857142857143" customWidth="1"/>
    <col min="1291" max="1305" width="8.71428571428571" customWidth="1"/>
    <col min="1537" max="1537" width="16" customWidth="1"/>
    <col min="1538" max="1538" width="28.1428571428571" customWidth="1"/>
    <col min="1539" max="1539" width="22.2857142857143" customWidth="1"/>
    <col min="1540" max="1540" width="34.4285714285714" customWidth="1"/>
    <col min="1541" max="1541" width="13.4285714285714" customWidth="1"/>
    <col min="1542" max="1542" width="28.2857142857143" customWidth="1"/>
    <col min="1543" max="1543" width="25" customWidth="1"/>
    <col min="1544" max="1544" width="20.5714285714286" customWidth="1"/>
    <col min="1545" max="1545" width="55.8571428571429" customWidth="1"/>
    <col min="1546" max="1546" width="11.2857142857143" customWidth="1"/>
    <col min="1547" max="1561" width="8.71428571428571" customWidth="1"/>
    <col min="1793" max="1793" width="16" customWidth="1"/>
    <col min="1794" max="1794" width="28.1428571428571" customWidth="1"/>
    <col min="1795" max="1795" width="22.2857142857143" customWidth="1"/>
    <col min="1796" max="1796" width="34.4285714285714" customWidth="1"/>
    <col min="1797" max="1797" width="13.4285714285714" customWidth="1"/>
    <col min="1798" max="1798" width="28.2857142857143" customWidth="1"/>
    <col min="1799" max="1799" width="25" customWidth="1"/>
    <col min="1800" max="1800" width="20.5714285714286" customWidth="1"/>
    <col min="1801" max="1801" width="55.8571428571429" customWidth="1"/>
    <col min="1802" max="1802" width="11.2857142857143" customWidth="1"/>
    <col min="1803" max="1817" width="8.71428571428571" customWidth="1"/>
    <col min="2049" max="2049" width="16" customWidth="1"/>
    <col min="2050" max="2050" width="28.1428571428571" customWidth="1"/>
    <col min="2051" max="2051" width="22.2857142857143" customWidth="1"/>
    <col min="2052" max="2052" width="34.4285714285714" customWidth="1"/>
    <col min="2053" max="2053" width="13.4285714285714" customWidth="1"/>
    <col min="2054" max="2054" width="28.2857142857143" customWidth="1"/>
    <col min="2055" max="2055" width="25" customWidth="1"/>
    <col min="2056" max="2056" width="20.5714285714286" customWidth="1"/>
    <col min="2057" max="2057" width="55.8571428571429" customWidth="1"/>
    <col min="2058" max="2058" width="11.2857142857143" customWidth="1"/>
    <col min="2059" max="2073" width="8.71428571428571" customWidth="1"/>
    <col min="2305" max="2305" width="16" customWidth="1"/>
    <col min="2306" max="2306" width="28.1428571428571" customWidth="1"/>
    <col min="2307" max="2307" width="22.2857142857143" customWidth="1"/>
    <col min="2308" max="2308" width="34.4285714285714" customWidth="1"/>
    <col min="2309" max="2309" width="13.4285714285714" customWidth="1"/>
    <col min="2310" max="2310" width="28.2857142857143" customWidth="1"/>
    <col min="2311" max="2311" width="25" customWidth="1"/>
    <col min="2312" max="2312" width="20.5714285714286" customWidth="1"/>
    <col min="2313" max="2313" width="55.8571428571429" customWidth="1"/>
    <col min="2314" max="2314" width="11.2857142857143" customWidth="1"/>
    <col min="2315" max="2329" width="8.71428571428571" customWidth="1"/>
    <col min="2561" max="2561" width="16" customWidth="1"/>
    <col min="2562" max="2562" width="28.1428571428571" customWidth="1"/>
    <col min="2563" max="2563" width="22.2857142857143" customWidth="1"/>
    <col min="2564" max="2564" width="34.4285714285714" customWidth="1"/>
    <col min="2565" max="2565" width="13.4285714285714" customWidth="1"/>
    <col min="2566" max="2566" width="28.2857142857143" customWidth="1"/>
    <col min="2567" max="2567" width="25" customWidth="1"/>
    <col min="2568" max="2568" width="20.5714285714286" customWidth="1"/>
    <col min="2569" max="2569" width="55.8571428571429" customWidth="1"/>
    <col min="2570" max="2570" width="11.2857142857143" customWidth="1"/>
    <col min="2571" max="2585" width="8.71428571428571" customWidth="1"/>
    <col min="2817" max="2817" width="16" customWidth="1"/>
    <col min="2818" max="2818" width="28.1428571428571" customWidth="1"/>
    <col min="2819" max="2819" width="22.2857142857143" customWidth="1"/>
    <col min="2820" max="2820" width="34.4285714285714" customWidth="1"/>
    <col min="2821" max="2821" width="13.4285714285714" customWidth="1"/>
    <col min="2822" max="2822" width="28.2857142857143" customWidth="1"/>
    <col min="2823" max="2823" width="25" customWidth="1"/>
    <col min="2824" max="2824" width="20.5714285714286" customWidth="1"/>
    <col min="2825" max="2825" width="55.8571428571429" customWidth="1"/>
    <col min="2826" max="2826" width="11.2857142857143" customWidth="1"/>
    <col min="2827" max="2841" width="8.71428571428571" customWidth="1"/>
    <col min="3073" max="3073" width="16" customWidth="1"/>
    <col min="3074" max="3074" width="28.1428571428571" customWidth="1"/>
    <col min="3075" max="3075" width="22.2857142857143" customWidth="1"/>
    <col min="3076" max="3076" width="34.4285714285714" customWidth="1"/>
    <col min="3077" max="3077" width="13.4285714285714" customWidth="1"/>
    <col min="3078" max="3078" width="28.2857142857143" customWidth="1"/>
    <col min="3079" max="3079" width="25" customWidth="1"/>
    <col min="3080" max="3080" width="20.5714285714286" customWidth="1"/>
    <col min="3081" max="3081" width="55.8571428571429" customWidth="1"/>
    <col min="3082" max="3082" width="11.2857142857143" customWidth="1"/>
    <col min="3083" max="3097" width="8.71428571428571" customWidth="1"/>
    <col min="3329" max="3329" width="16" customWidth="1"/>
    <col min="3330" max="3330" width="28.1428571428571" customWidth="1"/>
    <col min="3331" max="3331" width="22.2857142857143" customWidth="1"/>
    <col min="3332" max="3332" width="34.4285714285714" customWidth="1"/>
    <col min="3333" max="3333" width="13.4285714285714" customWidth="1"/>
    <col min="3334" max="3334" width="28.2857142857143" customWidth="1"/>
    <col min="3335" max="3335" width="25" customWidth="1"/>
    <col min="3336" max="3336" width="20.5714285714286" customWidth="1"/>
    <col min="3337" max="3337" width="55.8571428571429" customWidth="1"/>
    <col min="3338" max="3338" width="11.2857142857143" customWidth="1"/>
    <col min="3339" max="3353" width="8.71428571428571" customWidth="1"/>
    <col min="3585" max="3585" width="16" customWidth="1"/>
    <col min="3586" max="3586" width="28.1428571428571" customWidth="1"/>
    <col min="3587" max="3587" width="22.2857142857143" customWidth="1"/>
    <col min="3588" max="3588" width="34.4285714285714" customWidth="1"/>
    <col min="3589" max="3589" width="13.4285714285714" customWidth="1"/>
    <col min="3590" max="3590" width="28.2857142857143" customWidth="1"/>
    <col min="3591" max="3591" width="25" customWidth="1"/>
    <col min="3592" max="3592" width="20.5714285714286" customWidth="1"/>
    <col min="3593" max="3593" width="55.8571428571429" customWidth="1"/>
    <col min="3594" max="3594" width="11.2857142857143" customWidth="1"/>
    <col min="3595" max="3609" width="8.71428571428571" customWidth="1"/>
    <col min="3841" max="3841" width="16" customWidth="1"/>
    <col min="3842" max="3842" width="28.1428571428571" customWidth="1"/>
    <col min="3843" max="3843" width="22.2857142857143" customWidth="1"/>
    <col min="3844" max="3844" width="34.4285714285714" customWidth="1"/>
    <col min="3845" max="3845" width="13.4285714285714" customWidth="1"/>
    <col min="3846" max="3846" width="28.2857142857143" customWidth="1"/>
    <col min="3847" max="3847" width="25" customWidth="1"/>
    <col min="3848" max="3848" width="20.5714285714286" customWidth="1"/>
    <col min="3849" max="3849" width="55.8571428571429" customWidth="1"/>
    <col min="3850" max="3850" width="11.2857142857143" customWidth="1"/>
    <col min="3851" max="3865" width="8.71428571428571" customWidth="1"/>
    <col min="4097" max="4097" width="16" customWidth="1"/>
    <col min="4098" max="4098" width="28.1428571428571" customWidth="1"/>
    <col min="4099" max="4099" width="22.2857142857143" customWidth="1"/>
    <col min="4100" max="4100" width="34.4285714285714" customWidth="1"/>
    <col min="4101" max="4101" width="13.4285714285714" customWidth="1"/>
    <col min="4102" max="4102" width="28.2857142857143" customWidth="1"/>
    <col min="4103" max="4103" width="25" customWidth="1"/>
    <col min="4104" max="4104" width="20.5714285714286" customWidth="1"/>
    <col min="4105" max="4105" width="55.8571428571429" customWidth="1"/>
    <col min="4106" max="4106" width="11.2857142857143" customWidth="1"/>
    <col min="4107" max="4121" width="8.71428571428571" customWidth="1"/>
    <col min="4353" max="4353" width="16" customWidth="1"/>
    <col min="4354" max="4354" width="28.1428571428571" customWidth="1"/>
    <col min="4355" max="4355" width="22.2857142857143" customWidth="1"/>
    <col min="4356" max="4356" width="34.4285714285714" customWidth="1"/>
    <col min="4357" max="4357" width="13.4285714285714" customWidth="1"/>
    <col min="4358" max="4358" width="28.2857142857143" customWidth="1"/>
    <col min="4359" max="4359" width="25" customWidth="1"/>
    <col min="4360" max="4360" width="20.5714285714286" customWidth="1"/>
    <col min="4361" max="4361" width="55.8571428571429" customWidth="1"/>
    <col min="4362" max="4362" width="11.2857142857143" customWidth="1"/>
    <col min="4363" max="4377" width="8.71428571428571" customWidth="1"/>
    <col min="4609" max="4609" width="16" customWidth="1"/>
    <col min="4610" max="4610" width="28.1428571428571" customWidth="1"/>
    <col min="4611" max="4611" width="22.2857142857143" customWidth="1"/>
    <col min="4612" max="4612" width="34.4285714285714" customWidth="1"/>
    <col min="4613" max="4613" width="13.4285714285714" customWidth="1"/>
    <col min="4614" max="4614" width="28.2857142857143" customWidth="1"/>
    <col min="4615" max="4615" width="25" customWidth="1"/>
    <col min="4616" max="4616" width="20.5714285714286" customWidth="1"/>
    <col min="4617" max="4617" width="55.8571428571429" customWidth="1"/>
    <col min="4618" max="4618" width="11.2857142857143" customWidth="1"/>
    <col min="4619" max="4633" width="8.71428571428571" customWidth="1"/>
    <col min="4865" max="4865" width="16" customWidth="1"/>
    <col min="4866" max="4866" width="28.1428571428571" customWidth="1"/>
    <col min="4867" max="4867" width="22.2857142857143" customWidth="1"/>
    <col min="4868" max="4868" width="34.4285714285714" customWidth="1"/>
    <col min="4869" max="4869" width="13.4285714285714" customWidth="1"/>
    <col min="4870" max="4870" width="28.2857142857143" customWidth="1"/>
    <col min="4871" max="4871" width="25" customWidth="1"/>
    <col min="4872" max="4872" width="20.5714285714286" customWidth="1"/>
    <col min="4873" max="4873" width="55.8571428571429" customWidth="1"/>
    <col min="4874" max="4874" width="11.2857142857143" customWidth="1"/>
    <col min="4875" max="4889" width="8.71428571428571" customWidth="1"/>
    <col min="5121" max="5121" width="16" customWidth="1"/>
    <col min="5122" max="5122" width="28.1428571428571" customWidth="1"/>
    <col min="5123" max="5123" width="22.2857142857143" customWidth="1"/>
    <col min="5124" max="5124" width="34.4285714285714" customWidth="1"/>
    <col min="5125" max="5125" width="13.4285714285714" customWidth="1"/>
    <col min="5126" max="5126" width="28.2857142857143" customWidth="1"/>
    <col min="5127" max="5127" width="25" customWidth="1"/>
    <col min="5128" max="5128" width="20.5714285714286" customWidth="1"/>
    <col min="5129" max="5129" width="55.8571428571429" customWidth="1"/>
    <col min="5130" max="5130" width="11.2857142857143" customWidth="1"/>
    <col min="5131" max="5145" width="8.71428571428571" customWidth="1"/>
    <col min="5377" max="5377" width="16" customWidth="1"/>
    <col min="5378" max="5378" width="28.1428571428571" customWidth="1"/>
    <col min="5379" max="5379" width="22.2857142857143" customWidth="1"/>
    <col min="5380" max="5380" width="34.4285714285714" customWidth="1"/>
    <col min="5381" max="5381" width="13.4285714285714" customWidth="1"/>
    <col min="5382" max="5382" width="28.2857142857143" customWidth="1"/>
    <col min="5383" max="5383" width="25" customWidth="1"/>
    <col min="5384" max="5384" width="20.5714285714286" customWidth="1"/>
    <col min="5385" max="5385" width="55.8571428571429" customWidth="1"/>
    <col min="5386" max="5386" width="11.2857142857143" customWidth="1"/>
    <col min="5387" max="5401" width="8.71428571428571" customWidth="1"/>
    <col min="5633" max="5633" width="16" customWidth="1"/>
    <col min="5634" max="5634" width="28.1428571428571" customWidth="1"/>
    <col min="5635" max="5635" width="22.2857142857143" customWidth="1"/>
    <col min="5636" max="5636" width="34.4285714285714" customWidth="1"/>
    <col min="5637" max="5637" width="13.4285714285714" customWidth="1"/>
    <col min="5638" max="5638" width="28.2857142857143" customWidth="1"/>
    <col min="5639" max="5639" width="25" customWidth="1"/>
    <col min="5640" max="5640" width="20.5714285714286" customWidth="1"/>
    <col min="5641" max="5641" width="55.8571428571429" customWidth="1"/>
    <col min="5642" max="5642" width="11.2857142857143" customWidth="1"/>
    <col min="5643" max="5657" width="8.71428571428571" customWidth="1"/>
    <col min="5889" max="5889" width="16" customWidth="1"/>
    <col min="5890" max="5890" width="28.1428571428571" customWidth="1"/>
    <col min="5891" max="5891" width="22.2857142857143" customWidth="1"/>
    <col min="5892" max="5892" width="34.4285714285714" customWidth="1"/>
    <col min="5893" max="5893" width="13.4285714285714" customWidth="1"/>
    <col min="5894" max="5894" width="28.2857142857143" customWidth="1"/>
    <col min="5895" max="5895" width="25" customWidth="1"/>
    <col min="5896" max="5896" width="20.5714285714286" customWidth="1"/>
    <col min="5897" max="5897" width="55.8571428571429" customWidth="1"/>
    <col min="5898" max="5898" width="11.2857142857143" customWidth="1"/>
    <col min="5899" max="5913" width="8.71428571428571" customWidth="1"/>
    <col min="6145" max="6145" width="16" customWidth="1"/>
    <col min="6146" max="6146" width="28.1428571428571" customWidth="1"/>
    <col min="6147" max="6147" width="22.2857142857143" customWidth="1"/>
    <col min="6148" max="6148" width="34.4285714285714" customWidth="1"/>
    <col min="6149" max="6149" width="13.4285714285714" customWidth="1"/>
    <col min="6150" max="6150" width="28.2857142857143" customWidth="1"/>
    <col min="6151" max="6151" width="25" customWidth="1"/>
    <col min="6152" max="6152" width="20.5714285714286" customWidth="1"/>
    <col min="6153" max="6153" width="55.8571428571429" customWidth="1"/>
    <col min="6154" max="6154" width="11.2857142857143" customWidth="1"/>
    <col min="6155" max="6169" width="8.71428571428571" customWidth="1"/>
    <col min="6401" max="6401" width="16" customWidth="1"/>
    <col min="6402" max="6402" width="28.1428571428571" customWidth="1"/>
    <col min="6403" max="6403" width="22.2857142857143" customWidth="1"/>
    <col min="6404" max="6404" width="34.4285714285714" customWidth="1"/>
    <col min="6405" max="6405" width="13.4285714285714" customWidth="1"/>
    <col min="6406" max="6406" width="28.2857142857143" customWidth="1"/>
    <col min="6407" max="6407" width="25" customWidth="1"/>
    <col min="6408" max="6408" width="20.5714285714286" customWidth="1"/>
    <col min="6409" max="6409" width="55.8571428571429" customWidth="1"/>
    <col min="6410" max="6410" width="11.2857142857143" customWidth="1"/>
    <col min="6411" max="6425" width="8.71428571428571" customWidth="1"/>
    <col min="6657" max="6657" width="16" customWidth="1"/>
    <col min="6658" max="6658" width="28.1428571428571" customWidth="1"/>
    <col min="6659" max="6659" width="22.2857142857143" customWidth="1"/>
    <col min="6660" max="6660" width="34.4285714285714" customWidth="1"/>
    <col min="6661" max="6661" width="13.4285714285714" customWidth="1"/>
    <col min="6662" max="6662" width="28.2857142857143" customWidth="1"/>
    <col min="6663" max="6663" width="25" customWidth="1"/>
    <col min="6664" max="6664" width="20.5714285714286" customWidth="1"/>
    <col min="6665" max="6665" width="55.8571428571429" customWidth="1"/>
    <col min="6666" max="6666" width="11.2857142857143" customWidth="1"/>
    <col min="6667" max="6681" width="8.71428571428571" customWidth="1"/>
    <col min="6913" max="6913" width="16" customWidth="1"/>
    <col min="6914" max="6914" width="28.1428571428571" customWidth="1"/>
    <col min="6915" max="6915" width="22.2857142857143" customWidth="1"/>
    <col min="6916" max="6916" width="34.4285714285714" customWidth="1"/>
    <col min="6917" max="6917" width="13.4285714285714" customWidth="1"/>
    <col min="6918" max="6918" width="28.2857142857143" customWidth="1"/>
    <col min="6919" max="6919" width="25" customWidth="1"/>
    <col min="6920" max="6920" width="20.5714285714286" customWidth="1"/>
    <col min="6921" max="6921" width="55.8571428571429" customWidth="1"/>
    <col min="6922" max="6922" width="11.2857142857143" customWidth="1"/>
    <col min="6923" max="6937" width="8.71428571428571" customWidth="1"/>
    <col min="7169" max="7169" width="16" customWidth="1"/>
    <col min="7170" max="7170" width="28.1428571428571" customWidth="1"/>
    <col min="7171" max="7171" width="22.2857142857143" customWidth="1"/>
    <col min="7172" max="7172" width="34.4285714285714" customWidth="1"/>
    <col min="7173" max="7173" width="13.4285714285714" customWidth="1"/>
    <col min="7174" max="7174" width="28.2857142857143" customWidth="1"/>
    <col min="7175" max="7175" width="25" customWidth="1"/>
    <col min="7176" max="7176" width="20.5714285714286" customWidth="1"/>
    <col min="7177" max="7177" width="55.8571428571429" customWidth="1"/>
    <col min="7178" max="7178" width="11.2857142857143" customWidth="1"/>
    <col min="7179" max="7193" width="8.71428571428571" customWidth="1"/>
    <col min="7425" max="7425" width="16" customWidth="1"/>
    <col min="7426" max="7426" width="28.1428571428571" customWidth="1"/>
    <col min="7427" max="7427" width="22.2857142857143" customWidth="1"/>
    <col min="7428" max="7428" width="34.4285714285714" customWidth="1"/>
    <col min="7429" max="7429" width="13.4285714285714" customWidth="1"/>
    <col min="7430" max="7430" width="28.2857142857143" customWidth="1"/>
    <col min="7431" max="7431" width="25" customWidth="1"/>
    <col min="7432" max="7432" width="20.5714285714286" customWidth="1"/>
    <col min="7433" max="7433" width="55.8571428571429" customWidth="1"/>
    <col min="7434" max="7434" width="11.2857142857143" customWidth="1"/>
    <col min="7435" max="7449" width="8.71428571428571" customWidth="1"/>
    <col min="7681" max="7681" width="16" customWidth="1"/>
    <col min="7682" max="7682" width="28.1428571428571" customWidth="1"/>
    <col min="7683" max="7683" width="22.2857142857143" customWidth="1"/>
    <col min="7684" max="7684" width="34.4285714285714" customWidth="1"/>
    <col min="7685" max="7685" width="13.4285714285714" customWidth="1"/>
    <col min="7686" max="7686" width="28.2857142857143" customWidth="1"/>
    <col min="7687" max="7687" width="25" customWidth="1"/>
    <col min="7688" max="7688" width="20.5714285714286" customWidth="1"/>
    <col min="7689" max="7689" width="55.8571428571429" customWidth="1"/>
    <col min="7690" max="7690" width="11.2857142857143" customWidth="1"/>
    <col min="7691" max="7705" width="8.71428571428571" customWidth="1"/>
    <col min="7937" max="7937" width="16" customWidth="1"/>
    <col min="7938" max="7938" width="28.1428571428571" customWidth="1"/>
    <col min="7939" max="7939" width="22.2857142857143" customWidth="1"/>
    <col min="7940" max="7940" width="34.4285714285714" customWidth="1"/>
    <col min="7941" max="7941" width="13.4285714285714" customWidth="1"/>
    <col min="7942" max="7942" width="28.2857142857143" customWidth="1"/>
    <col min="7943" max="7943" width="25" customWidth="1"/>
    <col min="7944" max="7944" width="20.5714285714286" customWidth="1"/>
    <col min="7945" max="7945" width="55.8571428571429" customWidth="1"/>
    <col min="7946" max="7946" width="11.2857142857143" customWidth="1"/>
    <col min="7947" max="7961" width="8.71428571428571" customWidth="1"/>
    <col min="8193" max="8193" width="16" customWidth="1"/>
    <col min="8194" max="8194" width="28.1428571428571" customWidth="1"/>
    <col min="8195" max="8195" width="22.2857142857143" customWidth="1"/>
    <col min="8196" max="8196" width="34.4285714285714" customWidth="1"/>
    <col min="8197" max="8197" width="13.4285714285714" customWidth="1"/>
    <col min="8198" max="8198" width="28.2857142857143" customWidth="1"/>
    <col min="8199" max="8199" width="25" customWidth="1"/>
    <col min="8200" max="8200" width="20.5714285714286" customWidth="1"/>
    <col min="8201" max="8201" width="55.8571428571429" customWidth="1"/>
    <col min="8202" max="8202" width="11.2857142857143" customWidth="1"/>
    <col min="8203" max="8217" width="8.71428571428571" customWidth="1"/>
    <col min="8449" max="8449" width="16" customWidth="1"/>
    <col min="8450" max="8450" width="28.1428571428571" customWidth="1"/>
    <col min="8451" max="8451" width="22.2857142857143" customWidth="1"/>
    <col min="8452" max="8452" width="34.4285714285714" customWidth="1"/>
    <col min="8453" max="8453" width="13.4285714285714" customWidth="1"/>
    <col min="8454" max="8454" width="28.2857142857143" customWidth="1"/>
    <col min="8455" max="8455" width="25" customWidth="1"/>
    <col min="8456" max="8456" width="20.5714285714286" customWidth="1"/>
    <col min="8457" max="8457" width="55.8571428571429" customWidth="1"/>
    <col min="8458" max="8458" width="11.2857142857143" customWidth="1"/>
    <col min="8459" max="8473" width="8.71428571428571" customWidth="1"/>
    <col min="8705" max="8705" width="16" customWidth="1"/>
    <col min="8706" max="8706" width="28.1428571428571" customWidth="1"/>
    <col min="8707" max="8707" width="22.2857142857143" customWidth="1"/>
    <col min="8708" max="8708" width="34.4285714285714" customWidth="1"/>
    <col min="8709" max="8709" width="13.4285714285714" customWidth="1"/>
    <col min="8710" max="8710" width="28.2857142857143" customWidth="1"/>
    <col min="8711" max="8711" width="25" customWidth="1"/>
    <col min="8712" max="8712" width="20.5714285714286" customWidth="1"/>
    <col min="8713" max="8713" width="55.8571428571429" customWidth="1"/>
    <col min="8714" max="8714" width="11.2857142857143" customWidth="1"/>
    <col min="8715" max="8729" width="8.71428571428571" customWidth="1"/>
    <col min="8961" max="8961" width="16" customWidth="1"/>
    <col min="8962" max="8962" width="28.1428571428571" customWidth="1"/>
    <col min="8963" max="8963" width="22.2857142857143" customWidth="1"/>
    <col min="8964" max="8964" width="34.4285714285714" customWidth="1"/>
    <col min="8965" max="8965" width="13.4285714285714" customWidth="1"/>
    <col min="8966" max="8966" width="28.2857142857143" customWidth="1"/>
    <col min="8967" max="8967" width="25" customWidth="1"/>
    <col min="8968" max="8968" width="20.5714285714286" customWidth="1"/>
    <col min="8969" max="8969" width="55.8571428571429" customWidth="1"/>
    <col min="8970" max="8970" width="11.2857142857143" customWidth="1"/>
    <col min="8971" max="8985" width="8.71428571428571" customWidth="1"/>
    <col min="9217" max="9217" width="16" customWidth="1"/>
    <col min="9218" max="9218" width="28.1428571428571" customWidth="1"/>
    <col min="9219" max="9219" width="22.2857142857143" customWidth="1"/>
    <col min="9220" max="9220" width="34.4285714285714" customWidth="1"/>
    <col min="9221" max="9221" width="13.4285714285714" customWidth="1"/>
    <col min="9222" max="9222" width="28.2857142857143" customWidth="1"/>
    <col min="9223" max="9223" width="25" customWidth="1"/>
    <col min="9224" max="9224" width="20.5714285714286" customWidth="1"/>
    <col min="9225" max="9225" width="55.8571428571429" customWidth="1"/>
    <col min="9226" max="9226" width="11.2857142857143" customWidth="1"/>
    <col min="9227" max="9241" width="8.71428571428571" customWidth="1"/>
    <col min="9473" max="9473" width="16" customWidth="1"/>
    <col min="9474" max="9474" width="28.1428571428571" customWidth="1"/>
    <col min="9475" max="9475" width="22.2857142857143" customWidth="1"/>
    <col min="9476" max="9476" width="34.4285714285714" customWidth="1"/>
    <col min="9477" max="9477" width="13.4285714285714" customWidth="1"/>
    <col min="9478" max="9478" width="28.2857142857143" customWidth="1"/>
    <col min="9479" max="9479" width="25" customWidth="1"/>
    <col min="9480" max="9480" width="20.5714285714286" customWidth="1"/>
    <col min="9481" max="9481" width="55.8571428571429" customWidth="1"/>
    <col min="9482" max="9482" width="11.2857142857143" customWidth="1"/>
    <col min="9483" max="9497" width="8.71428571428571" customWidth="1"/>
    <col min="9729" max="9729" width="16" customWidth="1"/>
    <col min="9730" max="9730" width="28.1428571428571" customWidth="1"/>
    <col min="9731" max="9731" width="22.2857142857143" customWidth="1"/>
    <col min="9732" max="9732" width="34.4285714285714" customWidth="1"/>
    <col min="9733" max="9733" width="13.4285714285714" customWidth="1"/>
    <col min="9734" max="9734" width="28.2857142857143" customWidth="1"/>
    <col min="9735" max="9735" width="25" customWidth="1"/>
    <col min="9736" max="9736" width="20.5714285714286" customWidth="1"/>
    <col min="9737" max="9737" width="55.8571428571429" customWidth="1"/>
    <col min="9738" max="9738" width="11.2857142857143" customWidth="1"/>
    <col min="9739" max="9753" width="8.71428571428571" customWidth="1"/>
    <col min="9985" max="9985" width="16" customWidth="1"/>
    <col min="9986" max="9986" width="28.1428571428571" customWidth="1"/>
    <col min="9987" max="9987" width="22.2857142857143" customWidth="1"/>
    <col min="9988" max="9988" width="34.4285714285714" customWidth="1"/>
    <col min="9989" max="9989" width="13.4285714285714" customWidth="1"/>
    <col min="9990" max="9990" width="28.2857142857143" customWidth="1"/>
    <col min="9991" max="9991" width="25" customWidth="1"/>
    <col min="9992" max="9992" width="20.5714285714286" customWidth="1"/>
    <col min="9993" max="9993" width="55.8571428571429" customWidth="1"/>
    <col min="9994" max="9994" width="11.2857142857143" customWidth="1"/>
    <col min="9995" max="10009" width="8.71428571428571" customWidth="1"/>
    <col min="10241" max="10241" width="16" customWidth="1"/>
    <col min="10242" max="10242" width="28.1428571428571" customWidth="1"/>
    <col min="10243" max="10243" width="22.2857142857143" customWidth="1"/>
    <col min="10244" max="10244" width="34.4285714285714" customWidth="1"/>
    <col min="10245" max="10245" width="13.4285714285714" customWidth="1"/>
    <col min="10246" max="10246" width="28.2857142857143" customWidth="1"/>
    <col min="10247" max="10247" width="25" customWidth="1"/>
    <col min="10248" max="10248" width="20.5714285714286" customWidth="1"/>
    <col min="10249" max="10249" width="55.8571428571429" customWidth="1"/>
    <col min="10250" max="10250" width="11.2857142857143" customWidth="1"/>
    <col min="10251" max="10265" width="8.71428571428571" customWidth="1"/>
    <col min="10497" max="10497" width="16" customWidth="1"/>
    <col min="10498" max="10498" width="28.1428571428571" customWidth="1"/>
    <col min="10499" max="10499" width="22.2857142857143" customWidth="1"/>
    <col min="10500" max="10500" width="34.4285714285714" customWidth="1"/>
    <col min="10501" max="10501" width="13.4285714285714" customWidth="1"/>
    <col min="10502" max="10502" width="28.2857142857143" customWidth="1"/>
    <col min="10503" max="10503" width="25" customWidth="1"/>
    <col min="10504" max="10504" width="20.5714285714286" customWidth="1"/>
    <col min="10505" max="10505" width="55.8571428571429" customWidth="1"/>
    <col min="10506" max="10506" width="11.2857142857143" customWidth="1"/>
    <col min="10507" max="10521" width="8.71428571428571" customWidth="1"/>
    <col min="10753" max="10753" width="16" customWidth="1"/>
    <col min="10754" max="10754" width="28.1428571428571" customWidth="1"/>
    <col min="10755" max="10755" width="22.2857142857143" customWidth="1"/>
    <col min="10756" max="10756" width="34.4285714285714" customWidth="1"/>
    <col min="10757" max="10757" width="13.4285714285714" customWidth="1"/>
    <col min="10758" max="10758" width="28.2857142857143" customWidth="1"/>
    <col min="10759" max="10759" width="25" customWidth="1"/>
    <col min="10760" max="10760" width="20.5714285714286" customWidth="1"/>
    <col min="10761" max="10761" width="55.8571428571429" customWidth="1"/>
    <col min="10762" max="10762" width="11.2857142857143" customWidth="1"/>
    <col min="10763" max="10777" width="8.71428571428571" customWidth="1"/>
    <col min="11009" max="11009" width="16" customWidth="1"/>
    <col min="11010" max="11010" width="28.1428571428571" customWidth="1"/>
    <col min="11011" max="11011" width="22.2857142857143" customWidth="1"/>
    <col min="11012" max="11012" width="34.4285714285714" customWidth="1"/>
    <col min="11013" max="11013" width="13.4285714285714" customWidth="1"/>
    <col min="11014" max="11014" width="28.2857142857143" customWidth="1"/>
    <col min="11015" max="11015" width="25" customWidth="1"/>
    <col min="11016" max="11016" width="20.5714285714286" customWidth="1"/>
    <col min="11017" max="11017" width="55.8571428571429" customWidth="1"/>
    <col min="11018" max="11018" width="11.2857142857143" customWidth="1"/>
    <col min="11019" max="11033" width="8.71428571428571" customWidth="1"/>
    <col min="11265" max="11265" width="16" customWidth="1"/>
    <col min="11266" max="11266" width="28.1428571428571" customWidth="1"/>
    <col min="11267" max="11267" width="22.2857142857143" customWidth="1"/>
    <col min="11268" max="11268" width="34.4285714285714" customWidth="1"/>
    <col min="11269" max="11269" width="13.4285714285714" customWidth="1"/>
    <col min="11270" max="11270" width="28.2857142857143" customWidth="1"/>
    <col min="11271" max="11271" width="25" customWidth="1"/>
    <col min="11272" max="11272" width="20.5714285714286" customWidth="1"/>
    <col min="11273" max="11273" width="55.8571428571429" customWidth="1"/>
    <col min="11274" max="11274" width="11.2857142857143" customWidth="1"/>
    <col min="11275" max="11289" width="8.71428571428571" customWidth="1"/>
    <col min="11521" max="11521" width="16" customWidth="1"/>
    <col min="11522" max="11522" width="28.1428571428571" customWidth="1"/>
    <col min="11523" max="11523" width="22.2857142857143" customWidth="1"/>
    <col min="11524" max="11524" width="34.4285714285714" customWidth="1"/>
    <col min="11525" max="11525" width="13.4285714285714" customWidth="1"/>
    <col min="11526" max="11526" width="28.2857142857143" customWidth="1"/>
    <col min="11527" max="11527" width="25" customWidth="1"/>
    <col min="11528" max="11528" width="20.5714285714286" customWidth="1"/>
    <col min="11529" max="11529" width="55.8571428571429" customWidth="1"/>
    <col min="11530" max="11530" width="11.2857142857143" customWidth="1"/>
    <col min="11531" max="11545" width="8.71428571428571" customWidth="1"/>
    <col min="11777" max="11777" width="16" customWidth="1"/>
    <col min="11778" max="11778" width="28.1428571428571" customWidth="1"/>
    <col min="11779" max="11779" width="22.2857142857143" customWidth="1"/>
    <col min="11780" max="11780" width="34.4285714285714" customWidth="1"/>
    <col min="11781" max="11781" width="13.4285714285714" customWidth="1"/>
    <col min="11782" max="11782" width="28.2857142857143" customWidth="1"/>
    <col min="11783" max="11783" width="25" customWidth="1"/>
    <col min="11784" max="11784" width="20.5714285714286" customWidth="1"/>
    <col min="11785" max="11785" width="55.8571428571429" customWidth="1"/>
    <col min="11786" max="11786" width="11.2857142857143" customWidth="1"/>
    <col min="11787" max="11801" width="8.71428571428571" customWidth="1"/>
    <col min="12033" max="12033" width="16" customWidth="1"/>
    <col min="12034" max="12034" width="28.1428571428571" customWidth="1"/>
    <col min="12035" max="12035" width="22.2857142857143" customWidth="1"/>
    <col min="12036" max="12036" width="34.4285714285714" customWidth="1"/>
    <col min="12037" max="12037" width="13.4285714285714" customWidth="1"/>
    <col min="12038" max="12038" width="28.2857142857143" customWidth="1"/>
    <col min="12039" max="12039" width="25" customWidth="1"/>
    <col min="12040" max="12040" width="20.5714285714286" customWidth="1"/>
    <col min="12041" max="12041" width="55.8571428571429" customWidth="1"/>
    <col min="12042" max="12042" width="11.2857142857143" customWidth="1"/>
    <col min="12043" max="12057" width="8.71428571428571" customWidth="1"/>
    <col min="12289" max="12289" width="16" customWidth="1"/>
    <col min="12290" max="12290" width="28.1428571428571" customWidth="1"/>
    <col min="12291" max="12291" width="22.2857142857143" customWidth="1"/>
    <col min="12292" max="12292" width="34.4285714285714" customWidth="1"/>
    <col min="12293" max="12293" width="13.4285714285714" customWidth="1"/>
    <col min="12294" max="12294" width="28.2857142857143" customWidth="1"/>
    <col min="12295" max="12295" width="25" customWidth="1"/>
    <col min="12296" max="12296" width="20.5714285714286" customWidth="1"/>
    <col min="12297" max="12297" width="55.8571428571429" customWidth="1"/>
    <col min="12298" max="12298" width="11.2857142857143" customWidth="1"/>
    <col min="12299" max="12313" width="8.71428571428571" customWidth="1"/>
    <col min="12545" max="12545" width="16" customWidth="1"/>
    <col min="12546" max="12546" width="28.1428571428571" customWidth="1"/>
    <col min="12547" max="12547" width="22.2857142857143" customWidth="1"/>
    <col min="12548" max="12548" width="34.4285714285714" customWidth="1"/>
    <col min="12549" max="12549" width="13.4285714285714" customWidth="1"/>
    <col min="12550" max="12550" width="28.2857142857143" customWidth="1"/>
    <col min="12551" max="12551" width="25" customWidth="1"/>
    <col min="12552" max="12552" width="20.5714285714286" customWidth="1"/>
    <col min="12553" max="12553" width="55.8571428571429" customWidth="1"/>
    <col min="12554" max="12554" width="11.2857142857143" customWidth="1"/>
    <col min="12555" max="12569" width="8.71428571428571" customWidth="1"/>
    <col min="12801" max="12801" width="16" customWidth="1"/>
    <col min="12802" max="12802" width="28.1428571428571" customWidth="1"/>
    <col min="12803" max="12803" width="22.2857142857143" customWidth="1"/>
    <col min="12804" max="12804" width="34.4285714285714" customWidth="1"/>
    <col min="12805" max="12805" width="13.4285714285714" customWidth="1"/>
    <col min="12806" max="12806" width="28.2857142857143" customWidth="1"/>
    <col min="12807" max="12807" width="25" customWidth="1"/>
    <col min="12808" max="12808" width="20.5714285714286" customWidth="1"/>
    <col min="12809" max="12809" width="55.8571428571429" customWidth="1"/>
    <col min="12810" max="12810" width="11.2857142857143" customWidth="1"/>
    <col min="12811" max="12825" width="8.71428571428571" customWidth="1"/>
    <col min="13057" max="13057" width="16" customWidth="1"/>
    <col min="13058" max="13058" width="28.1428571428571" customWidth="1"/>
    <col min="13059" max="13059" width="22.2857142857143" customWidth="1"/>
    <col min="13060" max="13060" width="34.4285714285714" customWidth="1"/>
    <col min="13061" max="13061" width="13.4285714285714" customWidth="1"/>
    <col min="13062" max="13062" width="28.2857142857143" customWidth="1"/>
    <col min="13063" max="13063" width="25" customWidth="1"/>
    <col min="13064" max="13064" width="20.5714285714286" customWidth="1"/>
    <col min="13065" max="13065" width="55.8571428571429" customWidth="1"/>
    <col min="13066" max="13066" width="11.2857142857143" customWidth="1"/>
    <col min="13067" max="13081" width="8.71428571428571" customWidth="1"/>
    <col min="13313" max="13313" width="16" customWidth="1"/>
    <col min="13314" max="13314" width="28.1428571428571" customWidth="1"/>
    <col min="13315" max="13315" width="22.2857142857143" customWidth="1"/>
    <col min="13316" max="13316" width="34.4285714285714" customWidth="1"/>
    <col min="13317" max="13317" width="13.4285714285714" customWidth="1"/>
    <col min="13318" max="13318" width="28.2857142857143" customWidth="1"/>
    <col min="13319" max="13319" width="25" customWidth="1"/>
    <col min="13320" max="13320" width="20.5714285714286" customWidth="1"/>
    <col min="13321" max="13321" width="55.8571428571429" customWidth="1"/>
    <col min="13322" max="13322" width="11.2857142857143" customWidth="1"/>
    <col min="13323" max="13337" width="8.71428571428571" customWidth="1"/>
    <col min="13569" max="13569" width="16" customWidth="1"/>
    <col min="13570" max="13570" width="28.1428571428571" customWidth="1"/>
    <col min="13571" max="13571" width="22.2857142857143" customWidth="1"/>
    <col min="13572" max="13572" width="34.4285714285714" customWidth="1"/>
    <col min="13573" max="13573" width="13.4285714285714" customWidth="1"/>
    <col min="13574" max="13574" width="28.2857142857143" customWidth="1"/>
    <col min="13575" max="13575" width="25" customWidth="1"/>
    <col min="13576" max="13576" width="20.5714285714286" customWidth="1"/>
    <col min="13577" max="13577" width="55.8571428571429" customWidth="1"/>
    <col min="13578" max="13578" width="11.2857142857143" customWidth="1"/>
    <col min="13579" max="13593" width="8.71428571428571" customWidth="1"/>
    <col min="13825" max="13825" width="16" customWidth="1"/>
    <col min="13826" max="13826" width="28.1428571428571" customWidth="1"/>
    <col min="13827" max="13827" width="22.2857142857143" customWidth="1"/>
    <col min="13828" max="13828" width="34.4285714285714" customWidth="1"/>
    <col min="13829" max="13829" width="13.4285714285714" customWidth="1"/>
    <col min="13830" max="13830" width="28.2857142857143" customWidth="1"/>
    <col min="13831" max="13831" width="25" customWidth="1"/>
    <col min="13832" max="13832" width="20.5714285714286" customWidth="1"/>
    <col min="13833" max="13833" width="55.8571428571429" customWidth="1"/>
    <col min="13834" max="13834" width="11.2857142857143" customWidth="1"/>
    <col min="13835" max="13849" width="8.71428571428571" customWidth="1"/>
    <col min="14081" max="14081" width="16" customWidth="1"/>
    <col min="14082" max="14082" width="28.1428571428571" customWidth="1"/>
    <col min="14083" max="14083" width="22.2857142857143" customWidth="1"/>
    <col min="14084" max="14084" width="34.4285714285714" customWidth="1"/>
    <col min="14085" max="14085" width="13.4285714285714" customWidth="1"/>
    <col min="14086" max="14086" width="28.2857142857143" customWidth="1"/>
    <col min="14087" max="14087" width="25" customWidth="1"/>
    <col min="14088" max="14088" width="20.5714285714286" customWidth="1"/>
    <col min="14089" max="14089" width="55.8571428571429" customWidth="1"/>
    <col min="14090" max="14090" width="11.2857142857143" customWidth="1"/>
    <col min="14091" max="14105" width="8.71428571428571" customWidth="1"/>
    <col min="14337" max="14337" width="16" customWidth="1"/>
    <col min="14338" max="14338" width="28.1428571428571" customWidth="1"/>
    <col min="14339" max="14339" width="22.2857142857143" customWidth="1"/>
    <col min="14340" max="14340" width="34.4285714285714" customWidth="1"/>
    <col min="14341" max="14341" width="13.4285714285714" customWidth="1"/>
    <col min="14342" max="14342" width="28.2857142857143" customWidth="1"/>
    <col min="14343" max="14343" width="25" customWidth="1"/>
    <col min="14344" max="14344" width="20.5714285714286" customWidth="1"/>
    <col min="14345" max="14345" width="55.8571428571429" customWidth="1"/>
    <col min="14346" max="14346" width="11.2857142857143" customWidth="1"/>
    <col min="14347" max="14361" width="8.71428571428571" customWidth="1"/>
    <col min="14593" max="14593" width="16" customWidth="1"/>
    <col min="14594" max="14594" width="28.1428571428571" customWidth="1"/>
    <col min="14595" max="14595" width="22.2857142857143" customWidth="1"/>
    <col min="14596" max="14596" width="34.4285714285714" customWidth="1"/>
    <col min="14597" max="14597" width="13.4285714285714" customWidth="1"/>
    <col min="14598" max="14598" width="28.2857142857143" customWidth="1"/>
    <col min="14599" max="14599" width="25" customWidth="1"/>
    <col min="14600" max="14600" width="20.5714285714286" customWidth="1"/>
    <col min="14601" max="14601" width="55.8571428571429" customWidth="1"/>
    <col min="14602" max="14602" width="11.2857142857143" customWidth="1"/>
    <col min="14603" max="14617" width="8.71428571428571" customWidth="1"/>
    <col min="14849" max="14849" width="16" customWidth="1"/>
    <col min="14850" max="14850" width="28.1428571428571" customWidth="1"/>
    <col min="14851" max="14851" width="22.2857142857143" customWidth="1"/>
    <col min="14852" max="14852" width="34.4285714285714" customWidth="1"/>
    <col min="14853" max="14853" width="13.4285714285714" customWidth="1"/>
    <col min="14854" max="14854" width="28.2857142857143" customWidth="1"/>
    <col min="14855" max="14855" width="25" customWidth="1"/>
    <col min="14856" max="14856" width="20.5714285714286" customWidth="1"/>
    <col min="14857" max="14857" width="55.8571428571429" customWidth="1"/>
    <col min="14858" max="14858" width="11.2857142857143" customWidth="1"/>
    <col min="14859" max="14873" width="8.71428571428571" customWidth="1"/>
    <col min="15105" max="15105" width="16" customWidth="1"/>
    <col min="15106" max="15106" width="28.1428571428571" customWidth="1"/>
    <col min="15107" max="15107" width="22.2857142857143" customWidth="1"/>
    <col min="15108" max="15108" width="34.4285714285714" customWidth="1"/>
    <col min="15109" max="15109" width="13.4285714285714" customWidth="1"/>
    <col min="15110" max="15110" width="28.2857142857143" customWidth="1"/>
    <col min="15111" max="15111" width="25" customWidth="1"/>
    <col min="15112" max="15112" width="20.5714285714286" customWidth="1"/>
    <col min="15113" max="15113" width="55.8571428571429" customWidth="1"/>
    <col min="15114" max="15114" width="11.2857142857143" customWidth="1"/>
    <col min="15115" max="15129" width="8.71428571428571" customWidth="1"/>
    <col min="15361" max="15361" width="16" customWidth="1"/>
    <col min="15362" max="15362" width="28.1428571428571" customWidth="1"/>
    <col min="15363" max="15363" width="22.2857142857143" customWidth="1"/>
    <col min="15364" max="15364" width="34.4285714285714" customWidth="1"/>
    <col min="15365" max="15365" width="13.4285714285714" customWidth="1"/>
    <col min="15366" max="15366" width="28.2857142857143" customWidth="1"/>
    <col min="15367" max="15367" width="25" customWidth="1"/>
    <col min="15368" max="15368" width="20.5714285714286" customWidth="1"/>
    <col min="15369" max="15369" width="55.8571428571429" customWidth="1"/>
    <col min="15370" max="15370" width="11.2857142857143" customWidth="1"/>
    <col min="15371" max="15385" width="8.71428571428571" customWidth="1"/>
    <col min="15617" max="15617" width="16" customWidth="1"/>
    <col min="15618" max="15618" width="28.1428571428571" customWidth="1"/>
    <col min="15619" max="15619" width="22.2857142857143" customWidth="1"/>
    <col min="15620" max="15620" width="34.4285714285714" customWidth="1"/>
    <col min="15621" max="15621" width="13.4285714285714" customWidth="1"/>
    <col min="15622" max="15622" width="28.2857142857143" customWidth="1"/>
    <col min="15623" max="15623" width="25" customWidth="1"/>
    <col min="15624" max="15624" width="20.5714285714286" customWidth="1"/>
    <col min="15625" max="15625" width="55.8571428571429" customWidth="1"/>
    <col min="15626" max="15626" width="11.2857142857143" customWidth="1"/>
    <col min="15627" max="15641" width="8.71428571428571" customWidth="1"/>
    <col min="15873" max="15873" width="16" customWidth="1"/>
    <col min="15874" max="15874" width="28.1428571428571" customWidth="1"/>
    <col min="15875" max="15875" width="22.2857142857143" customWidth="1"/>
    <col min="15876" max="15876" width="34.4285714285714" customWidth="1"/>
    <col min="15877" max="15877" width="13.4285714285714" customWidth="1"/>
    <col min="15878" max="15878" width="28.2857142857143" customWidth="1"/>
    <col min="15879" max="15879" width="25" customWidth="1"/>
    <col min="15880" max="15880" width="20.5714285714286" customWidth="1"/>
    <col min="15881" max="15881" width="55.8571428571429" customWidth="1"/>
    <col min="15882" max="15882" width="11.2857142857143" customWidth="1"/>
    <col min="15883" max="15897" width="8.71428571428571" customWidth="1"/>
    <col min="16129" max="16129" width="16" customWidth="1"/>
    <col min="16130" max="16130" width="28.1428571428571" customWidth="1"/>
    <col min="16131" max="16131" width="22.2857142857143" customWidth="1"/>
    <col min="16132" max="16132" width="34.4285714285714" customWidth="1"/>
    <col min="16133" max="16133" width="13.4285714285714" customWidth="1"/>
    <col min="16134" max="16134" width="28.2857142857143" customWidth="1"/>
    <col min="16135" max="16135" width="25" customWidth="1"/>
    <col min="16136" max="16136" width="20.5714285714286" customWidth="1"/>
    <col min="16137" max="16137" width="55.8571428571429" customWidth="1"/>
    <col min="16138" max="16138" width="11.2857142857143" customWidth="1"/>
    <col min="16139" max="16153" width="8.71428571428571" customWidth="1"/>
  </cols>
  <sheetData>
    <row r="1" customFormat="1" ht="22.5" spans="1:25">
      <c r="A1" s="11" t="s">
        <v>1193</v>
      </c>
    </row>
    <row r="2" customFormat="1" ht="23.25" spans="1:25">
      <c r="A2" s="12"/>
      <c r="G2" s="13"/>
    </row>
    <row r="3" customFormat="1" ht="18.75" spans="1:25">
      <c r="A3" s="14" t="s">
        <v>1136</v>
      </c>
      <c r="B3" s="14" t="s">
        <v>1137</v>
      </c>
      <c r="C3" s="14" t="s">
        <v>1138</v>
      </c>
      <c r="D3" s="14" t="s">
        <v>1139</v>
      </c>
      <c r="E3" s="14" t="s">
        <v>1140</v>
      </c>
      <c r="F3" s="15" t="s">
        <v>1194</v>
      </c>
      <c r="G3" s="15" t="s">
        <v>1142</v>
      </c>
      <c r="H3" s="16" t="s">
        <v>1195</v>
      </c>
      <c r="I3" s="17" t="s">
        <v>1144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customFormat="1" ht="18" customHeight="1" spans="1:25">
      <c r="A4" s="19"/>
      <c r="B4" s="20"/>
      <c r="C4" s="20"/>
      <c r="D4" s="20"/>
      <c r="E4" s="20" t="s">
        <v>276</v>
      </c>
      <c r="F4" s="20" t="s">
        <v>363</v>
      </c>
      <c r="G4" s="21" t="s">
        <v>405</v>
      </c>
      <c r="H4" s="22">
        <v>28455.2256476541</v>
      </c>
      <c r="I4" s="20" t="s">
        <v>1146</v>
      </c>
      <c r="J4" s="23" t="str">
        <f>IFERROR(VLOOKUP(F4,'Mã NV'!$B:$C,2,0),"")</f>
        <v/>
      </c>
      <c r="K4" s="23" t="str">
        <f t="shared" ref="K4:K12" si="0">"Trừ lương lái xe "&amp;F4&amp;" do "&amp;I4&amp;" ngày "&amp;TEXT(A4,"dd/mm/yyyy")</f>
        <v>Trừ lương lái xe Đinh Văn Phấn do theo định mức tiêu hao dầu ngày 00/01/1900</v>
      </c>
      <c r="L4" s="23" t="str">
        <f t="shared" ref="L4:L12" si="1">RIGHT(E4,5)</f>
        <v>02349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customFormat="1" ht="18" customHeight="1" spans="1:25">
      <c r="A5" s="19"/>
      <c r="B5" s="20"/>
      <c r="C5" s="20"/>
      <c r="D5" s="20"/>
      <c r="E5" s="20" t="s">
        <v>276</v>
      </c>
      <c r="F5" s="20" t="s">
        <v>303</v>
      </c>
      <c r="G5" s="21" t="s">
        <v>405</v>
      </c>
      <c r="H5" s="22">
        <v>318559.721274957</v>
      </c>
      <c r="I5" s="20" t="s">
        <v>1146</v>
      </c>
      <c r="J5" s="23" t="str">
        <f>IFERROR(VLOOKUP(F5,'Mã NV'!$B:$C,2,0),"")</f>
        <v>XE01574</v>
      </c>
      <c r="K5" s="23" t="str">
        <f t="shared" si="0"/>
        <v>Trừ lương lái xe Nguyễn Thanh Nhân do theo định mức tiêu hao dầu ngày 00/01/1900</v>
      </c>
      <c r="L5" s="23" t="str">
        <f t="shared" si="1"/>
        <v>02349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customFormat="1" ht="18" customHeight="1" spans="1:25">
      <c r="A6" s="19"/>
      <c r="B6" s="20"/>
      <c r="C6" s="20"/>
      <c r="D6" s="20"/>
      <c r="E6" s="20" t="s">
        <v>276</v>
      </c>
      <c r="F6" s="20" t="s">
        <v>281</v>
      </c>
      <c r="G6" s="21" t="s">
        <v>405</v>
      </c>
      <c r="H6" s="22">
        <v>28455.2256476541</v>
      </c>
      <c r="I6" s="20" t="s">
        <v>1146</v>
      </c>
      <c r="J6" s="23" t="str">
        <f>IFERROR(VLOOKUP(F6,'Mã NV'!$B:$C,2,0),"")</f>
        <v>XE01532</v>
      </c>
      <c r="K6" s="23" t="str">
        <f t="shared" si="0"/>
        <v>Trừ lương lái xe Phan Tấn Thành do theo định mức tiêu hao dầu ngày 00/01/1900</v>
      </c>
      <c r="L6" s="23" t="str">
        <f t="shared" si="1"/>
        <v>02349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customFormat="1" ht="18" customHeight="1" spans="1:25">
      <c r="A7" s="19"/>
      <c r="B7" s="20"/>
      <c r="C7" s="20"/>
      <c r="D7" s="20"/>
      <c r="E7" s="20" t="s">
        <v>276</v>
      </c>
      <c r="F7" s="20" t="s">
        <v>273</v>
      </c>
      <c r="G7" s="21" t="s">
        <v>405</v>
      </c>
      <c r="H7" s="22">
        <v>318560</v>
      </c>
      <c r="I7" s="20" t="s">
        <v>1146</v>
      </c>
      <c r="J7" s="23" t="str">
        <f>IFERROR(VLOOKUP(F7,'Mã NV'!$B:$C,2,0),"")</f>
        <v>XE01527</v>
      </c>
      <c r="K7" s="23" t="str">
        <f t="shared" si="0"/>
        <v>Trừ lương lái xe Trần Phúc Đạt do theo định mức tiêu hao dầu ngày 00/01/1900</v>
      </c>
      <c r="L7" s="23" t="str">
        <f t="shared" si="1"/>
        <v>02349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customFormat="1" ht="18" customHeight="1" spans="1:25">
      <c r="A8" s="19"/>
      <c r="B8" s="20"/>
      <c r="C8" s="20"/>
      <c r="D8" s="20"/>
      <c r="E8" s="20" t="s">
        <v>266</v>
      </c>
      <c r="F8" s="20" t="s">
        <v>264</v>
      </c>
      <c r="G8" s="21" t="s">
        <v>405</v>
      </c>
      <c r="H8" s="22">
        <v>2306228.27847148</v>
      </c>
      <c r="I8" s="20" t="s">
        <v>1146</v>
      </c>
      <c r="J8" s="23" t="str">
        <f>IFERROR(VLOOKUP(F8,'Mã NV'!$B:$C,2,0),"")</f>
        <v>XE01678</v>
      </c>
      <c r="K8" s="23" t="str">
        <f t="shared" si="0"/>
        <v>Trừ lương lái xe Lê Anh Tuấn do theo định mức tiêu hao dầu ngày 00/01/1900</v>
      </c>
      <c r="L8" s="23" t="str">
        <f t="shared" si="1"/>
        <v>54212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customFormat="1" ht="18" customHeight="1" spans="1:25">
      <c r="A9" s="19"/>
      <c r="B9" s="20"/>
      <c r="C9" s="20"/>
      <c r="D9" s="20"/>
      <c r="E9" s="20" t="s">
        <v>266</v>
      </c>
      <c r="F9" s="20" t="s">
        <v>399</v>
      </c>
      <c r="G9" s="21" t="s">
        <v>405</v>
      </c>
      <c r="H9" s="22">
        <v>2306228.27847148</v>
      </c>
      <c r="I9" s="20" t="s">
        <v>1146</v>
      </c>
      <c r="J9" s="23" t="str">
        <f>IFERROR(VLOOKUP(F9,'Mã NV'!$B:$C,2,0),"")</f>
        <v>XE01679</v>
      </c>
      <c r="K9" s="23" t="str">
        <f t="shared" si="0"/>
        <v>Trừ lương lái xe Nguyễn Tuấn Anh-tuyến chính do theo định mức tiêu hao dầu ngày 00/01/1900</v>
      </c>
      <c r="L9" s="23" t="str">
        <f t="shared" si="1"/>
        <v>54212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customFormat="1" ht="18" customHeight="1" spans="1:25">
      <c r="A10" s="19"/>
      <c r="B10" s="20"/>
      <c r="C10" s="20"/>
      <c r="D10" s="20"/>
      <c r="E10" s="20" t="s">
        <v>191</v>
      </c>
      <c r="F10" s="20" t="s">
        <v>189</v>
      </c>
      <c r="G10" s="21" t="s">
        <v>405</v>
      </c>
      <c r="H10" s="22">
        <v>1560719.89475817</v>
      </c>
      <c r="I10" s="20" t="s">
        <v>1146</v>
      </c>
      <c r="J10" s="23" t="str">
        <f>IFERROR(VLOOKUP(F10,'Mã NV'!$B:$C,2,0),"")</f>
        <v>XE00891</v>
      </c>
      <c r="K10" s="23" t="str">
        <f t="shared" si="0"/>
        <v>Trừ lương lái xe Phạm Thái Nhân do theo định mức tiêu hao dầu ngày 00/01/1900</v>
      </c>
      <c r="L10" s="23" t="str">
        <f t="shared" si="1"/>
        <v>13697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customFormat="1" ht="18" customHeight="1" spans="1:25">
      <c r="A11" s="19"/>
      <c r="B11" s="20"/>
      <c r="C11" s="20"/>
      <c r="D11" s="20"/>
      <c r="E11" s="20" t="s">
        <v>197</v>
      </c>
      <c r="F11" s="20" t="s">
        <v>195</v>
      </c>
      <c r="G11" s="21" t="s">
        <v>405</v>
      </c>
      <c r="H11" s="22">
        <v>387200.63447849</v>
      </c>
      <c r="I11" s="20" t="s">
        <v>1146</v>
      </c>
      <c r="J11" s="23" t="str">
        <f>IFERROR(VLOOKUP(F11,'Mã NV'!$B:$C,2,0),"")</f>
        <v>XE00449</v>
      </c>
      <c r="K11" s="23" t="str">
        <f t="shared" si="0"/>
        <v>Trừ lương lái xe Phạm Văn Hải A do theo định mức tiêu hao dầu ngày 00/01/1900</v>
      </c>
      <c r="L11" s="23" t="str">
        <f t="shared" si="1"/>
        <v>13754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customFormat="1" ht="18" customHeight="1" spans="1:25">
      <c r="A12" s="19"/>
      <c r="B12" s="20"/>
      <c r="C12" s="20"/>
      <c r="D12" s="20"/>
      <c r="E12" s="20" t="s">
        <v>165</v>
      </c>
      <c r="F12" s="20" t="s">
        <v>162</v>
      </c>
      <c r="G12" s="21" t="s">
        <v>405</v>
      </c>
      <c r="H12" s="22">
        <v>924692.0787062</v>
      </c>
      <c r="I12" s="20" t="s">
        <v>1146</v>
      </c>
      <c r="J12" s="23" t="str">
        <f>IFERROR(VLOOKUP(F12,'Mã NV'!$B:$C,2,0),"")</f>
        <v>XE00779</v>
      </c>
      <c r="K12" s="23" t="str">
        <f t="shared" si="0"/>
        <v>Trừ lương lái xe Nguyễn Tiến Công do theo định mức tiêu hao dầu ngày 00/01/1900</v>
      </c>
      <c r="L12" s="23" t="str">
        <f t="shared" si="1"/>
        <v>09530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customFormat="1" ht="21.75" customHeight="1" spans="1:25">
      <c r="A13" s="24" t="s">
        <v>1192</v>
      </c>
      <c r="B13" s="25"/>
      <c r="C13" s="25"/>
      <c r="D13" s="25"/>
      <c r="E13" s="25"/>
      <c r="F13" s="25"/>
      <c r="G13" s="26"/>
      <c r="H13" s="27">
        <f>SUM(H4:H12)</f>
        <v>8179099.33745608</v>
      </c>
      <c r="I13" s="28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customFormat="1" ht="15.75" customHeight="1" spans="1:25">
      <c r="G14" s="13"/>
    </row>
    <row r="15" customFormat="1" ht="15.75" customHeight="1" spans="1:25">
      <c r="G15" s="13"/>
    </row>
    <row r="16" customFormat="1" ht="15.75" customHeight="1" spans="1:25">
      <c r="G16" s="13"/>
    </row>
    <row r="17" customFormat="1" ht="15.75" customHeight="1" spans="7:7">
      <c r="G17" s="13"/>
    </row>
    <row r="18" customFormat="1" ht="15.75" customHeight="1" spans="7:7">
      <c r="G18" s="13"/>
    </row>
    <row r="19" customFormat="1" ht="15.75" customHeight="1" spans="7:7">
      <c r="G19" s="13"/>
    </row>
    <row r="20" customFormat="1" ht="15.75" customHeight="1" spans="7:7">
      <c r="G20" s="13"/>
    </row>
    <row r="21" customFormat="1" ht="15.75" customHeight="1" spans="7:7">
      <c r="G21" s="13"/>
    </row>
    <row r="22" customFormat="1" ht="15.75" customHeight="1" spans="7:7">
      <c r="G22" s="13"/>
    </row>
    <row r="23" customFormat="1" ht="15.75" customHeight="1" spans="7:7">
      <c r="G23" s="13"/>
    </row>
    <row r="24" customFormat="1" ht="15.75" customHeight="1" spans="7:7">
      <c r="G24" s="13"/>
    </row>
    <row r="25" customFormat="1" ht="15.75" customHeight="1" spans="7:7">
      <c r="G25" s="13"/>
    </row>
    <row r="26" customFormat="1" ht="15.75" customHeight="1" spans="7:7">
      <c r="G26" s="13"/>
    </row>
    <row r="27" customFormat="1" ht="15.75" customHeight="1" spans="7:7">
      <c r="G27" s="13"/>
    </row>
    <row r="28" customFormat="1" ht="15.75" customHeight="1" spans="7:7">
      <c r="G28" s="13"/>
    </row>
    <row r="29" customFormat="1" ht="15.75" customHeight="1" spans="7:7">
      <c r="G29" s="13"/>
    </row>
    <row r="30" customFormat="1" ht="15.75" customHeight="1" spans="7:7">
      <c r="G30" s="13"/>
    </row>
    <row r="31" customFormat="1" ht="15.75" customHeight="1" spans="7:7">
      <c r="G31" s="13"/>
    </row>
    <row r="32" customFormat="1" ht="15.75" customHeight="1" spans="7:7">
      <c r="G32" s="13"/>
    </row>
    <row r="33" customFormat="1" ht="15.75" customHeight="1" spans="7:7">
      <c r="G33" s="13"/>
    </row>
    <row r="34" customFormat="1" ht="15.75" customHeight="1" spans="7:7">
      <c r="G34" s="13"/>
    </row>
    <row r="35" customFormat="1" ht="15.75" customHeight="1" spans="7:7">
      <c r="G35" s="13"/>
    </row>
    <row r="36" customFormat="1" ht="15.75" customHeight="1" spans="7:7">
      <c r="G36" s="13"/>
    </row>
    <row r="37" customFormat="1" ht="15.75" customHeight="1" spans="7:7">
      <c r="G37" s="13"/>
    </row>
    <row r="38" customFormat="1" ht="15.75" customHeight="1" spans="7:7">
      <c r="G38" s="13"/>
    </row>
    <row r="39" customFormat="1" ht="15.75" customHeight="1" spans="7:7">
      <c r="G39" s="13"/>
    </row>
    <row r="40" customFormat="1" ht="15.75" customHeight="1" spans="7:7">
      <c r="G40" s="13"/>
    </row>
    <row r="41" customFormat="1" ht="15.75" customHeight="1" spans="7:7">
      <c r="G41" s="13"/>
    </row>
    <row r="42" customFormat="1" ht="15.75" customHeight="1" spans="7:7">
      <c r="G42" s="13"/>
    </row>
    <row r="43" customFormat="1" ht="15.75" customHeight="1" spans="7:7">
      <c r="G43" s="13"/>
    </row>
    <row r="44" customFormat="1" ht="15.75" customHeight="1" spans="7:7">
      <c r="G44" s="13"/>
    </row>
    <row r="45" customFormat="1" ht="15.75" customHeight="1" spans="7:7">
      <c r="G45" s="13"/>
    </row>
    <row r="46" customFormat="1" ht="15.75" customHeight="1" spans="7:7">
      <c r="G46" s="13"/>
    </row>
    <row r="47" customFormat="1" ht="15.75" customHeight="1" spans="7:7">
      <c r="G47" s="13"/>
    </row>
    <row r="48" customFormat="1" ht="15.75" customHeight="1" spans="7:7">
      <c r="G48" s="13"/>
    </row>
    <row r="49" customFormat="1" ht="15.75" customHeight="1" spans="7:7">
      <c r="G49" s="13"/>
    </row>
    <row r="50" customFormat="1" ht="15.75" customHeight="1" spans="7:7">
      <c r="G50" s="13"/>
    </row>
    <row r="51" customFormat="1" ht="15.75" customHeight="1" spans="7:7">
      <c r="G51" s="13"/>
    </row>
    <row r="52" customFormat="1" ht="15.75" customHeight="1" spans="7:7">
      <c r="G52" s="13"/>
    </row>
    <row r="53" customFormat="1" ht="15.75" customHeight="1" spans="7:7">
      <c r="G53" s="13"/>
    </row>
    <row r="54" customFormat="1" ht="15.75" customHeight="1" spans="7:7">
      <c r="G54" s="13"/>
    </row>
    <row r="55" customFormat="1" ht="15.75" customHeight="1" spans="7:7">
      <c r="G55" s="13"/>
    </row>
    <row r="56" customFormat="1" ht="15.75" customHeight="1" spans="7:7">
      <c r="G56" s="13"/>
    </row>
    <row r="57" customFormat="1" ht="15.75" customHeight="1" spans="7:7">
      <c r="G57" s="13"/>
    </row>
    <row r="58" customFormat="1" ht="15.75" customHeight="1" spans="7:7">
      <c r="G58" s="13"/>
    </row>
    <row r="59" customFormat="1" ht="15.75" customHeight="1" spans="7:7">
      <c r="G59" s="13"/>
    </row>
    <row r="60" customFormat="1" ht="15.75" customHeight="1" spans="7:7">
      <c r="G60" s="13"/>
    </row>
    <row r="61" customFormat="1" ht="15.75" customHeight="1" spans="7:7">
      <c r="G61" s="13"/>
    </row>
    <row r="62" customFormat="1" ht="15.75" customHeight="1" spans="7:7">
      <c r="G62" s="13"/>
    </row>
    <row r="63" customFormat="1" ht="15.75" customHeight="1" spans="7:7">
      <c r="G63" s="13"/>
    </row>
    <row r="64" customFormat="1" ht="15.75" customHeight="1" spans="7:7">
      <c r="G64" s="13"/>
    </row>
    <row r="65" customFormat="1" ht="15.75" customHeight="1" spans="7:7">
      <c r="G65" s="13"/>
    </row>
    <row r="66" customFormat="1" ht="15.75" customHeight="1" spans="7:7">
      <c r="G66" s="13"/>
    </row>
    <row r="67" customFormat="1" ht="15.75" customHeight="1" spans="7:7">
      <c r="G67" s="13"/>
    </row>
    <row r="68" customFormat="1" ht="15.75" customHeight="1" spans="7:7">
      <c r="G68" s="13"/>
    </row>
    <row r="69" customFormat="1" ht="15.75" customHeight="1" spans="7:7">
      <c r="G69" s="13"/>
    </row>
    <row r="70" customFormat="1" ht="15.75" customHeight="1" spans="7:7">
      <c r="G70" s="13"/>
    </row>
    <row r="71" customFormat="1" ht="15.75" customHeight="1" spans="7:7">
      <c r="G71" s="13"/>
    </row>
    <row r="72" customFormat="1" ht="15.75" customHeight="1" spans="7:7">
      <c r="G72" s="13"/>
    </row>
    <row r="73" customFormat="1" ht="15.75" customHeight="1" spans="7:7">
      <c r="G73" s="13"/>
    </row>
    <row r="74" customFormat="1" ht="15.75" customHeight="1" spans="7:7">
      <c r="G74" s="13"/>
    </row>
    <row r="75" customFormat="1" ht="15.75" customHeight="1" spans="7:7">
      <c r="G75" s="13"/>
    </row>
    <row r="76" customFormat="1" ht="15.75" customHeight="1" spans="7:7">
      <c r="G76" s="13"/>
    </row>
    <row r="77" customFormat="1" ht="15.75" customHeight="1" spans="7:7">
      <c r="G77" s="13"/>
    </row>
    <row r="78" customFormat="1" ht="15.75" customHeight="1" spans="7:7">
      <c r="G78" s="13"/>
    </row>
    <row r="79" customFormat="1" ht="15.75" customHeight="1" spans="7:7">
      <c r="G79" s="13"/>
    </row>
    <row r="80" customFormat="1" ht="15.75" customHeight="1" spans="7:7">
      <c r="G80" s="13"/>
    </row>
    <row r="81" customFormat="1" ht="15.75" customHeight="1" spans="7:7">
      <c r="G81" s="13"/>
    </row>
    <row r="82" customFormat="1" ht="15.75" customHeight="1" spans="7:7">
      <c r="G82" s="13"/>
    </row>
    <row r="83" customFormat="1" ht="15.75" customHeight="1" spans="7:7">
      <c r="G83" s="13"/>
    </row>
    <row r="84" customFormat="1" ht="15.75" customHeight="1" spans="7:7">
      <c r="G84" s="13"/>
    </row>
    <row r="85" customFormat="1" ht="15.75" customHeight="1" spans="7:7">
      <c r="G85" s="13"/>
    </row>
    <row r="86" customFormat="1" ht="15.75" customHeight="1" spans="7:7">
      <c r="G86" s="13"/>
    </row>
    <row r="87" customFormat="1" ht="15.75" customHeight="1" spans="7:7">
      <c r="G87" s="13"/>
    </row>
    <row r="88" customFormat="1" ht="15.75" customHeight="1" spans="7:7">
      <c r="G88" s="13"/>
    </row>
    <row r="89" customFormat="1" ht="15.75" customHeight="1" spans="7:7">
      <c r="G89" s="13"/>
    </row>
    <row r="90" customFormat="1" ht="15.75" customHeight="1" spans="7:7">
      <c r="G90" s="13"/>
    </row>
    <row r="91" customFormat="1" ht="15.75" customHeight="1" spans="7:7">
      <c r="G91" s="13"/>
    </row>
    <row r="92" customFormat="1" ht="15.75" customHeight="1" spans="7:7">
      <c r="G92" s="13"/>
    </row>
    <row r="93" customFormat="1" ht="15.75" customHeight="1" spans="7:7">
      <c r="G93" s="13"/>
    </row>
    <row r="94" customFormat="1" ht="15.75" customHeight="1" spans="7:7">
      <c r="G94" s="13"/>
    </row>
    <row r="95" customFormat="1" ht="15.75" customHeight="1" spans="7:7">
      <c r="G95" s="13"/>
    </row>
    <row r="96" customFormat="1" ht="15.75" customHeight="1" spans="7:7">
      <c r="G96" s="13"/>
    </row>
    <row r="97" customFormat="1" ht="15.75" customHeight="1" spans="7:7">
      <c r="G97" s="13"/>
    </row>
    <row r="98" customFormat="1" ht="15.75" customHeight="1" spans="7:7">
      <c r="G98" s="13"/>
    </row>
    <row r="99" customFormat="1" ht="15.75" customHeight="1" spans="7:7">
      <c r="G99" s="13"/>
    </row>
    <row r="100" customFormat="1" ht="15.75" customHeight="1" spans="7:7">
      <c r="G100" s="13"/>
    </row>
    <row r="101" customFormat="1" ht="15.75" customHeight="1" spans="7:7">
      <c r="G101" s="13"/>
    </row>
    <row r="102" customFormat="1" ht="15.75" customHeight="1" spans="7:7">
      <c r="G102" s="13"/>
    </row>
    <row r="103" customFormat="1" ht="15.75" customHeight="1" spans="7:7">
      <c r="G103" s="13"/>
    </row>
    <row r="104" customFormat="1" ht="15.75" customHeight="1" spans="7:7">
      <c r="G104" s="13"/>
    </row>
    <row r="105" customFormat="1" ht="15.75" customHeight="1" spans="7:7">
      <c r="G105" s="13"/>
    </row>
    <row r="106" customFormat="1" ht="15.75" customHeight="1" spans="7:7">
      <c r="G106" s="13"/>
    </row>
    <row r="107" customFormat="1" ht="15.75" customHeight="1" spans="7:7">
      <c r="G107" s="13"/>
    </row>
    <row r="108" customFormat="1" ht="15.75" customHeight="1" spans="7:7">
      <c r="G108" s="13"/>
    </row>
    <row r="109" customFormat="1" ht="15.75" customHeight="1" spans="7:7">
      <c r="G109" s="13"/>
    </row>
    <row r="110" customFormat="1" ht="15.75" customHeight="1" spans="7:7">
      <c r="G110" s="13"/>
    </row>
    <row r="111" customFormat="1" ht="15.75" customHeight="1" spans="7:7">
      <c r="G111" s="13"/>
    </row>
    <row r="112" customFormat="1" ht="15.75" customHeight="1" spans="7:7">
      <c r="G112" s="13"/>
    </row>
    <row r="113" customFormat="1" ht="15.75" customHeight="1" spans="7:7">
      <c r="G113" s="13"/>
    </row>
    <row r="114" customFormat="1" ht="15.75" customHeight="1" spans="7:7">
      <c r="G114" s="13"/>
    </row>
    <row r="115" customFormat="1" ht="15.75" customHeight="1" spans="7:7">
      <c r="G115" s="13"/>
    </row>
    <row r="116" customFormat="1" ht="15.75" customHeight="1" spans="7:7">
      <c r="G116" s="13"/>
    </row>
    <row r="117" customFormat="1" ht="15.75" customHeight="1" spans="7:7">
      <c r="G117" s="13"/>
    </row>
    <row r="118" customFormat="1" ht="15.75" customHeight="1" spans="7:7">
      <c r="G118" s="13"/>
    </row>
    <row r="119" customFormat="1" ht="15.75" customHeight="1" spans="7:7">
      <c r="G119" s="13"/>
    </row>
    <row r="120" customFormat="1" ht="15.75" customHeight="1" spans="7:7">
      <c r="G120" s="13"/>
    </row>
    <row r="121" customFormat="1" ht="15.75" customHeight="1" spans="7:7">
      <c r="G121" s="13"/>
    </row>
    <row r="122" customFormat="1" ht="15.75" customHeight="1" spans="7:7">
      <c r="G122" s="13"/>
    </row>
    <row r="123" customFormat="1" ht="15.75" customHeight="1" spans="7:7">
      <c r="G123" s="13"/>
    </row>
    <row r="124" customFormat="1" ht="15.75" customHeight="1" spans="7:7">
      <c r="G124" s="13"/>
    </row>
    <row r="125" customFormat="1" ht="15.75" customHeight="1" spans="7:7">
      <c r="G125" s="13"/>
    </row>
    <row r="126" customFormat="1" ht="15.75" customHeight="1" spans="7:7">
      <c r="G126" s="13"/>
    </row>
    <row r="127" customFormat="1" ht="15.75" customHeight="1" spans="7:7">
      <c r="G127" s="13"/>
    </row>
    <row r="128" customFormat="1" ht="15.75" customHeight="1" spans="7:7">
      <c r="G128" s="13"/>
    </row>
    <row r="129" customFormat="1" ht="15.75" customHeight="1" spans="7:7">
      <c r="G129" s="13"/>
    </row>
    <row r="130" customFormat="1" ht="15.75" customHeight="1" spans="7:7">
      <c r="G130" s="13"/>
    </row>
    <row r="131" customFormat="1" ht="15.75" customHeight="1" spans="7:7">
      <c r="G131" s="13"/>
    </row>
    <row r="132" customFormat="1" ht="15.75" customHeight="1" spans="7:7">
      <c r="G132" s="13"/>
    </row>
    <row r="133" customFormat="1" ht="15.75" customHeight="1" spans="7:7">
      <c r="G133" s="13"/>
    </row>
    <row r="134" customFormat="1" ht="15.75" customHeight="1" spans="7:7">
      <c r="G134" s="13"/>
    </row>
    <row r="135" customFormat="1" ht="15.75" customHeight="1" spans="7:7">
      <c r="G135" s="13"/>
    </row>
    <row r="136" customFormat="1" ht="15.75" customHeight="1" spans="7:7">
      <c r="G136" s="13"/>
    </row>
    <row r="137" customFormat="1" ht="15.75" customHeight="1" spans="7:7">
      <c r="G137" s="13"/>
    </row>
    <row r="138" customFormat="1" ht="15.75" customHeight="1" spans="7:7">
      <c r="G138" s="13"/>
    </row>
    <row r="139" customFormat="1" ht="15.75" customHeight="1" spans="7:7">
      <c r="G139" s="13"/>
    </row>
    <row r="140" customFormat="1" ht="15.75" customHeight="1" spans="7:7">
      <c r="G140" s="13"/>
    </row>
    <row r="141" customFormat="1" ht="15.75" customHeight="1" spans="7:7">
      <c r="G141" s="13"/>
    </row>
    <row r="142" customFormat="1" ht="15.75" customHeight="1" spans="7:7">
      <c r="G142" s="13"/>
    </row>
    <row r="143" customFormat="1" ht="15.75" customHeight="1" spans="7:7">
      <c r="G143" s="13"/>
    </row>
    <row r="144" customFormat="1" ht="15.75" customHeight="1" spans="7:7">
      <c r="G144" s="13"/>
    </row>
    <row r="145" customFormat="1" ht="15.75" customHeight="1" spans="7:7">
      <c r="G145" s="13"/>
    </row>
    <row r="146" customFormat="1" ht="15.75" customHeight="1" spans="7:7">
      <c r="G146" s="13"/>
    </row>
    <row r="147" customFormat="1" ht="15.75" customHeight="1" spans="7:7">
      <c r="G147" s="13"/>
    </row>
    <row r="148" customFormat="1" ht="15.75" customHeight="1" spans="7:7">
      <c r="G148" s="13"/>
    </row>
    <row r="149" customFormat="1" ht="15.75" customHeight="1" spans="7:7">
      <c r="G149" s="13"/>
    </row>
    <row r="150" customFormat="1" ht="15.75" customHeight="1" spans="7:7">
      <c r="G150" s="13"/>
    </row>
    <row r="151" customFormat="1" ht="15.75" customHeight="1" spans="7:7">
      <c r="G151" s="13"/>
    </row>
    <row r="152" customFormat="1" ht="15.75" customHeight="1" spans="7:7">
      <c r="G152" s="13"/>
    </row>
    <row r="153" customFormat="1" ht="15.75" customHeight="1" spans="7:7">
      <c r="G153" s="13"/>
    </row>
    <row r="154" customFormat="1" ht="15.75" customHeight="1" spans="7:7">
      <c r="G154" s="13"/>
    </row>
    <row r="155" customFormat="1" ht="15.75" customHeight="1" spans="7:7">
      <c r="G155" s="13"/>
    </row>
    <row r="156" customFormat="1" ht="15.75" customHeight="1" spans="7:7">
      <c r="G156" s="13"/>
    </row>
    <row r="157" customFormat="1" ht="15.75" customHeight="1" spans="7:7">
      <c r="G157" s="13"/>
    </row>
    <row r="158" customFormat="1" ht="15.75" customHeight="1" spans="7:7">
      <c r="G158" s="13"/>
    </row>
    <row r="159" customFormat="1" ht="15.75" customHeight="1" spans="7:7">
      <c r="G159" s="13"/>
    </row>
    <row r="160" customFormat="1" ht="15.75" customHeight="1" spans="7:7">
      <c r="G160" s="13"/>
    </row>
    <row r="161" customFormat="1" ht="15.75" customHeight="1" spans="7:7">
      <c r="G161" s="13"/>
    </row>
    <row r="162" customFormat="1" ht="15.75" customHeight="1" spans="7:7">
      <c r="G162" s="13"/>
    </row>
    <row r="163" customFormat="1" ht="15.75" customHeight="1" spans="7:7">
      <c r="G163" s="13"/>
    </row>
    <row r="164" customFormat="1" ht="15.75" customHeight="1" spans="7:7">
      <c r="G164" s="13"/>
    </row>
    <row r="165" customFormat="1" ht="15.75" customHeight="1" spans="7:7">
      <c r="G165" s="13"/>
    </row>
    <row r="166" customFormat="1" ht="15.75" customHeight="1" spans="7:7">
      <c r="G166" s="13"/>
    </row>
    <row r="167" customFormat="1" ht="15.75" customHeight="1" spans="7:7">
      <c r="G167" s="13"/>
    </row>
    <row r="168" customFormat="1" ht="15.75" customHeight="1" spans="7:7">
      <c r="G168" s="13"/>
    </row>
    <row r="169" customFormat="1" ht="15.75" customHeight="1" spans="7:7">
      <c r="G169" s="13"/>
    </row>
    <row r="170" customFormat="1" ht="15.75" customHeight="1" spans="7:7">
      <c r="G170" s="13"/>
    </row>
    <row r="171" customFormat="1" ht="15.75" customHeight="1" spans="7:7">
      <c r="G171" s="13"/>
    </row>
    <row r="172" customFormat="1" ht="15.75" customHeight="1" spans="7:7">
      <c r="G172" s="13"/>
    </row>
    <row r="173" customFormat="1" ht="15.75" customHeight="1" spans="7:7">
      <c r="G173" s="13"/>
    </row>
    <row r="174" customFormat="1" ht="15.75" customHeight="1" spans="7:7">
      <c r="G174" s="13"/>
    </row>
    <row r="175" customFormat="1" ht="15.75" customHeight="1" spans="7:7">
      <c r="G175" s="13"/>
    </row>
    <row r="176" customFormat="1" ht="15.75" customHeight="1" spans="7:7">
      <c r="G176" s="13"/>
    </row>
    <row r="177" customFormat="1" ht="15.75" customHeight="1" spans="7:7">
      <c r="G177" s="13"/>
    </row>
    <row r="178" customFormat="1" ht="15.75" customHeight="1" spans="7:7">
      <c r="G178" s="13"/>
    </row>
    <row r="179" customFormat="1" ht="15.75" customHeight="1" spans="7:7">
      <c r="G179" s="13"/>
    </row>
    <row r="180" customFormat="1" ht="15.75" customHeight="1" spans="7:7">
      <c r="G180" s="13"/>
    </row>
    <row r="181" customFormat="1" ht="15.75" customHeight="1" spans="7:7">
      <c r="G181" s="13"/>
    </row>
    <row r="182" customFormat="1" ht="15.75" customHeight="1" spans="7:7">
      <c r="G182" s="13"/>
    </row>
    <row r="183" customFormat="1" ht="15.75" customHeight="1" spans="7:7">
      <c r="G183" s="13"/>
    </row>
    <row r="184" customFormat="1" ht="15.75" customHeight="1" spans="7:7">
      <c r="G184" s="13"/>
    </row>
    <row r="185" customFormat="1" ht="15.75" customHeight="1" spans="7:7">
      <c r="G185" s="13"/>
    </row>
    <row r="186" customFormat="1" ht="15.75" customHeight="1" spans="7:7">
      <c r="G186" s="13"/>
    </row>
    <row r="187" customFormat="1" ht="15.75" customHeight="1" spans="7:7">
      <c r="G187" s="13"/>
    </row>
    <row r="188" customFormat="1" ht="15.75" customHeight="1" spans="7:7">
      <c r="G188" s="13"/>
    </row>
    <row r="189" customFormat="1" ht="15.75" customHeight="1" spans="7:7">
      <c r="G189" s="13"/>
    </row>
    <row r="190" customFormat="1" ht="15.75" customHeight="1" spans="7:7">
      <c r="G190" s="13"/>
    </row>
    <row r="191" customFormat="1" ht="15.75" customHeight="1" spans="7:7">
      <c r="G191" s="13"/>
    </row>
    <row r="192" customFormat="1" ht="15.75" customHeight="1" spans="7:7">
      <c r="G192" s="13"/>
    </row>
    <row r="193" customFormat="1" ht="15.75" customHeight="1" spans="7:7">
      <c r="G193" s="13"/>
    </row>
    <row r="194" customFormat="1" ht="15.75" customHeight="1" spans="7:7">
      <c r="G194" s="13"/>
    </row>
    <row r="195" customFormat="1" ht="15.75" customHeight="1" spans="7:7">
      <c r="G195" s="13"/>
    </row>
    <row r="196" customFormat="1" ht="15.75" customHeight="1" spans="7:7">
      <c r="G196" s="13"/>
    </row>
    <row r="197" customFormat="1" ht="15.75" customHeight="1" spans="7:7">
      <c r="G197" s="13"/>
    </row>
    <row r="198" customFormat="1" ht="15.75" customHeight="1" spans="7:7">
      <c r="G198" s="13"/>
    </row>
    <row r="199" customFormat="1" ht="15.75" customHeight="1" spans="7:7">
      <c r="G199" s="13"/>
    </row>
    <row r="200" customFormat="1" ht="15.75" customHeight="1" spans="7:7">
      <c r="G200" s="13"/>
    </row>
    <row r="201" customFormat="1" ht="15.75" customHeight="1" spans="7:7">
      <c r="G201" s="13"/>
    </row>
    <row r="202" customFormat="1" ht="15.75" customHeight="1" spans="7:7">
      <c r="G202" s="13"/>
    </row>
    <row r="203" customFormat="1" ht="15.75" customHeight="1" spans="7:7">
      <c r="G203" s="13"/>
    </row>
    <row r="204" customFormat="1" ht="15.75" customHeight="1" spans="7:7">
      <c r="G204" s="13"/>
    </row>
    <row r="205" customFormat="1" ht="15.75" customHeight="1" spans="7:7">
      <c r="G205" s="13"/>
    </row>
    <row r="206" customFormat="1" ht="15.75" customHeight="1" spans="7:7">
      <c r="G206" s="13"/>
    </row>
    <row r="207" customFormat="1" ht="15.75" customHeight="1" spans="7:7">
      <c r="G207" s="13"/>
    </row>
    <row r="208" customFormat="1" ht="15.75" customHeight="1" spans="7:7">
      <c r="G208" s="13"/>
    </row>
    <row r="209" customFormat="1" ht="15.75" customHeight="1" spans="7:7">
      <c r="G209" s="13"/>
    </row>
    <row r="210" customFormat="1" ht="15.75" customHeight="1" spans="7:7">
      <c r="G210" s="13"/>
    </row>
    <row r="211" customFormat="1" ht="15.75" customHeight="1" spans="7:7">
      <c r="G211" s="13"/>
    </row>
    <row r="212" customFormat="1" ht="15.75" customHeight="1" spans="7:7">
      <c r="G212" s="13"/>
    </row>
    <row r="213" customFormat="1" ht="15.75" customHeight="1" spans="7:7">
      <c r="G213" s="13"/>
    </row>
    <row r="214" customFormat="1" ht="15.75" customHeight="1" spans="7:7">
      <c r="G214" s="13"/>
    </row>
    <row r="215" customFormat="1" ht="15.75" customHeight="1" spans="7:7">
      <c r="G215" s="13"/>
    </row>
    <row r="216" customFormat="1" ht="15.75" customHeight="1" spans="7:7">
      <c r="G216" s="13"/>
    </row>
    <row r="217" customFormat="1" ht="15.75" customHeight="1" spans="7:7">
      <c r="G217" s="13"/>
    </row>
    <row r="218" customFormat="1" ht="15.75" customHeight="1" spans="7:7">
      <c r="G218" s="13"/>
    </row>
    <row r="219" customFormat="1" ht="15.75" customHeight="1" spans="7:7">
      <c r="G219" s="13"/>
    </row>
    <row r="220" customFormat="1" ht="15.75" customHeight="1" spans="7:7">
      <c r="G220" s="13"/>
    </row>
    <row r="221" customFormat="1" ht="15.75" customHeight="1" spans="7:7">
      <c r="G221" s="13"/>
    </row>
    <row r="222" customFormat="1" ht="15.75" customHeight="1" spans="7:7">
      <c r="G222" s="13"/>
    </row>
    <row r="223" customFormat="1" ht="15.75" customHeight="1" spans="7:7">
      <c r="G223" s="13"/>
    </row>
    <row r="224" customFormat="1" ht="15.75" customHeight="1" spans="7:7">
      <c r="G224" s="13"/>
    </row>
    <row r="225" customFormat="1" ht="15.75" customHeight="1" spans="7:7">
      <c r="G225" s="13"/>
    </row>
    <row r="226" customFormat="1" ht="15.75" customHeight="1" spans="7:7">
      <c r="G226" s="13"/>
    </row>
    <row r="227" customFormat="1" ht="15.75" customHeight="1" spans="7:7">
      <c r="G227" s="13"/>
    </row>
    <row r="228" customFormat="1" ht="15.75" customHeight="1" spans="7:7">
      <c r="G228" s="13"/>
    </row>
    <row r="229" customFormat="1" ht="15.75" customHeight="1" spans="7:7">
      <c r="G229" s="13"/>
    </row>
    <row r="230" customFormat="1" ht="15.75" customHeight="1" spans="7:7">
      <c r="G230" s="13"/>
    </row>
    <row r="231" customFormat="1" ht="15.75" customHeight="1" spans="7:7">
      <c r="G231" s="13"/>
    </row>
    <row r="232" customFormat="1" ht="15.75" customHeight="1" spans="7:7">
      <c r="G232" s="13"/>
    </row>
    <row r="233" customFormat="1" ht="15.75" customHeight="1" spans="7:7">
      <c r="G233" s="13"/>
    </row>
    <row r="234" customFormat="1" ht="15.75" customHeight="1" spans="7:7">
      <c r="G234" s="13"/>
    </row>
    <row r="235" customFormat="1" ht="15.75" customHeight="1" spans="7:7">
      <c r="G235" s="13"/>
    </row>
    <row r="236" customFormat="1" ht="15.75" customHeight="1" spans="7:7">
      <c r="G236" s="13"/>
    </row>
    <row r="237" customFormat="1" ht="15.75" customHeight="1" spans="7:7">
      <c r="G237" s="13"/>
    </row>
    <row r="238" customFormat="1" ht="15.75" customHeight="1" spans="7:7">
      <c r="G238" s="13"/>
    </row>
    <row r="239" customFormat="1" ht="15.75" customHeight="1" spans="7:7">
      <c r="G239" s="13"/>
    </row>
    <row r="240" customFormat="1" ht="15.75" customHeight="1" spans="7:7">
      <c r="G240" s="13"/>
    </row>
    <row r="241" customFormat="1" ht="15.75" customHeight="1" spans="7:7">
      <c r="G241" s="13"/>
    </row>
    <row r="242" customFormat="1" ht="15.75" customHeight="1" spans="7:7">
      <c r="G242" s="13"/>
    </row>
    <row r="243" customFormat="1" ht="15.75" customHeight="1" spans="7:7">
      <c r="G243" s="13"/>
    </row>
    <row r="244" customFormat="1" ht="15.75" customHeight="1" spans="7:7">
      <c r="G244" s="13"/>
    </row>
    <row r="245" customFormat="1" ht="15.75" customHeight="1" spans="7:7">
      <c r="G245" s="13"/>
    </row>
    <row r="246" customFormat="1" ht="15.75" customHeight="1" spans="7:7">
      <c r="G246" s="13"/>
    </row>
    <row r="247" customFormat="1" ht="15.75" customHeight="1" spans="7:7">
      <c r="G247" s="13"/>
    </row>
    <row r="248" customFormat="1" ht="15.75" customHeight="1" spans="7:7">
      <c r="G248" s="13"/>
    </row>
    <row r="249" customFormat="1" ht="15.75" customHeight="1" spans="7:7">
      <c r="G249" s="13"/>
    </row>
    <row r="250" customFormat="1" ht="15.75" customHeight="1" spans="7:7">
      <c r="G250" s="13"/>
    </row>
    <row r="251" customFormat="1" ht="15.75" customHeight="1" spans="7:7">
      <c r="G251" s="13"/>
    </row>
    <row r="252" customFormat="1" ht="15.75" customHeight="1" spans="7:7">
      <c r="G252" s="13"/>
    </row>
    <row r="253" customFormat="1" ht="15.75" customHeight="1" spans="7:7">
      <c r="G253" s="13"/>
    </row>
    <row r="254" customFormat="1" ht="15.75" customHeight="1" spans="7:7">
      <c r="G254" s="13"/>
    </row>
    <row r="255" customFormat="1" ht="15.75" customHeight="1" spans="7:7">
      <c r="G255" s="13"/>
    </row>
    <row r="256" customFormat="1" ht="15.75" customHeight="1" spans="7:7">
      <c r="G256" s="13"/>
    </row>
    <row r="257" customFormat="1" ht="15.75" customHeight="1" spans="7:7">
      <c r="G257" s="13"/>
    </row>
    <row r="258" customFormat="1" ht="15.75" customHeight="1" spans="7:7">
      <c r="G258" s="13"/>
    </row>
    <row r="259" customFormat="1" ht="15.75" customHeight="1" spans="7:7">
      <c r="G259" s="13"/>
    </row>
    <row r="260" customFormat="1" ht="15.75" customHeight="1" spans="7:7">
      <c r="G260" s="13"/>
    </row>
    <row r="261" customFormat="1" ht="15.75" customHeight="1" spans="7:7">
      <c r="G261" s="13"/>
    </row>
    <row r="262" customFormat="1" ht="15.75" customHeight="1" spans="7:7">
      <c r="G262" s="13"/>
    </row>
    <row r="263" customFormat="1" ht="15.75" customHeight="1" spans="7:7">
      <c r="G263" s="13"/>
    </row>
    <row r="264" customFormat="1" ht="15.75" customHeight="1" spans="7:7">
      <c r="G264" s="13"/>
    </row>
    <row r="265" customFormat="1" ht="15.75" customHeight="1" spans="7:7">
      <c r="G265" s="13"/>
    </row>
    <row r="266" customFormat="1" ht="15.75" customHeight="1" spans="7:7">
      <c r="G266" s="13"/>
    </row>
    <row r="267" customFormat="1" ht="15.75" customHeight="1" spans="7:7">
      <c r="G267" s="13"/>
    </row>
    <row r="268" customFormat="1" ht="15.75" customHeight="1" spans="7:7">
      <c r="G268" s="13"/>
    </row>
    <row r="269" customFormat="1" ht="15.75" customHeight="1" spans="7:7">
      <c r="G269" s="13"/>
    </row>
    <row r="270" customFormat="1" ht="15.75" customHeight="1" spans="7:7">
      <c r="G270" s="13"/>
    </row>
    <row r="271" customFormat="1" ht="15.75" customHeight="1" spans="7:7">
      <c r="G271" s="13"/>
    </row>
    <row r="272" customFormat="1" ht="15.75" customHeight="1" spans="7:7">
      <c r="G272" s="13"/>
    </row>
    <row r="273" customFormat="1" ht="15.75" customHeight="1" spans="7:7">
      <c r="G273" s="13"/>
    </row>
    <row r="274" customFormat="1" ht="15.75" customHeight="1" spans="7:7">
      <c r="G274" s="13"/>
    </row>
    <row r="275" customFormat="1" ht="15.75" customHeight="1" spans="7:7">
      <c r="G275" s="13"/>
    </row>
    <row r="276" customFormat="1" ht="15.75" customHeight="1" spans="7:7">
      <c r="G276" s="13"/>
    </row>
    <row r="277" customFormat="1" ht="15.75" customHeight="1" spans="7:7">
      <c r="G277" s="13"/>
    </row>
    <row r="278" customFormat="1" ht="15.75" customHeight="1" spans="7:7">
      <c r="G278" s="13"/>
    </row>
    <row r="279" customFormat="1" ht="15.75" customHeight="1" spans="7:7">
      <c r="G279" s="13"/>
    </row>
    <row r="280" customFormat="1" ht="15.75" customHeight="1" spans="7:7">
      <c r="G280" s="13"/>
    </row>
    <row r="281" customFormat="1" ht="15.75" customHeight="1" spans="7:7">
      <c r="G281" s="13"/>
    </row>
    <row r="282" customFormat="1" ht="15.75" customHeight="1" spans="7:7">
      <c r="G282" s="13"/>
    </row>
    <row r="283" customFormat="1" ht="15.75" customHeight="1" spans="7:7">
      <c r="G283" s="13"/>
    </row>
    <row r="284" customFormat="1" ht="15.75" customHeight="1" spans="7:7">
      <c r="G284" s="13"/>
    </row>
    <row r="285" customFormat="1" ht="15.75" customHeight="1" spans="7:7">
      <c r="G285" s="13"/>
    </row>
    <row r="286" customFormat="1" ht="15.75" customHeight="1" spans="7:7">
      <c r="G286" s="13"/>
    </row>
    <row r="287" customFormat="1" ht="15.75" customHeight="1" spans="7:7">
      <c r="G287" s="13"/>
    </row>
    <row r="288" customFormat="1" ht="15.75" customHeight="1" spans="7:7">
      <c r="G288" s="13"/>
    </row>
    <row r="289" customFormat="1" ht="15.75" customHeight="1" spans="7:7">
      <c r="G289" s="13"/>
    </row>
    <row r="290" customFormat="1" ht="15.75" customHeight="1" spans="7:7">
      <c r="G290" s="13"/>
    </row>
    <row r="291" customFormat="1" ht="15.75" customHeight="1" spans="7:7">
      <c r="G291" s="13"/>
    </row>
    <row r="292" customFormat="1" ht="15.75" customHeight="1" spans="7:7">
      <c r="G292" s="13"/>
    </row>
    <row r="293" customFormat="1" ht="15.75" customHeight="1" spans="7:7">
      <c r="G293" s="13"/>
    </row>
    <row r="294" customFormat="1" ht="15.75" customHeight="1" spans="7:7">
      <c r="G294" s="13"/>
    </row>
    <row r="295" customFormat="1" ht="15.75" customHeight="1" spans="7:7">
      <c r="G295" s="13"/>
    </row>
    <row r="296" customFormat="1" ht="15.75" customHeight="1" spans="7:7">
      <c r="G296" s="13"/>
    </row>
    <row r="297" customFormat="1" ht="15.75" customHeight="1" spans="7:7">
      <c r="G297" s="13"/>
    </row>
    <row r="298" customFormat="1" ht="15.75" customHeight="1" spans="7:7">
      <c r="G298" s="13"/>
    </row>
    <row r="299" customFormat="1" ht="15.75" customHeight="1" spans="7:7">
      <c r="G299" s="13"/>
    </row>
    <row r="300" customFormat="1" ht="15.75" customHeight="1" spans="7:7">
      <c r="G300" s="13"/>
    </row>
    <row r="301" customFormat="1" ht="15.75" customHeight="1" spans="7:7">
      <c r="G301" s="13"/>
    </row>
    <row r="302" customFormat="1" ht="15.75" customHeight="1" spans="7:7">
      <c r="G302" s="13"/>
    </row>
    <row r="303" customFormat="1" ht="15.75" customHeight="1" spans="7:7">
      <c r="G303" s="13"/>
    </row>
    <row r="304" customFormat="1" ht="15.75" customHeight="1" spans="7:7">
      <c r="G304" s="13"/>
    </row>
    <row r="305" customFormat="1" ht="15.75" customHeight="1" spans="7:7">
      <c r="G305" s="13"/>
    </row>
    <row r="306" customFormat="1" ht="15.75" customHeight="1" spans="7:7">
      <c r="G306" s="13"/>
    </row>
    <row r="307" customFormat="1" ht="15.75" customHeight="1" spans="7:7">
      <c r="G307" s="13"/>
    </row>
    <row r="308" customFormat="1" ht="15.75" customHeight="1" spans="7:7">
      <c r="G308" s="13"/>
    </row>
    <row r="309" customFormat="1" ht="15.75" customHeight="1" spans="7:7">
      <c r="G309" s="13"/>
    </row>
    <row r="310" customFormat="1" ht="15.75" customHeight="1" spans="7:7">
      <c r="G310" s="13"/>
    </row>
    <row r="311" customFormat="1" ht="15.75" customHeight="1" spans="7:7">
      <c r="G311" s="13"/>
    </row>
    <row r="312" customFormat="1" ht="15.75" customHeight="1" spans="7:7">
      <c r="G312" s="13"/>
    </row>
    <row r="313" customFormat="1" ht="15.75" customHeight="1" spans="7:7">
      <c r="G313" s="13"/>
    </row>
    <row r="314" customFormat="1" ht="15.75" customHeight="1" spans="7:7">
      <c r="G314" s="13"/>
    </row>
    <row r="315" customFormat="1" ht="15.75" customHeight="1" spans="7:7">
      <c r="G315" s="13"/>
    </row>
    <row r="316" customFormat="1" ht="15.75" customHeight="1" spans="7:7">
      <c r="G316" s="13"/>
    </row>
    <row r="317" customFormat="1" ht="15.75" customHeight="1" spans="7:7">
      <c r="G317" s="13"/>
    </row>
    <row r="318" customFormat="1" ht="15.75" customHeight="1" spans="7:7">
      <c r="G318" s="13"/>
    </row>
    <row r="319" customFormat="1" ht="15.75" customHeight="1" spans="7:7">
      <c r="G319" s="13"/>
    </row>
    <row r="320" customFormat="1" ht="15.75" customHeight="1" spans="7:7">
      <c r="G320" s="13"/>
    </row>
    <row r="321" customFormat="1" ht="15.75" customHeight="1" spans="7:7">
      <c r="G321" s="13"/>
    </row>
    <row r="322" customFormat="1" ht="15.75" customHeight="1" spans="7:7">
      <c r="G322" s="13"/>
    </row>
    <row r="323" customFormat="1" ht="15.75" customHeight="1" spans="7:7">
      <c r="G323" s="13"/>
    </row>
    <row r="324" customFormat="1" ht="15.75" customHeight="1" spans="7:7">
      <c r="G324" s="13"/>
    </row>
    <row r="325" customFormat="1" ht="15.75" customHeight="1" spans="7:7">
      <c r="G325" s="13"/>
    </row>
    <row r="326" customFormat="1" ht="15.75" customHeight="1" spans="7:7">
      <c r="G326" s="13"/>
    </row>
    <row r="327" customFormat="1" ht="15.75" customHeight="1" spans="7:7">
      <c r="G327" s="13"/>
    </row>
    <row r="328" customFormat="1" ht="15.75" customHeight="1" spans="7:7">
      <c r="G328" s="13"/>
    </row>
    <row r="329" customFormat="1" ht="15.75" customHeight="1" spans="7:7">
      <c r="G329" s="13"/>
    </row>
    <row r="330" customFormat="1" ht="15.75" customHeight="1" spans="7:7">
      <c r="G330" s="13"/>
    </row>
    <row r="331" customFormat="1" ht="15.75" customHeight="1" spans="7:7">
      <c r="G331" s="13"/>
    </row>
    <row r="332" customFormat="1" ht="15.75" customHeight="1" spans="7:7">
      <c r="G332" s="13"/>
    </row>
    <row r="333" customFormat="1" ht="15.75" customHeight="1" spans="7:7">
      <c r="G333" s="13"/>
    </row>
    <row r="334" customFormat="1" ht="15.75" customHeight="1" spans="7:7">
      <c r="G334" s="13"/>
    </row>
    <row r="335" customFormat="1" ht="15.75" customHeight="1" spans="7:7">
      <c r="G335" s="13"/>
    </row>
    <row r="336" customFormat="1" ht="15.75" customHeight="1" spans="7:7">
      <c r="G336" s="13"/>
    </row>
    <row r="337" customFormat="1" ht="15.75" customHeight="1" spans="7:7">
      <c r="G337" s="13"/>
    </row>
    <row r="338" customFormat="1" ht="15.75" customHeight="1" spans="7:7">
      <c r="G338" s="13"/>
    </row>
    <row r="339" customFormat="1" ht="15.75" customHeight="1" spans="7:7">
      <c r="G339" s="13"/>
    </row>
    <row r="340" customFormat="1" ht="15.75" customHeight="1" spans="7:7">
      <c r="G340" s="13"/>
    </row>
    <row r="341" customFormat="1" ht="15.75" customHeight="1" spans="7:7">
      <c r="G341" s="13"/>
    </row>
    <row r="342" customFormat="1" ht="15.75" customHeight="1" spans="7:7">
      <c r="G342" s="13"/>
    </row>
    <row r="343" customFormat="1" ht="15.75" customHeight="1" spans="7:7">
      <c r="G343" s="13"/>
    </row>
    <row r="344" customFormat="1" ht="15.75" customHeight="1" spans="7:7">
      <c r="G344" s="13"/>
    </row>
    <row r="345" customFormat="1" ht="15.75" customHeight="1" spans="7:7">
      <c r="G345" s="13"/>
    </row>
    <row r="346" customFormat="1" ht="15.75" customHeight="1" spans="7:7">
      <c r="G346" s="13"/>
    </row>
    <row r="347" customFormat="1" ht="15.75" customHeight="1" spans="7:7">
      <c r="G347" s="13"/>
    </row>
    <row r="348" customFormat="1" ht="15.75" customHeight="1" spans="7:7">
      <c r="G348" s="13"/>
    </row>
    <row r="349" customFormat="1" ht="15.75" customHeight="1" spans="7:7">
      <c r="G349" s="13"/>
    </row>
    <row r="350" customFormat="1" ht="15.75" customHeight="1" spans="7:7">
      <c r="G350" s="13"/>
    </row>
    <row r="351" customFormat="1" ht="15.75" customHeight="1" spans="7:7">
      <c r="G351" s="13"/>
    </row>
    <row r="352" customFormat="1" ht="15.75" customHeight="1" spans="7:7">
      <c r="G352" s="13"/>
    </row>
    <row r="353" customFormat="1" ht="15.75" customHeight="1" spans="7:7">
      <c r="G353" s="13"/>
    </row>
    <row r="354" customFormat="1" ht="15.75" customHeight="1" spans="7:7">
      <c r="G354" s="13"/>
    </row>
    <row r="355" customFormat="1" ht="15.75" customHeight="1" spans="7:7">
      <c r="G355" s="13"/>
    </row>
    <row r="356" customFormat="1" ht="15.75" customHeight="1" spans="7:7">
      <c r="G356" s="13"/>
    </row>
    <row r="357" customFormat="1" ht="15.75" customHeight="1" spans="7:7">
      <c r="G357" s="13"/>
    </row>
    <row r="358" customFormat="1" ht="15.75" customHeight="1" spans="7:7">
      <c r="G358" s="13"/>
    </row>
    <row r="359" customFormat="1" ht="15.75" customHeight="1" spans="7:7">
      <c r="G359" s="13"/>
    </row>
    <row r="360" customFormat="1" ht="15.75" customHeight="1" spans="7:7">
      <c r="G360" s="13"/>
    </row>
    <row r="361" customFormat="1" ht="15.75" customHeight="1" spans="7:7">
      <c r="G361" s="13"/>
    </row>
    <row r="362" customFormat="1" ht="15.75" customHeight="1" spans="7:7">
      <c r="G362" s="13"/>
    </row>
    <row r="363" customFormat="1" ht="15.75" customHeight="1" spans="7:7">
      <c r="G363" s="13"/>
    </row>
    <row r="364" customFormat="1" ht="15.75" customHeight="1" spans="7:7">
      <c r="G364" s="13"/>
    </row>
    <row r="365" customFormat="1" ht="15.75" customHeight="1" spans="7:7">
      <c r="G365" s="13"/>
    </row>
    <row r="366" customFormat="1" ht="15.75" customHeight="1" spans="7:7">
      <c r="G366" s="13"/>
    </row>
    <row r="367" customFormat="1" ht="15.75" customHeight="1" spans="7:7">
      <c r="G367" s="13"/>
    </row>
    <row r="368" customFormat="1" ht="15.75" customHeight="1" spans="7:7">
      <c r="G368" s="13"/>
    </row>
    <row r="369" customFormat="1" ht="15.75" customHeight="1" spans="7:7">
      <c r="G369" s="13"/>
    </row>
    <row r="370" customFormat="1" ht="15.75" customHeight="1" spans="7:7">
      <c r="G370" s="13"/>
    </row>
    <row r="371" customFormat="1" ht="15.75" customHeight="1" spans="7:7">
      <c r="G371" s="13"/>
    </row>
    <row r="372" customFormat="1" ht="15.75" customHeight="1" spans="7:7">
      <c r="G372" s="13"/>
    </row>
    <row r="373" customFormat="1" ht="15.75" customHeight="1" spans="7:7">
      <c r="G373" s="13"/>
    </row>
    <row r="374" customFormat="1" ht="15.75" customHeight="1" spans="7:7">
      <c r="G374" s="13"/>
    </row>
    <row r="375" customFormat="1" ht="15.75" customHeight="1" spans="7:7">
      <c r="G375" s="13"/>
    </row>
    <row r="376" customFormat="1" ht="15.75" customHeight="1" spans="7:7">
      <c r="G376" s="13"/>
    </row>
    <row r="377" customFormat="1" ht="15.75" customHeight="1" spans="7:7">
      <c r="G377" s="13"/>
    </row>
    <row r="378" customFormat="1" ht="15.75" customHeight="1" spans="7:7">
      <c r="G378" s="13"/>
    </row>
    <row r="379" customFormat="1" ht="15.75" customHeight="1" spans="7:7">
      <c r="G379" s="13"/>
    </row>
    <row r="380" customFormat="1" ht="15.75" customHeight="1" spans="7:7">
      <c r="G380" s="13"/>
    </row>
    <row r="381" customFormat="1" ht="15.75" customHeight="1" spans="7:7">
      <c r="G381" s="13"/>
    </row>
    <row r="382" customFormat="1" ht="15.75" customHeight="1" spans="7:7">
      <c r="G382" s="13"/>
    </row>
    <row r="383" customFormat="1" ht="15.75" customHeight="1" spans="7:7">
      <c r="G383" s="13"/>
    </row>
    <row r="384" customFormat="1" ht="15.75" customHeight="1" spans="7:7">
      <c r="G384" s="13"/>
    </row>
    <row r="385" customFormat="1" ht="15.75" customHeight="1" spans="7:7">
      <c r="G385" s="13"/>
    </row>
    <row r="386" customFormat="1" ht="15.75" customHeight="1" spans="7:7">
      <c r="G386" s="13"/>
    </row>
    <row r="387" customFormat="1" ht="15.75" customHeight="1" spans="7:7">
      <c r="G387" s="13"/>
    </row>
    <row r="388" customFormat="1" ht="15.75" customHeight="1" spans="7:7">
      <c r="G388" s="13"/>
    </row>
    <row r="389" customFormat="1" ht="15.75" customHeight="1" spans="7:7">
      <c r="G389" s="13"/>
    </row>
    <row r="390" customFormat="1" ht="15.75" customHeight="1" spans="7:7">
      <c r="G390" s="13"/>
    </row>
    <row r="391" customFormat="1" ht="15.75" customHeight="1" spans="7:7">
      <c r="G391" s="13"/>
    </row>
    <row r="392" customFormat="1" ht="15.75" customHeight="1" spans="7:7">
      <c r="G392" s="13"/>
    </row>
    <row r="393" customFormat="1" ht="15.75" customHeight="1" spans="7:7">
      <c r="G393" s="13"/>
    </row>
    <row r="394" customFormat="1" ht="15.75" customHeight="1" spans="7:7">
      <c r="G394" s="13"/>
    </row>
    <row r="395" customFormat="1" ht="15.75" customHeight="1" spans="7:7">
      <c r="G395" s="13"/>
    </row>
    <row r="396" customFormat="1" ht="15.75" customHeight="1" spans="7:7">
      <c r="G396" s="13"/>
    </row>
    <row r="397" customFormat="1" ht="15.75" customHeight="1" spans="7:7">
      <c r="G397" s="13"/>
    </row>
    <row r="398" customFormat="1" ht="15.75" customHeight="1" spans="7:7">
      <c r="G398" s="13"/>
    </row>
    <row r="399" customFormat="1" ht="15.75" customHeight="1" spans="7:7">
      <c r="G399" s="13"/>
    </row>
    <row r="400" customFormat="1" ht="15.75" customHeight="1" spans="7:7">
      <c r="G400" s="13"/>
    </row>
    <row r="401" customFormat="1" ht="15.75" customHeight="1" spans="7:7">
      <c r="G401" s="13"/>
    </row>
    <row r="402" customFormat="1" ht="15.75" customHeight="1" spans="7:7">
      <c r="G402" s="13"/>
    </row>
    <row r="403" customFormat="1" ht="15.75" customHeight="1" spans="7:7">
      <c r="G403" s="13"/>
    </row>
    <row r="404" customFormat="1" ht="15.75" customHeight="1" spans="7:7">
      <c r="G404" s="13"/>
    </row>
    <row r="405" customFormat="1" ht="15.75" customHeight="1" spans="7:7">
      <c r="G405" s="13"/>
    </row>
    <row r="406" customFormat="1" ht="15.75" customHeight="1" spans="7:7">
      <c r="G406" s="13"/>
    </row>
    <row r="407" customFormat="1" ht="15.75" customHeight="1" spans="7:7">
      <c r="G407" s="13"/>
    </row>
    <row r="408" customFormat="1" ht="15.75" customHeight="1" spans="7:7">
      <c r="G408" s="13"/>
    </row>
    <row r="409" customFormat="1" ht="15.75" customHeight="1" spans="7:7">
      <c r="G409" s="13"/>
    </row>
    <row r="410" customFormat="1" ht="15.75" customHeight="1" spans="7:7">
      <c r="G410" s="13"/>
    </row>
    <row r="411" customFormat="1" ht="15.75" customHeight="1" spans="7:7">
      <c r="G411" s="13"/>
    </row>
    <row r="412" customFormat="1" ht="15.75" customHeight="1" spans="7:7">
      <c r="G412" s="13"/>
    </row>
    <row r="413" customFormat="1" ht="15.75" customHeight="1" spans="7:7">
      <c r="G413" s="13"/>
    </row>
    <row r="414" customFormat="1" ht="15.75" customHeight="1" spans="7:7">
      <c r="G414" s="13"/>
    </row>
    <row r="415" customFormat="1" ht="15.75" customHeight="1" spans="7:7">
      <c r="G415" s="13"/>
    </row>
    <row r="416" customFormat="1" ht="15.75" customHeight="1" spans="7:7">
      <c r="G416" s="13"/>
    </row>
    <row r="417" customFormat="1" ht="15.75" customHeight="1" spans="7:7">
      <c r="G417" s="13"/>
    </row>
    <row r="418" customFormat="1" ht="15.75" customHeight="1" spans="7:7">
      <c r="G418" s="13"/>
    </row>
    <row r="419" customFormat="1" ht="15.75" customHeight="1" spans="7:7">
      <c r="G419" s="13"/>
    </row>
    <row r="420" customFormat="1" ht="15.75" customHeight="1" spans="7:7">
      <c r="G420" s="13"/>
    </row>
    <row r="421" customFormat="1" ht="15.75" customHeight="1" spans="7:7">
      <c r="G421" s="13"/>
    </row>
    <row r="422" customFormat="1" ht="15.75" customHeight="1" spans="7:7">
      <c r="G422" s="13"/>
    </row>
    <row r="423" customFormat="1" ht="15.75" customHeight="1" spans="7:7">
      <c r="G423" s="13"/>
    </row>
    <row r="424" customFormat="1" ht="15.75" customHeight="1" spans="7:7">
      <c r="G424" s="13"/>
    </row>
    <row r="425" customFormat="1" ht="15.75" customHeight="1" spans="7:7">
      <c r="G425" s="13"/>
    </row>
    <row r="426" customFormat="1" ht="15.75" customHeight="1" spans="7:7">
      <c r="G426" s="13"/>
    </row>
    <row r="427" customFormat="1" ht="15.75" customHeight="1" spans="7:7">
      <c r="G427" s="13"/>
    </row>
    <row r="428" customFormat="1" ht="15.75" customHeight="1" spans="7:7">
      <c r="G428" s="13"/>
    </row>
    <row r="429" customFormat="1" ht="15.75" customHeight="1" spans="7:7">
      <c r="G429" s="13"/>
    </row>
    <row r="430" customFormat="1" ht="15.75" customHeight="1" spans="7:7">
      <c r="G430" s="13"/>
    </row>
    <row r="431" customFormat="1" ht="15.75" customHeight="1" spans="7:7">
      <c r="G431" s="13"/>
    </row>
    <row r="432" customFormat="1" ht="15.75" customHeight="1" spans="7:7">
      <c r="G432" s="13"/>
    </row>
    <row r="433" customFormat="1" ht="15.75" customHeight="1" spans="7:7">
      <c r="G433" s="13"/>
    </row>
    <row r="434" customFormat="1" ht="15.75" customHeight="1" spans="7:7">
      <c r="G434" s="13"/>
    </row>
    <row r="435" customFormat="1" ht="15.75" customHeight="1" spans="7:7">
      <c r="G435" s="13"/>
    </row>
    <row r="436" customFormat="1" ht="15.75" customHeight="1" spans="7:7">
      <c r="G436" s="13"/>
    </row>
    <row r="437" customFormat="1" ht="15.75" customHeight="1" spans="7:7">
      <c r="G437" s="13"/>
    </row>
    <row r="438" customFormat="1" ht="15.75" customHeight="1" spans="7:7">
      <c r="G438" s="13"/>
    </row>
    <row r="439" customFormat="1" ht="15.75" customHeight="1" spans="7:7">
      <c r="G439" s="13"/>
    </row>
    <row r="440" customFormat="1" ht="15.75" customHeight="1" spans="7:7">
      <c r="G440" s="13"/>
    </row>
    <row r="441" customFormat="1" ht="15.75" customHeight="1" spans="7:7">
      <c r="G441" s="13"/>
    </row>
    <row r="442" customFormat="1" ht="15.75" customHeight="1" spans="7:7">
      <c r="G442" s="13"/>
    </row>
    <row r="443" customFormat="1" ht="15.75" customHeight="1" spans="7:7">
      <c r="G443" s="13"/>
    </row>
    <row r="444" customFormat="1" ht="15.75" customHeight="1" spans="7:7">
      <c r="G444" s="13"/>
    </row>
    <row r="445" customFormat="1" ht="15.75" customHeight="1" spans="7:7">
      <c r="G445" s="13"/>
    </row>
    <row r="446" customFormat="1" ht="15.75" customHeight="1" spans="7:7">
      <c r="G446" s="13"/>
    </row>
    <row r="447" customFormat="1" ht="15.75" customHeight="1" spans="7:7">
      <c r="G447" s="13"/>
    </row>
    <row r="448" customFormat="1" ht="15.75" customHeight="1" spans="7:7">
      <c r="G448" s="13"/>
    </row>
    <row r="449" customFormat="1" ht="15.75" customHeight="1" spans="7:7">
      <c r="G449" s="13"/>
    </row>
    <row r="450" customFormat="1" ht="15.75" customHeight="1" spans="7:7">
      <c r="G450" s="13"/>
    </row>
    <row r="451" customFormat="1" ht="15.75" customHeight="1" spans="7:7">
      <c r="G451" s="13"/>
    </row>
    <row r="452" customFormat="1" ht="15.75" customHeight="1" spans="7:7">
      <c r="G452" s="13"/>
    </row>
    <row r="453" customFormat="1" ht="15.75" customHeight="1" spans="7:7">
      <c r="G453" s="13"/>
    </row>
    <row r="454" customFormat="1" ht="15.75" customHeight="1" spans="7:7">
      <c r="G454" s="13"/>
    </row>
    <row r="455" customFormat="1" ht="15.75" customHeight="1" spans="7:7">
      <c r="G455" s="13"/>
    </row>
    <row r="456" customFormat="1" ht="15.75" customHeight="1" spans="7:7">
      <c r="G456" s="13"/>
    </row>
    <row r="457" customFormat="1" ht="15.75" customHeight="1" spans="7:7">
      <c r="G457" s="13"/>
    </row>
    <row r="458" customFormat="1" ht="15.75" customHeight="1" spans="7:7">
      <c r="G458" s="13"/>
    </row>
    <row r="459" customFormat="1" ht="15.75" customHeight="1" spans="7:7">
      <c r="G459" s="13"/>
    </row>
    <row r="460" customFormat="1" ht="15.75" customHeight="1" spans="7:7">
      <c r="G460" s="13"/>
    </row>
    <row r="461" customFormat="1" ht="15.75" customHeight="1" spans="7:7">
      <c r="G461" s="13"/>
    </row>
    <row r="462" customFormat="1" ht="15.75" customHeight="1" spans="7:7">
      <c r="G462" s="13"/>
    </row>
    <row r="463" customFormat="1" ht="15.75" customHeight="1" spans="7:7">
      <c r="G463" s="13"/>
    </row>
    <row r="464" customFormat="1" ht="15.75" customHeight="1" spans="7:7">
      <c r="G464" s="13"/>
    </row>
    <row r="465" customFormat="1" ht="15.75" customHeight="1" spans="7:7">
      <c r="G465" s="13"/>
    </row>
    <row r="466" customFormat="1" ht="15.75" customHeight="1" spans="7:7">
      <c r="G466" s="13"/>
    </row>
    <row r="467" customFormat="1" ht="15.75" customHeight="1" spans="7:7">
      <c r="G467" s="13"/>
    </row>
    <row r="468" customFormat="1" ht="15.75" customHeight="1" spans="7:7">
      <c r="G468" s="13"/>
    </row>
    <row r="469" customFormat="1" ht="15.75" customHeight="1" spans="7:7">
      <c r="G469" s="13"/>
    </row>
    <row r="470" customFormat="1" ht="15.75" customHeight="1" spans="7:7">
      <c r="G470" s="13"/>
    </row>
    <row r="471" customFormat="1" ht="15.75" customHeight="1" spans="7:7">
      <c r="G471" s="13"/>
    </row>
    <row r="472" customFormat="1" ht="15.75" customHeight="1" spans="7:7">
      <c r="G472" s="13"/>
    </row>
    <row r="473" customFormat="1" ht="15.75" customHeight="1" spans="7:7">
      <c r="G473" s="13"/>
    </row>
    <row r="474" customFormat="1" ht="15.75" customHeight="1" spans="7:7">
      <c r="G474" s="13"/>
    </row>
    <row r="475" customFormat="1" ht="15.75" customHeight="1" spans="7:7">
      <c r="G475" s="13"/>
    </row>
    <row r="476" customFormat="1" ht="15.75" customHeight="1" spans="7:7">
      <c r="G476" s="13"/>
    </row>
    <row r="477" customFormat="1" ht="15.75" customHeight="1" spans="7:7">
      <c r="G477" s="13"/>
    </row>
    <row r="478" customFormat="1" ht="15.75" customHeight="1" spans="7:7">
      <c r="G478" s="13"/>
    </row>
    <row r="479" customFormat="1" ht="15.75" customHeight="1" spans="7:7">
      <c r="G479" s="13"/>
    </row>
    <row r="480" customFormat="1" ht="15.75" customHeight="1" spans="7:7">
      <c r="G480" s="13"/>
    </row>
    <row r="481" customFormat="1" ht="15.75" customHeight="1" spans="7:7">
      <c r="G481" s="13"/>
    </row>
    <row r="482" customFormat="1" ht="15.75" customHeight="1" spans="7:7">
      <c r="G482" s="13"/>
    </row>
    <row r="483" customFormat="1" ht="15.75" customHeight="1" spans="7:7">
      <c r="G483" s="13"/>
    </row>
    <row r="484" customFormat="1" ht="15.75" customHeight="1" spans="7:7">
      <c r="G484" s="13"/>
    </row>
    <row r="485" customFormat="1" ht="15.75" customHeight="1" spans="7:7">
      <c r="G485" s="13"/>
    </row>
    <row r="486" customFormat="1" ht="15.75" customHeight="1" spans="7:7">
      <c r="G486" s="13"/>
    </row>
    <row r="487" customFormat="1" ht="15.75" customHeight="1" spans="7:7">
      <c r="G487" s="13"/>
    </row>
    <row r="488" customFormat="1" ht="15.75" customHeight="1" spans="7:7">
      <c r="G488" s="13"/>
    </row>
    <row r="489" customFormat="1" ht="15.75" customHeight="1" spans="7:7">
      <c r="G489" s="13"/>
    </row>
    <row r="490" customFormat="1" ht="15.75" customHeight="1" spans="7:7">
      <c r="G490" s="13"/>
    </row>
    <row r="491" customFormat="1" ht="15.75" customHeight="1" spans="7:7">
      <c r="G491" s="13"/>
    </row>
    <row r="492" customFormat="1" ht="15.75" customHeight="1" spans="7:7">
      <c r="G492" s="13"/>
    </row>
    <row r="493" customFormat="1" ht="15.75" customHeight="1" spans="7:7">
      <c r="G493" s="13"/>
    </row>
    <row r="494" customFormat="1" ht="15.75" customHeight="1" spans="7:7">
      <c r="G494" s="13"/>
    </row>
    <row r="495" customFormat="1" ht="15.75" customHeight="1" spans="7:7">
      <c r="G495" s="13"/>
    </row>
    <row r="496" customFormat="1" ht="15.75" customHeight="1" spans="7:7">
      <c r="G496" s="13"/>
    </row>
    <row r="497" customFormat="1" ht="15.75" customHeight="1" spans="7:7">
      <c r="G497" s="13"/>
    </row>
    <row r="498" customFormat="1" ht="15.75" customHeight="1" spans="7:7">
      <c r="G498" s="13"/>
    </row>
    <row r="499" customFormat="1" ht="15.75" customHeight="1" spans="7:7">
      <c r="G499" s="13"/>
    </row>
    <row r="500" customFormat="1" ht="15.75" customHeight="1" spans="7:7">
      <c r="G500" s="13"/>
    </row>
    <row r="501" customFormat="1" ht="15.75" customHeight="1" spans="7:7">
      <c r="G501" s="13"/>
    </row>
    <row r="502" customFormat="1" ht="15.75" customHeight="1" spans="7:7">
      <c r="G502" s="13"/>
    </row>
    <row r="503" customFormat="1" ht="15.75" customHeight="1" spans="7:7">
      <c r="G503" s="13"/>
    </row>
    <row r="504" customFormat="1" ht="15.75" customHeight="1" spans="7:7">
      <c r="G504" s="13"/>
    </row>
    <row r="505" customFormat="1" ht="15.75" customHeight="1" spans="7:7">
      <c r="G505" s="13"/>
    </row>
    <row r="506" customFormat="1" ht="15.75" customHeight="1" spans="7:7">
      <c r="G506" s="13"/>
    </row>
    <row r="507" customFormat="1" ht="15.75" customHeight="1" spans="7:7">
      <c r="G507" s="13"/>
    </row>
    <row r="508" customFormat="1" ht="15.75" customHeight="1" spans="7:7">
      <c r="G508" s="13"/>
    </row>
    <row r="509" customFormat="1" ht="15.75" customHeight="1" spans="7:7">
      <c r="G509" s="13"/>
    </row>
    <row r="510" customFormat="1" ht="15.75" customHeight="1" spans="7:7">
      <c r="G510" s="13"/>
    </row>
    <row r="511" customFormat="1" ht="15.75" customHeight="1" spans="7:7">
      <c r="G511" s="13"/>
    </row>
    <row r="512" customFormat="1" ht="15.75" customHeight="1" spans="7:7">
      <c r="G512" s="13"/>
    </row>
    <row r="513" customFormat="1" ht="15.75" customHeight="1" spans="7:7">
      <c r="G513" s="13"/>
    </row>
    <row r="514" customFormat="1" ht="15.75" customHeight="1" spans="7:7">
      <c r="G514" s="13"/>
    </row>
    <row r="515" customFormat="1" ht="15.75" customHeight="1" spans="7:7">
      <c r="G515" s="13"/>
    </row>
    <row r="516" customFormat="1" ht="15.75" customHeight="1" spans="7:7">
      <c r="G516" s="13"/>
    </row>
    <row r="517" customFormat="1" ht="15.75" customHeight="1" spans="7:7">
      <c r="G517" s="13"/>
    </row>
    <row r="518" customFormat="1" ht="15.75" customHeight="1" spans="7:7">
      <c r="G518" s="13"/>
    </row>
    <row r="519" customFormat="1" ht="15.75" customHeight="1" spans="7:7">
      <c r="G519" s="13"/>
    </row>
    <row r="520" customFormat="1" ht="15.75" customHeight="1" spans="7:7">
      <c r="G520" s="13"/>
    </row>
    <row r="521" customFormat="1" ht="15.75" customHeight="1" spans="7:7">
      <c r="G521" s="13"/>
    </row>
    <row r="522" customFormat="1" ht="15.75" customHeight="1" spans="7:7">
      <c r="G522" s="13"/>
    </row>
    <row r="523" customFormat="1" ht="15.75" customHeight="1" spans="7:7">
      <c r="G523" s="13"/>
    </row>
    <row r="524" customFormat="1" ht="15.75" customHeight="1" spans="7:7">
      <c r="G524" s="13"/>
    </row>
    <row r="525" customFormat="1" ht="15.75" customHeight="1" spans="7:7">
      <c r="G525" s="13"/>
    </row>
    <row r="526" customFormat="1" ht="15.75" customHeight="1" spans="7:7">
      <c r="G526" s="13"/>
    </row>
    <row r="527" customFormat="1" ht="15.75" customHeight="1" spans="7:7">
      <c r="G527" s="13"/>
    </row>
    <row r="528" customFormat="1" ht="15.75" customHeight="1" spans="7:7">
      <c r="G528" s="13"/>
    </row>
    <row r="529" customFormat="1" ht="15.75" customHeight="1" spans="7:7">
      <c r="G529" s="13"/>
    </row>
    <row r="530" customFormat="1" ht="15.75" customHeight="1" spans="7:7">
      <c r="G530" s="13"/>
    </row>
    <row r="531" customFormat="1" ht="15.75" customHeight="1" spans="7:7">
      <c r="G531" s="13"/>
    </row>
    <row r="532" customFormat="1" ht="15.75" customHeight="1" spans="7:7">
      <c r="G532" s="13"/>
    </row>
    <row r="533" customFormat="1" ht="15.75" customHeight="1" spans="7:7">
      <c r="G533" s="13"/>
    </row>
    <row r="534" customFormat="1" ht="15.75" customHeight="1" spans="7:7">
      <c r="G534" s="13"/>
    </row>
    <row r="535" customFormat="1" ht="15.75" customHeight="1" spans="7:7">
      <c r="G535" s="13"/>
    </row>
    <row r="536" customFormat="1" ht="15.75" customHeight="1" spans="7:7">
      <c r="G536" s="13"/>
    </row>
    <row r="537" customFormat="1" ht="15.75" customHeight="1" spans="7:7">
      <c r="G537" s="13"/>
    </row>
    <row r="538" customFormat="1" ht="15.75" customHeight="1" spans="7:7">
      <c r="G538" s="13"/>
    </row>
    <row r="539" customFormat="1" ht="15.75" customHeight="1" spans="7:7">
      <c r="G539" s="13"/>
    </row>
    <row r="540" customFormat="1" ht="15.75" customHeight="1" spans="7:7">
      <c r="G540" s="13"/>
    </row>
    <row r="541" customFormat="1" ht="15.75" customHeight="1" spans="7:7">
      <c r="G541" s="13"/>
    </row>
    <row r="542" customFormat="1" ht="15.75" customHeight="1" spans="7:7">
      <c r="G542" s="13"/>
    </row>
    <row r="543" customFormat="1" ht="15.75" customHeight="1" spans="7:7">
      <c r="G543" s="13"/>
    </row>
    <row r="544" customFormat="1" ht="15.75" customHeight="1" spans="7:7">
      <c r="G544" s="13"/>
    </row>
    <row r="545" customFormat="1" ht="15.75" customHeight="1" spans="7:7">
      <c r="G545" s="13"/>
    </row>
    <row r="546" customFormat="1" ht="15.75" customHeight="1" spans="7:7">
      <c r="G546" s="13"/>
    </row>
    <row r="547" customFormat="1" ht="15.75" customHeight="1" spans="7:7">
      <c r="G547" s="13"/>
    </row>
    <row r="548" customFormat="1" ht="15.75" customHeight="1" spans="7:7">
      <c r="G548" s="13"/>
    </row>
    <row r="549" customFormat="1" ht="15.75" customHeight="1" spans="7:7">
      <c r="G549" s="13"/>
    </row>
    <row r="550" customFormat="1" ht="15.75" customHeight="1" spans="7:7">
      <c r="G550" s="13"/>
    </row>
    <row r="551" customFormat="1" ht="15.75" customHeight="1" spans="7:7">
      <c r="G551" s="13"/>
    </row>
    <row r="552" customFormat="1" ht="15.75" customHeight="1" spans="7:7">
      <c r="G552" s="13"/>
    </row>
    <row r="553" customFormat="1" ht="15.75" customHeight="1" spans="7:7">
      <c r="G553" s="13"/>
    </row>
    <row r="554" customFormat="1" ht="15.75" customHeight="1" spans="7:7">
      <c r="G554" s="13"/>
    </row>
    <row r="555" customFormat="1" ht="15.75" customHeight="1" spans="7:7">
      <c r="G555" s="13"/>
    </row>
    <row r="556" customFormat="1" ht="15.75" customHeight="1" spans="7:7">
      <c r="G556" s="13"/>
    </row>
    <row r="557" customFormat="1" ht="15.75" customHeight="1" spans="7:7">
      <c r="G557" s="13"/>
    </row>
    <row r="558" customFormat="1" ht="15.75" customHeight="1" spans="7:7">
      <c r="G558" s="13"/>
    </row>
    <row r="559" customFormat="1" ht="15.75" customHeight="1" spans="7:7">
      <c r="G559" s="13"/>
    </row>
    <row r="560" customFormat="1" ht="15.75" customHeight="1" spans="7:7">
      <c r="G560" s="13"/>
    </row>
    <row r="561" customFormat="1" ht="15.75" customHeight="1" spans="7:7">
      <c r="G561" s="13"/>
    </row>
    <row r="562" customFormat="1" ht="15.75" customHeight="1" spans="7:7">
      <c r="G562" s="13"/>
    </row>
    <row r="563" customFormat="1" ht="15.75" customHeight="1" spans="7:7">
      <c r="G563" s="13"/>
    </row>
    <row r="564" customFormat="1" ht="15.75" customHeight="1" spans="7:7">
      <c r="G564" s="13"/>
    </row>
    <row r="565" customFormat="1" ht="15.75" customHeight="1" spans="7:7">
      <c r="G565" s="13"/>
    </row>
    <row r="566" customFormat="1" ht="15.75" customHeight="1" spans="7:7">
      <c r="G566" s="13"/>
    </row>
    <row r="567" customFormat="1" ht="15.75" customHeight="1" spans="7:7">
      <c r="G567" s="13"/>
    </row>
    <row r="568" customFormat="1" ht="15.75" customHeight="1" spans="7:7">
      <c r="G568" s="13"/>
    </row>
    <row r="569" customFormat="1" ht="15.75" customHeight="1" spans="7:7">
      <c r="G569" s="13"/>
    </row>
    <row r="570" customFormat="1" ht="15.75" customHeight="1" spans="7:7">
      <c r="G570" s="13"/>
    </row>
    <row r="571" customFormat="1" ht="15.75" customHeight="1" spans="7:7">
      <c r="G571" s="13"/>
    </row>
    <row r="572" customFormat="1" ht="15.75" customHeight="1" spans="7:7">
      <c r="G572" s="13"/>
    </row>
    <row r="573" customFormat="1" ht="15.75" customHeight="1" spans="7:7">
      <c r="G573" s="13"/>
    </row>
    <row r="574" customFormat="1" ht="15.75" customHeight="1" spans="7:7">
      <c r="G574" s="13"/>
    </row>
    <row r="575" customFormat="1" ht="15.75" customHeight="1" spans="7:7">
      <c r="G575" s="13"/>
    </row>
    <row r="576" customFormat="1" ht="15.75" customHeight="1" spans="7:7">
      <c r="G576" s="13"/>
    </row>
    <row r="577" customFormat="1" ht="15.75" customHeight="1" spans="7:7">
      <c r="G577" s="13"/>
    </row>
    <row r="578" customFormat="1" ht="15.75" customHeight="1" spans="7:7">
      <c r="G578" s="13"/>
    </row>
    <row r="579" customFormat="1" ht="15.75" customHeight="1" spans="7:7">
      <c r="G579" s="13"/>
    </row>
    <row r="580" customFormat="1" ht="15.75" customHeight="1" spans="7:7">
      <c r="G580" s="13"/>
    </row>
    <row r="581" customFormat="1" ht="15.75" customHeight="1" spans="7:7">
      <c r="G581" s="13"/>
    </row>
    <row r="582" customFormat="1" ht="15.75" customHeight="1" spans="7:7">
      <c r="G582" s="13"/>
    </row>
    <row r="583" customFormat="1" ht="15.75" customHeight="1" spans="7:7">
      <c r="G583" s="13"/>
    </row>
    <row r="584" customFormat="1" ht="15.75" customHeight="1" spans="7:7">
      <c r="G584" s="13"/>
    </row>
    <row r="585" customFormat="1" ht="15.75" customHeight="1" spans="7:7">
      <c r="G585" s="13"/>
    </row>
    <row r="586" customFormat="1" ht="15.75" customHeight="1" spans="7:7">
      <c r="G586" s="13"/>
    </row>
    <row r="587" customFormat="1" ht="15.75" customHeight="1" spans="7:7">
      <c r="G587" s="13"/>
    </row>
    <row r="588" customFormat="1" ht="15.75" customHeight="1" spans="7:7">
      <c r="G588" s="13"/>
    </row>
    <row r="589" customFormat="1" ht="15.75" customHeight="1" spans="7:7">
      <c r="G589" s="13"/>
    </row>
    <row r="590" customFormat="1" ht="15.75" customHeight="1" spans="7:7">
      <c r="G590" s="13"/>
    </row>
    <row r="591" customFormat="1" ht="15.75" customHeight="1" spans="7:7">
      <c r="G591" s="13"/>
    </row>
    <row r="592" customFormat="1" ht="15.75" customHeight="1" spans="7:7">
      <c r="G592" s="13"/>
    </row>
    <row r="593" customFormat="1" ht="15.75" customHeight="1" spans="7:7">
      <c r="G593" s="13"/>
    </row>
    <row r="594" customFormat="1" ht="15.75" customHeight="1" spans="7:7">
      <c r="G594" s="13"/>
    </row>
    <row r="595" customFormat="1" ht="15.75" customHeight="1" spans="7:7">
      <c r="G595" s="13"/>
    </row>
    <row r="596" customFormat="1" ht="15.75" customHeight="1" spans="7:7">
      <c r="G596" s="13"/>
    </row>
    <row r="597" customFormat="1" ht="15.75" customHeight="1" spans="7:7">
      <c r="G597" s="13"/>
    </row>
    <row r="598" customFormat="1" ht="15.75" customHeight="1" spans="7:7">
      <c r="G598" s="13"/>
    </row>
    <row r="599" customFormat="1" ht="15.75" customHeight="1" spans="7:7">
      <c r="G599" s="13"/>
    </row>
    <row r="600" customFormat="1" ht="15.75" customHeight="1" spans="7:7">
      <c r="G600" s="13"/>
    </row>
    <row r="601" customFormat="1" ht="15.75" customHeight="1" spans="7:7">
      <c r="G601" s="13"/>
    </row>
    <row r="602" customFormat="1" ht="15.75" customHeight="1" spans="7:7">
      <c r="G602" s="13"/>
    </row>
    <row r="603" customFormat="1" ht="15.75" customHeight="1" spans="7:7">
      <c r="G603" s="13"/>
    </row>
    <row r="604" customFormat="1" ht="15.75" customHeight="1" spans="7:7">
      <c r="G604" s="13"/>
    </row>
    <row r="605" customFormat="1" ht="15.75" customHeight="1" spans="7:7">
      <c r="G605" s="13"/>
    </row>
    <row r="606" customFormat="1" ht="15.75" customHeight="1" spans="7:7">
      <c r="G606" s="13"/>
    </row>
    <row r="607" customFormat="1" ht="15.75" customHeight="1" spans="7:7">
      <c r="G607" s="13"/>
    </row>
    <row r="608" customFormat="1" ht="15.75" customHeight="1" spans="7:7">
      <c r="G608" s="13"/>
    </row>
    <row r="609" customFormat="1" ht="15.75" customHeight="1" spans="7:7">
      <c r="G609" s="13"/>
    </row>
    <row r="610" customFormat="1" ht="15.75" customHeight="1" spans="7:7">
      <c r="G610" s="13"/>
    </row>
    <row r="611" customFormat="1" ht="15.75" customHeight="1" spans="7:7">
      <c r="G611" s="13"/>
    </row>
    <row r="612" customFormat="1" ht="15.75" customHeight="1" spans="7:7">
      <c r="G612" s="13"/>
    </row>
    <row r="613" customFormat="1" ht="15.75" customHeight="1" spans="7:7">
      <c r="G613" s="13"/>
    </row>
    <row r="614" customFormat="1" ht="15.75" customHeight="1" spans="7:7">
      <c r="G614" s="13"/>
    </row>
    <row r="615" customFormat="1" ht="15.75" customHeight="1" spans="7:7">
      <c r="G615" s="13"/>
    </row>
    <row r="616" customFormat="1" ht="15.75" customHeight="1" spans="7:7">
      <c r="G616" s="13"/>
    </row>
    <row r="617" customFormat="1" ht="15.75" customHeight="1" spans="7:7">
      <c r="G617" s="13"/>
    </row>
    <row r="618" customFormat="1" ht="15.75" customHeight="1" spans="7:7">
      <c r="G618" s="13"/>
    </row>
    <row r="619" customFormat="1" ht="15.75" customHeight="1" spans="7:7">
      <c r="G619" s="13"/>
    </row>
    <row r="620" customFormat="1" ht="15.75" customHeight="1" spans="7:7">
      <c r="G620" s="13"/>
    </row>
    <row r="621" customFormat="1" ht="15.75" customHeight="1" spans="7:7">
      <c r="G621" s="13"/>
    </row>
    <row r="622" customFormat="1" ht="15.75" customHeight="1" spans="7:7">
      <c r="G622" s="13"/>
    </row>
    <row r="623" customFormat="1" ht="15.75" customHeight="1" spans="7:7">
      <c r="G623" s="13"/>
    </row>
    <row r="624" customFormat="1" ht="15.75" customHeight="1" spans="7:7">
      <c r="G624" s="13"/>
    </row>
    <row r="625" customFormat="1" ht="15.75" customHeight="1" spans="7:7">
      <c r="G625" s="13"/>
    </row>
    <row r="626" customFormat="1" ht="15.75" customHeight="1" spans="7:7">
      <c r="G626" s="13"/>
    </row>
    <row r="627" customFormat="1" ht="15.75" customHeight="1" spans="7:7">
      <c r="G627" s="13"/>
    </row>
    <row r="628" customFormat="1" ht="15.75" customHeight="1" spans="7:7">
      <c r="G628" s="13"/>
    </row>
    <row r="629" customFormat="1" ht="15.75" customHeight="1" spans="7:7">
      <c r="G629" s="13"/>
    </row>
    <row r="630" customFormat="1" ht="15.75" customHeight="1" spans="7:7">
      <c r="G630" s="13"/>
    </row>
    <row r="631" customFormat="1" ht="15.75" customHeight="1" spans="7:7">
      <c r="G631" s="13"/>
    </row>
    <row r="632" customFormat="1" ht="15.75" customHeight="1" spans="7:7">
      <c r="G632" s="13"/>
    </row>
    <row r="633" customFormat="1" ht="15.75" customHeight="1" spans="7:7">
      <c r="G633" s="13"/>
    </row>
    <row r="634" customFormat="1" ht="15.75" customHeight="1" spans="7:7">
      <c r="G634" s="13"/>
    </row>
    <row r="635" customFormat="1" ht="15.75" customHeight="1" spans="7:7">
      <c r="G635" s="13"/>
    </row>
    <row r="636" customFormat="1" ht="15.75" customHeight="1" spans="7:7">
      <c r="G636" s="13"/>
    </row>
    <row r="637" customFormat="1" ht="15.75" customHeight="1" spans="7:7">
      <c r="G637" s="13"/>
    </row>
    <row r="638" customFormat="1" ht="15.75" customHeight="1" spans="7:7">
      <c r="G638" s="13"/>
    </row>
    <row r="639" customFormat="1" ht="15.75" customHeight="1" spans="7:7">
      <c r="G639" s="13"/>
    </row>
    <row r="640" customFormat="1" ht="15.75" customHeight="1" spans="7:7">
      <c r="G640" s="13"/>
    </row>
    <row r="641" customFormat="1" ht="15.75" customHeight="1" spans="7:7">
      <c r="G641" s="13"/>
    </row>
    <row r="642" customFormat="1" ht="15.75" customHeight="1" spans="7:7">
      <c r="G642" s="13"/>
    </row>
    <row r="643" customFormat="1" ht="15.75" customHeight="1" spans="7:7">
      <c r="G643" s="13"/>
    </row>
    <row r="644" customFormat="1" ht="15.75" customHeight="1" spans="7:7">
      <c r="G644" s="13"/>
    </row>
    <row r="645" customFormat="1" ht="15.75" customHeight="1" spans="7:7">
      <c r="G645" s="13"/>
    </row>
    <row r="646" customFormat="1" ht="15.75" customHeight="1" spans="7:7">
      <c r="G646" s="13"/>
    </row>
    <row r="647" customFormat="1" ht="15.75" customHeight="1" spans="7:7">
      <c r="G647" s="13"/>
    </row>
    <row r="648" customFormat="1" ht="15.75" customHeight="1" spans="7:7">
      <c r="G648" s="13"/>
    </row>
    <row r="649" customFormat="1" ht="15.75" customHeight="1" spans="7:7">
      <c r="G649" s="13"/>
    </row>
    <row r="650" customFormat="1" ht="15.75" customHeight="1" spans="7:7">
      <c r="G650" s="13"/>
    </row>
    <row r="651" customFormat="1" ht="15.75" customHeight="1" spans="7:7">
      <c r="G651" s="13"/>
    </row>
    <row r="652" customFormat="1" ht="15.75" customHeight="1" spans="7:7">
      <c r="G652" s="13"/>
    </row>
    <row r="653" customFormat="1" ht="15.75" customHeight="1" spans="7:7">
      <c r="G653" s="13"/>
    </row>
    <row r="654" customFormat="1" ht="15.75" customHeight="1" spans="7:7">
      <c r="G654" s="13"/>
    </row>
    <row r="655" customFormat="1" ht="15.75" customHeight="1" spans="7:7">
      <c r="G655" s="13"/>
    </row>
    <row r="656" customFormat="1" ht="15.75" customHeight="1" spans="7:7">
      <c r="G656" s="13"/>
    </row>
    <row r="657" customFormat="1" ht="15.75" customHeight="1" spans="7:7">
      <c r="G657" s="13"/>
    </row>
    <row r="658" customFormat="1" ht="15.75" customHeight="1" spans="7:7">
      <c r="G658" s="13"/>
    </row>
    <row r="659" customFormat="1" ht="15.75" customHeight="1" spans="7:7">
      <c r="G659" s="13"/>
    </row>
    <row r="660" customFormat="1" ht="15.75" customHeight="1" spans="7:7">
      <c r="G660" s="13"/>
    </row>
    <row r="661" customFormat="1" ht="15.75" customHeight="1" spans="7:7">
      <c r="G661" s="13"/>
    </row>
    <row r="662" customFormat="1" ht="15.75" customHeight="1" spans="7:7">
      <c r="G662" s="13"/>
    </row>
    <row r="663" customFormat="1" ht="15.75" customHeight="1" spans="7:7">
      <c r="G663" s="13"/>
    </row>
    <row r="664" customFormat="1" ht="15.75" customHeight="1" spans="7:7">
      <c r="G664" s="13"/>
    </row>
    <row r="665" customFormat="1" ht="15.75" customHeight="1" spans="7:7">
      <c r="G665" s="13"/>
    </row>
    <row r="666" customFormat="1" ht="15.75" customHeight="1" spans="7:7">
      <c r="G666" s="13"/>
    </row>
    <row r="667" customFormat="1" ht="15.75" customHeight="1" spans="7:7">
      <c r="G667" s="13"/>
    </row>
    <row r="668" customFormat="1" ht="15.75" customHeight="1" spans="7:7">
      <c r="G668" s="13"/>
    </row>
    <row r="669" customFormat="1" ht="15.75" customHeight="1" spans="7:7">
      <c r="G669" s="13"/>
    </row>
    <row r="670" customFormat="1" ht="15.75" customHeight="1" spans="7:7">
      <c r="G670" s="13"/>
    </row>
    <row r="671" customFormat="1" ht="15.75" customHeight="1" spans="7:7">
      <c r="G671" s="13"/>
    </row>
    <row r="672" customFormat="1" ht="15.75" customHeight="1" spans="7:7">
      <c r="G672" s="13"/>
    </row>
    <row r="673" customFormat="1" ht="15.75" customHeight="1" spans="7:7">
      <c r="G673" s="13"/>
    </row>
    <row r="674" customFormat="1" ht="15.75" customHeight="1" spans="7:7">
      <c r="G674" s="13"/>
    </row>
    <row r="675" customFormat="1" ht="15.75" customHeight="1" spans="7:7">
      <c r="G675" s="13"/>
    </row>
    <row r="676" customFormat="1" ht="15.75" customHeight="1" spans="7:7">
      <c r="G676" s="13"/>
    </row>
    <row r="677" customFormat="1" ht="15.75" customHeight="1" spans="7:7">
      <c r="G677" s="13"/>
    </row>
    <row r="678" customFormat="1" ht="15.75" customHeight="1" spans="7:7">
      <c r="G678" s="13"/>
    </row>
    <row r="679" customFormat="1" ht="15.75" customHeight="1" spans="7:7">
      <c r="G679" s="13"/>
    </row>
    <row r="680" customFormat="1" ht="15.75" customHeight="1" spans="7:7">
      <c r="G680" s="13"/>
    </row>
    <row r="681" customFormat="1" ht="15.75" customHeight="1" spans="7:7">
      <c r="G681" s="13"/>
    </row>
    <row r="682" customFormat="1" ht="15.75" customHeight="1" spans="7:7">
      <c r="G682" s="13"/>
    </row>
    <row r="683" customFormat="1" ht="15.75" customHeight="1" spans="7:7">
      <c r="G683" s="13"/>
    </row>
    <row r="684" customFormat="1" ht="15.75" customHeight="1" spans="7:7">
      <c r="G684" s="13"/>
    </row>
    <row r="685" customFormat="1" ht="15.75" customHeight="1" spans="7:7">
      <c r="G685" s="13"/>
    </row>
    <row r="686" customFormat="1" ht="15.75" customHeight="1" spans="7:7">
      <c r="G686" s="13"/>
    </row>
    <row r="687" customFormat="1" ht="15.75" customHeight="1" spans="7:7">
      <c r="G687" s="13"/>
    </row>
    <row r="688" customFormat="1" ht="15.75" customHeight="1" spans="7:7">
      <c r="G688" s="13"/>
    </row>
    <row r="689" customFormat="1" ht="15.75" customHeight="1" spans="7:7">
      <c r="G689" s="13"/>
    </row>
    <row r="690" customFormat="1" ht="15.75" customHeight="1" spans="7:7">
      <c r="G690" s="13"/>
    </row>
    <row r="691" customFormat="1" ht="15.75" customHeight="1" spans="7:7">
      <c r="G691" s="13"/>
    </row>
    <row r="692" customFormat="1" ht="15.75" customHeight="1" spans="7:7">
      <c r="G692" s="13"/>
    </row>
    <row r="693" customFormat="1" ht="15.75" customHeight="1" spans="7:7">
      <c r="G693" s="13"/>
    </row>
    <row r="694" customFormat="1" ht="15.75" customHeight="1" spans="7:7">
      <c r="G694" s="13"/>
    </row>
    <row r="695" customFormat="1" ht="15.75" customHeight="1" spans="7:7">
      <c r="G695" s="13"/>
    </row>
    <row r="696" customFormat="1" ht="15.75" customHeight="1" spans="7:7">
      <c r="G696" s="13"/>
    </row>
    <row r="697" customFormat="1" ht="15.75" customHeight="1" spans="7:7">
      <c r="G697" s="13"/>
    </row>
    <row r="698" customFormat="1" ht="15.75" customHeight="1" spans="7:7">
      <c r="G698" s="13"/>
    </row>
    <row r="699" customFormat="1" ht="15.75" customHeight="1" spans="7:7">
      <c r="G699" s="13"/>
    </row>
    <row r="700" customFormat="1" ht="15.75" customHeight="1" spans="7:7">
      <c r="G700" s="13"/>
    </row>
    <row r="701" customFormat="1" ht="15.75" customHeight="1" spans="7:7">
      <c r="G701" s="13"/>
    </row>
    <row r="702" customFormat="1" ht="15.75" customHeight="1" spans="7:7">
      <c r="G702" s="13"/>
    </row>
    <row r="703" customFormat="1" ht="15.75" customHeight="1" spans="7:7">
      <c r="G703" s="13"/>
    </row>
    <row r="704" customFormat="1" ht="15.75" customHeight="1" spans="7:7">
      <c r="G704" s="13"/>
    </row>
    <row r="705" customFormat="1" ht="15.75" customHeight="1" spans="7:7">
      <c r="G705" s="13"/>
    </row>
    <row r="706" customFormat="1" ht="15.75" customHeight="1" spans="7:7">
      <c r="G706" s="13"/>
    </row>
    <row r="707" customFormat="1" ht="15.75" customHeight="1" spans="7:7">
      <c r="G707" s="13"/>
    </row>
    <row r="708" customFormat="1" ht="15.75" customHeight="1" spans="7:7">
      <c r="G708" s="13"/>
    </row>
    <row r="709" customFormat="1" ht="15.75" customHeight="1" spans="7:7">
      <c r="G709" s="13"/>
    </row>
    <row r="710" customFormat="1" ht="15.75" customHeight="1" spans="7:7">
      <c r="G710" s="13"/>
    </row>
    <row r="711" customFormat="1" ht="15.75" customHeight="1" spans="7:7">
      <c r="G711" s="13"/>
    </row>
    <row r="712" customFormat="1" ht="15.75" customHeight="1" spans="7:7">
      <c r="G712" s="13"/>
    </row>
    <row r="713" customFormat="1" ht="15.75" customHeight="1" spans="7:7">
      <c r="G713" s="13"/>
    </row>
    <row r="714" customFormat="1" ht="15.75" customHeight="1" spans="7:7">
      <c r="G714" s="13"/>
    </row>
    <row r="715" customFormat="1" ht="15.75" customHeight="1" spans="7:7">
      <c r="G715" s="13"/>
    </row>
    <row r="716" customFormat="1" ht="15.75" customHeight="1" spans="7:7">
      <c r="G716" s="13"/>
    </row>
    <row r="717" customFormat="1" ht="15.75" customHeight="1" spans="7:7">
      <c r="G717" s="13"/>
    </row>
    <row r="718" customFormat="1" ht="15.75" customHeight="1" spans="7:7">
      <c r="G718" s="13"/>
    </row>
    <row r="719" customFormat="1" ht="15.75" customHeight="1" spans="7:7">
      <c r="G719" s="13"/>
    </row>
    <row r="720" customFormat="1" ht="15.75" customHeight="1" spans="7:7">
      <c r="G720" s="13"/>
    </row>
    <row r="721" customFormat="1" ht="15.75" customHeight="1" spans="7:7">
      <c r="G721" s="13"/>
    </row>
    <row r="722" customFormat="1" ht="15.75" customHeight="1" spans="7:7">
      <c r="G722" s="13"/>
    </row>
    <row r="723" customFormat="1" ht="15.75" customHeight="1" spans="7:7">
      <c r="G723" s="13"/>
    </row>
    <row r="724" customFormat="1" ht="15.75" customHeight="1" spans="7:7">
      <c r="G724" s="13"/>
    </row>
    <row r="725" customFormat="1" ht="15.75" customHeight="1" spans="7:7">
      <c r="G725" s="13"/>
    </row>
    <row r="726" customFormat="1" ht="15.75" customHeight="1" spans="7:7">
      <c r="G726" s="13"/>
    </row>
    <row r="727" customFormat="1" ht="15.75" customHeight="1" spans="7:7">
      <c r="G727" s="13"/>
    </row>
    <row r="728" customFormat="1" ht="15.75" customHeight="1" spans="7:7">
      <c r="G728" s="13"/>
    </row>
    <row r="729" customFormat="1" ht="15.75" customHeight="1" spans="7:7">
      <c r="G729" s="13"/>
    </row>
    <row r="730" customFormat="1" ht="15.75" customHeight="1" spans="7:7">
      <c r="G730" s="13"/>
    </row>
    <row r="731" customFormat="1" ht="15.75" customHeight="1" spans="7:7">
      <c r="G731" s="13"/>
    </row>
    <row r="732" customFormat="1" ht="15.75" customHeight="1" spans="7:7">
      <c r="G732" s="13"/>
    </row>
    <row r="733" customFormat="1" ht="15.75" customHeight="1" spans="7:7">
      <c r="G733" s="13"/>
    </row>
    <row r="734" customFormat="1" ht="15.75" customHeight="1" spans="7:7">
      <c r="G734" s="13"/>
    </row>
    <row r="735" customFormat="1" ht="15.75" customHeight="1" spans="7:7">
      <c r="G735" s="13"/>
    </row>
    <row r="736" customFormat="1" ht="15.75" customHeight="1" spans="7:7">
      <c r="G736" s="13"/>
    </row>
    <row r="737" customFormat="1" ht="15.75" customHeight="1" spans="7:7">
      <c r="G737" s="13"/>
    </row>
    <row r="738" customFormat="1" ht="15.75" customHeight="1" spans="7:7">
      <c r="G738" s="13"/>
    </row>
    <row r="739" customFormat="1" ht="15.75" customHeight="1" spans="7:7">
      <c r="G739" s="13"/>
    </row>
    <row r="740" customFormat="1" ht="15.75" customHeight="1" spans="7:7">
      <c r="G740" s="13"/>
    </row>
    <row r="741" customFormat="1" ht="15.75" customHeight="1" spans="7:7">
      <c r="G741" s="13"/>
    </row>
    <row r="742" customFormat="1" ht="15.75" customHeight="1" spans="7:7">
      <c r="G742" s="13"/>
    </row>
    <row r="743" customFormat="1" ht="15.75" customHeight="1" spans="7:7">
      <c r="G743" s="13"/>
    </row>
    <row r="744" customFormat="1" ht="15.75" customHeight="1" spans="7:7">
      <c r="G744" s="13"/>
    </row>
    <row r="745" customFormat="1" ht="15.75" customHeight="1" spans="7:7">
      <c r="G745" s="13"/>
    </row>
    <row r="746" customFormat="1" ht="15.75" customHeight="1" spans="7:7">
      <c r="G746" s="13"/>
    </row>
    <row r="747" customFormat="1" ht="15.75" customHeight="1" spans="7:7">
      <c r="G747" s="13"/>
    </row>
    <row r="748" customFormat="1" ht="15.75" customHeight="1" spans="7:7">
      <c r="G748" s="13"/>
    </row>
    <row r="749" customFormat="1" ht="15.75" customHeight="1" spans="7:7">
      <c r="G749" s="13"/>
    </row>
    <row r="750" customFormat="1" ht="15.75" customHeight="1" spans="7:7">
      <c r="G750" s="13"/>
    </row>
    <row r="751" customFormat="1" ht="15.75" customHeight="1" spans="7:7">
      <c r="G751" s="13"/>
    </row>
    <row r="752" customFormat="1" ht="15.75" customHeight="1" spans="7:7">
      <c r="G752" s="13"/>
    </row>
    <row r="753" customFormat="1" ht="15.75" customHeight="1" spans="7:7">
      <c r="G753" s="13"/>
    </row>
    <row r="754" customFormat="1" ht="15.75" customHeight="1" spans="7:7">
      <c r="G754" s="13"/>
    </row>
    <row r="755" customFormat="1" ht="15.75" customHeight="1" spans="7:7">
      <c r="G755" s="13"/>
    </row>
    <row r="756" customFormat="1" ht="15.75" customHeight="1" spans="7:7">
      <c r="G756" s="13"/>
    </row>
    <row r="757" customFormat="1" ht="15.75" customHeight="1" spans="7:7">
      <c r="G757" s="13"/>
    </row>
    <row r="758" customFormat="1" ht="15.75" customHeight="1" spans="7:7">
      <c r="G758" s="13"/>
    </row>
    <row r="759" customFormat="1" ht="15.75" customHeight="1" spans="7:7">
      <c r="G759" s="13"/>
    </row>
    <row r="760" customFormat="1" ht="15.75" customHeight="1" spans="7:7">
      <c r="G760" s="13"/>
    </row>
    <row r="761" customFormat="1" ht="15.75" customHeight="1" spans="7:7">
      <c r="G761" s="13"/>
    </row>
    <row r="762" customFormat="1" ht="15.75" customHeight="1" spans="7:7">
      <c r="G762" s="13"/>
    </row>
    <row r="763" customFormat="1" ht="15.75" customHeight="1" spans="7:7">
      <c r="G763" s="13"/>
    </row>
    <row r="764" customFormat="1" ht="15.75" customHeight="1" spans="7:7">
      <c r="G764" s="13"/>
    </row>
    <row r="765" customFormat="1" ht="15.75" customHeight="1" spans="7:7">
      <c r="G765" s="13"/>
    </row>
    <row r="766" customFormat="1" ht="15.75" customHeight="1" spans="7:7">
      <c r="G766" s="13"/>
    </row>
    <row r="767" customFormat="1" ht="15.75" customHeight="1" spans="7:7">
      <c r="G767" s="13"/>
    </row>
    <row r="768" customFormat="1" ht="15.75" customHeight="1" spans="7:7">
      <c r="G768" s="13"/>
    </row>
    <row r="769" customFormat="1" ht="15.75" customHeight="1" spans="7:7">
      <c r="G769" s="13"/>
    </row>
    <row r="770" customFormat="1" ht="15.75" customHeight="1" spans="7:7">
      <c r="G770" s="13"/>
    </row>
    <row r="771" customFormat="1" ht="15.75" customHeight="1" spans="7:7">
      <c r="G771" s="13"/>
    </row>
    <row r="772" customFormat="1" ht="15.75" customHeight="1" spans="7:7">
      <c r="G772" s="13"/>
    </row>
    <row r="773" customFormat="1" ht="15.75" customHeight="1" spans="7:7">
      <c r="G773" s="13"/>
    </row>
    <row r="774" customFormat="1" ht="15.75" customHeight="1" spans="7:7">
      <c r="G774" s="13"/>
    </row>
    <row r="775" customFormat="1" ht="15.75" customHeight="1" spans="7:7">
      <c r="G775" s="13"/>
    </row>
    <row r="776" customFormat="1" ht="15.75" customHeight="1" spans="7:7">
      <c r="G776" s="13"/>
    </row>
    <row r="777" customFormat="1" ht="15.75" customHeight="1" spans="7:7">
      <c r="G777" s="13"/>
    </row>
    <row r="778" customFormat="1" ht="15.75" customHeight="1" spans="7:7">
      <c r="G778" s="13"/>
    </row>
    <row r="779" customFormat="1" ht="15.75" customHeight="1" spans="7:7">
      <c r="G779" s="13"/>
    </row>
    <row r="780" customFormat="1" ht="15.75" customHeight="1" spans="7:7">
      <c r="G780" s="13"/>
    </row>
    <row r="781" customFormat="1" ht="15.75" customHeight="1" spans="7:7">
      <c r="G781" s="13"/>
    </row>
    <row r="782" customFormat="1" ht="15.75" customHeight="1" spans="7:7">
      <c r="G782" s="13"/>
    </row>
    <row r="783" customFormat="1" ht="15.75" customHeight="1" spans="7:7">
      <c r="G783" s="13"/>
    </row>
    <row r="784" customFormat="1" ht="15.75" customHeight="1" spans="7:7">
      <c r="G784" s="13"/>
    </row>
    <row r="785" customFormat="1" ht="15.75" customHeight="1" spans="7:7">
      <c r="G785" s="13"/>
    </row>
    <row r="786" customFormat="1" ht="15.75" customHeight="1" spans="7:7">
      <c r="G786" s="13"/>
    </row>
    <row r="787" customFormat="1" ht="15.75" customHeight="1" spans="7:7">
      <c r="G787" s="13"/>
    </row>
    <row r="788" customFormat="1" ht="15.75" customHeight="1" spans="7:7">
      <c r="G788" s="13"/>
    </row>
    <row r="789" customFormat="1" ht="15.75" customHeight="1" spans="7:7">
      <c r="G789" s="13"/>
    </row>
    <row r="790" customFormat="1" ht="15.75" customHeight="1" spans="7:7">
      <c r="G790" s="13"/>
    </row>
    <row r="791" customFormat="1" ht="15.75" customHeight="1" spans="7:7">
      <c r="G791" s="13"/>
    </row>
    <row r="792" customFormat="1" ht="15.75" customHeight="1" spans="7:7">
      <c r="G792" s="13"/>
    </row>
    <row r="793" customFormat="1" ht="15.75" customHeight="1" spans="7:7">
      <c r="G793" s="13"/>
    </row>
    <row r="794" customFormat="1" ht="15.75" customHeight="1" spans="7:7">
      <c r="G794" s="13"/>
    </row>
    <row r="795" customFormat="1" ht="15.75" customHeight="1" spans="7:7">
      <c r="G795" s="13"/>
    </row>
    <row r="796" customFormat="1" ht="15.75" customHeight="1" spans="7:7">
      <c r="G796" s="13"/>
    </row>
    <row r="797" customFormat="1" ht="15.75" customHeight="1" spans="7:7">
      <c r="G797" s="13"/>
    </row>
    <row r="798" customFormat="1" ht="15.75" customHeight="1" spans="7:7">
      <c r="G798" s="13"/>
    </row>
    <row r="799" customFormat="1" ht="15.75" customHeight="1" spans="7:7">
      <c r="G799" s="13"/>
    </row>
    <row r="800" customFormat="1" ht="15.75" customHeight="1" spans="7:7">
      <c r="G800" s="13"/>
    </row>
    <row r="801" customFormat="1" ht="15.75" customHeight="1" spans="7:7">
      <c r="G801" s="13"/>
    </row>
    <row r="802" customFormat="1" ht="15.75" customHeight="1" spans="7:7">
      <c r="G802" s="13"/>
    </row>
    <row r="803" customFormat="1" ht="15.75" customHeight="1" spans="7:7">
      <c r="G803" s="13"/>
    </row>
    <row r="804" customFormat="1" ht="15.75" customHeight="1" spans="7:7">
      <c r="G804" s="13"/>
    </row>
    <row r="805" customFormat="1" ht="15.75" customHeight="1" spans="7:7">
      <c r="G805" s="13"/>
    </row>
    <row r="806" customFormat="1" ht="15.75" customHeight="1" spans="7:7">
      <c r="G806" s="13"/>
    </row>
    <row r="807" customFormat="1" ht="15.75" customHeight="1" spans="7:7">
      <c r="G807" s="13"/>
    </row>
    <row r="808" customFormat="1" ht="15.75" customHeight="1" spans="7:7">
      <c r="G808" s="13"/>
    </row>
    <row r="809" customFormat="1" ht="15.75" customHeight="1" spans="7:7">
      <c r="G809" s="13"/>
    </row>
    <row r="810" customFormat="1" ht="15.75" customHeight="1" spans="7:7">
      <c r="G810" s="13"/>
    </row>
    <row r="811" customFormat="1" ht="15.75" customHeight="1" spans="7:7">
      <c r="G811" s="13"/>
    </row>
    <row r="812" customFormat="1" ht="15.75" customHeight="1" spans="7:7">
      <c r="G812" s="13"/>
    </row>
    <row r="813" customFormat="1" ht="15.75" customHeight="1" spans="7:7">
      <c r="G813" s="13"/>
    </row>
    <row r="814" customFormat="1" ht="15.75" customHeight="1" spans="7:7">
      <c r="G814" s="13"/>
    </row>
    <row r="815" customFormat="1" ht="15.75" customHeight="1" spans="7:7">
      <c r="G815" s="13"/>
    </row>
    <row r="816" customFormat="1" ht="15.75" customHeight="1" spans="7:7">
      <c r="G816" s="13"/>
    </row>
    <row r="817" customFormat="1" ht="15.75" customHeight="1" spans="7:7">
      <c r="G817" s="13"/>
    </row>
    <row r="818" customFormat="1" ht="15.75" customHeight="1" spans="7:7">
      <c r="G818" s="13"/>
    </row>
    <row r="819" customFormat="1" ht="15.75" customHeight="1" spans="7:7">
      <c r="G819" s="13"/>
    </row>
    <row r="820" customFormat="1" ht="15.75" customHeight="1" spans="7:7">
      <c r="G820" s="13"/>
    </row>
    <row r="821" customFormat="1" ht="15.75" customHeight="1" spans="7:7">
      <c r="G821" s="13"/>
    </row>
    <row r="822" customFormat="1" ht="15.75" customHeight="1" spans="7:7">
      <c r="G822" s="13"/>
    </row>
    <row r="823" customFormat="1" ht="15.75" customHeight="1" spans="7:7">
      <c r="G823" s="13"/>
    </row>
    <row r="824" customFormat="1" ht="15.75" customHeight="1" spans="7:7">
      <c r="G824" s="13"/>
    </row>
    <row r="825" customFormat="1" ht="15.75" customHeight="1" spans="7:7">
      <c r="G825" s="13"/>
    </row>
    <row r="826" customFormat="1" ht="15.75" customHeight="1" spans="7:7">
      <c r="G826" s="13"/>
    </row>
    <row r="827" customFormat="1" ht="15.75" customHeight="1" spans="7:7">
      <c r="G827" s="13"/>
    </row>
    <row r="828" customFormat="1" ht="15.75" customHeight="1" spans="7:7">
      <c r="G828" s="13"/>
    </row>
    <row r="829" customFormat="1" ht="15.75" customHeight="1" spans="7:7">
      <c r="G829" s="13"/>
    </row>
    <row r="830" customFormat="1" ht="15.75" customHeight="1" spans="7:7">
      <c r="G830" s="13"/>
    </row>
    <row r="831" customFormat="1" ht="15.75" customHeight="1" spans="7:7">
      <c r="G831" s="13"/>
    </row>
    <row r="832" customFormat="1" ht="15.75" customHeight="1" spans="7:7">
      <c r="G832" s="13"/>
    </row>
    <row r="833" customFormat="1" ht="15.75" customHeight="1" spans="7:7">
      <c r="G833" s="13"/>
    </row>
    <row r="834" customFormat="1" ht="15.75" customHeight="1" spans="7:7">
      <c r="G834" s="13"/>
    </row>
    <row r="835" customFormat="1" ht="15.75" customHeight="1" spans="7:7">
      <c r="G835" s="13"/>
    </row>
    <row r="836" customFormat="1" ht="15.75" customHeight="1" spans="7:7">
      <c r="G836" s="13"/>
    </row>
    <row r="837" customFormat="1" ht="15.75" customHeight="1" spans="7:7">
      <c r="G837" s="13"/>
    </row>
    <row r="838" customFormat="1" ht="15.75" customHeight="1" spans="7:7">
      <c r="G838" s="13"/>
    </row>
    <row r="839" customFormat="1" ht="15.75" customHeight="1" spans="7:7">
      <c r="G839" s="13"/>
    </row>
    <row r="840" customFormat="1" ht="15.75" customHeight="1" spans="7:7">
      <c r="G840" s="13"/>
    </row>
    <row r="841" customFormat="1" ht="15.75" customHeight="1" spans="7:7">
      <c r="G841" s="13"/>
    </row>
    <row r="842" customFormat="1" ht="15.75" customHeight="1" spans="7:7">
      <c r="G842" s="13"/>
    </row>
    <row r="843" customFormat="1" ht="15.75" customHeight="1" spans="7:7">
      <c r="G843" s="13"/>
    </row>
    <row r="844" customFormat="1" ht="15.75" customHeight="1" spans="7:7">
      <c r="G844" s="13"/>
    </row>
    <row r="845" customFormat="1" ht="15.75" customHeight="1" spans="7:7">
      <c r="G845" s="13"/>
    </row>
    <row r="846" customFormat="1" ht="15.75" customHeight="1" spans="7:7">
      <c r="G846" s="13"/>
    </row>
    <row r="847" customFormat="1" ht="15.75" customHeight="1" spans="7:7">
      <c r="G847" s="13"/>
    </row>
    <row r="848" customFormat="1" ht="15.75" customHeight="1" spans="7:7">
      <c r="G848" s="13"/>
    </row>
    <row r="849" customFormat="1" ht="15.75" customHeight="1" spans="7:7">
      <c r="G849" s="13"/>
    </row>
    <row r="850" customFormat="1" ht="15.75" customHeight="1" spans="7:7">
      <c r="G850" s="13"/>
    </row>
    <row r="851" customFormat="1" ht="15.75" customHeight="1" spans="7:7">
      <c r="G851" s="13"/>
    </row>
    <row r="852" customFormat="1" ht="15.75" customHeight="1" spans="7:7">
      <c r="G852" s="13"/>
    </row>
    <row r="853" customFormat="1" ht="15.75" customHeight="1" spans="7:7">
      <c r="G853" s="13"/>
    </row>
    <row r="854" customFormat="1" ht="15.75" customHeight="1" spans="7:7">
      <c r="G854" s="13"/>
    </row>
    <row r="855" customFormat="1" ht="15.75" customHeight="1" spans="7:7">
      <c r="G855" s="13"/>
    </row>
    <row r="856" customFormat="1" ht="15.75" customHeight="1" spans="7:7">
      <c r="G856" s="13"/>
    </row>
    <row r="857" customFormat="1" ht="15.75" customHeight="1" spans="7:7">
      <c r="G857" s="13"/>
    </row>
    <row r="858" customFormat="1" ht="15.75" customHeight="1" spans="7:7">
      <c r="G858" s="13"/>
    </row>
    <row r="859" customFormat="1" ht="15.75" customHeight="1" spans="7:7">
      <c r="G859" s="13"/>
    </row>
    <row r="860" customFormat="1" ht="15.75" customHeight="1" spans="7:7">
      <c r="G860" s="13"/>
    </row>
    <row r="861" customFormat="1" ht="15.75" customHeight="1" spans="7:7">
      <c r="G861" s="13"/>
    </row>
    <row r="862" customFormat="1" ht="15.75" customHeight="1" spans="7:7">
      <c r="G862" s="13"/>
    </row>
    <row r="863" customFormat="1" ht="15.75" customHeight="1" spans="7:7">
      <c r="G863" s="13"/>
    </row>
    <row r="864" customFormat="1" ht="15.75" customHeight="1" spans="7:7">
      <c r="G864" s="13"/>
    </row>
    <row r="865" customFormat="1" ht="15.75" customHeight="1" spans="7:7">
      <c r="G865" s="13"/>
    </row>
    <row r="866" customFormat="1" ht="15.75" customHeight="1" spans="7:7">
      <c r="G866" s="13"/>
    </row>
    <row r="867" customFormat="1" ht="15.75" customHeight="1" spans="7:7">
      <c r="G867" s="13"/>
    </row>
    <row r="868" customFormat="1" ht="15.75" customHeight="1" spans="7:7">
      <c r="G868" s="13"/>
    </row>
    <row r="869" customFormat="1" ht="15.75" customHeight="1" spans="7:7">
      <c r="G869" s="13"/>
    </row>
    <row r="870" customFormat="1" ht="15.75" customHeight="1" spans="7:7">
      <c r="G870" s="13"/>
    </row>
    <row r="871" customFormat="1" ht="15.75" customHeight="1" spans="7:7">
      <c r="G871" s="13"/>
    </row>
    <row r="872" customFormat="1" ht="15.75" customHeight="1" spans="7:7">
      <c r="G872" s="13"/>
    </row>
    <row r="873" customFormat="1" ht="15.75" customHeight="1" spans="7:7">
      <c r="G873" s="13"/>
    </row>
    <row r="874" customFormat="1" ht="15.75" customHeight="1" spans="7:7">
      <c r="G874" s="13"/>
    </row>
    <row r="875" customFormat="1" ht="15.75" customHeight="1" spans="7:7">
      <c r="G875" s="13"/>
    </row>
    <row r="876" customFormat="1" ht="15.75" customHeight="1" spans="7:7">
      <c r="G876" s="13"/>
    </row>
    <row r="877" customFormat="1" ht="15.75" customHeight="1" spans="7:7">
      <c r="G877" s="13"/>
    </row>
    <row r="878" customFormat="1" ht="15.75" customHeight="1" spans="7:7">
      <c r="G878" s="13"/>
    </row>
    <row r="879" customFormat="1" ht="15.75" customHeight="1" spans="7:7">
      <c r="G879" s="13"/>
    </row>
    <row r="880" customFormat="1" ht="15.75" customHeight="1" spans="7:7">
      <c r="G880" s="13"/>
    </row>
    <row r="881" customFormat="1" ht="15.75" customHeight="1" spans="7:7">
      <c r="G881" s="13"/>
    </row>
    <row r="882" customFormat="1" ht="15.75" customHeight="1" spans="7:7">
      <c r="G882" s="13"/>
    </row>
    <row r="883" customFormat="1" ht="15.75" customHeight="1" spans="7:7">
      <c r="G883" s="13"/>
    </row>
    <row r="884" customFormat="1" ht="15.75" customHeight="1" spans="7:7">
      <c r="G884" s="13"/>
    </row>
    <row r="885" customFormat="1" ht="15.75" customHeight="1" spans="7:7">
      <c r="G885" s="13"/>
    </row>
    <row r="886" customFormat="1" ht="15.75" customHeight="1" spans="7:7">
      <c r="G886" s="13"/>
    </row>
    <row r="887" customFormat="1" ht="15.75" customHeight="1" spans="7:7">
      <c r="G887" s="13"/>
    </row>
    <row r="888" customFormat="1" ht="15.75" customHeight="1" spans="7:7">
      <c r="G888" s="13"/>
    </row>
    <row r="889" customFormat="1" ht="15.75" customHeight="1" spans="7:7">
      <c r="G889" s="13"/>
    </row>
    <row r="890" customFormat="1" ht="15.75" customHeight="1" spans="7:7">
      <c r="G890" s="13"/>
    </row>
    <row r="891" customFormat="1" ht="15.75" customHeight="1" spans="7:7">
      <c r="G891" s="13"/>
    </row>
    <row r="892" customFormat="1" ht="15.75" customHeight="1" spans="7:7">
      <c r="G892" s="13"/>
    </row>
    <row r="893" customFormat="1" ht="15.75" customHeight="1" spans="7:7">
      <c r="G893" s="13"/>
    </row>
    <row r="894" customFormat="1" ht="15.75" customHeight="1" spans="7:7">
      <c r="G894" s="13"/>
    </row>
    <row r="895" customFormat="1" ht="15.75" customHeight="1" spans="7:7">
      <c r="G895" s="13"/>
    </row>
    <row r="896" customFormat="1" ht="15.75" customHeight="1" spans="7:7">
      <c r="G896" s="13"/>
    </row>
    <row r="897" customFormat="1" ht="15.75" customHeight="1" spans="7:7">
      <c r="G897" s="13"/>
    </row>
    <row r="898" customFormat="1" ht="15.75" customHeight="1" spans="7:7">
      <c r="G898" s="13"/>
    </row>
    <row r="899" customFormat="1" ht="15.75" customHeight="1" spans="7:7">
      <c r="G899" s="13"/>
    </row>
    <row r="900" customFormat="1" ht="15.75" customHeight="1" spans="7:7">
      <c r="G900" s="13"/>
    </row>
    <row r="901" customFormat="1" ht="15.75" customHeight="1" spans="7:7">
      <c r="G901" s="13"/>
    </row>
    <row r="902" customFormat="1" ht="15.75" customHeight="1" spans="7:7">
      <c r="G902" s="13"/>
    </row>
    <row r="903" customFormat="1" ht="15.75" customHeight="1" spans="7:7">
      <c r="G903" s="13"/>
    </row>
    <row r="904" customFormat="1" ht="15.75" customHeight="1" spans="7:7">
      <c r="G904" s="13"/>
    </row>
    <row r="905" customFormat="1" ht="15.75" customHeight="1" spans="7:7">
      <c r="G905" s="13"/>
    </row>
    <row r="906" customFormat="1" ht="15.75" customHeight="1" spans="7:7">
      <c r="G906" s="13"/>
    </row>
    <row r="907" customFormat="1" ht="15.75" customHeight="1" spans="7:7">
      <c r="G907" s="13"/>
    </row>
    <row r="908" customFormat="1" ht="15.75" customHeight="1" spans="7:7">
      <c r="G908" s="13"/>
    </row>
    <row r="909" customFormat="1" ht="15.75" customHeight="1" spans="7:7">
      <c r="G909" s="13"/>
    </row>
    <row r="910" customFormat="1" ht="15.75" customHeight="1" spans="7:7">
      <c r="G910" s="13"/>
    </row>
    <row r="911" customFormat="1" ht="15.75" customHeight="1" spans="7:7">
      <c r="G911" s="13"/>
    </row>
    <row r="912" customFormat="1" ht="15.75" customHeight="1" spans="7:7">
      <c r="G912" s="13"/>
    </row>
    <row r="913" customFormat="1" ht="15.75" customHeight="1" spans="7:7">
      <c r="G913" s="13"/>
    </row>
    <row r="914" customFormat="1" ht="15.75" customHeight="1" spans="7:7">
      <c r="G914" s="13"/>
    </row>
    <row r="915" customFormat="1" ht="15.75" customHeight="1" spans="7:7">
      <c r="G915" s="13"/>
    </row>
    <row r="916" customFormat="1" ht="15.75" customHeight="1" spans="7:7">
      <c r="G916" s="13"/>
    </row>
    <row r="917" customFormat="1" ht="15.75" customHeight="1" spans="7:7">
      <c r="G917" s="13"/>
    </row>
    <row r="918" customFormat="1" ht="15.75" customHeight="1" spans="7:7">
      <c r="G918" s="13"/>
    </row>
    <row r="919" customFormat="1" ht="15.75" customHeight="1" spans="7:7">
      <c r="G919" s="13"/>
    </row>
    <row r="920" customFormat="1" ht="15.75" customHeight="1" spans="7:7">
      <c r="G920" s="13"/>
    </row>
    <row r="921" customFormat="1" ht="15.75" customHeight="1" spans="7:7">
      <c r="G921" s="13"/>
    </row>
    <row r="922" customFormat="1" ht="15.75" customHeight="1" spans="7:7">
      <c r="G922" s="13"/>
    </row>
    <row r="923" customFormat="1" ht="15.75" customHeight="1" spans="7:7">
      <c r="G923" s="13"/>
    </row>
    <row r="924" customFormat="1" ht="15.75" customHeight="1" spans="7:7">
      <c r="G924" s="13"/>
    </row>
    <row r="925" customFormat="1" ht="15.75" customHeight="1" spans="7:7">
      <c r="G925" s="13"/>
    </row>
    <row r="926" customFormat="1" ht="15.75" customHeight="1" spans="7:7">
      <c r="G926" s="13"/>
    </row>
    <row r="927" customFormat="1" ht="15.75" customHeight="1" spans="7:7">
      <c r="G927" s="13"/>
    </row>
    <row r="928" customFormat="1" ht="15.75" customHeight="1" spans="7:7">
      <c r="G928" s="13"/>
    </row>
    <row r="929" customFormat="1" ht="15.75" customHeight="1" spans="7:7">
      <c r="G929" s="13"/>
    </row>
    <row r="930" customFormat="1" ht="15.75" customHeight="1" spans="7:7">
      <c r="G930" s="13"/>
    </row>
    <row r="931" customFormat="1" ht="15.75" customHeight="1" spans="7:7">
      <c r="G931" s="13"/>
    </row>
    <row r="932" customFormat="1" ht="15.75" customHeight="1" spans="7:7">
      <c r="G932" s="13"/>
    </row>
    <row r="933" customFormat="1" ht="15.75" customHeight="1" spans="7:7">
      <c r="G933" s="13"/>
    </row>
    <row r="934" customFormat="1" ht="15.75" customHeight="1" spans="7:7">
      <c r="G934" s="13"/>
    </row>
    <row r="935" customFormat="1" ht="15.75" customHeight="1" spans="7:7">
      <c r="G935" s="13"/>
    </row>
    <row r="936" customFormat="1" ht="15.75" customHeight="1" spans="7:7">
      <c r="G936" s="13"/>
    </row>
    <row r="937" customFormat="1" ht="15.75" customHeight="1" spans="7:7">
      <c r="G937" s="13"/>
    </row>
    <row r="938" customFormat="1" ht="15.75" customHeight="1" spans="7:7">
      <c r="G938" s="13"/>
    </row>
    <row r="939" customFormat="1" ht="15.75" customHeight="1" spans="7:7">
      <c r="G939" s="13"/>
    </row>
    <row r="940" customFormat="1" ht="15.75" customHeight="1" spans="7:7">
      <c r="G940" s="13"/>
    </row>
    <row r="941" customFormat="1" ht="15.75" customHeight="1" spans="7:7">
      <c r="G941" s="13"/>
    </row>
    <row r="942" customFormat="1" ht="15.75" customHeight="1" spans="7:7">
      <c r="G942" s="13"/>
    </row>
    <row r="943" customFormat="1" ht="15.75" customHeight="1" spans="7:7">
      <c r="G943" s="13"/>
    </row>
    <row r="944" customFormat="1" ht="15.75" customHeight="1" spans="7:7">
      <c r="G944" s="13"/>
    </row>
    <row r="945" customFormat="1" ht="15.75" customHeight="1" spans="7:7">
      <c r="G945" s="13"/>
    </row>
    <row r="946" customFormat="1" ht="15.75" customHeight="1" spans="7:7">
      <c r="G946" s="13"/>
    </row>
    <row r="947" customFormat="1" ht="15.75" customHeight="1" spans="7:7">
      <c r="G947" s="13"/>
    </row>
    <row r="948" customFormat="1" ht="15.75" customHeight="1" spans="7:7">
      <c r="G948" s="13"/>
    </row>
    <row r="949" customFormat="1" ht="15.75" customHeight="1" spans="7:7">
      <c r="G949" s="13"/>
    </row>
    <row r="950" customFormat="1" ht="15.75" customHeight="1" spans="7:7">
      <c r="G950" s="13"/>
    </row>
    <row r="951" customFormat="1" ht="15.75" customHeight="1" spans="7:7">
      <c r="G951" s="13"/>
    </row>
    <row r="952" customFormat="1" ht="15.75" customHeight="1" spans="7:7">
      <c r="G952" s="13"/>
    </row>
    <row r="953" customFormat="1" ht="15.75" customHeight="1" spans="7:7">
      <c r="G953" s="13"/>
    </row>
    <row r="954" customFormat="1" ht="15.75" customHeight="1" spans="7:7">
      <c r="G954" s="13"/>
    </row>
    <row r="955" customFormat="1" ht="15.75" customHeight="1" spans="7:7">
      <c r="G955" s="13"/>
    </row>
    <row r="956" customFormat="1" ht="15.75" customHeight="1" spans="7:7">
      <c r="G956" s="13"/>
    </row>
    <row r="957" customFormat="1" ht="15.75" customHeight="1" spans="7:7">
      <c r="G957" s="13"/>
    </row>
    <row r="958" customFormat="1" ht="15.75" customHeight="1" spans="7:7">
      <c r="G958" s="13"/>
    </row>
    <row r="959" customFormat="1" ht="15.75" customHeight="1" spans="7:7">
      <c r="G959" s="13"/>
    </row>
    <row r="960" customFormat="1" ht="15.75" customHeight="1" spans="7:7">
      <c r="G960" s="13"/>
    </row>
    <row r="961" customFormat="1" ht="15.75" customHeight="1" spans="7:7">
      <c r="G961" s="13"/>
    </row>
    <row r="962" customFormat="1" ht="15.75" customHeight="1" spans="7:7">
      <c r="G962" s="13"/>
    </row>
    <row r="963" customFormat="1" ht="15.75" customHeight="1" spans="7:7">
      <c r="G963" s="13"/>
    </row>
    <row r="964" customFormat="1" ht="15.75" customHeight="1" spans="7:7">
      <c r="G964" s="13"/>
    </row>
    <row r="965" customFormat="1" ht="15.75" customHeight="1" spans="7:7">
      <c r="G965" s="13"/>
    </row>
    <row r="966" customFormat="1" ht="15.75" customHeight="1" spans="7:7">
      <c r="G966" s="13"/>
    </row>
    <row r="967" customFormat="1" ht="15.75" customHeight="1" spans="7:7">
      <c r="G967" s="13"/>
    </row>
    <row r="968" customFormat="1" ht="15.75" customHeight="1" spans="7:7">
      <c r="G968" s="13"/>
    </row>
    <row r="969" customFormat="1" ht="15.75" customHeight="1" spans="7:7">
      <c r="G969" s="13"/>
    </row>
    <row r="970" customFormat="1" ht="15.75" customHeight="1" spans="7:7">
      <c r="G970" s="13"/>
    </row>
    <row r="971" customFormat="1" ht="15.75" customHeight="1" spans="7:7">
      <c r="G971" s="13"/>
    </row>
    <row r="972" customFormat="1" ht="15.75" customHeight="1" spans="7:7">
      <c r="G972" s="13"/>
    </row>
    <row r="973" customFormat="1" ht="15.75" customHeight="1" spans="7:7">
      <c r="G973" s="13"/>
    </row>
    <row r="974" customFormat="1" ht="15.75" customHeight="1" spans="7:7">
      <c r="G974" s="13"/>
    </row>
    <row r="975" customFormat="1" ht="15.75" customHeight="1" spans="7:7">
      <c r="G975" s="13"/>
    </row>
    <row r="976" customFormat="1" ht="15.75" customHeight="1" spans="7:7">
      <c r="G976" s="13"/>
    </row>
  </sheetData>
  <mergeCells count="2">
    <mergeCell ref="A1:I1"/>
    <mergeCell ref="A13:G1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G7" sqref="G7"/>
    </sheetView>
  </sheetViews>
  <sheetFormatPr defaultColWidth="9" defaultRowHeight="15" outlineLevelCol="1"/>
  <cols>
    <col min="1" max="1" width="22.4285714285714" customWidth="1"/>
    <col min="2" max="2" width="33.8571428571429" customWidth="1"/>
  </cols>
  <sheetData>
    <row r="1" ht="16.5" spans="1:2">
      <c r="A1" s="7" t="s">
        <v>290</v>
      </c>
      <c r="B1" s="8" t="s">
        <v>290</v>
      </c>
    </row>
    <row r="2" ht="16.5" spans="1:2">
      <c r="A2" s="7" t="s">
        <v>290</v>
      </c>
      <c r="B2" s="8" t="s">
        <v>290</v>
      </c>
    </row>
    <row r="3" ht="16.5" spans="1:2">
      <c r="A3" s="9" t="s">
        <v>276</v>
      </c>
      <c r="B3" s="10" t="s">
        <v>276</v>
      </c>
    </row>
    <row r="4" ht="16.5" spans="1:2">
      <c r="A4" s="9" t="s">
        <v>276</v>
      </c>
      <c r="B4" s="10" t="s">
        <v>276</v>
      </c>
    </row>
    <row r="5" ht="16.5" spans="1:2">
      <c r="A5" s="7" t="s">
        <v>275</v>
      </c>
      <c r="B5" s="10" t="s">
        <v>141</v>
      </c>
    </row>
    <row r="6" ht="16.5" spans="1:2">
      <c r="A6" s="7" t="s">
        <v>275</v>
      </c>
      <c r="B6" s="10" t="s">
        <v>141</v>
      </c>
    </row>
    <row r="7" ht="16.5" spans="1:2">
      <c r="A7" s="7" t="s">
        <v>208</v>
      </c>
      <c r="B7" s="8" t="s">
        <v>275</v>
      </c>
    </row>
    <row r="8" ht="16.5" spans="1:2">
      <c r="A8" s="7" t="s">
        <v>208</v>
      </c>
      <c r="B8" s="8" t="s">
        <v>275</v>
      </c>
    </row>
    <row r="9" ht="16.5" spans="1:2">
      <c r="A9" s="9" t="s">
        <v>141</v>
      </c>
      <c r="B9" s="8" t="s">
        <v>208</v>
      </c>
    </row>
    <row r="10" ht="16.5" spans="1:2">
      <c r="A10" s="9" t="s">
        <v>141</v>
      </c>
      <c r="B10" s="8" t="s">
        <v>208</v>
      </c>
    </row>
    <row r="11" ht="16.5" spans="1:2">
      <c r="A11" s="7" t="s">
        <v>275</v>
      </c>
      <c r="B11" s="10" t="s">
        <v>141</v>
      </c>
    </row>
    <row r="12" ht="16.5" spans="1:2">
      <c r="A12" s="7" t="s">
        <v>275</v>
      </c>
      <c r="B12" s="10" t="s">
        <v>141</v>
      </c>
    </row>
    <row r="13" ht="16.5" spans="1:2">
      <c r="A13" s="9" t="s">
        <v>151</v>
      </c>
      <c r="B13" s="8" t="s">
        <v>275</v>
      </c>
    </row>
    <row r="14" ht="16.5" spans="1:2">
      <c r="A14" s="9" t="s">
        <v>151</v>
      </c>
      <c r="B14" s="8" t="s">
        <v>275</v>
      </c>
    </row>
    <row r="15" ht="16.5" spans="1:2">
      <c r="A15" s="7">
        <v>2.9e+29</v>
      </c>
      <c r="B15" s="10" t="s">
        <v>151</v>
      </c>
    </row>
    <row r="16" ht="16.5" spans="1:2">
      <c r="A16" s="7">
        <v>2.9e+29</v>
      </c>
      <c r="B16" s="10" t="s">
        <v>151</v>
      </c>
    </row>
    <row r="17" ht="16.5" spans="1:2">
      <c r="A17" s="7" t="s">
        <v>205</v>
      </c>
      <c r="B17" s="8">
        <v>2.9e+29</v>
      </c>
    </row>
    <row r="18" ht="16.5" spans="1:2">
      <c r="A18" s="7" t="s">
        <v>205</v>
      </c>
      <c r="B18" s="8">
        <v>2.9e+29</v>
      </c>
    </row>
    <row r="19" ht="16.5" spans="1:2">
      <c r="A19" s="7" t="s">
        <v>223</v>
      </c>
      <c r="B19" s="8" t="s">
        <v>205</v>
      </c>
    </row>
    <row r="20" ht="16.5" spans="1:2">
      <c r="A20" s="7" t="s">
        <v>223</v>
      </c>
      <c r="B20" s="8" t="s">
        <v>205</v>
      </c>
    </row>
    <row r="21" ht="16.5" spans="1:2">
      <c r="A21" s="7" t="s">
        <v>266</v>
      </c>
      <c r="B21" s="8" t="s">
        <v>223</v>
      </c>
    </row>
    <row r="22" ht="16.5" spans="1:2">
      <c r="A22" s="7" t="s">
        <v>266</v>
      </c>
      <c r="B22" s="8" t="s">
        <v>223</v>
      </c>
    </row>
    <row r="23" ht="16.5" spans="1:2">
      <c r="A23" s="7" t="s">
        <v>208</v>
      </c>
      <c r="B23" s="8" t="s">
        <v>42</v>
      </c>
    </row>
    <row r="24" ht="16.5" spans="1:2">
      <c r="A24" s="7" t="s">
        <v>208</v>
      </c>
      <c r="B24" s="8" t="s">
        <v>42</v>
      </c>
    </row>
    <row r="25" ht="16.5" spans="1:2">
      <c r="A25" s="7" t="s">
        <v>249</v>
      </c>
      <c r="B25" s="8" t="s">
        <v>266</v>
      </c>
    </row>
    <row r="26" ht="16.5" spans="1:2">
      <c r="A26" s="7" t="s">
        <v>249</v>
      </c>
      <c r="B26" s="8" t="s">
        <v>266</v>
      </c>
    </row>
    <row r="27" ht="16.5" spans="1:2">
      <c r="A27" s="7" t="s">
        <v>266</v>
      </c>
      <c r="B27" s="8" t="s">
        <v>208</v>
      </c>
    </row>
    <row r="28" ht="16.5" spans="1:2">
      <c r="A28" s="7" t="s">
        <v>266</v>
      </c>
      <c r="B28" s="8" t="s">
        <v>208</v>
      </c>
    </row>
    <row r="29" ht="16.5" spans="1:2">
      <c r="A29" s="9" t="s">
        <v>286</v>
      </c>
      <c r="B29" s="8" t="s">
        <v>249</v>
      </c>
    </row>
    <row r="30" ht="16.5" spans="1:2">
      <c r="A30" s="9" t="s">
        <v>286</v>
      </c>
      <c r="B30" s="8" t="s">
        <v>249</v>
      </c>
    </row>
    <row r="31" ht="16.5" spans="1:2">
      <c r="A31" s="9" t="s">
        <v>141</v>
      </c>
      <c r="B31" s="8" t="s">
        <v>103</v>
      </c>
    </row>
    <row r="32" ht="16.5" spans="1:2">
      <c r="A32" s="9" t="s">
        <v>141</v>
      </c>
      <c r="B32" s="8" t="s">
        <v>103</v>
      </c>
    </row>
    <row r="33" ht="16.5" spans="1:2">
      <c r="A33" s="7" t="s">
        <v>275</v>
      </c>
      <c r="B33" s="8" t="s">
        <v>266</v>
      </c>
    </row>
    <row r="34" ht="16.5" spans="1:2">
      <c r="A34" s="7" t="s">
        <v>275</v>
      </c>
      <c r="B34" s="8" t="s">
        <v>266</v>
      </c>
    </row>
    <row r="35" ht="16.5" spans="1:2">
      <c r="A35" s="9" t="s">
        <v>276</v>
      </c>
      <c r="B35" s="10" t="s">
        <v>286</v>
      </c>
    </row>
    <row r="36" ht="16.5" spans="1:2">
      <c r="A36" s="9" t="s">
        <v>276</v>
      </c>
      <c r="B36" s="10" t="s">
        <v>286</v>
      </c>
    </row>
    <row r="37" ht="16.5" spans="1:2">
      <c r="A37" s="9" t="s">
        <v>141</v>
      </c>
      <c r="B37" s="10" t="s">
        <v>141</v>
      </c>
    </row>
    <row r="38" ht="16.5" spans="1:2">
      <c r="A38" s="9" t="s">
        <v>141</v>
      </c>
      <c r="B38" s="10" t="s">
        <v>141</v>
      </c>
    </row>
    <row r="39" ht="16.5" spans="1:2">
      <c r="A39" s="7" t="s">
        <v>223</v>
      </c>
      <c r="B39" s="8" t="s">
        <v>275</v>
      </c>
    </row>
    <row r="40" ht="16.5" spans="1:2">
      <c r="A40" s="7" t="s">
        <v>223</v>
      </c>
      <c r="B40" s="8" t="s">
        <v>275</v>
      </c>
    </row>
    <row r="41" ht="16.5" spans="1:2">
      <c r="A41" s="7" t="s">
        <v>249</v>
      </c>
      <c r="B41" s="10" t="s">
        <v>276</v>
      </c>
    </row>
    <row r="42" ht="16.5" spans="1:2">
      <c r="A42" s="7" t="s">
        <v>249</v>
      </c>
      <c r="B42" s="10" t="s">
        <v>276</v>
      </c>
    </row>
    <row r="43" ht="15.75" spans="1:2">
      <c r="B43" s="8" t="s">
        <v>17</v>
      </c>
    </row>
    <row r="44" ht="15.75" spans="1:2">
      <c r="B44" s="8" t="s">
        <v>17</v>
      </c>
    </row>
    <row r="45" ht="15.75" spans="1:2">
      <c r="B45" s="10" t="s">
        <v>141</v>
      </c>
    </row>
    <row r="46" ht="15.75" spans="1:2">
      <c r="B46" s="10" t="s">
        <v>141</v>
      </c>
    </row>
    <row r="47" ht="15.75" spans="1:2">
      <c r="B47" s="8" t="s">
        <v>223</v>
      </c>
    </row>
    <row r="48" ht="15.75" spans="1:2">
      <c r="B48" s="8" t="s">
        <v>223</v>
      </c>
    </row>
    <row r="49" ht="15.75" spans="2:2">
      <c r="B49" s="8" t="s">
        <v>249</v>
      </c>
    </row>
    <row r="50" ht="15.75" spans="2:2">
      <c r="B50" s="8" t="s">
        <v>249</v>
      </c>
    </row>
  </sheetData>
  <conditionalFormatting sqref="A1:B50">
    <cfRule type="duplicateValues" dxfId="1759" priority="1"/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4"/>
  <sheetViews>
    <sheetView topLeftCell="A173" workbookViewId="0">
      <selection activeCell="B190" sqref="B190"/>
    </sheetView>
  </sheetViews>
  <sheetFormatPr defaultColWidth="9" defaultRowHeight="15"/>
  <cols>
    <col min="2" max="2" width="35.7142857142857" customWidth="1"/>
    <col min="3" max="3" width="15.5714285714286" customWidth="1"/>
    <col min="4" max="4" width="16.8571428571429" customWidth="1"/>
    <col min="5" max="5" width="16.1428571428571" customWidth="1"/>
    <col min="9" max="9" width="10" style="1" customWidth="1"/>
    <col min="10" max="11" width="14.7142857142857" style="1" customWidth="1"/>
    <col min="12" max="12" width="17.8571428571429" customWidth="1"/>
    <col min="258" max="258" width="35.7142857142857" customWidth="1"/>
    <col min="259" max="259" width="15.5714285714286" customWidth="1"/>
    <col min="260" max="260" width="16.8571428571429" customWidth="1"/>
    <col min="261" max="261" width="16.1428571428571" customWidth="1"/>
    <col min="265" max="265" width="10" customWidth="1"/>
    <col min="266" max="267" width="14.7142857142857" customWidth="1"/>
    <col min="268" max="268" width="17.8571428571429" customWidth="1"/>
    <col min="514" max="514" width="35.7142857142857" customWidth="1"/>
    <col min="515" max="515" width="15.5714285714286" customWidth="1"/>
    <col min="516" max="516" width="16.8571428571429" customWidth="1"/>
    <col min="517" max="517" width="16.1428571428571" customWidth="1"/>
    <col min="521" max="521" width="10" customWidth="1"/>
    <col min="522" max="523" width="14.7142857142857" customWidth="1"/>
    <col min="524" max="524" width="17.8571428571429" customWidth="1"/>
    <col min="770" max="770" width="35.7142857142857" customWidth="1"/>
    <col min="771" max="771" width="15.5714285714286" customWidth="1"/>
    <col min="772" max="772" width="16.8571428571429" customWidth="1"/>
    <col min="773" max="773" width="16.1428571428571" customWidth="1"/>
    <col min="777" max="777" width="10" customWidth="1"/>
    <col min="778" max="779" width="14.7142857142857" customWidth="1"/>
    <col min="780" max="780" width="17.8571428571429" customWidth="1"/>
    <col min="1026" max="1026" width="35.7142857142857" customWidth="1"/>
    <col min="1027" max="1027" width="15.5714285714286" customWidth="1"/>
    <col min="1028" max="1028" width="16.8571428571429" customWidth="1"/>
    <col min="1029" max="1029" width="16.1428571428571" customWidth="1"/>
    <col min="1033" max="1033" width="10" customWidth="1"/>
    <col min="1034" max="1035" width="14.7142857142857" customWidth="1"/>
    <col min="1036" max="1036" width="17.8571428571429" customWidth="1"/>
    <col min="1282" max="1282" width="35.7142857142857" customWidth="1"/>
    <col min="1283" max="1283" width="15.5714285714286" customWidth="1"/>
    <col min="1284" max="1284" width="16.8571428571429" customWidth="1"/>
    <col min="1285" max="1285" width="16.1428571428571" customWidth="1"/>
    <col min="1289" max="1289" width="10" customWidth="1"/>
    <col min="1290" max="1291" width="14.7142857142857" customWidth="1"/>
    <col min="1292" max="1292" width="17.8571428571429" customWidth="1"/>
    <col min="1538" max="1538" width="35.7142857142857" customWidth="1"/>
    <col min="1539" max="1539" width="15.5714285714286" customWidth="1"/>
    <col min="1540" max="1540" width="16.8571428571429" customWidth="1"/>
    <col min="1541" max="1541" width="16.1428571428571" customWidth="1"/>
    <col min="1545" max="1545" width="10" customWidth="1"/>
    <col min="1546" max="1547" width="14.7142857142857" customWidth="1"/>
    <col min="1548" max="1548" width="17.8571428571429" customWidth="1"/>
    <col min="1794" max="1794" width="35.7142857142857" customWidth="1"/>
    <col min="1795" max="1795" width="15.5714285714286" customWidth="1"/>
    <col min="1796" max="1796" width="16.8571428571429" customWidth="1"/>
    <col min="1797" max="1797" width="16.1428571428571" customWidth="1"/>
    <col min="1801" max="1801" width="10" customWidth="1"/>
    <col min="1802" max="1803" width="14.7142857142857" customWidth="1"/>
    <col min="1804" max="1804" width="17.8571428571429" customWidth="1"/>
    <col min="2050" max="2050" width="35.7142857142857" customWidth="1"/>
    <col min="2051" max="2051" width="15.5714285714286" customWidth="1"/>
    <col min="2052" max="2052" width="16.8571428571429" customWidth="1"/>
    <col min="2053" max="2053" width="16.1428571428571" customWidth="1"/>
    <col min="2057" max="2057" width="10" customWidth="1"/>
    <col min="2058" max="2059" width="14.7142857142857" customWidth="1"/>
    <col min="2060" max="2060" width="17.8571428571429" customWidth="1"/>
    <col min="2306" max="2306" width="35.7142857142857" customWidth="1"/>
    <col min="2307" max="2307" width="15.5714285714286" customWidth="1"/>
    <col min="2308" max="2308" width="16.8571428571429" customWidth="1"/>
    <col min="2309" max="2309" width="16.1428571428571" customWidth="1"/>
    <col min="2313" max="2313" width="10" customWidth="1"/>
    <col min="2314" max="2315" width="14.7142857142857" customWidth="1"/>
    <col min="2316" max="2316" width="17.8571428571429" customWidth="1"/>
    <col min="2562" max="2562" width="35.7142857142857" customWidth="1"/>
    <col min="2563" max="2563" width="15.5714285714286" customWidth="1"/>
    <col min="2564" max="2564" width="16.8571428571429" customWidth="1"/>
    <col min="2565" max="2565" width="16.1428571428571" customWidth="1"/>
    <col min="2569" max="2569" width="10" customWidth="1"/>
    <col min="2570" max="2571" width="14.7142857142857" customWidth="1"/>
    <col min="2572" max="2572" width="17.8571428571429" customWidth="1"/>
    <col min="2818" max="2818" width="35.7142857142857" customWidth="1"/>
    <col min="2819" max="2819" width="15.5714285714286" customWidth="1"/>
    <col min="2820" max="2820" width="16.8571428571429" customWidth="1"/>
    <col min="2821" max="2821" width="16.1428571428571" customWidth="1"/>
    <col min="2825" max="2825" width="10" customWidth="1"/>
    <col min="2826" max="2827" width="14.7142857142857" customWidth="1"/>
    <col min="2828" max="2828" width="17.8571428571429" customWidth="1"/>
    <col min="3074" max="3074" width="35.7142857142857" customWidth="1"/>
    <col min="3075" max="3075" width="15.5714285714286" customWidth="1"/>
    <col min="3076" max="3076" width="16.8571428571429" customWidth="1"/>
    <col min="3077" max="3077" width="16.1428571428571" customWidth="1"/>
    <col min="3081" max="3081" width="10" customWidth="1"/>
    <col min="3082" max="3083" width="14.7142857142857" customWidth="1"/>
    <col min="3084" max="3084" width="17.8571428571429" customWidth="1"/>
    <col min="3330" max="3330" width="35.7142857142857" customWidth="1"/>
    <col min="3331" max="3331" width="15.5714285714286" customWidth="1"/>
    <col min="3332" max="3332" width="16.8571428571429" customWidth="1"/>
    <col min="3333" max="3333" width="16.1428571428571" customWidth="1"/>
    <col min="3337" max="3337" width="10" customWidth="1"/>
    <col min="3338" max="3339" width="14.7142857142857" customWidth="1"/>
    <col min="3340" max="3340" width="17.8571428571429" customWidth="1"/>
    <col min="3586" max="3586" width="35.7142857142857" customWidth="1"/>
    <col min="3587" max="3587" width="15.5714285714286" customWidth="1"/>
    <col min="3588" max="3588" width="16.8571428571429" customWidth="1"/>
    <col min="3589" max="3589" width="16.1428571428571" customWidth="1"/>
    <col min="3593" max="3593" width="10" customWidth="1"/>
    <col min="3594" max="3595" width="14.7142857142857" customWidth="1"/>
    <col min="3596" max="3596" width="17.8571428571429" customWidth="1"/>
    <col min="3842" max="3842" width="35.7142857142857" customWidth="1"/>
    <col min="3843" max="3843" width="15.5714285714286" customWidth="1"/>
    <col min="3844" max="3844" width="16.8571428571429" customWidth="1"/>
    <col min="3845" max="3845" width="16.1428571428571" customWidth="1"/>
    <col min="3849" max="3849" width="10" customWidth="1"/>
    <col min="3850" max="3851" width="14.7142857142857" customWidth="1"/>
    <col min="3852" max="3852" width="17.8571428571429" customWidth="1"/>
    <col min="4098" max="4098" width="35.7142857142857" customWidth="1"/>
    <col min="4099" max="4099" width="15.5714285714286" customWidth="1"/>
    <col min="4100" max="4100" width="16.8571428571429" customWidth="1"/>
    <col min="4101" max="4101" width="16.1428571428571" customWidth="1"/>
    <col min="4105" max="4105" width="10" customWidth="1"/>
    <col min="4106" max="4107" width="14.7142857142857" customWidth="1"/>
    <col min="4108" max="4108" width="17.8571428571429" customWidth="1"/>
    <col min="4354" max="4354" width="35.7142857142857" customWidth="1"/>
    <col min="4355" max="4355" width="15.5714285714286" customWidth="1"/>
    <col min="4356" max="4356" width="16.8571428571429" customWidth="1"/>
    <col min="4357" max="4357" width="16.1428571428571" customWidth="1"/>
    <col min="4361" max="4361" width="10" customWidth="1"/>
    <col min="4362" max="4363" width="14.7142857142857" customWidth="1"/>
    <col min="4364" max="4364" width="17.8571428571429" customWidth="1"/>
    <col min="4610" max="4610" width="35.7142857142857" customWidth="1"/>
    <col min="4611" max="4611" width="15.5714285714286" customWidth="1"/>
    <col min="4612" max="4612" width="16.8571428571429" customWidth="1"/>
    <col min="4613" max="4613" width="16.1428571428571" customWidth="1"/>
    <col min="4617" max="4617" width="10" customWidth="1"/>
    <col min="4618" max="4619" width="14.7142857142857" customWidth="1"/>
    <col min="4620" max="4620" width="17.8571428571429" customWidth="1"/>
    <col min="4866" max="4866" width="35.7142857142857" customWidth="1"/>
    <col min="4867" max="4867" width="15.5714285714286" customWidth="1"/>
    <col min="4868" max="4868" width="16.8571428571429" customWidth="1"/>
    <col min="4869" max="4869" width="16.1428571428571" customWidth="1"/>
    <col min="4873" max="4873" width="10" customWidth="1"/>
    <col min="4874" max="4875" width="14.7142857142857" customWidth="1"/>
    <col min="4876" max="4876" width="17.8571428571429" customWidth="1"/>
    <col min="5122" max="5122" width="35.7142857142857" customWidth="1"/>
    <col min="5123" max="5123" width="15.5714285714286" customWidth="1"/>
    <col min="5124" max="5124" width="16.8571428571429" customWidth="1"/>
    <col min="5125" max="5125" width="16.1428571428571" customWidth="1"/>
    <col min="5129" max="5129" width="10" customWidth="1"/>
    <col min="5130" max="5131" width="14.7142857142857" customWidth="1"/>
    <col min="5132" max="5132" width="17.8571428571429" customWidth="1"/>
    <col min="5378" max="5378" width="35.7142857142857" customWidth="1"/>
    <col min="5379" max="5379" width="15.5714285714286" customWidth="1"/>
    <col min="5380" max="5380" width="16.8571428571429" customWidth="1"/>
    <col min="5381" max="5381" width="16.1428571428571" customWidth="1"/>
    <col min="5385" max="5385" width="10" customWidth="1"/>
    <col min="5386" max="5387" width="14.7142857142857" customWidth="1"/>
    <col min="5388" max="5388" width="17.8571428571429" customWidth="1"/>
    <col min="5634" max="5634" width="35.7142857142857" customWidth="1"/>
    <col min="5635" max="5635" width="15.5714285714286" customWidth="1"/>
    <col min="5636" max="5636" width="16.8571428571429" customWidth="1"/>
    <col min="5637" max="5637" width="16.1428571428571" customWidth="1"/>
    <col min="5641" max="5641" width="10" customWidth="1"/>
    <col min="5642" max="5643" width="14.7142857142857" customWidth="1"/>
    <col min="5644" max="5644" width="17.8571428571429" customWidth="1"/>
    <col min="5890" max="5890" width="35.7142857142857" customWidth="1"/>
    <col min="5891" max="5891" width="15.5714285714286" customWidth="1"/>
    <col min="5892" max="5892" width="16.8571428571429" customWidth="1"/>
    <col min="5893" max="5893" width="16.1428571428571" customWidth="1"/>
    <col min="5897" max="5897" width="10" customWidth="1"/>
    <col min="5898" max="5899" width="14.7142857142857" customWidth="1"/>
    <col min="5900" max="5900" width="17.8571428571429" customWidth="1"/>
    <col min="6146" max="6146" width="35.7142857142857" customWidth="1"/>
    <col min="6147" max="6147" width="15.5714285714286" customWidth="1"/>
    <col min="6148" max="6148" width="16.8571428571429" customWidth="1"/>
    <col min="6149" max="6149" width="16.1428571428571" customWidth="1"/>
    <col min="6153" max="6153" width="10" customWidth="1"/>
    <col min="6154" max="6155" width="14.7142857142857" customWidth="1"/>
    <col min="6156" max="6156" width="17.8571428571429" customWidth="1"/>
    <col min="6402" max="6402" width="35.7142857142857" customWidth="1"/>
    <col min="6403" max="6403" width="15.5714285714286" customWidth="1"/>
    <col min="6404" max="6404" width="16.8571428571429" customWidth="1"/>
    <col min="6405" max="6405" width="16.1428571428571" customWidth="1"/>
    <col min="6409" max="6409" width="10" customWidth="1"/>
    <col min="6410" max="6411" width="14.7142857142857" customWidth="1"/>
    <col min="6412" max="6412" width="17.8571428571429" customWidth="1"/>
    <col min="6658" max="6658" width="35.7142857142857" customWidth="1"/>
    <col min="6659" max="6659" width="15.5714285714286" customWidth="1"/>
    <col min="6660" max="6660" width="16.8571428571429" customWidth="1"/>
    <col min="6661" max="6661" width="16.1428571428571" customWidth="1"/>
    <col min="6665" max="6665" width="10" customWidth="1"/>
    <col min="6666" max="6667" width="14.7142857142857" customWidth="1"/>
    <col min="6668" max="6668" width="17.8571428571429" customWidth="1"/>
    <col min="6914" max="6914" width="35.7142857142857" customWidth="1"/>
    <col min="6915" max="6915" width="15.5714285714286" customWidth="1"/>
    <col min="6916" max="6916" width="16.8571428571429" customWidth="1"/>
    <col min="6917" max="6917" width="16.1428571428571" customWidth="1"/>
    <col min="6921" max="6921" width="10" customWidth="1"/>
    <col min="6922" max="6923" width="14.7142857142857" customWidth="1"/>
    <col min="6924" max="6924" width="17.8571428571429" customWidth="1"/>
    <col min="7170" max="7170" width="35.7142857142857" customWidth="1"/>
    <col min="7171" max="7171" width="15.5714285714286" customWidth="1"/>
    <col min="7172" max="7172" width="16.8571428571429" customWidth="1"/>
    <col min="7173" max="7173" width="16.1428571428571" customWidth="1"/>
    <col min="7177" max="7177" width="10" customWidth="1"/>
    <col min="7178" max="7179" width="14.7142857142857" customWidth="1"/>
    <col min="7180" max="7180" width="17.8571428571429" customWidth="1"/>
    <col min="7426" max="7426" width="35.7142857142857" customWidth="1"/>
    <col min="7427" max="7427" width="15.5714285714286" customWidth="1"/>
    <col min="7428" max="7428" width="16.8571428571429" customWidth="1"/>
    <col min="7429" max="7429" width="16.1428571428571" customWidth="1"/>
    <col min="7433" max="7433" width="10" customWidth="1"/>
    <col min="7434" max="7435" width="14.7142857142857" customWidth="1"/>
    <col min="7436" max="7436" width="17.8571428571429" customWidth="1"/>
    <col min="7682" max="7682" width="35.7142857142857" customWidth="1"/>
    <col min="7683" max="7683" width="15.5714285714286" customWidth="1"/>
    <col min="7684" max="7684" width="16.8571428571429" customWidth="1"/>
    <col min="7685" max="7685" width="16.1428571428571" customWidth="1"/>
    <col min="7689" max="7689" width="10" customWidth="1"/>
    <col min="7690" max="7691" width="14.7142857142857" customWidth="1"/>
    <col min="7692" max="7692" width="17.8571428571429" customWidth="1"/>
    <col min="7938" max="7938" width="35.7142857142857" customWidth="1"/>
    <col min="7939" max="7939" width="15.5714285714286" customWidth="1"/>
    <col min="7940" max="7940" width="16.8571428571429" customWidth="1"/>
    <col min="7941" max="7941" width="16.1428571428571" customWidth="1"/>
    <col min="7945" max="7945" width="10" customWidth="1"/>
    <col min="7946" max="7947" width="14.7142857142857" customWidth="1"/>
    <col min="7948" max="7948" width="17.8571428571429" customWidth="1"/>
    <col min="8194" max="8194" width="35.7142857142857" customWidth="1"/>
    <col min="8195" max="8195" width="15.5714285714286" customWidth="1"/>
    <col min="8196" max="8196" width="16.8571428571429" customWidth="1"/>
    <col min="8197" max="8197" width="16.1428571428571" customWidth="1"/>
    <col min="8201" max="8201" width="10" customWidth="1"/>
    <col min="8202" max="8203" width="14.7142857142857" customWidth="1"/>
    <col min="8204" max="8204" width="17.8571428571429" customWidth="1"/>
    <col min="8450" max="8450" width="35.7142857142857" customWidth="1"/>
    <col min="8451" max="8451" width="15.5714285714286" customWidth="1"/>
    <col min="8452" max="8452" width="16.8571428571429" customWidth="1"/>
    <col min="8453" max="8453" width="16.1428571428571" customWidth="1"/>
    <col min="8457" max="8457" width="10" customWidth="1"/>
    <col min="8458" max="8459" width="14.7142857142857" customWidth="1"/>
    <col min="8460" max="8460" width="17.8571428571429" customWidth="1"/>
    <col min="8706" max="8706" width="35.7142857142857" customWidth="1"/>
    <col min="8707" max="8707" width="15.5714285714286" customWidth="1"/>
    <col min="8708" max="8708" width="16.8571428571429" customWidth="1"/>
    <col min="8709" max="8709" width="16.1428571428571" customWidth="1"/>
    <col min="8713" max="8713" width="10" customWidth="1"/>
    <col min="8714" max="8715" width="14.7142857142857" customWidth="1"/>
    <col min="8716" max="8716" width="17.8571428571429" customWidth="1"/>
    <col min="8962" max="8962" width="35.7142857142857" customWidth="1"/>
    <col min="8963" max="8963" width="15.5714285714286" customWidth="1"/>
    <col min="8964" max="8964" width="16.8571428571429" customWidth="1"/>
    <col min="8965" max="8965" width="16.1428571428571" customWidth="1"/>
    <col min="8969" max="8969" width="10" customWidth="1"/>
    <col min="8970" max="8971" width="14.7142857142857" customWidth="1"/>
    <col min="8972" max="8972" width="17.8571428571429" customWidth="1"/>
    <col min="9218" max="9218" width="35.7142857142857" customWidth="1"/>
    <col min="9219" max="9219" width="15.5714285714286" customWidth="1"/>
    <col min="9220" max="9220" width="16.8571428571429" customWidth="1"/>
    <col min="9221" max="9221" width="16.1428571428571" customWidth="1"/>
    <col min="9225" max="9225" width="10" customWidth="1"/>
    <col min="9226" max="9227" width="14.7142857142857" customWidth="1"/>
    <col min="9228" max="9228" width="17.8571428571429" customWidth="1"/>
    <col min="9474" max="9474" width="35.7142857142857" customWidth="1"/>
    <col min="9475" max="9475" width="15.5714285714286" customWidth="1"/>
    <col min="9476" max="9476" width="16.8571428571429" customWidth="1"/>
    <col min="9477" max="9477" width="16.1428571428571" customWidth="1"/>
    <col min="9481" max="9481" width="10" customWidth="1"/>
    <col min="9482" max="9483" width="14.7142857142857" customWidth="1"/>
    <col min="9484" max="9484" width="17.8571428571429" customWidth="1"/>
    <col min="9730" max="9730" width="35.7142857142857" customWidth="1"/>
    <col min="9731" max="9731" width="15.5714285714286" customWidth="1"/>
    <col min="9732" max="9732" width="16.8571428571429" customWidth="1"/>
    <col min="9733" max="9733" width="16.1428571428571" customWidth="1"/>
    <col min="9737" max="9737" width="10" customWidth="1"/>
    <col min="9738" max="9739" width="14.7142857142857" customWidth="1"/>
    <col min="9740" max="9740" width="17.8571428571429" customWidth="1"/>
    <col min="9986" max="9986" width="35.7142857142857" customWidth="1"/>
    <col min="9987" max="9987" width="15.5714285714286" customWidth="1"/>
    <col min="9988" max="9988" width="16.8571428571429" customWidth="1"/>
    <col min="9989" max="9989" width="16.1428571428571" customWidth="1"/>
    <col min="9993" max="9993" width="10" customWidth="1"/>
    <col min="9994" max="9995" width="14.7142857142857" customWidth="1"/>
    <col min="9996" max="9996" width="17.8571428571429" customWidth="1"/>
    <col min="10242" max="10242" width="35.7142857142857" customWidth="1"/>
    <col min="10243" max="10243" width="15.5714285714286" customWidth="1"/>
    <col min="10244" max="10244" width="16.8571428571429" customWidth="1"/>
    <col min="10245" max="10245" width="16.1428571428571" customWidth="1"/>
    <col min="10249" max="10249" width="10" customWidth="1"/>
    <col min="10250" max="10251" width="14.7142857142857" customWidth="1"/>
    <col min="10252" max="10252" width="17.8571428571429" customWidth="1"/>
    <col min="10498" max="10498" width="35.7142857142857" customWidth="1"/>
    <col min="10499" max="10499" width="15.5714285714286" customWidth="1"/>
    <col min="10500" max="10500" width="16.8571428571429" customWidth="1"/>
    <col min="10501" max="10501" width="16.1428571428571" customWidth="1"/>
    <col min="10505" max="10505" width="10" customWidth="1"/>
    <col min="10506" max="10507" width="14.7142857142857" customWidth="1"/>
    <col min="10508" max="10508" width="17.8571428571429" customWidth="1"/>
    <col min="10754" max="10754" width="35.7142857142857" customWidth="1"/>
    <col min="10755" max="10755" width="15.5714285714286" customWidth="1"/>
    <col min="10756" max="10756" width="16.8571428571429" customWidth="1"/>
    <col min="10757" max="10757" width="16.1428571428571" customWidth="1"/>
    <col min="10761" max="10761" width="10" customWidth="1"/>
    <col min="10762" max="10763" width="14.7142857142857" customWidth="1"/>
    <col min="10764" max="10764" width="17.8571428571429" customWidth="1"/>
    <col min="11010" max="11010" width="35.7142857142857" customWidth="1"/>
    <col min="11011" max="11011" width="15.5714285714286" customWidth="1"/>
    <col min="11012" max="11012" width="16.8571428571429" customWidth="1"/>
    <col min="11013" max="11013" width="16.1428571428571" customWidth="1"/>
    <col min="11017" max="11017" width="10" customWidth="1"/>
    <col min="11018" max="11019" width="14.7142857142857" customWidth="1"/>
    <col min="11020" max="11020" width="17.8571428571429" customWidth="1"/>
    <col min="11266" max="11266" width="35.7142857142857" customWidth="1"/>
    <col min="11267" max="11267" width="15.5714285714286" customWidth="1"/>
    <col min="11268" max="11268" width="16.8571428571429" customWidth="1"/>
    <col min="11269" max="11269" width="16.1428571428571" customWidth="1"/>
    <col min="11273" max="11273" width="10" customWidth="1"/>
    <col min="11274" max="11275" width="14.7142857142857" customWidth="1"/>
    <col min="11276" max="11276" width="17.8571428571429" customWidth="1"/>
    <col min="11522" max="11522" width="35.7142857142857" customWidth="1"/>
    <col min="11523" max="11523" width="15.5714285714286" customWidth="1"/>
    <col min="11524" max="11524" width="16.8571428571429" customWidth="1"/>
    <col min="11525" max="11525" width="16.1428571428571" customWidth="1"/>
    <col min="11529" max="11529" width="10" customWidth="1"/>
    <col min="11530" max="11531" width="14.7142857142857" customWidth="1"/>
    <col min="11532" max="11532" width="17.8571428571429" customWidth="1"/>
    <col min="11778" max="11778" width="35.7142857142857" customWidth="1"/>
    <col min="11779" max="11779" width="15.5714285714286" customWidth="1"/>
    <col min="11780" max="11780" width="16.8571428571429" customWidth="1"/>
    <col min="11781" max="11781" width="16.1428571428571" customWidth="1"/>
    <col min="11785" max="11785" width="10" customWidth="1"/>
    <col min="11786" max="11787" width="14.7142857142857" customWidth="1"/>
    <col min="11788" max="11788" width="17.8571428571429" customWidth="1"/>
    <col min="12034" max="12034" width="35.7142857142857" customWidth="1"/>
    <col min="12035" max="12035" width="15.5714285714286" customWidth="1"/>
    <col min="12036" max="12036" width="16.8571428571429" customWidth="1"/>
    <col min="12037" max="12037" width="16.1428571428571" customWidth="1"/>
    <col min="12041" max="12041" width="10" customWidth="1"/>
    <col min="12042" max="12043" width="14.7142857142857" customWidth="1"/>
    <col min="12044" max="12044" width="17.8571428571429" customWidth="1"/>
    <col min="12290" max="12290" width="35.7142857142857" customWidth="1"/>
    <col min="12291" max="12291" width="15.5714285714286" customWidth="1"/>
    <col min="12292" max="12292" width="16.8571428571429" customWidth="1"/>
    <col min="12293" max="12293" width="16.1428571428571" customWidth="1"/>
    <col min="12297" max="12297" width="10" customWidth="1"/>
    <col min="12298" max="12299" width="14.7142857142857" customWidth="1"/>
    <col min="12300" max="12300" width="17.8571428571429" customWidth="1"/>
    <col min="12546" max="12546" width="35.7142857142857" customWidth="1"/>
    <col min="12547" max="12547" width="15.5714285714286" customWidth="1"/>
    <col min="12548" max="12548" width="16.8571428571429" customWidth="1"/>
    <col min="12549" max="12549" width="16.1428571428571" customWidth="1"/>
    <col min="12553" max="12553" width="10" customWidth="1"/>
    <col min="12554" max="12555" width="14.7142857142857" customWidth="1"/>
    <col min="12556" max="12556" width="17.8571428571429" customWidth="1"/>
    <col min="12802" max="12802" width="35.7142857142857" customWidth="1"/>
    <col min="12803" max="12803" width="15.5714285714286" customWidth="1"/>
    <col min="12804" max="12804" width="16.8571428571429" customWidth="1"/>
    <col min="12805" max="12805" width="16.1428571428571" customWidth="1"/>
    <col min="12809" max="12809" width="10" customWidth="1"/>
    <col min="12810" max="12811" width="14.7142857142857" customWidth="1"/>
    <col min="12812" max="12812" width="17.8571428571429" customWidth="1"/>
    <col min="13058" max="13058" width="35.7142857142857" customWidth="1"/>
    <col min="13059" max="13059" width="15.5714285714286" customWidth="1"/>
    <col min="13060" max="13060" width="16.8571428571429" customWidth="1"/>
    <col min="13061" max="13061" width="16.1428571428571" customWidth="1"/>
    <col min="13065" max="13065" width="10" customWidth="1"/>
    <col min="13066" max="13067" width="14.7142857142857" customWidth="1"/>
    <col min="13068" max="13068" width="17.8571428571429" customWidth="1"/>
    <col min="13314" max="13314" width="35.7142857142857" customWidth="1"/>
    <col min="13315" max="13315" width="15.5714285714286" customWidth="1"/>
    <col min="13316" max="13316" width="16.8571428571429" customWidth="1"/>
    <col min="13317" max="13317" width="16.1428571428571" customWidth="1"/>
    <col min="13321" max="13321" width="10" customWidth="1"/>
    <col min="13322" max="13323" width="14.7142857142857" customWidth="1"/>
    <col min="13324" max="13324" width="17.8571428571429" customWidth="1"/>
    <col min="13570" max="13570" width="35.7142857142857" customWidth="1"/>
    <col min="13571" max="13571" width="15.5714285714286" customWidth="1"/>
    <col min="13572" max="13572" width="16.8571428571429" customWidth="1"/>
    <col min="13573" max="13573" width="16.1428571428571" customWidth="1"/>
    <col min="13577" max="13577" width="10" customWidth="1"/>
    <col min="13578" max="13579" width="14.7142857142857" customWidth="1"/>
    <col min="13580" max="13580" width="17.8571428571429" customWidth="1"/>
    <col min="13826" max="13826" width="35.7142857142857" customWidth="1"/>
    <col min="13827" max="13827" width="15.5714285714286" customWidth="1"/>
    <col min="13828" max="13828" width="16.8571428571429" customWidth="1"/>
    <col min="13829" max="13829" width="16.1428571428571" customWidth="1"/>
    <col min="13833" max="13833" width="10" customWidth="1"/>
    <col min="13834" max="13835" width="14.7142857142857" customWidth="1"/>
    <col min="13836" max="13836" width="17.8571428571429" customWidth="1"/>
    <col min="14082" max="14082" width="35.7142857142857" customWidth="1"/>
    <col min="14083" max="14083" width="15.5714285714286" customWidth="1"/>
    <col min="14084" max="14084" width="16.8571428571429" customWidth="1"/>
    <col min="14085" max="14085" width="16.1428571428571" customWidth="1"/>
    <col min="14089" max="14089" width="10" customWidth="1"/>
    <col min="14090" max="14091" width="14.7142857142857" customWidth="1"/>
    <col min="14092" max="14092" width="17.8571428571429" customWidth="1"/>
    <col min="14338" max="14338" width="35.7142857142857" customWidth="1"/>
    <col min="14339" max="14339" width="15.5714285714286" customWidth="1"/>
    <col min="14340" max="14340" width="16.8571428571429" customWidth="1"/>
    <col min="14341" max="14341" width="16.1428571428571" customWidth="1"/>
    <col min="14345" max="14345" width="10" customWidth="1"/>
    <col min="14346" max="14347" width="14.7142857142857" customWidth="1"/>
    <col min="14348" max="14348" width="17.8571428571429" customWidth="1"/>
    <col min="14594" max="14594" width="35.7142857142857" customWidth="1"/>
    <col min="14595" max="14595" width="15.5714285714286" customWidth="1"/>
    <col min="14596" max="14596" width="16.8571428571429" customWidth="1"/>
    <col min="14597" max="14597" width="16.1428571428571" customWidth="1"/>
    <col min="14601" max="14601" width="10" customWidth="1"/>
    <col min="14602" max="14603" width="14.7142857142857" customWidth="1"/>
    <col min="14604" max="14604" width="17.8571428571429" customWidth="1"/>
    <col min="14850" max="14850" width="35.7142857142857" customWidth="1"/>
    <col min="14851" max="14851" width="15.5714285714286" customWidth="1"/>
    <col min="14852" max="14852" width="16.8571428571429" customWidth="1"/>
    <col min="14853" max="14853" width="16.1428571428571" customWidth="1"/>
    <col min="14857" max="14857" width="10" customWidth="1"/>
    <col min="14858" max="14859" width="14.7142857142857" customWidth="1"/>
    <col min="14860" max="14860" width="17.8571428571429" customWidth="1"/>
    <col min="15106" max="15106" width="35.7142857142857" customWidth="1"/>
    <col min="15107" max="15107" width="15.5714285714286" customWidth="1"/>
    <col min="15108" max="15108" width="16.8571428571429" customWidth="1"/>
    <col min="15109" max="15109" width="16.1428571428571" customWidth="1"/>
    <col min="15113" max="15113" width="10" customWidth="1"/>
    <col min="15114" max="15115" width="14.7142857142857" customWidth="1"/>
    <col min="15116" max="15116" width="17.8571428571429" customWidth="1"/>
    <col min="15362" max="15362" width="35.7142857142857" customWidth="1"/>
    <col min="15363" max="15363" width="15.5714285714286" customWidth="1"/>
    <col min="15364" max="15364" width="16.8571428571429" customWidth="1"/>
    <col min="15365" max="15365" width="16.1428571428571" customWidth="1"/>
    <col min="15369" max="15369" width="10" customWidth="1"/>
    <col min="15370" max="15371" width="14.7142857142857" customWidth="1"/>
    <col min="15372" max="15372" width="17.8571428571429" customWidth="1"/>
    <col min="15618" max="15618" width="35.7142857142857" customWidth="1"/>
    <col min="15619" max="15619" width="15.5714285714286" customWidth="1"/>
    <col min="15620" max="15620" width="16.8571428571429" customWidth="1"/>
    <col min="15621" max="15621" width="16.1428571428571" customWidth="1"/>
    <col min="15625" max="15625" width="10" customWidth="1"/>
    <col min="15626" max="15627" width="14.7142857142857" customWidth="1"/>
    <col min="15628" max="15628" width="17.8571428571429" customWidth="1"/>
    <col min="15874" max="15874" width="35.7142857142857" customWidth="1"/>
    <col min="15875" max="15875" width="15.5714285714286" customWidth="1"/>
    <col min="15876" max="15876" width="16.8571428571429" customWidth="1"/>
    <col min="15877" max="15877" width="16.1428571428571" customWidth="1"/>
    <col min="15881" max="15881" width="10" customWidth="1"/>
    <col min="15882" max="15883" width="14.7142857142857" customWidth="1"/>
    <col min="15884" max="15884" width="17.8571428571429" customWidth="1"/>
    <col min="16130" max="16130" width="35.7142857142857" customWidth="1"/>
    <col min="16131" max="16131" width="15.5714285714286" customWidth="1"/>
    <col min="16132" max="16132" width="16.8571428571429" customWidth="1"/>
    <col min="16133" max="16133" width="16.1428571428571" customWidth="1"/>
    <col min="16137" max="16137" width="10" customWidth="1"/>
    <col min="16138" max="16139" width="14.7142857142857" customWidth="1"/>
    <col min="16140" max="16140" width="17.8571428571429" customWidth="1"/>
  </cols>
  <sheetData>
    <row r="1" spans="1:12">
      <c r="A1" t="s">
        <v>730</v>
      </c>
      <c r="B1" t="s">
        <v>405</v>
      </c>
      <c r="C1" t="s">
        <v>1196</v>
      </c>
      <c r="D1" t="s">
        <v>1197</v>
      </c>
      <c r="E1" t="s">
        <v>1198</v>
      </c>
      <c r="F1" t="s">
        <v>1199</v>
      </c>
      <c r="G1" t="s">
        <v>1200</v>
      </c>
      <c r="I1" s="1" t="s">
        <v>1201</v>
      </c>
    </row>
    <row r="2" spans="1:12">
      <c r="A2">
        <v>1</v>
      </c>
      <c r="B2" t="s">
        <v>1202</v>
      </c>
      <c r="C2" t="s">
        <v>1203</v>
      </c>
      <c r="D2" t="s">
        <v>985</v>
      </c>
      <c r="E2" s="2">
        <v>34486</v>
      </c>
      <c r="F2">
        <v>31</v>
      </c>
      <c r="G2" t="s">
        <v>1204</v>
      </c>
      <c r="I2" s="1" t="s">
        <v>730</v>
      </c>
      <c r="J2" s="1" t="s">
        <v>1205</v>
      </c>
      <c r="K2" s="1" t="s">
        <v>1206</v>
      </c>
      <c r="L2" s="1" t="s">
        <v>1197</v>
      </c>
    </row>
    <row r="3" spans="1:12">
      <c r="A3">
        <v>2</v>
      </c>
      <c r="B3" t="s">
        <v>174</v>
      </c>
      <c r="C3" t="s">
        <v>175</v>
      </c>
      <c r="D3" t="s">
        <v>985</v>
      </c>
      <c r="E3" s="2">
        <v>28264</v>
      </c>
      <c r="F3">
        <v>48</v>
      </c>
      <c r="G3" t="s">
        <v>1204</v>
      </c>
      <c r="I3" s="1">
        <v>1</v>
      </c>
      <c r="J3" s="1" t="s">
        <v>133</v>
      </c>
      <c r="K3" s="1" t="s">
        <v>59</v>
      </c>
      <c r="L3" t="s">
        <v>985</v>
      </c>
    </row>
    <row r="4" spans="1:12">
      <c r="A4">
        <v>3</v>
      </c>
      <c r="B4" t="s">
        <v>212</v>
      </c>
      <c r="C4" t="s">
        <v>213</v>
      </c>
      <c r="D4" t="s">
        <v>985</v>
      </c>
      <c r="E4" s="2">
        <v>38567</v>
      </c>
      <c r="F4">
        <v>20</v>
      </c>
      <c r="G4" t="s">
        <v>1204</v>
      </c>
      <c r="I4" s="1">
        <v>2</v>
      </c>
      <c r="J4" s="1" t="s">
        <v>57</v>
      </c>
      <c r="K4" s="1" t="s">
        <v>59</v>
      </c>
      <c r="L4" t="s">
        <v>985</v>
      </c>
    </row>
    <row r="5" spans="1:12">
      <c r="A5">
        <v>4</v>
      </c>
      <c r="B5" t="s">
        <v>55</v>
      </c>
      <c r="C5" t="s">
        <v>56</v>
      </c>
      <c r="D5" t="s">
        <v>985</v>
      </c>
      <c r="E5" s="2">
        <v>26056</v>
      </c>
      <c r="F5">
        <v>54</v>
      </c>
      <c r="G5" t="s">
        <v>1204</v>
      </c>
      <c r="I5" s="1">
        <v>3</v>
      </c>
      <c r="J5" s="1" t="s">
        <v>403</v>
      </c>
      <c r="K5" s="1" t="s">
        <v>257</v>
      </c>
      <c r="L5" t="s">
        <v>985</v>
      </c>
    </row>
    <row r="6" spans="1:12">
      <c r="A6">
        <v>5</v>
      </c>
      <c r="B6" t="s">
        <v>79</v>
      </c>
      <c r="C6" t="s">
        <v>80</v>
      </c>
      <c r="D6" t="s">
        <v>985</v>
      </c>
      <c r="E6" s="2">
        <v>35825</v>
      </c>
      <c r="F6">
        <v>27</v>
      </c>
      <c r="G6" t="s">
        <v>1204</v>
      </c>
      <c r="I6" s="1">
        <v>4</v>
      </c>
      <c r="J6" s="1" t="s">
        <v>8</v>
      </c>
      <c r="K6" s="1" t="s">
        <v>10</v>
      </c>
      <c r="L6" t="s">
        <v>985</v>
      </c>
    </row>
    <row r="7" spans="1:12">
      <c r="A7">
        <v>6</v>
      </c>
      <c r="B7" t="s">
        <v>152</v>
      </c>
      <c r="C7" t="s">
        <v>153</v>
      </c>
      <c r="D7" t="s">
        <v>985</v>
      </c>
      <c r="E7" s="2">
        <v>27729</v>
      </c>
      <c r="F7">
        <v>49</v>
      </c>
      <c r="G7" t="s">
        <v>1204</v>
      </c>
      <c r="I7" s="1">
        <v>5</v>
      </c>
      <c r="J7" s="1" t="s">
        <v>48</v>
      </c>
      <c r="K7" s="1" t="s">
        <v>50</v>
      </c>
      <c r="L7" t="s">
        <v>985</v>
      </c>
    </row>
    <row r="8" spans="1:12">
      <c r="A8">
        <v>7</v>
      </c>
      <c r="B8" t="s">
        <v>128</v>
      </c>
      <c r="C8" t="s">
        <v>129</v>
      </c>
      <c r="D8" t="s">
        <v>985</v>
      </c>
      <c r="E8" s="2">
        <v>34984</v>
      </c>
      <c r="F8">
        <v>30</v>
      </c>
      <c r="G8" t="s">
        <v>1204</v>
      </c>
      <c r="I8" s="1">
        <v>6</v>
      </c>
      <c r="J8" s="3" t="s">
        <v>1207</v>
      </c>
      <c r="K8" s="1" t="s">
        <v>50</v>
      </c>
      <c r="L8" t="s">
        <v>985</v>
      </c>
    </row>
    <row r="9" spans="1:12">
      <c r="A9">
        <v>8</v>
      </c>
      <c r="B9" t="s">
        <v>82</v>
      </c>
      <c r="C9" t="s">
        <v>83</v>
      </c>
      <c r="D9" t="s">
        <v>985</v>
      </c>
      <c r="E9" s="2">
        <v>28126</v>
      </c>
      <c r="F9">
        <v>48</v>
      </c>
      <c r="G9" t="s">
        <v>1204</v>
      </c>
      <c r="I9" s="1">
        <v>7</v>
      </c>
      <c r="J9" s="1" t="s">
        <v>84</v>
      </c>
      <c r="K9" s="1" t="s">
        <v>50</v>
      </c>
      <c r="L9" t="s">
        <v>985</v>
      </c>
    </row>
    <row r="10" spans="1:12">
      <c r="A10">
        <v>9</v>
      </c>
      <c r="B10" t="s">
        <v>46</v>
      </c>
      <c r="C10" t="s">
        <v>47</v>
      </c>
      <c r="D10" t="s">
        <v>985</v>
      </c>
      <c r="E10" s="2">
        <v>34409</v>
      </c>
      <c r="F10">
        <v>31</v>
      </c>
      <c r="G10" t="s">
        <v>1204</v>
      </c>
      <c r="I10" s="1">
        <v>8</v>
      </c>
      <c r="J10" s="3" t="s">
        <v>51</v>
      </c>
      <c r="K10" s="1" t="s">
        <v>50</v>
      </c>
      <c r="L10" t="s">
        <v>985</v>
      </c>
    </row>
    <row r="11" spans="1:12">
      <c r="A11">
        <v>10</v>
      </c>
      <c r="B11" t="s">
        <v>217</v>
      </c>
      <c r="C11" t="s">
        <v>218</v>
      </c>
      <c r="D11" t="s">
        <v>985</v>
      </c>
      <c r="E11" s="2">
        <v>32908</v>
      </c>
      <c r="F11">
        <v>35</v>
      </c>
      <c r="G11" t="s">
        <v>1204</v>
      </c>
      <c r="I11" s="1">
        <v>9</v>
      </c>
      <c r="J11" s="3" t="s">
        <v>136</v>
      </c>
      <c r="K11" s="1" t="s">
        <v>50</v>
      </c>
      <c r="L11" t="s">
        <v>985</v>
      </c>
    </row>
    <row r="12" spans="1:12">
      <c r="A12">
        <v>11</v>
      </c>
      <c r="B12" t="s">
        <v>113</v>
      </c>
      <c r="C12" t="s">
        <v>114</v>
      </c>
      <c r="D12" t="s">
        <v>985</v>
      </c>
      <c r="E12" s="2">
        <v>33772</v>
      </c>
      <c r="F12">
        <v>33</v>
      </c>
      <c r="G12" t="s">
        <v>1204</v>
      </c>
      <c r="I12" s="1">
        <v>10</v>
      </c>
      <c r="J12" s="1" t="s">
        <v>81</v>
      </c>
      <c r="K12" s="1" t="s">
        <v>50</v>
      </c>
      <c r="L12" t="s">
        <v>985</v>
      </c>
    </row>
    <row r="13" spans="1:12">
      <c r="A13">
        <v>12</v>
      </c>
      <c r="B13" t="s">
        <v>1208</v>
      </c>
      <c r="C13" t="s">
        <v>1209</v>
      </c>
      <c r="D13" t="s">
        <v>985</v>
      </c>
      <c r="E13" s="2">
        <v>31053</v>
      </c>
      <c r="F13">
        <v>40</v>
      </c>
      <c r="G13" t="s">
        <v>1204</v>
      </c>
      <c r="I13" s="1">
        <v>11</v>
      </c>
      <c r="J13" s="1" t="s">
        <v>197</v>
      </c>
      <c r="K13" s="1" t="s">
        <v>53</v>
      </c>
      <c r="L13" t="s">
        <v>985</v>
      </c>
    </row>
    <row r="14" spans="1:12">
      <c r="A14">
        <v>13</v>
      </c>
      <c r="B14" t="s">
        <v>195</v>
      </c>
      <c r="C14" t="s">
        <v>196</v>
      </c>
      <c r="D14" t="s">
        <v>985</v>
      </c>
      <c r="E14" s="2">
        <v>31967</v>
      </c>
      <c r="F14">
        <v>38</v>
      </c>
      <c r="G14" t="s">
        <v>1204</v>
      </c>
      <c r="I14" s="1">
        <v>12</v>
      </c>
      <c r="J14" s="1" t="s">
        <v>115</v>
      </c>
      <c r="K14" s="1" t="s">
        <v>53</v>
      </c>
      <c r="L14" t="s">
        <v>985</v>
      </c>
    </row>
    <row r="15" spans="1:12">
      <c r="A15">
        <v>14</v>
      </c>
      <c r="B15" t="s">
        <v>131</v>
      </c>
      <c r="C15" t="s">
        <v>132</v>
      </c>
      <c r="D15" t="s">
        <v>985</v>
      </c>
      <c r="E15" s="2">
        <v>34064</v>
      </c>
      <c r="F15">
        <v>32</v>
      </c>
      <c r="G15" t="s">
        <v>1204</v>
      </c>
      <c r="I15" s="1">
        <v>13</v>
      </c>
      <c r="J15" s="1" t="s">
        <v>191</v>
      </c>
      <c r="K15" s="1" t="s">
        <v>53</v>
      </c>
      <c r="L15" t="s">
        <v>985</v>
      </c>
    </row>
    <row r="16" spans="1:12">
      <c r="A16">
        <v>15</v>
      </c>
      <c r="B16" t="s">
        <v>1210</v>
      </c>
      <c r="C16" t="s">
        <v>1211</v>
      </c>
      <c r="D16" t="s">
        <v>985</v>
      </c>
      <c r="E16" s="2">
        <v>33384</v>
      </c>
      <c r="F16">
        <v>34</v>
      </c>
      <c r="G16" t="s">
        <v>1204</v>
      </c>
      <c r="I16" s="1">
        <v>14</v>
      </c>
      <c r="J16" s="1" t="s">
        <v>130</v>
      </c>
      <c r="K16" s="1" t="s">
        <v>53</v>
      </c>
      <c r="L16" t="s">
        <v>985</v>
      </c>
    </row>
    <row r="17" spans="1:12">
      <c r="A17">
        <v>16</v>
      </c>
      <c r="B17" t="s">
        <v>189</v>
      </c>
      <c r="C17" t="s">
        <v>190</v>
      </c>
      <c r="D17" t="s">
        <v>985</v>
      </c>
      <c r="E17" s="2">
        <v>33652</v>
      </c>
      <c r="F17">
        <v>33</v>
      </c>
      <c r="G17" t="s">
        <v>1204</v>
      </c>
      <c r="I17" s="1">
        <v>15</v>
      </c>
      <c r="J17" s="1" t="s">
        <v>127</v>
      </c>
      <c r="K17" s="1" t="s">
        <v>53</v>
      </c>
      <c r="L17" t="s">
        <v>985</v>
      </c>
    </row>
    <row r="18" spans="1:12">
      <c r="A18">
        <v>17</v>
      </c>
      <c r="B18" t="s">
        <v>1212</v>
      </c>
      <c r="C18" t="s">
        <v>1213</v>
      </c>
      <c r="D18" t="s">
        <v>985</v>
      </c>
      <c r="E18" s="2">
        <v>34295</v>
      </c>
      <c r="F18">
        <v>31</v>
      </c>
      <c r="G18" t="s">
        <v>1204</v>
      </c>
      <c r="I18" s="1">
        <v>16</v>
      </c>
      <c r="J18" s="3" t="s">
        <v>17</v>
      </c>
      <c r="K18" s="1" t="s">
        <v>19</v>
      </c>
      <c r="L18" t="s">
        <v>985</v>
      </c>
    </row>
    <row r="19" spans="1:12">
      <c r="A19">
        <v>18</v>
      </c>
      <c r="B19" t="s">
        <v>162</v>
      </c>
      <c r="C19" t="s">
        <v>163</v>
      </c>
      <c r="D19" t="s">
        <v>985</v>
      </c>
      <c r="E19" s="2">
        <v>30238</v>
      </c>
      <c r="F19">
        <v>43</v>
      </c>
      <c r="G19" t="s">
        <v>1204</v>
      </c>
      <c r="I19" s="1">
        <v>17</v>
      </c>
      <c r="J19" s="3" t="s">
        <v>165</v>
      </c>
      <c r="K19" s="1" t="s">
        <v>19</v>
      </c>
      <c r="L19" t="s">
        <v>985</v>
      </c>
    </row>
    <row r="20" spans="1:12">
      <c r="A20">
        <v>19</v>
      </c>
      <c r="B20" t="s">
        <v>125</v>
      </c>
      <c r="C20" t="s">
        <v>126</v>
      </c>
      <c r="D20" t="s">
        <v>985</v>
      </c>
      <c r="E20" s="2">
        <v>34162</v>
      </c>
      <c r="F20">
        <v>32</v>
      </c>
      <c r="G20" t="s">
        <v>1204</v>
      </c>
      <c r="I20" s="1">
        <v>18</v>
      </c>
      <c r="J20" s="1" t="s">
        <v>358</v>
      </c>
      <c r="K20" s="1" t="s">
        <v>135</v>
      </c>
      <c r="L20" t="s">
        <v>985</v>
      </c>
    </row>
    <row r="21" spans="1:12">
      <c r="A21">
        <v>20</v>
      </c>
      <c r="B21" t="s">
        <v>206</v>
      </c>
      <c r="C21" t="s">
        <v>207</v>
      </c>
      <c r="D21" t="s">
        <v>744</v>
      </c>
      <c r="E21" s="2">
        <v>33794</v>
      </c>
      <c r="F21">
        <v>33</v>
      </c>
      <c r="G21" t="s">
        <v>1204</v>
      </c>
      <c r="I21" s="1">
        <v>19</v>
      </c>
      <c r="J21" s="1" t="s">
        <v>134</v>
      </c>
      <c r="K21" s="1" t="s">
        <v>135</v>
      </c>
      <c r="L21" t="s">
        <v>985</v>
      </c>
    </row>
    <row r="22" spans="1:12">
      <c r="A22">
        <v>21</v>
      </c>
      <c r="B22" t="s">
        <v>1214</v>
      </c>
      <c r="C22" t="s">
        <v>1215</v>
      </c>
      <c r="D22" t="s">
        <v>744</v>
      </c>
      <c r="E22" s="2">
        <v>35148</v>
      </c>
      <c r="F22">
        <v>29</v>
      </c>
      <c r="G22" t="s">
        <v>1204</v>
      </c>
      <c r="I22" s="1">
        <v>20</v>
      </c>
      <c r="J22" s="1" t="s">
        <v>177</v>
      </c>
      <c r="K22" s="1" t="s">
        <v>135</v>
      </c>
      <c r="L22" t="s">
        <v>985</v>
      </c>
    </row>
    <row r="23" spans="1:12">
      <c r="A23">
        <v>22</v>
      </c>
      <c r="B23" t="s">
        <v>1216</v>
      </c>
      <c r="C23" t="s">
        <v>1217</v>
      </c>
      <c r="D23" t="s">
        <v>744</v>
      </c>
      <c r="E23" s="2">
        <v>32223</v>
      </c>
      <c r="F23">
        <v>37</v>
      </c>
      <c r="G23" t="s">
        <v>1204</v>
      </c>
      <c r="I23" s="1">
        <v>21</v>
      </c>
      <c r="J23" s="1" t="s">
        <v>161</v>
      </c>
      <c r="K23" s="1" t="s">
        <v>53</v>
      </c>
      <c r="L23" t="s">
        <v>744</v>
      </c>
    </row>
    <row r="24" spans="1:12">
      <c r="A24">
        <v>23</v>
      </c>
      <c r="B24" t="s">
        <v>1218</v>
      </c>
      <c r="C24" t="s">
        <v>1219</v>
      </c>
      <c r="D24" t="s">
        <v>744</v>
      </c>
      <c r="E24" s="2">
        <v>36280</v>
      </c>
      <c r="F24">
        <v>26</v>
      </c>
      <c r="G24" t="s">
        <v>1204</v>
      </c>
      <c r="I24" s="1">
        <v>22</v>
      </c>
      <c r="J24" s="1" t="s">
        <v>149</v>
      </c>
      <c r="K24" s="1" t="s">
        <v>53</v>
      </c>
      <c r="L24" t="s">
        <v>744</v>
      </c>
    </row>
    <row r="25" spans="1:12">
      <c r="A25">
        <v>24</v>
      </c>
      <c r="B25" t="s">
        <v>159</v>
      </c>
      <c r="C25" t="s">
        <v>160</v>
      </c>
      <c r="D25" t="s">
        <v>744</v>
      </c>
      <c r="E25" s="2">
        <v>30741</v>
      </c>
      <c r="F25">
        <v>41</v>
      </c>
      <c r="G25" t="s">
        <v>1204</v>
      </c>
      <c r="I25" s="1">
        <v>23</v>
      </c>
      <c r="J25" s="1" t="s">
        <v>286</v>
      </c>
      <c r="K25" s="1" t="s">
        <v>53</v>
      </c>
      <c r="L25" t="s">
        <v>744</v>
      </c>
    </row>
    <row r="26" spans="1:12">
      <c r="A26">
        <v>25</v>
      </c>
      <c r="B26" t="s">
        <v>1220</v>
      </c>
      <c r="C26" t="s">
        <v>1221</v>
      </c>
      <c r="D26" t="s">
        <v>744</v>
      </c>
      <c r="E26" s="2">
        <v>32924</v>
      </c>
      <c r="F26">
        <v>35</v>
      </c>
      <c r="G26" t="s">
        <v>1204</v>
      </c>
      <c r="I26" s="1">
        <v>24</v>
      </c>
      <c r="J26" s="3" t="s">
        <v>176</v>
      </c>
      <c r="K26" s="1" t="s">
        <v>53</v>
      </c>
      <c r="L26" t="s">
        <v>744</v>
      </c>
    </row>
    <row r="27" spans="1:12">
      <c r="A27">
        <v>26</v>
      </c>
      <c r="B27" t="s">
        <v>1222</v>
      </c>
      <c r="C27" t="s">
        <v>1223</v>
      </c>
      <c r="D27" t="s">
        <v>744</v>
      </c>
      <c r="E27" s="2">
        <v>27913</v>
      </c>
      <c r="F27">
        <v>49</v>
      </c>
      <c r="G27" t="s">
        <v>1204</v>
      </c>
      <c r="I27" s="1">
        <v>25</v>
      </c>
      <c r="J27" s="3" t="s">
        <v>300</v>
      </c>
      <c r="K27" s="1" t="s">
        <v>53</v>
      </c>
      <c r="L27" t="s">
        <v>744</v>
      </c>
    </row>
    <row r="28" spans="1:12">
      <c r="A28">
        <v>27</v>
      </c>
      <c r="B28" t="s">
        <v>1224</v>
      </c>
      <c r="C28" t="s">
        <v>1225</v>
      </c>
      <c r="D28" t="s">
        <v>744</v>
      </c>
      <c r="E28" s="2">
        <v>27827</v>
      </c>
      <c r="F28">
        <v>49</v>
      </c>
      <c r="G28" t="s">
        <v>1204</v>
      </c>
      <c r="I28" s="1">
        <v>26</v>
      </c>
      <c r="J28" s="3" t="s">
        <v>275</v>
      </c>
      <c r="K28" s="1" t="s">
        <v>53</v>
      </c>
      <c r="L28" t="s">
        <v>744</v>
      </c>
    </row>
    <row r="29" spans="1:12">
      <c r="A29">
        <v>28</v>
      </c>
      <c r="B29" t="s">
        <v>1226</v>
      </c>
      <c r="C29" t="s">
        <v>1227</v>
      </c>
      <c r="D29" t="s">
        <v>744</v>
      </c>
      <c r="E29" s="2">
        <v>32409</v>
      </c>
      <c r="F29">
        <v>37</v>
      </c>
      <c r="G29" t="s">
        <v>1204</v>
      </c>
      <c r="I29" s="1">
        <v>27</v>
      </c>
      <c r="J29" s="3" t="s">
        <v>205</v>
      </c>
      <c r="K29" s="1" t="s">
        <v>53</v>
      </c>
      <c r="L29" t="s">
        <v>744</v>
      </c>
    </row>
    <row r="30" spans="1:12">
      <c r="A30">
        <v>29</v>
      </c>
      <c r="B30" t="s">
        <v>1228</v>
      </c>
      <c r="C30" t="s">
        <v>1229</v>
      </c>
      <c r="D30" t="s">
        <v>744</v>
      </c>
      <c r="E30" s="2">
        <v>34962</v>
      </c>
      <c r="F30">
        <v>30</v>
      </c>
      <c r="G30" t="s">
        <v>1204</v>
      </c>
      <c r="I30" s="1">
        <v>28</v>
      </c>
      <c r="J30" s="1" t="s">
        <v>87</v>
      </c>
      <c r="K30" s="1" t="s">
        <v>53</v>
      </c>
      <c r="L30" t="s">
        <v>744</v>
      </c>
    </row>
    <row r="31" spans="1:12">
      <c r="A31">
        <v>30</v>
      </c>
      <c r="B31" t="s">
        <v>1230</v>
      </c>
      <c r="C31" t="s">
        <v>1231</v>
      </c>
      <c r="D31" t="s">
        <v>744</v>
      </c>
      <c r="E31" s="2">
        <v>32028</v>
      </c>
      <c r="F31">
        <v>38</v>
      </c>
      <c r="G31" t="s">
        <v>1204</v>
      </c>
      <c r="I31" s="1">
        <v>29</v>
      </c>
      <c r="J31" s="1" t="s">
        <v>119</v>
      </c>
      <c r="K31" s="1" t="s">
        <v>53</v>
      </c>
      <c r="L31" t="s">
        <v>744</v>
      </c>
    </row>
    <row r="32" spans="1:12">
      <c r="A32">
        <v>31</v>
      </c>
      <c r="B32" t="s">
        <v>1232</v>
      </c>
      <c r="C32" t="s">
        <v>1233</v>
      </c>
      <c r="D32" t="s">
        <v>744</v>
      </c>
      <c r="E32" s="2">
        <v>32553</v>
      </c>
      <c r="F32">
        <v>36</v>
      </c>
      <c r="G32" t="s">
        <v>1204</v>
      </c>
      <c r="I32" s="1">
        <v>30</v>
      </c>
      <c r="J32" s="3" t="s">
        <v>290</v>
      </c>
      <c r="K32" s="1" t="s">
        <v>53</v>
      </c>
      <c r="L32" t="s">
        <v>744</v>
      </c>
    </row>
    <row r="33" spans="1:12">
      <c r="A33">
        <v>32</v>
      </c>
      <c r="B33" t="s">
        <v>1234</v>
      </c>
      <c r="C33" t="s">
        <v>1235</v>
      </c>
      <c r="D33" t="s">
        <v>744</v>
      </c>
      <c r="E33" s="2">
        <v>31216</v>
      </c>
      <c r="F33">
        <v>40</v>
      </c>
      <c r="G33" t="s">
        <v>1204</v>
      </c>
      <c r="I33" s="1">
        <v>31</v>
      </c>
      <c r="J33" s="1" t="s">
        <v>276</v>
      </c>
      <c r="K33" s="1" t="s">
        <v>53</v>
      </c>
      <c r="L33" t="s">
        <v>744</v>
      </c>
    </row>
    <row r="34" spans="1:12">
      <c r="A34">
        <v>33</v>
      </c>
      <c r="B34" t="s">
        <v>1236</v>
      </c>
      <c r="C34" t="s">
        <v>1237</v>
      </c>
      <c r="D34" t="s">
        <v>744</v>
      </c>
      <c r="E34" s="2">
        <v>30470</v>
      </c>
      <c r="F34">
        <v>42</v>
      </c>
      <c r="G34" t="s">
        <v>1204</v>
      </c>
      <c r="I34" s="1">
        <v>32</v>
      </c>
      <c r="J34" s="3" t="s">
        <v>52</v>
      </c>
      <c r="K34" s="1" t="s">
        <v>53</v>
      </c>
      <c r="L34" t="s">
        <v>744</v>
      </c>
    </row>
    <row r="35" spans="1:12">
      <c r="A35">
        <v>34</v>
      </c>
      <c r="B35" t="s">
        <v>1238</v>
      </c>
      <c r="C35" t="s">
        <v>1239</v>
      </c>
      <c r="D35" t="s">
        <v>744</v>
      </c>
      <c r="E35" s="2">
        <v>28780</v>
      </c>
      <c r="F35">
        <v>47</v>
      </c>
      <c r="G35" t="s">
        <v>1204</v>
      </c>
      <c r="I35" s="1">
        <v>33</v>
      </c>
      <c r="J35" s="3" t="s">
        <v>293</v>
      </c>
      <c r="K35" s="1" t="s">
        <v>53</v>
      </c>
      <c r="L35" t="s">
        <v>744</v>
      </c>
    </row>
    <row r="36" spans="1:12">
      <c r="A36">
        <v>35</v>
      </c>
      <c r="B36" t="s">
        <v>1240</v>
      </c>
      <c r="C36" t="s">
        <v>1241</v>
      </c>
      <c r="D36" t="s">
        <v>744</v>
      </c>
      <c r="E36" s="2">
        <v>33001</v>
      </c>
      <c r="F36">
        <v>35</v>
      </c>
      <c r="G36" t="s">
        <v>1204</v>
      </c>
      <c r="I36" s="1">
        <v>34</v>
      </c>
      <c r="J36" s="1" t="s">
        <v>151</v>
      </c>
      <c r="K36" s="1" t="s">
        <v>53</v>
      </c>
      <c r="L36" t="s">
        <v>744</v>
      </c>
    </row>
    <row r="37" spans="1:12">
      <c r="A37">
        <v>36</v>
      </c>
      <c r="B37" t="s">
        <v>209</v>
      </c>
      <c r="C37" t="s">
        <v>210</v>
      </c>
      <c r="D37" t="s">
        <v>744</v>
      </c>
      <c r="E37" s="2">
        <v>30659</v>
      </c>
      <c r="F37">
        <v>41</v>
      </c>
      <c r="G37" t="s">
        <v>1204</v>
      </c>
      <c r="I37" s="1">
        <v>35</v>
      </c>
      <c r="J37" s="1" t="s">
        <v>170</v>
      </c>
      <c r="K37" s="1" t="s">
        <v>53</v>
      </c>
      <c r="L37" t="s">
        <v>744</v>
      </c>
    </row>
    <row r="38" spans="1:12">
      <c r="A38">
        <v>37</v>
      </c>
      <c r="B38" t="s">
        <v>1242</v>
      </c>
      <c r="C38" t="s">
        <v>1243</v>
      </c>
      <c r="D38" t="s">
        <v>744</v>
      </c>
      <c r="E38" s="2">
        <v>31598</v>
      </c>
      <c r="F38">
        <v>39</v>
      </c>
      <c r="G38" t="s">
        <v>1204</v>
      </c>
      <c r="I38" s="1">
        <v>36</v>
      </c>
      <c r="J38" s="3" t="s">
        <v>91</v>
      </c>
      <c r="K38" s="1" t="s">
        <v>19</v>
      </c>
      <c r="L38" t="s">
        <v>744</v>
      </c>
    </row>
    <row r="39" spans="1:12">
      <c r="A39">
        <v>38</v>
      </c>
      <c r="B39" t="s">
        <v>1244</v>
      </c>
      <c r="C39" t="s">
        <v>1245</v>
      </c>
      <c r="D39" t="s">
        <v>744</v>
      </c>
      <c r="E39" s="2">
        <v>34786</v>
      </c>
      <c r="F39">
        <v>30</v>
      </c>
      <c r="G39" t="s">
        <v>1204</v>
      </c>
      <c r="I39" s="1">
        <v>37</v>
      </c>
      <c r="J39" s="3" t="s">
        <v>230</v>
      </c>
      <c r="K39" s="1" t="s">
        <v>19</v>
      </c>
      <c r="L39" t="s">
        <v>744</v>
      </c>
    </row>
    <row r="40" spans="1:12">
      <c r="A40">
        <v>39</v>
      </c>
      <c r="B40" t="s">
        <v>1246</v>
      </c>
      <c r="C40" t="s">
        <v>1247</v>
      </c>
      <c r="D40" t="s">
        <v>744</v>
      </c>
      <c r="E40" s="2">
        <v>30825</v>
      </c>
      <c r="F40">
        <v>41</v>
      </c>
      <c r="G40" t="s">
        <v>1204</v>
      </c>
      <c r="I40" s="1">
        <v>38</v>
      </c>
      <c r="J40" s="3" t="s">
        <v>208</v>
      </c>
      <c r="K40" s="1" t="s">
        <v>19</v>
      </c>
      <c r="L40" t="s">
        <v>744</v>
      </c>
    </row>
    <row r="41" spans="1:12">
      <c r="A41">
        <v>40</v>
      </c>
      <c r="B41" t="s">
        <v>1248</v>
      </c>
      <c r="C41" t="s">
        <v>1249</v>
      </c>
      <c r="D41" t="s">
        <v>744</v>
      </c>
      <c r="E41" s="2">
        <v>34191</v>
      </c>
      <c r="F41">
        <v>32</v>
      </c>
      <c r="G41" t="s">
        <v>1204</v>
      </c>
      <c r="I41" s="1">
        <v>39</v>
      </c>
      <c r="J41" s="3" t="s">
        <v>1250</v>
      </c>
      <c r="K41" s="1" t="s">
        <v>19</v>
      </c>
      <c r="L41" t="s">
        <v>744</v>
      </c>
    </row>
    <row r="42" spans="1:12">
      <c r="A42">
        <v>41</v>
      </c>
      <c r="B42" t="s">
        <v>1251</v>
      </c>
      <c r="C42" t="s">
        <v>1252</v>
      </c>
      <c r="D42" t="s">
        <v>744</v>
      </c>
      <c r="E42" s="2">
        <v>32950</v>
      </c>
      <c r="F42">
        <v>35</v>
      </c>
      <c r="G42" t="s">
        <v>1204</v>
      </c>
      <c r="I42" s="1">
        <v>40</v>
      </c>
      <c r="J42" s="1" t="s">
        <v>109</v>
      </c>
      <c r="K42" s="1" t="s">
        <v>19</v>
      </c>
      <c r="L42" t="s">
        <v>744</v>
      </c>
    </row>
    <row r="43" spans="1:12">
      <c r="A43">
        <v>42</v>
      </c>
      <c r="B43" t="s">
        <v>1253</v>
      </c>
      <c r="C43" t="s">
        <v>1254</v>
      </c>
      <c r="D43" t="s">
        <v>744</v>
      </c>
      <c r="E43" s="2">
        <v>34828</v>
      </c>
      <c r="F43">
        <v>30</v>
      </c>
      <c r="G43" t="s">
        <v>1204</v>
      </c>
      <c r="I43" s="1">
        <v>41</v>
      </c>
      <c r="J43" s="3" t="s">
        <v>283</v>
      </c>
      <c r="K43" s="1" t="s">
        <v>19</v>
      </c>
      <c r="L43" t="s">
        <v>744</v>
      </c>
    </row>
    <row r="44" spans="1:12">
      <c r="A44">
        <v>43</v>
      </c>
      <c r="B44" t="s">
        <v>1255</v>
      </c>
      <c r="C44" t="s">
        <v>1256</v>
      </c>
      <c r="D44" t="s">
        <v>744</v>
      </c>
      <c r="E44" s="2">
        <v>35203</v>
      </c>
      <c r="F44">
        <v>29</v>
      </c>
      <c r="G44" t="s">
        <v>1204</v>
      </c>
      <c r="I44" s="1">
        <v>42</v>
      </c>
      <c r="J44" s="3" t="s">
        <v>270</v>
      </c>
      <c r="K44" s="1" t="s">
        <v>19</v>
      </c>
      <c r="L44" t="s">
        <v>744</v>
      </c>
    </row>
    <row r="45" spans="1:12">
      <c r="A45">
        <v>44</v>
      </c>
      <c r="B45" t="s">
        <v>89</v>
      </c>
      <c r="C45" t="s">
        <v>90</v>
      </c>
      <c r="D45" t="s">
        <v>744</v>
      </c>
      <c r="E45" s="2">
        <v>33199</v>
      </c>
      <c r="F45">
        <v>34</v>
      </c>
      <c r="G45" t="s">
        <v>1204</v>
      </c>
      <c r="I45" s="1">
        <v>43</v>
      </c>
      <c r="J45" s="3" t="s">
        <v>249</v>
      </c>
      <c r="K45" s="1" t="s">
        <v>19</v>
      </c>
      <c r="L45" t="s">
        <v>744</v>
      </c>
    </row>
    <row r="46" spans="1:12">
      <c r="A46">
        <v>45</v>
      </c>
      <c r="B46" t="s">
        <v>1257</v>
      </c>
      <c r="C46" t="s">
        <v>1258</v>
      </c>
      <c r="D46" t="s">
        <v>744</v>
      </c>
      <c r="E46" s="2">
        <v>32982</v>
      </c>
      <c r="F46">
        <v>35</v>
      </c>
      <c r="G46" t="s">
        <v>1204</v>
      </c>
      <c r="I46" s="1">
        <v>44</v>
      </c>
      <c r="J46" s="3" t="s">
        <v>72</v>
      </c>
      <c r="K46" s="1" t="s">
        <v>31</v>
      </c>
      <c r="L46" t="s">
        <v>1259</v>
      </c>
    </row>
    <row r="47" spans="1:12">
      <c r="A47">
        <v>46</v>
      </c>
      <c r="B47" t="s">
        <v>219</v>
      </c>
      <c r="C47" t="s">
        <v>220</v>
      </c>
      <c r="D47" t="s">
        <v>744</v>
      </c>
      <c r="E47" s="2">
        <v>35657</v>
      </c>
      <c r="F47">
        <v>28</v>
      </c>
      <c r="G47" t="s">
        <v>1204</v>
      </c>
      <c r="I47" s="1">
        <v>45</v>
      </c>
      <c r="J47" s="3" t="s">
        <v>69</v>
      </c>
      <c r="K47" s="1" t="s">
        <v>31</v>
      </c>
      <c r="L47" t="s">
        <v>1259</v>
      </c>
    </row>
    <row r="48" spans="1:12">
      <c r="A48">
        <v>47</v>
      </c>
      <c r="B48" t="s">
        <v>1260</v>
      </c>
      <c r="C48" t="s">
        <v>1261</v>
      </c>
      <c r="D48" t="s">
        <v>744</v>
      </c>
      <c r="E48" s="2">
        <v>33933</v>
      </c>
      <c r="F48">
        <v>32</v>
      </c>
      <c r="G48" t="s">
        <v>1204</v>
      </c>
      <c r="I48" s="1">
        <v>46</v>
      </c>
      <c r="J48" s="3" t="s">
        <v>180</v>
      </c>
      <c r="K48" s="1" t="s">
        <v>31</v>
      </c>
      <c r="L48" t="s">
        <v>1259</v>
      </c>
    </row>
    <row r="49" spans="1:12">
      <c r="A49">
        <v>48</v>
      </c>
      <c r="B49" t="s">
        <v>107</v>
      </c>
      <c r="C49" t="s">
        <v>108</v>
      </c>
      <c r="D49" t="s">
        <v>744</v>
      </c>
      <c r="E49" s="2">
        <v>28674</v>
      </c>
      <c r="F49">
        <v>47</v>
      </c>
      <c r="G49" t="s">
        <v>1204</v>
      </c>
      <c r="I49" s="1">
        <v>47</v>
      </c>
      <c r="J49" s="3" t="s">
        <v>66</v>
      </c>
      <c r="K49" s="1" t="s">
        <v>31</v>
      </c>
      <c r="L49" t="s">
        <v>1259</v>
      </c>
    </row>
    <row r="50" spans="1:12">
      <c r="A50">
        <v>49</v>
      </c>
      <c r="B50" t="s">
        <v>1262</v>
      </c>
      <c r="C50" t="s">
        <v>1263</v>
      </c>
      <c r="D50" t="s">
        <v>744</v>
      </c>
      <c r="E50" s="2">
        <v>29512</v>
      </c>
      <c r="F50">
        <v>45</v>
      </c>
      <c r="G50" t="s">
        <v>1204</v>
      </c>
      <c r="I50" s="1">
        <v>48</v>
      </c>
      <c r="J50" s="3" t="s">
        <v>124</v>
      </c>
      <c r="K50" s="1" t="s">
        <v>31</v>
      </c>
      <c r="L50" t="s">
        <v>1259</v>
      </c>
    </row>
    <row r="51" spans="1:12">
      <c r="A51">
        <v>50</v>
      </c>
      <c r="B51" t="s">
        <v>1264</v>
      </c>
      <c r="C51" t="s">
        <v>1265</v>
      </c>
      <c r="D51" t="s">
        <v>744</v>
      </c>
      <c r="E51" s="2">
        <v>35242</v>
      </c>
      <c r="F51">
        <v>29</v>
      </c>
      <c r="G51" t="s">
        <v>1204</v>
      </c>
      <c r="I51" s="1">
        <v>49</v>
      </c>
      <c r="J51" s="3" t="s">
        <v>38</v>
      </c>
      <c r="K51" s="1" t="s">
        <v>31</v>
      </c>
      <c r="L51" t="s">
        <v>1259</v>
      </c>
    </row>
    <row r="52" spans="1:12">
      <c r="A52">
        <v>51</v>
      </c>
      <c r="B52" t="s">
        <v>1266</v>
      </c>
      <c r="C52" t="s">
        <v>1267</v>
      </c>
      <c r="D52" t="s">
        <v>744</v>
      </c>
      <c r="E52" s="2">
        <v>32613</v>
      </c>
      <c r="F52">
        <v>36</v>
      </c>
      <c r="G52" t="s">
        <v>1204</v>
      </c>
      <c r="I52" s="1">
        <v>50</v>
      </c>
      <c r="J52" s="3" t="s">
        <v>200</v>
      </c>
      <c r="K52" s="1" t="s">
        <v>31</v>
      </c>
      <c r="L52" t="s">
        <v>1259</v>
      </c>
    </row>
    <row r="53" spans="1:12">
      <c r="A53">
        <v>52</v>
      </c>
      <c r="B53" t="s">
        <v>1268</v>
      </c>
      <c r="C53" t="s">
        <v>1269</v>
      </c>
      <c r="D53" t="s">
        <v>744</v>
      </c>
      <c r="E53" s="2">
        <v>33239</v>
      </c>
      <c r="F53">
        <v>34</v>
      </c>
      <c r="G53" t="s">
        <v>1204</v>
      </c>
      <c r="I53" s="1">
        <v>51</v>
      </c>
      <c r="J53" s="3" t="s">
        <v>234</v>
      </c>
      <c r="K53" s="1" t="s">
        <v>31</v>
      </c>
      <c r="L53" t="s">
        <v>1259</v>
      </c>
    </row>
    <row r="54" spans="1:12">
      <c r="A54">
        <v>53</v>
      </c>
      <c r="B54" t="s">
        <v>1270</v>
      </c>
      <c r="C54" t="s">
        <v>1271</v>
      </c>
      <c r="D54" t="s">
        <v>744</v>
      </c>
      <c r="E54" s="2">
        <v>37564</v>
      </c>
      <c r="F54">
        <v>23</v>
      </c>
      <c r="G54" t="s">
        <v>1204</v>
      </c>
      <c r="I54" s="1">
        <v>52</v>
      </c>
      <c r="J54" s="3" t="s">
        <v>76</v>
      </c>
      <c r="K54" s="1" t="s">
        <v>31</v>
      </c>
      <c r="L54" t="s">
        <v>1259</v>
      </c>
    </row>
    <row r="55" spans="1:12">
      <c r="A55">
        <v>54</v>
      </c>
      <c r="B55" t="s">
        <v>1272</v>
      </c>
      <c r="C55" t="s">
        <v>1273</v>
      </c>
      <c r="D55" t="s">
        <v>744</v>
      </c>
      <c r="E55" s="2">
        <v>34858</v>
      </c>
      <c r="F55">
        <v>30</v>
      </c>
      <c r="G55" t="s">
        <v>1204</v>
      </c>
      <c r="I55" s="1">
        <v>53</v>
      </c>
      <c r="J55" s="3" t="s">
        <v>62</v>
      </c>
      <c r="K55" s="1" t="s">
        <v>31</v>
      </c>
      <c r="L55" t="s">
        <v>1259</v>
      </c>
    </row>
    <row r="56" spans="1:12">
      <c r="A56">
        <v>55</v>
      </c>
      <c r="B56" t="s">
        <v>1274</v>
      </c>
      <c r="C56" t="s">
        <v>1275</v>
      </c>
      <c r="D56" t="s">
        <v>744</v>
      </c>
      <c r="E56" s="2">
        <v>35506</v>
      </c>
      <c r="F56">
        <v>28</v>
      </c>
      <c r="G56" t="s">
        <v>1204</v>
      </c>
      <c r="I56" s="1">
        <v>54</v>
      </c>
      <c r="J56" s="3" t="s">
        <v>37</v>
      </c>
      <c r="K56" s="1" t="s">
        <v>31</v>
      </c>
      <c r="L56" t="s">
        <v>1259</v>
      </c>
    </row>
    <row r="57" spans="1:12">
      <c r="A57">
        <v>56</v>
      </c>
      <c r="B57" t="s">
        <v>203</v>
      </c>
      <c r="C57" t="s">
        <v>204</v>
      </c>
      <c r="D57" t="s">
        <v>744</v>
      </c>
      <c r="E57" s="2">
        <v>35349</v>
      </c>
      <c r="F57">
        <v>29</v>
      </c>
      <c r="G57" t="s">
        <v>1204</v>
      </c>
      <c r="I57" s="1">
        <v>55</v>
      </c>
      <c r="J57" s="3" t="s">
        <v>29</v>
      </c>
      <c r="K57" s="1" t="s">
        <v>31</v>
      </c>
      <c r="L57" t="s">
        <v>1259</v>
      </c>
    </row>
    <row r="58" spans="1:12">
      <c r="A58">
        <v>57</v>
      </c>
      <c r="B58" t="s">
        <v>1276</v>
      </c>
      <c r="C58" t="s">
        <v>1277</v>
      </c>
      <c r="D58" t="s">
        <v>744</v>
      </c>
      <c r="E58" s="2">
        <v>35220</v>
      </c>
      <c r="F58">
        <v>29</v>
      </c>
      <c r="G58" t="s">
        <v>1204</v>
      </c>
      <c r="I58" s="1">
        <v>56</v>
      </c>
      <c r="J58" s="1" t="s">
        <v>255</v>
      </c>
      <c r="K58" s="1" t="s">
        <v>257</v>
      </c>
      <c r="L58" t="s">
        <v>1278</v>
      </c>
    </row>
    <row r="59" spans="1:12">
      <c r="A59">
        <v>58</v>
      </c>
      <c r="B59" t="s">
        <v>225</v>
      </c>
      <c r="C59" t="s">
        <v>226</v>
      </c>
      <c r="D59" t="s">
        <v>744</v>
      </c>
      <c r="E59" s="2">
        <v>36012</v>
      </c>
      <c r="F59">
        <v>27</v>
      </c>
      <c r="G59" t="s">
        <v>1204</v>
      </c>
      <c r="I59" s="1">
        <v>57</v>
      </c>
      <c r="J59" s="1" t="s">
        <v>262</v>
      </c>
      <c r="K59" s="1" t="s">
        <v>261</v>
      </c>
      <c r="L59" t="s">
        <v>1278</v>
      </c>
    </row>
    <row r="60" spans="1:12">
      <c r="A60">
        <v>59</v>
      </c>
      <c r="B60" t="s">
        <v>1279</v>
      </c>
      <c r="C60" t="s">
        <v>1280</v>
      </c>
      <c r="D60" t="s">
        <v>744</v>
      </c>
      <c r="E60" s="2">
        <v>31845</v>
      </c>
      <c r="F60">
        <v>38</v>
      </c>
      <c r="G60" t="s">
        <v>1204</v>
      </c>
      <c r="I60" s="1">
        <v>58</v>
      </c>
      <c r="J60" s="1" t="s">
        <v>1281</v>
      </c>
      <c r="K60" s="1" t="s">
        <v>1282</v>
      </c>
      <c r="L60" t="s">
        <v>744</v>
      </c>
    </row>
    <row r="61" spans="1:12">
      <c r="A61">
        <v>60</v>
      </c>
      <c r="B61" t="s">
        <v>1283</v>
      </c>
      <c r="C61" t="s">
        <v>1284</v>
      </c>
      <c r="D61" t="s">
        <v>744</v>
      </c>
      <c r="E61" s="2">
        <v>37590</v>
      </c>
      <c r="F61">
        <v>22</v>
      </c>
      <c r="G61" t="s">
        <v>1204</v>
      </c>
      <c r="I61" s="1">
        <v>59</v>
      </c>
      <c r="J61" s="1" t="s">
        <v>263</v>
      </c>
      <c r="K61" s="1" t="s">
        <v>261</v>
      </c>
      <c r="L61" t="s">
        <v>744</v>
      </c>
    </row>
    <row r="62" spans="1:12">
      <c r="A62">
        <v>61</v>
      </c>
      <c r="B62" t="s">
        <v>1285</v>
      </c>
      <c r="C62" t="s">
        <v>1286</v>
      </c>
      <c r="D62" t="s">
        <v>744</v>
      </c>
      <c r="E62" s="2">
        <v>30028</v>
      </c>
      <c r="F62">
        <v>43</v>
      </c>
      <c r="G62" t="s">
        <v>1204</v>
      </c>
      <c r="I62" s="1">
        <v>60</v>
      </c>
      <c r="J62" s="1" t="s">
        <v>260</v>
      </c>
      <c r="K62" s="1" t="s">
        <v>261</v>
      </c>
      <c r="L62" t="s">
        <v>744</v>
      </c>
    </row>
    <row r="63" spans="1:12">
      <c r="A63">
        <v>62</v>
      </c>
      <c r="B63" t="s">
        <v>1287</v>
      </c>
      <c r="C63" t="s">
        <v>1288</v>
      </c>
      <c r="D63" t="s">
        <v>744</v>
      </c>
      <c r="E63" s="2">
        <v>24725</v>
      </c>
      <c r="F63">
        <v>58</v>
      </c>
      <c r="G63" t="s">
        <v>1204</v>
      </c>
      <c r="I63" s="1">
        <v>61</v>
      </c>
      <c r="J63" s="1" t="s">
        <v>384</v>
      </c>
      <c r="K63" s="1" t="s">
        <v>261</v>
      </c>
      <c r="L63" t="s">
        <v>744</v>
      </c>
    </row>
    <row r="64" spans="1:12">
      <c r="A64">
        <v>63</v>
      </c>
      <c r="B64" t="s">
        <v>1289</v>
      </c>
      <c r="C64" t="s">
        <v>1290</v>
      </c>
      <c r="D64" t="s">
        <v>744</v>
      </c>
      <c r="E64" s="2">
        <v>31874</v>
      </c>
      <c r="F64">
        <v>38</v>
      </c>
      <c r="G64" t="s">
        <v>1204</v>
      </c>
      <c r="I64" s="1">
        <v>62</v>
      </c>
      <c r="J64" s="1" t="s">
        <v>323</v>
      </c>
      <c r="K64" s="1" t="s">
        <v>59</v>
      </c>
      <c r="L64" t="s">
        <v>744</v>
      </c>
    </row>
    <row r="65" spans="1:13">
      <c r="A65">
        <v>64</v>
      </c>
      <c r="B65" t="s">
        <v>1291</v>
      </c>
      <c r="C65" t="s">
        <v>1292</v>
      </c>
      <c r="D65" t="s">
        <v>744</v>
      </c>
      <c r="E65" s="2">
        <v>32551</v>
      </c>
      <c r="F65">
        <v>36</v>
      </c>
      <c r="G65" t="s">
        <v>1204</v>
      </c>
      <c r="I65" s="1">
        <v>63</v>
      </c>
      <c r="J65" s="1" t="s">
        <v>1293</v>
      </c>
      <c r="K65" s="1" t="s">
        <v>59</v>
      </c>
      <c r="L65" t="s">
        <v>744</v>
      </c>
    </row>
    <row r="66" spans="1:13">
      <c r="A66">
        <v>65</v>
      </c>
      <c r="B66" t="s">
        <v>1294</v>
      </c>
      <c r="C66" t="s">
        <v>1295</v>
      </c>
      <c r="D66" t="s">
        <v>744</v>
      </c>
      <c r="E66" s="2">
        <v>33958</v>
      </c>
      <c r="F66">
        <v>32</v>
      </c>
      <c r="G66" t="s">
        <v>1204</v>
      </c>
      <c r="I66" s="1">
        <v>64</v>
      </c>
      <c r="J66" s="1" t="s">
        <v>1296</v>
      </c>
      <c r="K66" s="1" t="s">
        <v>1297</v>
      </c>
      <c r="L66" t="s">
        <v>744</v>
      </c>
    </row>
    <row r="67" spans="1:13">
      <c r="A67">
        <v>66</v>
      </c>
      <c r="B67" t="s">
        <v>1298</v>
      </c>
      <c r="C67" t="s">
        <v>1299</v>
      </c>
      <c r="D67" t="s">
        <v>744</v>
      </c>
      <c r="E67" s="2">
        <v>31132</v>
      </c>
      <c r="F67">
        <v>40</v>
      </c>
      <c r="G67" t="s">
        <v>1204</v>
      </c>
      <c r="I67" s="1">
        <v>65</v>
      </c>
      <c r="J67" s="1" t="s">
        <v>164</v>
      </c>
      <c r="K67" s="1" t="s">
        <v>50</v>
      </c>
      <c r="L67" t="s">
        <v>985</v>
      </c>
    </row>
    <row r="68" spans="1:13">
      <c r="A68">
        <v>67</v>
      </c>
      <c r="B68" t="s">
        <v>1300</v>
      </c>
      <c r="C68" t="s">
        <v>1301</v>
      </c>
      <c r="D68" t="s">
        <v>744</v>
      </c>
      <c r="E68" s="2">
        <v>29114</v>
      </c>
      <c r="F68">
        <v>46</v>
      </c>
      <c r="G68" t="s">
        <v>1204</v>
      </c>
      <c r="J68" s="4" t="s">
        <v>158</v>
      </c>
      <c r="K68" s="1" t="s">
        <v>53</v>
      </c>
      <c r="L68" t="s">
        <v>744</v>
      </c>
      <c r="M68" s="1" t="s">
        <v>1302</v>
      </c>
    </row>
    <row r="69" ht="15.75" spans="1:13">
      <c r="A69">
        <v>68</v>
      </c>
      <c r="B69" t="s">
        <v>1303</v>
      </c>
      <c r="C69" t="s">
        <v>1304</v>
      </c>
      <c r="D69" t="s">
        <v>744</v>
      </c>
      <c r="E69" s="2">
        <v>31659</v>
      </c>
      <c r="F69">
        <v>39</v>
      </c>
      <c r="G69" t="s">
        <v>1204</v>
      </c>
      <c r="J69" s="5" t="s">
        <v>320</v>
      </c>
      <c r="K69" s="6" t="s">
        <v>215</v>
      </c>
    </row>
    <row r="70" ht="15.75" spans="1:13">
      <c r="A70">
        <v>69</v>
      </c>
      <c r="B70" t="s">
        <v>1305</v>
      </c>
      <c r="C70" t="s">
        <v>1306</v>
      </c>
      <c r="D70" t="s">
        <v>744</v>
      </c>
      <c r="E70" s="2">
        <v>29022</v>
      </c>
      <c r="F70">
        <v>46</v>
      </c>
      <c r="G70" t="s">
        <v>1204</v>
      </c>
      <c r="J70" s="5" t="s">
        <v>214</v>
      </c>
      <c r="K70" s="6" t="s">
        <v>215</v>
      </c>
    </row>
    <row r="71" ht="15.75" spans="1:13">
      <c r="A71">
        <v>70</v>
      </c>
      <c r="B71" t="s">
        <v>1307</v>
      </c>
      <c r="C71" t="s">
        <v>1308</v>
      </c>
      <c r="D71" t="s">
        <v>744</v>
      </c>
      <c r="E71" s="2">
        <v>31782</v>
      </c>
      <c r="F71">
        <v>38</v>
      </c>
      <c r="G71" t="s">
        <v>1204</v>
      </c>
      <c r="J71" s="5" t="s">
        <v>392</v>
      </c>
      <c r="K71" s="6" t="s">
        <v>215</v>
      </c>
    </row>
    <row r="72" ht="15.75" spans="1:13">
      <c r="A72">
        <v>71</v>
      </c>
      <c r="B72" t="s">
        <v>1309</v>
      </c>
      <c r="C72" t="s">
        <v>1310</v>
      </c>
      <c r="D72" t="s">
        <v>744</v>
      </c>
      <c r="E72" s="2">
        <v>31817</v>
      </c>
      <c r="F72">
        <v>38</v>
      </c>
      <c r="G72" t="s">
        <v>1204</v>
      </c>
      <c r="J72" s="5" t="s">
        <v>97</v>
      </c>
      <c r="K72" s="6" t="s">
        <v>99</v>
      </c>
    </row>
    <row r="73" ht="15.75" spans="1:13">
      <c r="A73">
        <v>72</v>
      </c>
      <c r="B73" t="s">
        <v>1311</v>
      </c>
      <c r="C73" t="s">
        <v>1312</v>
      </c>
      <c r="D73" t="s">
        <v>744</v>
      </c>
      <c r="E73" s="2">
        <v>32404</v>
      </c>
      <c r="F73">
        <v>37</v>
      </c>
      <c r="G73" t="s">
        <v>1204</v>
      </c>
      <c r="J73" s="5" t="s">
        <v>353</v>
      </c>
      <c r="K73" s="6" t="s">
        <v>215</v>
      </c>
    </row>
    <row r="74" ht="15.75" spans="1:13">
      <c r="A74">
        <v>73</v>
      </c>
      <c r="B74" t="s">
        <v>168</v>
      </c>
      <c r="C74" t="s">
        <v>169</v>
      </c>
      <c r="D74" t="s">
        <v>744</v>
      </c>
      <c r="E74" s="2">
        <v>29549</v>
      </c>
      <c r="F74">
        <v>44</v>
      </c>
      <c r="G74" t="s">
        <v>1204</v>
      </c>
      <c r="J74" s="5" t="s">
        <v>154</v>
      </c>
      <c r="K74" s="6" t="s">
        <v>99</v>
      </c>
    </row>
    <row r="75" spans="1:13">
      <c r="A75">
        <v>74</v>
      </c>
      <c r="B75" t="s">
        <v>1313</v>
      </c>
      <c r="C75" t="s">
        <v>1314</v>
      </c>
      <c r="D75" t="s">
        <v>744</v>
      </c>
      <c r="E75" s="2">
        <v>31337</v>
      </c>
      <c r="F75">
        <v>40</v>
      </c>
      <c r="G75" t="s">
        <v>1204</v>
      </c>
      <c r="J75" s="3" t="s">
        <v>223</v>
      </c>
      <c r="K75" s="1" t="s">
        <v>43</v>
      </c>
    </row>
    <row r="76" spans="1:13">
      <c r="A76">
        <v>75</v>
      </c>
      <c r="B76" t="s">
        <v>1315</v>
      </c>
      <c r="C76" t="s">
        <v>1316</v>
      </c>
      <c r="D76" t="s">
        <v>744</v>
      </c>
      <c r="E76" s="2">
        <v>26058</v>
      </c>
      <c r="F76">
        <v>54</v>
      </c>
      <c r="G76" t="s">
        <v>1204</v>
      </c>
      <c r="J76" s="1" t="s">
        <v>93</v>
      </c>
      <c r="K76" s="1" t="s">
        <v>43</v>
      </c>
    </row>
    <row r="77" spans="1:13">
      <c r="A77">
        <v>76</v>
      </c>
      <c r="B77" t="s">
        <v>181</v>
      </c>
      <c r="C77" t="s">
        <v>182</v>
      </c>
      <c r="D77" t="s">
        <v>744</v>
      </c>
      <c r="E77" s="2">
        <v>26562</v>
      </c>
      <c r="F77">
        <v>53</v>
      </c>
      <c r="G77" t="s">
        <v>1204</v>
      </c>
      <c r="J77" s="1" t="s">
        <v>141</v>
      </c>
      <c r="K77" s="1" t="s">
        <v>43</v>
      </c>
    </row>
    <row r="78" spans="1:13">
      <c r="A78">
        <v>77</v>
      </c>
      <c r="B78" t="s">
        <v>221</v>
      </c>
      <c r="C78" t="s">
        <v>222</v>
      </c>
      <c r="D78" t="s">
        <v>744</v>
      </c>
      <c r="E78" s="2">
        <v>35912</v>
      </c>
      <c r="F78">
        <v>27</v>
      </c>
      <c r="G78" t="s">
        <v>1204</v>
      </c>
      <c r="J78" s="3" t="s">
        <v>42</v>
      </c>
      <c r="K78" s="1" t="s">
        <v>43</v>
      </c>
    </row>
    <row r="79" spans="1:13">
      <c r="A79">
        <v>78</v>
      </c>
      <c r="B79" t="s">
        <v>1317</v>
      </c>
      <c r="C79" t="s">
        <v>1318</v>
      </c>
      <c r="D79" t="s">
        <v>744</v>
      </c>
      <c r="E79" s="2">
        <v>35634</v>
      </c>
      <c r="F79">
        <v>28</v>
      </c>
      <c r="G79" t="s">
        <v>1204</v>
      </c>
      <c r="J79" s="1" t="s">
        <v>266</v>
      </c>
      <c r="K79" s="1" t="s">
        <v>43</v>
      </c>
    </row>
    <row r="80" spans="1:13">
      <c r="A80">
        <v>79</v>
      </c>
      <c r="B80" t="s">
        <v>1319</v>
      </c>
      <c r="C80" t="s">
        <v>1320</v>
      </c>
      <c r="D80" t="s">
        <v>744</v>
      </c>
      <c r="E80" s="2">
        <v>35678</v>
      </c>
      <c r="F80">
        <v>28</v>
      </c>
      <c r="G80" t="s">
        <v>1204</v>
      </c>
      <c r="J80" s="1" t="s">
        <v>103</v>
      </c>
      <c r="K80" s="1" t="s">
        <v>43</v>
      </c>
    </row>
    <row r="81" spans="1:11">
      <c r="A81">
        <v>80</v>
      </c>
      <c r="B81" t="s">
        <v>1321</v>
      </c>
      <c r="C81" t="s">
        <v>1322</v>
      </c>
      <c r="D81" t="s">
        <v>744</v>
      </c>
      <c r="E81" s="2">
        <v>35248</v>
      </c>
      <c r="F81">
        <v>29</v>
      </c>
      <c r="G81" t="s">
        <v>1204</v>
      </c>
      <c r="J81" s="1" t="s">
        <v>1323</v>
      </c>
      <c r="K81" s="1" t="s">
        <v>43</v>
      </c>
    </row>
    <row r="82" spans="1:11">
      <c r="A82">
        <v>81</v>
      </c>
      <c r="B82" t="s">
        <v>1324</v>
      </c>
      <c r="C82" t="s">
        <v>1325</v>
      </c>
      <c r="D82" t="s">
        <v>744</v>
      </c>
      <c r="E82" s="2">
        <v>36194</v>
      </c>
      <c r="F82">
        <v>26</v>
      </c>
      <c r="G82" t="s">
        <v>1204</v>
      </c>
      <c r="J82" s="3" t="s">
        <v>1326</v>
      </c>
      <c r="K82" s="1" t="s">
        <v>43</v>
      </c>
    </row>
    <row r="83" spans="1:11">
      <c r="A83">
        <v>82</v>
      </c>
      <c r="B83" t="s">
        <v>147</v>
      </c>
      <c r="C83" t="s">
        <v>148</v>
      </c>
      <c r="D83" t="s">
        <v>744</v>
      </c>
      <c r="E83" s="2">
        <v>29304</v>
      </c>
      <c r="F83">
        <v>45</v>
      </c>
      <c r="G83" t="s">
        <v>1204</v>
      </c>
      <c r="J83" s="1" t="s">
        <v>211</v>
      </c>
      <c r="K83" s="1" t="s">
        <v>43</v>
      </c>
    </row>
    <row r="84" spans="1:11">
      <c r="A84">
        <v>83</v>
      </c>
      <c r="B84" t="s">
        <v>235</v>
      </c>
      <c r="C84" t="s">
        <v>236</v>
      </c>
      <c r="D84" t="s">
        <v>744</v>
      </c>
      <c r="E84" s="2">
        <v>29027</v>
      </c>
      <c r="F84">
        <v>46</v>
      </c>
      <c r="G84" t="s">
        <v>1204</v>
      </c>
      <c r="J84" s="1" t="s">
        <v>379</v>
      </c>
      <c r="K84" s="1" t="s">
        <v>14</v>
      </c>
    </row>
    <row r="85" spans="1:11">
      <c r="A85">
        <v>84</v>
      </c>
      <c r="B85" t="s">
        <v>1327</v>
      </c>
      <c r="C85" t="s">
        <v>1328</v>
      </c>
      <c r="D85" t="s">
        <v>744</v>
      </c>
      <c r="E85" s="2">
        <v>33836</v>
      </c>
      <c r="F85">
        <v>33</v>
      </c>
      <c r="G85" t="s">
        <v>1204</v>
      </c>
      <c r="J85" s="3" t="s">
        <v>1329</v>
      </c>
      <c r="K85" s="1" t="s">
        <v>14</v>
      </c>
    </row>
    <row r="86" spans="1:11">
      <c r="A86">
        <v>85</v>
      </c>
      <c r="B86" t="s">
        <v>120</v>
      </c>
      <c r="C86" t="s">
        <v>121</v>
      </c>
      <c r="D86" t="s">
        <v>744</v>
      </c>
      <c r="E86" s="2">
        <v>34222</v>
      </c>
      <c r="F86">
        <v>32</v>
      </c>
      <c r="G86" t="s">
        <v>1204</v>
      </c>
      <c r="J86" s="3" t="s">
        <v>345</v>
      </c>
      <c r="K86" s="1" t="s">
        <v>14</v>
      </c>
    </row>
    <row r="87" spans="1:11">
      <c r="A87">
        <v>86</v>
      </c>
      <c r="B87" t="s">
        <v>156</v>
      </c>
      <c r="C87" t="s">
        <v>157</v>
      </c>
      <c r="D87" t="s">
        <v>744</v>
      </c>
      <c r="E87" s="2">
        <v>31245</v>
      </c>
      <c r="F87">
        <v>40</v>
      </c>
      <c r="G87" t="s">
        <v>1204</v>
      </c>
      <c r="J87" s="3" t="s">
        <v>326</v>
      </c>
      <c r="K87" s="1" t="s">
        <v>14</v>
      </c>
    </row>
    <row r="88" spans="1:11">
      <c r="A88">
        <v>87</v>
      </c>
      <c r="B88" t="s">
        <v>1330</v>
      </c>
      <c r="C88" t="s">
        <v>1331</v>
      </c>
      <c r="D88" t="s">
        <v>744</v>
      </c>
      <c r="E88" s="2">
        <v>30416</v>
      </c>
      <c r="F88">
        <v>42</v>
      </c>
      <c r="G88" t="s">
        <v>1204</v>
      </c>
      <c r="J88" s="3" t="s">
        <v>12</v>
      </c>
      <c r="K88" s="1" t="s">
        <v>14</v>
      </c>
    </row>
    <row r="89" spans="1:11">
      <c r="A89">
        <v>88</v>
      </c>
      <c r="B89" t="s">
        <v>1332</v>
      </c>
      <c r="C89" t="s">
        <v>1333</v>
      </c>
      <c r="D89" t="s">
        <v>744</v>
      </c>
      <c r="E89" s="2">
        <v>36443</v>
      </c>
      <c r="F89">
        <v>26</v>
      </c>
      <c r="G89" t="s">
        <v>1204</v>
      </c>
      <c r="J89" s="3" t="s">
        <v>381</v>
      </c>
      <c r="K89" s="1" t="s">
        <v>14</v>
      </c>
    </row>
    <row r="90" spans="1:11">
      <c r="A90">
        <v>89</v>
      </c>
      <c r="B90" t="s">
        <v>145</v>
      </c>
      <c r="C90" t="s">
        <v>146</v>
      </c>
      <c r="D90" t="s">
        <v>744</v>
      </c>
      <c r="E90" s="2">
        <v>36534</v>
      </c>
      <c r="F90">
        <v>25</v>
      </c>
      <c r="G90" t="s">
        <v>1204</v>
      </c>
      <c r="J90" s="3" t="s">
        <v>1334</v>
      </c>
      <c r="K90" s="1" t="s">
        <v>14</v>
      </c>
    </row>
    <row r="91" spans="1:11">
      <c r="A91">
        <v>90</v>
      </c>
      <c r="B91" t="s">
        <v>139</v>
      </c>
      <c r="C91" t="s">
        <v>140</v>
      </c>
      <c r="D91" t="s">
        <v>744</v>
      </c>
      <c r="E91" s="2">
        <v>33902</v>
      </c>
      <c r="F91">
        <v>33</v>
      </c>
      <c r="G91" t="s">
        <v>1204</v>
      </c>
      <c r="J91" s="3" t="s">
        <v>345</v>
      </c>
      <c r="K91" s="1" t="s">
        <v>14</v>
      </c>
    </row>
    <row r="92" spans="1:11">
      <c r="A92">
        <v>91</v>
      </c>
      <c r="B92" t="s">
        <v>1335</v>
      </c>
      <c r="C92" t="s">
        <v>1336</v>
      </c>
      <c r="D92" t="s">
        <v>744</v>
      </c>
      <c r="E92" s="2">
        <v>32674</v>
      </c>
      <c r="F92">
        <v>36</v>
      </c>
      <c r="G92" t="s">
        <v>1204</v>
      </c>
    </row>
    <row r="93" spans="1:11">
      <c r="A93">
        <v>92</v>
      </c>
      <c r="B93" t="s">
        <v>15</v>
      </c>
      <c r="C93" t="s">
        <v>16</v>
      </c>
      <c r="D93" t="s">
        <v>744</v>
      </c>
      <c r="E93" s="2">
        <v>37151</v>
      </c>
      <c r="F93">
        <v>24</v>
      </c>
      <c r="G93" t="s">
        <v>1204</v>
      </c>
    </row>
    <row r="94" spans="1:11">
      <c r="A94">
        <v>93</v>
      </c>
      <c r="B94" t="s">
        <v>1337</v>
      </c>
      <c r="C94" t="s">
        <v>1338</v>
      </c>
      <c r="D94" t="s">
        <v>744</v>
      </c>
      <c r="E94" s="2">
        <v>31289</v>
      </c>
      <c r="F94">
        <v>40</v>
      </c>
      <c r="G94" t="s">
        <v>1204</v>
      </c>
    </row>
    <row r="95" spans="1:11">
      <c r="A95">
        <v>94</v>
      </c>
      <c r="B95" t="s">
        <v>192</v>
      </c>
      <c r="C95" t="s">
        <v>193</v>
      </c>
      <c r="D95" t="s">
        <v>744</v>
      </c>
      <c r="E95" s="2">
        <v>28354</v>
      </c>
      <c r="F95">
        <v>48</v>
      </c>
      <c r="G95" t="s">
        <v>1204</v>
      </c>
    </row>
    <row r="96" spans="1:11">
      <c r="A96">
        <v>95</v>
      </c>
      <c r="B96" t="s">
        <v>1339</v>
      </c>
      <c r="C96" t="s">
        <v>1340</v>
      </c>
      <c r="D96" t="s">
        <v>744</v>
      </c>
      <c r="E96" s="2">
        <v>31771</v>
      </c>
      <c r="F96">
        <v>38</v>
      </c>
      <c r="G96" t="s">
        <v>1204</v>
      </c>
    </row>
    <row r="97" spans="1:7">
      <c r="A97">
        <v>96</v>
      </c>
      <c r="B97" t="s">
        <v>1341</v>
      </c>
      <c r="C97" t="s">
        <v>1342</v>
      </c>
      <c r="D97" t="s">
        <v>744</v>
      </c>
      <c r="E97" s="2">
        <v>32677</v>
      </c>
      <c r="F97">
        <v>36</v>
      </c>
      <c r="G97" t="s">
        <v>1204</v>
      </c>
    </row>
    <row r="98" spans="1:7">
      <c r="A98">
        <v>97</v>
      </c>
      <c r="B98" t="s">
        <v>1343</v>
      </c>
      <c r="C98" t="s">
        <v>1344</v>
      </c>
      <c r="D98" t="s">
        <v>744</v>
      </c>
      <c r="E98" s="2">
        <v>28318</v>
      </c>
      <c r="F98">
        <v>48</v>
      </c>
      <c r="G98" t="s">
        <v>1204</v>
      </c>
    </row>
    <row r="99" spans="1:7">
      <c r="A99">
        <v>98</v>
      </c>
      <c r="B99" t="s">
        <v>1345</v>
      </c>
      <c r="C99" t="s">
        <v>1346</v>
      </c>
      <c r="D99" t="s">
        <v>744</v>
      </c>
      <c r="E99" s="2">
        <v>32520</v>
      </c>
      <c r="F99">
        <v>36</v>
      </c>
      <c r="G99" t="s">
        <v>1204</v>
      </c>
    </row>
    <row r="100" spans="1:7">
      <c r="A100">
        <v>99</v>
      </c>
      <c r="B100" t="s">
        <v>1347</v>
      </c>
      <c r="C100" t="s">
        <v>1348</v>
      </c>
      <c r="D100" t="s">
        <v>744</v>
      </c>
      <c r="E100" s="2">
        <v>37374</v>
      </c>
      <c r="F100">
        <v>23</v>
      </c>
      <c r="G100" t="s">
        <v>1204</v>
      </c>
    </row>
    <row r="101" spans="1:7">
      <c r="A101">
        <v>100</v>
      </c>
      <c r="B101" t="s">
        <v>1349</v>
      </c>
      <c r="C101" t="s">
        <v>1350</v>
      </c>
      <c r="D101" t="s">
        <v>744</v>
      </c>
      <c r="E101" s="2">
        <v>36747</v>
      </c>
      <c r="F101">
        <v>25</v>
      </c>
      <c r="G101" t="s">
        <v>1204</v>
      </c>
    </row>
    <row r="102" spans="1:7">
      <c r="A102">
        <v>101</v>
      </c>
      <c r="B102" t="s">
        <v>70</v>
      </c>
      <c r="C102" t="s">
        <v>71</v>
      </c>
      <c r="D102" t="s">
        <v>744</v>
      </c>
      <c r="E102" s="2">
        <v>29824</v>
      </c>
      <c r="F102">
        <v>44</v>
      </c>
      <c r="G102" t="s">
        <v>1204</v>
      </c>
    </row>
    <row r="103" spans="1:7">
      <c r="A103">
        <v>102</v>
      </c>
      <c r="B103" t="s">
        <v>166</v>
      </c>
      <c r="C103" t="s">
        <v>167</v>
      </c>
      <c r="D103" t="s">
        <v>744</v>
      </c>
      <c r="E103" s="2">
        <v>29721</v>
      </c>
      <c r="F103">
        <v>44</v>
      </c>
      <c r="G103" t="s">
        <v>1204</v>
      </c>
    </row>
    <row r="104" spans="1:7">
      <c r="A104">
        <v>103</v>
      </c>
      <c r="B104" t="s">
        <v>183</v>
      </c>
      <c r="C104" t="s">
        <v>184</v>
      </c>
      <c r="D104" t="s">
        <v>744</v>
      </c>
      <c r="E104" s="2">
        <v>32000</v>
      </c>
      <c r="F104">
        <v>38</v>
      </c>
      <c r="G104" t="s">
        <v>1204</v>
      </c>
    </row>
    <row r="105" spans="1:7">
      <c r="A105">
        <v>104</v>
      </c>
      <c r="B105" t="s">
        <v>67</v>
      </c>
      <c r="C105" t="s">
        <v>68</v>
      </c>
      <c r="D105" t="s">
        <v>744</v>
      </c>
      <c r="E105" s="2">
        <v>32208</v>
      </c>
      <c r="F105">
        <v>37</v>
      </c>
      <c r="G105" t="s">
        <v>1204</v>
      </c>
    </row>
    <row r="106" spans="1:7">
      <c r="A106">
        <v>105</v>
      </c>
      <c r="B106" t="s">
        <v>178</v>
      </c>
      <c r="C106" t="s">
        <v>179</v>
      </c>
      <c r="D106" t="s">
        <v>744</v>
      </c>
      <c r="E106" s="2">
        <v>33101</v>
      </c>
      <c r="F106">
        <v>35</v>
      </c>
      <c r="G106" t="s">
        <v>1204</v>
      </c>
    </row>
    <row r="107" spans="1:7">
      <c r="A107">
        <v>106</v>
      </c>
      <c r="B107" t="s">
        <v>27</v>
      </c>
      <c r="C107" t="s">
        <v>28</v>
      </c>
      <c r="D107" t="s">
        <v>744</v>
      </c>
      <c r="E107" s="2">
        <v>33334</v>
      </c>
      <c r="F107">
        <v>34</v>
      </c>
      <c r="G107" t="s">
        <v>1204</v>
      </c>
    </row>
    <row r="108" spans="1:7">
      <c r="A108">
        <v>107</v>
      </c>
      <c r="B108" t="s">
        <v>105</v>
      </c>
      <c r="C108" t="s">
        <v>106</v>
      </c>
      <c r="D108" t="s">
        <v>744</v>
      </c>
      <c r="E108" s="2">
        <v>31469</v>
      </c>
      <c r="F108">
        <v>39</v>
      </c>
      <c r="G108" t="s">
        <v>1204</v>
      </c>
    </row>
    <row r="109" spans="1:7">
      <c r="A109">
        <v>108</v>
      </c>
      <c r="B109" t="s">
        <v>185</v>
      </c>
      <c r="C109" t="s">
        <v>186</v>
      </c>
      <c r="D109" t="s">
        <v>744</v>
      </c>
      <c r="E109" s="2">
        <v>34555</v>
      </c>
      <c r="F109">
        <v>31</v>
      </c>
      <c r="G109" t="s">
        <v>1204</v>
      </c>
    </row>
    <row r="110" spans="1:7">
      <c r="A110">
        <v>109</v>
      </c>
      <c r="B110" t="s">
        <v>198</v>
      </c>
      <c r="C110" t="s">
        <v>199</v>
      </c>
      <c r="D110" t="s">
        <v>744</v>
      </c>
      <c r="E110" s="2">
        <v>27654</v>
      </c>
      <c r="F110">
        <v>50</v>
      </c>
      <c r="G110" t="s">
        <v>1204</v>
      </c>
    </row>
    <row r="111" spans="1:7">
      <c r="A111">
        <v>110</v>
      </c>
      <c r="B111" t="s">
        <v>237</v>
      </c>
      <c r="C111" t="s">
        <v>238</v>
      </c>
      <c r="D111" t="s">
        <v>744</v>
      </c>
      <c r="E111" s="2">
        <v>34155</v>
      </c>
      <c r="F111">
        <v>32</v>
      </c>
      <c r="G111" t="s">
        <v>1204</v>
      </c>
    </row>
    <row r="112" spans="1:7">
      <c r="A112">
        <v>111</v>
      </c>
      <c r="B112" t="s">
        <v>187</v>
      </c>
      <c r="C112" t="s">
        <v>188</v>
      </c>
      <c r="D112" t="s">
        <v>744</v>
      </c>
      <c r="E112" s="2">
        <v>33787</v>
      </c>
      <c r="F112">
        <v>33</v>
      </c>
      <c r="G112" t="s">
        <v>1204</v>
      </c>
    </row>
    <row r="113" spans="1:7">
      <c r="A113">
        <v>112</v>
      </c>
      <c r="B113" t="s">
        <v>122</v>
      </c>
      <c r="C113" t="s">
        <v>123</v>
      </c>
      <c r="D113" t="s">
        <v>744</v>
      </c>
      <c r="E113" s="2">
        <v>27159</v>
      </c>
      <c r="F113">
        <v>51</v>
      </c>
      <c r="G113" t="s">
        <v>1204</v>
      </c>
    </row>
    <row r="114" spans="1:7">
      <c r="A114">
        <v>113</v>
      </c>
      <c r="B114" t="s">
        <v>64</v>
      </c>
      <c r="C114" t="s">
        <v>65</v>
      </c>
      <c r="D114" t="s">
        <v>744</v>
      </c>
      <c r="E114" s="2">
        <v>29984</v>
      </c>
      <c r="F114">
        <v>43</v>
      </c>
      <c r="G114" t="s">
        <v>1204</v>
      </c>
    </row>
    <row r="115" spans="1:7">
      <c r="A115">
        <v>114</v>
      </c>
      <c r="B115" t="s">
        <v>1351</v>
      </c>
      <c r="C115" t="s">
        <v>1352</v>
      </c>
      <c r="D115" t="s">
        <v>744</v>
      </c>
      <c r="E115" s="2">
        <v>31656</v>
      </c>
      <c r="F115">
        <v>39</v>
      </c>
      <c r="G115" t="s">
        <v>1204</v>
      </c>
    </row>
    <row r="116" spans="1:7">
      <c r="A116">
        <v>115</v>
      </c>
      <c r="B116" t="s">
        <v>74</v>
      </c>
      <c r="C116" t="s">
        <v>75</v>
      </c>
      <c r="D116" t="s">
        <v>744</v>
      </c>
      <c r="E116" s="2">
        <v>30956</v>
      </c>
      <c r="F116">
        <v>41</v>
      </c>
      <c r="G116" t="s">
        <v>1204</v>
      </c>
    </row>
    <row r="117" spans="1:7">
      <c r="A117">
        <v>116</v>
      </c>
      <c r="B117" t="s">
        <v>77</v>
      </c>
      <c r="C117" t="s">
        <v>78</v>
      </c>
      <c r="D117" t="s">
        <v>744</v>
      </c>
      <c r="E117" s="2">
        <v>33599</v>
      </c>
      <c r="F117">
        <v>33</v>
      </c>
      <c r="G117" t="s">
        <v>1204</v>
      </c>
    </row>
    <row r="118" spans="1:7">
      <c r="A118">
        <v>117</v>
      </c>
      <c r="B118" t="s">
        <v>1159</v>
      </c>
      <c r="C118" t="s">
        <v>367</v>
      </c>
      <c r="D118" t="s">
        <v>744</v>
      </c>
      <c r="E118" s="2">
        <v>32332</v>
      </c>
      <c r="F118">
        <v>37</v>
      </c>
      <c r="G118" t="s">
        <v>1204</v>
      </c>
    </row>
    <row r="119" spans="1:7">
      <c r="A119">
        <v>118</v>
      </c>
      <c r="B119" t="s">
        <v>60</v>
      </c>
      <c r="C119" t="s">
        <v>61</v>
      </c>
      <c r="D119" t="s">
        <v>744</v>
      </c>
      <c r="E119" s="2">
        <v>31768</v>
      </c>
      <c r="F119">
        <v>38</v>
      </c>
      <c r="G119" t="s">
        <v>1204</v>
      </c>
    </row>
    <row r="120" spans="1:7">
      <c r="A120">
        <v>119</v>
      </c>
      <c r="B120" t="s">
        <v>232</v>
      </c>
      <c r="C120" t="s">
        <v>233</v>
      </c>
      <c r="D120" t="s">
        <v>744</v>
      </c>
      <c r="E120" s="2">
        <v>31484</v>
      </c>
      <c r="F120">
        <v>39</v>
      </c>
      <c r="G120" t="s">
        <v>1204</v>
      </c>
    </row>
    <row r="121" spans="1:7">
      <c r="A121">
        <v>120</v>
      </c>
      <c r="B121" t="s">
        <v>239</v>
      </c>
      <c r="C121" t="s">
        <v>240</v>
      </c>
      <c r="D121" t="s">
        <v>744</v>
      </c>
      <c r="E121" s="2">
        <v>32752</v>
      </c>
      <c r="F121">
        <v>36</v>
      </c>
      <c r="G121" t="s">
        <v>1204</v>
      </c>
    </row>
    <row r="122" spans="1:7">
      <c r="A122">
        <v>121</v>
      </c>
      <c r="B122" t="s">
        <v>1353</v>
      </c>
      <c r="C122" t="s">
        <v>1354</v>
      </c>
      <c r="D122" t="s">
        <v>744</v>
      </c>
      <c r="E122" s="2">
        <v>30961</v>
      </c>
      <c r="F122">
        <v>41</v>
      </c>
      <c r="G122" t="s">
        <v>1204</v>
      </c>
    </row>
    <row r="123" spans="1:7">
      <c r="A123">
        <v>122</v>
      </c>
      <c r="B123" t="s">
        <v>1330</v>
      </c>
      <c r="C123" t="s">
        <v>1331</v>
      </c>
      <c r="D123" t="s">
        <v>744</v>
      </c>
      <c r="E123" s="2">
        <v>30416</v>
      </c>
      <c r="F123">
        <v>42</v>
      </c>
      <c r="G123" t="s">
        <v>1204</v>
      </c>
    </row>
    <row r="124" spans="1:7">
      <c r="A124">
        <v>123</v>
      </c>
      <c r="B124" t="s">
        <v>1355</v>
      </c>
      <c r="C124" t="s">
        <v>1356</v>
      </c>
      <c r="D124" t="s">
        <v>744</v>
      </c>
      <c r="E124" s="2">
        <v>33200</v>
      </c>
      <c r="F124">
        <v>34</v>
      </c>
      <c r="G124" t="s">
        <v>1204</v>
      </c>
    </row>
    <row r="125" spans="1:7">
      <c r="A125">
        <v>124</v>
      </c>
      <c r="B125" t="s">
        <v>35</v>
      </c>
      <c r="C125" t="s">
        <v>36</v>
      </c>
      <c r="D125" t="s">
        <v>744</v>
      </c>
      <c r="E125" s="2">
        <v>33246</v>
      </c>
      <c r="F125">
        <v>34</v>
      </c>
      <c r="G125" t="s">
        <v>1204</v>
      </c>
    </row>
    <row r="126" spans="1:7">
      <c r="A126">
        <v>125</v>
      </c>
      <c r="B126" t="s">
        <v>201</v>
      </c>
      <c r="C126" t="s">
        <v>202</v>
      </c>
      <c r="D126" t="s">
        <v>744</v>
      </c>
      <c r="E126" s="2">
        <v>27312</v>
      </c>
      <c r="F126">
        <v>51</v>
      </c>
      <c r="G126" t="s">
        <v>1204</v>
      </c>
    </row>
    <row r="127" spans="1:7">
      <c r="A127">
        <v>126</v>
      </c>
      <c r="B127" t="s">
        <v>258</v>
      </c>
      <c r="C127" t="s">
        <v>259</v>
      </c>
      <c r="D127" t="s">
        <v>1278</v>
      </c>
      <c r="E127" s="2">
        <v>32999</v>
      </c>
      <c r="F127">
        <v>35</v>
      </c>
      <c r="G127" t="s">
        <v>1204</v>
      </c>
    </row>
    <row r="128" spans="1:7">
      <c r="A128">
        <v>127</v>
      </c>
      <c r="B128" t="s">
        <v>253</v>
      </c>
      <c r="C128" t="s">
        <v>254</v>
      </c>
      <c r="D128" t="s">
        <v>1278</v>
      </c>
      <c r="E128" s="2">
        <v>31126</v>
      </c>
      <c r="F128">
        <v>40</v>
      </c>
      <c r="G128" t="s">
        <v>1204</v>
      </c>
    </row>
    <row r="129" spans="2:4">
      <c r="B129" t="s">
        <v>1357</v>
      </c>
      <c r="C129" t="s">
        <v>1358</v>
      </c>
      <c r="D129" t="s">
        <v>985</v>
      </c>
    </row>
    <row r="130" spans="2:4">
      <c r="B130" t="s">
        <v>1313</v>
      </c>
      <c r="C130" t="s">
        <v>1314</v>
      </c>
    </row>
    <row r="131" spans="2:4">
      <c r="B131" t="s">
        <v>1359</v>
      </c>
      <c r="C131" t="s">
        <v>1320</v>
      </c>
    </row>
    <row r="132" spans="2:4">
      <c r="B132" t="s">
        <v>201</v>
      </c>
      <c r="C132" t="s">
        <v>202</v>
      </c>
    </row>
    <row r="133" spans="2:4">
      <c r="B133" t="s">
        <v>156</v>
      </c>
      <c r="C133" t="s">
        <v>157</v>
      </c>
    </row>
    <row r="134" spans="2:4">
      <c r="B134" t="s">
        <v>1343</v>
      </c>
      <c r="C134" t="s">
        <v>1344</v>
      </c>
    </row>
    <row r="135" spans="2:4">
      <c r="B135" t="s">
        <v>1345</v>
      </c>
      <c r="C135" t="s">
        <v>1346</v>
      </c>
    </row>
    <row r="136" spans="2:4">
      <c r="B136" t="s">
        <v>1360</v>
      </c>
      <c r="C136" t="s">
        <v>1361</v>
      </c>
    </row>
    <row r="137" spans="2:4">
      <c r="B137" t="s">
        <v>1362</v>
      </c>
      <c r="C137" t="s">
        <v>1363</v>
      </c>
    </row>
    <row r="138" spans="2:4">
      <c r="B138" t="s">
        <v>1364</v>
      </c>
      <c r="C138" t="s">
        <v>1365</v>
      </c>
    </row>
    <row r="139" spans="2:4">
      <c r="B139" t="s">
        <v>95</v>
      </c>
      <c r="C139" t="s">
        <v>96</v>
      </c>
    </row>
    <row r="140" spans="2:4">
      <c r="B140" t="s">
        <v>1366</v>
      </c>
      <c r="C140" t="s">
        <v>1367</v>
      </c>
    </row>
    <row r="141" spans="2:4">
      <c r="B141" t="s">
        <v>1368</v>
      </c>
      <c r="C141" t="s">
        <v>1369</v>
      </c>
    </row>
    <row r="142" spans="2:4">
      <c r="B142" t="s">
        <v>1370</v>
      </c>
      <c r="C142" t="s">
        <v>1371</v>
      </c>
    </row>
    <row r="143" spans="2:4">
      <c r="B143" t="s">
        <v>1372</v>
      </c>
      <c r="C143" t="s">
        <v>1346</v>
      </c>
    </row>
    <row r="144" spans="2:4">
      <c r="B144" t="s">
        <v>228</v>
      </c>
      <c r="C144" t="s">
        <v>229</v>
      </c>
    </row>
    <row r="145" spans="2:3">
      <c r="B145" t="s">
        <v>1166</v>
      </c>
      <c r="C145" t="s">
        <v>1373</v>
      </c>
    </row>
    <row r="146" spans="2:3">
      <c r="B146" t="s">
        <v>192</v>
      </c>
      <c r="C146" t="s">
        <v>193</v>
      </c>
    </row>
    <row r="147" spans="2:3">
      <c r="B147" t="s">
        <v>117</v>
      </c>
      <c r="C147" t="s">
        <v>118</v>
      </c>
    </row>
    <row r="148" spans="2:3">
      <c r="B148" t="s">
        <v>40</v>
      </c>
      <c r="C148" t="s">
        <v>41</v>
      </c>
    </row>
    <row r="149" spans="2:3">
      <c r="B149" t="s">
        <v>1374</v>
      </c>
      <c r="C149" t="s">
        <v>138</v>
      </c>
    </row>
    <row r="150" spans="2:3">
      <c r="B150" t="s">
        <v>101</v>
      </c>
      <c r="C150" t="s">
        <v>102</v>
      </c>
    </row>
    <row r="151" spans="2:3">
      <c r="B151" t="s">
        <v>172</v>
      </c>
      <c r="C151" t="s">
        <v>173</v>
      </c>
    </row>
    <row r="152" spans="2:3">
      <c r="B152" t="s">
        <v>1375</v>
      </c>
      <c r="C152" t="s">
        <v>1376</v>
      </c>
    </row>
    <row r="153" spans="2:3">
      <c r="B153" t="s">
        <v>1377</v>
      </c>
      <c r="C153" t="s">
        <v>1378</v>
      </c>
    </row>
    <row r="154" spans="2:3">
      <c r="B154" t="s">
        <v>1379</v>
      </c>
      <c r="C154" t="s">
        <v>114</v>
      </c>
    </row>
    <row r="155" spans="2:3">
      <c r="B155" t="s">
        <v>1380</v>
      </c>
      <c r="C155" t="s">
        <v>1314</v>
      </c>
    </row>
    <row r="156" spans="2:3">
      <c r="B156" t="s">
        <v>1381</v>
      </c>
      <c r="C156" t="s">
        <v>1286</v>
      </c>
    </row>
    <row r="157" spans="2:3">
      <c r="B157" t="s">
        <v>1382</v>
      </c>
      <c r="C157" t="s">
        <v>1383</v>
      </c>
    </row>
    <row r="158" spans="2:3">
      <c r="B158" t="s">
        <v>1384</v>
      </c>
      <c r="C158" t="s">
        <v>1385</v>
      </c>
    </row>
    <row r="159" spans="2:3">
      <c r="B159" t="s">
        <v>1386</v>
      </c>
      <c r="C159" t="s">
        <v>1387</v>
      </c>
    </row>
    <row r="160" spans="2:3">
      <c r="B160" t="s">
        <v>1388</v>
      </c>
      <c r="C160" t="s">
        <v>1373</v>
      </c>
    </row>
    <row r="161" spans="2:3">
      <c r="B161" t="s">
        <v>1389</v>
      </c>
      <c r="C161" t="s">
        <v>1390</v>
      </c>
    </row>
    <row r="162" spans="2:3">
      <c r="B162" t="s">
        <v>1391</v>
      </c>
      <c r="C162" t="s">
        <v>1392</v>
      </c>
    </row>
    <row r="163" spans="2:3">
      <c r="B163" t="s">
        <v>6</v>
      </c>
      <c r="C163" t="s">
        <v>7</v>
      </c>
    </row>
    <row r="164" spans="2:3">
      <c r="B164" t="s">
        <v>1170</v>
      </c>
      <c r="C164" t="s">
        <v>229</v>
      </c>
    </row>
    <row r="165" spans="2:3">
      <c r="B165" t="s">
        <v>1166</v>
      </c>
      <c r="C165" t="s">
        <v>1373</v>
      </c>
    </row>
    <row r="166" spans="2:3">
      <c r="B166" t="s">
        <v>120</v>
      </c>
      <c r="C166" t="s">
        <v>121</v>
      </c>
    </row>
    <row r="167" spans="2:3">
      <c r="B167" t="s">
        <v>1393</v>
      </c>
      <c r="C167" t="s">
        <v>1258</v>
      </c>
    </row>
    <row r="168" spans="2:3">
      <c r="B168" t="s">
        <v>1270</v>
      </c>
      <c r="C168" t="s">
        <v>1271</v>
      </c>
    </row>
    <row r="169" spans="2:3">
      <c r="B169" t="s">
        <v>137</v>
      </c>
      <c r="C169" t="s">
        <v>138</v>
      </c>
    </row>
    <row r="170" spans="2:3">
      <c r="B170" t="s">
        <v>85</v>
      </c>
      <c r="C170" t="s">
        <v>86</v>
      </c>
    </row>
    <row r="171" spans="2:3">
      <c r="B171" t="s">
        <v>241</v>
      </c>
      <c r="C171" t="s">
        <v>242</v>
      </c>
    </row>
    <row r="172" spans="2:3">
      <c r="B172" t="s">
        <v>243</v>
      </c>
      <c r="C172" t="s">
        <v>244</v>
      </c>
    </row>
    <row r="173" spans="2:3">
      <c r="B173" t="s">
        <v>399</v>
      </c>
      <c r="C173" t="s">
        <v>400</v>
      </c>
    </row>
    <row r="174" spans="2:3">
      <c r="B174" t="s">
        <v>1394</v>
      </c>
      <c r="C174" t="s">
        <v>1395</v>
      </c>
    </row>
    <row r="175" spans="2:3">
      <c r="B175" t="s">
        <v>1396</v>
      </c>
      <c r="C175" t="s">
        <v>213</v>
      </c>
    </row>
    <row r="176" spans="2:3">
      <c r="B176" t="s">
        <v>1397</v>
      </c>
      <c r="C176" t="s">
        <v>1398</v>
      </c>
    </row>
    <row r="177" spans="2:3">
      <c r="B177" t="s">
        <v>1399</v>
      </c>
      <c r="C177" t="s">
        <v>1400</v>
      </c>
    </row>
    <row r="178" spans="2:3">
      <c r="B178" t="s">
        <v>1401</v>
      </c>
      <c r="C178" t="s">
        <v>1402</v>
      </c>
    </row>
    <row r="179" spans="2:3">
      <c r="B179" t="s">
        <v>1403</v>
      </c>
      <c r="C179" t="s">
        <v>1404</v>
      </c>
    </row>
    <row r="180" spans="2:3">
      <c r="B180" t="s">
        <v>1405</v>
      </c>
      <c r="C180" t="s">
        <v>1406</v>
      </c>
    </row>
    <row r="181" spans="2:3">
      <c r="B181" t="s">
        <v>1407</v>
      </c>
      <c r="C181" t="s">
        <v>1408</v>
      </c>
    </row>
    <row r="182" spans="2:3">
      <c r="B182" t="s">
        <v>1409</v>
      </c>
      <c r="C182" t="s">
        <v>1410</v>
      </c>
    </row>
    <row r="183" spans="2:3">
      <c r="B183" t="s">
        <v>1177</v>
      </c>
      <c r="C183" t="s">
        <v>1411</v>
      </c>
    </row>
    <row r="184" spans="2:3">
      <c r="B184" t="s">
        <v>245</v>
      </c>
      <c r="C184" t="s">
        <v>246</v>
      </c>
    </row>
    <row r="185" spans="2:3">
      <c r="B185" t="s">
        <v>250</v>
      </c>
      <c r="C185" t="s">
        <v>251</v>
      </c>
    </row>
    <row r="186" spans="2:3">
      <c r="B186" t="s">
        <v>1412</v>
      </c>
      <c r="C186" t="s">
        <v>1413</v>
      </c>
    </row>
    <row r="187" spans="2:3">
      <c r="B187" t="s">
        <v>337</v>
      </c>
      <c r="C187" t="s">
        <v>338</v>
      </c>
    </row>
    <row r="188" spans="2:3">
      <c r="B188" t="s">
        <v>1414</v>
      </c>
      <c r="C188" t="s">
        <v>1415</v>
      </c>
    </row>
    <row r="189" spans="2:3">
      <c r="B189" t="s">
        <v>1416</v>
      </c>
      <c r="C189" t="s">
        <v>1417</v>
      </c>
    </row>
    <row r="190" spans="2:3">
      <c r="B190" t="s">
        <v>264</v>
      </c>
      <c r="C190" t="s">
        <v>265</v>
      </c>
    </row>
    <row r="191" spans="2:3">
      <c r="B191" t="s">
        <v>1418</v>
      </c>
      <c r="C191" t="s">
        <v>1419</v>
      </c>
    </row>
    <row r="192" spans="2:3">
      <c r="B192" t="s">
        <v>1420</v>
      </c>
      <c r="C192" t="s">
        <v>1421</v>
      </c>
    </row>
    <row r="193" spans="2:3">
      <c r="B193" t="s">
        <v>1422</v>
      </c>
      <c r="C193" t="s">
        <v>1423</v>
      </c>
    </row>
    <row r="194" spans="2:3">
      <c r="B194" t="s">
        <v>1424</v>
      </c>
      <c r="C194" t="s">
        <v>1273</v>
      </c>
    </row>
    <row r="195" spans="2:3">
      <c r="B195" t="s">
        <v>1425</v>
      </c>
      <c r="C195" t="s">
        <v>1426</v>
      </c>
    </row>
    <row r="196" spans="2:3">
      <c r="B196" t="s">
        <v>268</v>
      </c>
      <c r="C196" t="s">
        <v>269</v>
      </c>
    </row>
    <row r="197" spans="2:3">
      <c r="B197" t="s">
        <v>271</v>
      </c>
      <c r="C197" t="s">
        <v>272</v>
      </c>
    </row>
    <row r="198" spans="2:3">
      <c r="B198" t="s">
        <v>1427</v>
      </c>
      <c r="C198" t="s">
        <v>1428</v>
      </c>
    </row>
    <row r="199" spans="2:3">
      <c r="B199" t="s">
        <v>1429</v>
      </c>
      <c r="C199" t="s">
        <v>1430</v>
      </c>
    </row>
    <row r="200" spans="2:3">
      <c r="B200" t="s">
        <v>273</v>
      </c>
      <c r="C200" t="s">
        <v>274</v>
      </c>
    </row>
    <row r="201" spans="2:3">
      <c r="B201" t="s">
        <v>1431</v>
      </c>
      <c r="C201" t="s">
        <v>1432</v>
      </c>
    </row>
    <row r="202" spans="2:3">
      <c r="B202" t="s">
        <v>277</v>
      </c>
      <c r="C202" t="s">
        <v>278</v>
      </c>
    </row>
    <row r="203" spans="2:3">
      <c r="B203" t="s">
        <v>1433</v>
      </c>
      <c r="C203" t="s">
        <v>1434</v>
      </c>
    </row>
    <row r="204" spans="2:3">
      <c r="B204" t="s">
        <v>279</v>
      </c>
      <c r="C204" t="s">
        <v>280</v>
      </c>
    </row>
    <row r="205" spans="2:3">
      <c r="B205" t="s">
        <v>1435</v>
      </c>
      <c r="C205" t="s">
        <v>1436</v>
      </c>
    </row>
    <row r="206" spans="2:3">
      <c r="B206" t="s">
        <v>281</v>
      </c>
      <c r="C206" t="s">
        <v>282</v>
      </c>
    </row>
    <row r="207" spans="2:3">
      <c r="B207" t="s">
        <v>1437</v>
      </c>
      <c r="C207" t="s">
        <v>1438</v>
      </c>
    </row>
    <row r="208" spans="2:3">
      <c r="B208" t="s">
        <v>284</v>
      </c>
      <c r="C208" t="s">
        <v>285</v>
      </c>
    </row>
    <row r="209" spans="2:3">
      <c r="B209" t="s">
        <v>1439</v>
      </c>
      <c r="C209" t="s">
        <v>1440</v>
      </c>
    </row>
    <row r="210" spans="2:3">
      <c r="B210" t="s">
        <v>1424</v>
      </c>
      <c r="C210" t="s">
        <v>1273</v>
      </c>
    </row>
    <row r="211" spans="2:3">
      <c r="B211" t="s">
        <v>1441</v>
      </c>
      <c r="C211" t="s">
        <v>1442</v>
      </c>
    </row>
    <row r="212" spans="2:3">
      <c r="B212" t="s">
        <v>288</v>
      </c>
      <c r="C212" t="s">
        <v>289</v>
      </c>
    </row>
    <row r="213" spans="2:3">
      <c r="B213" t="s">
        <v>331</v>
      </c>
      <c r="C213" t="s">
        <v>332</v>
      </c>
    </row>
    <row r="214" spans="2:3">
      <c r="B214" t="s">
        <v>291</v>
      </c>
      <c r="C214" t="s">
        <v>292</v>
      </c>
    </row>
    <row r="215" spans="2:3">
      <c r="B215" t="s">
        <v>294</v>
      </c>
      <c r="C215" t="s">
        <v>295</v>
      </c>
    </row>
    <row r="216" spans="2:3">
      <c r="B216" t="s">
        <v>331</v>
      </c>
      <c r="C216" t="s">
        <v>332</v>
      </c>
    </row>
    <row r="217" spans="2:3">
      <c r="B217" t="s">
        <v>339</v>
      </c>
      <c r="C217" t="s">
        <v>340</v>
      </c>
    </row>
    <row r="218" spans="2:3">
      <c r="B218" t="s">
        <v>296</v>
      </c>
      <c r="C218" t="s">
        <v>297</v>
      </c>
    </row>
    <row r="219" spans="2:3">
      <c r="B219" t="s">
        <v>298</v>
      </c>
      <c r="C219" t="s">
        <v>299</v>
      </c>
    </row>
    <row r="220" spans="2:3">
      <c r="B220" t="s">
        <v>301</v>
      </c>
      <c r="C220" t="s">
        <v>302</v>
      </c>
    </row>
    <row r="221" spans="2:3">
      <c r="B221" t="s">
        <v>303</v>
      </c>
      <c r="C221" t="s">
        <v>304</v>
      </c>
    </row>
    <row r="222" spans="2:3">
      <c r="B222" t="s">
        <v>1176</v>
      </c>
      <c r="C222" t="s">
        <v>1443</v>
      </c>
    </row>
    <row r="223" spans="2:3">
      <c r="B223" t="s">
        <v>1148</v>
      </c>
      <c r="C223" t="s">
        <v>86</v>
      </c>
    </row>
    <row r="224" spans="2:3">
      <c r="B224" t="s">
        <v>305</v>
      </c>
      <c r="C224" t="s">
        <v>306</v>
      </c>
    </row>
    <row r="225" spans="2:3">
      <c r="B225" t="s">
        <v>333</v>
      </c>
      <c r="C225" t="s">
        <v>334</v>
      </c>
    </row>
    <row r="226" spans="2:3">
      <c r="B226" t="s">
        <v>307</v>
      </c>
      <c r="C226" t="s">
        <v>308</v>
      </c>
    </row>
    <row r="227" spans="2:3">
      <c r="B227" t="s">
        <v>310</v>
      </c>
      <c r="C227" t="s">
        <v>311</v>
      </c>
    </row>
    <row r="228" spans="2:3">
      <c r="B228" t="s">
        <v>312</v>
      </c>
      <c r="C228" t="s">
        <v>313</v>
      </c>
    </row>
    <row r="229" spans="2:3">
      <c r="B229" t="s">
        <v>314</v>
      </c>
      <c r="C229" t="s">
        <v>315</v>
      </c>
    </row>
    <row r="230" spans="2:3">
      <c r="B230" t="s">
        <v>1444</v>
      </c>
      <c r="C230" t="s">
        <v>1445</v>
      </c>
    </row>
    <row r="231" spans="2:3">
      <c r="B231" t="s">
        <v>316</v>
      </c>
      <c r="C231" t="s">
        <v>317</v>
      </c>
    </row>
    <row r="232" spans="2:3">
      <c r="B232" t="s">
        <v>1446</v>
      </c>
      <c r="C232" t="s">
        <v>1447</v>
      </c>
    </row>
    <row r="233" spans="2:3">
      <c r="B233" t="s">
        <v>318</v>
      </c>
      <c r="C233" t="s">
        <v>319</v>
      </c>
    </row>
    <row r="234" spans="2:3">
      <c r="B234" t="s">
        <v>1448</v>
      </c>
      <c r="C234" t="s">
        <v>1449</v>
      </c>
    </row>
    <row r="235" spans="2:3">
      <c r="B235" t="s">
        <v>1450</v>
      </c>
      <c r="C235" t="s">
        <v>1451</v>
      </c>
    </row>
    <row r="236" spans="2:3">
      <c r="B236" t="s">
        <v>1452</v>
      </c>
      <c r="C236" t="s">
        <v>1453</v>
      </c>
    </row>
    <row r="237" spans="2:3">
      <c r="B237" t="s">
        <v>1454</v>
      </c>
      <c r="C237" t="s">
        <v>1455</v>
      </c>
    </row>
    <row r="238" spans="2:3">
      <c r="B238" t="s">
        <v>1456</v>
      </c>
      <c r="C238" t="s">
        <v>1457</v>
      </c>
    </row>
    <row r="239" spans="2:3">
      <c r="B239" t="s">
        <v>321</v>
      </c>
      <c r="C239" t="s">
        <v>322</v>
      </c>
    </row>
    <row r="240" spans="2:3">
      <c r="B240" t="s">
        <v>1458</v>
      </c>
      <c r="C240" t="s">
        <v>1459</v>
      </c>
    </row>
    <row r="241" spans="2:3">
      <c r="B241" t="s">
        <v>324</v>
      </c>
      <c r="C241" t="s">
        <v>325</v>
      </c>
    </row>
    <row r="242" spans="2:3">
      <c r="B242" t="s">
        <v>327</v>
      </c>
      <c r="C242" t="s">
        <v>328</v>
      </c>
    </row>
    <row r="243" spans="2:3">
      <c r="B243" t="s">
        <v>1460</v>
      </c>
      <c r="C243" t="s">
        <v>1461</v>
      </c>
    </row>
    <row r="244" spans="2:3">
      <c r="B244" t="s">
        <v>1462</v>
      </c>
      <c r="C244" t="s">
        <v>1463</v>
      </c>
    </row>
    <row r="245" spans="2:3">
      <c r="B245" t="s">
        <v>1464</v>
      </c>
      <c r="C245" t="s">
        <v>1465</v>
      </c>
    </row>
    <row r="246" spans="2:3">
      <c r="B246" t="s">
        <v>1466</v>
      </c>
      <c r="C246" t="s">
        <v>1467</v>
      </c>
    </row>
    <row r="247" spans="2:3">
      <c r="B247" t="s">
        <v>268</v>
      </c>
      <c r="C247" t="s">
        <v>269</v>
      </c>
    </row>
    <row r="248" spans="2:3">
      <c r="B248" t="s">
        <v>329</v>
      </c>
      <c r="C248" t="s">
        <v>330</v>
      </c>
    </row>
    <row r="249" spans="2:3">
      <c r="B249" t="s">
        <v>1468</v>
      </c>
      <c r="C249" t="s">
        <v>1449</v>
      </c>
    </row>
    <row r="250" spans="2:3">
      <c r="B250" t="s">
        <v>1469</v>
      </c>
      <c r="C250" t="s">
        <v>1470</v>
      </c>
    </row>
    <row r="251" spans="2:3">
      <c r="B251" t="s">
        <v>335</v>
      </c>
      <c r="C251" t="s">
        <v>336</v>
      </c>
    </row>
    <row r="252" spans="2:3">
      <c r="B252" t="s">
        <v>341</v>
      </c>
      <c r="C252" t="s">
        <v>342</v>
      </c>
    </row>
    <row r="253" spans="2:3">
      <c r="B253" t="s">
        <v>343</v>
      </c>
      <c r="C253" t="s">
        <v>344</v>
      </c>
    </row>
    <row r="254" spans="2:3">
      <c r="B254" t="s">
        <v>347</v>
      </c>
      <c r="C254" t="s">
        <v>348</v>
      </c>
    </row>
    <row r="255" spans="2:3">
      <c r="B255" t="s">
        <v>349</v>
      </c>
      <c r="C255" t="s">
        <v>350</v>
      </c>
    </row>
    <row r="256" spans="2:3">
      <c r="B256" t="s">
        <v>351</v>
      </c>
      <c r="C256" t="s">
        <v>352</v>
      </c>
    </row>
    <row r="257" spans="2:3">
      <c r="B257" t="s">
        <v>1471</v>
      </c>
      <c r="C257" t="s">
        <v>1472</v>
      </c>
    </row>
    <row r="258" spans="2:3">
      <c r="B258" t="s">
        <v>354</v>
      </c>
      <c r="C258" t="s">
        <v>355</v>
      </c>
    </row>
    <row r="259" spans="2:3">
      <c r="B259" t="s">
        <v>390</v>
      </c>
      <c r="C259" t="s">
        <v>391</v>
      </c>
    </row>
    <row r="260" spans="2:3">
      <c r="B260" t="s">
        <v>356</v>
      </c>
      <c r="C260" t="s">
        <v>357</v>
      </c>
    </row>
    <row r="261" spans="2:3">
      <c r="B261" t="s">
        <v>359</v>
      </c>
      <c r="C261" t="s">
        <v>360</v>
      </c>
    </row>
    <row r="262" spans="2:3">
      <c r="B262" t="s">
        <v>361</v>
      </c>
      <c r="C262" t="s">
        <v>362</v>
      </c>
    </row>
    <row r="263" spans="2:3">
      <c r="B263" t="s">
        <v>371</v>
      </c>
      <c r="C263" t="s">
        <v>372</v>
      </c>
    </row>
    <row r="264" spans="2:3">
      <c r="B264" t="s">
        <v>373</v>
      </c>
      <c r="C264" t="s">
        <v>374</v>
      </c>
    </row>
    <row r="265" spans="2:3">
      <c r="B265" t="s">
        <v>382</v>
      </c>
      <c r="C265" t="s">
        <v>383</v>
      </c>
    </row>
    <row r="266" spans="2:3">
      <c r="B266" t="s">
        <v>377</v>
      </c>
      <c r="C266" t="s">
        <v>378</v>
      </c>
    </row>
    <row r="267" spans="2:3">
      <c r="B267" t="s">
        <v>375</v>
      </c>
      <c r="C267" t="s">
        <v>376</v>
      </c>
    </row>
    <row r="268" spans="2:3">
      <c r="B268" t="s">
        <v>366</v>
      </c>
      <c r="C268" t="s">
        <v>367</v>
      </c>
    </row>
    <row r="269" spans="2:3">
      <c r="B269" t="s">
        <v>388</v>
      </c>
      <c r="C269" t="s">
        <v>389</v>
      </c>
    </row>
    <row r="270" spans="2:3">
      <c r="B270" t="s">
        <v>368</v>
      </c>
      <c r="C270" t="s">
        <v>75</v>
      </c>
    </row>
    <row r="271" spans="2:3">
      <c r="B271" t="s">
        <v>369</v>
      </c>
      <c r="C271" t="s">
        <v>78</v>
      </c>
    </row>
    <row r="272" spans="2:3">
      <c r="B272" t="s">
        <v>385</v>
      </c>
      <c r="C272" t="s">
        <v>386</v>
      </c>
    </row>
    <row r="273" spans="2:3">
      <c r="B273" t="s">
        <v>364</v>
      </c>
      <c r="C273" t="s">
        <v>365</v>
      </c>
    </row>
    <row r="274" spans="2:3">
      <c r="B274" t="s">
        <v>401</v>
      </c>
      <c r="C274" t="s">
        <v>402</v>
      </c>
    </row>
  </sheetData>
  <conditionalFormatting sqref="J69:J74">
    <cfRule type="expression" dxfId="1760" priority="1">
      <formula>COUNTIF(J:J,J69)&gt;1</formula>
    </cfRule>
  </conditionalFormatting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Tong hop</vt:lpstr>
      <vt:lpstr>trong tai</vt:lpstr>
      <vt:lpstr>Du an</vt:lpstr>
      <vt:lpstr>Lai xe</vt:lpstr>
      <vt:lpstr>Doanh thu</vt:lpstr>
      <vt:lpstr>Trừ lương</vt:lpstr>
      <vt:lpstr>Thu nhập khác</vt:lpstr>
      <vt:lpstr>Sheet1</vt:lpstr>
      <vt:lpstr>Mã 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PCVN</dc:creator>
  <cp:lastModifiedBy>Administrator</cp:lastModifiedBy>
  <dcterms:created xsi:type="dcterms:W3CDTF">2026-01-06T03:07:00Z</dcterms:created>
  <dcterms:modified xsi:type="dcterms:W3CDTF">2026-07-16T07:21:44Z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959B1E1A87704C1FB195A919C7BBE1B9_12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