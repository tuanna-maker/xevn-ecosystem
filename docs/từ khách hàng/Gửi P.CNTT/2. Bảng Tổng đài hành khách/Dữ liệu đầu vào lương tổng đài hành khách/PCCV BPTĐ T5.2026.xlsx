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Đ 1731" sheetId="1" r:id="rId5"/>
    <sheet state="visible" name="TĐ 1500" sheetId="2" r:id="rId6"/>
  </sheets>
  <definedNames>
    <definedName hidden="1" localSheetId="0" name="_xlnm._FilterDatabase">'TĐ 1731'!$A$1:$BW$39</definedName>
    <definedName hidden="1" localSheetId="1" name="_xlnm._FilterDatabase">'TĐ 1500'!$A$1:$CW$32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7">
      <text>
        <t xml:space="preserve">đi làm từ 6h30-16h</t>
      </text>
    </comment>
    <comment authorId="0" ref="AK7">
      <text>
        <t xml:space="preserve">đi làm từ 4h30,TC từ 12h30-16h</t>
      </text>
    </comment>
    <comment authorId="0" ref="I8">
      <text>
        <t xml:space="preserve">xin về 17h15</t>
      </text>
    </comment>
    <comment authorId="0" ref="V8">
      <text>
        <t xml:space="preserve">16h cắt về</t>
      </text>
    </comment>
    <comment authorId="0" ref="X8">
      <text>
        <t xml:space="preserve">Tc đến 18h</t>
      </text>
    </comment>
    <comment authorId="0" ref="AI8">
      <text>
        <t xml:space="preserve">12h30-20h30</t>
      </text>
    </comment>
    <comment authorId="0" ref="T9">
      <text>
        <t xml:space="preserve">18h về</t>
      </text>
    </comment>
    <comment authorId="0" ref="AA9">
      <text>
        <t xml:space="preserve">12h-20h</t>
      </text>
    </comment>
    <comment authorId="0" ref="AM9">
      <text>
        <t xml:space="preserve">12h-20h</t>
      </text>
    </comment>
    <comment authorId="0" ref="X10">
      <text>
        <t xml:space="preserve">làm từ 7h-15H đủ 8 tiếng</t>
      </text>
    </comment>
    <comment authorId="0" ref="G11">
      <text>
        <t xml:space="preserve">15h cắt về</t>
      </text>
    </comment>
    <comment authorId="0" ref="AZ11">
      <text>
        <t xml:space="preserve">12h30-20h30</t>
      </text>
    </comment>
    <comment authorId="0" ref="BQ11">
      <text>
        <t xml:space="preserve">17h căt về</t>
      </text>
    </comment>
    <comment authorId="0" ref="E12">
      <text>
        <t xml:space="preserve">làm lệnh đi từ 5h, TC từ 13h-14h30</t>
      </text>
    </comment>
    <comment authorId="0" ref="AT12">
      <text>
        <t xml:space="preserve">12h-20h</t>
      </text>
    </comment>
    <comment authorId="0" ref="AZ12">
      <text>
        <t xml:space="preserve">đi làm từ 5h, TC từ 13h-18h</t>
      </text>
    </comment>
    <comment authorId="0" ref="BI12">
      <text>
        <t xml:space="preserve">12h-20h</t>
      </text>
    </comment>
    <comment authorId="0" ref="BO12">
      <text>
        <t xml:space="preserve">làm hộ Phạm Hà đến 14h</t>
      </text>
    </comment>
    <comment authorId="0" ref="BQ12">
      <text>
        <t xml:space="preserve">làm hộ Loan từ 18h-21h30</t>
      </text>
    </comment>
    <comment authorId="0" ref="X13">
      <text>
        <t xml:space="preserve">làm hộ đào vân</t>
      </text>
    </comment>
    <comment authorId="0" ref="AI13">
      <text>
        <t xml:space="preserve">12h-20h</t>
      </text>
    </comment>
    <comment authorId="0" ref="AM13">
      <text>
        <t xml:space="preserve">12h-20h</t>
      </text>
    </comment>
    <comment authorId="0" ref="BB13">
      <text>
        <t xml:space="preserve">làm hộ Tâm</t>
      </text>
    </comment>
    <comment authorId="0" ref="AK14">
      <text>
        <t xml:space="preserve">xin 9h đến, ở quê lên</t>
      </text>
    </comment>
    <comment authorId="0" ref="AV14">
      <text>
        <t xml:space="preserve">12h-20h</t>
      </text>
    </comment>
    <comment authorId="0" ref="V15">
      <text>
        <t xml:space="preserve">làm hộ Nguyễn Huyền đến 17h</t>
      </text>
    </comment>
    <comment authorId="0" ref="AM15">
      <text>
        <t xml:space="preserve">đi từ 5h,TC từ 13h-17h</t>
      </text>
    </comment>
    <comment authorId="0" ref="AR15">
      <text>
        <t xml:space="preserve">làm hộ Tâm đến 17h</t>
      </text>
    </comment>
    <comment authorId="0" ref="BE15">
      <text>
        <t xml:space="preserve">từ 12h30 đến 17h làm hộ Nguyễn Huyền</t>
      </text>
    </comment>
    <comment authorId="0" ref="BI15">
      <text>
        <t xml:space="preserve">lam,f HC3  ở lại hỗ trợ Huyền nghỉ ốm đên 20h</t>
      </text>
    </comment>
    <comment authorId="0" ref="G16">
      <text>
        <t xml:space="preserve">17h về</t>
      </text>
    </comment>
    <comment authorId="0" ref="R16">
      <text>
        <t xml:space="preserve">12h30-20h30</t>
      </text>
    </comment>
    <comment authorId="0" ref="V16">
      <text>
        <t xml:space="preserve">16h cắt về </t>
      </text>
    </comment>
    <comment authorId="0" ref="AA16">
      <text>
        <t xml:space="preserve">12h-20h</t>
      </text>
    </comment>
    <comment authorId="0" ref="AE16">
      <text>
        <t xml:space="preserve">12h-20h</t>
      </text>
    </comment>
    <comment authorId="0" ref="I17">
      <text>
        <t xml:space="preserve">15h cắt về</t>
      </text>
    </comment>
    <comment authorId="0" ref="V17">
      <text>
        <t xml:space="preserve">cụ mất
</t>
      </text>
    </comment>
    <comment authorId="0" ref="AC17">
      <text>
        <t xml:space="preserve">làm hộ Lương Huyền</t>
      </text>
    </comment>
    <comment authorId="0" ref="L19">
      <text>
        <t xml:space="preserve">ăn hỏi e gái</t>
      </text>
    </comment>
    <comment authorId="0" ref="AP19">
      <text>
        <t xml:space="preserve">tạm nghỉ đi học 1th</t>
      </text>
    </comment>
    <comment authorId="0" ref="AM20">
      <text>
        <t xml:space="preserve">xin 13h về</t>
      </text>
    </comment>
    <comment authorId="0" ref="BB20">
      <text>
        <t xml:space="preserve">làm lệnh từ 5h, TC từ 13h-18h</t>
      </text>
    </comment>
    <comment authorId="0" ref="AV21">
      <text>
        <t xml:space="preserve">12h-20h</t>
      </text>
    </comment>
    <comment authorId="0" ref="V22">
      <text>
        <t xml:space="preserve">làm hộ Nguyễn Huyền từ 17h-20h</t>
      </text>
    </comment>
    <comment authorId="0" ref="X22">
      <text>
        <t xml:space="preserve">làm hộ Nguyễn Huyền từ 5h-20h</t>
      </text>
    </comment>
    <comment authorId="0" ref="AT22">
      <text>
        <t xml:space="preserve">làm hộ Lương Huyền</t>
      </text>
    </comment>
    <comment authorId="0" ref="BK22">
      <text>
        <t xml:space="preserve">xin 6h30 đến ở quê lên</t>
      </text>
    </comment>
    <comment authorId="0" ref="B23">
      <text>
        <t xml:space="preserve">24/12 CT</t>
      </text>
    </comment>
    <comment authorId="0" ref="AE23">
      <text>
        <t xml:space="preserve">11h30 xin về đi học</t>
      </text>
    </comment>
    <comment authorId="0" ref="AK23">
      <text>
        <t xml:space="preserve">tc đến 17h30</t>
      </text>
    </comment>
    <comment authorId="0" ref="AR23">
      <text>
        <t xml:space="preserve">làm từ 17h-22h</t>
      </text>
    </comment>
    <comment authorId="0" ref="AT23">
      <text>
        <t xml:space="preserve">11h xin về đi học</t>
      </text>
    </comment>
    <comment authorId="0" ref="B24">
      <text>
        <t xml:space="preserve">9/5 CT</t>
      </text>
    </comment>
    <comment authorId="0" ref="X24">
      <text>
        <t xml:space="preserve">làm ca từ 7h- 15h đủ 8 tiếng </t>
      </text>
    </comment>
    <comment authorId="0" ref="BE24">
      <text>
        <t xml:space="preserve">12h-20h</t>
      </text>
    </comment>
    <comment authorId="0" ref="E27">
      <text>
        <t xml:space="preserve">ggoij đi TC từ 11h -22h</t>
      </text>
    </comment>
    <comment authorId="0" ref="V27">
      <text>
        <t xml:space="preserve">làm hộ Đinh Linh</t>
      </text>
    </comment>
    <comment authorId="0" ref="E28">
      <text>
        <t xml:space="preserve">làm full hộ Linh từ 8-22h</t>
      </text>
    </comment>
    <comment authorId="0" ref="I28">
      <text>
        <t xml:space="preserve">đổi ca Hương nhờ Linh làm full</t>
      </text>
    </comment>
    <comment authorId="0" ref="AI28">
      <text>
        <t xml:space="preserve">làm hộ Hương</t>
      </text>
    </comment>
    <comment authorId="0" ref="BB28">
      <text>
        <t xml:space="preserve">Minh Phương làm hô</t>
      </text>
    </comment>
    <comment authorId="0" ref="V29">
      <text>
        <t xml:space="preserve">nghỉ con ốm</t>
      </text>
    </comment>
    <comment authorId="0" ref="BE29">
      <text>
        <t xml:space="preserve">cúm B xin nghỉ</t>
      </text>
    </comment>
    <comment authorId="0" ref="BO30">
      <text>
        <t xml:space="preserve">làm hộ Minh Phương</t>
      </text>
    </comment>
    <comment authorId="0" ref="BQ30">
      <text>
        <t xml:space="preserve">làm hộ Minh Phương</t>
      </text>
    </comment>
    <comment authorId="0" ref="C33">
      <text>
        <t xml:space="preserve">qua thử việc từ 14 </t>
      </text>
    </comment>
    <comment authorId="0" ref="I33">
      <text>
        <t xml:space="preserve">làm fulll cho Tâm </t>
      </text>
    </comment>
    <comment authorId="0" ref="AE33">
      <text>
        <t xml:space="preserve">xin muộn 30p</t>
      </text>
    </comment>
    <comment authorId="0" ref="R34">
      <text>
        <t xml:space="preserve">làm hộ Tâm</t>
      </text>
    </comment>
    <comment authorId="0" ref="AC34">
      <text>
        <t xml:space="preserve">nhờ Bích làm full</t>
      </text>
    </comment>
    <comment authorId="0" ref="BQ34">
      <text>
        <t xml:space="preserve">làm hộ Bích
</t>
      </text>
    </comment>
    <comment authorId="0" ref="AG35">
      <text>
        <t xml:space="preserve">17h cắt về</t>
      </text>
    </comment>
    <comment authorId="0" ref="T36">
      <text>
        <t xml:space="preserve">xin về từ 12h30</t>
      </text>
    </comment>
    <comment authorId="0" ref="T38">
      <text>
        <t xml:space="preserve">đào tạo từ 13h</t>
      </text>
    </comment>
    <comment authorId="0" ref="R39">
      <text>
        <t xml:space="preserve">Nghỉ Việc</t>
      </text>
    </comment>
    <comment authorId="0" ref="T39">
      <text>
        <t xml:space="preserve">Nghỉ Việc</t>
      </text>
    </comment>
    <comment authorId="0" ref="AA40">
      <text>
        <t xml:space="preserve">trực đêm chuyển TĐ</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X7">
      <text>
        <t xml:space="preserve">ăn hỏi a trai</t>
      </text>
    </comment>
    <comment authorId="0" ref="E8">
      <text>
        <t xml:space="preserve">TC từ 14h-16h
</t>
      </text>
    </comment>
    <comment authorId="0" ref="AE8">
      <text>
        <t xml:space="preserve">xin 6h đến</t>
      </text>
    </comment>
    <comment authorId="0" ref="AI8">
      <text>
        <t xml:space="preserve">12h-20h</t>
      </text>
    </comment>
    <comment authorId="0" ref="AZ8">
      <text>
        <t xml:space="preserve">xin muộn 30p
</t>
      </text>
    </comment>
    <comment authorId="0" ref="BB8">
      <text>
        <t xml:space="preserve">XIN 12H VỀ</t>
      </text>
    </comment>
    <comment authorId="0" ref="E10">
      <text>
        <t xml:space="preserve">11h về</t>
      </text>
    </comment>
    <comment authorId="0" ref="T10">
      <text>
        <t xml:space="preserve">xin 6h đến</t>
      </text>
    </comment>
    <comment authorId="0" ref="AC10">
      <text>
        <t xml:space="preserve">nghỉ thai sản</t>
      </text>
    </comment>
    <comment authorId="0" ref="E11">
      <text>
        <t xml:space="preserve">12h30 xin về</t>
      </text>
    </comment>
    <comment authorId="0" ref="G11">
      <text>
        <t xml:space="preserve">TC đến 21h</t>
      </text>
    </comment>
    <comment authorId="0" ref="X11">
      <text>
        <t xml:space="preserve">xin 6h đến</t>
      </text>
    </comment>
    <comment authorId="0" ref="AI11">
      <text>
        <t xml:space="preserve">9h-18h</t>
      </text>
    </comment>
    <comment authorId="0" ref="AR11">
      <text>
        <t xml:space="preserve">đổi ca vs Linh</t>
      </text>
    </comment>
    <comment authorId="0" ref="AT12">
      <text>
        <t xml:space="preserve">12h-20h</t>
      </text>
    </comment>
    <comment authorId="0" ref="AV14">
      <text>
        <t xml:space="preserve">đổi ca nGân 12h30-20h30
</t>
      </text>
    </comment>
    <comment authorId="0" ref="BM14">
      <text>
        <t xml:space="preserve">TC từ 15h-20h</t>
      </text>
    </comment>
    <comment authorId="0" ref="BQ14">
      <text>
        <t xml:space="preserve">18h đau đâu cắt về</t>
      </text>
    </comment>
    <comment authorId="0" ref="G15">
      <text>
        <t xml:space="preserve">12h xin về</t>
      </text>
    </comment>
    <comment authorId="0" ref="I15">
      <text>
        <t xml:space="preserve">con ốm xin nghỉ</t>
      </text>
    </comment>
    <comment authorId="0" ref="V15">
      <text>
        <t xml:space="preserve">xin muộn 30p</t>
      </text>
    </comment>
    <comment authorId="0" ref="AK15">
      <text>
        <t xml:space="preserve">xin 7h đến</t>
      </text>
    </comment>
    <comment authorId="0" ref="B16">
      <text>
        <t xml:space="preserve">4/4 CT</t>
      </text>
    </comment>
    <comment authorId="0" ref="G16">
      <text>
        <t xml:space="preserve">TC đến 19h</t>
      </text>
    </comment>
    <comment authorId="0" ref="V16">
      <text>
        <t xml:space="preserve">đi từ 4h30, TC từ 12h30-17h</t>
      </text>
    </comment>
    <comment authorId="0" ref="X16">
      <text>
        <t xml:space="preserve">Tc từ 13h-17h</t>
      </text>
    </comment>
    <comment authorId="0" ref="AC16">
      <text>
        <t xml:space="preserve">làm hộ Ngân 1t</t>
      </text>
    </comment>
    <comment authorId="0" ref="AK16">
      <text>
        <t xml:space="preserve">đi từ 5h ,TC từ 13h-14h</t>
      </text>
    </comment>
    <comment authorId="0" ref="AX16">
      <text>
        <t xml:space="preserve">đi từ 5h, TC từ 13h-17h</t>
      </text>
    </comment>
    <comment authorId="0" ref="BB16">
      <text>
        <t xml:space="preserve">đi từ 5h, TC từ 13h-17h</t>
      </text>
    </comment>
    <comment authorId="0" ref="BO16">
      <text>
        <t xml:space="preserve">làm từ 5h, Tc từ 13h-17h</t>
      </text>
    </comment>
    <comment authorId="0" ref="B17">
      <text>
        <t xml:space="preserve">4/4 CT</t>
      </text>
    </comment>
    <comment authorId="0" ref="G17">
      <text>
        <t xml:space="preserve">TC đến 19h</t>
      </text>
    </comment>
    <comment authorId="0" ref="BB17">
      <text>
        <t xml:space="preserve">xin 7h đến</t>
      </text>
    </comment>
    <comment authorId="0" ref="L19">
      <text>
        <t xml:space="preserve">sốt cao </t>
      </text>
    </comment>
    <comment authorId="0" ref="P19">
      <text>
        <t xml:space="preserve">14h xin về ốm</t>
      </text>
    </comment>
    <comment authorId="0" ref="AV19">
      <text>
        <t xml:space="preserve">đổi ca với Hùng nhờ Giang làm</t>
      </text>
    </comment>
    <comment authorId="0" ref="BQ19">
      <text>
        <t xml:space="preserve">ốm xin đi muộn 16h đên</t>
      </text>
    </comment>
    <comment authorId="0" ref="AZ20">
      <text>
        <t xml:space="preserve">8h-22h</t>
      </text>
    </comment>
    <comment authorId="0" ref="E21">
      <text>
        <t xml:space="preserve">20h về đưa c Nhật vào viện</t>
      </text>
    </comment>
    <comment authorId="0" ref="P21">
      <text>
        <t xml:space="preserve">đổi ca sang nhờ Cường làm full</t>
      </text>
    </comment>
    <comment authorId="0" ref="X21">
      <text>
        <t xml:space="preserve">làm hộ Ngọc Phương</t>
      </text>
    </comment>
    <comment authorId="0" ref="BI21">
      <text>
        <t xml:space="preserve">đổi ca vs Thảo</t>
      </text>
    </comment>
    <comment authorId="0" ref="E22">
      <text>
        <t xml:space="preserve">20h về đau bụng</t>
      </text>
    </comment>
    <comment authorId="0" ref="B23">
      <text>
        <t xml:space="preserve">qua thử việc từ ngày mùng 9/11</t>
      </text>
    </comment>
    <comment authorId="0" ref="G23">
      <text>
        <t xml:space="preserve">đổi ca với Như nhờ Cương làm full</t>
      </text>
    </comment>
    <comment authorId="0" ref="B24">
      <text>
        <t xml:space="preserve">QUA thử việc từ ngày 12/2/2026</t>
      </text>
    </comment>
    <comment authorId="0" ref="L24">
      <text>
        <t xml:space="preserve">nghỉ phép</t>
      </text>
    </comment>
    <comment authorId="0" ref="AV24">
      <text>
        <t xml:space="preserve">làm hộ Ngân</t>
      </text>
    </comment>
    <comment authorId="0" ref="AZ25">
      <text>
        <t xml:space="preserve">làm từ 8h-12</t>
      </text>
    </comment>
    <comment authorId="0" ref="AZ26">
      <text>
        <t xml:space="preserve">làm từ 8h--12h</t>
      </text>
    </comment>
    <comment authorId="0" ref="BG26">
      <text>
        <t xml:space="preserve">xin về sớm 17h</t>
      </text>
    </comment>
    <comment authorId="0" ref="B27">
      <text>
        <t xml:space="preserve">QUA thử việc từ ngày 12/2/2026</t>
      </text>
    </comment>
    <comment authorId="0" ref="X27">
      <text>
        <t xml:space="preserve">về quê việc gđ</t>
      </text>
    </comment>
    <comment authorId="0" ref="B28">
      <text>
        <t xml:space="preserve">QUA thử việc từ ngày 12/2/2026</t>
      </text>
    </comment>
    <comment authorId="0" ref="G28">
      <text>
        <t xml:space="preserve">làm hộ Phương</t>
      </text>
    </comment>
    <comment authorId="0" ref="I28">
      <text>
        <t xml:space="preserve">làm hộ Giang từ 8h-22h</t>
      </text>
    </comment>
  </commentList>
</comments>
</file>

<file path=xl/sharedStrings.xml><?xml version="1.0" encoding="utf-8"?>
<sst xmlns="http://schemas.openxmlformats.org/spreadsheetml/2006/main" count="2681" uniqueCount="216">
  <si>
    <t>Ngày công chuẩn</t>
  </si>
  <si>
    <t>Số giờ công chuẩn ca sáng</t>
  </si>
  <si>
    <t>LỊCH TỔNG ĐÀI 1731</t>
  </si>
  <si>
    <t>Số giờ công chuẩn ca chiều</t>
  </si>
  <si>
    <t>STT</t>
  </si>
  <si>
    <t>Họ tên</t>
  </si>
  <si>
    <t>SĐT</t>
  </si>
  <si>
    <t>Mã máy</t>
  </si>
  <si>
    <t>Tổng công</t>
  </si>
  <si>
    <t>Tổng giờ công 100%</t>
  </si>
  <si>
    <t>Số giờ OT 150%</t>
  </si>
  <si>
    <t>Tổng ngày lệnh</t>
  </si>
  <si>
    <t>Lệnh Nội Bài</t>
  </si>
  <si>
    <t>Thống kê theo ca LV</t>
  </si>
  <si>
    <t>Thống kê chi tiết lệnh</t>
  </si>
  <si>
    <t>Ca</t>
  </si>
  <si>
    <t>Lệnh</t>
  </si>
  <si>
    <t>Ca sáng</t>
  </si>
  <si>
    <t>S1</t>
  </si>
  <si>
    <t>S2</t>
  </si>
  <si>
    <t>S3</t>
  </si>
  <si>
    <t>S4</t>
  </si>
  <si>
    <t>HC1</t>
  </si>
  <si>
    <t>HC2</t>
  </si>
  <si>
    <t>HC3</t>
  </si>
  <si>
    <t>HC4</t>
  </si>
  <si>
    <t>C1</t>
  </si>
  <si>
    <t>C2</t>
  </si>
  <si>
    <t>C3</t>
  </si>
  <si>
    <t>C4</t>
  </si>
  <si>
    <t>C5</t>
  </si>
  <si>
    <t>C6</t>
  </si>
  <si>
    <t>TC1</t>
  </si>
  <si>
    <t>TC2</t>
  </si>
  <si>
    <t>TC3</t>
  </si>
  <si>
    <t>TC4</t>
  </si>
  <si>
    <t>TC5</t>
  </si>
  <si>
    <t>TC6</t>
  </si>
  <si>
    <t>Gãy 1</t>
  </si>
  <si>
    <t>Gãy 2</t>
  </si>
  <si>
    <t>Full</t>
  </si>
  <si>
    <t>Full2</t>
  </si>
  <si>
    <t>OFF</t>
  </si>
  <si>
    <t>NĐ</t>
  </si>
  <si>
    <t>GaNĐ</t>
  </si>
  <si>
    <t>BigNĐ</t>
  </si>
  <si>
    <t>TB</t>
  </si>
  <si>
    <t>NB</t>
  </si>
  <si>
    <t>GaNB</t>
  </si>
  <si>
    <t>BigNB</t>
  </si>
  <si>
    <t>TCS</t>
  </si>
  <si>
    <t>Nguyễn Thị Quỳnh Mai</t>
  </si>
  <si>
    <t>TCC</t>
  </si>
  <si>
    <t>Mai Thị Thu Hoài</t>
  </si>
  <si>
    <t>NHỠ</t>
  </si>
  <si>
    <t>Đỗ Thị Hoa</t>
  </si>
  <si>
    <t>Nguyễn Thị Thúy Liễu</t>
  </si>
  <si>
    <t>Cao Ngọc Thúy</t>
  </si>
  <si>
    <t>Chu Thị Ngọc Lan</t>
  </si>
  <si>
    <t>Bùi Thị Minh Phương</t>
  </si>
  <si>
    <t>Trần Thị Mai Hương</t>
  </si>
  <si>
    <t>Lê Thị Hồng Vân</t>
  </si>
  <si>
    <t>Lê Thu Hương</t>
  </si>
  <si>
    <t xml:space="preserve">Phạm Thị Ngọc Bích </t>
  </si>
  <si>
    <t xml:space="preserve">Đinh Thuỳ Linh </t>
  </si>
  <si>
    <t>Nguyễn Lan Anh</t>
  </si>
  <si>
    <t>Nguyễn Thị Thu Hà</t>
  </si>
  <si>
    <t>0787128186</t>
  </si>
  <si>
    <t>Nguyễn Thị Minh Ngọc</t>
  </si>
  <si>
    <t>0819168128</t>
  </si>
  <si>
    <t>Lường Thị Mỹ Linh</t>
  </si>
  <si>
    <t xml:space="preserve">Tạ Thanh Hải </t>
  </si>
  <si>
    <t xml:space="preserve">Lã Thị Kim Oanh </t>
  </si>
  <si>
    <t>Ca chiều</t>
  </si>
  <si>
    <t>Lại Thị Nhung</t>
  </si>
  <si>
    <t>Nguyễn Thị Kiều Loan</t>
  </si>
  <si>
    <t>Đào Thị Thanh Tâm</t>
  </si>
  <si>
    <t>Nguyễn Thị Huyền</t>
  </si>
  <si>
    <t>Đào Thị Vân</t>
  </si>
  <si>
    <t>Linh Thị Thêm</t>
  </si>
  <si>
    <t>Phạm Thu Hà</t>
  </si>
  <si>
    <t xml:space="preserve">Thái Phương Linh </t>
  </si>
  <si>
    <t>0945300902</t>
  </si>
  <si>
    <t>Lương Thị Ánh Huyền</t>
  </si>
  <si>
    <t>0335803961</t>
  </si>
  <si>
    <t>Onl C</t>
  </si>
  <si>
    <t>Đinh Thị Hồng Thắm</t>
  </si>
  <si>
    <t>0865792071</t>
  </si>
  <si>
    <t xml:space="preserve">Trần Phương Thảo </t>
  </si>
  <si>
    <t>Trịnh Duyên</t>
  </si>
  <si>
    <t>Thân Khánh Huyền</t>
  </si>
  <si>
    <t>Lê Xuân Tú</t>
  </si>
  <si>
    <t>TBP</t>
  </si>
  <si>
    <t>Lương Uyên Nhi</t>
  </si>
  <si>
    <t>Online</t>
  </si>
  <si>
    <t>Ca 4:30</t>
  </si>
  <si>
    <t>Ca 22:00</t>
  </si>
  <si>
    <t>CHECK NHỠ</t>
  </si>
  <si>
    <t>KÝ HIỆU</t>
  </si>
  <si>
    <t>Thứ</t>
  </si>
  <si>
    <t>Sáng</t>
  </si>
  <si>
    <t>Chiều</t>
  </si>
  <si>
    <t>T2</t>
  </si>
  <si>
    <t>Lệnh Nam Định</t>
  </si>
  <si>
    <t>T3</t>
  </si>
  <si>
    <t>Lệnh Ga + HĐ - Nam Định</t>
  </si>
  <si>
    <t>T4</t>
  </si>
  <si>
    <t>Lệnh Big Nam Định</t>
  </si>
  <si>
    <t>T5</t>
  </si>
  <si>
    <t>Lệnh Thái Bình</t>
  </si>
  <si>
    <t>T6</t>
  </si>
  <si>
    <t>Lệnh Ninh Bình</t>
  </si>
  <si>
    <t>T7</t>
  </si>
  <si>
    <t>Lệnh Ga + HĐ - Ninh Bình</t>
  </si>
  <si>
    <t>T8</t>
  </si>
  <si>
    <t>Lệnh Big - Ninh Bình</t>
  </si>
  <si>
    <t>T9</t>
  </si>
  <si>
    <t>NBAI</t>
  </si>
  <si>
    <t>Lệnh TC Nội Bài</t>
  </si>
  <si>
    <t>T10</t>
  </si>
  <si>
    <t>Ca LV</t>
  </si>
  <si>
    <t>4h30 - 12h30</t>
  </si>
  <si>
    <t>5h - 13h</t>
  </si>
  <si>
    <t>6h - 14h</t>
  </si>
  <si>
    <t>Onl S</t>
  </si>
  <si>
    <t>5h-13h Online S</t>
  </si>
  <si>
    <t>8h - 16h</t>
  </si>
  <si>
    <t>CN</t>
  </si>
  <si>
    <t>8h - 17h</t>
  </si>
  <si>
    <t>9h-17h</t>
  </si>
  <si>
    <t>9h - 18h</t>
  </si>
  <si>
    <t>12h30 - 21h30</t>
  </si>
  <si>
    <t>13h - 22h</t>
  </si>
  <si>
    <t>12h - 21h</t>
  </si>
  <si>
    <t>14h - 22h</t>
  </si>
  <si>
    <t>13h - 21h</t>
  </si>
  <si>
    <t>7h-15h</t>
  </si>
  <si>
    <t>13h-22h Online C</t>
  </si>
  <si>
    <t>6h - 18h</t>
  </si>
  <si>
    <t>7h - 19h</t>
  </si>
  <si>
    <t>8h - 20h</t>
  </si>
  <si>
    <t>9h - 21h</t>
  </si>
  <si>
    <t>9h - 20h</t>
  </si>
  <si>
    <t>9h - 22h</t>
  </si>
  <si>
    <t>7h - 21h</t>
  </si>
  <si>
    <t>TC F</t>
  </si>
  <si>
    <t>6h - 21h</t>
  </si>
  <si>
    <t>16h - 20h</t>
  </si>
  <si>
    <t>7h - 12h; 16h - 20h</t>
  </si>
  <si>
    <t>Nghỉ</t>
  </si>
  <si>
    <t>Onl HC</t>
  </si>
  <si>
    <t>Online HC</t>
  </si>
  <si>
    <t>4h30-12h30</t>
  </si>
  <si>
    <t>12h30-20h30</t>
  </si>
  <si>
    <t>Tháng</t>
  </si>
  <si>
    <t>LỊCH TỔNG ĐÀI 1500</t>
  </si>
  <si>
    <t>t</t>
  </si>
  <si>
    <t>13/131313</t>
  </si>
  <si>
    <t>Full 1</t>
  </si>
  <si>
    <t>VT</t>
  </si>
  <si>
    <t>PT</t>
  </si>
  <si>
    <t>YB</t>
  </si>
  <si>
    <t>PTYB</t>
  </si>
  <si>
    <t>Nhỡ</t>
  </si>
  <si>
    <t>Nguyễn Ngọc Phương</t>
  </si>
  <si>
    <t>Nguyễn Thanh Trúc</t>
  </si>
  <si>
    <t>Phạm Thị Nguyệt</t>
  </si>
  <si>
    <t>Chử Mai Anh</t>
  </si>
  <si>
    <t xml:space="preserve">Trương Thu Thảo </t>
  </si>
  <si>
    <t>0333071712</t>
  </si>
  <si>
    <t>Ngô Thị Yến Như  1731</t>
  </si>
  <si>
    <t>Trần Mai Nhật</t>
  </si>
  <si>
    <t>Nguyễn Mạnh Hùng</t>
  </si>
  <si>
    <t>Hoàng Hải Yến</t>
  </si>
  <si>
    <t>Nguyễn Thị Thuỷ Tiên TV</t>
  </si>
  <si>
    <t>Vũ Lan Anh TV</t>
  </si>
  <si>
    <t>Phạm Thị Thúy Ngân</t>
  </si>
  <si>
    <t>Chử Thùy Dương</t>
  </si>
  <si>
    <t>Lại Tú Linh</t>
  </si>
  <si>
    <t>Nguyễn Thị Trúc Phương</t>
  </si>
  <si>
    <t xml:space="preserve">0869865138 </t>
  </si>
  <si>
    <t xml:space="preserve">Nguyễn Thị Hiền Giang </t>
  </si>
  <si>
    <t xml:space="preserve">     '0329425116 </t>
  </si>
  <si>
    <t xml:space="preserve">Trịnh Hoàng Anh </t>
  </si>
  <si>
    <t>0326983112</t>
  </si>
  <si>
    <t>Đỗ Thị Trang</t>
  </si>
  <si>
    <t>0983236934</t>
  </si>
  <si>
    <t>Đỗ Thanh Hằng</t>
  </si>
  <si>
    <t>Lê Mạnh Cường</t>
  </si>
  <si>
    <t>0973712872</t>
  </si>
  <si>
    <t>Lệnh Việt Trì</t>
  </si>
  <si>
    <t>Lệnh Phú Thọ</t>
  </si>
  <si>
    <t>Lệnh Yên Bái</t>
  </si>
  <si>
    <t>7h - 15h</t>
  </si>
  <si>
    <t>đổi ca</t>
  </si>
  <si>
    <t>9h - 17h</t>
  </si>
  <si>
    <t>7h-21h</t>
  </si>
  <si>
    <t>Nguyệt</t>
  </si>
  <si>
    <t>ko đi hành chính, đi s2</t>
  </si>
  <si>
    <t>Mai anh</t>
  </si>
  <si>
    <t>ko đi hc/chiều</t>
  </si>
  <si>
    <t>Đinh Linh</t>
  </si>
  <si>
    <t>ko làm hc từ t5/t7</t>
  </si>
  <si>
    <t xml:space="preserve">diệp/ngân </t>
  </si>
  <si>
    <t>đi chung xe xếp chung ca</t>
  </si>
  <si>
    <t>Cao Trang</t>
  </si>
  <si>
    <t>ko làm hc vì chiều đi Vân anh</t>
  </si>
  <si>
    <t>Nhật</t>
  </si>
  <si>
    <t>thường chỉ làm s1, có thể tăng ca</t>
  </si>
  <si>
    <t>Khánh</t>
  </si>
  <si>
    <t>hay đi học nên hay đổi ca</t>
  </si>
  <si>
    <t>tú linh</t>
  </si>
  <si>
    <t>hay đổi ca</t>
  </si>
  <si>
    <t xml:space="preserve"> từ 15/6 nghỉ hè nên có thể làm nhiều ca</t>
  </si>
  <si>
    <t>Trang/Thanh</t>
  </si>
  <si>
    <t xml:space="preserve"> đi chung xin chung ca</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</si>
</sst>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yyyy"/>
    <numFmt numFmtId="165" formatCode="dd"/>
    <numFmt numFmtId="166" formatCode="#;\(#\);&quot;-&quot;"/>
    <numFmt numFmtId="167" formatCode="0000000000"/>
    <numFmt numFmtId="168" formatCode="#.0;\(#.0\);&quot;-&quot;"/>
    <numFmt numFmtId="169" formatCode="#.##0_);\(#.##0\);&quot;-&quot;"/>
    <numFmt numFmtId="170" formatCode="dd/mm/yyyy"/>
  </numFmts>
  <fonts count="30">
    <font>
      <sz val="10.0"/>
      <color rgb="FF000000"/>
      <name val="Arial"/>
      <scheme val="minor"/>
    </font>
    <font>
      <sz val="11.0"/>
      <color rgb="FFFFFFFF"/>
      <name val="Times New Roman"/>
    </font>
    <font>
      <sz val="10.0"/>
      <color rgb="FFFFFFFF"/>
      <name val="Times New Roman"/>
    </font>
    <font>
      <sz val="11.0"/>
      <color theme="1"/>
      <name val="Times New Roman"/>
    </font>
    <font>
      <b/>
      <sz val="11.0"/>
      <color theme="1"/>
      <name val="Times New Roman"/>
    </font>
    <font>
      <b/>
      <sz val="13.0"/>
      <color rgb="FFFFFFFF"/>
      <name val="Times New Roman"/>
    </font>
    <font>
      <sz val="11.0"/>
      <color theme="0"/>
      <name val="Times New Roman"/>
    </font>
    <font>
      <b/>
      <sz val="11.0"/>
      <color theme="0"/>
      <name val="Times New Roman"/>
    </font>
    <font>
      <b/>
      <sz val="11.0"/>
      <color rgb="FFFFFFFF"/>
      <name val="Times New Roman"/>
    </font>
    <font/>
    <font>
      <b/>
      <sz val="11.0"/>
      <color rgb="FF001C44"/>
      <name val="Times New Roman"/>
    </font>
    <font>
      <sz val="10.0"/>
      <color rgb="FF003472"/>
      <name val="Times New Roman"/>
    </font>
    <font>
      <b/>
      <sz val="11.0"/>
      <color rgb="FF003472"/>
      <name val="Times New Roman"/>
    </font>
    <font>
      <sz val="11.0"/>
      <color theme="1"/>
      <name val="Aptos Narrow"/>
    </font>
    <font>
      <sz val="11.0"/>
      <color rgb="FF003472"/>
      <name val="Times New Roman"/>
    </font>
    <font>
      <sz val="11.0"/>
      <color theme="1"/>
      <name val="Arial"/>
    </font>
    <font>
      <sz val="11.0"/>
      <color rgb="FF000000"/>
      <name val="Times New Roman"/>
    </font>
    <font>
      <sz val="11.0"/>
      <color rgb="FF1F11A3"/>
      <name val="Times New Roman"/>
    </font>
    <font>
      <sz val="11.0"/>
      <color rgb="FF000000"/>
      <name val="Arial"/>
    </font>
    <font>
      <b/>
      <sz val="11.0"/>
      <color rgb="FF1F11A3"/>
      <name val="Times New Roman"/>
    </font>
    <font>
      <b/>
      <sz val="10.0"/>
      <color theme="1"/>
      <name val="Arial"/>
    </font>
    <font>
      <b/>
      <sz val="11.0"/>
      <color theme="1"/>
      <name val="Arial"/>
    </font>
    <font>
      <sz val="11.0"/>
      <color rgb="FFE8E8E8"/>
      <name val="Times New Roman"/>
    </font>
    <font>
      <sz val="9.0"/>
      <color rgb="FF003472"/>
      <name val="Times New Roman"/>
    </font>
    <font>
      <color rgb="FF000000"/>
      <name val="Arial"/>
      <scheme val="minor"/>
    </font>
    <font>
      <color rgb="FFFFFFFF"/>
      <name val="Arial"/>
      <scheme val="minor"/>
    </font>
    <font>
      <b/>
      <sz val="10.0"/>
      <color rgb="FFFFFFFF"/>
      <name val="Times New Roman"/>
    </font>
    <font>
      <b/>
      <sz val="11.0"/>
      <color rgb="FF000000"/>
      <name val="Times New Roman"/>
    </font>
    <font>
      <sz val="9.0"/>
      <color rgb="FF000000"/>
      <name val="Times New Roman"/>
    </font>
    <font>
      <color theme="1"/>
      <name val="Arial"/>
      <scheme val="minor"/>
    </font>
  </fonts>
  <fills count="17">
    <fill>
      <patternFill patternType="none"/>
    </fill>
    <fill>
      <patternFill patternType="lightGray"/>
    </fill>
    <fill>
      <patternFill patternType="solid">
        <fgColor rgb="FF003472"/>
        <bgColor rgb="FF003472"/>
      </patternFill>
    </fill>
    <fill>
      <patternFill patternType="solid">
        <fgColor rgb="FFFFFFFF"/>
        <bgColor rgb="FFFFFFFF"/>
      </patternFill>
    </fill>
    <fill>
      <patternFill patternType="solid">
        <fgColor rgb="FF215E99"/>
        <bgColor rgb="FF215E99"/>
      </patternFill>
    </fill>
    <fill>
      <patternFill patternType="solid">
        <fgColor rgb="FFA6C9EB"/>
        <bgColor rgb="FFA6C9EB"/>
      </patternFill>
    </fill>
    <fill>
      <patternFill patternType="solid">
        <fgColor rgb="FFC6C8D4"/>
        <bgColor rgb="FFC6C8D4"/>
      </patternFill>
    </fill>
    <fill>
      <patternFill patternType="solid">
        <fgColor rgb="FFD0E2F4"/>
        <bgColor rgb="FFD0E2F4"/>
      </patternFill>
    </fill>
    <fill>
      <patternFill patternType="solid">
        <fgColor rgb="FF980000"/>
        <bgColor rgb="FF980000"/>
      </patternFill>
    </fill>
    <fill>
      <patternFill patternType="solid">
        <fgColor theme="0"/>
        <bgColor theme="0"/>
      </patternFill>
    </fill>
    <fill>
      <patternFill patternType="solid">
        <fgColor rgb="FFF6F8F9"/>
        <bgColor rgb="FFF6F8F9"/>
      </patternFill>
    </fill>
    <fill>
      <patternFill patternType="solid">
        <fgColor rgb="FF3376BC"/>
        <bgColor rgb="FF3376BC"/>
      </patternFill>
    </fill>
    <fill>
      <patternFill patternType="solid">
        <fgColor rgb="FFD0D0D0"/>
        <bgColor rgb="FFD0D0D0"/>
      </patternFill>
    </fill>
    <fill>
      <patternFill patternType="solid">
        <fgColor rgb="FFD7F9FA"/>
        <bgColor rgb="FFD7F9FA"/>
      </patternFill>
    </fill>
    <fill>
      <patternFill patternType="solid">
        <fgColor rgb="FF153D64"/>
        <bgColor rgb="FF153D64"/>
      </patternFill>
    </fill>
    <fill>
      <patternFill patternType="solid">
        <fgColor rgb="FFDBE9F7"/>
        <bgColor rgb="FFDBE9F7"/>
      </patternFill>
    </fill>
    <fill>
      <patternFill patternType="solid">
        <fgColor rgb="FFCCCCCC"/>
        <bgColor rgb="FFCCCCCC"/>
      </patternFill>
    </fill>
  </fills>
  <borders count="49">
    <border/>
    <border>
      <left/>
      <right/>
      <top/>
      <bottom/>
    </border>
    <border>
      <left style="thin">
        <color rgb="FFD0D0D0"/>
      </left>
      <right style="thin">
        <color rgb="FFD0D0D0"/>
      </right>
      <top style="thin">
        <color rgb="FFD0D0D0"/>
      </top>
    </border>
    <border>
      <left style="thin">
        <color rgb="FFD0D0D0"/>
      </left>
      <top style="thin">
        <color rgb="FFD0D0D0"/>
      </top>
      <bottom style="thin">
        <color rgb="FFD0D0D0"/>
      </bottom>
    </border>
    <border>
      <right style="thin">
        <color rgb="FFD0D0D0"/>
      </right>
      <top style="thin">
        <color rgb="FFD0D0D0"/>
      </top>
      <bottom style="thin">
        <color rgb="FFD0D0D0"/>
      </bottom>
    </border>
    <border>
      <left style="thin">
        <color rgb="FFD0D0D0"/>
      </left>
      <right/>
      <top style="thin">
        <color rgb="FFD0D0D0"/>
      </top>
    </border>
    <border>
      <left style="thin">
        <color rgb="FFD0D0D0"/>
      </left>
      <right style="thin">
        <color rgb="FFD0D0D0"/>
      </right>
    </border>
    <border>
      <left style="thin">
        <color rgb="FFD0D0D0"/>
      </left>
      <right/>
    </border>
    <border>
      <left/>
      <top/>
      <bottom/>
    </border>
    <border>
      <top/>
      <bottom/>
    </border>
    <border>
      <right/>
      <top/>
      <bottom/>
    </border>
    <border>
      <left style="thin">
        <color rgb="FFD0D0D0"/>
      </left>
      <right style="thin">
        <color rgb="FFD0D0D0"/>
      </right>
      <bottom/>
    </border>
    <border>
      <left style="thin">
        <color rgb="FF0E2841"/>
      </left>
      <right style="thin">
        <color rgb="FF0E2841"/>
      </right>
      <bottom style="thin">
        <color rgb="FF0E2841"/>
      </bottom>
    </border>
    <border>
      <left style="thin">
        <color rgb="FF0E2841"/>
      </left>
      <right style="thin">
        <color rgb="FF0E2841"/>
      </right>
      <top style="thin">
        <color rgb="FF0E2841"/>
      </top>
      <bottom style="thin">
        <color rgb="FF0E2841"/>
      </bottom>
    </border>
    <border>
      <left style="thin">
        <color rgb="FF0E2841"/>
      </left>
      <top style="thin">
        <color rgb="FF0E2841"/>
      </top>
      <bottom style="thin">
        <color rgb="FF0E2841"/>
      </bottom>
    </border>
    <border>
      <right style="thin">
        <color rgb="FF0E2841"/>
      </right>
      <top style="thin">
        <color rgb="FF0E2841"/>
      </top>
      <bottom style="thin">
        <color rgb="FF0E2841"/>
      </bottom>
    </border>
    <border>
      <left style="thin">
        <color rgb="FFD0D0D0"/>
      </left>
      <right/>
      <bottom style="thin">
        <color rgb="FF003472"/>
      </bottom>
    </border>
    <border>
      <left style="thin">
        <color rgb="FFD0D0D0"/>
      </left>
      <right style="thin">
        <color rgb="FFD0D0D0"/>
      </right>
      <bottom style="thin">
        <color rgb="FFD0D0D0"/>
      </bottom>
    </border>
    <border>
      <left style="thin">
        <color rgb="FF003472"/>
      </left>
      <top style="thin">
        <color rgb="FF003472"/>
      </top>
      <bottom style="thin">
        <color rgb="FF003472"/>
      </bottom>
    </border>
    <border>
      <top style="thin">
        <color rgb="FF003472"/>
      </top>
      <bottom style="thin">
        <color rgb="FF003472"/>
      </bottom>
    </border>
    <border>
      <right style="thin">
        <color rgb="FF003472"/>
      </right>
      <top style="thin">
        <color rgb="FF003472"/>
      </top>
      <bottom style="thin">
        <color rgb="FF003472"/>
      </bottom>
    </border>
    <border>
      <left style="thin">
        <color rgb="FF003472"/>
      </left>
      <right style="thin">
        <color rgb="FF003472"/>
      </right>
      <top style="thin">
        <color rgb="FF003472"/>
      </top>
      <bottom style="thin">
        <color rgb="FF003472"/>
      </bottom>
    </border>
    <border>
      <left style="thin">
        <color rgb="FF003472"/>
      </left>
      <right/>
      <top style="thin">
        <color rgb="FF003472"/>
      </top>
      <bottom style="thin">
        <color rgb="FF003472"/>
      </bottom>
    </border>
    <border>
      <left style="thin">
        <color rgb="FFD0D0D0"/>
      </left>
      <right style="thin">
        <color rgb="FFD0D0D0"/>
      </right>
      <top style="thin">
        <color rgb="FFD0D0D0"/>
      </top>
      <bottom style="thin">
        <color rgb="FFD0D0D0"/>
      </bottom>
    </border>
    <border>
      <left style="thin">
        <color rgb="FF003472"/>
      </left>
      <right style="thin">
        <color rgb="FF003472"/>
      </right>
      <top style="thin">
        <color rgb="FF003472"/>
      </top>
    </border>
    <border>
      <left style="thin">
        <color rgb="FF003472"/>
      </left>
      <top style="thin">
        <color rgb="FF003472"/>
      </top>
    </border>
    <border>
      <left style="thin">
        <color rgb="FFE8E8E8"/>
      </left>
      <right style="thin">
        <color rgb="FFE8E8E8"/>
      </right>
      <top style="thin">
        <color rgb="FFE8E8E8"/>
      </top>
    </border>
    <border>
      <right style="thin">
        <color rgb="FF003472"/>
      </right>
      <top style="thin">
        <color rgb="FF003472"/>
      </top>
    </border>
    <border>
      <left style="thin">
        <color rgb="FF000000"/>
      </left>
      <right style="thin">
        <color rgb="FF000000"/>
      </right>
      <top style="thin">
        <color rgb="FF000000"/>
      </top>
      <bottom style="thin">
        <color rgb="FF000000"/>
      </bottom>
    </border>
    <border>
      <right style="thin">
        <color rgb="FFE8E8E8"/>
      </right>
      <top style="thin">
        <color rgb="FFE8E8E8"/>
      </top>
      <bottom style="hair">
        <color rgb="FFD9D9D9"/>
      </bottom>
    </border>
    <border>
      <bottom style="hair">
        <color rgb="FFD9D9D9"/>
      </bottom>
    </border>
    <border>
      <left style="thin">
        <color rgb="FFE8E8E8"/>
      </left>
      <right style="thin">
        <color rgb="FFE8E8E8"/>
      </right>
      <top style="thin">
        <color rgb="FFE8E8E8"/>
      </top>
      <bottom style="hair">
        <color rgb="FFD9D9D9"/>
      </bottom>
    </border>
    <border>
      <left style="thin">
        <color rgb="FF003472"/>
      </left>
      <right style="thin">
        <color rgb="FF003472"/>
      </right>
      <top/>
      <bottom style="thin">
        <color rgb="FF003472"/>
      </bottom>
    </border>
    <border>
      <left style="thin">
        <color rgb="FFAEAEAE"/>
      </left>
      <right style="thin">
        <color rgb="FFAEAEAE"/>
      </right>
      <top style="thin">
        <color rgb="FFAEAEAE"/>
      </top>
      <bottom style="thin">
        <color rgb="FFAEAEAE"/>
      </bottom>
    </border>
    <border>
      <right style="thin">
        <color rgb="FFE8E8E8"/>
      </right>
      <top style="hair">
        <color rgb="FFD9D9D9"/>
      </top>
      <bottom style="hair">
        <color rgb="FFD9D9D9"/>
      </bottom>
    </border>
    <border>
      <left style="thin">
        <color rgb="FFE8E8E8"/>
      </left>
      <right style="thin">
        <color rgb="FFE8E8E8"/>
      </right>
      <top style="hair">
        <color rgb="FFD9D9D9"/>
      </top>
      <bottom style="hair">
        <color rgb="FFD9D9D9"/>
      </bottom>
    </border>
    <border>
      <left style="thin">
        <color rgb="FFD0D0D0"/>
      </left>
      <top style="thin">
        <color rgb="FFD0D0D0"/>
      </top>
    </border>
    <border>
      <left style="thin">
        <color rgb="FFE8E8E8"/>
      </left>
      <right style="thin">
        <color rgb="FFE8E8E8"/>
      </right>
      <bottom style="thin">
        <color rgb="FFE8E8E8"/>
      </bottom>
    </border>
    <border>
      <left style="thin">
        <color rgb="FFE8E8E8"/>
      </left>
      <bottom style="thin">
        <color rgb="FFE8E8E8"/>
      </bottom>
    </border>
    <border>
      <left style="thin">
        <color rgb="FFE8E8E8"/>
      </left>
      <right style="thin">
        <color rgb="FFE8E8E8"/>
      </right>
      <top style="hair">
        <color rgb="FFD9D9D9"/>
      </top>
      <bottom style="thin">
        <color rgb="FFE8E8E8"/>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0D0D0"/>
      </left>
      <top style="thin">
        <color rgb="FFD0D0D0"/>
      </top>
      <bottom/>
    </border>
    <border>
      <right style="thin">
        <color rgb="FFD0D0D0"/>
      </right>
      <top style="thin">
        <color rgb="FFD0D0D0"/>
      </top>
      <bottom/>
    </border>
    <border>
      <left style="thin">
        <color rgb="FFD0D0D0"/>
      </left>
      <right/>
      <bottom/>
    </border>
    <border>
      <left style="thin">
        <color rgb="FF003472"/>
      </left>
      <right style="thin">
        <color rgb="FF003472"/>
      </right>
      <bottom style="thin">
        <color rgb="FF003472"/>
      </bottom>
    </border>
    <border>
      <left style="thin">
        <color rgb="FF003472"/>
      </left>
      <right style="thin">
        <color rgb="FF003472"/>
      </right>
      <top/>
    </border>
    <border>
      <left/>
      <right style="thin">
        <color rgb="FF003472"/>
      </right>
      <top style="thin">
        <color rgb="FF003472"/>
      </top>
      <bottom style="thin">
        <color rgb="FF003472"/>
      </bottom>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164" xfId="0" applyAlignment="1" applyBorder="1" applyFont="1" applyNumberFormat="1">
      <alignment horizontal="left" readingOrder="0"/>
    </xf>
    <xf borderId="0" fillId="2" fontId="2" numFmtId="0" xfId="0" applyAlignment="1" applyFont="1">
      <alignment readingOrder="0"/>
    </xf>
    <xf borderId="0" fillId="0" fontId="3" numFmtId="0" xfId="0" applyFont="1"/>
    <xf borderId="0" fillId="3" fontId="3" numFmtId="0" xfId="0" applyFill="1" applyFont="1"/>
    <xf borderId="0" fillId="0" fontId="3" numFmtId="0" xfId="0" applyAlignment="1" applyFont="1">
      <alignment horizontal="left" readingOrder="0"/>
    </xf>
    <xf borderId="0" fillId="0" fontId="3" numFmtId="0" xfId="0" applyAlignment="1" applyFont="1">
      <alignment horizontal="center"/>
    </xf>
    <xf borderId="0" fillId="0" fontId="4" numFmtId="0" xfId="0" applyAlignment="1" applyFont="1">
      <alignment horizontal="center"/>
    </xf>
    <xf borderId="1" fillId="2" fontId="5" numFmtId="0" xfId="0" applyAlignment="1" applyBorder="1" applyFont="1">
      <alignment horizontal="left" readingOrder="0"/>
    </xf>
    <xf borderId="1" fillId="2" fontId="6" numFmtId="0" xfId="0" applyAlignment="1" applyBorder="1" applyFont="1">
      <alignment horizontal="center"/>
    </xf>
    <xf borderId="0" fillId="2" fontId="6" numFmtId="0" xfId="0" applyAlignment="1" applyFont="1">
      <alignment horizontal="center"/>
    </xf>
    <xf borderId="0" fillId="0" fontId="6" numFmtId="0" xfId="0" applyFont="1"/>
    <xf borderId="2" fillId="2" fontId="7" numFmtId="0" xfId="0" applyAlignment="1" applyBorder="1" applyFont="1">
      <alignment horizontal="center" vertical="center"/>
    </xf>
    <xf borderId="2" fillId="2" fontId="8" numFmtId="0" xfId="0" applyAlignment="1" applyBorder="1" applyFont="1">
      <alignment horizontal="center" readingOrder="0" vertical="center"/>
    </xf>
    <xf borderId="2" fillId="2" fontId="7" numFmtId="0" xfId="0" applyAlignment="1" applyBorder="1" applyFont="1">
      <alignment horizontal="center" shrinkToFit="0" vertical="center" wrapText="1"/>
    </xf>
    <xf borderId="3" fillId="2" fontId="7" numFmtId="0" xfId="0" applyAlignment="1" applyBorder="1" applyFont="1">
      <alignment horizontal="center"/>
    </xf>
    <xf borderId="4" fillId="0" fontId="9" numFmtId="0" xfId="0" applyBorder="1" applyFont="1"/>
    <xf borderId="5" fillId="2" fontId="7" numFmtId="0" xfId="0" applyAlignment="1" applyBorder="1" applyFont="1">
      <alignment horizontal="center" shrinkToFit="0" vertical="center" wrapText="1"/>
    </xf>
    <xf borderId="5" fillId="2" fontId="8" numFmtId="0" xfId="0" applyAlignment="1" applyBorder="1" applyFont="1">
      <alignment horizontal="center" readingOrder="0" shrinkToFit="0" vertical="center" wrapText="1"/>
    </xf>
    <xf borderId="6" fillId="0" fontId="9" numFmtId="0" xfId="0" applyBorder="1" applyFont="1"/>
    <xf borderId="3" fillId="4" fontId="7" numFmtId="165" xfId="0" applyAlignment="1" applyBorder="1" applyFill="1" applyFont="1" applyNumberFormat="1">
      <alignment horizontal="center"/>
    </xf>
    <xf borderId="7" fillId="0" fontId="9" numFmtId="0" xfId="0" applyBorder="1" applyFont="1"/>
    <xf borderId="8" fillId="2" fontId="7" numFmtId="0" xfId="0" applyAlignment="1" applyBorder="1" applyFont="1">
      <alignment horizontal="center"/>
    </xf>
    <xf borderId="9" fillId="0" fontId="9" numFmtId="0" xfId="0" applyBorder="1" applyFont="1"/>
    <xf borderId="10" fillId="0" fontId="9" numFmtId="0" xfId="0" applyBorder="1" applyFont="1"/>
    <xf borderId="11" fillId="0" fontId="9" numFmtId="0" xfId="0" applyBorder="1" applyFont="1"/>
    <xf borderId="12" fillId="5" fontId="10" numFmtId="0" xfId="0" applyAlignment="1" applyBorder="1" applyFill="1" applyFont="1">
      <alignment horizontal="center" vertical="center"/>
    </xf>
    <xf borderId="13" fillId="5" fontId="10" numFmtId="0" xfId="0" applyAlignment="1" applyBorder="1" applyFont="1">
      <alignment horizontal="center" vertical="center"/>
    </xf>
    <xf borderId="14" fillId="5" fontId="10" numFmtId="0" xfId="0" applyAlignment="1" applyBorder="1" applyFont="1">
      <alignment horizontal="center" vertical="center"/>
    </xf>
    <xf borderId="15" fillId="5" fontId="10" numFmtId="0" xfId="0" applyAlignment="1" applyBorder="1" applyFont="1">
      <alignment horizontal="center" vertical="center"/>
    </xf>
    <xf borderId="13" fillId="5" fontId="4" numFmtId="0" xfId="0" applyAlignment="1" applyBorder="1" applyFont="1">
      <alignment horizontal="center" vertical="center"/>
    </xf>
    <xf borderId="14" fillId="5" fontId="4" numFmtId="0" xfId="0" applyAlignment="1" applyBorder="1" applyFont="1">
      <alignment horizontal="center" vertical="center"/>
    </xf>
    <xf borderId="15" fillId="5" fontId="4" numFmtId="0" xfId="0" applyAlignment="1" applyBorder="1" applyFont="1">
      <alignment horizontal="center" vertical="center"/>
    </xf>
    <xf borderId="16" fillId="0" fontId="9" numFmtId="0" xfId="0" applyBorder="1" applyFont="1"/>
    <xf borderId="17" fillId="0" fontId="9" numFmtId="0" xfId="0" applyBorder="1" applyFont="1"/>
    <xf borderId="0" fillId="0" fontId="3" numFmtId="0" xfId="0" applyAlignment="1" applyFont="1">
      <alignment horizontal="center" vertical="center"/>
    </xf>
    <xf borderId="0" fillId="0" fontId="11" numFmtId="0" xfId="0" applyAlignment="1" applyFont="1">
      <alignment horizontal="center" readingOrder="0" vertical="center"/>
    </xf>
    <xf borderId="18" fillId="6" fontId="12" numFmtId="0" xfId="0" applyAlignment="1" applyBorder="1" applyFill="1" applyFont="1">
      <alignment horizontal="center" vertical="center"/>
    </xf>
    <xf borderId="19" fillId="0" fontId="9" numFmtId="0" xfId="0" applyBorder="1" applyFont="1"/>
    <xf borderId="20" fillId="0" fontId="9" numFmtId="0" xfId="0" applyBorder="1" applyFont="1"/>
    <xf borderId="21" fillId="6" fontId="4" numFmtId="166" xfId="0" applyAlignment="1" applyBorder="1" applyFont="1" applyNumberFormat="1">
      <alignment horizontal="center" vertical="center"/>
    </xf>
    <xf borderId="22" fillId="6" fontId="12" numFmtId="166" xfId="0" applyAlignment="1" applyBorder="1" applyFont="1" applyNumberFormat="1">
      <alignment horizontal="center" vertical="center"/>
    </xf>
    <xf borderId="23" fillId="2" fontId="7" numFmtId="166" xfId="0" applyAlignment="1" applyBorder="1" applyFont="1" applyNumberFormat="1">
      <alignment horizontal="center" vertical="center"/>
    </xf>
    <xf borderId="0" fillId="0" fontId="4" numFmtId="0" xfId="0" applyAlignment="1" applyFont="1">
      <alignment horizontal="center" vertical="center"/>
    </xf>
    <xf borderId="24" fillId="0" fontId="3" numFmtId="0" xfId="0" applyAlignment="1" applyBorder="1" applyFont="1">
      <alignment horizontal="center"/>
    </xf>
    <xf borderId="25" fillId="0" fontId="3" numFmtId="0" xfId="0" applyAlignment="1" applyBorder="1" applyFont="1">
      <alignment horizontal="center"/>
    </xf>
    <xf borderId="26" fillId="0" fontId="3" numFmtId="0" xfId="0" applyAlignment="1" applyBorder="1" applyFont="1">
      <alignment horizontal="center"/>
    </xf>
    <xf borderId="21" fillId="0" fontId="3" numFmtId="0" xfId="0" applyAlignment="1" applyBorder="1" applyFont="1">
      <alignment horizontal="center"/>
    </xf>
    <xf borderId="27" fillId="0" fontId="3" numFmtId="0" xfId="0" applyAlignment="1" applyBorder="1" applyFont="1">
      <alignment horizontal="center"/>
    </xf>
    <xf borderId="24" fillId="0" fontId="3" numFmtId="0" xfId="0" applyAlignment="1" applyBorder="1" applyFont="1">
      <alignment horizontal="center" readingOrder="0"/>
    </xf>
    <xf borderId="21" fillId="7" fontId="4" numFmtId="0" xfId="0" applyAlignment="1" applyBorder="1" applyFill="1" applyFont="1">
      <alignment horizontal="center"/>
    </xf>
    <xf borderId="21" fillId="7" fontId="4" numFmtId="0" xfId="0" applyBorder="1" applyFont="1"/>
    <xf borderId="21" fillId="7" fontId="4" numFmtId="167" xfId="0" applyBorder="1" applyFont="1" applyNumberFormat="1"/>
    <xf borderId="21" fillId="6" fontId="4" numFmtId="166" xfId="0" applyAlignment="1" applyBorder="1" applyFont="1" applyNumberFormat="1">
      <alignment horizontal="center" vertical="bottom"/>
    </xf>
    <xf borderId="28" fillId="3" fontId="1" numFmtId="0" xfId="0" applyAlignment="1" applyBorder="1" applyFont="1">
      <alignment horizontal="center" readingOrder="0" vertical="bottom"/>
    </xf>
    <xf borderId="28" fillId="0" fontId="13" numFmtId="0" xfId="0" applyAlignment="1" applyBorder="1" applyFont="1">
      <alignment vertical="bottom"/>
    </xf>
    <xf borderId="28" fillId="0" fontId="3" numFmtId="0" xfId="0" applyAlignment="1" applyBorder="1" applyFont="1">
      <alignment horizontal="center" readingOrder="0" vertical="bottom"/>
    </xf>
    <xf borderId="28" fillId="3" fontId="3" numFmtId="0" xfId="0" applyAlignment="1" applyBorder="1" applyFont="1">
      <alignment horizontal="center" readingOrder="0" vertical="bottom"/>
    </xf>
    <xf borderId="21" fillId="6" fontId="4" numFmtId="166" xfId="0" applyAlignment="1" applyBorder="1" applyFont="1" applyNumberFormat="1">
      <alignment horizontal="center" readingOrder="0" vertical="bottom"/>
    </xf>
    <xf borderId="28" fillId="0" fontId="1" numFmtId="0" xfId="0" applyAlignment="1" applyBorder="1" applyFont="1">
      <alignment horizontal="center" readingOrder="0" vertical="bottom"/>
    </xf>
    <xf borderId="28" fillId="8" fontId="1" numFmtId="0" xfId="0" applyAlignment="1" applyBorder="1" applyFill="1" applyFont="1">
      <alignment horizontal="center" readingOrder="0" vertical="bottom"/>
    </xf>
    <xf borderId="18" fillId="0" fontId="13" numFmtId="0" xfId="0" applyAlignment="1" applyBorder="1" applyFont="1">
      <alignment vertical="bottom"/>
    </xf>
    <xf borderId="29" fillId="2" fontId="7" numFmtId="168" xfId="0" applyAlignment="1" applyBorder="1" applyFont="1" applyNumberFormat="1">
      <alignment horizontal="center"/>
    </xf>
    <xf borderId="30" fillId="2" fontId="7" numFmtId="166" xfId="0" applyAlignment="1" applyBorder="1" applyFont="1" applyNumberFormat="1">
      <alignment horizontal="center"/>
    </xf>
    <xf borderId="31" fillId="2" fontId="7" numFmtId="168" xfId="0" applyAlignment="1" applyBorder="1" applyFont="1" applyNumberFormat="1">
      <alignment horizontal="center"/>
    </xf>
    <xf borderId="32" fillId="6" fontId="12" numFmtId="166" xfId="0" applyAlignment="1" applyBorder="1" applyFont="1" applyNumberFormat="1">
      <alignment horizontal="center" vertical="center"/>
    </xf>
    <xf borderId="33" fillId="0" fontId="14" numFmtId="166" xfId="0" applyAlignment="1" applyBorder="1" applyFont="1" applyNumberFormat="1">
      <alignment horizontal="center"/>
    </xf>
    <xf borderId="0" fillId="0" fontId="14" numFmtId="166" xfId="0" applyFont="1" applyNumberFormat="1"/>
    <xf borderId="21" fillId="0" fontId="4" numFmtId="0" xfId="0" applyAlignment="1" applyBorder="1" applyFont="1">
      <alignment horizontal="center"/>
    </xf>
    <xf borderId="21" fillId="0" fontId="4" numFmtId="0" xfId="0" applyBorder="1" applyFont="1"/>
    <xf borderId="21" fillId="0" fontId="4" numFmtId="167" xfId="0" applyBorder="1" applyFont="1" applyNumberFormat="1"/>
    <xf borderId="28" fillId="3" fontId="15" numFmtId="168" xfId="0" applyAlignment="1" applyBorder="1" applyFont="1" applyNumberFormat="1">
      <alignment readingOrder="0" vertical="bottom"/>
    </xf>
    <xf borderId="28" fillId="3" fontId="16" numFmtId="0" xfId="0" applyAlignment="1" applyBorder="1" applyFont="1">
      <alignment horizontal="center" readingOrder="0" vertical="bottom"/>
    </xf>
    <xf borderId="28" fillId="3" fontId="17" numFmtId="0" xfId="0" applyAlignment="1" applyBorder="1" applyFont="1">
      <alignment horizontal="center" readingOrder="0" vertical="bottom"/>
    </xf>
    <xf borderId="21" fillId="0" fontId="16" numFmtId="0" xfId="0" applyAlignment="1" applyBorder="1" applyFont="1">
      <alignment horizontal="center" readingOrder="0" vertical="bottom"/>
    </xf>
    <xf borderId="21" fillId="0" fontId="3" numFmtId="0" xfId="0" applyAlignment="1" applyBorder="1" applyFont="1">
      <alignment horizontal="center" readingOrder="0" vertical="bottom"/>
    </xf>
    <xf borderId="21" fillId="3" fontId="18" numFmtId="168" xfId="0" applyAlignment="1" applyBorder="1" applyFont="1" applyNumberFormat="1">
      <alignment readingOrder="0" vertical="bottom"/>
    </xf>
    <xf borderId="28" fillId="3" fontId="13" numFmtId="168" xfId="0" applyAlignment="1" applyBorder="1" applyFont="1" applyNumberFormat="1">
      <alignment vertical="bottom"/>
    </xf>
    <xf borderId="21" fillId="0" fontId="1" numFmtId="0" xfId="0" applyAlignment="1" applyBorder="1" applyFont="1">
      <alignment horizontal="center" readingOrder="0" vertical="bottom"/>
    </xf>
    <xf borderId="28" fillId="0" fontId="16" numFmtId="0" xfId="0" applyAlignment="1" applyBorder="1" applyFont="1">
      <alignment horizontal="center" readingOrder="0" vertical="bottom"/>
    </xf>
    <xf borderId="18" fillId="0" fontId="15" numFmtId="0" xfId="0" applyAlignment="1" applyBorder="1" applyFont="1">
      <alignment readingOrder="0" vertical="bottom"/>
    </xf>
    <xf borderId="34" fillId="2" fontId="7" numFmtId="168" xfId="0" applyAlignment="1" applyBorder="1" applyFont="1" applyNumberFormat="1">
      <alignment horizontal="center"/>
    </xf>
    <xf borderId="35" fillId="2" fontId="7" numFmtId="168" xfId="0" applyAlignment="1" applyBorder="1" applyFont="1" applyNumberFormat="1">
      <alignment horizontal="center"/>
    </xf>
    <xf borderId="28" fillId="3" fontId="15" numFmtId="168" xfId="0" applyAlignment="1" applyBorder="1" applyFont="1" applyNumberFormat="1">
      <alignment vertical="bottom"/>
    </xf>
    <xf borderId="0" fillId="3" fontId="15" numFmtId="168" xfId="0" applyAlignment="1" applyFont="1" applyNumberFormat="1">
      <alignment readingOrder="0" vertical="bottom"/>
    </xf>
    <xf borderId="23" fillId="0" fontId="1" numFmtId="0" xfId="0" applyAlignment="1" applyBorder="1" applyFont="1">
      <alignment horizontal="center" readingOrder="0" vertical="bottom"/>
    </xf>
    <xf borderId="21" fillId="0" fontId="15" numFmtId="0" xfId="0" applyAlignment="1" applyBorder="1" applyFont="1">
      <alignment readingOrder="0" vertical="bottom"/>
    </xf>
    <xf borderId="21" fillId="0" fontId="4" numFmtId="0" xfId="0" applyAlignment="1" applyBorder="1" applyFont="1">
      <alignment readingOrder="0"/>
    </xf>
    <xf borderId="21" fillId="0" fontId="4" numFmtId="167" xfId="0" applyAlignment="1" applyBorder="1" applyFont="1" applyNumberFormat="1">
      <alignment readingOrder="0"/>
    </xf>
    <xf borderId="21" fillId="0" fontId="4" numFmtId="0" xfId="0" applyAlignment="1" applyBorder="1" applyFont="1">
      <alignment horizontal="center" readingOrder="0"/>
    </xf>
    <xf borderId="21" fillId="9" fontId="4" numFmtId="0" xfId="0" applyAlignment="1" applyBorder="1" applyFill="1" applyFont="1">
      <alignment readingOrder="0" vertical="bottom"/>
    </xf>
    <xf borderId="21" fillId="0" fontId="4" numFmtId="167" xfId="0" applyAlignment="1" applyBorder="1" applyFont="1" applyNumberFormat="1">
      <alignment horizontal="right" readingOrder="0" vertical="bottom"/>
    </xf>
    <xf borderId="21" fillId="0" fontId="4" numFmtId="0" xfId="0" applyAlignment="1" applyBorder="1" applyFont="1">
      <alignment horizontal="center" readingOrder="0" vertical="bottom"/>
    </xf>
    <xf borderId="21" fillId="3" fontId="4" numFmtId="0" xfId="0" applyAlignment="1" applyBorder="1" applyFont="1">
      <alignment vertical="bottom"/>
    </xf>
    <xf borderId="21" fillId="0" fontId="4" numFmtId="167" xfId="0" applyAlignment="1" applyBorder="1" applyFont="1" applyNumberFormat="1">
      <alignment horizontal="right" vertical="bottom"/>
    </xf>
    <xf borderId="21" fillId="9" fontId="4" numFmtId="0" xfId="0" applyAlignment="1" applyBorder="1" applyFont="1">
      <alignment horizontal="center" readingOrder="0" vertical="bottom"/>
    </xf>
    <xf borderId="21" fillId="9" fontId="4" numFmtId="167" xfId="0" applyAlignment="1" applyBorder="1" applyFont="1" applyNumberFormat="1">
      <alignment horizontal="right" vertical="bottom"/>
    </xf>
    <xf borderId="21" fillId="0" fontId="19" numFmtId="0" xfId="0" applyAlignment="1" applyBorder="1" applyFont="1">
      <alignment horizontal="center" readingOrder="0"/>
    </xf>
    <xf borderId="28" fillId="9" fontId="4" numFmtId="0" xfId="0" applyAlignment="1" applyBorder="1" applyFont="1">
      <alignment readingOrder="0" vertical="bottom"/>
    </xf>
    <xf quotePrefix="1" borderId="28" fillId="0" fontId="4" numFmtId="0" xfId="0" applyAlignment="1" applyBorder="1" applyFont="1">
      <alignment horizontal="right" readingOrder="0" vertical="bottom"/>
    </xf>
    <xf borderId="28" fillId="10" fontId="4" numFmtId="0" xfId="0" applyAlignment="1" applyBorder="1" applyFill="1" applyFont="1">
      <alignment vertical="bottom"/>
    </xf>
    <xf quotePrefix="1" borderId="28" fillId="0" fontId="20" numFmtId="0" xfId="0" applyAlignment="1" applyBorder="1" applyFont="1">
      <alignment horizontal="right" readingOrder="0" vertical="bottom"/>
    </xf>
    <xf borderId="21" fillId="3" fontId="4" numFmtId="0" xfId="0" applyAlignment="1" applyBorder="1" applyFont="1">
      <alignment horizontal="center" readingOrder="0" vertical="bottom"/>
    </xf>
    <xf borderId="21" fillId="0" fontId="4" numFmtId="0" xfId="0" applyAlignment="1" applyBorder="1" applyFont="1">
      <alignment vertical="bottom"/>
    </xf>
    <xf borderId="21" fillId="3" fontId="4" numFmtId="0" xfId="0" applyAlignment="1" applyBorder="1" applyFont="1">
      <alignment horizontal="center" vertical="bottom"/>
    </xf>
    <xf borderId="21" fillId="3" fontId="4" numFmtId="0" xfId="0" applyAlignment="1" applyBorder="1" applyFont="1">
      <alignment readingOrder="0" vertical="bottom"/>
    </xf>
    <xf borderId="21" fillId="10" fontId="4" numFmtId="0" xfId="0" applyAlignment="1" applyBorder="1" applyFont="1">
      <alignment readingOrder="0" vertical="bottom"/>
    </xf>
    <xf borderId="21" fillId="10" fontId="4" numFmtId="167" xfId="0" applyAlignment="1" applyBorder="1" applyFont="1" applyNumberFormat="1">
      <alignment horizontal="right" vertical="bottom"/>
    </xf>
    <xf borderId="24" fillId="6" fontId="4" numFmtId="166" xfId="0" applyAlignment="1" applyBorder="1" applyFont="1" applyNumberFormat="1">
      <alignment horizontal="center" vertical="center"/>
    </xf>
    <xf borderId="21" fillId="6" fontId="4" numFmtId="166" xfId="0" applyAlignment="1" applyBorder="1" applyFont="1" applyNumberFormat="1">
      <alignment horizontal="center" readingOrder="0" vertical="center"/>
    </xf>
    <xf borderId="21" fillId="6" fontId="13" numFmtId="166" xfId="0" applyBorder="1" applyFont="1" applyNumberFormat="1"/>
    <xf borderId="21" fillId="6" fontId="4" numFmtId="166" xfId="0" applyAlignment="1" applyBorder="1" applyFont="1" applyNumberFormat="1">
      <alignment horizontal="center"/>
    </xf>
    <xf borderId="23" fillId="2" fontId="8" numFmtId="166" xfId="0" applyAlignment="1" applyBorder="1" applyFont="1" applyNumberFormat="1">
      <alignment horizontal="center"/>
    </xf>
    <xf borderId="0" fillId="0" fontId="14" numFmtId="166" xfId="0" applyAlignment="1" applyFont="1" applyNumberFormat="1">
      <alignment horizontal="center"/>
    </xf>
    <xf borderId="0" fillId="0" fontId="12" numFmtId="166" xfId="0" applyAlignment="1" applyFont="1" applyNumberFormat="1">
      <alignment horizontal="center" vertical="center"/>
    </xf>
    <xf borderId="21" fillId="11" fontId="7" numFmtId="0" xfId="0" applyAlignment="1" applyBorder="1" applyFill="1" applyFont="1">
      <alignment horizontal="center"/>
    </xf>
    <xf borderId="21" fillId="11" fontId="7" numFmtId="0" xfId="0" applyBorder="1" applyFont="1"/>
    <xf borderId="21" fillId="11" fontId="8" numFmtId="167" xfId="0" applyAlignment="1" applyBorder="1" applyFont="1" applyNumberFormat="1">
      <alignment readingOrder="0"/>
    </xf>
    <xf borderId="18" fillId="6" fontId="4" numFmtId="166" xfId="0" applyAlignment="1" applyBorder="1" applyFont="1" applyNumberFormat="1">
      <alignment horizontal="center" readingOrder="0" vertical="bottom"/>
    </xf>
    <xf borderId="21" fillId="0" fontId="13" numFmtId="0" xfId="0" applyAlignment="1" applyBorder="1" applyFont="1">
      <alignment vertical="bottom"/>
    </xf>
    <xf borderId="28" fillId="3" fontId="13" numFmtId="0" xfId="0" applyAlignment="1" applyBorder="1" applyFont="1">
      <alignment vertical="bottom"/>
    </xf>
    <xf borderId="21" fillId="12" fontId="21" numFmtId="166" xfId="0" applyAlignment="1" applyBorder="1" applyFill="1" applyFont="1" applyNumberFormat="1">
      <alignment horizontal="center" readingOrder="0" vertical="bottom"/>
    </xf>
    <xf borderId="21" fillId="3" fontId="13" numFmtId="0" xfId="0" applyAlignment="1" applyBorder="1" applyFont="1">
      <alignment vertical="bottom"/>
    </xf>
    <xf borderId="21" fillId="12" fontId="21" numFmtId="166" xfId="0" applyAlignment="1" applyBorder="1" applyFont="1" applyNumberFormat="1">
      <alignment horizontal="center" vertical="bottom"/>
    </xf>
    <xf borderId="21" fillId="3" fontId="15" numFmtId="0" xfId="0" applyAlignment="1" applyBorder="1" applyFont="1">
      <alignment readingOrder="0" vertical="bottom"/>
    </xf>
    <xf borderId="18" fillId="0" fontId="3" numFmtId="0" xfId="0" applyAlignment="1" applyBorder="1" applyFont="1">
      <alignment horizontal="center"/>
    </xf>
    <xf borderId="28" fillId="3" fontId="15" numFmtId="0" xfId="0" applyAlignment="1" applyBorder="1" applyFont="1">
      <alignment readingOrder="0" vertical="bottom"/>
    </xf>
    <xf borderId="21" fillId="6" fontId="21" numFmtId="166" xfId="0" applyAlignment="1" applyBorder="1" applyFont="1" applyNumberFormat="1">
      <alignment horizontal="center" readingOrder="0" vertical="bottom"/>
    </xf>
    <xf borderId="21" fillId="6" fontId="21" numFmtId="166" xfId="0" applyAlignment="1" applyBorder="1" applyFont="1" applyNumberFormat="1">
      <alignment horizontal="center" vertical="bottom"/>
    </xf>
    <xf borderId="21" fillId="0" fontId="15" numFmtId="168" xfId="0" applyAlignment="1" applyBorder="1" applyFont="1" applyNumberFormat="1">
      <alignment readingOrder="0" vertical="bottom"/>
    </xf>
    <xf borderId="18" fillId="0" fontId="3" numFmtId="0" xfId="0" applyAlignment="1" applyBorder="1" applyFont="1">
      <alignment horizontal="center" readingOrder="0"/>
    </xf>
    <xf borderId="21" fillId="13" fontId="15" numFmtId="168" xfId="0" applyAlignment="1" applyBorder="1" applyFill="1" applyFont="1" applyNumberFormat="1">
      <alignment readingOrder="0" vertical="bottom"/>
    </xf>
    <xf borderId="21" fillId="6" fontId="21" numFmtId="0" xfId="0" applyAlignment="1" applyBorder="1" applyFont="1">
      <alignment horizontal="center" readingOrder="0" vertical="bottom"/>
    </xf>
    <xf borderId="21" fillId="6" fontId="21" numFmtId="0" xfId="0" applyAlignment="1" applyBorder="1" applyFont="1">
      <alignment horizontal="center" vertical="bottom"/>
    </xf>
    <xf borderId="18" fillId="6" fontId="21" numFmtId="0" xfId="0" applyAlignment="1" applyBorder="1" applyFont="1">
      <alignment horizontal="center" readingOrder="0" vertical="bottom"/>
    </xf>
    <xf borderId="28" fillId="3" fontId="3" numFmtId="168" xfId="0" applyAlignment="1" applyBorder="1" applyFont="1" applyNumberFormat="1">
      <alignment horizontal="center" readingOrder="0" vertical="bottom"/>
    </xf>
    <xf borderId="18" fillId="6" fontId="4" numFmtId="0" xfId="0" applyAlignment="1" applyBorder="1" applyFont="1">
      <alignment horizontal="center" readingOrder="0" vertical="bottom"/>
    </xf>
    <xf borderId="21" fillId="6" fontId="4" numFmtId="0" xfId="0" applyAlignment="1" applyBorder="1" applyFont="1">
      <alignment horizontal="center" readingOrder="0" vertical="bottom"/>
    </xf>
    <xf borderId="21" fillId="6" fontId="4" numFmtId="0" xfId="0" applyAlignment="1" applyBorder="1" applyFont="1">
      <alignment horizontal="center" vertical="bottom"/>
    </xf>
    <xf borderId="23" fillId="0" fontId="16" numFmtId="0" xfId="0" applyAlignment="1" applyBorder="1" applyFont="1">
      <alignment horizontal="center" readingOrder="0" vertical="bottom"/>
    </xf>
    <xf borderId="28" fillId="3" fontId="22" numFmtId="168" xfId="0" applyAlignment="1" applyBorder="1" applyFont="1" applyNumberFormat="1">
      <alignment horizontal="center" readingOrder="0" vertical="bottom"/>
    </xf>
    <xf borderId="28" fillId="6" fontId="21" numFmtId="0" xfId="0" applyAlignment="1" applyBorder="1" applyFont="1">
      <alignment horizontal="center" readingOrder="0" vertical="bottom"/>
    </xf>
    <xf borderId="28" fillId="0" fontId="17" numFmtId="0" xfId="0" applyAlignment="1" applyBorder="1" applyFont="1">
      <alignment horizontal="center" readingOrder="0"/>
    </xf>
    <xf borderId="28" fillId="9" fontId="19" numFmtId="0" xfId="0" applyAlignment="1" applyBorder="1" applyFont="1">
      <alignment readingOrder="0" vertical="bottom"/>
    </xf>
    <xf borderId="28" fillId="0" fontId="15" numFmtId="168" xfId="0" applyAlignment="1" applyBorder="1" applyFont="1" applyNumberFormat="1">
      <alignment readingOrder="0" vertical="bottom"/>
    </xf>
    <xf borderId="3" fillId="0" fontId="1" numFmtId="0" xfId="0" applyAlignment="1" applyBorder="1" applyFont="1">
      <alignment horizontal="center" readingOrder="0" vertical="bottom"/>
    </xf>
    <xf borderId="28" fillId="6" fontId="21" numFmtId="0" xfId="0" applyAlignment="1" applyBorder="1" applyFont="1">
      <alignment horizontal="center" vertical="bottom"/>
    </xf>
    <xf borderId="36" fillId="0" fontId="1" numFmtId="0" xfId="0" applyAlignment="1" applyBorder="1" applyFont="1">
      <alignment horizontal="center" readingOrder="0" vertical="bottom"/>
    </xf>
    <xf borderId="24" fillId="3" fontId="15" numFmtId="0" xfId="0" applyAlignment="1" applyBorder="1" applyFont="1">
      <alignment readingOrder="0" vertical="bottom"/>
    </xf>
    <xf borderId="28" fillId="3" fontId="4" numFmtId="0" xfId="0" applyAlignment="1" applyBorder="1" applyFont="1">
      <alignment vertical="bottom"/>
    </xf>
    <xf quotePrefix="1" borderId="28" fillId="0" fontId="4" numFmtId="0" xfId="0" applyAlignment="1" applyBorder="1" applyFont="1">
      <alignment horizontal="right" vertical="bottom"/>
    </xf>
    <xf borderId="0" fillId="0" fontId="1" numFmtId="0" xfId="0" applyAlignment="1" applyFont="1">
      <alignment horizontal="center" readingOrder="0" vertical="bottom"/>
    </xf>
    <xf borderId="0" fillId="3" fontId="15" numFmtId="168" xfId="0" applyAlignment="1" applyFont="1" applyNumberFormat="1">
      <alignment vertical="bottom"/>
    </xf>
    <xf borderId="28" fillId="3" fontId="18" numFmtId="168" xfId="0" applyAlignment="1" applyBorder="1" applyFont="1" applyNumberFormat="1">
      <alignment readingOrder="0" vertical="bottom"/>
    </xf>
    <xf borderId="28" fillId="3" fontId="4" numFmtId="0" xfId="0" applyAlignment="1" applyBorder="1" applyFont="1">
      <alignment readingOrder="0" vertical="bottom"/>
    </xf>
    <xf borderId="28" fillId="0" fontId="4" numFmtId="0" xfId="0" applyAlignment="1" applyBorder="1" applyFont="1">
      <alignment horizontal="right" vertical="bottom"/>
    </xf>
    <xf borderId="0" fillId="3" fontId="15" numFmtId="0" xfId="0" applyAlignment="1" applyFont="1">
      <alignment readingOrder="0" vertical="bottom"/>
    </xf>
    <xf borderId="0" fillId="3" fontId="6" numFmtId="0" xfId="0" applyAlignment="1" applyFont="1">
      <alignment horizontal="center"/>
    </xf>
    <xf borderId="28" fillId="0" fontId="4" numFmtId="0" xfId="0" applyAlignment="1" applyBorder="1" applyFont="1">
      <alignment horizontal="right" readingOrder="0" vertical="bottom"/>
    </xf>
    <xf borderId="28" fillId="0" fontId="15" numFmtId="168" xfId="0" applyAlignment="1" applyBorder="1" applyFont="1" applyNumberFormat="1">
      <alignment vertical="bottom"/>
    </xf>
    <xf borderId="37" fillId="14" fontId="7" numFmtId="0" xfId="0" applyAlignment="1" applyBorder="1" applyFill="1" applyFont="1">
      <alignment horizontal="center"/>
    </xf>
    <xf borderId="37" fillId="14" fontId="8" numFmtId="0" xfId="0" applyAlignment="1" applyBorder="1" applyFont="1">
      <alignment readingOrder="0"/>
    </xf>
    <xf borderId="38" fillId="14" fontId="8" numFmtId="167" xfId="0" applyAlignment="1" applyBorder="1" applyFont="1" applyNumberFormat="1">
      <alignment readingOrder="0"/>
    </xf>
    <xf borderId="28" fillId="6" fontId="13" numFmtId="0" xfId="0" applyAlignment="1" applyBorder="1" applyFont="1">
      <alignment vertical="bottom"/>
    </xf>
    <xf borderId="28" fillId="0" fontId="13" numFmtId="168" xfId="0" applyAlignment="1" applyBorder="1" applyFont="1" applyNumberFormat="1">
      <alignment vertical="bottom"/>
    </xf>
    <xf borderId="39" fillId="2" fontId="7" numFmtId="168" xfId="0" applyAlignment="1" applyBorder="1" applyFont="1" applyNumberFormat="1">
      <alignment horizontal="center"/>
    </xf>
    <xf borderId="0" fillId="0" fontId="3" numFmtId="167" xfId="0" applyFont="1" applyNumberFormat="1"/>
    <xf borderId="0" fillId="0" fontId="14" numFmtId="169" xfId="0" applyAlignment="1" applyFont="1" applyNumberFormat="1">
      <alignment horizontal="center"/>
    </xf>
    <xf borderId="0" fillId="0" fontId="23" numFmtId="0" xfId="0" applyAlignment="1" applyFont="1">
      <alignment horizontal="center" vertical="bottom"/>
    </xf>
    <xf borderId="0" fillId="0" fontId="14" numFmtId="0" xfId="0" applyFont="1"/>
    <xf borderId="33" fillId="2" fontId="6" numFmtId="20" xfId="0" applyBorder="1" applyFont="1" applyNumberFormat="1"/>
    <xf borderId="33" fillId="0" fontId="3" numFmtId="166" xfId="0" applyAlignment="1" applyBorder="1" applyFont="1" applyNumberFormat="1">
      <alignment horizontal="center"/>
    </xf>
    <xf borderId="33" fillId="0" fontId="3" numFmtId="166" xfId="0" applyAlignment="1" applyBorder="1" applyFont="1" applyNumberFormat="1">
      <alignment horizontal="center" vertical="bottom"/>
    </xf>
    <xf borderId="0" fillId="0" fontId="6" numFmtId="20" xfId="0" applyFont="1" applyNumberFormat="1"/>
    <xf borderId="0" fillId="3" fontId="3" numFmtId="169" xfId="0" applyAlignment="1" applyFont="1" applyNumberFormat="1">
      <alignment horizontal="center"/>
    </xf>
    <xf borderId="0" fillId="0" fontId="3" numFmtId="169" xfId="0" applyAlignment="1" applyFont="1" applyNumberFormat="1">
      <alignment horizontal="center"/>
    </xf>
    <xf borderId="40" fillId="14" fontId="1" numFmtId="0" xfId="0" applyAlignment="1" applyBorder="1" applyFont="1">
      <alignment horizontal="center" vertical="bottom"/>
    </xf>
    <xf borderId="41" fillId="0" fontId="9" numFmtId="0" xfId="0" applyBorder="1" applyFont="1"/>
    <xf borderId="42" fillId="0" fontId="9" numFmtId="0" xfId="0" applyBorder="1" applyFont="1"/>
    <xf borderId="40" fillId="14" fontId="6" numFmtId="0" xfId="0" applyAlignment="1" applyBorder="1" applyFont="1">
      <alignment horizontal="center"/>
    </xf>
    <xf borderId="28" fillId="5" fontId="4" numFmtId="0" xfId="0" applyAlignment="1" applyBorder="1" applyFont="1">
      <alignment horizontal="center" vertical="bottom"/>
    </xf>
    <xf borderId="40" fillId="5" fontId="4" numFmtId="0" xfId="0" applyAlignment="1" applyBorder="1" applyFont="1">
      <alignment horizontal="center" vertical="bottom"/>
    </xf>
    <xf borderId="28" fillId="5" fontId="4" numFmtId="0" xfId="0" applyAlignment="1" applyBorder="1" applyFont="1">
      <alignment horizontal="center" readingOrder="0"/>
    </xf>
    <xf borderId="40" fillId="5" fontId="4" numFmtId="0" xfId="0" applyAlignment="1" applyBorder="1" applyFont="1">
      <alignment horizontal="center"/>
    </xf>
    <xf borderId="18" fillId="15" fontId="4" numFmtId="0" xfId="0" applyAlignment="1" applyBorder="1" applyFill="1" applyFont="1">
      <alignment horizontal="center"/>
    </xf>
    <xf borderId="28" fillId="0" fontId="4" numFmtId="0" xfId="0" applyAlignment="1" applyBorder="1" applyFont="1">
      <alignment horizontal="center" vertical="bottom"/>
    </xf>
    <xf borderId="40" fillId="0" fontId="15" numFmtId="0" xfId="0" applyAlignment="1" applyBorder="1" applyFont="1">
      <alignment horizontal="center" readingOrder="0" vertical="bottom"/>
    </xf>
    <xf borderId="40" fillId="0" fontId="13" numFmtId="0" xfId="0" applyAlignment="1" applyBorder="1" applyFont="1">
      <alignment vertical="bottom"/>
    </xf>
    <xf borderId="28" fillId="0" fontId="4" numFmtId="0" xfId="0" applyAlignment="1" applyBorder="1" applyFont="1">
      <alignment horizontal="center" vertical="bottom"/>
    </xf>
    <xf borderId="40" fillId="0" fontId="3" numFmtId="0" xfId="0" applyAlignment="1" applyBorder="1" applyFont="1">
      <alignment horizontal="center" readingOrder="0" vertical="bottom"/>
    </xf>
    <xf borderId="21" fillId="0" fontId="3" numFmtId="0" xfId="0" applyBorder="1" applyFont="1"/>
    <xf borderId="40" fillId="0" fontId="13" numFmtId="0" xfId="0" applyAlignment="1" applyBorder="1" applyFont="1">
      <alignment horizontal="center" vertical="bottom"/>
    </xf>
    <xf borderId="0" fillId="3" fontId="24" numFmtId="0" xfId="0" applyFont="1"/>
    <xf borderId="28" fillId="0" fontId="4" numFmtId="0" xfId="0" applyAlignment="1" applyBorder="1" applyFont="1">
      <alignment horizontal="center" readingOrder="0" vertical="bottom"/>
    </xf>
    <xf borderId="40" fillId="0" fontId="13" numFmtId="0" xfId="0" applyAlignment="1" applyBorder="1" applyFont="1">
      <alignment vertical="bottom"/>
    </xf>
    <xf borderId="21" fillId="0" fontId="3" numFmtId="0" xfId="0" applyAlignment="1" applyBorder="1" applyFont="1">
      <alignment horizontal="center" readingOrder="0"/>
    </xf>
    <xf borderId="21" fillId="0" fontId="3" numFmtId="0" xfId="0" applyAlignment="1" applyBorder="1" applyFont="1">
      <alignment readingOrder="0"/>
    </xf>
    <xf borderId="21" fillId="0" fontId="17" numFmtId="0" xfId="0" applyAlignment="1" applyBorder="1" applyFont="1">
      <alignment horizontal="center" readingOrder="0"/>
    </xf>
    <xf borderId="21" fillId="0" fontId="17" numFmtId="0" xfId="0" applyAlignment="1" applyBorder="1" applyFont="1">
      <alignment readingOrder="0"/>
    </xf>
    <xf borderId="21" fillId="0" fontId="1" numFmtId="0" xfId="0" applyAlignment="1" applyBorder="1" applyFont="1">
      <alignment horizontal="center" readingOrder="0"/>
    </xf>
    <xf borderId="0" fillId="0" fontId="17" numFmtId="0" xfId="0" applyAlignment="1" applyFont="1">
      <alignment horizontal="center" readingOrder="0"/>
    </xf>
    <xf borderId="0" fillId="0" fontId="17" numFmtId="0" xfId="0" applyAlignment="1" applyFont="1">
      <alignment readingOrder="0"/>
    </xf>
    <xf borderId="1" fillId="2" fontId="1" numFmtId="170" xfId="0" applyAlignment="1" applyBorder="1" applyFont="1" applyNumberFormat="1">
      <alignment horizontal="left" readingOrder="0"/>
    </xf>
    <xf borderId="1" fillId="2" fontId="2" numFmtId="164" xfId="0" applyAlignment="1" applyBorder="1" applyFont="1" applyNumberFormat="1">
      <alignment horizontal="left"/>
    </xf>
    <xf borderId="0" fillId="0" fontId="1" numFmtId="0" xfId="0" applyFont="1"/>
    <xf borderId="0" fillId="0" fontId="25" numFmtId="0" xfId="0" applyFont="1"/>
    <xf borderId="0" fillId="0" fontId="1" numFmtId="0" xfId="0" applyAlignment="1" applyFont="1">
      <alignment horizontal="left" readingOrder="0"/>
    </xf>
    <xf borderId="0" fillId="0" fontId="1" numFmtId="0" xfId="0" applyAlignment="1" applyFont="1">
      <alignment horizontal="center"/>
    </xf>
    <xf borderId="0" fillId="0" fontId="8" numFmtId="0" xfId="0" applyAlignment="1" applyFont="1">
      <alignment horizontal="center"/>
    </xf>
    <xf borderId="1" fillId="2" fontId="1" numFmtId="0" xfId="0" applyAlignment="1" applyBorder="1" applyFont="1">
      <alignment horizontal="center"/>
    </xf>
    <xf borderId="1" fillId="2" fontId="1" numFmtId="1" xfId="0" applyAlignment="1" applyBorder="1" applyFont="1" applyNumberFormat="1">
      <alignment horizontal="center"/>
    </xf>
    <xf borderId="0" fillId="0" fontId="1" numFmtId="0" xfId="0" applyAlignment="1" applyFont="1">
      <alignment readingOrder="0"/>
    </xf>
    <xf borderId="2" fillId="2" fontId="8" numFmtId="0" xfId="0" applyAlignment="1" applyBorder="1" applyFont="1">
      <alignment horizontal="center" vertical="center"/>
    </xf>
    <xf borderId="5" fillId="2" fontId="8" numFmtId="0" xfId="0" applyAlignment="1" applyBorder="1" applyFont="1">
      <alignment horizontal="center" shrinkToFit="0" vertical="center" wrapText="1"/>
    </xf>
    <xf borderId="3" fillId="2" fontId="8" numFmtId="0" xfId="0" applyAlignment="1" applyBorder="1" applyFont="1">
      <alignment horizontal="center"/>
    </xf>
    <xf borderId="2" fillId="2" fontId="8" numFmtId="0" xfId="0" applyAlignment="1" applyBorder="1" applyFont="1">
      <alignment horizontal="center" shrinkToFit="0" vertical="center" wrapText="1"/>
    </xf>
    <xf borderId="43" fillId="4" fontId="8" numFmtId="165" xfId="0" applyAlignment="1" applyBorder="1" applyFont="1" applyNumberFormat="1">
      <alignment horizontal="center"/>
    </xf>
    <xf borderId="44" fillId="0" fontId="9" numFmtId="0" xfId="0" applyBorder="1" applyFont="1"/>
    <xf borderId="8" fillId="2" fontId="26" numFmtId="0" xfId="0" applyAlignment="1" applyBorder="1" applyFont="1">
      <alignment horizontal="center"/>
    </xf>
    <xf borderId="8" fillId="2" fontId="8" numFmtId="0" xfId="0" applyAlignment="1" applyBorder="1" applyFont="1">
      <alignment horizontal="center"/>
    </xf>
    <xf borderId="0" fillId="2" fontId="8" numFmtId="0" xfId="0" applyAlignment="1" applyFont="1">
      <alignment horizontal="center"/>
    </xf>
    <xf borderId="45" fillId="0" fontId="9" numFmtId="0" xfId="0" applyBorder="1" applyFont="1"/>
    <xf borderId="12" fillId="5" fontId="8" numFmtId="0" xfId="0" applyAlignment="1" applyBorder="1" applyFont="1">
      <alignment horizontal="center" vertical="center"/>
    </xf>
    <xf borderId="13" fillId="5" fontId="8" numFmtId="0" xfId="0" applyAlignment="1" applyBorder="1" applyFont="1">
      <alignment horizontal="center" vertical="center"/>
    </xf>
    <xf borderId="0" fillId="0" fontId="1" numFmtId="0" xfId="0" applyAlignment="1" applyFont="1">
      <alignment horizontal="center" vertical="center"/>
    </xf>
    <xf borderId="0" fillId="0" fontId="2" numFmtId="0" xfId="0" applyAlignment="1" applyFont="1">
      <alignment horizontal="center" readingOrder="0" vertical="center"/>
    </xf>
    <xf borderId="18" fillId="6" fontId="27" numFmtId="0" xfId="0" applyAlignment="1" applyBorder="1" applyFont="1">
      <alignment horizontal="center" vertical="center"/>
    </xf>
    <xf borderId="21" fillId="6" fontId="27" numFmtId="166" xfId="0" applyAlignment="1" applyBorder="1" applyFont="1" applyNumberFormat="1">
      <alignment horizontal="center" vertical="center"/>
    </xf>
    <xf borderId="32" fillId="6" fontId="27" numFmtId="166" xfId="0" applyAlignment="1" applyBorder="1" applyFont="1" applyNumberFormat="1">
      <alignment horizontal="center" vertical="bottom"/>
    </xf>
    <xf borderId="32" fillId="6" fontId="27" numFmtId="166" xfId="0" applyAlignment="1" applyBorder="1" applyFont="1" applyNumberFormat="1">
      <alignment horizontal="center" vertical="center"/>
    </xf>
    <xf borderId="22" fillId="6" fontId="27" numFmtId="166" xfId="0" applyAlignment="1" applyBorder="1" applyFont="1" applyNumberFormat="1">
      <alignment horizontal="center" vertical="center"/>
    </xf>
    <xf borderId="23" fillId="2" fontId="27" numFmtId="166" xfId="0" applyAlignment="1" applyBorder="1" applyFont="1" applyNumberFormat="1">
      <alignment horizontal="center" vertical="center"/>
    </xf>
    <xf borderId="0" fillId="0" fontId="27" numFmtId="0" xfId="0" applyAlignment="1" applyFont="1">
      <alignment horizontal="center" vertical="center"/>
    </xf>
    <xf borderId="0" fillId="0" fontId="16" numFmtId="0" xfId="0" applyAlignment="1" applyFont="1">
      <alignment horizontal="left" readingOrder="0"/>
    </xf>
    <xf borderId="21" fillId="0" fontId="16" numFmtId="0" xfId="0" applyAlignment="1" applyBorder="1" applyFont="1">
      <alignment horizontal="center"/>
    </xf>
    <xf borderId="21" fillId="0" fontId="16" numFmtId="0" xfId="0" applyAlignment="1" applyBorder="1" applyFont="1">
      <alignment horizontal="center" readingOrder="0"/>
    </xf>
    <xf borderId="0" fillId="0" fontId="3" numFmtId="0" xfId="0" applyAlignment="1" applyFont="1">
      <alignment horizontal="center" readingOrder="0"/>
    </xf>
    <xf borderId="21" fillId="0" fontId="27" numFmtId="0" xfId="0" applyAlignment="1" applyBorder="1" applyFont="1">
      <alignment horizontal="center"/>
    </xf>
    <xf borderId="21" fillId="0" fontId="27" numFmtId="0" xfId="0" applyBorder="1" applyFont="1"/>
    <xf borderId="21" fillId="0" fontId="27" numFmtId="167" xfId="0" applyBorder="1" applyFont="1" applyNumberFormat="1"/>
    <xf borderId="21" fillId="6" fontId="27" numFmtId="0" xfId="0" applyAlignment="1" applyBorder="1" applyFont="1">
      <alignment horizontal="center" vertical="bottom"/>
    </xf>
    <xf borderId="21" fillId="0" fontId="13" numFmtId="168" xfId="0" applyAlignment="1" applyBorder="1" applyFont="1" applyNumberFormat="1">
      <alignment vertical="bottom"/>
    </xf>
    <xf borderId="21" fillId="0" fontId="18" numFmtId="0" xfId="0" applyAlignment="1" applyBorder="1" applyFont="1">
      <alignment readingOrder="0" vertical="bottom"/>
    </xf>
    <xf borderId="21" fillId="0" fontId="18" numFmtId="168" xfId="0" applyAlignment="1" applyBorder="1" applyFont="1" applyNumberFormat="1">
      <alignment readingOrder="0" vertical="bottom"/>
    </xf>
    <xf borderId="35" fillId="2" fontId="8" numFmtId="168" xfId="0" applyAlignment="1" applyBorder="1" applyFont="1" applyNumberFormat="1">
      <alignment horizontal="center" vertical="center"/>
    </xf>
    <xf borderId="30" fillId="2" fontId="8" numFmtId="166" xfId="0" applyAlignment="1" applyBorder="1" applyFont="1" applyNumberFormat="1">
      <alignment horizontal="center" vertical="center"/>
    </xf>
    <xf borderId="35" fillId="2" fontId="27" numFmtId="166" xfId="0" applyAlignment="1" applyBorder="1" applyFont="1" applyNumberFormat="1">
      <alignment horizontal="center" vertical="center"/>
    </xf>
    <xf borderId="0" fillId="0" fontId="16" numFmtId="0" xfId="0" applyFont="1"/>
    <xf borderId="0" fillId="0" fontId="16" numFmtId="166" xfId="0" applyAlignment="1" applyFont="1" applyNumberFormat="1">
      <alignment horizontal="center"/>
    </xf>
    <xf borderId="33" fillId="0" fontId="16" numFmtId="166" xfId="0" applyAlignment="1" applyBorder="1" applyFont="1" applyNumberFormat="1">
      <alignment horizontal="center"/>
    </xf>
    <xf borderId="0" fillId="0" fontId="14" numFmtId="166" xfId="0" applyAlignment="1" applyFont="1" applyNumberFormat="1">
      <alignment horizontal="center" vertical="center"/>
    </xf>
    <xf borderId="21" fillId="0" fontId="27" numFmtId="0" xfId="0" applyAlignment="1" applyBorder="1" applyFont="1">
      <alignment horizontal="center" readingOrder="0"/>
    </xf>
    <xf borderId="21" fillId="0" fontId="3" numFmtId="0" xfId="0" applyAlignment="1" applyBorder="1" applyFont="1">
      <alignment horizontal="center" vertical="bottom"/>
    </xf>
    <xf borderId="21" fillId="0" fontId="27" numFmtId="0" xfId="0" applyAlignment="1" applyBorder="1" applyFont="1">
      <alignment readingOrder="0"/>
    </xf>
    <xf borderId="21" fillId="0" fontId="27" numFmtId="167" xfId="0" applyAlignment="1" applyBorder="1" applyFont="1" applyNumberFormat="1">
      <alignment readingOrder="0"/>
    </xf>
    <xf borderId="21" fillId="0" fontId="15" numFmtId="168" xfId="0" applyAlignment="1" applyBorder="1" applyFont="1" applyNumberFormat="1">
      <alignment vertical="bottom"/>
    </xf>
    <xf borderId="21" fillId="0" fontId="13" numFmtId="0" xfId="0" applyAlignment="1" applyBorder="1" applyFont="1">
      <alignment vertical="bottom"/>
    </xf>
    <xf borderId="24" fillId="0" fontId="27" numFmtId="0" xfId="0" applyAlignment="1" applyBorder="1" applyFont="1">
      <alignment vertical="bottom"/>
    </xf>
    <xf quotePrefix="1" borderId="24" fillId="0" fontId="27" numFmtId="0" xfId="0" applyAlignment="1" applyBorder="1" applyFont="1">
      <alignment horizontal="right" vertical="bottom"/>
    </xf>
    <xf borderId="28" fillId="9" fontId="27" numFmtId="0" xfId="0" applyAlignment="1" applyBorder="1" applyFont="1">
      <alignment readingOrder="0" vertical="bottom"/>
    </xf>
    <xf borderId="21" fillId="3" fontId="27" numFmtId="0" xfId="0" applyAlignment="1" applyBorder="1" applyFont="1">
      <alignment vertical="bottom"/>
    </xf>
    <xf borderId="21" fillId="0" fontId="27" numFmtId="167" xfId="0" applyAlignment="1" applyBorder="1" applyFont="1" applyNumberFormat="1">
      <alignment horizontal="right" vertical="bottom"/>
    </xf>
    <xf borderId="46" fillId="6" fontId="27" numFmtId="0" xfId="0" applyAlignment="1" applyBorder="1" applyFont="1">
      <alignment horizontal="center" vertical="bottom"/>
    </xf>
    <xf borderId="46" fillId="0" fontId="13" numFmtId="168" xfId="0" applyAlignment="1" applyBorder="1" applyFont="1" applyNumberFormat="1">
      <alignment vertical="bottom"/>
    </xf>
    <xf borderId="46" fillId="0" fontId="18" numFmtId="0" xfId="0" applyAlignment="1" applyBorder="1" applyFont="1">
      <alignment readingOrder="0" vertical="bottom"/>
    </xf>
    <xf borderId="21" fillId="10" fontId="27" numFmtId="0" xfId="0" applyAlignment="1" applyBorder="1" applyFont="1">
      <alignment horizontal="center" readingOrder="0"/>
    </xf>
    <xf borderId="21" fillId="0" fontId="27" numFmtId="0" xfId="0" applyAlignment="1" applyBorder="1" applyFont="1">
      <alignment vertical="bottom"/>
    </xf>
    <xf borderId="46" fillId="6" fontId="27" numFmtId="0" xfId="0" applyAlignment="1" applyBorder="1" applyFont="1">
      <alignment horizontal="center" readingOrder="0" vertical="bottom"/>
    </xf>
    <xf borderId="21" fillId="10" fontId="27" numFmtId="0" xfId="0" applyAlignment="1" applyBorder="1" applyFont="1">
      <alignment readingOrder="0" vertical="bottom"/>
    </xf>
    <xf borderId="21" fillId="10" fontId="27" numFmtId="167" xfId="0" applyAlignment="1" applyBorder="1" applyFont="1" applyNumberFormat="1">
      <alignment horizontal="right" readingOrder="0" vertical="bottom"/>
    </xf>
    <xf borderId="47" fillId="16" fontId="27" numFmtId="166" xfId="0" applyAlignment="1" applyBorder="1" applyFill="1" applyFont="1" applyNumberFormat="1">
      <alignment horizontal="center"/>
    </xf>
    <xf borderId="47" fillId="6" fontId="27" numFmtId="166" xfId="0" applyAlignment="1" applyBorder="1" applyFont="1" applyNumberFormat="1">
      <alignment horizontal="center" vertical="center"/>
    </xf>
    <xf borderId="32" fillId="16" fontId="27" numFmtId="166" xfId="0" applyAlignment="1" applyBorder="1" applyFont="1" applyNumberFormat="1">
      <alignment horizontal="center"/>
    </xf>
    <xf borderId="18" fillId="6" fontId="27" numFmtId="0" xfId="0" applyAlignment="1" applyBorder="1" applyFont="1">
      <alignment horizontal="center" vertical="bottom"/>
    </xf>
    <xf borderId="18" fillId="6" fontId="27" numFmtId="0" xfId="0" applyAlignment="1" applyBorder="1" applyFont="1">
      <alignment horizontal="center" readingOrder="0" vertical="bottom"/>
    </xf>
    <xf borderId="21" fillId="3" fontId="27" numFmtId="0" xfId="0" applyAlignment="1" applyBorder="1" applyFont="1">
      <alignment readingOrder="0"/>
    </xf>
    <xf borderId="21" fillId="3" fontId="18" numFmtId="0" xfId="0" applyAlignment="1" applyBorder="1" applyFont="1">
      <alignment readingOrder="0" vertical="bottom"/>
    </xf>
    <xf borderId="19" fillId="6" fontId="27" numFmtId="0" xfId="0" applyAlignment="1" applyBorder="1" applyFont="1">
      <alignment horizontal="center" vertical="bottom"/>
    </xf>
    <xf borderId="19" fillId="6" fontId="27" numFmtId="0" xfId="0" applyAlignment="1" applyBorder="1" applyFont="1">
      <alignment horizontal="center" readingOrder="0" vertical="bottom"/>
    </xf>
    <xf quotePrefix="1" borderId="21" fillId="0" fontId="27" numFmtId="0" xfId="0" applyAlignment="1" applyBorder="1" applyFont="1">
      <alignment horizontal="right" readingOrder="0"/>
    </xf>
    <xf borderId="21" fillId="0" fontId="27" numFmtId="0" xfId="0" applyAlignment="1" applyBorder="1" applyFont="1">
      <alignment horizontal="right" readingOrder="0"/>
    </xf>
    <xf borderId="21" fillId="7" fontId="27" numFmtId="0" xfId="0" applyAlignment="1" applyBorder="1" applyFont="1">
      <alignment horizontal="center"/>
    </xf>
    <xf borderId="21" fillId="7" fontId="27" numFmtId="0" xfId="0" applyAlignment="1" applyBorder="1" applyFont="1">
      <alignment readingOrder="0"/>
    </xf>
    <xf borderId="21" fillId="7" fontId="27" numFmtId="167" xfId="0" applyAlignment="1" applyBorder="1" applyFont="1" applyNumberFormat="1">
      <alignment readingOrder="0"/>
    </xf>
    <xf borderId="48" fillId="6" fontId="27" numFmtId="0" xfId="0" applyAlignment="1" applyBorder="1" applyFont="1">
      <alignment horizontal="center" vertical="bottom"/>
    </xf>
    <xf borderId="0" fillId="0" fontId="16" numFmtId="0" xfId="0" applyAlignment="1" applyFont="1">
      <alignment horizontal="center"/>
    </xf>
    <xf borderId="0" fillId="0" fontId="16" numFmtId="167" xfId="0" applyFont="1" applyNumberFormat="1"/>
    <xf borderId="0" fillId="0" fontId="16" numFmtId="0" xfId="0" applyAlignment="1" applyFont="1">
      <alignment readingOrder="0"/>
    </xf>
    <xf borderId="0" fillId="0" fontId="28" numFmtId="0" xfId="0" applyAlignment="1" applyFont="1">
      <alignment horizontal="center" readingOrder="0"/>
    </xf>
    <xf borderId="33" fillId="2" fontId="16" numFmtId="20" xfId="0" applyBorder="1" applyFont="1" applyNumberFormat="1"/>
    <xf borderId="13" fillId="0" fontId="3" numFmtId="0" xfId="0" applyBorder="1" applyFont="1"/>
    <xf borderId="0" fillId="3" fontId="29" numFmtId="0" xfId="0" applyFont="1"/>
    <xf borderId="0" fillId="0" fontId="3" numFmtId="167" xfId="0" applyAlignment="1" applyFont="1" applyNumberFormat="1">
      <alignment readingOrder="0"/>
    </xf>
    <xf borderId="13" fillId="0" fontId="3" numFmtId="0" xfId="0" applyAlignment="1" applyBorder="1" applyFont="1">
      <alignment readingOrder="0"/>
    </xf>
    <xf borderId="0" fillId="0" fontId="3" numFmtId="0" xfId="0" applyAlignment="1" applyFont="1">
      <alignment readingOrder="0"/>
    </xf>
  </cellXfs>
  <cellStyles count="1">
    <cellStyle xfId="0" name="Normal" builtinId="0"/>
  </cellStyles>
  <dxfs count="34">
    <dxf>
      <font>
        <color rgb="FFFFD66D"/>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E8E8E8"/>
      </font>
      <fill>
        <patternFill patternType="solid">
          <fgColor rgb="FF2D99AE"/>
          <bgColor rgb="FF2D99AE"/>
        </patternFill>
      </fill>
      <border/>
    </dxf>
    <dxf>
      <font/>
      <fill>
        <patternFill patternType="solid">
          <fgColor rgb="FFD7F9FA"/>
          <bgColor rgb="FFD7F9FA"/>
        </patternFill>
      </fill>
      <border/>
    </dxf>
    <dxf>
      <font>
        <color theme="0"/>
      </font>
      <fill>
        <patternFill patternType="solid">
          <fgColor rgb="FF001C44"/>
          <bgColor rgb="FF001C44"/>
        </patternFill>
      </fill>
      <border>
        <left style="thin">
          <color rgb="FFD0D0D0"/>
        </left>
        <right style="thin">
          <color rgb="FFD0D0D0"/>
        </right>
        <top style="thin">
          <color rgb="FFD0D0D0"/>
        </top>
        <bottom style="thin">
          <color rgb="FFD0D0D0"/>
        </bottom>
      </border>
    </dxf>
    <dxf>
      <font>
        <color theme="0"/>
      </font>
      <fill>
        <patternFill patternType="solid">
          <fgColor rgb="FF0C5776"/>
          <bgColor rgb="FF0C5776"/>
        </patternFill>
      </fill>
      <border/>
    </dxf>
    <dxf>
      <font/>
      <fill>
        <patternFill patternType="solid">
          <fgColor rgb="FFEAE7D6"/>
          <bgColor rgb="FFEAE7D6"/>
        </patternFill>
      </fill>
      <border/>
    </dxf>
    <dxf>
      <font>
        <color rgb="FF153D64"/>
      </font>
      <fill>
        <patternFill patternType="solid">
          <fgColor rgb="FFD7F9FA"/>
          <bgColor rgb="FFD7F9FA"/>
        </patternFill>
      </fill>
      <border/>
    </dxf>
    <dxf>
      <font>
        <color theme="0"/>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E8E8E8"/>
      </font>
      <fill>
        <patternFill patternType="solid">
          <fgColor rgb="FFC14D7C"/>
          <bgColor rgb="FFC14D7C"/>
        </patternFill>
      </fill>
      <border/>
    </dxf>
    <dxf>
      <font>
        <color theme="0"/>
      </font>
      <fill>
        <patternFill patternType="solid">
          <fgColor rgb="FFFF4000"/>
          <bgColor rgb="FFFF4000"/>
        </patternFill>
      </fill>
      <border/>
    </dxf>
    <dxf>
      <font>
        <color rgb="FF153D64"/>
      </font>
      <fill>
        <patternFill patternType="solid">
          <fgColor rgb="FFF7CACD"/>
          <bgColor rgb="FFF7CACD"/>
        </patternFill>
      </fill>
      <border/>
    </dxf>
    <dxf>
      <font>
        <color theme="0"/>
      </font>
      <fill>
        <patternFill patternType="solid">
          <fgColor rgb="FF0C2333"/>
          <bgColor rgb="FF0C2333"/>
        </patternFill>
      </fill>
      <border>
        <left style="thin">
          <color rgb="FFD0D0D0"/>
        </left>
        <right style="thin">
          <color rgb="FFD0D0D0"/>
        </right>
        <top style="thin">
          <color rgb="FFD0D0D0"/>
        </top>
        <bottom style="thin">
          <color rgb="FFD0D0D0"/>
        </bottom>
      </border>
    </dxf>
    <dxf>
      <font>
        <color rgb="FFDBE9F7"/>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1CEEE"/>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F6C6AC"/>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E8E8E8"/>
      </font>
      <fill>
        <patternFill patternType="solid">
          <fgColor rgb="FF3376BC"/>
          <bgColor rgb="FF3376BC"/>
        </patternFill>
      </fill>
      <border>
        <left style="thin">
          <color rgb="FFD0D0D0"/>
        </left>
        <right style="thin">
          <color rgb="FFD0D0D0"/>
        </right>
        <top style="thin">
          <color rgb="FFD0D0D0"/>
        </top>
        <bottom style="thin">
          <color rgb="FFD0D0D0"/>
        </bottom>
      </border>
    </dxf>
    <dxf>
      <font>
        <color rgb="FFBF4F14"/>
      </font>
      <fill>
        <patternFill patternType="solid">
          <fgColor rgb="FFD0E2F4"/>
          <bgColor rgb="FFD0E2F4"/>
        </patternFill>
      </fill>
      <border/>
    </dxf>
    <dxf>
      <font>
        <color rgb="FF0B769F"/>
      </font>
      <fill>
        <patternFill patternType="solid">
          <fgColor rgb="FFD0E2F4"/>
          <bgColor rgb="FFD0E2F4"/>
        </patternFill>
      </fill>
      <border/>
    </dxf>
    <dxf>
      <font/>
      <fill>
        <patternFill patternType="solid">
          <fgColor rgb="FFD0E2F4"/>
          <bgColor rgb="FFD0E2F4"/>
        </patternFill>
      </fill>
      <border/>
    </dxf>
    <dxf>
      <font>
        <color rgb="FFFF0000"/>
      </font>
      <fill>
        <patternFill patternType="solid">
          <fgColor rgb="FFD0E2F4"/>
          <bgColor rgb="FFD0E2F4"/>
        </patternFill>
      </fill>
      <border/>
    </dxf>
    <dxf>
      <font>
        <color theme="0"/>
      </font>
      <fill>
        <patternFill patternType="solid">
          <fgColor rgb="FF3376BC"/>
          <bgColor rgb="FF3376BC"/>
        </patternFill>
      </fill>
      <border/>
    </dxf>
    <dxf>
      <font/>
      <fill>
        <patternFill patternType="solid">
          <fgColor rgb="FFF4A82C"/>
          <bgColor rgb="FFF4A82C"/>
        </patternFill>
      </fill>
      <border/>
    </dxf>
    <dxf>
      <font>
        <color theme="0"/>
      </font>
      <fill>
        <patternFill patternType="solid">
          <fgColor rgb="FF0C2333"/>
          <bgColor rgb="FF0C2333"/>
        </patternFill>
      </fill>
      <border/>
    </dxf>
    <dxf>
      <font>
        <color rgb="FFDBE9F7"/>
      </font>
      <fill>
        <patternFill patternType="solid">
          <fgColor rgb="FF3376BC"/>
          <bgColor rgb="FF3376BC"/>
        </patternFill>
      </fill>
      <border/>
    </dxf>
    <dxf>
      <font>
        <color rgb="FFF1CEEE"/>
      </font>
      <fill>
        <patternFill patternType="solid">
          <fgColor rgb="FF3376BC"/>
          <bgColor rgb="FF3376BC"/>
        </patternFill>
      </fill>
      <border/>
    </dxf>
    <dxf>
      <font>
        <color rgb="FFF6C6AC"/>
      </font>
      <fill>
        <patternFill patternType="solid">
          <fgColor rgb="FF3376BC"/>
          <bgColor rgb="FF3376BC"/>
        </patternFill>
      </fill>
      <border/>
    </dxf>
    <dxf>
      <font>
        <color rgb="FFE8E8E8"/>
      </font>
      <fill>
        <patternFill patternType="solid">
          <fgColor rgb="FF3376BC"/>
          <bgColor rgb="FF3376BC"/>
        </patternFill>
      </fill>
      <border/>
    </dxf>
    <dxf>
      <font/>
      <fill>
        <patternFill patternType="solid">
          <fgColor rgb="FFFFD66D"/>
          <bgColor rgb="FFFFD66D"/>
        </patternFill>
      </fill>
      <border/>
    </dxf>
    <dxf>
      <font>
        <color theme="0"/>
      </font>
      <fill>
        <patternFill patternType="solid">
          <fgColor rgb="FF001C44"/>
          <bgColor rgb="FF001C44"/>
        </patternFill>
      </fill>
      <border/>
    </dxf>
    <dxf>
      <font>
        <color rgb="FFEA9999"/>
      </font>
      <fill>
        <patternFill patternType="solid">
          <fgColor rgb="FF003472"/>
          <bgColor rgb="FF003472"/>
        </patternFill>
      </fill>
      <border/>
    </dxf>
    <dxf>
      <font/>
      <fill>
        <patternFill patternType="none"/>
      </fill>
      <border/>
    </dxf>
    <dxf>
      <font/>
      <fill>
        <patternFill patternType="solid">
          <fgColor rgb="FFFFFFFF"/>
          <bgColor rgb="FFFFFFFF"/>
        </patternFill>
      </fill>
      <border/>
    </dxf>
    <dxf>
      <font/>
      <fill>
        <patternFill patternType="solid">
          <fgColor rgb="FFCFE2F3"/>
          <bgColor rgb="FFCFE2F3"/>
        </patternFill>
      </fill>
      <border/>
    </dxf>
    <dxf>
      <font/>
      <fill>
        <patternFill patternType="solid">
          <fgColor rgb="FFB7E1CD"/>
          <bgColor rgb="FFB7E1CD"/>
        </patternFill>
      </fill>
      <border/>
    </dxf>
  </dxfs>
  <tableStyles count="1">
    <tableStyle count="2" pivot="0" name="TĐ 1500-style">
      <tableStyleElement dxfId="31" type="firstRowStripe"/>
      <tableStyleElement dxfId="3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S38:S51" displayName="Table_1" name="Table_1" id="1">
  <tableColumns count="1">
    <tableColumn name="Column1" id="1"/>
  </tableColumns>
  <tableStyleInfo name="TĐ 150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8.25"/>
    <col customWidth="1" min="2" max="2" width="24.75"/>
    <col customWidth="1" min="3" max="3" width="12.75"/>
    <col customWidth="1" min="4" max="4" width="8.0"/>
    <col customWidth="1" min="5" max="5" width="6.25"/>
    <col customWidth="1" min="6" max="6" width="8.63"/>
    <col customWidth="1" min="7" max="7" width="6.25"/>
    <col customWidth="1" min="8" max="8" width="8.63"/>
    <col customWidth="1" min="9" max="9" width="6.25"/>
    <col customWidth="1" min="10" max="10" width="8.63"/>
    <col customWidth="1" min="11" max="11" width="9.13"/>
    <col customWidth="1" min="12" max="12" width="6.25"/>
    <col customWidth="1" min="13" max="13" width="8.63"/>
    <col customWidth="1" min="14" max="14" width="6.25"/>
    <col customWidth="1" min="15" max="15" width="8.63"/>
    <col customWidth="1" min="16" max="16" width="6.25"/>
    <col customWidth="1" min="17" max="17" width="8.63"/>
    <col customWidth="1" min="18" max="18" width="6.25"/>
    <col customWidth="1" min="19" max="19" width="8.63"/>
    <col customWidth="1" min="20" max="20" width="6.25"/>
    <col customWidth="1" min="21" max="21" width="8.63"/>
    <col customWidth="1" min="22" max="22" width="6.25"/>
    <col customWidth="1" min="23" max="23" width="8.63"/>
    <col customWidth="1" min="24" max="24" width="6.25"/>
    <col customWidth="1" min="25" max="25" width="8.63"/>
    <col customWidth="1" min="26" max="26" width="9.38"/>
    <col customWidth="1" min="27" max="27" width="6.25"/>
    <col customWidth="1" min="28" max="28" width="8.63"/>
    <col customWidth="1" min="29" max="29" width="6.25"/>
    <col customWidth="1" min="30" max="30" width="8.63"/>
    <col customWidth="1" min="31" max="31" width="6.25"/>
    <col customWidth="1" min="32" max="32" width="8.63"/>
    <col customWidth="1" min="33" max="33" width="6.25"/>
    <col customWidth="1" min="34" max="34" width="8.63"/>
    <col customWidth="1" min="35" max="35" width="6.25"/>
    <col customWidth="1" min="36" max="36" width="8.63"/>
    <col customWidth="1" min="37" max="37" width="8.25"/>
    <col customWidth="1" min="38" max="38" width="8.63"/>
    <col customWidth="1" min="39" max="39" width="6.25"/>
    <col customWidth="1" min="40" max="40" width="8.63"/>
    <col customWidth="1" min="41" max="41" width="9.5"/>
    <col customWidth="1" min="42" max="42" width="7.75"/>
    <col customWidth="1" min="43" max="43" width="8.63"/>
    <col customWidth="1" min="44" max="44" width="7.38"/>
    <col customWidth="1" min="45" max="45" width="8.63"/>
    <col customWidth="1" min="46" max="46" width="7.5"/>
    <col customWidth="1" min="47" max="47" width="8.63"/>
    <col customWidth="1" min="48" max="48" width="7.5"/>
    <col customWidth="1" min="49" max="49" width="8.63"/>
    <col customWidth="1" min="50" max="50" width="7.5"/>
    <col customWidth="1" min="51" max="51" width="8.63"/>
    <col customWidth="1" min="52" max="52" width="7.5"/>
    <col customWidth="1" min="53" max="53" width="8.63"/>
    <col customWidth="1" min="54" max="54" width="7.5"/>
    <col customWidth="1" min="55" max="55" width="8.63"/>
    <col customWidth="1" min="56" max="56" width="9.0"/>
    <col customWidth="1" min="57" max="57" width="6.25"/>
    <col customWidth="1" min="58" max="58" width="8.63"/>
    <col customWidth="1" min="59" max="59" width="6.25"/>
    <col customWidth="1" min="60" max="60" width="8.63"/>
    <col customWidth="1" min="61" max="61" width="7.88"/>
    <col customWidth="1" min="62" max="62" width="8.63"/>
    <col customWidth="1" min="63" max="63" width="7.88"/>
    <col customWidth="1" min="64" max="64" width="8.75"/>
    <col customWidth="1" min="65" max="65" width="7.88"/>
    <col customWidth="1" min="66" max="66" width="8.63"/>
    <col customWidth="1" min="67" max="67" width="7.88"/>
    <col customWidth="1" min="68" max="68" width="8.63"/>
    <col customWidth="1" min="69" max="69" width="7.88"/>
    <col customWidth="1" min="70" max="70" width="8.63"/>
    <col customWidth="1" min="71" max="75" width="9.13"/>
    <col customWidth="1" min="76" max="76" width="3.0"/>
    <col customWidth="1" min="77" max="96" width="6.0"/>
    <col customWidth="1" min="97" max="98" width="6.75"/>
    <col customWidth="1" min="99" max="101" width="6.0"/>
    <col customWidth="1" min="102" max="102" width="2.63"/>
    <col customWidth="1" min="103" max="109" width="8.38"/>
  </cols>
  <sheetData>
    <row r="1">
      <c r="A1" s="1">
        <v>6.0</v>
      </c>
      <c r="B1" s="2" t="str">
        <f>'NỘI BÀI'!B1</f>
        <v>#REF!</v>
      </c>
      <c r="C1" s="3" t="s">
        <v>0</v>
      </c>
      <c r="D1" s="4"/>
      <c r="E1" s="4"/>
      <c r="F1" s="4"/>
      <c r="G1" s="4"/>
      <c r="H1" s="4"/>
      <c r="I1" s="4"/>
      <c r="J1" s="4"/>
      <c r="K1" s="4"/>
      <c r="L1" s="4"/>
      <c r="M1" s="4"/>
      <c r="N1" s="4"/>
      <c r="O1" s="5"/>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6" t="s">
        <v>1</v>
      </c>
      <c r="BZ1" s="7"/>
      <c r="CA1" s="7"/>
      <c r="CB1" s="7"/>
      <c r="CC1" s="8" t="str">
        <f>$C$2*8</f>
        <v>#REF!</v>
      </c>
      <c r="CD1" s="7"/>
      <c r="CE1" s="7"/>
      <c r="CF1" s="7"/>
      <c r="CG1" s="7"/>
      <c r="CH1" s="7"/>
      <c r="CI1" s="7"/>
      <c r="CJ1" s="7"/>
      <c r="CK1" s="7"/>
      <c r="CL1" s="7"/>
      <c r="CM1" s="7"/>
      <c r="CN1" s="7"/>
      <c r="CO1" s="7"/>
      <c r="CP1" s="7"/>
      <c r="CQ1" s="7"/>
      <c r="CR1" s="7"/>
      <c r="CS1" s="7"/>
      <c r="CT1" s="7"/>
      <c r="CU1" s="7"/>
      <c r="CV1" s="7"/>
      <c r="CW1" s="7"/>
      <c r="CX1" s="4"/>
      <c r="CY1" s="4"/>
      <c r="CZ1" s="4"/>
      <c r="DA1" s="4"/>
      <c r="DB1" s="4"/>
      <c r="DC1" s="4"/>
      <c r="DD1" s="4"/>
      <c r="DE1" s="4"/>
    </row>
    <row r="2">
      <c r="A2" s="9" t="s">
        <v>2</v>
      </c>
      <c r="B2" s="10"/>
      <c r="C2" s="11" t="str">
        <f>day(edate(B1,1)-1)-4</f>
        <v>#REF!</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4"/>
      <c r="AW2" s="4"/>
      <c r="AX2" s="4"/>
      <c r="AY2" s="4"/>
      <c r="AZ2" s="4"/>
      <c r="BA2" s="4"/>
      <c r="BB2" s="4"/>
      <c r="BC2" s="4"/>
      <c r="BD2" s="12"/>
      <c r="BE2" s="12"/>
      <c r="BF2" s="12"/>
      <c r="BG2" s="12"/>
      <c r="BH2" s="12"/>
      <c r="BI2" s="12"/>
      <c r="BJ2" s="12"/>
      <c r="BK2" s="12"/>
      <c r="BL2" s="12"/>
      <c r="BM2" s="12"/>
      <c r="BN2" s="12"/>
      <c r="BO2" s="12"/>
      <c r="BP2" s="12"/>
      <c r="BQ2" s="12"/>
      <c r="BR2" s="12"/>
      <c r="BS2" s="4"/>
      <c r="BT2" s="4"/>
      <c r="BU2" s="4"/>
      <c r="BV2" s="4"/>
      <c r="BW2" s="4"/>
      <c r="BX2" s="4"/>
      <c r="BY2" s="6" t="s">
        <v>3</v>
      </c>
      <c r="BZ2" s="7"/>
      <c r="CA2" s="7"/>
      <c r="CB2" s="7"/>
      <c r="CC2" s="8" t="str">
        <f>$C$2*9</f>
        <v>#REF!</v>
      </c>
      <c r="CD2" s="7"/>
      <c r="CE2" s="7"/>
      <c r="CF2" s="7"/>
      <c r="CG2" s="7"/>
      <c r="CH2" s="7"/>
      <c r="CI2" s="7"/>
      <c r="CJ2" s="7"/>
      <c r="CK2" s="7"/>
      <c r="CL2" s="7"/>
      <c r="CM2" s="7"/>
      <c r="CN2" s="7"/>
      <c r="CO2" s="7"/>
      <c r="CP2" s="7"/>
      <c r="CQ2" s="7"/>
      <c r="CR2" s="7"/>
      <c r="CS2" s="7"/>
      <c r="CT2" s="7"/>
      <c r="CU2" s="7"/>
      <c r="CV2" s="7"/>
      <c r="CW2" s="7"/>
      <c r="CX2" s="4"/>
      <c r="CY2" s="4"/>
      <c r="CZ2" s="4"/>
      <c r="DA2" s="4"/>
      <c r="DB2" s="4"/>
      <c r="DC2" s="4"/>
      <c r="DD2" s="4"/>
      <c r="DE2" s="4"/>
    </row>
    <row r="3" ht="15.0" customHeight="1">
      <c r="A3" s="13" t="s">
        <v>4</v>
      </c>
      <c r="B3" s="13" t="s">
        <v>5</v>
      </c>
      <c r="C3" s="14" t="s">
        <v>6</v>
      </c>
      <c r="D3" s="15" t="s">
        <v>7</v>
      </c>
      <c r="E3" s="16" t="str">
        <f>CHOOSE(WEEKDAY(E4),"C.Nhật","T.Hai","T.Ba","T.Tư","T.Năm","T.Sáu","T.Bảy")</f>
        <v>#REF!</v>
      </c>
      <c r="F3" s="17"/>
      <c r="G3" s="16" t="str">
        <f>CHOOSE(WEEKDAY(G4),"C.Nhật","T.Hai","T.Ba","T.Tư","T.Năm","T.Sáu","T.Bảy")</f>
        <v>#REF!</v>
      </c>
      <c r="H3" s="17"/>
      <c r="I3" s="16" t="str">
        <f>CHOOSE(WEEKDAY(I4),"C.Nhật","T.Hai","T.Ba","T.Tư","T.Năm","T.Sáu","T.Bảy")</f>
        <v>#REF!</v>
      </c>
      <c r="J3" s="17"/>
      <c r="K3" s="15" t="s">
        <v>7</v>
      </c>
      <c r="L3" s="16" t="str">
        <f>CHOOSE(WEEKDAY(L4),"C.Nhật","T.Hai","T.Ba","T.Tư","T.Năm","T.Sáu","T.Bảy")</f>
        <v>#REF!</v>
      </c>
      <c r="M3" s="17"/>
      <c r="N3" s="16" t="str">
        <f>CHOOSE(WEEKDAY(N4),"C.Nhật","T.Hai","T.Ba","T.Tư","T.Năm","T.Sáu","T.Bảy")</f>
        <v>#REF!</v>
      </c>
      <c r="O3" s="17"/>
      <c r="P3" s="16" t="str">
        <f>CHOOSE(WEEKDAY(P4),"C.Nhật","T.Hai","T.Ba","T.Tư","T.Năm","T.Sáu","T.Bảy")</f>
        <v>#REF!</v>
      </c>
      <c r="Q3" s="17"/>
      <c r="R3" s="16" t="str">
        <f>CHOOSE(WEEKDAY(R4),"C.Nhật","T.Hai","T.Ba","T.Tư","T.Năm","T.Sáu","T.Bảy")</f>
        <v>#REF!</v>
      </c>
      <c r="S3" s="17"/>
      <c r="T3" s="16" t="str">
        <f>CHOOSE(WEEKDAY(T4),"C.Nhật","T.Hai","T.Ba","T.Tư","T.Năm","T.Sáu","T.Bảy")</f>
        <v>#REF!</v>
      </c>
      <c r="U3" s="17"/>
      <c r="V3" s="16" t="str">
        <f>CHOOSE(WEEKDAY(V4),"C.Nhật","T.Hai","T.Ba","T.Tư","T.Năm","T.Sáu","T.Bảy")</f>
        <v>#REF!</v>
      </c>
      <c r="W3" s="17"/>
      <c r="X3" s="16" t="str">
        <f>CHOOSE(WEEKDAY(X4),"C.Nhật","T.Hai","T.Ba","T.Tư","T.Năm","T.Sáu","T.Bảy")</f>
        <v>#REF!</v>
      </c>
      <c r="Y3" s="17"/>
      <c r="Z3" s="15" t="s">
        <v>7</v>
      </c>
      <c r="AA3" s="16" t="str">
        <f>CHOOSE(WEEKDAY(AA4),"C.Nhật","T.Hai","T.Ba","T.Tư","T.Năm","T.Sáu","T.Bảy")</f>
        <v>#REF!</v>
      </c>
      <c r="AB3" s="17"/>
      <c r="AC3" s="16" t="str">
        <f>CHOOSE(WEEKDAY(AC4),"C.Nhật","T.Hai","T.Ba","T.Tư","T.Năm","T.Sáu","T.Bảy")</f>
        <v>#REF!</v>
      </c>
      <c r="AD3" s="17"/>
      <c r="AE3" s="16" t="str">
        <f>CHOOSE(WEEKDAY(AE4),"C.Nhật","T.Hai","T.Ba","T.Tư","T.Năm","T.Sáu","T.Bảy")</f>
        <v>#REF!</v>
      </c>
      <c r="AF3" s="17"/>
      <c r="AG3" s="16" t="str">
        <f>CHOOSE(WEEKDAY(AG4),"C.Nhật","T.Hai","T.Ba","T.Tư","T.Năm","T.Sáu","T.Bảy")</f>
        <v>#REF!</v>
      </c>
      <c r="AH3" s="17"/>
      <c r="AI3" s="16" t="str">
        <f>CHOOSE(WEEKDAY(AI4),"C.Nhật","T.Hai","T.Ba","T.Tư","T.Năm","T.Sáu","T.Bảy")</f>
        <v>#REF!</v>
      </c>
      <c r="AJ3" s="17"/>
      <c r="AK3" s="16" t="str">
        <f>CHOOSE(WEEKDAY(AK4),"C.Nhật","T.Hai","T.Ba","T.Tư","T.Năm","T.Sáu","T.Bảy")</f>
        <v>#REF!</v>
      </c>
      <c r="AL3" s="17"/>
      <c r="AM3" s="16" t="str">
        <f>CHOOSE(WEEKDAY(AM4),"C.Nhật","T.Hai","T.Ba","T.Tư","T.Năm","T.Sáu","T.Bảy")</f>
        <v>#REF!</v>
      </c>
      <c r="AN3" s="17"/>
      <c r="AO3" s="15" t="s">
        <v>7</v>
      </c>
      <c r="AP3" s="16" t="str">
        <f>CHOOSE(WEEKDAY(AP4),"C.Nhật","T.Hai","T.Ba","T.Tư","T.Năm","T.Sáu","T.Bảy")</f>
        <v>#REF!</v>
      </c>
      <c r="AQ3" s="17"/>
      <c r="AR3" s="16" t="str">
        <f>CHOOSE(WEEKDAY(AR4),"C.Nhật","T.Hai","T.Ba","T.Tư","T.Năm","T.Sáu","T.Bảy")</f>
        <v>#REF!</v>
      </c>
      <c r="AS3" s="17"/>
      <c r="AT3" s="16" t="str">
        <f>CHOOSE(WEEKDAY(AT4),"C.Nhật","T.Hai","T.Ba","T.Tư","T.Năm","T.Sáu","T.Bảy")</f>
        <v>#REF!</v>
      </c>
      <c r="AU3" s="17"/>
      <c r="AV3" s="16" t="str">
        <f>CHOOSE(WEEKDAY(AV4),"C.Nhật","T.Hai","T.Ba","T.Tư","T.Năm","T.Sáu","T.Bảy")</f>
        <v>#REF!</v>
      </c>
      <c r="AW3" s="17"/>
      <c r="AX3" s="16" t="str">
        <f>CHOOSE(WEEKDAY(AX4),"C.Nhật","T.Hai","T.Ba","T.Tư","T.Năm","T.Sáu","T.Bảy")</f>
        <v>#REF!</v>
      </c>
      <c r="AY3" s="17"/>
      <c r="AZ3" s="16" t="str">
        <f>CHOOSE(WEEKDAY(AZ4),"C.Nhật","T.Hai","T.Ba","T.Tư","T.Năm","T.Sáu","T.Bảy")</f>
        <v>#REF!</v>
      </c>
      <c r="BA3" s="17"/>
      <c r="BB3" s="16" t="str">
        <f>CHOOSE(WEEKDAY(BB4),"C.Nhật","T.Hai","T.Ba","T.Tư","T.Năm","T.Sáu","T.Bảy")</f>
        <v>#REF!</v>
      </c>
      <c r="BC3" s="17"/>
      <c r="BD3" s="15" t="s">
        <v>7</v>
      </c>
      <c r="BE3" s="16" t="str">
        <f>CHOOSE(WEEKDAY(BE4),"C.Nhật","T.Hai","T.Ba","T.Tư","T.Năm","T.Sáu","T.Bảy")</f>
        <v>#REF!</v>
      </c>
      <c r="BF3" s="17"/>
      <c r="BG3" s="16" t="str">
        <f>CHOOSE(WEEKDAY(BG4),"C.Nhật","T.Hai","T.Ba","T.Tư","T.Năm","T.Sáu","T.Bảy")</f>
        <v>#REF!</v>
      </c>
      <c r="BH3" s="17"/>
      <c r="BI3" s="16" t="str">
        <f>CHOOSE(WEEKDAY(BI4),"C.Nhật","T.Hai","T.Ba","T.Tư","T.Năm","T.Sáu","T.Bảy")</f>
        <v>#REF!</v>
      </c>
      <c r="BJ3" s="17"/>
      <c r="BK3" s="16" t="str">
        <f>CHOOSE(WEEKDAY(BK4),"C.Nhật","T.Hai","T.Ba","T.Tư","T.Năm","T.Sáu","T.Bảy")</f>
        <v>#REF!</v>
      </c>
      <c r="BL3" s="17"/>
      <c r="BM3" s="16" t="str">
        <f>CHOOSE(WEEKDAY(BM4),"C.Nhật","T.Hai","T.Ba","T.Tư","T.Năm","T.Sáu","T.Bảy")</f>
        <v>#REF!</v>
      </c>
      <c r="BN3" s="17"/>
      <c r="BO3" s="16" t="str">
        <f>CHOOSE(WEEKDAY(BO4),"C.Nhật","T.Hai","T.Ba","T.Tư","T.Năm","T.Sáu","T.Bảy")</f>
        <v>#REF!</v>
      </c>
      <c r="BP3" s="17"/>
      <c r="BQ3" s="16" t="str">
        <f>CHOOSE(WEEKDAY(BQ4),"C.Nhật","T.Hai","T.Ba","T.Tư","T.Năm","T.Sáu","T.Bảy")</f>
        <v>#REF!</v>
      </c>
      <c r="BR3" s="17"/>
      <c r="BS3" s="18" t="s">
        <v>8</v>
      </c>
      <c r="BT3" s="19" t="s">
        <v>9</v>
      </c>
      <c r="BU3" s="19" t="s">
        <v>10</v>
      </c>
      <c r="BV3" s="15" t="s">
        <v>11</v>
      </c>
      <c r="BW3" s="15" t="s">
        <v>12</v>
      </c>
      <c r="BX3" s="4"/>
      <c r="BY3" s="7"/>
      <c r="BZ3" s="7"/>
      <c r="CA3" s="7"/>
      <c r="CB3" s="7"/>
      <c r="CC3" s="7"/>
      <c r="CD3" s="7"/>
      <c r="CE3" s="7"/>
      <c r="CF3" s="7"/>
      <c r="CG3" s="7"/>
      <c r="CH3" s="7"/>
      <c r="CI3" s="7"/>
      <c r="CJ3" s="7"/>
      <c r="CK3" s="7"/>
      <c r="CL3" s="7"/>
      <c r="CM3" s="7"/>
      <c r="CN3" s="7"/>
      <c r="CO3" s="7"/>
      <c r="CP3" s="7"/>
      <c r="CQ3" s="7"/>
      <c r="CR3" s="7"/>
      <c r="CS3" s="7"/>
      <c r="CT3" s="7"/>
      <c r="CU3" s="7"/>
      <c r="CV3" s="7"/>
      <c r="CW3" s="7"/>
      <c r="CX3" s="4"/>
      <c r="CY3" s="4"/>
      <c r="CZ3" s="4"/>
      <c r="DA3" s="4"/>
      <c r="DB3" s="4"/>
      <c r="DC3" s="4"/>
      <c r="DD3" s="4"/>
      <c r="DE3" s="4"/>
    </row>
    <row r="4">
      <c r="A4" s="20"/>
      <c r="B4" s="20"/>
      <c r="C4" s="20"/>
      <c r="D4" s="20"/>
      <c r="E4" s="21" t="str">
        <f>B1</f>
        <v>#REF!</v>
      </c>
      <c r="F4" s="17"/>
      <c r="G4" s="21" t="str">
        <f>E4+1</f>
        <v>#REF!</v>
      </c>
      <c r="H4" s="17"/>
      <c r="I4" s="21" t="str">
        <f>G4+1</f>
        <v>#REF!</v>
      </c>
      <c r="J4" s="17"/>
      <c r="K4" s="20"/>
      <c r="L4" s="21" t="str">
        <f>I4+1</f>
        <v>#REF!</v>
      </c>
      <c r="M4" s="17"/>
      <c r="N4" s="21" t="str">
        <f>L4+1</f>
        <v>#REF!</v>
      </c>
      <c r="O4" s="17"/>
      <c r="P4" s="21" t="str">
        <f>N4+1</f>
        <v>#REF!</v>
      </c>
      <c r="Q4" s="17"/>
      <c r="R4" s="21" t="str">
        <f>P4+1</f>
        <v>#REF!</v>
      </c>
      <c r="S4" s="17"/>
      <c r="T4" s="21" t="str">
        <f>R4+1</f>
        <v>#REF!</v>
      </c>
      <c r="U4" s="17"/>
      <c r="V4" s="21" t="str">
        <f>T4+1</f>
        <v>#REF!</v>
      </c>
      <c r="W4" s="17"/>
      <c r="X4" s="21" t="str">
        <f>V4+1</f>
        <v>#REF!</v>
      </c>
      <c r="Y4" s="17"/>
      <c r="Z4" s="20"/>
      <c r="AA4" s="21" t="str">
        <f>X4+1</f>
        <v>#REF!</v>
      </c>
      <c r="AB4" s="17"/>
      <c r="AC4" s="21" t="str">
        <f>AA4+1</f>
        <v>#REF!</v>
      </c>
      <c r="AD4" s="17"/>
      <c r="AE4" s="21" t="str">
        <f>AC4+1</f>
        <v>#REF!</v>
      </c>
      <c r="AF4" s="17"/>
      <c r="AG4" s="21" t="str">
        <f>AE4+1</f>
        <v>#REF!</v>
      </c>
      <c r="AH4" s="17"/>
      <c r="AI4" s="21" t="str">
        <f>AG4+1</f>
        <v>#REF!</v>
      </c>
      <c r="AJ4" s="17"/>
      <c r="AK4" s="21" t="str">
        <f>AI4+1</f>
        <v>#REF!</v>
      </c>
      <c r="AL4" s="17"/>
      <c r="AM4" s="21" t="str">
        <f>AK4+1</f>
        <v>#REF!</v>
      </c>
      <c r="AN4" s="17"/>
      <c r="AO4" s="20"/>
      <c r="AP4" s="21" t="str">
        <f>AM4+1</f>
        <v>#REF!</v>
      </c>
      <c r="AQ4" s="17"/>
      <c r="AR4" s="21" t="str">
        <f>AP4+1</f>
        <v>#REF!</v>
      </c>
      <c r="AS4" s="17"/>
      <c r="AT4" s="21" t="str">
        <f>AR4+1</f>
        <v>#REF!</v>
      </c>
      <c r="AU4" s="17"/>
      <c r="AV4" s="21" t="str">
        <f>AT4+1</f>
        <v>#REF!</v>
      </c>
      <c r="AW4" s="17"/>
      <c r="AX4" s="21" t="str">
        <f>AV4+1</f>
        <v>#REF!</v>
      </c>
      <c r="AY4" s="17"/>
      <c r="AZ4" s="21" t="str">
        <f>AX4+1</f>
        <v>#REF!</v>
      </c>
      <c r="BA4" s="17"/>
      <c r="BB4" s="21" t="str">
        <f>AZ4+1</f>
        <v>#REF!</v>
      </c>
      <c r="BC4" s="17"/>
      <c r="BD4" s="20"/>
      <c r="BE4" s="21" t="str">
        <f>BB4+1</f>
        <v>#REF!</v>
      </c>
      <c r="BF4" s="17"/>
      <c r="BG4" s="21" t="str">
        <f>BE4+1</f>
        <v>#REF!</v>
      </c>
      <c r="BH4" s="17"/>
      <c r="BI4" s="21" t="str">
        <f>BG4+1</f>
        <v>#REF!</v>
      </c>
      <c r="BJ4" s="17"/>
      <c r="BK4" s="21" t="str">
        <f>BI4+1</f>
        <v>#REF!</v>
      </c>
      <c r="BL4" s="17"/>
      <c r="BM4" s="21" t="str">
        <f>BK4+1</f>
        <v>#REF!</v>
      </c>
      <c r="BN4" s="17"/>
      <c r="BO4" s="21" t="str">
        <f>BM4+1</f>
        <v>#REF!</v>
      </c>
      <c r="BP4" s="17"/>
      <c r="BQ4" s="21" t="str">
        <f>BO4+1</f>
        <v>#REF!</v>
      </c>
      <c r="BR4" s="17"/>
      <c r="BS4" s="22"/>
      <c r="BT4" s="22"/>
      <c r="BU4" s="22"/>
      <c r="BV4" s="20"/>
      <c r="BW4" s="20"/>
      <c r="BX4" s="4"/>
      <c r="BY4" s="23" t="s">
        <v>13</v>
      </c>
      <c r="BZ4" s="24"/>
      <c r="CA4" s="24"/>
      <c r="CB4" s="24"/>
      <c r="CC4" s="24"/>
      <c r="CD4" s="24"/>
      <c r="CE4" s="24"/>
      <c r="CF4" s="24"/>
      <c r="CG4" s="24"/>
      <c r="CH4" s="24"/>
      <c r="CI4" s="24"/>
      <c r="CJ4" s="24"/>
      <c r="CK4" s="24"/>
      <c r="CL4" s="24"/>
      <c r="CM4" s="24"/>
      <c r="CN4" s="24"/>
      <c r="CO4" s="24"/>
      <c r="CP4" s="24"/>
      <c r="CQ4" s="24"/>
      <c r="CR4" s="24"/>
      <c r="CS4" s="24"/>
      <c r="CT4" s="24"/>
      <c r="CU4" s="24"/>
      <c r="CV4" s="24"/>
      <c r="CW4" s="25"/>
      <c r="CX4" s="4"/>
      <c r="CY4" s="23" t="s">
        <v>14</v>
      </c>
      <c r="CZ4" s="24"/>
      <c r="DA4" s="24"/>
      <c r="DB4" s="24"/>
      <c r="DC4" s="24"/>
      <c r="DD4" s="24"/>
      <c r="DE4" s="25"/>
    </row>
    <row r="5">
      <c r="A5" s="26"/>
      <c r="B5" s="26"/>
      <c r="C5" s="26"/>
      <c r="D5" s="26"/>
      <c r="E5" s="27" t="s">
        <v>15</v>
      </c>
      <c r="F5" s="27" t="s">
        <v>16</v>
      </c>
      <c r="G5" s="27" t="s">
        <v>15</v>
      </c>
      <c r="H5" s="27" t="s">
        <v>16</v>
      </c>
      <c r="I5" s="27" t="s">
        <v>15</v>
      </c>
      <c r="J5" s="27" t="s">
        <v>16</v>
      </c>
      <c r="K5" s="26"/>
      <c r="L5" s="28" t="s">
        <v>15</v>
      </c>
      <c r="M5" s="28" t="s">
        <v>16</v>
      </c>
      <c r="N5" s="28" t="s">
        <v>15</v>
      </c>
      <c r="O5" s="28" t="s">
        <v>16</v>
      </c>
      <c r="P5" s="28" t="s">
        <v>15</v>
      </c>
      <c r="Q5" s="28" t="s">
        <v>16</v>
      </c>
      <c r="R5" s="28" t="s">
        <v>15</v>
      </c>
      <c r="S5" s="29" t="s">
        <v>16</v>
      </c>
      <c r="T5" s="30" t="s">
        <v>15</v>
      </c>
      <c r="U5" s="28" t="s">
        <v>16</v>
      </c>
      <c r="V5" s="28" t="s">
        <v>15</v>
      </c>
      <c r="W5" s="29" t="s">
        <v>16</v>
      </c>
      <c r="X5" s="30" t="s">
        <v>15</v>
      </c>
      <c r="Y5" s="28" t="s">
        <v>16</v>
      </c>
      <c r="Z5" s="26"/>
      <c r="AA5" s="28" t="s">
        <v>15</v>
      </c>
      <c r="AB5" s="28" t="s">
        <v>16</v>
      </c>
      <c r="AC5" s="28" t="s">
        <v>15</v>
      </c>
      <c r="AD5" s="28" t="s">
        <v>16</v>
      </c>
      <c r="AE5" s="28" t="s">
        <v>15</v>
      </c>
      <c r="AF5" s="28" t="s">
        <v>16</v>
      </c>
      <c r="AG5" s="28" t="s">
        <v>15</v>
      </c>
      <c r="AH5" s="29" t="s">
        <v>16</v>
      </c>
      <c r="AI5" s="30" t="s">
        <v>15</v>
      </c>
      <c r="AJ5" s="29" t="s">
        <v>16</v>
      </c>
      <c r="AK5" s="30" t="s">
        <v>15</v>
      </c>
      <c r="AL5" s="28" t="s">
        <v>16</v>
      </c>
      <c r="AM5" s="28" t="s">
        <v>15</v>
      </c>
      <c r="AN5" s="28" t="s">
        <v>16</v>
      </c>
      <c r="AO5" s="26"/>
      <c r="AP5" s="28" t="s">
        <v>15</v>
      </c>
      <c r="AQ5" s="28" t="s">
        <v>16</v>
      </c>
      <c r="AR5" s="28" t="s">
        <v>15</v>
      </c>
      <c r="AS5" s="28" t="s">
        <v>16</v>
      </c>
      <c r="AT5" s="28" t="s">
        <v>15</v>
      </c>
      <c r="AU5" s="28" t="s">
        <v>16</v>
      </c>
      <c r="AV5" s="31" t="s">
        <v>15</v>
      </c>
      <c r="AW5" s="31" t="s">
        <v>16</v>
      </c>
      <c r="AX5" s="31" t="s">
        <v>15</v>
      </c>
      <c r="AY5" s="32" t="s">
        <v>16</v>
      </c>
      <c r="AZ5" s="33" t="s">
        <v>15</v>
      </c>
      <c r="BA5" s="31" t="s">
        <v>16</v>
      </c>
      <c r="BB5" s="31" t="s">
        <v>15</v>
      </c>
      <c r="BC5" s="31" t="s">
        <v>16</v>
      </c>
      <c r="BD5" s="26"/>
      <c r="BE5" s="28" t="s">
        <v>15</v>
      </c>
      <c r="BF5" s="28" t="s">
        <v>16</v>
      </c>
      <c r="BG5" s="28" t="s">
        <v>15</v>
      </c>
      <c r="BH5" s="28" t="s">
        <v>16</v>
      </c>
      <c r="BI5" s="28" t="s">
        <v>15</v>
      </c>
      <c r="BJ5" s="28" t="s">
        <v>16</v>
      </c>
      <c r="BK5" s="28" t="s">
        <v>15</v>
      </c>
      <c r="BL5" s="28" t="s">
        <v>16</v>
      </c>
      <c r="BM5" s="28" t="s">
        <v>15</v>
      </c>
      <c r="BN5" s="28" t="s">
        <v>16</v>
      </c>
      <c r="BO5" s="28" t="s">
        <v>15</v>
      </c>
      <c r="BP5" s="28" t="s">
        <v>16</v>
      </c>
      <c r="BQ5" s="28" t="s">
        <v>15</v>
      </c>
      <c r="BR5" s="28" t="s">
        <v>16</v>
      </c>
      <c r="BS5" s="34"/>
      <c r="BT5" s="34"/>
      <c r="BU5" s="34"/>
      <c r="BV5" s="35"/>
      <c r="BW5" s="35"/>
      <c r="BX5" s="36"/>
      <c r="BY5" s="37">
        <v>8.0</v>
      </c>
      <c r="BZ5" s="37">
        <v>8.0</v>
      </c>
      <c r="CA5" s="37">
        <v>8.0</v>
      </c>
      <c r="CB5" s="37">
        <v>8.0</v>
      </c>
      <c r="CC5" s="37">
        <v>8.0</v>
      </c>
      <c r="CD5" s="37">
        <v>9.0</v>
      </c>
      <c r="CE5" s="37">
        <v>8.0</v>
      </c>
      <c r="CF5" s="37">
        <v>9.0</v>
      </c>
      <c r="CG5" s="37">
        <v>9.0</v>
      </c>
      <c r="CH5" s="37">
        <v>9.0</v>
      </c>
      <c r="CI5" s="37">
        <v>9.0</v>
      </c>
      <c r="CJ5" s="37">
        <v>5.0</v>
      </c>
      <c r="CK5" s="37">
        <v>8.0</v>
      </c>
      <c r="CL5" s="37">
        <v>9.0</v>
      </c>
      <c r="CM5" s="37">
        <v>12.0</v>
      </c>
      <c r="CN5" s="37">
        <v>12.0</v>
      </c>
      <c r="CO5" s="37">
        <v>12.0</v>
      </c>
      <c r="CP5" s="37">
        <v>12.0</v>
      </c>
      <c r="CQ5" s="37">
        <v>11.0</v>
      </c>
      <c r="CR5" s="37">
        <v>12.0</v>
      </c>
      <c r="CS5" s="37">
        <v>4.0</v>
      </c>
      <c r="CT5" s="37">
        <v>9.0</v>
      </c>
      <c r="CU5" s="37">
        <v>14.0</v>
      </c>
      <c r="CV5" s="37">
        <v>14.0</v>
      </c>
      <c r="CW5" s="37">
        <v>0.0</v>
      </c>
      <c r="CX5" s="36"/>
      <c r="CY5" s="36"/>
      <c r="CZ5" s="36"/>
      <c r="DA5" s="36"/>
      <c r="DB5" s="36"/>
      <c r="DC5" s="36"/>
      <c r="DD5" s="36"/>
      <c r="DE5" s="36"/>
    </row>
    <row r="6">
      <c r="A6" s="38" t="s">
        <v>17</v>
      </c>
      <c r="B6" s="39"/>
      <c r="C6" s="40"/>
      <c r="D6" s="41"/>
      <c r="E6" s="41">
        <f>COUNTIF(E8:E24,$A$57)+COUNTIF(E8:E24,$A$58)+COUNTIF(E8:E24,$A$59)+COUNTIF(E8:E24,$A$60)+COUNTIF(E8:E24,$A$61)+COUNTIF(E8:E24,$A$62)+COUNTIF(E8:E24,$A$63)+COUNTIF(E8:E24,$A$64)+COUNTIF(E8:E24,$A$72)+COUNTIF(E8:E24,$A$73)+COUNTIF(E8:E24,$A$74)+COUNTIF(E7:E24,$A$75)+COUNTIF(E8:E24,$A$76)+COUNTIF(E8:E24,$A$77)+COUNTIF(E8:E24,$A$78)+COUNTIF(E8:E24,$A$81)+COUNTIF(E27:E39,$A$57)+COUNTIF(E27:E39,$A$58)+COUNTIF(E27:E39,$A$59)+COUNTIF(E27:E39,$A$60)+COUNTIF(E27:E39,$A$61)+COUNTIF(E27:E39,$A$62)+COUNTIF(E27:E39,$A$63)+COUNTIF(E27:E39,$A$64)+COUNTIF(E27:E39,$A$72)+COUNTIF(E27:E39,$A$73)+COUNTIF(E27:E39,$A$74)+COUNTIF(E27:E39,$A$75)+COUNTIF(E27:E39,$A$76)+COUNTIF(E27:E39,$A$77)+COUNTIF(E27:E39,$A$78)+COUNTIF(E27:E39,$A$81)</f>
        <v>18</v>
      </c>
      <c r="F6" s="41">
        <f>COUNTIF(F7:F24,$A$48)+COUNTIF(F7:F24,$A$49)+COUNTIF(F7:F24,$A$50)+COUNTIF(F7:F24,$A$51)+COUNTIF(F7:F24,$A$52)+COUNTIF(F7:F24,$A$53)+COUNTIF(F7:F24,$A$54)+COUNTIF(F7:F24,$A$55)</f>
        <v>5</v>
      </c>
      <c r="G6" s="41">
        <f>COUNTIF(G8:G24,$A$57)+COUNTIF(G8:G24,$A$58)+COUNTIF(G8:G24,$A$59)+COUNTIF(G8:G24,$A$60)+COUNTIF(G8:G24,$A$61)+COUNTIF(G8:G24,$A$62)+COUNTIF(G8:G24,$A$63)+COUNTIF(G8:G24,$A$64)+COUNTIF(G8:G24,$A$72)+COUNTIF(G8:G24,$A$73)+COUNTIF(G8:G24,$A$74)+COUNTIF(G7:G24,$A$75)+COUNTIF(G8:G24,$A$76)+COUNTIF(G8:G24,$A$77)+COUNTIF(G8:G24,$A$78)+COUNTIF(G8:G24,$A$81)+COUNTIF(G27:G39,$A$57)+COUNTIF(G27:G39,$A$58)+COUNTIF(G27:G39,$A$59)+COUNTIF(G27:G39,$A$60)+COUNTIF(G27:G39,$A$61)+COUNTIF(G27:G39,$A$62)+COUNTIF(G27:G39,$A$63)+COUNTIF(G27:G39,$A$64)+COUNTIF(G27:G39,$A$72)+COUNTIF(G27:G39,$A$73)+COUNTIF(G27:G39,$A$74)+COUNTIF(G27:G39,$A$75)+COUNTIF(G27:G39,$A$76)+COUNTIF(G27:G39,$A$77)+COUNTIF(G27:G39,$A$78)+COUNTIF(G27:G39,$A$81)</f>
        <v>17</v>
      </c>
      <c r="H6" s="41">
        <f>COUNTIF(H7:H24,$A$48)+COUNTIF(H7:H24,$A$49)+COUNTIF(H7:H24,$A$50)+COUNTIF(H7:H24,$A$51)+COUNTIF(H7:H24,$A$52)+COUNTIF(H7:H24,$A$53)+COUNTIF(H7:H24,$A$54)+COUNTIF(H7:H24,$A$55)</f>
        <v>3</v>
      </c>
      <c r="I6" s="41">
        <f>COUNTIF(I8:I24,$A$57)+COUNTIF(I8:I24,$A$58)+COUNTIF(I8:I24,$A$59)+COUNTIF(I8:I24,$A$60)+COUNTIF(I8:I24,$A$61)+COUNTIF(I8:I24,$A$62)+COUNTIF(I8:I24,$A$63)+COUNTIF(I8:I24,$A$64)+COUNTIF(I8:I24,$A$72)+COUNTIF(I8:I24,$A$73)+COUNTIF(I8:I24,$A$74)+COUNTIF(I7:I24,$A$75)+COUNTIF(I8:I24,$A$76)+COUNTIF(I8:I24,$A$77)+COUNTIF(I8:I24,$A$78)+COUNTIF(I8:I24,$A$81)+COUNTIF(I27:I39,$A$57)+COUNTIF(I27:I39,$A$58)+COUNTIF(I27:I39,$A$59)+COUNTIF(I27:I39,$A$60)+COUNTIF(I27:I39,$A$61)+COUNTIF(I27:I39,$A$62)+COUNTIF(I27:I39,$A$63)+COUNTIF(I27:I39,$A$64)+COUNTIF(I27:I39,$A$72)+COUNTIF(I27:I39,$A$73)+COUNTIF(I27:I39,$A$74)+COUNTIF(I27:I39,$A$75)+COUNTIF(I27:I39,$A$76)+COUNTIF(I27:I39,$A$77)+COUNTIF(I27:I39,$A$78)+COUNTIF(I27:I39,$A$81)</f>
        <v>16</v>
      </c>
      <c r="J6" s="41">
        <f>COUNTIF(J7:J24,$A$48)+COUNTIF(J7:J24,$A$49)+COUNTIF(J7:J24,$A$50)+COUNTIF(J7:J24,$A$51)+COUNTIF(J7:J24,$A$52)+COUNTIF(J7:J24,$A$53)+COUNTIF(J7:J24,$A$54)+COUNTIF(J7:J24,$A$55)</f>
        <v>3</v>
      </c>
      <c r="K6" s="41"/>
      <c r="L6" s="41">
        <f>COUNTIF(L8:L24,$A$57)+COUNTIF(L8:L24,$A$58)+COUNTIF(L8:L24,$A$59)+COUNTIF(L8:L24,$A$60)+COUNTIF(L8:L24,$A$61)+COUNTIF(L8:L24,$A$62)+COUNTIF(L8:L24,$A$63)+COUNTIF(L8:L24,$A$64)+COUNTIF(L8:L24,$A$72)+COUNTIF(L8:L24,$A$73)+COUNTIF(L8:L24,$A$74)+COUNTIF(L7:L24,$A$75)+COUNTIF(L8:L24,$A$76)+COUNTIF(L8:L24,$A$77)+COUNTIF(L8:L24,$A$78)+COUNTIF(L8:L24,$A$81)+COUNTIF(L27:L39,$A$57)+COUNTIF(L27:L39,$A$58)+COUNTIF(L27:L39,$A$59)+COUNTIF(L27:L39,$A$60)+COUNTIF(L27:L39,$A$61)+COUNTIF(L27:L39,$A$62)+COUNTIF(L27:L39,$A$63)+COUNTIF(L27:L39,$A$64)+COUNTIF(L27:L39,$A$72)+COUNTIF(L27:L39,$A$73)+COUNTIF(L27:L39,$A$74)+COUNTIF(L27:L39,$A$75)+COUNTIF(L27:L39,$A$76)+COUNTIF(L27:L39,$A$77)+COUNTIF(L27:L39,$A$78)+COUNTIF(L27:L39,$A$81)</f>
        <v>12</v>
      </c>
      <c r="M6" s="41">
        <f>COUNTIF(M7:M24,$A$48)+COUNTIF(M7:M24,$A$49)+COUNTIF(M7:M24,$A$50)+COUNTIF(M7:M24,$A$51)+COUNTIF(M7:M24,$A$52)+COUNTIF(M7:M24,$A$53)+COUNTIF(M7:M24,$A$54)+COUNTIF(M7:M24,$A$55)</f>
        <v>3</v>
      </c>
      <c r="N6" s="41">
        <f>COUNTIF(N8:N24,$A$57)+COUNTIF(N8:N24,$A$58)+COUNTIF(N8:N24,$A$59)+COUNTIF(N8:N24,$A$60)+COUNTIF(N8:N24,$A$61)+COUNTIF(N8:N24,$A$62)+COUNTIF(N8:N24,$A$63)+COUNTIF(N8:N24,$A$64)+COUNTIF(N8:N24,$A$72)+COUNTIF(N8:N24,$A$73)+COUNTIF(N8:N24,$A$74)+COUNTIF(N7:N24,$A$75)+COUNTIF(N8:N24,$A$76)+COUNTIF(N8:N24,$A$77)+COUNTIF(N8:N24,$A$78)+COUNTIF(N8:N24,$A$81)+COUNTIF(N27:N39,$A$57)+COUNTIF(N27:N39,$A$58)+COUNTIF(N27:N39,$A$59)+COUNTIF(N27:N39,$A$60)+COUNTIF(N27:N39,$A$61)+COUNTIF(N27:N39,$A$62)+COUNTIF(N27:N39,$A$63)+COUNTIF(N27:N39,$A$64)+COUNTIF(N27:N39,$A$72)+COUNTIF(N27:N39,$A$73)+COUNTIF(N27:N39,$A$74)+COUNTIF(N27:N39,$A$75)+COUNTIF(N27:N39,$A$76)+COUNTIF(N27:N39,$A$77)+COUNTIF(N27:N39,$A$78)+COUNTIF(N27:N39,$A$81)</f>
        <v>11</v>
      </c>
      <c r="O6" s="41">
        <f>COUNTIF(O7:O24,$A$48)+COUNTIF(O7:O24,$A$49)+COUNTIF(O7:O24,$A$50)+COUNTIF(O7:O24,$A$51)+COUNTIF(O7:O24,$A$52)+COUNTIF(O7:O24,$A$53)+COUNTIF(O7:O24,$A$54)+COUNTIF(O7:O24,$A$55)</f>
        <v>3</v>
      </c>
      <c r="P6" s="41">
        <f>COUNTIF(P8:P24,$A$57)+COUNTIF(P8:P24,$A$58)+COUNTIF(P8:P24,$A$59)+COUNTIF(P8:P24,$A$60)+COUNTIF(P8:P24,$A$61)+COUNTIF(P8:P24,$A$62)+COUNTIF(P8:P24,$A$63)+COUNTIF(P8:P24,$A$64)+COUNTIF(P8:P24,$A$72)+COUNTIF(P8:P24,$A$73)+COUNTIF(P8:P24,$A$74)+COUNTIF(P7:P24,$A$75)+COUNTIF(P8:P24,$A$76)+COUNTIF(P8:P24,$A$77)+COUNTIF(P8:P24,$A$78)+COUNTIF(P8:P24,$A$81)+COUNTIF(P27:P39,$A$57)+COUNTIF(P27:P39,$A$58)+COUNTIF(P27:P39,$A$59)+COUNTIF(P27:P39,$A$60)+COUNTIF(P27:P39,$A$61)+COUNTIF(P27:P39,$A$62)+COUNTIF(P27:P39,$A$63)+COUNTIF(P27:P39,$A$64)+COUNTIF(P27:P39,$A$72)+COUNTIF(P27:P39,$A$73)+COUNTIF(P27:P39,$A$74)+COUNTIF(P27:P39,$A$75)+COUNTIF(P27:P39,$A$76)+COUNTIF(P27:P39,$A$77)+COUNTIF(P27:P39,$A$78)+COUNTIF(P27:P39,$A$81)</f>
        <v>12</v>
      </c>
      <c r="Q6" s="41">
        <f>COUNTIF(Q7:Q24,$A$48)+COUNTIF(Q7:Q24,$A$49)+COUNTIF(Q7:Q24,$A$50)+COUNTIF(Q7:Q24,$A$51)+COUNTIF(Q7:Q24,$A$52)+COUNTIF(Q7:Q24,$A$53)+COUNTIF(Q7:Q24,$A$54)+COUNTIF(Q7:Q24,$A$55)</f>
        <v>3</v>
      </c>
      <c r="R6" s="41">
        <f>COUNTIF(R8:R24,$A$57)+COUNTIF(R8:R24,$A$58)+COUNTIF(R8:R24,$A$59)+COUNTIF(R8:R24,$A$60)+COUNTIF(R8:R24,$A$61)+COUNTIF(R8:R24,$A$62)+COUNTIF(R8:R24,$A$63)+COUNTIF(R8:R24,$A$64)+COUNTIF(R8:R24,$A$72)+COUNTIF(R8:R24,$A$73)+COUNTIF(R8:R24,$A$74)+COUNTIF(R7:R24,$A$75)+COUNTIF(R8:R24,$A$76)+COUNTIF(R8:R24,$A$77)+COUNTIF(R8:R24,$A$78)+COUNTIF(R8:R24,$A$81)+COUNTIF(R27:R39,$A$57)+COUNTIF(R27:R39,$A$58)+COUNTIF(R27:R39,$A$59)+COUNTIF(R27:R39,$A$60)+COUNTIF(R27:R39,$A$61)+COUNTIF(R27:R39,$A$62)+COUNTIF(R27:R39,$A$63)+COUNTIF(R27:R39,$A$64)+COUNTIF(R27:R39,$A$72)+COUNTIF(R27:R39,$A$73)+COUNTIF(R27:R39,$A$74)+COUNTIF(R27:R39,$A$75)+COUNTIF(R27:R39,$A$76)+COUNTIF(R27:R39,$A$77)+COUNTIF(R27:R39,$A$78)+COUNTIF(R27:R39,$A$81)</f>
        <v>13</v>
      </c>
      <c r="S6" s="41">
        <f>COUNTIF(S7:S24,$A$48)+COUNTIF(S7:S24,$A$49)+COUNTIF(S7:S24,$A$50)+COUNTIF(S7:S24,$A$51)+COUNTIF(S7:S24,$A$52)+COUNTIF(S7:S24,$A$53)+COUNTIF(S7:S24,$A$54)+COUNTIF(S7:S24,$A$55)</f>
        <v>3</v>
      </c>
      <c r="T6" s="41">
        <f>COUNTIF(T8:T24,$A$57)+COUNTIF(T8:T24,$A$58)+COUNTIF(T8:T24,$A$59)+COUNTIF(T8:T24,$A$60)+COUNTIF(T8:T24,$A$61)+COUNTIF(T8:T24,$A$62)+COUNTIF(T8:T24,$A$63)+COUNTIF(T8:T24,$A$64)+COUNTIF(T8:T24,$A$72)+COUNTIF(T8:T24,$A$73)+COUNTIF(T8:T24,$A$74)+COUNTIF(T7:T24,$A$75)+COUNTIF(T8:T24,$A$76)+COUNTIF(T8:T24,$A$77)+COUNTIF(T8:T24,$A$78)+COUNTIF(T7:T24,$A$79)+COUNTIF(T8:T24,$A$81)+COUNTIF(T27:T39,$A$57)+COUNTIF(T27:T39,$A$58)+COUNTIF(T27:T39,$A$59)+COUNTIF(T27:T39,$A$60)+COUNTIF(T27:T39,$A$61)+COUNTIF(T27:T39,$A$62)+COUNTIF(T27:T39,$A$63)+COUNTIF(T27:T39,$A$64)+COUNTIF(T27:T39,$A$72)+COUNTIF(T27:T39,$A$73)+COUNTIF(T27:T39,$A$74)+COUNTIF(T27:T39,$A$75)+COUNTIF(T27:T39,$A$76)+COUNTIF(T27:T39,$A$77)+COUNTIF(T27:T39,$A$78)+COUNTIF(T27:T39,$A$81)+COUNTIF(T27:T39,$A$79)</f>
        <v>17</v>
      </c>
      <c r="U6" s="41">
        <f>COUNTIF(U7:U24,$A$48)+COUNTIF(U7:U24,$A$49)+COUNTIF(U7:U24,$A$50)+COUNTIF(U7:U24,$A$51)+COUNTIF(U7:U24,$A$52)+COUNTIF(U7:U24,$A$53)+COUNTIF(U7:U24,$A$54)+COUNTIF(U7:U24,$A$55)</f>
        <v>3</v>
      </c>
      <c r="V6" s="41">
        <f>COUNTIF(V8:V24,$A$57)+COUNTIF(V8:V24,$A$58)+COUNTIF(V8:V24,$A$59)+COUNTIF(V8:V24,$A$60)+COUNTIF(V8:V24,$A$61)+COUNTIF(V8:V24,$A$62)+COUNTIF(V8:V24,$A$63)+COUNTIF(V8:V24,$A$64)+COUNTIF(V8:V24,$A$72)+COUNTIF(V8:V24,$A$73)+COUNTIF(V8:V24,$A$74)+COUNTIF(V7:V24,$A$75)+COUNTIF(V8:V24,$A$76)+COUNTIF(V8:V24,$A$77)+COUNTIF(V8:V24,$A$78)+COUNTIF(V7:V24,$A$79)+COUNTIF(V8:V24,$A$81)+COUNTIF(V27:V39,$A$57)+COUNTIF(V27:V39,$A$58)+COUNTIF(V27:V39,$A$59)+COUNTIF(V27:V39,$A$60)+COUNTIF(V27:V39,$A$61)+COUNTIF(V27:V39,$A$62)+COUNTIF(V27:V39,$A$63)+COUNTIF(V27:V39,$A$64)+COUNTIF(V27:V39,$A$72)+COUNTIF(V27:V39,$A$73)+COUNTIF(V27:V39,$A$74)+COUNTIF(V27:V39,$A$75)+COUNTIF(V27:V39,$A$76)+COUNTIF(V27:V39,$A$77)+COUNTIF(V27:V39,$A$78)+COUNTIF(V27:V39,$A$81)+COUNTIF(V27:V39,$A$79)</f>
        <v>17</v>
      </c>
      <c r="W6" s="41">
        <f>COUNTIF(W7:W24,$A$48)+COUNTIF(W7:W24,$A$49)+COUNTIF(W7:W24,$A$50)+COUNTIF(W7:W24,$A$51)+COUNTIF(W7:W24,$A$52)+COUNTIF(W7:W24,$A$53)+COUNTIF(W7:W24,$A$54)+COUNTIF(W7:W24,$A$55)</f>
        <v>3</v>
      </c>
      <c r="X6" s="41">
        <f>COUNTIF(X8:X24,$A$57)+COUNTIF(X8:X24,$A$58)+COUNTIF(X8:X24,$A$59)+COUNTIF(X8:X24,$A$60)+COUNTIF(X8:X24,$A$61)+COUNTIF(X8:X24,$A$62)+COUNTIF(X8:X24,$A$63)+COUNTIF(X8:X24,$A$64)+COUNTIF(X8:X24,$A$72)+COUNTIF(X8:X24,$A$73)+COUNTIF(X8:X24,$A$74)+COUNTIF(X7:X24,$A$75)+COUNTIF(X8:X24,$A$76)+COUNTIF(X8:X24,$A$77)+COUNTIF(X8:X24,$A$78)+COUNTIF(X7:X24,$A$79)+COUNTIF(X8:X24,$A$81)+COUNTIF(X27:X39,$A$57)+COUNTIF(X27:X39,$A$58)+COUNTIF(X27:X39,$A$59)+COUNTIF(X27:X39,$A$60)+COUNTIF(X27:X39,$A$61)+COUNTIF(X27:X39,$A$62)+COUNTIF(X27:X39,$A$63)+COUNTIF(X27:X39,$A$64)+COUNTIF(X27:X39,$A$72)+COUNTIF(X27:X39,$A$73)+COUNTIF(X27:X39,$A$74)+COUNTIF(X27:X39,$A$75)+COUNTIF(X27:X39,$A$76)+COUNTIF(X27:X39,$A$77)+COUNTIF(X27:X39,$A$78)+COUNTIF(X27:X39,$A$81)+COUNTIF(X27:X39,$A$79)</f>
        <v>13</v>
      </c>
      <c r="Y6" s="41">
        <f>COUNTIF(Y7:Y24,$A$48)+COUNTIF(Y7:Y24,$A$49)+COUNTIF(Y7:Y24,$A$50)+COUNTIF(Y7:Y24,$A$51)+COUNTIF(Y7:Y24,$A$52)+COUNTIF(Y7:Y24,$A$53)+COUNTIF(Y7:Y24,$A$54)+COUNTIF(Y7:Y24,$A$55)</f>
        <v>3</v>
      </c>
      <c r="Z6" s="41"/>
      <c r="AA6" s="41">
        <f>COUNTIF(AA8:AA24,$A$57)+COUNTIF(AA8:AA24,$A$58)+COUNTIF(AA8:AA24,$A$59)+COUNTIF(AA8:AA24,$A$60)+COUNTIF(AA8:AA24,$A$61)+COUNTIF(AA8:AA24,$A$62)+COUNTIF(AA8:AA24,$A$63)+COUNTIF(AA8:AA24,$A$64)+COUNTIF(AA8:AA24,$A$72)+COUNTIF(AA8:AA24,$A$73)+COUNTIF(AA8:AA24,$A$74)+COUNTIF(AA7:AA24,$A$75)+COUNTIF(AA8:AA24,$A$76)+COUNTIF(AA8:AA24,$A$77)+COUNTIF(AA8:AA24,$A$78)+COUNTIF(AA7:AA24,$A$79)+COUNTIF(AA8:AA24,$A$81)+COUNTIF(AA27:AA39,$A$57)+COUNTIF(AA27:AA39,$A$58)+COUNTIF(AA27:AA39,$A$59)+COUNTIF(AA27:AA39,$A$60)+COUNTIF(AA27:AA39,$A$61)+COUNTIF(AA27:AA39,$A$62)+COUNTIF(AA27:AA39,$A$63)+COUNTIF(AA27:AA39,$A$64)+COUNTIF(AA27:AA39,$A$72)+COUNTIF(AA27:AA39,$A$73)+COUNTIF(AA27:AA39,$A$74)+COUNTIF(AA27:AA39,$A$75)+COUNTIF(AA27:AA39,$A$76)+COUNTIF(AA27:AA39,$A$77)+COUNTIF(AA27:AA39,$A$78)+COUNTIF(AA27:AA39,$A$81)+COUNTIF(AA27:AA39,$A$79)</f>
        <v>9</v>
      </c>
      <c r="AB6" s="41">
        <f>COUNTIF(AB7:AB24,$A$48)+COUNTIF(AB7:AB24,$A$49)+COUNTIF(AB7:AB24,$A$50)+COUNTIF(AB7:AB24,$A$51)+COUNTIF(AB7:AB24,$A$52)+COUNTIF(AB7:AB24,$A$53)+COUNTIF(AB7:AB24,$A$54)+COUNTIF(AB7:AB24,$A$55)</f>
        <v>3</v>
      </c>
      <c r="AC6" s="41">
        <f>COUNTIF(AC8:AC24,$A$57)+COUNTIF(AC8:AC24,$A$58)+COUNTIF(AC8:AC24,$A$59)+COUNTIF(AC8:AC24,$A$60)+COUNTIF(AC8:AC24,$A$61)+COUNTIF(AC8:AC24,$A$62)+COUNTIF(AC8:AC24,$A$63)+COUNTIF(AC8:AC24,$A$64)+COUNTIF(AC8:AC24,$A$72)+COUNTIF(AC8:AC24,$A$73)+COUNTIF(AC8:AC24,$A$74)+COUNTIF(AC7:AC24,$A$75)+COUNTIF(AC8:AC24,$A$76)+COUNTIF(AC8:AC24,$A$77)+COUNTIF(AC8:AC24,$A$78)+COUNTIF(AC7:AC24,$A$79)+COUNTIF(AC8:AC24,$A$81)+COUNTIF(AC27:AC39,$A$57)+COUNTIF(AC27:AC39,$A$58)+COUNTIF(AC27:AC39,$A$59)+COUNTIF(AC27:AC39,$A$60)+COUNTIF(AC27:AC39,$A$61)+COUNTIF(AC27:AC39,$A$62)+COUNTIF(AC27:AC39,$A$63)+COUNTIF(AC27:AC39,$A$64)+COUNTIF(AC27:AC39,$A$72)+COUNTIF(AC27:AC39,$A$73)+COUNTIF(AC27:AC39,$A$74)+COUNTIF(AC27:AC39,$A$75)+COUNTIF(AC27:AC39,$A$76)+COUNTIF(AC27:AC39,$A$77)+COUNTIF(AC27:AC39,$A$78)+COUNTIF(AC27:AC39,$A$81)+COUNTIF(AC27:AC39,$A$79)</f>
        <v>10</v>
      </c>
      <c r="AD6" s="41">
        <f>COUNTIF(AD7:AD24,$A$48)+COUNTIF(AD7:AD24,$A$49)+COUNTIF(AD7:AD24,$A$50)+COUNTIF(AD7:AD24,$A$51)+COUNTIF(AD7:AD24,$A$52)+COUNTIF(AD7:AD24,$A$53)+COUNTIF(AD7:AD24,$A$54)+COUNTIF(AD7:AD24,$A$55)</f>
        <v>3</v>
      </c>
      <c r="AE6" s="41">
        <f>COUNTIF(AE8:AE24,$A$57)+COUNTIF(AE8:AE24,$A$58)+COUNTIF(AE8:AE24,$A$59)+COUNTIF(AE8:AE24,$A$60)+COUNTIF(AE8:AE24,$A$61)+COUNTIF(AE8:AE24,$A$62)+COUNTIF(AE8:AE24,$A$63)+COUNTIF(AE8:AE24,$A$64)+COUNTIF(AE8:AE24,$A$72)+COUNTIF(AE8:AE24,$A$73)+COUNTIF(AE8:AE24,$A$74)+COUNTIF(AE7:AE24,$A$75)+COUNTIF(AE8:AE24,$A$76)+COUNTIF(AE8:AE24,$A$77)+COUNTIF(AE8:AE24,$A$78)+COUNTIF(AE7:AE24,$A$79)+COUNTIF(AE8:AE24,$A$81)+COUNTIF(AE27:AE39,$A$57)+COUNTIF(AE27:AE39,$A$58)+COUNTIF(AE27:AE39,$A$59)+COUNTIF(AE27:AE39,$A$60)+COUNTIF(AE27:AE39,$A$61)+COUNTIF(AE27:AE39,$A$62)+COUNTIF(AE27:AE39,$A$63)+COUNTIF(AE27:AE39,$A$64)+COUNTIF(AE27:AE39,$A$72)+COUNTIF(AE27:AE39,$A$73)+COUNTIF(AE27:AE39,$A$74)+COUNTIF(AE27:AE39,$A$75)+COUNTIF(AE27:AE39,$A$76)+COUNTIF(AE27:AE39,$A$77)+COUNTIF(AE27:AE39,$A$78)+COUNTIF(AE27:AE39,$A$81)+COUNTIF(AE27:AE39,$A$79)</f>
        <v>11</v>
      </c>
      <c r="AF6" s="41">
        <f>COUNTIF(AF7:AF24,$A$48)+COUNTIF(AF7:AF24,$A$49)+COUNTIF(AF7:AF24,$A$50)+COUNTIF(AF7:AF24,$A$51)+COUNTIF(AF7:AF24,$A$52)+COUNTIF(AF7:AF24,$A$53)+COUNTIF(AF7:AF24,$A$54)+COUNTIF(AF7:AF24,$A$55)</f>
        <v>4</v>
      </c>
      <c r="AG6" s="41">
        <f>COUNTIF(AG8:AG24,$A$57)+COUNTIF(AG8:AG24,$A$58)+COUNTIF(AG8:AG24,$A$59)+COUNTIF(AG8:AG24,$A$60)+COUNTIF(AG8:AG24,$A$61)+COUNTIF(AG8:AG24,$A$62)+COUNTIF(AG8:AG24,$A$63)+COUNTIF(AG8:AG24,$A$64)+COUNTIF(AG8:AG24,$A$72)+COUNTIF(AG8:AG24,$A$73)+COUNTIF(AG8:AG24,$A$74)+COUNTIF(AG7:AG24,$A$75)+COUNTIF(AG8:AG24,$A$76)+COUNTIF(AG8:AG24,$A$77)+COUNTIF(AG8:AG24,$A$78)+COUNTIF(AG7:AG24,$A$79)+COUNTIF(AG8:AG24,$A$81)+COUNTIF(AG27:AG39,$A$57)+COUNTIF(AG27:AG39,$A$58)+COUNTIF(AG27:AG39,$A$59)+COUNTIF(AG27:AG39,$A$60)+COUNTIF(AG27:AG39,$A$61)+COUNTIF(AG27:AG39,$A$62)+COUNTIF(AG27:AG39,$A$63)+COUNTIF(AG27:AG39,$A$64)+COUNTIF(AG27:AG39,$A$72)+COUNTIF(AG27:AG39,$A$73)+COUNTIF(AG27:AG39,$A$74)+COUNTIF(AG27:AG39,$A$75)+COUNTIF(AG27:AG39,$A$76)+COUNTIF(AG27:AG39,$A$77)+COUNTIF(AG27:AG39,$A$78)+COUNTIF(AG27:AG39,$A$81)+COUNTIF(AG27:AG39,$A$79)</f>
        <v>13</v>
      </c>
      <c r="AH6" s="41">
        <f>COUNTIF(AH7:AH24,$A$48)+COUNTIF(AH7:AH24,$A$49)+COUNTIF(AH7:AH24,$A$50)+COUNTIF(AH7:AH24,$A$51)+COUNTIF(AH7:AH24,$A$52)+COUNTIF(AH7:AH24,$A$53)+COUNTIF(AH7:AH24,$A$54)+COUNTIF(AH7:AH24,$A$55)</f>
        <v>4</v>
      </c>
      <c r="AI6" s="41">
        <f>COUNTIF(AI8:AI24,$A$57)+COUNTIF(AI8:AI24,$A$58)+COUNTIF(AI8:AI24,$A$59)+COUNTIF(AI8:AI24,$A$60)+COUNTIF(AI8:AI24,$A$61)+COUNTIF(AI8:AI24,$A$62)+COUNTIF(AI8:AI24,$A$63)+COUNTIF(AI8:AI24,$A$64)+COUNTIF(AI8:AI24,$A$72)+COUNTIF(AI8:AI24,$A$73)+COUNTIF(AI8:AI24,$A$74)+COUNTIF(AI7:AI24,$A$75)+COUNTIF(AI8:AI24,$A$76)+COUNTIF(AI8:AI24,$A$77)+COUNTIF(AI8:AI24,$A$78)+COUNTIF(AI7:AI24,$A$79)+COUNTIF(AI8:AI24,$A$81)+COUNTIF(AI27:AI39,$A$57)+COUNTIF(AI27:AI39,$A$58)+COUNTIF(AI27:AI39,$A$59)+COUNTIF(AI27:AI39,$A$60)+COUNTIF(AI27:AI39,$A$61)+COUNTIF(AI27:AI39,$A$62)+COUNTIF(AI27:AI39,$A$63)+COUNTIF(AI27:AI39,$A$64)+COUNTIF(AI27:AI39,$A$72)+COUNTIF(AI27:AI39,$A$73)+COUNTIF(AI27:AI39,$A$74)+COUNTIF(AI27:AI39,$A$75)+COUNTIF(AI27:AI39,$A$76)+COUNTIF(AI27:AI39,$A$77)+COUNTIF(AI27:AI39,$A$78)+COUNTIF(AI27:AI39,$A$81)+COUNTIF(AI27:AI39,$A$79)</f>
        <v>15</v>
      </c>
      <c r="AJ6" s="41">
        <f>COUNTIF(AJ7:AJ24,$A$48)+COUNTIF(AJ7:AJ24,$A$49)+COUNTIF(AJ7:AJ24,$A$50)+COUNTIF(AJ7:AJ24,$A$51)+COUNTIF(AJ7:AJ24,$A$52)+COUNTIF(AJ7:AJ24,$A$53)+COUNTIF(AJ7:AJ24,$A$54)+COUNTIF(AJ7:AJ24,$A$55)</f>
        <v>4</v>
      </c>
      <c r="AK6" s="41">
        <f>COUNTIF(AK8:AK24,$A$57)+COUNTIF(AK8:AK24,$A$58)+COUNTIF(AK8:AK24,$A$59)+COUNTIF(AK8:AK24,$A$60)+COUNTIF(AK8:AK24,$A$61)+COUNTIF(AK8:AK24,$A$62)+COUNTIF(AK8:AK24,$A$63)+COUNTIF(AK8:AK24,$A$64)+COUNTIF(AK8:AK24,$A$72)+COUNTIF(AK8:AK24,$A$73)+COUNTIF(AK8:AK24,$A$74)+COUNTIF(AK7:AK24,$A$75)+COUNTIF(AK8:AK24,$A$76)+COUNTIF(AK8:AK24,$A$77)+COUNTIF(AK8:AK24,$A$78)+COUNTIF(AK7:AK24,$A$79)+COUNTIF(AK8:AK24,$A$81)+COUNTIF(AK27:AK39,$A$57)+COUNTIF(AK27:AK39,$A$58)+COUNTIF(AK27:AK39,$A$59)+COUNTIF(AK27:AK39,$A$60)+COUNTIF(AK27:AK39,$A$61)+COUNTIF(AK27:AK39,$A$62)+COUNTIF(AK27:AK39,$A$63)+COUNTIF(AK27:AK39,$A$64)+COUNTIF(AK27:AK39,$A$72)+COUNTIF(AK27:AK39,$A$73)+COUNTIF(AK27:AK39,$A$74)+COUNTIF(AK27:AK39,$A$75)+COUNTIF(AK27:AK39,$A$76)+COUNTIF(AK27:AK39,$A$77)+COUNTIF(AK27:AK39,$A$78)+COUNTIF(AK27:AK39,$A$81)+COUNTIF(AK27:AK39,$A$79)</f>
        <v>16</v>
      </c>
      <c r="AL6" s="41">
        <f>COUNTIF(AL7:AL24,$A$48)+COUNTIF(AL7:AL24,$A$49)+COUNTIF(AL7:AL24,$A$50)+COUNTIF(AL7:AL24,$A$51)+COUNTIF(AL7:AL24,$A$52)+COUNTIF(AL7:AL24,$A$53)+COUNTIF(AL7:AL24,$A$54)+COUNTIF(AL7:AL24,$A$55)</f>
        <v>5</v>
      </c>
      <c r="AM6" s="41">
        <f>COUNTIF(AM8:AM24,$A$57)+COUNTIF(AM8:AM24,$A$58)+COUNTIF(AM8:AM24,$A$59)+COUNTIF(AM8:AM24,$A$60)+COUNTIF(AM8:AM24,$A$61)+COUNTIF(AM8:AM24,$A$62)+COUNTIF(AM8:AM24,$A$63)+COUNTIF(AM8:AM24,$A$64)+COUNTIF(AM8:AM24,$A$72)+COUNTIF(AM8:AM24,$A$73)+COUNTIF(AM8:AM24,$A$74)+COUNTIF(AM7:AM24,$A$75)+COUNTIF(AM8:AM24,$A$76)+COUNTIF(AM8:AM24,$A$77)+COUNTIF(AM8:AM24,$A$78)+COUNTIF(AM8:AM24,$A$81)+COUNTIF(AM27:AM39,$A$57)+COUNTIF(AM27:AM39,$A$58)+COUNTIF(AM27:AM39,$A$59)+COUNTIF(AM27:AM39,$A$60)+COUNTIF(AM27:AM39,$A$61)+COUNTIF(AM27:AM39,$A$62)+COUNTIF(AM27:AM39,$A$63)+COUNTIF(AM27:AM39,$A$64)+COUNTIF(AM27:AM39,$A$72)+COUNTIF(AM27:AM39,$A$73)+COUNTIF(AM27:AM39,$A$74)+COUNTIF(AM27:AM39,$A$75)+COUNTIF(AM27:AM39,$A$76)+COUNTIF(AM27:AM39,$A$77)+COUNTIF(AM27:AM39,$A$78)+COUNTIF(AM27:AM39,$A$81)</f>
        <v>13</v>
      </c>
      <c r="AN6" s="41">
        <f>COUNTIF(AN7:AN24,$A$48)+COUNTIF(AN7:AN24,$A$49)+COUNTIF(AN7:AN24,$A$50)+COUNTIF(AN7:AN24,$A$51)+COUNTIF(AN7:AN24,$A$52)+COUNTIF(AN7:AN24,$A$53)+COUNTIF(AN7:AN24,$A$54)+COUNTIF(AN7:AN24,$A$55)</f>
        <v>3</v>
      </c>
      <c r="AO6" s="41"/>
      <c r="AP6" s="41">
        <f>COUNTIF(AP8:AP24,$A$57)+COUNTIF(AP8:AP24,$A$58)+COUNTIF(AP8:AP24,$A$59)+COUNTIF(AP8:AP24,$A$60)+COUNTIF(AP8:AP24,$A$61)+COUNTIF(AP8:AP24,$A$62)+COUNTIF(AP8:AP24,$A$63)+COUNTIF(AP8:AP24,$A$64)+COUNTIF(AP8:AP24,$A$72)+COUNTIF(AP8:AP24,$A$73)+COUNTIF(AP8:AP24,$A$74)+COUNTIF(AP7:AP24,$A$75)+COUNTIF(AP8:AP24,$A$76)+COUNTIF(AP8:AP24,$A$77)+COUNTIF(AP8:AP24,$A$78)+COUNTIF(AP7:AP24,$A$79)+COUNTIF(AP8:AP24,$A$81)+COUNTIF(AP27:AP39,$A$57)+COUNTIF(AP27:AP39,$A$58)+COUNTIF(AP27:AP39,$A$59)+COUNTIF(AP27:AP39,$A$60)+COUNTIF(AP27:AP39,$A$61)+COUNTIF(AP27:AP39,$A$62)+COUNTIF(AP27:AP39,$A$63)+COUNTIF(AP27:AP39,$A$64)+COUNTIF(AP27:AP39,$A$72)+COUNTIF(AP27:AP39,$A$73)+COUNTIF(AP27:AP39,$A$74)+COUNTIF(AP27:AP39,$A$75)+COUNTIF(AP27:AP39,$A$76)+COUNTIF(AP27:AP39,$A$77)+COUNTIF(AP27:AP39,$A$78)+COUNTIF(AP27:AP39,$A$81)+COUNTIF(AP27:AP39,$A$79)</f>
        <v>11</v>
      </c>
      <c r="AQ6" s="41">
        <f>COUNTIF(AQ7:AQ24,$A$48)+COUNTIF(AQ7:AQ24,$A$49)+COUNTIF(AQ7:AQ24,$A$50)+COUNTIF(AQ7:AQ24,$A$51)+COUNTIF(AQ7:AQ24,$A$52)+COUNTIF(AQ7:AQ24,$A$53)+COUNTIF(AQ7:AQ24,$A$54)+COUNTIF(AQ7:AQ24,$A$55)</f>
        <v>3</v>
      </c>
      <c r="AR6" s="41">
        <f>COUNTIF(AR8:AR24,$A$57)+COUNTIF(AR8:AR24,$A$58)+COUNTIF(AR8:AR24,$A$59)+COUNTIF(AR8:AR24,$A$60)+COUNTIF(AR8:AR24,$A$61)+COUNTIF(AR8:AR24,$A$62)+COUNTIF(AR8:AR24,$A$63)+COUNTIF(AR8:AR24,$A$64)+COUNTIF(AR8:AR24,$A$72)+COUNTIF(AR8:AR24,$A$73)+COUNTIF(AR8:AR24,$A$74)+COUNTIF(AR7:AR24,$A$75)+COUNTIF(AR8:AR24,$A$76)+COUNTIF(AR8:AR24,$A$77)+COUNTIF(AR8:AR24,$A$78)+COUNTIF(AR7:AR24,$A$79)+COUNTIF(AR8:AR24,$A$81)+COUNTIF(AR27:AR39,$A$57)+COUNTIF(AR27:AR39,$A$58)+COUNTIF(AR27:AR39,$A$59)+COUNTIF(AR27:AR39,$A$60)+COUNTIF(AR27:AR39,$A$61)+COUNTIF(AR27:AR39,$A$62)+COUNTIF(AR27:AR39,$A$63)+COUNTIF(AR27:AR39,$A$64)+COUNTIF(AR27:AR39,$A$72)+COUNTIF(AR27:AR39,$A$73)+COUNTIF(AR27:AR39,$A$74)+COUNTIF(AR27:AR39,$A$75)+COUNTIF(AR27:AR39,$A$76)+COUNTIF(AR27:AR39,$A$77)+COUNTIF(AR27:AR39,$A$78)+COUNTIF(AR27:AR39,$A$81)+COUNTIF(AR27:AR39,$A$79)</f>
        <v>10</v>
      </c>
      <c r="AS6" s="41">
        <f>COUNTIF(AS7:AS24,$A$48)+COUNTIF(AS7:AS24,$A$49)+COUNTIF(AS7:AS24,$A$50)+COUNTIF(AS7:AS24,$A$51)+COUNTIF(AS7:AS24,$A$52)+COUNTIF(AS7:AS24,$A$53)+COUNTIF(AS7:AS24,$A$54)+COUNTIF(AS7:AS24,$A$55)</f>
        <v>3</v>
      </c>
      <c r="AT6" s="41">
        <f>COUNTIF(AT8:AT24,$A$57)+COUNTIF(AT8:AT24,$A$58)+COUNTIF(AT8:AT24,$A$59)+COUNTIF(AT8:AT24,$A$60)+COUNTIF(AT8:AT24,$A$61)+COUNTIF(AT8:AT24,$A$62)+COUNTIF(AT8:AT24,$A$63)+COUNTIF(AT8:AT24,$A$64)+COUNTIF(AT8:AT24,$A$72)+COUNTIF(AT8:AT24,$A$73)+COUNTIF(AT8:AT24,$A$74)+COUNTIF(AT7:AT24,$A$75)+COUNTIF(AT8:AT24,$A$76)+COUNTIF(AT8:AT24,$A$77)+COUNTIF(AT8:AT24,$A$78)+COUNTIF(AT7:AT24,$A$79)+COUNTIF(AT8:AT24,$A$81)+COUNTIF(AT27:AT39,$A$57)+COUNTIF(AT27:AT39,$A$58)+COUNTIF(AT27:AT39,$A$59)+COUNTIF(AT27:AT39,$A$60)+COUNTIF(AT27:AT39,$A$61)+COUNTIF(AT27:AT39,$A$62)+COUNTIF(AT27:AT39,$A$63)+COUNTIF(AT27:AT39,$A$64)+COUNTIF(AT27:AT39,$A$72)+COUNTIF(AT27:AT39,$A$73)+COUNTIF(AT27:AT39,$A$74)+COUNTIF(AT27:AT39,$A$75)+COUNTIF(AT27:AT39,$A$76)+COUNTIF(AT27:AT39,$A$77)+COUNTIF(AT27:AT39,$A$78)+COUNTIF(AT27:AT39,$A$81)+COUNTIF(AT27:AT39,$A$79)</f>
        <v>11</v>
      </c>
      <c r="AU6" s="41">
        <f>COUNTIF(AU7:AU24,$A$48)+COUNTIF(AU7:AU24,$A$49)+COUNTIF(AU7:AU24,$A$50)+COUNTIF(AU7:AU24,$A$51)+COUNTIF(AU7:AU24,$A$52)+COUNTIF(AU7:AU24,$A$53)+COUNTIF(AU7:AU24,$A$54)+COUNTIF(AU7:AU24,$A$55)</f>
        <v>4</v>
      </c>
      <c r="AV6" s="41">
        <f>COUNTIF(AV8:AV24,$A$57)+COUNTIF(AV8:AV24,$A$58)+COUNTIF(AV8:AV24,$A$59)+COUNTIF(AV8:AV24,$A$60)+COUNTIF(AV8:AV24,$A$61)+COUNTIF(AV8:AV24,$A$62)+COUNTIF(AV8:AV24,$A$63)+COUNTIF(AV8:AV24,$A$64)+COUNTIF(AV8:AV24,$A$72)+COUNTIF(AV8:AV24,$A$73)+COUNTIF(AV8:AV24,$A$74)+COUNTIF(AV7:AV24,$A$75)+COUNTIF(AV8:AV24,$A$76)+COUNTIF(AV8:AV24,$A$77)+COUNTIF(AV8:AV24,$A$78)+COUNTIF(AV8:AV24,$A$81)+COUNTIF(AV27:AV39,$A$57)+COUNTIF(AV27:AV39,$A$58)+COUNTIF(AV27:AV39,$A$59)+COUNTIF(AV27:AV39,$A$60)+COUNTIF(AV27:AV39,$A$61)+COUNTIF(AV27:AV39,$A$62)+COUNTIF(AV27:AV39,$A$63)+COUNTIF(AV27:AV39,$A$64)+COUNTIF(AV27:AV39,$A$72)+COUNTIF(AV27:AV39,$A$73)+COUNTIF(AV27:AV39,$A$74)+COUNTIF(AV27:AV39,$A$75)+COUNTIF(AV27:AV39,$A$76)+COUNTIF(AV27:AV39,$A$77)+COUNTIF(AV27:AV39,$A$78)+COUNTIF(AV27:AV39,$A$81)</f>
        <v>12</v>
      </c>
      <c r="AW6" s="41">
        <f>COUNTIF(AW7:AW24,$A$48)+COUNTIF(AW7:AW24,$A$49)+COUNTIF(AW7:AW24,$A$50)+COUNTIF(AW7:AW24,$A$51)+COUNTIF(AW7:AW24,$A$52)+COUNTIF(AW7:AW24,$A$53)+COUNTIF(AW7:AW24,$A$54)+COUNTIF(AW7:AW24,$A$55)</f>
        <v>4</v>
      </c>
      <c r="AX6" s="41">
        <f>COUNTIF(AX8:AX24,$A$57)+COUNTIF(AX8:AX24,$A$58)+COUNTIF(AX8:AX24,$A$59)+COUNTIF(AX8:AX24,$A$60)+COUNTIF(AX8:AX24,$A$61)+COUNTIF(AX8:AX24,$A$62)+COUNTIF(AX8:AX24,$A$63)+COUNTIF(AX8:AX24,$A$64)+COUNTIF(AX8:AX24,$A$72)+COUNTIF(AX8:AX24,$A$73)+COUNTIF(AX8:AX24,$A$74)+COUNTIF(AX7:AX24,$A$75)+COUNTIF(AX8:AX24,$A$76)+COUNTIF(AX8:AX24,$A$77)+COUNTIF(AX8:AX24,$A$78)+COUNTIF(AX8:AX24,$A$81)+COUNTIF(AX27:AX39,$A$57)+COUNTIF(AX27:AX39,$A$58)+COUNTIF(AX27:AX39,$A$59)+COUNTIF(AX27:AX39,$A$60)+COUNTIF(AX27:AX39,$A$61)+COUNTIF(AX27:AX39,$A$62)+COUNTIF(AX27:AX39,$A$63)+COUNTIF(AX27:AX39,$A$64)+COUNTIF(AX27:AX39,$A$72)+COUNTIF(AX27:AX39,$A$73)+COUNTIF(AX27:AX39,$A$74)+COUNTIF(AX27:AX39,$A$75)+COUNTIF(AX27:AX39,$A$76)+COUNTIF(AX27:AX39,$A$77)+COUNTIF(AX27:AX39,$A$78)+COUNTIF(AX27:AX39,$A$81)</f>
        <v>15</v>
      </c>
      <c r="AY6" s="41">
        <f>COUNTIF(AY7:AY24,$A$48)+COUNTIF(AY7:AY24,$A$49)+COUNTIF(AY7:AY24,$A$50)+COUNTIF(AY7:AY24,$A$51)+COUNTIF(AY7:AY24,$A$52)+COUNTIF(AY7:AY24,$A$53)+COUNTIF(AY7:AY24,$A$54)+COUNTIF(AY7:AY24,$A$55)</f>
        <v>4</v>
      </c>
      <c r="AZ6" s="41">
        <f>COUNTIF(AZ8:AZ24,$A$57)+COUNTIF(AZ8:AZ24,$A$58)+COUNTIF(AZ8:AZ24,$A$59)+COUNTIF(AZ8:AZ24,$A$60)+COUNTIF(AZ8:AZ24,$A$61)+COUNTIF(AZ8:AZ24,$A$62)+COUNTIF(AZ8:AZ24,$A$63)+COUNTIF(AZ8:AZ24,$A$64)+COUNTIF(AZ8:AZ24,$A$72)+COUNTIF(AZ8:AZ24,$A$73)+COUNTIF(AZ8:AZ24,$A$74)+COUNTIF(AZ7:AZ24,$A$75)+COUNTIF(AZ8:AZ24,$A$76)+COUNTIF(AZ8:AZ24,$A$77)+COUNTIF(AZ8:AZ24,$A$78)+COUNTIF(AZ8:AZ24,$A$81)+COUNTIF(AZ27:AZ39,$A$57)+COUNTIF(AZ27:AZ39,$A$58)+COUNTIF(AZ27:AZ39,$A$59)+COUNTIF(AZ27:AZ39,$A$60)+COUNTIF(AZ27:AZ39,$A$61)+COUNTIF(AZ27:AZ39,$A$62)+COUNTIF(AZ27:AZ39,$A$63)+COUNTIF(AZ27:AZ39,$A$64)+COUNTIF(AZ27:AZ39,$A$72)+COUNTIF(AZ27:AZ39,$A$73)+COUNTIF(AZ27:AZ39,$A$74)+COUNTIF(AZ27:AZ39,$A$75)+COUNTIF(AZ27:AZ39,$A$76)+COUNTIF(AZ27:AZ39,$A$77)+COUNTIF(AZ27:AZ39,$A$78)+COUNTIF(AZ27:AZ39,$A$81)</f>
        <v>16</v>
      </c>
      <c r="BA6" s="41">
        <f>COUNTIF(BA7:BA24,$A$48)+COUNTIF(BA7:BA24,$A$49)+COUNTIF(BA7:BA24,$A$50)+COUNTIF(BA7:BA24,$A$51)+COUNTIF(BA7:BA24,$A$52)+COUNTIF(BA7:BA24,$A$53)+COUNTIF(BA7:BA24,$A$54)+COUNTIF(BA7:BA24,$A$55)</f>
        <v>5</v>
      </c>
      <c r="BB6" s="41">
        <f>COUNTIF(BB8:BB24,$A$57)+COUNTIF(BB8:BB24,$A$58)+COUNTIF(BB8:BB24,$A$59)+COUNTIF(BB8:BB24,$A$60)+COUNTIF(BB8:BB24,$A$61)+COUNTIF(BB8:BB24,$A$62)+COUNTIF(BB8:BB24,$A$63)+COUNTIF(BB8:BB24,$A$64)+COUNTIF(BB8:BB24,$A$72)+COUNTIF(BB8:BB24,$A$73)+COUNTIF(BB8:BB24,$A$74)+COUNTIF(BB7:BB24,$A$75)+COUNTIF(BB8:BB24,$A$76)+COUNTIF(BB8:BB24,$A$77)+COUNTIF(BB8:BB24,$A$78)+COUNTIF(BB8:BB24,$A$81)+COUNTIF(BB27:BB39,$A$57)+COUNTIF(BB27:BB39,$A$58)+COUNTIF(BB27:BB39,$A$59)+COUNTIF(BB27:BB39,$A$60)+COUNTIF(BB27:BB39,$A$61)+COUNTIF(BB27:BB39,$A$62)+COUNTIF(BB27:BB39,$A$63)+COUNTIF(BB27:BB39,$A$64)+COUNTIF(BB27:BB39,$A$72)+COUNTIF(BB27:BB39,$A$73)+COUNTIF(BB27:BB39,$A$74)+COUNTIF(BB27:BB39,$A$75)+COUNTIF(BB27:BB39,$A$76)+COUNTIF(BB27:BB39,$A$77)+COUNTIF(BB27:BB39,$A$78)+COUNTIF(BB27:BB39,$A$81)</f>
        <v>15</v>
      </c>
      <c r="BC6" s="41">
        <f>COUNTIF(BC7:BC24,$A$48)+COUNTIF(BC7:BC24,$A$49)+COUNTIF(BC7:BC24,$A$50)+COUNTIF(BC7:BC24,$A$51)+COUNTIF(BC7:BC24,$A$52)+COUNTIF(BC7:BC24,$A$53)+COUNTIF(BC7:BC24,$A$54)+COUNTIF(BC7:BC24,$A$55)</f>
        <v>3</v>
      </c>
      <c r="BD6" s="41"/>
      <c r="BE6" s="41">
        <f>COUNTIF(BE8:BE24,$A$57)+COUNTIF(BE8:BE24,$A$58)+COUNTIF(BE8:BE24,$A$59)+COUNTIF(BE8:BE24,$A$60)+COUNTIF(BE8:BE24,$A$61)+COUNTIF(BE8:BE24,$A$62)+COUNTIF(BE8:BE24,$A$63)+COUNTIF(BE8:BE24,$A$64)+COUNTIF(BE8:BE24,$A$72)+COUNTIF(BE8:BE24,$A$73)+COUNTIF(BE8:BE24,$A$74)+COUNTIF(BE7:BE24,$A$75)+COUNTIF(BE8:BE24,$A$76)+COUNTIF(BE8:BE24,$A$77)+COUNTIF(BE8:BE24,$A$78)+COUNTIF(BE8:BE24,$A$81)+COUNTIF(BE27:BE39,$A$57)+COUNTIF(BE27:BE39,$A$58)+COUNTIF(BE27:BE39,$A$59)+COUNTIF(BE27:BE39,$A$60)+COUNTIF(BE27:BE39,$A$61)+COUNTIF(BE27:BE39,$A$62)+COUNTIF(BE27:BE39,$A$63)+COUNTIF(BE27:BE39,$A$64)+COUNTIF(BE27:BE39,$A$72)+COUNTIF(BE27:BE39,$A$73)+COUNTIF(BE27:BE39,$A$74)+COUNTIF(BE27:BE39,$A$75)+COUNTIF(BE27:BE39,$A$76)+COUNTIF(BE27:BE39,$A$77)+COUNTIF(BE27:BE39,$A$78)+COUNTIF(BE27:BE39,$A$81)</f>
        <v>11</v>
      </c>
      <c r="BF6" s="41">
        <f>COUNTIF(BF7:BF24,$A$48)+COUNTIF(BF7:BF24,$A$49)+COUNTIF(BF7:BF24,$A$50)+COUNTIF(BF7:BF24,$A$51)+COUNTIF(BF7:BF24,$A$52)+COUNTIF(BF7:BF24,$A$53)+COUNTIF(BF7:BF24,$A$54)+COUNTIF(BF7:BF24,$A$55)</f>
        <v>5</v>
      </c>
      <c r="BG6" s="41">
        <f>COUNTIF(BG8:BG24,$A$57)+COUNTIF(BG8:BG24,$A$58)+COUNTIF(BG8:BG24,$A$59)+COUNTIF(BG8:BG24,$A$60)+COUNTIF(BG8:BG24,$A$61)+COUNTIF(BG8:BG24,$A$62)+COUNTIF(BG8:BG24,$A$63)+COUNTIF(BG8:BG24,$A$64)+COUNTIF(BG8:BG24,$A$72)+COUNTIF(BG8:BG24,$A$73)+COUNTIF(BG8:BG24,$A$74)+COUNTIF(BG7:BG24,$A$75)+COUNTIF(BG8:BG24,$A$76)+COUNTIF(BG8:BG24,$A$77)+COUNTIF(BG8:BG24,$A$78)+COUNTIF(BG8:BG24,$A$81)+COUNTIF(BG27:BG39,$A$57)+COUNTIF(BG27:BG39,$A$58)+COUNTIF(BG27:BG39,$A$59)+COUNTIF(BG27:BG39,$A$60)+COUNTIF(BG27:BG39,$A$61)+COUNTIF(BG27:BG39,$A$62)+COUNTIF(BG27:BG39,$A$63)+COUNTIF(BG27:BG39,$A$64)+COUNTIF(BG27:BG39,$A$72)+COUNTIF(BG27:BG39,$A$73)+COUNTIF(BG27:BG39,$A$74)+COUNTIF(BG27:BG39,$A$75)+COUNTIF(BG27:BG39,$A$76)+COUNTIF(BG27:BG39,$A$77)+COUNTIF(BG27:BG39,$A$78)+COUNTIF(BG27:BG39,$A$81)</f>
        <v>11</v>
      </c>
      <c r="BH6" s="41">
        <f>COUNTIF(BH7:BH24,$A$48)+COUNTIF(BH7:BH24,$A$49)+COUNTIF(BH7:BH24,$A$50)+COUNTIF(BH7:BH24,$A$51)+COUNTIF(BH7:BH24,$A$52)+COUNTIF(BH7:BH24,$A$53)+COUNTIF(BH7:BH24,$A$54)+COUNTIF(BH7:BH24,$A$55)</f>
        <v>3</v>
      </c>
      <c r="BI6" s="41">
        <f>COUNTIF(BI8:BI24,$A$57)+COUNTIF(BI8:BI24,$A$58)+COUNTIF(BI8:BI24,$A$59)+COUNTIF(BI8:BI24,$A$60)+COUNTIF(BI8:BI24,$A$61)+COUNTIF(BI8:BI24,$A$62)+COUNTIF(BI8:BI24,$A$63)+COUNTIF(BI8:BI24,$A$64)+COUNTIF(BI8:BI24,$A$72)+COUNTIF(BI8:BI24,$A$73)+COUNTIF(BI8:BI24,$A$74)+COUNTIF(BI7:BI24,$A$75)+COUNTIF(BI8:BI24,$A$76)+COUNTIF(BI8:BI24,$A$77)+COUNTIF(BI8:BI24,$A$78)+COUNTIF(BI8:BI24,$A$81)+COUNTIF(BI27:BI39,$A$57)+COUNTIF(BI27:BI39,$A$58)+COUNTIF(BI27:BI39,$A$59)+COUNTIF(BI27:BI39,$A$60)+COUNTIF(BI27:BI39,$A$61)+COUNTIF(BI27:BI39,$A$62)+COUNTIF(BI27:BI39,$A$63)+COUNTIF(BI27:BI39,$A$64)+COUNTIF(BI27:BI39,$A$72)+COUNTIF(BI27:BI39,$A$73)+COUNTIF(BI27:BI39,$A$74)+COUNTIF(BI27:BI39,$A$75)+COUNTIF(BI27:BI39,$A$76)+COUNTIF(BI27:BI39,$A$77)+COUNTIF(BI27:BI39,$A$78)+COUNTIF(BI27:BI39,$A$81)</f>
        <v>11</v>
      </c>
      <c r="BJ6" s="41">
        <f>COUNTIF(BJ7:BJ24,$A$48)+COUNTIF(BJ7:BJ24,$A$49)+COUNTIF(BJ7:BJ24,$A$50)+COUNTIF(BJ7:BJ24,$A$51)+COUNTIF(BJ7:BJ24,$A$52)+COUNTIF(BJ7:BJ24,$A$53)+COUNTIF(BJ7:BJ24,$A$54)+COUNTIF(BJ7:BJ24,$A$55)</f>
        <v>3</v>
      </c>
      <c r="BK6" s="41">
        <f>COUNTIF(BK8:BK24,$A$57)+COUNTIF(BK8:BK24,$A$58)+COUNTIF(BK8:BK24,$A$59)+COUNTIF(BK8:BK24,$A$60)+COUNTIF(BK8:BK24,$A$61)+COUNTIF(BK8:BK24,$A$62)+COUNTIF(BK8:BK24,$A$63)+COUNTIF(BK8:BK24,$A$64)+COUNTIF(BK8:BK24,$A$72)+COUNTIF(BK8:BK24,$A$73)+COUNTIF(BK8:BK24,$A$74)+COUNTIF(BK7:BK24,$A$75)+COUNTIF(BK8:BK24,$A$76)+COUNTIF(BK8:BK24,$A$77)+COUNTIF(BK8:BK24,$A$78)+COUNTIF(BK8:BK24,$A$81)+COUNTIF(BK27:BK39,$A$57)+COUNTIF(BK27:BK39,$A$58)+COUNTIF(BK27:BK39,$A$59)+COUNTIF(BK27:BK39,$A$60)+COUNTIF(BK27:BK39,$A$61)+COUNTIF(BK27:BK39,$A$62)+COUNTIF(BK27:BK39,$A$63)+COUNTIF(BK27:BK39,$A$64)+COUNTIF(BK27:BK39,$A$72)+COUNTIF(BK27:BK39,$A$73)+COUNTIF(BK27:BK39,$A$74)+COUNTIF(BK27:BK39,$A$75)+COUNTIF(BK27:BK39,$A$76)+COUNTIF(BK27:BK39,$A$77)+COUNTIF(BK27:BK39,$A$78)+COUNTIF(BK27:BK39,$A$81)</f>
        <v>12</v>
      </c>
      <c r="BL6" s="41">
        <f>COUNTIF(BL7:BL24,$A$48)+COUNTIF(BL7:BL24,$A$49)+COUNTIF(BL7:BL24,$A$50)+COUNTIF(BL7:BL24,$A$51)+COUNTIF(BL7:BL24,$A$52)+COUNTIF(BL7:BL24,$A$53)+COUNTIF(BL7:BL24,$A$54)+COUNTIF(BL7:BL24,$A$55)</f>
        <v>3</v>
      </c>
      <c r="BM6" s="41">
        <f>COUNTIF(BM8:BM24,$A$57)+COUNTIF(BM8:BM24,$A$58)+COUNTIF(BM8:BM24,$A$59)+COUNTIF(BM8:BM24,$A$60)+COUNTIF(BM8:BM24,$A$61)+COUNTIF(BM8:BM24,$A$62)+COUNTIF(BM8:BM24,$A$63)+COUNTIF(BM8:BM24,$A$64)+COUNTIF(BM8:BM24,$A$72)+COUNTIF(BM8:BM24,$A$73)+COUNTIF(BM8:BM24,$A$74)+COUNTIF(BM7:BM24,$A$75)+COUNTIF(BM8:BM24,$A$76)+COUNTIF(BM8:BM24,$A$77)+COUNTIF(BM8:BM24,$A$78)+COUNTIF(BM8:BM24,$A$81)+COUNTIF(BM27:BM39,$A$57)+COUNTIF(BM27:BM39,$A$58)+COUNTIF(BM27:BM39,$A$59)+COUNTIF(BM27:BM39,$A$60)+COUNTIF(BM27:BM39,$A$61)+COUNTIF(BM27:BM39,$A$62)+COUNTIF(BM27:BM39,$A$63)+COUNTIF(BM27:BM39,$A$64)+COUNTIF(BM27:BM39,$A$72)+COUNTIF(BM27:BM39,$A$73)+COUNTIF(BM27:BM39,$A$74)+COUNTIF(BM27:BM39,$A$75)+COUNTIF(BM27:BM39,$A$76)+COUNTIF(BM27:BM39,$A$77)+COUNTIF(BM27:BM39,$A$78)+COUNTIF(BM27:BM39,$A$81)</f>
        <v>15</v>
      </c>
      <c r="BN6" s="41">
        <f>COUNTIF(BN7:BN24,$A$48)+COUNTIF(BN7:BN24,$A$49)+COUNTIF(BN7:BN24,$A$50)+COUNTIF(BN7:BN24,$A$51)+COUNTIF(BN7:BN24,$A$52)+COUNTIF(BN7:BN24,$A$53)+COUNTIF(BN7:BN24,$A$54)+COUNTIF(BN7:BN24,$A$55)</f>
        <v>3</v>
      </c>
      <c r="BO6" s="41">
        <f>COUNTIF(BO8:BO24,$A$57)+COUNTIF(BO8:BO24,$A$58)+COUNTIF(BO8:BO24,$A$59)+COUNTIF(BO8:BO24,$A$60)+COUNTIF(BO8:BO24,$A$61)+COUNTIF(BO8:BO24,$A$62)+COUNTIF(BO8:BO24,$A$63)+COUNTIF(BO8:BO24,$A$64)+COUNTIF(BO8:BO24,$A$72)+COUNTIF(BO8:BO24,$A$73)+COUNTIF(BO8:BO24,$A$74)+COUNTIF(BO7:BO24,$A$75)+COUNTIF(BO8:BO24,$A$76)+COUNTIF(BO8:BO24,$A$77)+COUNTIF(BO8:BO24,$A$78)+COUNTIF(BO8:BO24,$A$81)+COUNTIF(BO27:BO39,$A$57)+COUNTIF(BO27:BO39,$A$58)+COUNTIF(BO27:BO39,$A$59)+COUNTIF(BO27:BO39,$A$60)+COUNTIF(BO27:BO39,$A$61)+COUNTIF(BO27:BO39,$A$62)+COUNTIF(BO27:BO39,$A$63)+COUNTIF(BO27:BO39,$A$64)+COUNTIF(BO27:BO39,$A$72)+COUNTIF(BO27:BO39,$A$73)+COUNTIF(BO27:BO39,$A$74)+COUNTIF(BO27:BO39,$A$75)+COUNTIF(BO27:BO39,$A$76)+COUNTIF(BO27:BO39,$A$77)+COUNTIF(BO27:BO39,$A$78)+COUNTIF(BO27:BO39,$A$81)</f>
        <v>16</v>
      </c>
      <c r="BP6" s="41">
        <f>COUNTIF(BP7:BP24,$A$48)+COUNTIF(BP7:BP24,$A$49)+COUNTIF(BP7:BP24,$A$50)+COUNTIF(BP7:BP24,$A$51)+COUNTIF(BP7:BP24,$A$52)+COUNTIF(BP7:BP24,$A$53)+COUNTIF(BP7:BP24,$A$54)+COUNTIF(BP7:BP24,$A$55)</f>
        <v>5</v>
      </c>
      <c r="BQ6" s="41">
        <f>COUNTIF(BQ8:BQ24,$A$57)+COUNTIF(BQ8:BQ24,$A$58)+COUNTIF(BQ8:BQ24,$A$59)+COUNTIF(BQ8:BQ24,$A$60)+COUNTIF(BQ8:BQ24,$A$61)+COUNTIF(BQ8:BQ24,$A$62)+COUNTIF(BQ8:BQ24,$A$63)+COUNTIF(BQ8:BQ24,$A$64)+COUNTIF(BQ8:BQ24,$A$72)+COUNTIF(BQ8:BQ24,$A$73)+COUNTIF(BQ8:BQ24,$A$74)+COUNTIF(BQ7:BQ24,$A$75)+COUNTIF(BQ8:BQ24,$A$76)+COUNTIF(BQ8:BQ24,$A$77)+COUNTIF(BQ8:BQ24,$A$78)+COUNTIF(BQ8:BQ24,$A$81)+COUNTIF(BQ27:BQ39,$A$57)+COUNTIF(BQ27:BQ39,$A$58)+COUNTIF(BQ27:BQ39,$A$59)+COUNTIF(BQ27:BQ39,$A$60)+COUNTIF(BQ27:BQ39,$A$61)+COUNTIF(BQ27:BQ39,$A$62)+COUNTIF(BQ27:BQ39,$A$63)+COUNTIF(BQ27:BQ39,$A$64)+COUNTIF(BQ27:BQ39,$A$72)+COUNTIF(BQ27:BQ39,$A$73)+COUNTIF(BQ27:BQ39,$A$74)+COUNTIF(BQ27:BQ39,$A$75)+COUNTIF(BQ27:BQ39,$A$76)+COUNTIF(BQ27:BQ39,$A$77)+COUNTIF(BQ27:BQ39,$A$78)+COUNTIF(BQ27:BQ39,$A$81)</f>
        <v>16</v>
      </c>
      <c r="BR6" s="41">
        <f>COUNTIF(BR7:BR24,$A$48)+COUNTIF(BR7:BR24,$A$49)+COUNTIF(BR7:BR24,$A$50)+COUNTIF(BR7:BR24,$A$51)+COUNTIF(BR7:BR24,$A$52)+COUNTIF(BR7:BR24,$A$53)+COUNTIF(BR7:BR24,$A$54)+COUNTIF(BR7:BR24,$A$55)</f>
        <v>4</v>
      </c>
      <c r="BS6" s="42">
        <f>SUM(BS8:BS24)</f>
        <v>395</v>
      </c>
      <c r="BT6" s="42">
        <f>SUM(BT8:BT16)</f>
        <v>1936</v>
      </c>
      <c r="BU6" s="42">
        <f>SUM(BU8:BU24)</f>
        <v>328</v>
      </c>
      <c r="BV6" s="43">
        <f t="shared" ref="BV6:BW6" si="1">SUM(BV8:BV16)</f>
        <v>48</v>
      </c>
      <c r="BW6" s="43">
        <f t="shared" si="1"/>
        <v>0</v>
      </c>
      <c r="BX6" s="44"/>
      <c r="BY6" s="45" t="s">
        <v>18</v>
      </c>
      <c r="BZ6" s="45" t="s">
        <v>19</v>
      </c>
      <c r="CA6" s="45" t="s">
        <v>20</v>
      </c>
      <c r="CB6" s="46" t="s">
        <v>21</v>
      </c>
      <c r="CC6" s="47" t="s">
        <v>22</v>
      </c>
      <c r="CD6" s="47" t="s">
        <v>23</v>
      </c>
      <c r="CE6" s="47" t="s">
        <v>24</v>
      </c>
      <c r="CF6" s="47" t="s">
        <v>25</v>
      </c>
      <c r="CG6" s="47" t="s">
        <v>26</v>
      </c>
      <c r="CH6" s="47" t="s">
        <v>27</v>
      </c>
      <c r="CI6" s="47" t="s">
        <v>28</v>
      </c>
      <c r="CJ6" s="47" t="s">
        <v>29</v>
      </c>
      <c r="CK6" s="47" t="s">
        <v>30</v>
      </c>
      <c r="CL6" s="48" t="s">
        <v>31</v>
      </c>
      <c r="CM6" s="49" t="s">
        <v>32</v>
      </c>
      <c r="CN6" s="45" t="s">
        <v>33</v>
      </c>
      <c r="CO6" s="45" t="s">
        <v>34</v>
      </c>
      <c r="CP6" s="45" t="s">
        <v>35</v>
      </c>
      <c r="CQ6" s="45" t="s">
        <v>36</v>
      </c>
      <c r="CR6" s="45" t="s">
        <v>37</v>
      </c>
      <c r="CS6" s="45" t="s">
        <v>38</v>
      </c>
      <c r="CT6" s="45" t="s">
        <v>39</v>
      </c>
      <c r="CU6" s="45" t="s">
        <v>40</v>
      </c>
      <c r="CV6" s="50" t="s">
        <v>41</v>
      </c>
      <c r="CW6" s="45" t="s">
        <v>42</v>
      </c>
      <c r="CX6" s="44"/>
      <c r="CY6" s="48" t="s">
        <v>43</v>
      </c>
      <c r="CZ6" s="48" t="s">
        <v>44</v>
      </c>
      <c r="DA6" s="48" t="s">
        <v>45</v>
      </c>
      <c r="DB6" s="48" t="s">
        <v>46</v>
      </c>
      <c r="DC6" s="48" t="s">
        <v>47</v>
      </c>
      <c r="DD6" s="48" t="s">
        <v>48</v>
      </c>
      <c r="DE6" s="48" t="s">
        <v>49</v>
      </c>
    </row>
    <row r="7">
      <c r="A7" s="51" t="s">
        <v>50</v>
      </c>
      <c r="B7" s="52" t="s">
        <v>51</v>
      </c>
      <c r="C7" s="53">
        <v>9.65371993E8</v>
      </c>
      <c r="D7" s="54">
        <v>118.0</v>
      </c>
      <c r="E7" s="55" t="s">
        <v>52</v>
      </c>
      <c r="F7" s="56"/>
      <c r="G7" s="55" t="s">
        <v>50</v>
      </c>
      <c r="H7" s="56"/>
      <c r="I7" s="55" t="s">
        <v>50</v>
      </c>
      <c r="J7" s="56"/>
      <c r="K7" s="54">
        <v>118.0</v>
      </c>
      <c r="L7" s="55" t="s">
        <v>50</v>
      </c>
      <c r="M7" s="56"/>
      <c r="N7" s="55" t="s">
        <v>50</v>
      </c>
      <c r="O7" s="56"/>
      <c r="P7" s="57" t="s">
        <v>42</v>
      </c>
      <c r="Q7" s="56"/>
      <c r="R7" s="58" t="s">
        <v>23</v>
      </c>
      <c r="S7" s="56"/>
      <c r="T7" s="55" t="s">
        <v>50</v>
      </c>
      <c r="U7" s="56"/>
      <c r="V7" s="55" t="s">
        <v>50</v>
      </c>
      <c r="W7" s="56"/>
      <c r="X7" s="55" t="s">
        <v>50</v>
      </c>
      <c r="Y7" s="56"/>
      <c r="Z7" s="54">
        <v>118.0</v>
      </c>
      <c r="AA7" s="55" t="s">
        <v>20</v>
      </c>
      <c r="AB7" s="56"/>
      <c r="AC7" s="55" t="s">
        <v>50</v>
      </c>
      <c r="AD7" s="56"/>
      <c r="AE7" s="55" t="s">
        <v>22</v>
      </c>
      <c r="AF7" s="56"/>
      <c r="AG7" s="55" t="s">
        <v>50</v>
      </c>
      <c r="AH7" s="56"/>
      <c r="AI7" s="55" t="s">
        <v>50</v>
      </c>
      <c r="AJ7" s="56"/>
      <c r="AK7" s="55" t="s">
        <v>32</v>
      </c>
      <c r="AL7" s="56"/>
      <c r="AM7" s="55" t="s">
        <v>52</v>
      </c>
      <c r="AN7" s="56"/>
      <c r="AO7" s="59">
        <v>100022.0</v>
      </c>
      <c r="AP7" s="55" t="s">
        <v>50</v>
      </c>
      <c r="AQ7" s="56"/>
      <c r="AR7" s="55" t="s">
        <v>23</v>
      </c>
      <c r="AS7" s="56"/>
      <c r="AT7" s="55" t="s">
        <v>50</v>
      </c>
      <c r="AU7" s="56"/>
      <c r="AV7" s="55" t="s">
        <v>50</v>
      </c>
      <c r="AW7" s="56"/>
      <c r="AX7" s="55" t="s">
        <v>50</v>
      </c>
      <c r="AY7" s="56"/>
      <c r="AZ7" s="55" t="s">
        <v>50</v>
      </c>
      <c r="BA7" s="56"/>
      <c r="BB7" s="55" t="s">
        <v>50</v>
      </c>
      <c r="BC7" s="56"/>
      <c r="BD7" s="59">
        <v>100022.0</v>
      </c>
      <c r="BE7" s="57" t="s">
        <v>42</v>
      </c>
      <c r="BF7" s="56"/>
      <c r="BG7" s="60" t="s">
        <v>42</v>
      </c>
      <c r="BH7" s="56"/>
      <c r="BI7" s="57" t="s">
        <v>42</v>
      </c>
      <c r="BJ7" s="56"/>
      <c r="BK7" s="61" t="s">
        <v>50</v>
      </c>
      <c r="BL7" s="56"/>
      <c r="BM7" s="55" t="s">
        <v>50</v>
      </c>
      <c r="BN7" s="56"/>
      <c r="BO7" s="55" t="s">
        <v>40</v>
      </c>
      <c r="BP7" s="56"/>
      <c r="BQ7" s="55" t="s">
        <v>50</v>
      </c>
      <c r="BR7" s="62"/>
      <c r="BS7" s="63">
        <f>sum(BY7:CV7)</f>
        <v>6</v>
      </c>
      <c r="BT7" s="64">
        <f>BS7*8-BU7</f>
        <v>44</v>
      </c>
      <c r="BU7" s="65">
        <f t="shared" ref="BU7:BU24" si="4">sumproduct(CM7:CR7,$CM$41:$CR$41)</f>
        <v>4</v>
      </c>
      <c r="BV7" s="66">
        <f t="shared" ref="BV7:BV24" si="5">+COUNTIF(E7:BR7,"NĐ")+COUNTIF(E7:BR7,"TB")+COUNTIF(E7:BR7,"NB")+COUNTIF(E7:BR7,"GaNĐ")+COUNTIF(E7:BR7,"BigNĐ")</f>
        <v>0</v>
      </c>
      <c r="BW7" s="66">
        <f t="shared" ref="BW7:BW21" si="6">+COUNTIF(E7:BR7,"NBAI")</f>
        <v>0</v>
      </c>
      <c r="BX7" s="4"/>
      <c r="BY7" s="67">
        <f t="shared" ref="BY7:CW7" si="2">COUNTIF($E7:$BR7,BY$6)</f>
        <v>0</v>
      </c>
      <c r="BZ7" s="67">
        <f t="shared" si="2"/>
        <v>0</v>
      </c>
      <c r="CA7" s="67">
        <f t="shared" si="2"/>
        <v>1</v>
      </c>
      <c r="CB7" s="67">
        <f t="shared" si="2"/>
        <v>0</v>
      </c>
      <c r="CC7" s="67">
        <f t="shared" si="2"/>
        <v>1</v>
      </c>
      <c r="CD7" s="67">
        <f t="shared" si="2"/>
        <v>2</v>
      </c>
      <c r="CE7" s="67">
        <f t="shared" si="2"/>
        <v>0</v>
      </c>
      <c r="CF7" s="67">
        <f t="shared" si="2"/>
        <v>0</v>
      </c>
      <c r="CG7" s="67">
        <f t="shared" si="2"/>
        <v>0</v>
      </c>
      <c r="CH7" s="67">
        <f t="shared" si="2"/>
        <v>0</v>
      </c>
      <c r="CI7" s="67">
        <f t="shared" si="2"/>
        <v>0</v>
      </c>
      <c r="CJ7" s="67">
        <f t="shared" si="2"/>
        <v>0</v>
      </c>
      <c r="CK7" s="67">
        <f t="shared" si="2"/>
        <v>0</v>
      </c>
      <c r="CL7" s="67">
        <f t="shared" si="2"/>
        <v>0</v>
      </c>
      <c r="CM7" s="67">
        <f t="shared" si="2"/>
        <v>1</v>
      </c>
      <c r="CN7" s="67">
        <f t="shared" si="2"/>
        <v>0</v>
      </c>
      <c r="CO7" s="67">
        <f t="shared" si="2"/>
        <v>0</v>
      </c>
      <c r="CP7" s="67">
        <f t="shared" si="2"/>
        <v>0</v>
      </c>
      <c r="CQ7" s="67">
        <f t="shared" si="2"/>
        <v>0</v>
      </c>
      <c r="CR7" s="67">
        <f t="shared" si="2"/>
        <v>0</v>
      </c>
      <c r="CS7" s="67">
        <f t="shared" si="2"/>
        <v>0</v>
      </c>
      <c r="CT7" s="67">
        <f t="shared" si="2"/>
        <v>0</v>
      </c>
      <c r="CU7" s="67">
        <f t="shared" si="2"/>
        <v>1</v>
      </c>
      <c r="CV7" s="67">
        <f t="shared" si="2"/>
        <v>0</v>
      </c>
      <c r="CW7" s="67">
        <f t="shared" si="2"/>
        <v>4</v>
      </c>
      <c r="CX7" s="68"/>
      <c r="CY7" s="67">
        <f t="shared" ref="CY7:DE7" si="3">COUNTIF($E7:$BR7,CY$6)</f>
        <v>0</v>
      </c>
      <c r="CZ7" s="67">
        <f t="shared" si="3"/>
        <v>0</v>
      </c>
      <c r="DA7" s="67">
        <f t="shared" si="3"/>
        <v>0</v>
      </c>
      <c r="DB7" s="67">
        <f t="shared" si="3"/>
        <v>0</v>
      </c>
      <c r="DC7" s="67">
        <f t="shared" si="3"/>
        <v>0</v>
      </c>
      <c r="DD7" s="67">
        <f t="shared" si="3"/>
        <v>0</v>
      </c>
      <c r="DE7" s="67">
        <f t="shared" si="3"/>
        <v>0</v>
      </c>
    </row>
    <row r="8">
      <c r="A8" s="69">
        <f t="shared" ref="A8:A16" si="9">IF(B8&lt;&gt;"",SUBTOTAL(3,$B$8:B8),"")</f>
        <v>1</v>
      </c>
      <c r="B8" s="70" t="s">
        <v>53</v>
      </c>
      <c r="C8" s="71">
        <v>9.68273169E8</v>
      </c>
      <c r="D8" s="54">
        <v>129.0</v>
      </c>
      <c r="E8" s="57" t="s">
        <v>32</v>
      </c>
      <c r="F8" s="72"/>
      <c r="G8" s="73" t="s">
        <v>19</v>
      </c>
      <c r="H8" s="72"/>
      <c r="I8" s="74" t="s">
        <v>32</v>
      </c>
      <c r="J8" s="72"/>
      <c r="K8" s="54">
        <v>129.0</v>
      </c>
      <c r="L8" s="58" t="s">
        <v>19</v>
      </c>
      <c r="M8" s="72"/>
      <c r="N8" s="73" t="s">
        <v>42</v>
      </c>
      <c r="O8" s="72"/>
      <c r="P8" s="75" t="s">
        <v>19</v>
      </c>
      <c r="Q8" s="72"/>
      <c r="R8" s="76" t="s">
        <v>19</v>
      </c>
      <c r="S8" s="72"/>
      <c r="T8" s="57" t="s">
        <v>19</v>
      </c>
      <c r="U8" s="77" t="s">
        <v>54</v>
      </c>
      <c r="V8" s="57" t="s">
        <v>32</v>
      </c>
      <c r="W8" s="72"/>
      <c r="X8" s="57" t="s">
        <v>33</v>
      </c>
      <c r="Y8" s="78"/>
      <c r="Z8" s="54">
        <v>129.0</v>
      </c>
      <c r="AA8" s="57" t="s">
        <v>19</v>
      </c>
      <c r="AB8" s="72" t="s">
        <v>47</v>
      </c>
      <c r="AC8" s="57" t="s">
        <v>42</v>
      </c>
      <c r="AD8" s="72"/>
      <c r="AE8" s="79" t="s">
        <v>22</v>
      </c>
      <c r="AF8" s="72"/>
      <c r="AG8" s="76" t="s">
        <v>19</v>
      </c>
      <c r="AH8" s="72"/>
      <c r="AI8" s="57" t="s">
        <v>26</v>
      </c>
      <c r="AJ8" s="72"/>
      <c r="AK8" s="57" t="s">
        <v>19</v>
      </c>
      <c r="AL8" s="72" t="s">
        <v>48</v>
      </c>
      <c r="AM8" s="57" t="s">
        <v>19</v>
      </c>
      <c r="AN8" s="72" t="s">
        <v>47</v>
      </c>
      <c r="AO8" s="59">
        <v>100023.0</v>
      </c>
      <c r="AP8" s="80" t="s">
        <v>19</v>
      </c>
      <c r="AQ8" s="72" t="s">
        <v>47</v>
      </c>
      <c r="AR8" s="57" t="s">
        <v>42</v>
      </c>
      <c r="AS8" s="72"/>
      <c r="AT8" s="76" t="s">
        <v>19</v>
      </c>
      <c r="AU8" s="72"/>
      <c r="AV8" s="76" t="s">
        <v>30</v>
      </c>
      <c r="AW8" s="72"/>
      <c r="AX8" s="57" t="s">
        <v>19</v>
      </c>
      <c r="AY8" s="72" t="s">
        <v>49</v>
      </c>
      <c r="AZ8" s="57" t="s">
        <v>32</v>
      </c>
      <c r="BA8" s="72"/>
      <c r="BB8" s="57" t="s">
        <v>19</v>
      </c>
      <c r="BC8" s="78"/>
      <c r="BD8" s="59">
        <v>100023.0</v>
      </c>
      <c r="BE8" s="57" t="s">
        <v>19</v>
      </c>
      <c r="BF8" s="72" t="s">
        <v>48</v>
      </c>
      <c r="BG8" s="57" t="s">
        <v>19</v>
      </c>
      <c r="BH8" s="72"/>
      <c r="BI8" s="76" t="s">
        <v>19</v>
      </c>
      <c r="BJ8" s="72" t="s">
        <v>47</v>
      </c>
      <c r="BK8" s="76" t="s">
        <v>42</v>
      </c>
      <c r="BL8" s="72"/>
      <c r="BM8" s="57" t="s">
        <v>19</v>
      </c>
      <c r="BN8" s="72"/>
      <c r="BO8" s="57" t="s">
        <v>32</v>
      </c>
      <c r="BP8" s="72"/>
      <c r="BQ8" s="57" t="s">
        <v>33</v>
      </c>
      <c r="BR8" s="81"/>
      <c r="BS8" s="82">
        <f t="shared" ref="BS8:BS24" si="10">BT8/8</f>
        <v>27.125</v>
      </c>
      <c r="BT8" s="64">
        <f t="shared" ref="BT8:BT24" si="11">sumproduct(BY8:CW8,$BY$5:$CW$5)-BU8</f>
        <v>217</v>
      </c>
      <c r="BU8" s="83">
        <f t="shared" si="4"/>
        <v>28</v>
      </c>
      <c r="BV8" s="66">
        <f t="shared" si="5"/>
        <v>4</v>
      </c>
      <c r="BW8" s="66">
        <f t="shared" si="6"/>
        <v>0</v>
      </c>
      <c r="BX8" s="4"/>
      <c r="BY8" s="67">
        <f t="shared" ref="BY8:CW8" si="7">COUNTIF($E8:$BR8,BY$6)</f>
        <v>0</v>
      </c>
      <c r="BZ8" s="67">
        <f t="shared" si="7"/>
        <v>17</v>
      </c>
      <c r="CA8" s="67">
        <f t="shared" si="7"/>
        <v>0</v>
      </c>
      <c r="CB8" s="67">
        <f t="shared" si="7"/>
        <v>0</v>
      </c>
      <c r="CC8" s="67">
        <f t="shared" si="7"/>
        <v>1</v>
      </c>
      <c r="CD8" s="67">
        <f t="shared" si="7"/>
        <v>0</v>
      </c>
      <c r="CE8" s="67">
        <f t="shared" si="7"/>
        <v>0</v>
      </c>
      <c r="CF8" s="67">
        <f t="shared" si="7"/>
        <v>0</v>
      </c>
      <c r="CG8" s="67">
        <f t="shared" si="7"/>
        <v>1</v>
      </c>
      <c r="CH8" s="67">
        <f t="shared" si="7"/>
        <v>0</v>
      </c>
      <c r="CI8" s="67">
        <f t="shared" si="7"/>
        <v>0</v>
      </c>
      <c r="CJ8" s="67">
        <f t="shared" si="7"/>
        <v>0</v>
      </c>
      <c r="CK8" s="67">
        <f t="shared" si="7"/>
        <v>1</v>
      </c>
      <c r="CL8" s="67">
        <f t="shared" si="7"/>
        <v>0</v>
      </c>
      <c r="CM8" s="67">
        <f t="shared" si="7"/>
        <v>5</v>
      </c>
      <c r="CN8" s="67">
        <f t="shared" si="7"/>
        <v>2</v>
      </c>
      <c r="CO8" s="67">
        <f t="shared" si="7"/>
        <v>0</v>
      </c>
      <c r="CP8" s="67">
        <f t="shared" si="7"/>
        <v>0</v>
      </c>
      <c r="CQ8" s="67">
        <f t="shared" si="7"/>
        <v>0</v>
      </c>
      <c r="CR8" s="67">
        <f t="shared" si="7"/>
        <v>0</v>
      </c>
      <c r="CS8" s="67">
        <f t="shared" si="7"/>
        <v>0</v>
      </c>
      <c r="CT8" s="67">
        <f t="shared" si="7"/>
        <v>0</v>
      </c>
      <c r="CU8" s="67">
        <f t="shared" si="7"/>
        <v>0</v>
      </c>
      <c r="CV8" s="67">
        <f t="shared" si="7"/>
        <v>0</v>
      </c>
      <c r="CW8" s="67">
        <f t="shared" si="7"/>
        <v>4</v>
      </c>
      <c r="CX8" s="68"/>
      <c r="CY8" s="67">
        <f t="shared" ref="CY8:DE8" si="8">COUNTIF($E8:$BR8,CY$6)</f>
        <v>0</v>
      </c>
      <c r="CZ8" s="67">
        <f t="shared" si="8"/>
        <v>0</v>
      </c>
      <c r="DA8" s="67">
        <f t="shared" si="8"/>
        <v>0</v>
      </c>
      <c r="DB8" s="67">
        <f t="shared" si="8"/>
        <v>0</v>
      </c>
      <c r="DC8" s="67">
        <f t="shared" si="8"/>
        <v>4</v>
      </c>
      <c r="DD8" s="67">
        <f t="shared" si="8"/>
        <v>2</v>
      </c>
      <c r="DE8" s="67">
        <f t="shared" si="8"/>
        <v>1</v>
      </c>
    </row>
    <row r="9">
      <c r="A9" s="69">
        <f t="shared" si="9"/>
        <v>2</v>
      </c>
      <c r="B9" s="70" t="s">
        <v>55</v>
      </c>
      <c r="C9" s="71">
        <v>9.68157188E8</v>
      </c>
      <c r="D9" s="54">
        <v>136.0</v>
      </c>
      <c r="E9" s="57" t="s">
        <v>20</v>
      </c>
      <c r="F9" s="72"/>
      <c r="G9" s="73" t="s">
        <v>18</v>
      </c>
      <c r="H9" s="72" t="s">
        <v>47</v>
      </c>
      <c r="I9" s="74" t="s">
        <v>18</v>
      </c>
      <c r="J9" s="72" t="s">
        <v>47</v>
      </c>
      <c r="K9" s="54">
        <v>136.0</v>
      </c>
      <c r="L9" s="58" t="s">
        <v>19</v>
      </c>
      <c r="M9" s="72"/>
      <c r="N9" s="73" t="s">
        <v>18</v>
      </c>
      <c r="O9" s="72"/>
      <c r="P9" s="75" t="s">
        <v>18</v>
      </c>
      <c r="Q9" s="72"/>
      <c r="R9" s="76" t="s">
        <v>42</v>
      </c>
      <c r="S9" s="72"/>
      <c r="T9" s="57" t="s">
        <v>33</v>
      </c>
      <c r="U9" s="84"/>
      <c r="V9" s="57" t="s">
        <v>19</v>
      </c>
      <c r="W9" s="72" t="s">
        <v>47</v>
      </c>
      <c r="X9" s="57" t="s">
        <v>19</v>
      </c>
      <c r="Y9" s="72" t="s">
        <v>47</v>
      </c>
      <c r="Z9" s="54">
        <v>136.0</v>
      </c>
      <c r="AA9" s="60" t="s">
        <v>28</v>
      </c>
      <c r="AB9" s="72"/>
      <c r="AC9" s="57" t="s">
        <v>19</v>
      </c>
      <c r="AD9" s="72" t="s">
        <v>47</v>
      </c>
      <c r="AE9" s="76" t="s">
        <v>19</v>
      </c>
      <c r="AF9" s="72"/>
      <c r="AG9" s="76" t="s">
        <v>19</v>
      </c>
      <c r="AH9" s="72"/>
      <c r="AI9" s="57" t="s">
        <v>18</v>
      </c>
      <c r="AJ9" s="72"/>
      <c r="AK9" s="57" t="s">
        <v>19</v>
      </c>
      <c r="AL9" s="72" t="s">
        <v>49</v>
      </c>
      <c r="AM9" s="57" t="s">
        <v>28</v>
      </c>
      <c r="AN9" s="78"/>
      <c r="AO9" s="59">
        <v>100024.0</v>
      </c>
      <c r="AP9" s="60" t="s">
        <v>18</v>
      </c>
      <c r="AQ9" s="72"/>
      <c r="AR9" s="80" t="s">
        <v>18</v>
      </c>
      <c r="AS9" s="72"/>
      <c r="AT9" s="76" t="s">
        <v>19</v>
      </c>
      <c r="AU9" s="72"/>
      <c r="AV9" s="76" t="s">
        <v>19</v>
      </c>
      <c r="AW9" s="85" t="s">
        <v>54</v>
      </c>
      <c r="AX9" s="57" t="s">
        <v>34</v>
      </c>
      <c r="AY9" s="72"/>
      <c r="AZ9" s="57" t="s">
        <v>18</v>
      </c>
      <c r="BA9" s="72"/>
      <c r="BB9" s="80" t="s">
        <v>42</v>
      </c>
      <c r="BC9" s="78"/>
      <c r="BD9" s="59">
        <v>100024.0</v>
      </c>
      <c r="BE9" s="57" t="s">
        <v>42</v>
      </c>
      <c r="BF9" s="72"/>
      <c r="BG9" s="57" t="s">
        <v>42</v>
      </c>
      <c r="BH9" s="72"/>
      <c r="BI9" s="76" t="s">
        <v>18</v>
      </c>
      <c r="BJ9" s="72"/>
      <c r="BK9" s="76" t="s">
        <v>18</v>
      </c>
      <c r="BL9" s="72"/>
      <c r="BM9" s="57" t="s">
        <v>32</v>
      </c>
      <c r="BN9" s="72"/>
      <c r="BO9" s="57" t="s">
        <v>33</v>
      </c>
      <c r="BP9" s="72"/>
      <c r="BQ9" s="57" t="s">
        <v>18</v>
      </c>
      <c r="BR9" s="81"/>
      <c r="BS9" s="82">
        <f t="shared" si="10"/>
        <v>27.25</v>
      </c>
      <c r="BT9" s="64">
        <f t="shared" si="11"/>
        <v>218</v>
      </c>
      <c r="BU9" s="83">
        <f t="shared" si="4"/>
        <v>16</v>
      </c>
      <c r="BV9" s="66">
        <f t="shared" si="5"/>
        <v>5</v>
      </c>
      <c r="BW9" s="66">
        <f t="shared" si="6"/>
        <v>0</v>
      </c>
      <c r="BX9" s="4"/>
      <c r="BY9" s="67">
        <f t="shared" ref="BY9:CW9" si="12">COUNTIF($E9:$BR9,BY$6)</f>
        <v>11</v>
      </c>
      <c r="BZ9" s="67">
        <f t="shared" si="12"/>
        <v>9</v>
      </c>
      <c r="CA9" s="67">
        <f t="shared" si="12"/>
        <v>1</v>
      </c>
      <c r="CB9" s="67">
        <f t="shared" si="12"/>
        <v>0</v>
      </c>
      <c r="CC9" s="67">
        <f t="shared" si="12"/>
        <v>0</v>
      </c>
      <c r="CD9" s="67">
        <f t="shared" si="12"/>
        <v>0</v>
      </c>
      <c r="CE9" s="67">
        <f t="shared" si="12"/>
        <v>0</v>
      </c>
      <c r="CF9" s="67">
        <f t="shared" si="12"/>
        <v>0</v>
      </c>
      <c r="CG9" s="67">
        <f t="shared" si="12"/>
        <v>0</v>
      </c>
      <c r="CH9" s="67">
        <f t="shared" si="12"/>
        <v>0</v>
      </c>
      <c r="CI9" s="67">
        <f t="shared" si="12"/>
        <v>2</v>
      </c>
      <c r="CJ9" s="67">
        <f t="shared" si="12"/>
        <v>0</v>
      </c>
      <c r="CK9" s="67">
        <f t="shared" si="12"/>
        <v>0</v>
      </c>
      <c r="CL9" s="67">
        <f t="shared" si="12"/>
        <v>0</v>
      </c>
      <c r="CM9" s="67">
        <f t="shared" si="12"/>
        <v>1</v>
      </c>
      <c r="CN9" s="67">
        <f t="shared" si="12"/>
        <v>2</v>
      </c>
      <c r="CO9" s="67">
        <f t="shared" si="12"/>
        <v>1</v>
      </c>
      <c r="CP9" s="67">
        <f t="shared" si="12"/>
        <v>0</v>
      </c>
      <c r="CQ9" s="67">
        <f t="shared" si="12"/>
        <v>0</v>
      </c>
      <c r="CR9" s="67">
        <f t="shared" si="12"/>
        <v>0</v>
      </c>
      <c r="CS9" s="67">
        <f t="shared" si="12"/>
        <v>0</v>
      </c>
      <c r="CT9" s="67">
        <f t="shared" si="12"/>
        <v>0</v>
      </c>
      <c r="CU9" s="67">
        <f t="shared" si="12"/>
        <v>0</v>
      </c>
      <c r="CV9" s="67">
        <f t="shared" si="12"/>
        <v>0</v>
      </c>
      <c r="CW9" s="67">
        <f t="shared" si="12"/>
        <v>4</v>
      </c>
      <c r="CX9" s="68"/>
      <c r="CY9" s="67">
        <f t="shared" ref="CY9:DE9" si="13">COUNTIF($E9:$BR9,CY$6)</f>
        <v>0</v>
      </c>
      <c r="CZ9" s="67">
        <f t="shared" si="13"/>
        <v>0</v>
      </c>
      <c r="DA9" s="67">
        <f t="shared" si="13"/>
        <v>0</v>
      </c>
      <c r="DB9" s="67">
        <f t="shared" si="13"/>
        <v>0</v>
      </c>
      <c r="DC9" s="67">
        <f t="shared" si="13"/>
        <v>5</v>
      </c>
      <c r="DD9" s="67">
        <f t="shared" si="13"/>
        <v>0</v>
      </c>
      <c r="DE9" s="67">
        <f t="shared" si="13"/>
        <v>1</v>
      </c>
    </row>
    <row r="10">
      <c r="A10" s="69">
        <f t="shared" si="9"/>
        <v>3</v>
      </c>
      <c r="B10" s="70" t="s">
        <v>56</v>
      </c>
      <c r="C10" s="71">
        <v>9.84723866E8</v>
      </c>
      <c r="D10" s="54">
        <v>140.0</v>
      </c>
      <c r="E10" s="57" t="s">
        <v>32</v>
      </c>
      <c r="F10" s="72"/>
      <c r="G10" s="73" t="s">
        <v>19</v>
      </c>
      <c r="H10" s="72"/>
      <c r="I10" s="74" t="s">
        <v>18</v>
      </c>
      <c r="J10" s="72" t="s">
        <v>43</v>
      </c>
      <c r="K10" s="54">
        <v>140.0</v>
      </c>
      <c r="L10" s="58" t="s">
        <v>18</v>
      </c>
      <c r="M10" s="72"/>
      <c r="N10" s="73" t="s">
        <v>42</v>
      </c>
      <c r="O10" s="72"/>
      <c r="P10" s="75" t="s">
        <v>24</v>
      </c>
      <c r="Q10" s="72"/>
      <c r="R10" s="76" t="s">
        <v>19</v>
      </c>
      <c r="S10" s="72"/>
      <c r="T10" s="57" t="s">
        <v>19</v>
      </c>
      <c r="U10" s="84"/>
      <c r="V10" s="57" t="s">
        <v>18</v>
      </c>
      <c r="W10" s="72"/>
      <c r="X10" s="57" t="s">
        <v>21</v>
      </c>
      <c r="Y10" s="78"/>
      <c r="Z10" s="54">
        <v>140.0</v>
      </c>
      <c r="AA10" s="57" t="s">
        <v>42</v>
      </c>
      <c r="AB10" s="72"/>
      <c r="AC10" s="57" t="s">
        <v>19</v>
      </c>
      <c r="AD10" s="72" t="s">
        <v>43</v>
      </c>
      <c r="AE10" s="76" t="s">
        <v>18</v>
      </c>
      <c r="AF10" s="72"/>
      <c r="AG10" s="76" t="s">
        <v>18</v>
      </c>
      <c r="AH10" s="72"/>
      <c r="AI10" s="57" t="s">
        <v>33</v>
      </c>
      <c r="AJ10" s="72"/>
      <c r="AK10" s="57" t="s">
        <v>19</v>
      </c>
      <c r="AL10" s="72" t="s">
        <v>45</v>
      </c>
      <c r="AM10" s="57" t="s">
        <v>20</v>
      </c>
      <c r="AN10" s="72" t="s">
        <v>43</v>
      </c>
      <c r="AO10" s="59">
        <v>100025.0</v>
      </c>
      <c r="AP10" s="57" t="s">
        <v>42</v>
      </c>
      <c r="AQ10" s="72"/>
      <c r="AR10" s="60" t="s">
        <v>18</v>
      </c>
      <c r="AS10" s="72"/>
      <c r="AT10" s="76" t="s">
        <v>19</v>
      </c>
      <c r="AU10" s="72" t="s">
        <v>43</v>
      </c>
      <c r="AV10" s="76" t="s">
        <v>19</v>
      </c>
      <c r="AW10" s="72" t="s">
        <v>43</v>
      </c>
      <c r="AX10" s="57" t="s">
        <v>33</v>
      </c>
      <c r="AY10" s="72"/>
      <c r="AZ10" s="57" t="s">
        <v>18</v>
      </c>
      <c r="BA10" s="72"/>
      <c r="BB10" s="57" t="s">
        <v>19</v>
      </c>
      <c r="BC10" s="85" t="s">
        <v>54</v>
      </c>
      <c r="BD10" s="59">
        <v>100025.0</v>
      </c>
      <c r="BE10" s="57" t="s">
        <v>42</v>
      </c>
      <c r="BF10" s="72"/>
      <c r="BG10" s="57" t="s">
        <v>18</v>
      </c>
      <c r="BH10" s="72"/>
      <c r="BI10" s="76" t="s">
        <v>18</v>
      </c>
      <c r="BJ10" s="72"/>
      <c r="BK10" s="76" t="s">
        <v>19</v>
      </c>
      <c r="BL10" s="72"/>
      <c r="BM10" s="57" t="s">
        <v>18</v>
      </c>
      <c r="BN10" s="72"/>
      <c r="BO10" s="57" t="s">
        <v>32</v>
      </c>
      <c r="BP10" s="72"/>
      <c r="BQ10" s="57" t="s">
        <v>18</v>
      </c>
      <c r="BR10" s="81"/>
      <c r="BS10" s="82">
        <f t="shared" si="10"/>
        <v>27</v>
      </c>
      <c r="BT10" s="64">
        <f t="shared" si="11"/>
        <v>216</v>
      </c>
      <c r="BU10" s="83">
        <f t="shared" si="4"/>
        <v>16</v>
      </c>
      <c r="BV10" s="66">
        <f t="shared" si="5"/>
        <v>6</v>
      </c>
      <c r="BW10" s="66">
        <f t="shared" si="6"/>
        <v>0</v>
      </c>
      <c r="BX10" s="4"/>
      <c r="BY10" s="67">
        <f t="shared" ref="BY10:CW10" si="14">COUNTIF($E10:$BR10,BY$6)</f>
        <v>11</v>
      </c>
      <c r="BZ10" s="67">
        <f t="shared" si="14"/>
        <v>9</v>
      </c>
      <c r="CA10" s="67">
        <f t="shared" si="14"/>
        <v>1</v>
      </c>
      <c r="CB10" s="67">
        <f t="shared" si="14"/>
        <v>1</v>
      </c>
      <c r="CC10" s="67">
        <f t="shared" si="14"/>
        <v>0</v>
      </c>
      <c r="CD10" s="67">
        <f t="shared" si="14"/>
        <v>0</v>
      </c>
      <c r="CE10" s="67">
        <f t="shared" si="14"/>
        <v>1</v>
      </c>
      <c r="CF10" s="67">
        <f t="shared" si="14"/>
        <v>0</v>
      </c>
      <c r="CG10" s="67">
        <f t="shared" si="14"/>
        <v>0</v>
      </c>
      <c r="CH10" s="67">
        <f t="shared" si="14"/>
        <v>0</v>
      </c>
      <c r="CI10" s="67">
        <f t="shared" si="14"/>
        <v>0</v>
      </c>
      <c r="CJ10" s="67">
        <f t="shared" si="14"/>
        <v>0</v>
      </c>
      <c r="CK10" s="67">
        <f t="shared" si="14"/>
        <v>0</v>
      </c>
      <c r="CL10" s="67">
        <f t="shared" si="14"/>
        <v>0</v>
      </c>
      <c r="CM10" s="67">
        <f t="shared" si="14"/>
        <v>2</v>
      </c>
      <c r="CN10" s="67">
        <f t="shared" si="14"/>
        <v>2</v>
      </c>
      <c r="CO10" s="67">
        <f t="shared" si="14"/>
        <v>0</v>
      </c>
      <c r="CP10" s="67">
        <f t="shared" si="14"/>
        <v>0</v>
      </c>
      <c r="CQ10" s="67">
        <f t="shared" si="14"/>
        <v>0</v>
      </c>
      <c r="CR10" s="67">
        <f t="shared" si="14"/>
        <v>0</v>
      </c>
      <c r="CS10" s="67">
        <f t="shared" si="14"/>
        <v>0</v>
      </c>
      <c r="CT10" s="67">
        <f t="shared" si="14"/>
        <v>0</v>
      </c>
      <c r="CU10" s="67">
        <f t="shared" si="14"/>
        <v>0</v>
      </c>
      <c r="CV10" s="67">
        <f t="shared" si="14"/>
        <v>0</v>
      </c>
      <c r="CW10" s="67">
        <f t="shared" si="14"/>
        <v>4</v>
      </c>
      <c r="CX10" s="68"/>
      <c r="CY10" s="67">
        <f t="shared" ref="CY10:DE10" si="15">COUNTIF($E10:$BR10,CY$6)</f>
        <v>5</v>
      </c>
      <c r="CZ10" s="67">
        <f t="shared" si="15"/>
        <v>0</v>
      </c>
      <c r="DA10" s="67">
        <f t="shared" si="15"/>
        <v>1</v>
      </c>
      <c r="DB10" s="67">
        <f t="shared" si="15"/>
        <v>0</v>
      </c>
      <c r="DC10" s="67">
        <f t="shared" si="15"/>
        <v>0</v>
      </c>
      <c r="DD10" s="67">
        <f t="shared" si="15"/>
        <v>0</v>
      </c>
      <c r="DE10" s="67">
        <f t="shared" si="15"/>
        <v>0</v>
      </c>
    </row>
    <row r="11">
      <c r="A11" s="69">
        <f t="shared" si="9"/>
        <v>4</v>
      </c>
      <c r="B11" s="70" t="s">
        <v>57</v>
      </c>
      <c r="C11" s="71">
        <v>3.5228241E8</v>
      </c>
      <c r="D11" s="54">
        <v>130.0</v>
      </c>
      <c r="E11" s="57" t="s">
        <v>19</v>
      </c>
      <c r="F11" s="77" t="s">
        <v>54</v>
      </c>
      <c r="G11" s="73" t="s">
        <v>32</v>
      </c>
      <c r="H11" s="72"/>
      <c r="I11" s="74" t="s">
        <v>32</v>
      </c>
      <c r="J11" s="72"/>
      <c r="K11" s="54">
        <v>130.0</v>
      </c>
      <c r="L11" s="86" t="s">
        <v>42</v>
      </c>
      <c r="M11" s="72"/>
      <c r="N11" s="73" t="s">
        <v>19</v>
      </c>
      <c r="O11" s="77"/>
      <c r="P11" s="75" t="s">
        <v>19</v>
      </c>
      <c r="Q11" s="77" t="s">
        <v>54</v>
      </c>
      <c r="R11" s="76" t="s">
        <v>19</v>
      </c>
      <c r="S11" s="77" t="s">
        <v>54</v>
      </c>
      <c r="T11" s="57" t="s">
        <v>19</v>
      </c>
      <c r="U11" s="84"/>
      <c r="V11" s="60" t="s">
        <v>22</v>
      </c>
      <c r="W11" s="72"/>
      <c r="X11" s="57" t="s">
        <v>22</v>
      </c>
      <c r="Y11" s="78"/>
      <c r="Z11" s="54">
        <v>130.0</v>
      </c>
      <c r="AA11" s="57" t="s">
        <v>42</v>
      </c>
      <c r="AB11" s="72"/>
      <c r="AC11" s="80" t="s">
        <v>42</v>
      </c>
      <c r="AD11" s="72"/>
      <c r="AE11" s="76" t="s">
        <v>19</v>
      </c>
      <c r="AF11" s="72" t="s">
        <v>46</v>
      </c>
      <c r="AG11" s="75" t="s">
        <v>19</v>
      </c>
      <c r="AH11" s="72"/>
      <c r="AI11" s="57" t="s">
        <v>19</v>
      </c>
      <c r="AJ11" s="77" t="s">
        <v>54</v>
      </c>
      <c r="AK11" s="57" t="s">
        <v>19</v>
      </c>
      <c r="AL11" s="72"/>
      <c r="AM11" s="57" t="s">
        <v>33</v>
      </c>
      <c r="AN11" s="78"/>
      <c r="AO11" s="59">
        <v>100026.0</v>
      </c>
      <c r="AP11" s="57" t="s">
        <v>19</v>
      </c>
      <c r="AQ11" s="85" t="s">
        <v>54</v>
      </c>
      <c r="AR11" s="57" t="s">
        <v>19</v>
      </c>
      <c r="AS11" s="72"/>
      <c r="AT11" s="76" t="s">
        <v>19</v>
      </c>
      <c r="AU11" s="72" t="s">
        <v>49</v>
      </c>
      <c r="AV11" s="76" t="s">
        <v>19</v>
      </c>
      <c r="AW11" s="72" t="s">
        <v>46</v>
      </c>
      <c r="AX11" s="57" t="s">
        <v>19</v>
      </c>
      <c r="AY11" s="72" t="s">
        <v>46</v>
      </c>
      <c r="AZ11" s="57" t="s">
        <v>26</v>
      </c>
      <c r="BA11" s="72"/>
      <c r="BB11" s="57" t="s">
        <v>33</v>
      </c>
      <c r="BC11" s="72"/>
      <c r="BD11" s="59">
        <v>100026.0</v>
      </c>
      <c r="BE11" s="57" t="s">
        <v>19</v>
      </c>
      <c r="BF11" s="72" t="s">
        <v>46</v>
      </c>
      <c r="BG11" s="57" t="s">
        <v>42</v>
      </c>
      <c r="BH11" s="72"/>
      <c r="BI11" s="76" t="s">
        <v>19</v>
      </c>
      <c r="BJ11" s="72"/>
      <c r="BK11" s="75" t="s">
        <v>19</v>
      </c>
      <c r="BL11" s="72"/>
      <c r="BM11" s="57" t="s">
        <v>19</v>
      </c>
      <c r="BN11" s="72" t="s">
        <v>47</v>
      </c>
      <c r="BO11" s="57" t="s">
        <v>32</v>
      </c>
      <c r="BP11" s="72"/>
      <c r="BQ11" s="57" t="s">
        <v>33</v>
      </c>
      <c r="BR11" s="87"/>
      <c r="BS11" s="82">
        <f t="shared" si="10"/>
        <v>27.125</v>
      </c>
      <c r="BT11" s="64">
        <f t="shared" si="11"/>
        <v>217</v>
      </c>
      <c r="BU11" s="83">
        <f t="shared" si="4"/>
        <v>24</v>
      </c>
      <c r="BV11" s="66">
        <f t="shared" si="5"/>
        <v>5</v>
      </c>
      <c r="BW11" s="66">
        <f t="shared" si="6"/>
        <v>0</v>
      </c>
      <c r="BX11" s="4"/>
      <c r="BY11" s="67">
        <f t="shared" ref="BY11:CW11" si="16">COUNTIF($E11:$BR11,BY$6)</f>
        <v>0</v>
      </c>
      <c r="BZ11" s="67">
        <f t="shared" si="16"/>
        <v>18</v>
      </c>
      <c r="CA11" s="67">
        <f t="shared" si="16"/>
        <v>0</v>
      </c>
      <c r="CB11" s="67">
        <f t="shared" si="16"/>
        <v>0</v>
      </c>
      <c r="CC11" s="67">
        <f t="shared" si="16"/>
        <v>2</v>
      </c>
      <c r="CD11" s="67">
        <f t="shared" si="16"/>
        <v>0</v>
      </c>
      <c r="CE11" s="67">
        <f t="shared" si="16"/>
        <v>0</v>
      </c>
      <c r="CF11" s="67">
        <f t="shared" si="16"/>
        <v>0</v>
      </c>
      <c r="CG11" s="67">
        <f t="shared" si="16"/>
        <v>1</v>
      </c>
      <c r="CH11" s="67">
        <f t="shared" si="16"/>
        <v>0</v>
      </c>
      <c r="CI11" s="67">
        <f t="shared" si="16"/>
        <v>0</v>
      </c>
      <c r="CJ11" s="67">
        <f t="shared" si="16"/>
        <v>0</v>
      </c>
      <c r="CK11" s="67">
        <f t="shared" si="16"/>
        <v>0</v>
      </c>
      <c r="CL11" s="67">
        <f t="shared" si="16"/>
        <v>0</v>
      </c>
      <c r="CM11" s="67">
        <f t="shared" si="16"/>
        <v>3</v>
      </c>
      <c r="CN11" s="67">
        <f t="shared" si="16"/>
        <v>3</v>
      </c>
      <c r="CO11" s="67">
        <f t="shared" si="16"/>
        <v>0</v>
      </c>
      <c r="CP11" s="67">
        <f t="shared" si="16"/>
        <v>0</v>
      </c>
      <c r="CQ11" s="67">
        <f t="shared" si="16"/>
        <v>0</v>
      </c>
      <c r="CR11" s="67">
        <f t="shared" si="16"/>
        <v>0</v>
      </c>
      <c r="CS11" s="67">
        <f t="shared" si="16"/>
        <v>0</v>
      </c>
      <c r="CT11" s="67">
        <f t="shared" si="16"/>
        <v>0</v>
      </c>
      <c r="CU11" s="67">
        <f t="shared" si="16"/>
        <v>0</v>
      </c>
      <c r="CV11" s="67">
        <f t="shared" si="16"/>
        <v>0</v>
      </c>
      <c r="CW11" s="67">
        <f t="shared" si="16"/>
        <v>4</v>
      </c>
      <c r="CX11" s="68"/>
      <c r="CY11" s="67">
        <f t="shared" ref="CY11:DE11" si="17">COUNTIF($E11:$BR11,CY$6)</f>
        <v>0</v>
      </c>
      <c r="CZ11" s="67">
        <f t="shared" si="17"/>
        <v>0</v>
      </c>
      <c r="DA11" s="67">
        <f t="shared" si="17"/>
        <v>0</v>
      </c>
      <c r="DB11" s="67">
        <f t="shared" si="17"/>
        <v>4</v>
      </c>
      <c r="DC11" s="67">
        <f t="shared" si="17"/>
        <v>1</v>
      </c>
      <c r="DD11" s="67">
        <f t="shared" si="17"/>
        <v>0</v>
      </c>
      <c r="DE11" s="67">
        <f t="shared" si="17"/>
        <v>1</v>
      </c>
    </row>
    <row r="12">
      <c r="A12" s="69">
        <f t="shared" si="9"/>
        <v>5</v>
      </c>
      <c r="B12" s="70" t="s">
        <v>58</v>
      </c>
      <c r="C12" s="71">
        <v>3.75226181E8</v>
      </c>
      <c r="D12" s="54">
        <v>122.0</v>
      </c>
      <c r="E12" s="57" t="s">
        <v>32</v>
      </c>
      <c r="F12" s="72" t="s">
        <v>45</v>
      </c>
      <c r="G12" s="73" t="s">
        <v>19</v>
      </c>
      <c r="H12" s="72" t="s">
        <v>43</v>
      </c>
      <c r="I12" s="74" t="s">
        <v>32</v>
      </c>
      <c r="J12" s="72"/>
      <c r="K12" s="54">
        <v>122.0</v>
      </c>
      <c r="L12" s="58" t="s">
        <v>18</v>
      </c>
      <c r="M12" s="72"/>
      <c r="N12" s="73" t="s">
        <v>18</v>
      </c>
      <c r="O12" s="72"/>
      <c r="P12" s="75" t="s">
        <v>19</v>
      </c>
      <c r="Q12" s="72" t="s">
        <v>43</v>
      </c>
      <c r="R12" s="76" t="s">
        <v>42</v>
      </c>
      <c r="S12" s="72"/>
      <c r="T12" s="57" t="s">
        <v>32</v>
      </c>
      <c r="U12" s="72" t="s">
        <v>43</v>
      </c>
      <c r="V12" s="57" t="s">
        <v>19</v>
      </c>
      <c r="W12" s="72"/>
      <c r="X12" s="57" t="s">
        <v>19</v>
      </c>
      <c r="Y12" s="78"/>
      <c r="Z12" s="54">
        <v>122.0</v>
      </c>
      <c r="AA12" s="80" t="s">
        <v>18</v>
      </c>
      <c r="AB12" s="72"/>
      <c r="AC12" s="57" t="s">
        <v>42</v>
      </c>
      <c r="AD12" s="72"/>
      <c r="AE12" s="79" t="s">
        <v>42</v>
      </c>
      <c r="AF12" s="72"/>
      <c r="AG12" s="76" t="s">
        <v>24</v>
      </c>
      <c r="AH12" s="72"/>
      <c r="AI12" s="57" t="s">
        <v>18</v>
      </c>
      <c r="AJ12" s="72"/>
      <c r="AK12" s="57" t="s">
        <v>18</v>
      </c>
      <c r="AL12" s="72" t="s">
        <v>44</v>
      </c>
      <c r="AM12" s="57" t="s">
        <v>18</v>
      </c>
      <c r="AN12" s="78"/>
      <c r="AO12" s="59">
        <v>100027.0</v>
      </c>
      <c r="AP12" s="57" t="s">
        <v>18</v>
      </c>
      <c r="AQ12" s="72"/>
      <c r="AR12" s="57" t="s">
        <v>42</v>
      </c>
      <c r="AS12" s="72"/>
      <c r="AT12" s="76" t="s">
        <v>28</v>
      </c>
      <c r="AU12" s="72"/>
      <c r="AV12" s="76" t="s">
        <v>22</v>
      </c>
      <c r="AW12" s="72"/>
      <c r="AX12" s="57" t="s">
        <v>19</v>
      </c>
      <c r="AY12" s="72" t="s">
        <v>43</v>
      </c>
      <c r="AZ12" s="57" t="s">
        <v>32</v>
      </c>
      <c r="BA12" s="72" t="s">
        <v>45</v>
      </c>
      <c r="BB12" s="57" t="s">
        <v>33</v>
      </c>
      <c r="BC12" s="78"/>
      <c r="BD12" s="59">
        <v>100027.0</v>
      </c>
      <c r="BE12" s="57" t="s">
        <v>18</v>
      </c>
      <c r="BF12" s="72"/>
      <c r="BG12" s="57" t="s">
        <v>18</v>
      </c>
      <c r="BH12" s="72"/>
      <c r="BI12" s="57" t="s">
        <v>28</v>
      </c>
      <c r="BJ12" s="72"/>
      <c r="BK12" s="76" t="s">
        <v>24</v>
      </c>
      <c r="BL12" s="72"/>
      <c r="BM12" s="57" t="s">
        <v>20</v>
      </c>
      <c r="BN12" s="72"/>
      <c r="BO12" s="57" t="s">
        <v>18</v>
      </c>
      <c r="BP12" s="72"/>
      <c r="BQ12" s="57" t="s">
        <v>32</v>
      </c>
      <c r="BR12" s="87"/>
      <c r="BS12" s="82">
        <f t="shared" si="10"/>
        <v>27.25</v>
      </c>
      <c r="BT12" s="64">
        <f t="shared" si="11"/>
        <v>218</v>
      </c>
      <c r="BU12" s="83">
        <f t="shared" si="4"/>
        <v>24</v>
      </c>
      <c r="BV12" s="66">
        <f t="shared" si="5"/>
        <v>7</v>
      </c>
      <c r="BW12" s="66">
        <f t="shared" si="6"/>
        <v>0</v>
      </c>
      <c r="BX12" s="4"/>
      <c r="BY12" s="67">
        <f t="shared" ref="BY12:CW12" si="18">COUNTIF($E12:$BR12,BY$6)</f>
        <v>10</v>
      </c>
      <c r="BZ12" s="67">
        <f t="shared" si="18"/>
        <v>5</v>
      </c>
      <c r="CA12" s="67">
        <f t="shared" si="18"/>
        <v>1</v>
      </c>
      <c r="CB12" s="67">
        <f t="shared" si="18"/>
        <v>0</v>
      </c>
      <c r="CC12" s="67">
        <f t="shared" si="18"/>
        <v>1</v>
      </c>
      <c r="CD12" s="67">
        <f t="shared" si="18"/>
        <v>0</v>
      </c>
      <c r="CE12" s="67">
        <f t="shared" si="18"/>
        <v>2</v>
      </c>
      <c r="CF12" s="67">
        <f t="shared" si="18"/>
        <v>0</v>
      </c>
      <c r="CG12" s="67">
        <f t="shared" si="18"/>
        <v>0</v>
      </c>
      <c r="CH12" s="67">
        <f t="shared" si="18"/>
        <v>0</v>
      </c>
      <c r="CI12" s="67">
        <f t="shared" si="18"/>
        <v>2</v>
      </c>
      <c r="CJ12" s="67">
        <f t="shared" si="18"/>
        <v>0</v>
      </c>
      <c r="CK12" s="67">
        <f t="shared" si="18"/>
        <v>0</v>
      </c>
      <c r="CL12" s="67">
        <f t="shared" si="18"/>
        <v>0</v>
      </c>
      <c r="CM12" s="67">
        <f t="shared" si="18"/>
        <v>5</v>
      </c>
      <c r="CN12" s="67">
        <f t="shared" si="18"/>
        <v>1</v>
      </c>
      <c r="CO12" s="67">
        <f t="shared" si="18"/>
        <v>0</v>
      </c>
      <c r="CP12" s="67">
        <f t="shared" si="18"/>
        <v>0</v>
      </c>
      <c r="CQ12" s="67">
        <f t="shared" si="18"/>
        <v>0</v>
      </c>
      <c r="CR12" s="67">
        <f t="shared" si="18"/>
        <v>0</v>
      </c>
      <c r="CS12" s="67">
        <f t="shared" si="18"/>
        <v>0</v>
      </c>
      <c r="CT12" s="67">
        <f t="shared" si="18"/>
        <v>0</v>
      </c>
      <c r="CU12" s="67">
        <f t="shared" si="18"/>
        <v>0</v>
      </c>
      <c r="CV12" s="67">
        <f t="shared" si="18"/>
        <v>0</v>
      </c>
      <c r="CW12" s="67">
        <f t="shared" si="18"/>
        <v>4</v>
      </c>
      <c r="CX12" s="68"/>
      <c r="CY12" s="67">
        <f t="shared" ref="CY12:DE12" si="19">COUNTIF($E12:$BR12,CY$6)</f>
        <v>4</v>
      </c>
      <c r="CZ12" s="67">
        <f t="shared" si="19"/>
        <v>1</v>
      </c>
      <c r="DA12" s="67">
        <f t="shared" si="19"/>
        <v>2</v>
      </c>
      <c r="DB12" s="67">
        <f t="shared" si="19"/>
        <v>0</v>
      </c>
      <c r="DC12" s="67">
        <f t="shared" si="19"/>
        <v>0</v>
      </c>
      <c r="DD12" s="67">
        <f t="shared" si="19"/>
        <v>0</v>
      </c>
      <c r="DE12" s="67">
        <f t="shared" si="19"/>
        <v>0</v>
      </c>
    </row>
    <row r="13">
      <c r="A13" s="69">
        <f t="shared" si="9"/>
        <v>6</v>
      </c>
      <c r="B13" s="88" t="s">
        <v>59</v>
      </c>
      <c r="C13" s="89">
        <v>9.38281988E8</v>
      </c>
      <c r="D13" s="54">
        <v>133.0</v>
      </c>
      <c r="E13" s="57" t="s">
        <v>19</v>
      </c>
      <c r="F13" s="72" t="s">
        <v>44</v>
      </c>
      <c r="G13" s="73" t="s">
        <v>18</v>
      </c>
      <c r="H13" s="72"/>
      <c r="I13" s="74" t="s">
        <v>32</v>
      </c>
      <c r="J13" s="72"/>
      <c r="K13" s="54">
        <v>133.0</v>
      </c>
      <c r="L13" s="58" t="s">
        <v>19</v>
      </c>
      <c r="M13" s="72" t="s">
        <v>43</v>
      </c>
      <c r="N13" s="73" t="s">
        <v>19</v>
      </c>
      <c r="O13" s="72" t="s">
        <v>43</v>
      </c>
      <c r="P13" s="75" t="s">
        <v>42</v>
      </c>
      <c r="Q13" s="72"/>
      <c r="R13" s="76" t="s">
        <v>18</v>
      </c>
      <c r="S13" s="72" t="s">
        <v>43</v>
      </c>
      <c r="T13" s="57" t="s">
        <v>18</v>
      </c>
      <c r="U13" s="84"/>
      <c r="V13" s="57" t="s">
        <v>19</v>
      </c>
      <c r="W13" s="72" t="s">
        <v>43</v>
      </c>
      <c r="X13" s="57" t="s">
        <v>40</v>
      </c>
      <c r="Y13" s="72" t="s">
        <v>43</v>
      </c>
      <c r="Z13" s="54">
        <v>133.0</v>
      </c>
      <c r="AA13" s="60" t="s">
        <v>18</v>
      </c>
      <c r="AB13" s="72"/>
      <c r="AC13" s="57" t="s">
        <v>24</v>
      </c>
      <c r="AD13" s="72"/>
      <c r="AE13" s="76" t="s">
        <v>42</v>
      </c>
      <c r="AF13" s="72"/>
      <c r="AG13" s="76" t="s">
        <v>24</v>
      </c>
      <c r="AH13" s="72"/>
      <c r="AI13" s="60" t="s">
        <v>28</v>
      </c>
      <c r="AJ13" s="72"/>
      <c r="AK13" s="57" t="s">
        <v>21</v>
      </c>
      <c r="AL13" s="72"/>
      <c r="AM13" s="57" t="s">
        <v>28</v>
      </c>
      <c r="AN13" s="78"/>
      <c r="AO13" s="59">
        <v>100028.0</v>
      </c>
      <c r="AP13" s="60" t="s">
        <v>22</v>
      </c>
      <c r="AQ13" s="72"/>
      <c r="AR13" s="57" t="s">
        <v>22</v>
      </c>
      <c r="AS13" s="72"/>
      <c r="AT13" s="76" t="s">
        <v>42</v>
      </c>
      <c r="AU13" s="72"/>
      <c r="AV13" s="79" t="s">
        <v>18</v>
      </c>
      <c r="AW13" s="72"/>
      <c r="AX13" s="57" t="s">
        <v>18</v>
      </c>
      <c r="AY13" s="72"/>
      <c r="AZ13" s="57" t="s">
        <v>32</v>
      </c>
      <c r="BA13" s="72"/>
      <c r="BB13" s="57" t="s">
        <v>40</v>
      </c>
      <c r="BC13" s="78"/>
      <c r="BD13" s="59">
        <v>100028.0</v>
      </c>
      <c r="BE13" s="57" t="s">
        <v>18</v>
      </c>
      <c r="BF13" s="72"/>
      <c r="BG13" s="57" t="s">
        <v>22</v>
      </c>
      <c r="BH13" s="72"/>
      <c r="BI13" s="76" t="s">
        <v>42</v>
      </c>
      <c r="BJ13" s="72"/>
      <c r="BK13" s="79" t="s">
        <v>18</v>
      </c>
      <c r="BL13" s="72"/>
      <c r="BM13" s="57" t="s">
        <v>32</v>
      </c>
      <c r="BN13" s="72"/>
      <c r="BO13" s="57" t="s">
        <v>42</v>
      </c>
      <c r="BP13" s="72"/>
      <c r="BQ13" s="57" t="s">
        <v>42</v>
      </c>
      <c r="BR13" s="87"/>
      <c r="BS13" s="82">
        <f t="shared" si="10"/>
        <v>26.75</v>
      </c>
      <c r="BT13" s="64">
        <f t="shared" si="11"/>
        <v>214</v>
      </c>
      <c r="BU13" s="83">
        <f t="shared" si="4"/>
        <v>12</v>
      </c>
      <c r="BV13" s="66">
        <f t="shared" si="5"/>
        <v>6</v>
      </c>
      <c r="BW13" s="66">
        <f t="shared" si="6"/>
        <v>0</v>
      </c>
      <c r="BX13" s="4"/>
      <c r="BY13" s="67">
        <f t="shared" ref="BY13:CW13" si="20">COUNTIF($E13:$BR13,BY$6)</f>
        <v>8</v>
      </c>
      <c r="BZ13" s="67">
        <f t="shared" si="20"/>
        <v>4</v>
      </c>
      <c r="CA13" s="67">
        <f t="shared" si="20"/>
        <v>0</v>
      </c>
      <c r="CB13" s="67">
        <f t="shared" si="20"/>
        <v>1</v>
      </c>
      <c r="CC13" s="67">
        <f t="shared" si="20"/>
        <v>3</v>
      </c>
      <c r="CD13" s="67">
        <f t="shared" si="20"/>
        <v>0</v>
      </c>
      <c r="CE13" s="67">
        <f t="shared" si="20"/>
        <v>2</v>
      </c>
      <c r="CF13" s="67">
        <f t="shared" si="20"/>
        <v>0</v>
      </c>
      <c r="CG13" s="67">
        <f t="shared" si="20"/>
        <v>0</v>
      </c>
      <c r="CH13" s="67">
        <f t="shared" si="20"/>
        <v>0</v>
      </c>
      <c r="CI13" s="67">
        <f t="shared" si="20"/>
        <v>2</v>
      </c>
      <c r="CJ13" s="67">
        <f t="shared" si="20"/>
        <v>0</v>
      </c>
      <c r="CK13" s="67">
        <f t="shared" si="20"/>
        <v>0</v>
      </c>
      <c r="CL13" s="67">
        <f t="shared" si="20"/>
        <v>0</v>
      </c>
      <c r="CM13" s="67">
        <f t="shared" si="20"/>
        <v>3</v>
      </c>
      <c r="CN13" s="67">
        <f t="shared" si="20"/>
        <v>0</v>
      </c>
      <c r="CO13" s="67">
        <f t="shared" si="20"/>
        <v>0</v>
      </c>
      <c r="CP13" s="67">
        <f t="shared" si="20"/>
        <v>0</v>
      </c>
      <c r="CQ13" s="67">
        <f t="shared" si="20"/>
        <v>0</v>
      </c>
      <c r="CR13" s="67">
        <f t="shared" si="20"/>
        <v>0</v>
      </c>
      <c r="CS13" s="67">
        <f t="shared" si="20"/>
        <v>0</v>
      </c>
      <c r="CT13" s="67">
        <f t="shared" si="20"/>
        <v>0</v>
      </c>
      <c r="CU13" s="67">
        <f t="shared" si="20"/>
        <v>2</v>
      </c>
      <c r="CV13" s="67">
        <f t="shared" si="20"/>
        <v>0</v>
      </c>
      <c r="CW13" s="67">
        <f t="shared" si="20"/>
        <v>6</v>
      </c>
      <c r="CX13" s="68"/>
      <c r="CY13" s="67">
        <f t="shared" ref="CY13:DE13" si="21">COUNTIF($E13:$BR13,CY$6)</f>
        <v>5</v>
      </c>
      <c r="CZ13" s="67">
        <f t="shared" si="21"/>
        <v>1</v>
      </c>
      <c r="DA13" s="67">
        <f t="shared" si="21"/>
        <v>0</v>
      </c>
      <c r="DB13" s="67">
        <f t="shared" si="21"/>
        <v>0</v>
      </c>
      <c r="DC13" s="67">
        <f t="shared" si="21"/>
        <v>0</v>
      </c>
      <c r="DD13" s="67">
        <f t="shared" si="21"/>
        <v>0</v>
      </c>
      <c r="DE13" s="67">
        <f t="shared" si="21"/>
        <v>0</v>
      </c>
    </row>
    <row r="14">
      <c r="A14" s="69">
        <f t="shared" si="9"/>
        <v>7</v>
      </c>
      <c r="B14" s="70" t="s">
        <v>60</v>
      </c>
      <c r="C14" s="71">
        <v>8.65962943E8</v>
      </c>
      <c r="D14" s="54">
        <v>132.0</v>
      </c>
      <c r="E14" s="57" t="s">
        <v>30</v>
      </c>
      <c r="F14" s="72"/>
      <c r="G14" s="73" t="s">
        <v>30</v>
      </c>
      <c r="H14" s="72"/>
      <c r="I14" s="74" t="s">
        <v>30</v>
      </c>
      <c r="J14" s="72"/>
      <c r="K14" s="54">
        <v>132.0</v>
      </c>
      <c r="L14" s="58" t="s">
        <v>30</v>
      </c>
      <c r="M14" s="72"/>
      <c r="N14" s="55" t="s">
        <v>30</v>
      </c>
      <c r="O14" s="72"/>
      <c r="P14" s="75" t="s">
        <v>30</v>
      </c>
      <c r="Q14" s="77"/>
      <c r="R14" s="79" t="s">
        <v>30</v>
      </c>
      <c r="S14" s="72"/>
      <c r="T14" s="57" t="s">
        <v>30</v>
      </c>
      <c r="U14" s="84"/>
      <c r="V14" s="57" t="s">
        <v>19</v>
      </c>
      <c r="W14" s="72"/>
      <c r="X14" s="57" t="s">
        <v>30</v>
      </c>
      <c r="Y14" s="78"/>
      <c r="Z14" s="54">
        <v>132.0</v>
      </c>
      <c r="AA14" s="80" t="s">
        <v>19</v>
      </c>
      <c r="AB14" s="72" t="s">
        <v>46</v>
      </c>
      <c r="AC14" s="57" t="s">
        <v>42</v>
      </c>
      <c r="AD14" s="72"/>
      <c r="AE14" s="76" t="s">
        <v>42</v>
      </c>
      <c r="AF14" s="72"/>
      <c r="AG14" s="76" t="s">
        <v>42</v>
      </c>
      <c r="AH14" s="72"/>
      <c r="AI14" s="57" t="s">
        <v>42</v>
      </c>
      <c r="AJ14" s="72"/>
      <c r="AK14" s="57" t="s">
        <v>34</v>
      </c>
      <c r="AL14" s="72"/>
      <c r="AM14" s="57" t="s">
        <v>19</v>
      </c>
      <c r="AN14" s="72" t="s">
        <v>46</v>
      </c>
      <c r="AO14" s="59">
        <v>100029.0</v>
      </c>
      <c r="AP14" s="76" t="s">
        <v>42</v>
      </c>
      <c r="AQ14" s="72"/>
      <c r="AR14" s="57" t="s">
        <v>42</v>
      </c>
      <c r="AS14" s="72"/>
      <c r="AT14" s="76" t="s">
        <v>19</v>
      </c>
      <c r="AU14" s="72" t="s">
        <v>46</v>
      </c>
      <c r="AV14" s="76" t="s">
        <v>28</v>
      </c>
      <c r="AW14" s="72"/>
      <c r="AX14" s="57" t="s">
        <v>33</v>
      </c>
      <c r="AY14" s="72"/>
      <c r="AZ14" s="57" t="s">
        <v>19</v>
      </c>
      <c r="BA14" s="72" t="s">
        <v>49</v>
      </c>
      <c r="BB14" s="57" t="s">
        <v>21</v>
      </c>
      <c r="BC14" s="78"/>
      <c r="BD14" s="59">
        <v>100029.0</v>
      </c>
      <c r="BE14" s="57" t="s">
        <v>19</v>
      </c>
      <c r="BF14" s="72" t="s">
        <v>44</v>
      </c>
      <c r="BG14" s="57" t="s">
        <v>19</v>
      </c>
      <c r="BH14" s="72" t="s">
        <v>46</v>
      </c>
      <c r="BI14" s="76" t="s">
        <v>18</v>
      </c>
      <c r="BJ14" s="72"/>
      <c r="BK14" s="57" t="s">
        <v>30</v>
      </c>
      <c r="BL14" s="72"/>
      <c r="BM14" s="57" t="s">
        <v>33</v>
      </c>
      <c r="BN14" s="72"/>
      <c r="BO14" s="57" t="s">
        <v>19</v>
      </c>
      <c r="BP14" s="72" t="s">
        <v>46</v>
      </c>
      <c r="BQ14" s="57" t="s">
        <v>33</v>
      </c>
      <c r="BR14" s="81"/>
      <c r="BS14" s="82">
        <f t="shared" si="10"/>
        <v>25.125</v>
      </c>
      <c r="BT14" s="64">
        <f t="shared" si="11"/>
        <v>201</v>
      </c>
      <c r="BU14" s="83">
        <f t="shared" si="4"/>
        <v>16</v>
      </c>
      <c r="BV14" s="66">
        <f t="shared" si="5"/>
        <v>6</v>
      </c>
      <c r="BW14" s="66">
        <f t="shared" si="6"/>
        <v>0</v>
      </c>
      <c r="BX14" s="4"/>
      <c r="BY14" s="67">
        <f t="shared" ref="BY14:CW14" si="22">COUNTIF($E14:$BR14,BY$6)</f>
        <v>1</v>
      </c>
      <c r="BZ14" s="67">
        <f t="shared" si="22"/>
        <v>8</v>
      </c>
      <c r="CA14" s="67">
        <f t="shared" si="22"/>
        <v>0</v>
      </c>
      <c r="CB14" s="67">
        <f t="shared" si="22"/>
        <v>1</v>
      </c>
      <c r="CC14" s="67">
        <f t="shared" si="22"/>
        <v>0</v>
      </c>
      <c r="CD14" s="67">
        <f t="shared" si="22"/>
        <v>0</v>
      </c>
      <c r="CE14" s="67">
        <f t="shared" si="22"/>
        <v>0</v>
      </c>
      <c r="CF14" s="67">
        <f t="shared" si="22"/>
        <v>0</v>
      </c>
      <c r="CG14" s="67">
        <f t="shared" si="22"/>
        <v>0</v>
      </c>
      <c r="CH14" s="67">
        <f t="shared" si="22"/>
        <v>0</v>
      </c>
      <c r="CI14" s="67">
        <f t="shared" si="22"/>
        <v>1</v>
      </c>
      <c r="CJ14" s="67">
        <f t="shared" si="22"/>
        <v>0</v>
      </c>
      <c r="CK14" s="67">
        <f t="shared" si="22"/>
        <v>10</v>
      </c>
      <c r="CL14" s="67">
        <f t="shared" si="22"/>
        <v>0</v>
      </c>
      <c r="CM14" s="67">
        <f t="shared" si="22"/>
        <v>0</v>
      </c>
      <c r="CN14" s="67">
        <f t="shared" si="22"/>
        <v>3</v>
      </c>
      <c r="CO14" s="67">
        <f t="shared" si="22"/>
        <v>1</v>
      </c>
      <c r="CP14" s="67">
        <f t="shared" si="22"/>
        <v>0</v>
      </c>
      <c r="CQ14" s="67">
        <f t="shared" si="22"/>
        <v>0</v>
      </c>
      <c r="CR14" s="67">
        <f t="shared" si="22"/>
        <v>0</v>
      </c>
      <c r="CS14" s="67">
        <f t="shared" si="22"/>
        <v>0</v>
      </c>
      <c r="CT14" s="67">
        <f t="shared" si="22"/>
        <v>0</v>
      </c>
      <c r="CU14" s="67">
        <f t="shared" si="22"/>
        <v>0</v>
      </c>
      <c r="CV14" s="67">
        <f t="shared" si="22"/>
        <v>0</v>
      </c>
      <c r="CW14" s="67">
        <f t="shared" si="22"/>
        <v>6</v>
      </c>
      <c r="CX14" s="68"/>
      <c r="CY14" s="67">
        <f t="shared" ref="CY14:DE14" si="23">COUNTIF($E14:$BR14,CY$6)</f>
        <v>0</v>
      </c>
      <c r="CZ14" s="67">
        <f t="shared" si="23"/>
        <v>1</v>
      </c>
      <c r="DA14" s="67">
        <f t="shared" si="23"/>
        <v>0</v>
      </c>
      <c r="DB14" s="67">
        <f t="shared" si="23"/>
        <v>5</v>
      </c>
      <c r="DC14" s="67">
        <f t="shared" si="23"/>
        <v>0</v>
      </c>
      <c r="DD14" s="67">
        <f t="shared" si="23"/>
        <v>0</v>
      </c>
      <c r="DE14" s="67">
        <f t="shared" si="23"/>
        <v>1</v>
      </c>
    </row>
    <row r="15" ht="17.25" customHeight="1">
      <c r="A15" s="69">
        <f t="shared" si="9"/>
        <v>8</v>
      </c>
      <c r="B15" s="88" t="s">
        <v>61</v>
      </c>
      <c r="C15" s="89">
        <v>9.7250183E8</v>
      </c>
      <c r="D15" s="54">
        <v>124.0</v>
      </c>
      <c r="E15" s="57" t="s">
        <v>19</v>
      </c>
      <c r="F15" s="72" t="s">
        <v>48</v>
      </c>
      <c r="G15" s="73" t="s">
        <v>19</v>
      </c>
      <c r="H15" s="72"/>
      <c r="I15" s="74" t="s">
        <v>19</v>
      </c>
      <c r="J15" s="72"/>
      <c r="K15" s="54">
        <v>124.0</v>
      </c>
      <c r="L15" s="58" t="s">
        <v>19</v>
      </c>
      <c r="M15" s="72" t="s">
        <v>47</v>
      </c>
      <c r="N15" s="73" t="s">
        <v>24</v>
      </c>
      <c r="O15" s="77" t="s">
        <v>54</v>
      </c>
      <c r="P15" s="75" t="s">
        <v>42</v>
      </c>
      <c r="Q15" s="72"/>
      <c r="R15" s="76" t="s">
        <v>18</v>
      </c>
      <c r="S15" s="72"/>
      <c r="T15" s="57" t="s">
        <v>32</v>
      </c>
      <c r="U15" s="84"/>
      <c r="V15" s="57" t="s">
        <v>18</v>
      </c>
      <c r="W15" s="72"/>
      <c r="X15" s="57" t="s">
        <v>18</v>
      </c>
      <c r="Y15" s="78"/>
      <c r="Z15" s="54">
        <v>124.0</v>
      </c>
      <c r="AA15" s="57" t="s">
        <v>42</v>
      </c>
      <c r="AB15" s="72"/>
      <c r="AC15" s="57" t="s">
        <v>18</v>
      </c>
      <c r="AD15" s="72"/>
      <c r="AE15" s="79" t="s">
        <v>22</v>
      </c>
      <c r="AF15" s="72"/>
      <c r="AG15" s="76" t="s">
        <v>19</v>
      </c>
      <c r="AH15" s="72"/>
      <c r="AI15" s="57" t="s">
        <v>19</v>
      </c>
      <c r="AJ15" s="72"/>
      <c r="AK15" s="57" t="s">
        <v>32</v>
      </c>
      <c r="AL15" s="72"/>
      <c r="AM15" s="57" t="s">
        <v>32</v>
      </c>
      <c r="AN15" s="78"/>
      <c r="AO15" s="59">
        <v>100030.0</v>
      </c>
      <c r="AP15" s="57" t="s">
        <v>18</v>
      </c>
      <c r="AQ15" s="72"/>
      <c r="AR15" s="57" t="s">
        <v>19</v>
      </c>
      <c r="AS15" s="72" t="s">
        <v>47</v>
      </c>
      <c r="AT15" s="76" t="s">
        <v>42</v>
      </c>
      <c r="AU15" s="72"/>
      <c r="AV15" s="76" t="s">
        <v>19</v>
      </c>
      <c r="AW15" s="72"/>
      <c r="AX15" s="57" t="s">
        <v>33</v>
      </c>
      <c r="AY15" s="72"/>
      <c r="AZ15" s="57" t="s">
        <v>19</v>
      </c>
      <c r="BA15" s="72" t="s">
        <v>48</v>
      </c>
      <c r="BB15" s="57" t="s">
        <v>18</v>
      </c>
      <c r="BC15" s="72" t="s">
        <v>47</v>
      </c>
      <c r="BD15" s="59">
        <v>100030.0</v>
      </c>
      <c r="BE15" s="57" t="s">
        <v>18</v>
      </c>
      <c r="BF15" s="72"/>
      <c r="BG15" s="57" t="s">
        <v>42</v>
      </c>
      <c r="BH15" s="72"/>
      <c r="BI15" s="79" t="s">
        <v>24</v>
      </c>
      <c r="BJ15" s="72"/>
      <c r="BK15" s="57" t="s">
        <v>30</v>
      </c>
      <c r="BL15" s="72"/>
      <c r="BM15" s="57" t="s">
        <v>19</v>
      </c>
      <c r="BN15" s="72" t="s">
        <v>46</v>
      </c>
      <c r="BO15" s="57" t="s">
        <v>18</v>
      </c>
      <c r="BP15" s="72" t="s">
        <v>49</v>
      </c>
      <c r="BQ15" s="57" t="s">
        <v>33</v>
      </c>
      <c r="BR15" s="81"/>
      <c r="BS15" s="82">
        <f t="shared" si="10"/>
        <v>27</v>
      </c>
      <c r="BT15" s="64">
        <f t="shared" si="11"/>
        <v>216</v>
      </c>
      <c r="BU15" s="83">
        <f t="shared" si="4"/>
        <v>20</v>
      </c>
      <c r="BV15" s="66">
        <f t="shared" si="5"/>
        <v>4</v>
      </c>
      <c r="BW15" s="66">
        <f t="shared" si="6"/>
        <v>0</v>
      </c>
      <c r="BX15" s="4"/>
      <c r="BY15" s="67">
        <f t="shared" ref="BY15:CW15" si="24">COUNTIF($E15:$BR15,BY$6)</f>
        <v>8</v>
      </c>
      <c r="BZ15" s="67">
        <f t="shared" si="24"/>
        <v>10</v>
      </c>
      <c r="CA15" s="67">
        <f t="shared" si="24"/>
        <v>0</v>
      </c>
      <c r="CB15" s="67">
        <f t="shared" si="24"/>
        <v>0</v>
      </c>
      <c r="CC15" s="67">
        <f t="shared" si="24"/>
        <v>1</v>
      </c>
      <c r="CD15" s="67">
        <f t="shared" si="24"/>
        <v>0</v>
      </c>
      <c r="CE15" s="67">
        <f t="shared" si="24"/>
        <v>2</v>
      </c>
      <c r="CF15" s="67">
        <f t="shared" si="24"/>
        <v>0</v>
      </c>
      <c r="CG15" s="67">
        <f t="shared" si="24"/>
        <v>0</v>
      </c>
      <c r="CH15" s="67">
        <f t="shared" si="24"/>
        <v>0</v>
      </c>
      <c r="CI15" s="67">
        <f t="shared" si="24"/>
        <v>0</v>
      </c>
      <c r="CJ15" s="67">
        <f t="shared" si="24"/>
        <v>0</v>
      </c>
      <c r="CK15" s="67">
        <f t="shared" si="24"/>
        <v>1</v>
      </c>
      <c r="CL15" s="67">
        <f t="shared" si="24"/>
        <v>0</v>
      </c>
      <c r="CM15" s="67">
        <f t="shared" si="24"/>
        <v>3</v>
      </c>
      <c r="CN15" s="67">
        <f t="shared" si="24"/>
        <v>2</v>
      </c>
      <c r="CO15" s="67">
        <f t="shared" si="24"/>
        <v>0</v>
      </c>
      <c r="CP15" s="67">
        <f t="shared" si="24"/>
        <v>0</v>
      </c>
      <c r="CQ15" s="67">
        <f t="shared" si="24"/>
        <v>0</v>
      </c>
      <c r="CR15" s="67">
        <f t="shared" si="24"/>
        <v>0</v>
      </c>
      <c r="CS15" s="67">
        <f t="shared" si="24"/>
        <v>0</v>
      </c>
      <c r="CT15" s="67">
        <f t="shared" si="24"/>
        <v>0</v>
      </c>
      <c r="CU15" s="67">
        <f t="shared" si="24"/>
        <v>0</v>
      </c>
      <c r="CV15" s="67">
        <f t="shared" si="24"/>
        <v>0</v>
      </c>
      <c r="CW15" s="67">
        <f t="shared" si="24"/>
        <v>4</v>
      </c>
      <c r="CX15" s="68"/>
      <c r="CY15" s="67">
        <f t="shared" ref="CY15:DE15" si="25">COUNTIF($E15:$BR15,CY$6)</f>
        <v>0</v>
      </c>
      <c r="CZ15" s="67">
        <f t="shared" si="25"/>
        <v>0</v>
      </c>
      <c r="DA15" s="67">
        <f t="shared" si="25"/>
        <v>0</v>
      </c>
      <c r="DB15" s="67">
        <f t="shared" si="25"/>
        <v>1</v>
      </c>
      <c r="DC15" s="67">
        <f t="shared" si="25"/>
        <v>3</v>
      </c>
      <c r="DD15" s="67">
        <f t="shared" si="25"/>
        <v>2</v>
      </c>
      <c r="DE15" s="67">
        <f t="shared" si="25"/>
        <v>1</v>
      </c>
    </row>
    <row r="16">
      <c r="A16" s="69">
        <f t="shared" si="9"/>
        <v>9</v>
      </c>
      <c r="B16" s="88" t="s">
        <v>62</v>
      </c>
      <c r="C16" s="89">
        <v>3.72266919E8</v>
      </c>
      <c r="D16" s="54">
        <v>104.0</v>
      </c>
      <c r="E16" s="57" t="s">
        <v>19</v>
      </c>
      <c r="F16" s="72"/>
      <c r="G16" s="73" t="s">
        <v>32</v>
      </c>
      <c r="H16" s="72"/>
      <c r="I16" s="74" t="s">
        <v>19</v>
      </c>
      <c r="J16" s="72" t="s">
        <v>46</v>
      </c>
      <c r="K16" s="54">
        <v>104.0</v>
      </c>
      <c r="L16" s="73" t="s">
        <v>24</v>
      </c>
      <c r="M16" s="77"/>
      <c r="N16" s="55" t="s">
        <v>24</v>
      </c>
      <c r="O16" s="72"/>
      <c r="P16" s="75" t="s">
        <v>42</v>
      </c>
      <c r="Q16" s="72"/>
      <c r="R16" s="75" t="s">
        <v>26</v>
      </c>
      <c r="S16" s="72"/>
      <c r="T16" s="57" t="s">
        <v>42</v>
      </c>
      <c r="U16" s="84"/>
      <c r="V16" s="57" t="s">
        <v>32</v>
      </c>
      <c r="W16" s="72"/>
      <c r="X16" s="57" t="s">
        <v>19</v>
      </c>
      <c r="Y16" s="72"/>
      <c r="Z16" s="54">
        <v>104.0</v>
      </c>
      <c r="AA16" s="60" t="s">
        <v>28</v>
      </c>
      <c r="AB16" s="77" t="s">
        <v>54</v>
      </c>
      <c r="AC16" s="60" t="s">
        <v>24</v>
      </c>
      <c r="AD16" s="72"/>
      <c r="AE16" s="79" t="s">
        <v>28</v>
      </c>
      <c r="AF16" s="72"/>
      <c r="AG16" s="76" t="s">
        <v>42</v>
      </c>
      <c r="AH16" s="72"/>
      <c r="AI16" s="57" t="s">
        <v>18</v>
      </c>
      <c r="AJ16" s="72"/>
      <c r="AK16" s="57" t="s">
        <v>19</v>
      </c>
      <c r="AL16" s="72" t="s">
        <v>46</v>
      </c>
      <c r="AM16" s="57" t="s">
        <v>33</v>
      </c>
      <c r="AN16" s="78"/>
      <c r="AO16" s="59">
        <v>100031.0</v>
      </c>
      <c r="AP16" s="57" t="s">
        <v>19</v>
      </c>
      <c r="AQ16" s="72" t="s">
        <v>43</v>
      </c>
      <c r="AR16" s="57" t="s">
        <v>19</v>
      </c>
      <c r="AS16" s="72" t="s">
        <v>43</v>
      </c>
      <c r="AT16" s="76" t="s">
        <v>24</v>
      </c>
      <c r="AU16" s="85" t="s">
        <v>54</v>
      </c>
      <c r="AV16" s="76" t="s">
        <v>42</v>
      </c>
      <c r="AW16" s="72"/>
      <c r="AX16" s="57" t="s">
        <v>19</v>
      </c>
      <c r="AY16" s="72"/>
      <c r="AZ16" s="57" t="s">
        <v>32</v>
      </c>
      <c r="BA16" s="72"/>
      <c r="BB16" s="57" t="s">
        <v>18</v>
      </c>
      <c r="BC16" s="78"/>
      <c r="BD16" s="59">
        <v>100031.0</v>
      </c>
      <c r="BE16" s="57" t="s">
        <v>24</v>
      </c>
      <c r="BF16" s="72"/>
      <c r="BG16" s="57" t="s">
        <v>24</v>
      </c>
      <c r="BH16" s="72"/>
      <c r="BI16" s="76" t="s">
        <v>24</v>
      </c>
      <c r="BJ16" s="72"/>
      <c r="BK16" s="79" t="s">
        <v>22</v>
      </c>
      <c r="BL16" s="72"/>
      <c r="BM16" s="57" t="s">
        <v>33</v>
      </c>
      <c r="BN16" s="72"/>
      <c r="BO16" s="57" t="s">
        <v>19</v>
      </c>
      <c r="BP16" s="72" t="s">
        <v>48</v>
      </c>
      <c r="BQ16" s="57" t="s">
        <v>19</v>
      </c>
      <c r="BR16" s="81" t="s">
        <v>46</v>
      </c>
      <c r="BS16" s="82">
        <f t="shared" si="10"/>
        <v>27.375</v>
      </c>
      <c r="BT16" s="64">
        <f t="shared" si="11"/>
        <v>219</v>
      </c>
      <c r="BU16" s="83">
        <f t="shared" si="4"/>
        <v>20</v>
      </c>
      <c r="BV16" s="66">
        <f t="shared" si="5"/>
        <v>5</v>
      </c>
      <c r="BW16" s="66">
        <f t="shared" si="6"/>
        <v>0</v>
      </c>
      <c r="BX16" s="4"/>
      <c r="BY16" s="67">
        <f t="shared" ref="BY16:CW16" si="26">COUNTIF($E16:$BR16,BY$6)</f>
        <v>2</v>
      </c>
      <c r="BZ16" s="67">
        <f t="shared" si="26"/>
        <v>9</v>
      </c>
      <c r="CA16" s="67">
        <f t="shared" si="26"/>
        <v>0</v>
      </c>
      <c r="CB16" s="67">
        <f t="shared" si="26"/>
        <v>0</v>
      </c>
      <c r="CC16" s="67">
        <f t="shared" si="26"/>
        <v>1</v>
      </c>
      <c r="CD16" s="67">
        <f t="shared" si="26"/>
        <v>0</v>
      </c>
      <c r="CE16" s="67">
        <f t="shared" si="26"/>
        <v>7</v>
      </c>
      <c r="CF16" s="67">
        <f t="shared" si="26"/>
        <v>0</v>
      </c>
      <c r="CG16" s="67">
        <f t="shared" si="26"/>
        <v>1</v>
      </c>
      <c r="CH16" s="67">
        <f t="shared" si="26"/>
        <v>0</v>
      </c>
      <c r="CI16" s="67">
        <f t="shared" si="26"/>
        <v>2</v>
      </c>
      <c r="CJ16" s="67">
        <f t="shared" si="26"/>
        <v>0</v>
      </c>
      <c r="CK16" s="67">
        <f t="shared" si="26"/>
        <v>0</v>
      </c>
      <c r="CL16" s="67">
        <f t="shared" si="26"/>
        <v>0</v>
      </c>
      <c r="CM16" s="67">
        <f t="shared" si="26"/>
        <v>3</v>
      </c>
      <c r="CN16" s="67">
        <f t="shared" si="26"/>
        <v>2</v>
      </c>
      <c r="CO16" s="67">
        <f t="shared" si="26"/>
        <v>0</v>
      </c>
      <c r="CP16" s="67">
        <f t="shared" si="26"/>
        <v>0</v>
      </c>
      <c r="CQ16" s="67">
        <f t="shared" si="26"/>
        <v>0</v>
      </c>
      <c r="CR16" s="67">
        <f t="shared" si="26"/>
        <v>0</v>
      </c>
      <c r="CS16" s="67">
        <f t="shared" si="26"/>
        <v>0</v>
      </c>
      <c r="CT16" s="67">
        <f t="shared" si="26"/>
        <v>0</v>
      </c>
      <c r="CU16" s="67">
        <f t="shared" si="26"/>
        <v>0</v>
      </c>
      <c r="CV16" s="67">
        <f t="shared" si="26"/>
        <v>0</v>
      </c>
      <c r="CW16" s="67">
        <f t="shared" si="26"/>
        <v>4</v>
      </c>
      <c r="CX16" s="68"/>
      <c r="CY16" s="67">
        <f t="shared" ref="CY16:DE16" si="27">COUNTIF($E16:$BR16,CY$6)</f>
        <v>2</v>
      </c>
      <c r="CZ16" s="67">
        <f t="shared" si="27"/>
        <v>0</v>
      </c>
      <c r="DA16" s="67">
        <f t="shared" si="27"/>
        <v>0</v>
      </c>
      <c r="DB16" s="67">
        <f t="shared" si="27"/>
        <v>3</v>
      </c>
      <c r="DC16" s="67">
        <f t="shared" si="27"/>
        <v>0</v>
      </c>
      <c r="DD16" s="67">
        <f t="shared" si="27"/>
        <v>1</v>
      </c>
      <c r="DE16" s="67">
        <f t="shared" si="27"/>
        <v>0</v>
      </c>
    </row>
    <row r="17">
      <c r="A17" s="90">
        <v>10.0</v>
      </c>
      <c r="B17" s="91" t="s">
        <v>63</v>
      </c>
      <c r="C17" s="92">
        <v>3.79523052E8</v>
      </c>
      <c r="D17" s="54">
        <v>121.0</v>
      </c>
      <c r="E17" s="57" t="s">
        <v>32</v>
      </c>
      <c r="F17" s="72"/>
      <c r="G17" s="73" t="s">
        <v>19</v>
      </c>
      <c r="H17" s="77" t="s">
        <v>54</v>
      </c>
      <c r="I17" s="74" t="s">
        <v>32</v>
      </c>
      <c r="J17" s="72"/>
      <c r="K17" s="54">
        <v>121.0</v>
      </c>
      <c r="L17" s="58" t="s">
        <v>19</v>
      </c>
      <c r="M17" s="77" t="s">
        <v>54</v>
      </c>
      <c r="N17" s="73" t="s">
        <v>42</v>
      </c>
      <c r="O17" s="72"/>
      <c r="P17" s="75" t="s">
        <v>19</v>
      </c>
      <c r="Q17" s="72" t="s">
        <v>46</v>
      </c>
      <c r="R17" s="76" t="s">
        <v>19</v>
      </c>
      <c r="S17" s="72" t="s">
        <v>46</v>
      </c>
      <c r="T17" s="57" t="s">
        <v>19</v>
      </c>
      <c r="U17" s="72" t="s">
        <v>46</v>
      </c>
      <c r="V17" s="57" t="s">
        <v>42</v>
      </c>
      <c r="W17" s="72"/>
      <c r="X17" s="57" t="s">
        <v>42</v>
      </c>
      <c r="Y17" s="72"/>
      <c r="Z17" s="54">
        <v>121.0</v>
      </c>
      <c r="AA17" s="57" t="s">
        <v>42</v>
      </c>
      <c r="AB17" s="72"/>
      <c r="AC17" s="57" t="s">
        <v>40</v>
      </c>
      <c r="AD17" s="72"/>
      <c r="AE17" s="75" t="s">
        <v>19</v>
      </c>
      <c r="AF17" s="72"/>
      <c r="AG17" s="76" t="s">
        <v>18</v>
      </c>
      <c r="AH17" s="72"/>
      <c r="AI17" s="57" t="s">
        <v>33</v>
      </c>
      <c r="AJ17" s="72"/>
      <c r="AK17" s="57" t="s">
        <v>18</v>
      </c>
      <c r="AL17" s="72"/>
      <c r="AM17" s="57" t="s">
        <v>19</v>
      </c>
      <c r="AN17" s="77" t="s">
        <v>54</v>
      </c>
      <c r="AO17" s="59">
        <v>100032.0</v>
      </c>
      <c r="AP17" s="57" t="s">
        <v>19</v>
      </c>
      <c r="AQ17" s="72"/>
      <c r="AR17" s="57" t="s">
        <v>18</v>
      </c>
      <c r="AS17" s="72"/>
      <c r="AT17" s="76" t="s">
        <v>18</v>
      </c>
      <c r="AU17" s="72"/>
      <c r="AV17" s="76" t="s">
        <v>19</v>
      </c>
      <c r="AW17" s="72"/>
      <c r="AX17" s="57" t="s">
        <v>19</v>
      </c>
      <c r="AY17" s="85" t="s">
        <v>54</v>
      </c>
      <c r="AZ17" s="57" t="s">
        <v>19</v>
      </c>
      <c r="BA17" s="72"/>
      <c r="BB17" s="57" t="s">
        <v>33</v>
      </c>
      <c r="BC17" s="78"/>
      <c r="BD17" s="59">
        <v>100032.0</v>
      </c>
      <c r="BE17" s="57" t="s">
        <v>19</v>
      </c>
      <c r="BF17" s="72" t="s">
        <v>45</v>
      </c>
      <c r="BG17" s="57" t="s">
        <v>18</v>
      </c>
      <c r="BH17" s="72"/>
      <c r="BI17" s="76" t="s">
        <v>19</v>
      </c>
      <c r="BJ17" s="72" t="s">
        <v>43</v>
      </c>
      <c r="BK17" s="76" t="s">
        <v>19</v>
      </c>
      <c r="BL17" s="72" t="s">
        <v>43</v>
      </c>
      <c r="BM17" s="57" t="s">
        <v>33</v>
      </c>
      <c r="BN17" s="72"/>
      <c r="BO17" s="57" t="s">
        <v>18</v>
      </c>
      <c r="BP17" s="72"/>
      <c r="BQ17" s="57" t="s">
        <v>42</v>
      </c>
      <c r="BR17" s="81"/>
      <c r="BS17" s="82">
        <f t="shared" si="10"/>
        <v>26.75</v>
      </c>
      <c r="BT17" s="64">
        <f t="shared" si="11"/>
        <v>214</v>
      </c>
      <c r="BU17" s="83">
        <f t="shared" si="4"/>
        <v>20</v>
      </c>
      <c r="BV17" s="66">
        <f t="shared" si="5"/>
        <v>6</v>
      </c>
      <c r="BW17" s="66">
        <f t="shared" si="6"/>
        <v>0</v>
      </c>
      <c r="BX17" s="4"/>
      <c r="BY17" s="67">
        <f t="shared" ref="BY17:CW17" si="28">COUNTIF($E17:$BR17,BY$6)</f>
        <v>6</v>
      </c>
      <c r="BZ17" s="67">
        <f t="shared" si="28"/>
        <v>14</v>
      </c>
      <c r="CA17" s="67">
        <f t="shared" si="28"/>
        <v>0</v>
      </c>
      <c r="CB17" s="67">
        <f t="shared" si="28"/>
        <v>0</v>
      </c>
      <c r="CC17" s="67">
        <f t="shared" si="28"/>
        <v>0</v>
      </c>
      <c r="CD17" s="67">
        <f t="shared" si="28"/>
        <v>0</v>
      </c>
      <c r="CE17" s="67">
        <f t="shared" si="28"/>
        <v>0</v>
      </c>
      <c r="CF17" s="67">
        <f t="shared" si="28"/>
        <v>0</v>
      </c>
      <c r="CG17" s="67">
        <f t="shared" si="28"/>
        <v>0</v>
      </c>
      <c r="CH17" s="67">
        <f t="shared" si="28"/>
        <v>0</v>
      </c>
      <c r="CI17" s="67">
        <f t="shared" si="28"/>
        <v>0</v>
      </c>
      <c r="CJ17" s="67">
        <f t="shared" si="28"/>
        <v>0</v>
      </c>
      <c r="CK17" s="67">
        <f t="shared" si="28"/>
        <v>0</v>
      </c>
      <c r="CL17" s="67">
        <f t="shared" si="28"/>
        <v>0</v>
      </c>
      <c r="CM17" s="67">
        <f t="shared" si="28"/>
        <v>2</v>
      </c>
      <c r="CN17" s="67">
        <f t="shared" si="28"/>
        <v>3</v>
      </c>
      <c r="CO17" s="67">
        <f t="shared" si="28"/>
        <v>0</v>
      </c>
      <c r="CP17" s="67">
        <f t="shared" si="28"/>
        <v>0</v>
      </c>
      <c r="CQ17" s="67">
        <f t="shared" si="28"/>
        <v>0</v>
      </c>
      <c r="CR17" s="67">
        <f t="shared" si="28"/>
        <v>0</v>
      </c>
      <c r="CS17" s="67">
        <f t="shared" si="28"/>
        <v>0</v>
      </c>
      <c r="CT17" s="67">
        <f t="shared" si="28"/>
        <v>0</v>
      </c>
      <c r="CU17" s="67">
        <f t="shared" si="28"/>
        <v>1</v>
      </c>
      <c r="CV17" s="67">
        <f t="shared" si="28"/>
        <v>0</v>
      </c>
      <c r="CW17" s="67">
        <f t="shared" si="28"/>
        <v>5</v>
      </c>
      <c r="CX17" s="68"/>
      <c r="CY17" s="67">
        <f t="shared" ref="CY17:DE17" si="29">COUNTIF($E17:$BR17,CY$6)</f>
        <v>2</v>
      </c>
      <c r="CZ17" s="67">
        <f t="shared" si="29"/>
        <v>0</v>
      </c>
      <c r="DA17" s="67">
        <f t="shared" si="29"/>
        <v>1</v>
      </c>
      <c r="DB17" s="67">
        <f t="shared" si="29"/>
        <v>3</v>
      </c>
      <c r="DC17" s="67">
        <f t="shared" si="29"/>
        <v>0</v>
      </c>
      <c r="DD17" s="67">
        <f t="shared" si="29"/>
        <v>0</v>
      </c>
      <c r="DE17" s="67">
        <f t="shared" si="29"/>
        <v>0</v>
      </c>
    </row>
    <row r="18">
      <c r="A18" s="93">
        <v>11.0</v>
      </c>
      <c r="B18" s="94" t="s">
        <v>64</v>
      </c>
      <c r="C18" s="95">
        <v>3.29665279E8</v>
      </c>
      <c r="D18" s="54">
        <v>101.0</v>
      </c>
      <c r="E18" s="57" t="s">
        <v>32</v>
      </c>
      <c r="F18" s="72"/>
      <c r="G18" s="73" t="s">
        <v>32</v>
      </c>
      <c r="H18" s="72"/>
      <c r="I18" s="74" t="s">
        <v>18</v>
      </c>
      <c r="J18" s="72"/>
      <c r="K18" s="54">
        <v>101.0</v>
      </c>
      <c r="L18" s="58" t="s">
        <v>18</v>
      </c>
      <c r="M18" s="72"/>
      <c r="N18" s="73" t="s">
        <v>19</v>
      </c>
      <c r="O18" s="72"/>
      <c r="P18" s="75" t="s">
        <v>18</v>
      </c>
      <c r="Q18" s="72"/>
      <c r="R18" s="76" t="s">
        <v>30</v>
      </c>
      <c r="S18" s="77"/>
      <c r="T18" s="57" t="s">
        <v>33</v>
      </c>
      <c r="U18" s="84"/>
      <c r="V18" s="57" t="s">
        <v>42</v>
      </c>
      <c r="W18" s="72"/>
      <c r="X18" s="57" t="s">
        <v>18</v>
      </c>
      <c r="Y18" s="77" t="s">
        <v>54</v>
      </c>
      <c r="Z18" s="54">
        <v>101.0</v>
      </c>
      <c r="AA18" s="57" t="s">
        <v>18</v>
      </c>
      <c r="AB18" s="72"/>
      <c r="AC18" s="57" t="s">
        <v>18</v>
      </c>
      <c r="AD18" s="72" t="s">
        <v>46</v>
      </c>
      <c r="AE18" s="76" t="s">
        <v>42</v>
      </c>
      <c r="AF18" s="72"/>
      <c r="AG18" s="76" t="s">
        <v>19</v>
      </c>
      <c r="AH18" s="72" t="s">
        <v>46</v>
      </c>
      <c r="AI18" s="57" t="s">
        <v>19</v>
      </c>
      <c r="AJ18" s="72" t="s">
        <v>46</v>
      </c>
      <c r="AK18" s="57" t="s">
        <v>32</v>
      </c>
      <c r="AL18" s="72"/>
      <c r="AM18" s="57" t="s">
        <v>18</v>
      </c>
      <c r="AN18" s="72"/>
      <c r="AO18" s="59">
        <v>100033.0</v>
      </c>
      <c r="AP18" s="57" t="s">
        <v>19</v>
      </c>
      <c r="AQ18" s="72"/>
      <c r="AR18" s="57" t="s">
        <v>30</v>
      </c>
      <c r="AS18" s="72"/>
      <c r="AT18" s="76" t="s">
        <v>42</v>
      </c>
      <c r="AU18" s="72"/>
      <c r="AV18" s="76" t="s">
        <v>18</v>
      </c>
      <c r="AW18" s="72"/>
      <c r="AX18" s="57" t="s">
        <v>18</v>
      </c>
      <c r="AY18" s="72"/>
      <c r="AZ18" s="57" t="s">
        <v>32</v>
      </c>
      <c r="BA18" s="72"/>
      <c r="BB18" s="57" t="s">
        <v>18</v>
      </c>
      <c r="BC18" s="78"/>
      <c r="BD18" s="59">
        <v>100033.0</v>
      </c>
      <c r="BE18" s="57" t="s">
        <v>18</v>
      </c>
      <c r="BF18" s="72"/>
      <c r="BG18" s="57" t="s">
        <v>19</v>
      </c>
      <c r="BH18" s="72" t="s">
        <v>43</v>
      </c>
      <c r="BI18" s="76" t="s">
        <v>42</v>
      </c>
      <c r="BJ18" s="72"/>
      <c r="BK18" s="57" t="s">
        <v>30</v>
      </c>
      <c r="BL18" s="72"/>
      <c r="BM18" s="57" t="s">
        <v>33</v>
      </c>
      <c r="BN18" s="72"/>
      <c r="BO18" s="57" t="s">
        <v>18</v>
      </c>
      <c r="BP18" s="72" t="s">
        <v>44</v>
      </c>
      <c r="BQ18" s="57" t="s">
        <v>19</v>
      </c>
      <c r="BR18" s="81" t="s">
        <v>43</v>
      </c>
      <c r="BS18" s="82">
        <f t="shared" si="10"/>
        <v>27</v>
      </c>
      <c r="BT18" s="64">
        <f t="shared" si="11"/>
        <v>216</v>
      </c>
      <c r="BU18" s="83">
        <f t="shared" si="4"/>
        <v>24</v>
      </c>
      <c r="BV18" s="66">
        <f t="shared" si="5"/>
        <v>6</v>
      </c>
      <c r="BW18" s="66">
        <f t="shared" si="6"/>
        <v>0</v>
      </c>
      <c r="BX18" s="4"/>
      <c r="BY18" s="67">
        <f t="shared" ref="BY18:CW18" si="30">COUNTIF($E18:$BR18,BY$6)</f>
        <v>12</v>
      </c>
      <c r="BZ18" s="67">
        <f t="shared" si="30"/>
        <v>6</v>
      </c>
      <c r="CA18" s="67">
        <f t="shared" si="30"/>
        <v>0</v>
      </c>
      <c r="CB18" s="67">
        <f t="shared" si="30"/>
        <v>0</v>
      </c>
      <c r="CC18" s="67">
        <f t="shared" si="30"/>
        <v>0</v>
      </c>
      <c r="CD18" s="67">
        <f t="shared" si="30"/>
        <v>0</v>
      </c>
      <c r="CE18" s="67">
        <f t="shared" si="30"/>
        <v>0</v>
      </c>
      <c r="CF18" s="67">
        <f t="shared" si="30"/>
        <v>0</v>
      </c>
      <c r="CG18" s="67">
        <f t="shared" si="30"/>
        <v>0</v>
      </c>
      <c r="CH18" s="67">
        <f t="shared" si="30"/>
        <v>0</v>
      </c>
      <c r="CI18" s="67">
        <f t="shared" si="30"/>
        <v>0</v>
      </c>
      <c r="CJ18" s="67">
        <f t="shared" si="30"/>
        <v>0</v>
      </c>
      <c r="CK18" s="67">
        <f t="shared" si="30"/>
        <v>3</v>
      </c>
      <c r="CL18" s="67">
        <f t="shared" si="30"/>
        <v>0</v>
      </c>
      <c r="CM18" s="67">
        <f t="shared" si="30"/>
        <v>4</v>
      </c>
      <c r="CN18" s="67">
        <f t="shared" si="30"/>
        <v>2</v>
      </c>
      <c r="CO18" s="67">
        <f t="shared" si="30"/>
        <v>0</v>
      </c>
      <c r="CP18" s="67">
        <f t="shared" si="30"/>
        <v>0</v>
      </c>
      <c r="CQ18" s="67">
        <f t="shared" si="30"/>
        <v>0</v>
      </c>
      <c r="CR18" s="67">
        <f t="shared" si="30"/>
        <v>0</v>
      </c>
      <c r="CS18" s="67">
        <f t="shared" si="30"/>
        <v>0</v>
      </c>
      <c r="CT18" s="67">
        <f t="shared" si="30"/>
        <v>0</v>
      </c>
      <c r="CU18" s="67">
        <f t="shared" si="30"/>
        <v>0</v>
      </c>
      <c r="CV18" s="67">
        <f t="shared" si="30"/>
        <v>0</v>
      </c>
      <c r="CW18" s="67">
        <f t="shared" si="30"/>
        <v>4</v>
      </c>
      <c r="CX18" s="68"/>
      <c r="CY18" s="67">
        <f t="shared" ref="CY18:DE18" si="31">COUNTIF($E18:$BR18,CY$6)</f>
        <v>2</v>
      </c>
      <c r="CZ18" s="67">
        <f t="shared" si="31"/>
        <v>1</v>
      </c>
      <c r="DA18" s="67">
        <f t="shared" si="31"/>
        <v>0</v>
      </c>
      <c r="DB18" s="67">
        <f t="shared" si="31"/>
        <v>3</v>
      </c>
      <c r="DC18" s="67">
        <f t="shared" si="31"/>
        <v>0</v>
      </c>
      <c r="DD18" s="67">
        <f t="shared" si="31"/>
        <v>0</v>
      </c>
      <c r="DE18" s="67">
        <f t="shared" si="31"/>
        <v>0</v>
      </c>
    </row>
    <row r="19">
      <c r="A19" s="96">
        <v>12.0</v>
      </c>
      <c r="B19" s="91" t="s">
        <v>65</v>
      </c>
      <c r="C19" s="97">
        <v>3.96801815E8</v>
      </c>
      <c r="D19" s="54">
        <v>107.0</v>
      </c>
      <c r="E19" s="57" t="s">
        <v>19</v>
      </c>
      <c r="F19" s="72" t="s">
        <v>49</v>
      </c>
      <c r="G19" s="73" t="s">
        <v>32</v>
      </c>
      <c r="H19" s="72"/>
      <c r="I19" s="74" t="s">
        <v>19</v>
      </c>
      <c r="J19" s="77" t="s">
        <v>54</v>
      </c>
      <c r="K19" s="54">
        <v>107.0</v>
      </c>
      <c r="L19" s="55" t="s">
        <v>42</v>
      </c>
      <c r="M19" s="72"/>
      <c r="N19" s="73" t="s">
        <v>19</v>
      </c>
      <c r="O19" s="72" t="s">
        <v>47</v>
      </c>
      <c r="P19" s="75" t="s">
        <v>19</v>
      </c>
      <c r="Q19" s="72" t="s">
        <v>47</v>
      </c>
      <c r="R19" s="76" t="s">
        <v>19</v>
      </c>
      <c r="S19" s="72" t="s">
        <v>47</v>
      </c>
      <c r="T19" s="57" t="s">
        <v>19</v>
      </c>
      <c r="U19" s="72" t="s">
        <v>47</v>
      </c>
      <c r="V19" s="57" t="s">
        <v>32</v>
      </c>
      <c r="W19" s="72"/>
      <c r="X19" s="60" t="s">
        <v>30</v>
      </c>
      <c r="Y19" s="77"/>
      <c r="Z19" s="54">
        <v>107.0</v>
      </c>
      <c r="AA19" s="60" t="s">
        <v>24</v>
      </c>
      <c r="AB19" s="72"/>
      <c r="AC19" s="57" t="s">
        <v>18</v>
      </c>
      <c r="AD19" s="72"/>
      <c r="AE19" s="76" t="s">
        <v>19</v>
      </c>
      <c r="AF19" s="77" t="s">
        <v>54</v>
      </c>
      <c r="AG19" s="76" t="s">
        <v>30</v>
      </c>
      <c r="AH19" s="72"/>
      <c r="AI19" s="57" t="s">
        <v>33</v>
      </c>
      <c r="AJ19" s="72"/>
      <c r="AK19" s="57" t="s">
        <v>33</v>
      </c>
      <c r="AL19" s="72"/>
      <c r="AM19" s="57" t="s">
        <v>19</v>
      </c>
      <c r="AN19" s="72"/>
      <c r="AO19" s="59">
        <v>100034.0</v>
      </c>
      <c r="AP19" s="57" t="s">
        <v>42</v>
      </c>
      <c r="AQ19" s="72"/>
      <c r="AR19" s="57" t="s">
        <v>42</v>
      </c>
      <c r="AS19" s="72"/>
      <c r="AT19" s="57" t="s">
        <v>42</v>
      </c>
      <c r="AU19" s="72"/>
      <c r="AV19" s="57" t="s">
        <v>42</v>
      </c>
      <c r="AW19" s="72"/>
      <c r="AX19" s="57" t="s">
        <v>42</v>
      </c>
      <c r="AY19" s="72"/>
      <c r="AZ19" s="57" t="s">
        <v>42</v>
      </c>
      <c r="BA19" s="72"/>
      <c r="BB19" s="80" t="s">
        <v>33</v>
      </c>
      <c r="BC19" s="78"/>
      <c r="BD19" s="59">
        <v>100034.0</v>
      </c>
      <c r="BE19" s="57" t="s">
        <v>42</v>
      </c>
      <c r="BF19" s="72"/>
      <c r="BG19" s="57" t="s">
        <v>42</v>
      </c>
      <c r="BH19" s="72"/>
      <c r="BI19" s="57" t="s">
        <v>42</v>
      </c>
      <c r="BJ19" s="72"/>
      <c r="BK19" s="57" t="s">
        <v>42</v>
      </c>
      <c r="BL19" s="72"/>
      <c r="BM19" s="57" t="s">
        <v>42</v>
      </c>
      <c r="BN19" s="72"/>
      <c r="BO19" s="57" t="s">
        <v>42</v>
      </c>
      <c r="BP19" s="72"/>
      <c r="BQ19" s="80" t="s">
        <v>33</v>
      </c>
      <c r="BR19" s="81"/>
      <c r="BS19" s="82">
        <f t="shared" si="10"/>
        <v>18</v>
      </c>
      <c r="BT19" s="64">
        <f t="shared" si="11"/>
        <v>144</v>
      </c>
      <c r="BU19" s="83">
        <f t="shared" si="4"/>
        <v>24</v>
      </c>
      <c r="BV19" s="66">
        <f t="shared" si="5"/>
        <v>4</v>
      </c>
      <c r="BW19" s="66">
        <f t="shared" si="6"/>
        <v>0</v>
      </c>
      <c r="BX19" s="4"/>
      <c r="BY19" s="67">
        <f t="shared" ref="BY19:CW19" si="32">COUNTIF($E19:$BR19,BY$6)</f>
        <v>1</v>
      </c>
      <c r="BZ19" s="67">
        <f t="shared" si="32"/>
        <v>8</v>
      </c>
      <c r="CA19" s="67">
        <f t="shared" si="32"/>
        <v>0</v>
      </c>
      <c r="CB19" s="67">
        <f t="shared" si="32"/>
        <v>0</v>
      </c>
      <c r="CC19" s="67">
        <f t="shared" si="32"/>
        <v>0</v>
      </c>
      <c r="CD19" s="67">
        <f t="shared" si="32"/>
        <v>0</v>
      </c>
      <c r="CE19" s="67">
        <f t="shared" si="32"/>
        <v>1</v>
      </c>
      <c r="CF19" s="67">
        <f t="shared" si="32"/>
        <v>0</v>
      </c>
      <c r="CG19" s="67">
        <f t="shared" si="32"/>
        <v>0</v>
      </c>
      <c r="CH19" s="67">
        <f t="shared" si="32"/>
        <v>0</v>
      </c>
      <c r="CI19" s="67">
        <f t="shared" si="32"/>
        <v>0</v>
      </c>
      <c r="CJ19" s="67">
        <f t="shared" si="32"/>
        <v>0</v>
      </c>
      <c r="CK19" s="67">
        <f t="shared" si="32"/>
        <v>2</v>
      </c>
      <c r="CL19" s="67">
        <f t="shared" si="32"/>
        <v>0</v>
      </c>
      <c r="CM19" s="67">
        <f t="shared" si="32"/>
        <v>2</v>
      </c>
      <c r="CN19" s="67">
        <f t="shared" si="32"/>
        <v>4</v>
      </c>
      <c r="CO19" s="67">
        <f t="shared" si="32"/>
        <v>0</v>
      </c>
      <c r="CP19" s="67">
        <f t="shared" si="32"/>
        <v>0</v>
      </c>
      <c r="CQ19" s="67">
        <f t="shared" si="32"/>
        <v>0</v>
      </c>
      <c r="CR19" s="67">
        <f t="shared" si="32"/>
        <v>0</v>
      </c>
      <c r="CS19" s="67">
        <f t="shared" si="32"/>
        <v>0</v>
      </c>
      <c r="CT19" s="67">
        <f t="shared" si="32"/>
        <v>0</v>
      </c>
      <c r="CU19" s="67">
        <f t="shared" si="32"/>
        <v>0</v>
      </c>
      <c r="CV19" s="67">
        <f t="shared" si="32"/>
        <v>0</v>
      </c>
      <c r="CW19" s="67">
        <f t="shared" si="32"/>
        <v>13</v>
      </c>
      <c r="CX19" s="68"/>
      <c r="CY19" s="67">
        <f t="shared" ref="CY19:DE19" si="33">COUNTIF($E19:$BR19,CY$6)</f>
        <v>0</v>
      </c>
      <c r="CZ19" s="67">
        <f t="shared" si="33"/>
        <v>0</v>
      </c>
      <c r="DA19" s="67">
        <f t="shared" si="33"/>
        <v>0</v>
      </c>
      <c r="DB19" s="67">
        <f t="shared" si="33"/>
        <v>0</v>
      </c>
      <c r="DC19" s="67">
        <f t="shared" si="33"/>
        <v>4</v>
      </c>
      <c r="DD19" s="67">
        <f t="shared" si="33"/>
        <v>0</v>
      </c>
      <c r="DE19" s="67">
        <f t="shared" si="33"/>
        <v>1</v>
      </c>
    </row>
    <row r="20">
      <c r="A20" s="98">
        <v>13.0</v>
      </c>
      <c r="B20" s="99" t="s">
        <v>66</v>
      </c>
      <c r="C20" s="100" t="s">
        <v>67</v>
      </c>
      <c r="D20" s="54">
        <v>202.0</v>
      </c>
      <c r="E20" s="57" t="s">
        <v>32</v>
      </c>
      <c r="F20" s="72"/>
      <c r="G20" s="73" t="s">
        <v>18</v>
      </c>
      <c r="H20" s="72"/>
      <c r="I20" s="74" t="s">
        <v>20</v>
      </c>
      <c r="J20" s="72"/>
      <c r="K20" s="54">
        <v>202.0</v>
      </c>
      <c r="L20" s="58" t="s">
        <v>18</v>
      </c>
      <c r="M20" s="72"/>
      <c r="N20" s="73" t="s">
        <v>42</v>
      </c>
      <c r="O20" s="72"/>
      <c r="P20" s="75" t="s">
        <v>42</v>
      </c>
      <c r="Q20" s="72"/>
      <c r="R20" s="76" t="s">
        <v>42</v>
      </c>
      <c r="S20" s="72"/>
      <c r="T20" s="57" t="s">
        <v>18</v>
      </c>
      <c r="U20" s="84"/>
      <c r="V20" s="57" t="s">
        <v>32</v>
      </c>
      <c r="W20" s="72"/>
      <c r="X20" s="57" t="s">
        <v>18</v>
      </c>
      <c r="Y20" s="78"/>
      <c r="Z20" s="54">
        <v>202.0</v>
      </c>
      <c r="AA20" s="57" t="s">
        <v>18</v>
      </c>
      <c r="AB20" s="72" t="s">
        <v>43</v>
      </c>
      <c r="AC20" s="57" t="s">
        <v>42</v>
      </c>
      <c r="AD20" s="72"/>
      <c r="AE20" s="76" t="s">
        <v>18</v>
      </c>
      <c r="AF20" s="72" t="s">
        <v>43</v>
      </c>
      <c r="AG20" s="76" t="s">
        <v>19</v>
      </c>
      <c r="AH20" s="72" t="s">
        <v>43</v>
      </c>
      <c r="AI20" s="57" t="s">
        <v>19</v>
      </c>
      <c r="AJ20" s="72" t="s">
        <v>43</v>
      </c>
      <c r="AK20" s="57" t="s">
        <v>32</v>
      </c>
      <c r="AL20" s="72"/>
      <c r="AM20" s="57" t="s">
        <v>21</v>
      </c>
      <c r="AN20" s="78"/>
      <c r="AO20" s="59">
        <v>100035.0</v>
      </c>
      <c r="AP20" s="57" t="s">
        <v>18</v>
      </c>
      <c r="AQ20" s="72"/>
      <c r="AR20" s="57" t="s">
        <v>33</v>
      </c>
      <c r="AS20" s="72"/>
      <c r="AT20" s="76" t="s">
        <v>33</v>
      </c>
      <c r="AU20" s="72"/>
      <c r="AV20" s="76" t="s">
        <v>33</v>
      </c>
      <c r="AW20" s="72"/>
      <c r="AX20" s="57" t="s">
        <v>32</v>
      </c>
      <c r="AY20" s="72"/>
      <c r="AZ20" s="57" t="s">
        <v>18</v>
      </c>
      <c r="BA20" s="72" t="s">
        <v>44</v>
      </c>
      <c r="BB20" s="57" t="s">
        <v>32</v>
      </c>
      <c r="BC20" s="72" t="s">
        <v>43</v>
      </c>
      <c r="BD20" s="59">
        <v>100035.0</v>
      </c>
      <c r="BE20" s="57" t="s">
        <v>18</v>
      </c>
      <c r="BF20" s="72"/>
      <c r="BG20" s="57" t="s">
        <v>33</v>
      </c>
      <c r="BH20" s="72"/>
      <c r="BI20" s="57" t="s">
        <v>33</v>
      </c>
      <c r="BJ20" s="72"/>
      <c r="BK20" s="76" t="s">
        <v>18</v>
      </c>
      <c r="BL20" s="72"/>
      <c r="BM20" s="57" t="s">
        <v>18</v>
      </c>
      <c r="BN20" s="72"/>
      <c r="BO20" s="57" t="s">
        <v>32</v>
      </c>
      <c r="BP20" s="72"/>
      <c r="BQ20" s="57" t="s">
        <v>21</v>
      </c>
      <c r="BR20" s="81"/>
      <c r="BS20" s="82">
        <f t="shared" si="10"/>
        <v>27</v>
      </c>
      <c r="BT20" s="64">
        <f t="shared" si="11"/>
        <v>216</v>
      </c>
      <c r="BU20" s="83">
        <f t="shared" si="4"/>
        <v>44</v>
      </c>
      <c r="BV20" s="66">
        <f t="shared" si="5"/>
        <v>6</v>
      </c>
      <c r="BW20" s="66">
        <f t="shared" si="6"/>
        <v>0</v>
      </c>
      <c r="BX20" s="4"/>
      <c r="BY20" s="67">
        <f t="shared" ref="BY20:CW20" si="34">COUNTIF($E20:$BR20,BY$6)</f>
        <v>11</v>
      </c>
      <c r="BZ20" s="67">
        <f t="shared" si="34"/>
        <v>2</v>
      </c>
      <c r="CA20" s="67">
        <f t="shared" si="34"/>
        <v>1</v>
      </c>
      <c r="CB20" s="67">
        <f t="shared" si="34"/>
        <v>2</v>
      </c>
      <c r="CC20" s="67">
        <f t="shared" si="34"/>
        <v>0</v>
      </c>
      <c r="CD20" s="67">
        <f t="shared" si="34"/>
        <v>0</v>
      </c>
      <c r="CE20" s="67">
        <f t="shared" si="34"/>
        <v>0</v>
      </c>
      <c r="CF20" s="67">
        <f t="shared" si="34"/>
        <v>0</v>
      </c>
      <c r="CG20" s="67">
        <f t="shared" si="34"/>
        <v>0</v>
      </c>
      <c r="CH20" s="67">
        <f t="shared" si="34"/>
        <v>0</v>
      </c>
      <c r="CI20" s="67">
        <f t="shared" si="34"/>
        <v>0</v>
      </c>
      <c r="CJ20" s="67">
        <f t="shared" si="34"/>
        <v>0</v>
      </c>
      <c r="CK20" s="67">
        <f t="shared" si="34"/>
        <v>0</v>
      </c>
      <c r="CL20" s="67">
        <f t="shared" si="34"/>
        <v>0</v>
      </c>
      <c r="CM20" s="67">
        <f t="shared" si="34"/>
        <v>6</v>
      </c>
      <c r="CN20" s="67">
        <f t="shared" si="34"/>
        <v>5</v>
      </c>
      <c r="CO20" s="67">
        <f t="shared" si="34"/>
        <v>0</v>
      </c>
      <c r="CP20" s="67">
        <f t="shared" si="34"/>
        <v>0</v>
      </c>
      <c r="CQ20" s="67">
        <f t="shared" si="34"/>
        <v>0</v>
      </c>
      <c r="CR20" s="67">
        <f t="shared" si="34"/>
        <v>0</v>
      </c>
      <c r="CS20" s="67">
        <f t="shared" si="34"/>
        <v>0</v>
      </c>
      <c r="CT20" s="67">
        <f t="shared" si="34"/>
        <v>0</v>
      </c>
      <c r="CU20" s="67">
        <f t="shared" si="34"/>
        <v>0</v>
      </c>
      <c r="CV20" s="67">
        <f t="shared" si="34"/>
        <v>0</v>
      </c>
      <c r="CW20" s="67">
        <f t="shared" si="34"/>
        <v>4</v>
      </c>
      <c r="CX20" s="68"/>
      <c r="CY20" s="67">
        <f t="shared" ref="CY20:DE20" si="35">COUNTIF($E20:$BR20,CY$6)</f>
        <v>5</v>
      </c>
      <c r="CZ20" s="67">
        <f t="shared" si="35"/>
        <v>1</v>
      </c>
      <c r="DA20" s="67">
        <f t="shared" si="35"/>
        <v>0</v>
      </c>
      <c r="DB20" s="67">
        <f t="shared" si="35"/>
        <v>0</v>
      </c>
      <c r="DC20" s="67">
        <f t="shared" si="35"/>
        <v>0</v>
      </c>
      <c r="DD20" s="67">
        <f t="shared" si="35"/>
        <v>0</v>
      </c>
      <c r="DE20" s="67">
        <f t="shared" si="35"/>
        <v>0</v>
      </c>
    </row>
    <row r="21">
      <c r="A21" s="98">
        <v>14.0</v>
      </c>
      <c r="B21" s="101" t="s">
        <v>68</v>
      </c>
      <c r="C21" s="102" t="s">
        <v>69</v>
      </c>
      <c r="D21" s="54">
        <v>126.0</v>
      </c>
      <c r="E21" s="57" t="s">
        <v>19</v>
      </c>
      <c r="F21" s="72" t="s">
        <v>46</v>
      </c>
      <c r="G21" s="73" t="s">
        <v>32</v>
      </c>
      <c r="H21" s="72"/>
      <c r="I21" s="74" t="s">
        <v>19</v>
      </c>
      <c r="J21" s="72"/>
      <c r="K21" s="54">
        <v>126.0</v>
      </c>
      <c r="L21" s="58" t="s">
        <v>42</v>
      </c>
      <c r="M21" s="72"/>
      <c r="N21" s="73" t="s">
        <v>19</v>
      </c>
      <c r="O21" s="72" t="s">
        <v>46</v>
      </c>
      <c r="P21" s="75" t="s">
        <v>18</v>
      </c>
      <c r="Q21" s="72"/>
      <c r="R21" s="79" t="s">
        <v>22</v>
      </c>
      <c r="S21" s="72"/>
      <c r="T21" s="57" t="s">
        <v>19</v>
      </c>
      <c r="U21" s="84"/>
      <c r="V21" s="57" t="s">
        <v>32</v>
      </c>
      <c r="W21" s="77" t="s">
        <v>54</v>
      </c>
      <c r="X21" s="57" t="s">
        <v>19</v>
      </c>
      <c r="Y21" s="72"/>
      <c r="Z21" s="54">
        <v>126.0</v>
      </c>
      <c r="AA21" s="57" t="s">
        <v>19</v>
      </c>
      <c r="AB21" s="72"/>
      <c r="AC21" s="57" t="s">
        <v>19</v>
      </c>
      <c r="AD21" s="72"/>
      <c r="AE21" s="76" t="s">
        <v>18</v>
      </c>
      <c r="AF21" s="72"/>
      <c r="AG21" s="76" t="s">
        <v>19</v>
      </c>
      <c r="AH21" s="77" t="s">
        <v>54</v>
      </c>
      <c r="AI21" s="57" t="s">
        <v>24</v>
      </c>
      <c r="AJ21" s="72"/>
      <c r="AK21" s="57" t="s">
        <v>19</v>
      </c>
      <c r="AL21" s="72"/>
      <c r="AM21" s="57" t="s">
        <v>33</v>
      </c>
      <c r="AN21" s="72"/>
      <c r="AO21" s="59">
        <v>100036.0</v>
      </c>
      <c r="AP21" s="57" t="s">
        <v>19</v>
      </c>
      <c r="AQ21" s="72" t="s">
        <v>46</v>
      </c>
      <c r="AR21" s="57" t="s">
        <v>42</v>
      </c>
      <c r="AS21" s="72"/>
      <c r="AT21" s="76" t="s">
        <v>42</v>
      </c>
      <c r="AU21" s="72"/>
      <c r="AV21" s="76" t="s">
        <v>28</v>
      </c>
      <c r="AW21" s="72"/>
      <c r="AX21" s="57" t="s">
        <v>33</v>
      </c>
      <c r="AY21" s="72"/>
      <c r="AZ21" s="57" t="s">
        <v>20</v>
      </c>
      <c r="BA21" s="72"/>
      <c r="BB21" s="57" t="s">
        <v>19</v>
      </c>
      <c r="BC21" s="72" t="s">
        <v>46</v>
      </c>
      <c r="BD21" s="59">
        <v>100036.0</v>
      </c>
      <c r="BE21" s="57" t="s">
        <v>42</v>
      </c>
      <c r="BF21" s="72"/>
      <c r="BG21" s="57" t="s">
        <v>24</v>
      </c>
      <c r="BH21" s="72"/>
      <c r="BI21" s="76" t="s">
        <v>19</v>
      </c>
      <c r="BJ21" s="72"/>
      <c r="BK21" s="76" t="s">
        <v>18</v>
      </c>
      <c r="BL21" s="72"/>
      <c r="BM21" s="57" t="s">
        <v>19</v>
      </c>
      <c r="BN21" s="72" t="s">
        <v>43</v>
      </c>
      <c r="BO21" s="57" t="s">
        <v>32</v>
      </c>
      <c r="BP21" s="72"/>
      <c r="BQ21" s="57" t="s">
        <v>19</v>
      </c>
      <c r="BR21" s="81" t="s">
        <v>48</v>
      </c>
      <c r="BS21" s="82">
        <f t="shared" si="10"/>
        <v>27.125</v>
      </c>
      <c r="BT21" s="64">
        <f t="shared" si="11"/>
        <v>217</v>
      </c>
      <c r="BU21" s="83">
        <f t="shared" si="4"/>
        <v>20</v>
      </c>
      <c r="BV21" s="66">
        <f t="shared" si="5"/>
        <v>5</v>
      </c>
      <c r="BW21" s="66">
        <f t="shared" si="6"/>
        <v>0</v>
      </c>
      <c r="BX21" s="4"/>
      <c r="BY21" s="67">
        <f t="shared" ref="BY21:CW21" si="36">COUNTIF($E21:$BR21,BY$6)</f>
        <v>3</v>
      </c>
      <c r="BZ21" s="67">
        <f t="shared" si="36"/>
        <v>14</v>
      </c>
      <c r="CA21" s="67">
        <f t="shared" si="36"/>
        <v>1</v>
      </c>
      <c r="CB21" s="67">
        <f t="shared" si="36"/>
        <v>0</v>
      </c>
      <c r="CC21" s="67">
        <f t="shared" si="36"/>
        <v>1</v>
      </c>
      <c r="CD21" s="67">
        <f t="shared" si="36"/>
        <v>0</v>
      </c>
      <c r="CE21" s="67">
        <f t="shared" si="36"/>
        <v>2</v>
      </c>
      <c r="CF21" s="67">
        <f t="shared" si="36"/>
        <v>0</v>
      </c>
      <c r="CG21" s="67">
        <f t="shared" si="36"/>
        <v>0</v>
      </c>
      <c r="CH21" s="67">
        <f t="shared" si="36"/>
        <v>0</v>
      </c>
      <c r="CI21" s="67">
        <f t="shared" si="36"/>
        <v>1</v>
      </c>
      <c r="CJ21" s="67">
        <f t="shared" si="36"/>
        <v>0</v>
      </c>
      <c r="CK21" s="67">
        <f t="shared" si="36"/>
        <v>0</v>
      </c>
      <c r="CL21" s="67">
        <f t="shared" si="36"/>
        <v>0</v>
      </c>
      <c r="CM21" s="67">
        <f t="shared" si="36"/>
        <v>3</v>
      </c>
      <c r="CN21" s="67">
        <f t="shared" si="36"/>
        <v>2</v>
      </c>
      <c r="CO21" s="67">
        <f t="shared" si="36"/>
        <v>0</v>
      </c>
      <c r="CP21" s="67">
        <f t="shared" si="36"/>
        <v>0</v>
      </c>
      <c r="CQ21" s="67">
        <f t="shared" si="36"/>
        <v>0</v>
      </c>
      <c r="CR21" s="67">
        <f t="shared" si="36"/>
        <v>0</v>
      </c>
      <c r="CS21" s="67">
        <f t="shared" si="36"/>
        <v>0</v>
      </c>
      <c r="CT21" s="67">
        <f t="shared" si="36"/>
        <v>0</v>
      </c>
      <c r="CU21" s="67">
        <f t="shared" si="36"/>
        <v>0</v>
      </c>
      <c r="CV21" s="67">
        <f t="shared" si="36"/>
        <v>0</v>
      </c>
      <c r="CW21" s="67">
        <f t="shared" si="36"/>
        <v>4</v>
      </c>
      <c r="CX21" s="68"/>
      <c r="CY21" s="67">
        <f t="shared" ref="CY21:DE21" si="37">COUNTIF($E21:$BR21,CY$6)</f>
        <v>1</v>
      </c>
      <c r="CZ21" s="67">
        <f t="shared" si="37"/>
        <v>0</v>
      </c>
      <c r="DA21" s="67">
        <f t="shared" si="37"/>
        <v>0</v>
      </c>
      <c r="DB21" s="67">
        <f t="shared" si="37"/>
        <v>4</v>
      </c>
      <c r="DC21" s="67">
        <f t="shared" si="37"/>
        <v>0</v>
      </c>
      <c r="DD21" s="67">
        <f t="shared" si="37"/>
        <v>1</v>
      </c>
      <c r="DE21" s="67">
        <f t="shared" si="37"/>
        <v>0</v>
      </c>
    </row>
    <row r="22">
      <c r="A22" s="103">
        <v>15.0</v>
      </c>
      <c r="B22" s="104" t="s">
        <v>70</v>
      </c>
      <c r="C22" s="95">
        <v>8.79193162E8</v>
      </c>
      <c r="D22" s="54">
        <v>127.0</v>
      </c>
      <c r="E22" s="57" t="s">
        <v>32</v>
      </c>
      <c r="F22" s="72"/>
      <c r="G22" s="73" t="s">
        <v>19</v>
      </c>
      <c r="H22" s="72" t="s">
        <v>46</v>
      </c>
      <c r="I22" s="74" t="s">
        <v>32</v>
      </c>
      <c r="J22" s="72"/>
      <c r="K22" s="54">
        <v>127.0</v>
      </c>
      <c r="L22" s="58" t="s">
        <v>19</v>
      </c>
      <c r="M22" s="72" t="s">
        <v>46</v>
      </c>
      <c r="N22" s="73" t="s">
        <v>19</v>
      </c>
      <c r="O22" s="72"/>
      <c r="P22" s="75" t="s">
        <v>24</v>
      </c>
      <c r="Q22" s="72"/>
      <c r="R22" s="76" t="s">
        <v>18</v>
      </c>
      <c r="S22" s="72"/>
      <c r="T22" s="57" t="s">
        <v>33</v>
      </c>
      <c r="U22" s="84"/>
      <c r="V22" s="57" t="s">
        <v>19</v>
      </c>
      <c r="W22" s="72" t="s">
        <v>46</v>
      </c>
      <c r="X22" s="57" t="s">
        <v>40</v>
      </c>
      <c r="Y22" s="72" t="s">
        <v>46</v>
      </c>
      <c r="Z22" s="54">
        <v>127.0</v>
      </c>
      <c r="AA22" s="57" t="s">
        <v>19</v>
      </c>
      <c r="AB22" s="72"/>
      <c r="AC22" s="57" t="s">
        <v>42</v>
      </c>
      <c r="AD22" s="72"/>
      <c r="AE22" s="75" t="s">
        <v>42</v>
      </c>
      <c r="AF22" s="72"/>
      <c r="AG22" s="79" t="s">
        <v>30</v>
      </c>
      <c r="AH22" s="72"/>
      <c r="AI22" s="57" t="s">
        <v>19</v>
      </c>
      <c r="AJ22" s="72"/>
      <c r="AK22" s="57" t="s">
        <v>32</v>
      </c>
      <c r="AL22" s="77" t="s">
        <v>54</v>
      </c>
      <c r="AM22" s="57" t="s">
        <v>19</v>
      </c>
      <c r="AN22" s="78"/>
      <c r="AO22" s="59">
        <v>100037.0</v>
      </c>
      <c r="AP22" s="57" t="s">
        <v>42</v>
      </c>
      <c r="AQ22" s="72"/>
      <c r="AR22" s="57" t="s">
        <v>19</v>
      </c>
      <c r="AS22" s="72" t="s">
        <v>46</v>
      </c>
      <c r="AT22" s="76" t="s">
        <v>40</v>
      </c>
      <c r="AU22" s="72"/>
      <c r="AV22" s="75" t="s">
        <v>19</v>
      </c>
      <c r="AW22" s="72"/>
      <c r="AX22" s="57" t="s">
        <v>19</v>
      </c>
      <c r="AY22" s="72"/>
      <c r="AZ22" s="57" t="s">
        <v>19</v>
      </c>
      <c r="BA22" s="72"/>
      <c r="BB22" s="57" t="s">
        <v>19</v>
      </c>
      <c r="BC22" s="78"/>
      <c r="BD22" s="59">
        <v>100037.0</v>
      </c>
      <c r="BE22" s="57" t="s">
        <v>19</v>
      </c>
      <c r="BF22" s="72" t="s">
        <v>49</v>
      </c>
      <c r="BG22" s="57" t="s">
        <v>42</v>
      </c>
      <c r="BH22" s="72"/>
      <c r="BI22" s="76" t="s">
        <v>42</v>
      </c>
      <c r="BJ22" s="72"/>
      <c r="BK22" s="75" t="s">
        <v>19</v>
      </c>
      <c r="BL22" s="72"/>
      <c r="BM22" s="57" t="s">
        <v>18</v>
      </c>
      <c r="BN22" s="72"/>
      <c r="BO22" s="57" t="s">
        <v>32</v>
      </c>
      <c r="BP22" s="72"/>
      <c r="BQ22" s="57" t="s">
        <v>19</v>
      </c>
      <c r="BR22" s="81"/>
      <c r="BS22" s="82">
        <f t="shared" si="10"/>
        <v>0</v>
      </c>
      <c r="BT22" s="64">
        <f t="shared" si="11"/>
        <v>0</v>
      </c>
      <c r="BU22" s="83">
        <f t="shared" si="4"/>
        <v>0</v>
      </c>
      <c r="BV22" s="66">
        <f t="shared" si="5"/>
        <v>5</v>
      </c>
      <c r="BW22" s="66"/>
      <c r="BX22" s="4"/>
      <c r="BY22" s="67"/>
      <c r="BZ22" s="67"/>
      <c r="CA22" s="67"/>
      <c r="CB22" s="67"/>
      <c r="CC22" s="67"/>
      <c r="CD22" s="67"/>
      <c r="CE22" s="67"/>
      <c r="CF22" s="67"/>
      <c r="CG22" s="67"/>
      <c r="CH22" s="67"/>
      <c r="CI22" s="67"/>
      <c r="CJ22" s="67"/>
      <c r="CK22" s="67"/>
      <c r="CL22" s="67"/>
      <c r="CM22" s="67"/>
      <c r="CN22" s="67"/>
      <c r="CO22" s="67"/>
      <c r="CP22" s="67"/>
      <c r="CQ22" s="67"/>
      <c r="CR22" s="67"/>
      <c r="CS22" s="67"/>
      <c r="CT22" s="67"/>
      <c r="CU22" s="67"/>
      <c r="CV22" s="67"/>
      <c r="CW22" s="67">
        <f t="shared" ref="CW22:CW23" si="39">COUNTIF($E22:$BR22,CW$6)</f>
        <v>5</v>
      </c>
      <c r="CX22" s="68"/>
      <c r="CY22" s="67">
        <f t="shared" ref="CY22:DE22" si="38">COUNTIF($E22:$BR22,CY$6)</f>
        <v>0</v>
      </c>
      <c r="CZ22" s="67">
        <f t="shared" si="38"/>
        <v>0</v>
      </c>
      <c r="DA22" s="67">
        <f t="shared" si="38"/>
        <v>0</v>
      </c>
      <c r="DB22" s="67">
        <f t="shared" si="38"/>
        <v>5</v>
      </c>
      <c r="DC22" s="67">
        <f t="shared" si="38"/>
        <v>0</v>
      </c>
      <c r="DD22" s="67">
        <f t="shared" si="38"/>
        <v>0</v>
      </c>
      <c r="DE22" s="67">
        <f t="shared" si="38"/>
        <v>1</v>
      </c>
    </row>
    <row r="23">
      <c r="A23" s="105">
        <v>16.0</v>
      </c>
      <c r="B23" s="106" t="s">
        <v>71</v>
      </c>
      <c r="C23" s="95">
        <v>9.14050143E8</v>
      </c>
      <c r="D23" s="59">
        <v>131.0</v>
      </c>
      <c r="E23" s="57" t="s">
        <v>30</v>
      </c>
      <c r="F23" s="72"/>
      <c r="G23" s="73" t="s">
        <v>42</v>
      </c>
      <c r="H23" s="72"/>
      <c r="I23" s="74" t="s">
        <v>30</v>
      </c>
      <c r="J23" s="72"/>
      <c r="K23" s="54">
        <v>123.0</v>
      </c>
      <c r="L23" s="55" t="s">
        <v>30</v>
      </c>
      <c r="M23" s="72"/>
      <c r="N23" s="73" t="s">
        <v>29</v>
      </c>
      <c r="O23" s="72"/>
      <c r="P23" s="75" t="s">
        <v>19</v>
      </c>
      <c r="Q23" s="72"/>
      <c r="R23" s="76" t="s">
        <v>42</v>
      </c>
      <c r="S23" s="72"/>
      <c r="T23" s="57" t="s">
        <v>30</v>
      </c>
      <c r="U23" s="84"/>
      <c r="V23" s="57" t="s">
        <v>30</v>
      </c>
      <c r="W23" s="72"/>
      <c r="X23" s="57" t="s">
        <v>30</v>
      </c>
      <c r="Y23" s="72"/>
      <c r="Z23" s="54">
        <v>123.0</v>
      </c>
      <c r="AA23" s="57" t="s">
        <v>30</v>
      </c>
      <c r="AB23" s="72"/>
      <c r="AC23" s="60" t="s">
        <v>29</v>
      </c>
      <c r="AD23" s="72"/>
      <c r="AE23" s="76" t="s">
        <v>19</v>
      </c>
      <c r="AF23" s="72" t="s">
        <v>48</v>
      </c>
      <c r="AG23" s="76" t="s">
        <v>19</v>
      </c>
      <c r="AH23" s="72" t="s">
        <v>48</v>
      </c>
      <c r="AI23" s="57" t="s">
        <v>19</v>
      </c>
      <c r="AJ23" s="72" t="s">
        <v>48</v>
      </c>
      <c r="AK23" s="57" t="s">
        <v>33</v>
      </c>
      <c r="AL23" s="72"/>
      <c r="AM23" s="57" t="s">
        <v>42</v>
      </c>
      <c r="AN23" s="78"/>
      <c r="AO23" s="59">
        <v>100038.0</v>
      </c>
      <c r="AP23" s="57" t="s">
        <v>30</v>
      </c>
      <c r="AQ23" s="72"/>
      <c r="AR23" s="60" t="s">
        <v>38</v>
      </c>
      <c r="AS23" s="72"/>
      <c r="AT23" s="76" t="s">
        <v>20</v>
      </c>
      <c r="AU23" s="72"/>
      <c r="AV23" s="76" t="s">
        <v>19</v>
      </c>
      <c r="AW23" s="72" t="s">
        <v>49</v>
      </c>
      <c r="AX23" s="57" t="s">
        <v>30</v>
      </c>
      <c r="AY23" s="72"/>
      <c r="AZ23" s="57" t="s">
        <v>19</v>
      </c>
      <c r="BA23" s="72" t="s">
        <v>46</v>
      </c>
      <c r="BB23" s="57" t="s">
        <v>33</v>
      </c>
      <c r="BC23" s="78"/>
      <c r="BD23" s="59">
        <v>100038.0</v>
      </c>
      <c r="BE23" s="57" t="s">
        <v>30</v>
      </c>
      <c r="BF23" s="72"/>
      <c r="BG23" s="57" t="s">
        <v>19</v>
      </c>
      <c r="BH23" s="72" t="s">
        <v>47</v>
      </c>
      <c r="BI23" s="76" t="s">
        <v>42</v>
      </c>
      <c r="BJ23" s="72"/>
      <c r="BK23" s="76" t="s">
        <v>18</v>
      </c>
      <c r="BL23" s="72" t="s">
        <v>47</v>
      </c>
      <c r="BM23" s="57" t="s">
        <v>30</v>
      </c>
      <c r="BN23" s="72"/>
      <c r="BO23" s="57" t="s">
        <v>19</v>
      </c>
      <c r="BP23" s="72" t="s">
        <v>45</v>
      </c>
      <c r="BQ23" s="57" t="s">
        <v>25</v>
      </c>
      <c r="BR23" s="81"/>
      <c r="BS23" s="82">
        <f t="shared" si="10"/>
        <v>0</v>
      </c>
      <c r="BT23" s="64">
        <f t="shared" si="11"/>
        <v>0</v>
      </c>
      <c r="BU23" s="83">
        <f t="shared" si="4"/>
        <v>0</v>
      </c>
      <c r="BV23" s="66">
        <f t="shared" si="5"/>
        <v>4</v>
      </c>
      <c r="BW23" s="66"/>
      <c r="BX23" s="4"/>
      <c r="BY23" s="67"/>
      <c r="BZ23" s="67"/>
      <c r="CA23" s="67"/>
      <c r="CB23" s="67"/>
      <c r="CC23" s="67"/>
      <c r="CD23" s="67"/>
      <c r="CE23" s="67"/>
      <c r="CF23" s="67"/>
      <c r="CG23" s="67"/>
      <c r="CH23" s="67"/>
      <c r="CI23" s="67"/>
      <c r="CJ23" s="67"/>
      <c r="CK23" s="67"/>
      <c r="CL23" s="67"/>
      <c r="CM23" s="67"/>
      <c r="CN23" s="67"/>
      <c r="CO23" s="67"/>
      <c r="CP23" s="67"/>
      <c r="CQ23" s="67"/>
      <c r="CR23" s="67"/>
      <c r="CS23" s="67"/>
      <c r="CT23" s="67"/>
      <c r="CU23" s="67"/>
      <c r="CV23" s="67"/>
      <c r="CW23" s="67">
        <f t="shared" si="39"/>
        <v>4</v>
      </c>
      <c r="CX23" s="68"/>
      <c r="CY23" s="67"/>
      <c r="CZ23" s="67"/>
      <c r="DA23" s="67"/>
      <c r="DB23" s="67"/>
      <c r="DC23" s="67"/>
      <c r="DD23" s="67"/>
      <c r="DE23" s="67"/>
    </row>
    <row r="24">
      <c r="A24" s="105">
        <v>17.0</v>
      </c>
      <c r="B24" s="107" t="s">
        <v>72</v>
      </c>
      <c r="C24" s="108">
        <v>3.33842073E8</v>
      </c>
      <c r="D24" s="54">
        <v>103.0</v>
      </c>
      <c r="E24" s="57" t="s">
        <v>18</v>
      </c>
      <c r="F24" s="72"/>
      <c r="G24" s="73" t="s">
        <v>32</v>
      </c>
      <c r="H24" s="72"/>
      <c r="I24" s="74" t="s">
        <v>19</v>
      </c>
      <c r="J24" s="72"/>
      <c r="K24" s="54">
        <v>103.0</v>
      </c>
      <c r="L24" s="58" t="s">
        <v>24</v>
      </c>
      <c r="M24" s="72"/>
      <c r="N24" s="73" t="s">
        <v>19</v>
      </c>
      <c r="O24" s="72"/>
      <c r="P24" s="75" t="s">
        <v>42</v>
      </c>
      <c r="Q24" s="72"/>
      <c r="R24" s="76" t="s">
        <v>19</v>
      </c>
      <c r="S24" s="72"/>
      <c r="T24" s="57" t="s">
        <v>19</v>
      </c>
      <c r="U24" s="84"/>
      <c r="V24" s="57" t="s">
        <v>19</v>
      </c>
      <c r="W24" s="72"/>
      <c r="X24" s="57" t="s">
        <v>21</v>
      </c>
      <c r="Y24" s="72"/>
      <c r="Z24" s="54">
        <v>103.0</v>
      </c>
      <c r="AA24" s="57" t="s">
        <v>42</v>
      </c>
      <c r="AB24" s="72"/>
      <c r="AC24" s="57" t="s">
        <v>19</v>
      </c>
      <c r="AD24" s="72"/>
      <c r="AE24" s="76" t="s">
        <v>19</v>
      </c>
      <c r="AF24" s="72" t="s">
        <v>49</v>
      </c>
      <c r="AG24" s="76" t="s">
        <v>19</v>
      </c>
      <c r="AH24" s="72" t="s">
        <v>49</v>
      </c>
      <c r="AI24" s="57" t="s">
        <v>19</v>
      </c>
      <c r="AJ24" s="72" t="s">
        <v>49</v>
      </c>
      <c r="AK24" s="57" t="s">
        <v>19</v>
      </c>
      <c r="AL24" s="72"/>
      <c r="AM24" s="57" t="s">
        <v>33</v>
      </c>
      <c r="AN24" s="78"/>
      <c r="AO24" s="59">
        <v>100039.0</v>
      </c>
      <c r="AP24" s="57" t="s">
        <v>42</v>
      </c>
      <c r="AQ24" s="72"/>
      <c r="AR24" s="57" t="s">
        <v>19</v>
      </c>
      <c r="AS24" s="72"/>
      <c r="AT24" s="76" t="s">
        <v>19</v>
      </c>
      <c r="AU24" s="72" t="s">
        <v>48</v>
      </c>
      <c r="AV24" s="76" t="s">
        <v>19</v>
      </c>
      <c r="AW24" s="72" t="s">
        <v>48</v>
      </c>
      <c r="AX24" s="57" t="s">
        <v>19</v>
      </c>
      <c r="AY24" s="72" t="s">
        <v>48</v>
      </c>
      <c r="AZ24" s="57" t="s">
        <v>32</v>
      </c>
      <c r="BA24" s="72"/>
      <c r="BB24" s="57" t="s">
        <v>19</v>
      </c>
      <c r="BC24" s="78"/>
      <c r="BD24" s="59">
        <v>100039.0</v>
      </c>
      <c r="BE24" s="57" t="s">
        <v>28</v>
      </c>
      <c r="BF24" s="72"/>
      <c r="BG24" s="57" t="s">
        <v>42</v>
      </c>
      <c r="BH24" s="72"/>
      <c r="BI24" s="76" t="s">
        <v>19</v>
      </c>
      <c r="BJ24" s="72" t="s">
        <v>46</v>
      </c>
      <c r="BK24" s="76" t="s">
        <v>19</v>
      </c>
      <c r="BL24" s="72" t="s">
        <v>46</v>
      </c>
      <c r="BM24" s="57" t="s">
        <v>33</v>
      </c>
      <c r="BN24" s="72"/>
      <c r="BO24" s="57" t="s">
        <v>32</v>
      </c>
      <c r="BP24" s="72"/>
      <c r="BQ24" s="57" t="s">
        <v>19</v>
      </c>
      <c r="BR24" s="81" t="s">
        <v>49</v>
      </c>
      <c r="BS24" s="82">
        <f t="shared" si="10"/>
        <v>27.125</v>
      </c>
      <c r="BT24" s="64">
        <f t="shared" si="11"/>
        <v>217</v>
      </c>
      <c r="BU24" s="83">
        <f t="shared" si="4"/>
        <v>20</v>
      </c>
      <c r="BV24" s="66">
        <f t="shared" si="5"/>
        <v>2</v>
      </c>
      <c r="BW24" s="66">
        <f>+COUNTIF(E24:BR24,"NBAI")</f>
        <v>0</v>
      </c>
      <c r="BX24" s="4"/>
      <c r="BY24" s="67">
        <f t="shared" ref="BY24:CW24" si="40">COUNTIF($E24:$BR24,BY$6)</f>
        <v>1</v>
      </c>
      <c r="BZ24" s="67">
        <f t="shared" si="40"/>
        <v>18</v>
      </c>
      <c r="CA24" s="67">
        <f t="shared" si="40"/>
        <v>0</v>
      </c>
      <c r="CB24" s="67">
        <f t="shared" si="40"/>
        <v>1</v>
      </c>
      <c r="CC24" s="67">
        <f t="shared" si="40"/>
        <v>0</v>
      </c>
      <c r="CD24" s="67">
        <f t="shared" si="40"/>
        <v>0</v>
      </c>
      <c r="CE24" s="67">
        <f t="shared" si="40"/>
        <v>1</v>
      </c>
      <c r="CF24" s="67">
        <f t="shared" si="40"/>
        <v>0</v>
      </c>
      <c r="CG24" s="67">
        <f t="shared" si="40"/>
        <v>0</v>
      </c>
      <c r="CH24" s="67">
        <f t="shared" si="40"/>
        <v>0</v>
      </c>
      <c r="CI24" s="67">
        <f t="shared" si="40"/>
        <v>1</v>
      </c>
      <c r="CJ24" s="67">
        <f t="shared" si="40"/>
        <v>0</v>
      </c>
      <c r="CK24" s="67">
        <f t="shared" si="40"/>
        <v>0</v>
      </c>
      <c r="CL24" s="67">
        <f t="shared" si="40"/>
        <v>0</v>
      </c>
      <c r="CM24" s="67">
        <f t="shared" si="40"/>
        <v>3</v>
      </c>
      <c r="CN24" s="67">
        <f t="shared" si="40"/>
        <v>2</v>
      </c>
      <c r="CO24" s="67">
        <f t="shared" si="40"/>
        <v>0</v>
      </c>
      <c r="CP24" s="67">
        <f t="shared" si="40"/>
        <v>0</v>
      </c>
      <c r="CQ24" s="67">
        <f t="shared" si="40"/>
        <v>0</v>
      </c>
      <c r="CR24" s="67">
        <f t="shared" si="40"/>
        <v>0</v>
      </c>
      <c r="CS24" s="67">
        <f t="shared" si="40"/>
        <v>0</v>
      </c>
      <c r="CT24" s="67">
        <f t="shared" si="40"/>
        <v>0</v>
      </c>
      <c r="CU24" s="67">
        <f t="shared" si="40"/>
        <v>0</v>
      </c>
      <c r="CV24" s="67">
        <f t="shared" si="40"/>
        <v>0</v>
      </c>
      <c r="CW24" s="67">
        <f t="shared" si="40"/>
        <v>4</v>
      </c>
      <c r="CX24" s="68"/>
      <c r="CY24" s="67">
        <f t="shared" ref="CY24:DE24" si="41">COUNTIF($E24:$BR24,CY$6)</f>
        <v>0</v>
      </c>
      <c r="CZ24" s="67">
        <f t="shared" si="41"/>
        <v>0</v>
      </c>
      <c r="DA24" s="67">
        <f t="shared" si="41"/>
        <v>0</v>
      </c>
      <c r="DB24" s="67">
        <f t="shared" si="41"/>
        <v>2</v>
      </c>
      <c r="DC24" s="67">
        <f t="shared" si="41"/>
        <v>0</v>
      </c>
      <c r="DD24" s="67">
        <f t="shared" si="41"/>
        <v>3</v>
      </c>
      <c r="DE24" s="67">
        <f t="shared" si="41"/>
        <v>4</v>
      </c>
    </row>
    <row r="25">
      <c r="A25" s="38" t="s">
        <v>73</v>
      </c>
      <c r="B25" s="39"/>
      <c r="C25" s="40"/>
      <c r="D25" s="54"/>
      <c r="E25" s="109">
        <f>+COUNTIF(E8:E24,$A$65)+COUNTIF(E8:E24,$A$66)+COUNTIF(E8:E24,$A$67)+COUNTIF(E8:E24,$A$68)+COUNTIF(E8:E24,$A$69)+COUNTIF(E8:E24,$A$70)+COUNTIF(E8:E24,$A$71)+COUNTIF(E8:E24,$A$72)+COUNTIF(E8:E24,$A$73)+COUNTIF(E8:E24,$A$75)+COUNTIF(E8:E24,$A$76)+COUNTIF(E8:E24,$A$77)+COUNTIF(E8:E24,$A$78)+COUNTIF(E8:E24,$A$79)+COUNTIF(E8:E24,$A$80)+COUNTIF(E8:E24,$A$81)+COUNTIF(E8:E24,$A$82)+COUNTIF(E8:E24,$A$84)+COUNTIF(E8:E24,$A$85)+COUNTIF(E27:E39,$A$65)+COUNTIF(E27:E39,$A$66)+COUNTIF(E27:E39,$A$67)+COUNTIF(E27:E39,$A$68)+COUNTIF(E27:E39,$A$69)+COUNTIF(E27:E39,$A$70)+COUNTIF(E27:E39,$A$71)+COUNTIF(E27:E39,$A$72)+COUNTIF(E27:E39,$A$73)+COUNTIF(E27:E39,$A$75)+COUNTIF(E27:E39,$A$76)+COUNTIF(E27:E39,$A$77)+COUNTIF(E27:E39,$A$78)+COUNTIF(E27:E39,$A$79)+COUNTIF(E27:E39,$A$80)+COUNTIF(E27:E39,$A$81)+COUNTIF(E27:E39,$A$84)+COUNTIF(E27:E39,$A$85)</f>
        <v>17</v>
      </c>
      <c r="F25" s="41"/>
      <c r="G25" s="109">
        <f>+COUNTIF(G8:G24,$A$65)+COUNTIF(G8:G24,$A$66)+COUNTIF(G8:G24,$A$67)+COUNTIF(G8:G24,$A$68)+COUNTIF(G8:G24,$A$69)+COUNTIF(G8:G24,$A$70)+COUNTIF(G8:G24,$A$71)+COUNTIF(G8:G24,$A$72)+COUNTIF(G8:G24,$A$73)+COUNTIF(G8:G24,$A$75)+COUNTIF(G8:G24,$A$76)+COUNTIF(G8:G24,$A$77)+COUNTIF(G8:G24,$A$78)+COUNTIF(G8:G24,$A$79)+COUNTIF(G8:G24,$A$80)+COUNTIF(G8:G24,$A$81)+COUNTIF(G8:G24,$A$82)+COUNTIF(G8:G24,$A$84)+COUNTIF(G8:G24,$A$85)+COUNTIF(G27:G39,$A$65)+COUNTIF(G27:G39,$A$66)+COUNTIF(G27:G39,$A$67)+COUNTIF(G27:G39,$A$68)+COUNTIF(G27:G39,$A$69)+COUNTIF(G27:G39,$A$70)+COUNTIF(G27:G39,$A$71)+COUNTIF(G27:G39,$A$72)+COUNTIF(G27:G39,$A$73)+COUNTIF(G27:G39,$A$75)+COUNTIF(G27:G39,$A$76)+COUNTIF(G27:G39,$A$77)+COUNTIF(G27:G39,$A$78)+COUNTIF(G27:G39,$A$79)+COUNTIF(G27:G39,$A$80)+COUNTIF(G27:G39,$A$81)+COUNTIF(G27:G39,$A$84)+COUNTIF(G27:G39,$A$85)</f>
        <v>18</v>
      </c>
      <c r="H25" s="41"/>
      <c r="I25" s="109">
        <f>+COUNTIF(I8:I24,$A$65)+COUNTIF(I8:I24,$A$66)+COUNTIF(I8:I24,$A$67)+COUNTIF(I8:I24,$A$68)+COUNTIF(I8:I24,$A$69)+COUNTIF(I8:I24,$A$70)+COUNTIF(I8:I24,$A$71)+COUNTIF(I8:I24,$A$72)+COUNTIF(I8:I24,$A$73)+COUNTIF(I8:I24,$A$75)+COUNTIF(I8:I24,$A$76)+COUNTIF(I8:I24,$A$77)+COUNTIF(I8:I24,$A$78)+COUNTIF(I8:I24,$A$79)+COUNTIF(I8:I24,$A$80)+COUNTIF(I8:I24,$A$81)+COUNTIF(I8:I24,$A$82)+COUNTIF(I8:I24,$A$84)+COUNTIF(I8:I24,$A$85)+COUNTIF(I27:I39,$A$65)+COUNTIF(I27:I39,$A$66)+COUNTIF(I27:I39,$A$67)+COUNTIF(I27:I39,$A$68)+COUNTIF(I27:I39,$A$69)+COUNTIF(I27:I39,$A$70)+COUNTIF(I27:I39,$A$71)+COUNTIF(I27:I39,$A$72)+COUNTIF(I27:I39,$A$73)+COUNTIF(I27:I39,$A$75)+COUNTIF(I27:I39,$A$76)+COUNTIF(I27:I39,$A$77)+COUNTIF(I27:I39,$A$78)+COUNTIF(I27:I39,$A$79)+COUNTIF(I27:I39,$A$80)+COUNTIF(I27:I39,$A$81)+COUNTIF(I27:I39,$A$84)+COUNTIF(I27:I39,$A$85)</f>
        <v>17</v>
      </c>
      <c r="J25" s="41"/>
      <c r="K25" s="54"/>
      <c r="L25" s="41">
        <f>+COUNTIF(L8:L24,$A$61)+COUNTIF(L8:L24,$A$62)+COUNTIF(L8:L24,$A$63)+COUNTIF(L8:L24,$A$64)+COUNTIF(L8:L24,$A$65)+COUNTIF(L8:L24,$A$66)+COUNTIF(L8:L24,$A$67)+COUNTIF(L8:L24,$A$68)+COUNTIF(L8:L24,$A$69)+COUNTIF(L8:L24,$A$71)+COUNTIF(L8:L24,$A$72)+COUNTIF(L8:L24,$A$74)+COUNTIF(L8:L24,$A$75)+COUNTIF(L8:L24,$A$76)+COUNTIF(L8:L24,$A$77)+COUNTIF(L8:L24,$A$78)+COUNTIF(L8:L24,$A$79)+COUNTIF(L8:L24,$A$80)+COUNTIF(L8:L24,$A$81)+COUNTIF(L8:L24,$A$83)+COUNTIF(L27:L41,$A$64)+COUNTIF(L27:L41,$A$65)+COUNTIF(L27:L41,$A$66)+COUNTIF(L27:L41,$A$67)+COUNTIF(L27:L41,$A$68)+COUNTIF(L27:L41,$A$69)+COUNTIF(L27:L41,$A$71)+COUNTIF(L27:L41,$A$72)+COUNTIF(L27:L41,$A$74)+COUNTIF(L27:L41,$A$75)+COUNTIF(L27:L41,$A$76)+COUNTIF(L27:L41,$A$77)+COUNTIF(L27:L41,$A$78)+COUNTIF(L27:L41,$A$79)+COUNTIF(L27:L41,$A$80)+COUNTIF(L27:L41,$A$81)+COUNTIF(L27:L41,$A$83)+COUNTIF(L8:L24,$A$61)+COUNTIF(L8:L24,$A$62)+COUNTIF(L8:L24,$A$63)</f>
        <v>13</v>
      </c>
      <c r="M25" s="41"/>
      <c r="N25" s="109">
        <f>+COUNTIF(N8:N24,$A$65)+COUNTIF(N8:N24,$A$66)+COUNTIF(N8:N24,$A$67)+COUNTIF(N8:N24,$A$68)+COUNTIF(N8:N24,$A$69)+COUNTIF(N8:N24,$A$70)+COUNTIF(N8:N24,$A$71)+COUNTIF(N8:N24,$A$72)+COUNTIF(N8:N24,$A$73)+COUNTIF(N8:N24,$A$75)+COUNTIF(N8:N24,$A$76)+COUNTIF(N8:N24,$A$77)+COUNTIF(N8:N24,$A$78)+COUNTIF(N8:N24,$A$79)+COUNTIF(N8:N24,$A$80)+COUNTIF(N8:N24,$A$81)+COUNTIF(N8:N24,$A$82)+COUNTIF(N8:N24,$A$84)+COUNTIF(N8:N24,$A$85)+COUNTIF(N27:N39,$A$65)+COUNTIF(N27:N39,$A$66)+COUNTIF(N27:N39,$A$67)+COUNTIF(N27:N39,$A$68)+COUNTIF(N27:N39,$A$69)+COUNTIF(N27:N39,$A$70)+COUNTIF(N27:N39,$A$71)+COUNTIF(N27:N39,$A$72)+COUNTIF(N27:N39,$A$73)+COUNTIF(N27:N39,$A$75)+COUNTIF(N27:N39,$A$76)+COUNTIF(N27:N39,$A$77)+COUNTIF(N27:N39,$A$78)+COUNTIF(N27:N39,$A$79)+COUNTIF(N27:N39,$A$80)+COUNTIF(N27:N39,$A$81)+COUNTIF(N27:N39,$A$84)+COUNTIF(N27:N39,$A$85)</f>
        <v>14</v>
      </c>
      <c r="O25" s="41"/>
      <c r="P25" s="109">
        <f>+COUNTIF(P8:P24,$A$65)+COUNTIF(P8:P24,$A$66)+COUNTIF(P8:P24,$A$67)+COUNTIF(P8:P24,$A$68)+COUNTIF(P8:P24,$A$69)+COUNTIF(P8:P24,$A$70)+COUNTIF(P8:P24,$A$71)+COUNTIF(P8:P24,$A$72)+COUNTIF(P8:P24,$A$73)+COUNTIF(P8:P24,$A$75)+COUNTIF(P8:P24,$A$76)+COUNTIF(P8:P24,$A$77)+COUNTIF(P8:P24,$A$78)+COUNTIF(P8:P24,$A$79)+COUNTIF(P8:P24,$A$80)+COUNTIF(P8:P24,$A$81)+COUNTIF(P8:P24,$A$82)+COUNTIF(P8:P24,$A$84)+COUNTIF(P8:P24,$A$85)+COUNTIF(P27:P39,$A$65)+COUNTIF(P27:P39,$A$66)+COUNTIF(P27:P39,$A$67)+COUNTIF(P27:P39,$A$68)+COUNTIF(P27:P39,$A$69)+COUNTIF(P27:P39,$A$70)+COUNTIF(P27:P39,$A$71)+COUNTIF(P27:P39,$A$72)+COUNTIF(P27:P39,$A$73)+COUNTIF(P27:P39,$A$75)+COUNTIF(P27:P39,$A$76)+COUNTIF(P27:P39,$A$77)+COUNTIF(P27:P39,$A$78)+COUNTIF(P27:P39,$A$79)+COUNTIF(P27:P39,$A$80)+COUNTIF(P27:P39,$A$81)+COUNTIF(P27:P39,$A$84)+COUNTIF(P27:P39,$A$85)</f>
        <v>14</v>
      </c>
      <c r="Q25" s="41"/>
      <c r="R25" s="109">
        <f>+COUNTIF(R8:R24,$A$65)+COUNTIF(R8:R24,$A$66)+COUNTIF(R8:R24,$A$67)+COUNTIF(R8:R24,$A$68)+COUNTIF(R8:R24,$A$69)+COUNTIF(R8:R24,$A$70)+COUNTIF(R8:R24,$A$71)+COUNTIF(R8:R24,$A$72)+COUNTIF(R8:R24,$A$73)+COUNTIF(R8:R24,$A$75)+COUNTIF(R8:R24,$A$76)+COUNTIF(R8:R24,$A$77)+COUNTIF(R8:R24,$A$78)+COUNTIF(R8:R24,$A$79)+COUNTIF(R8:R24,$A$80)+COUNTIF(R8:R24,$A$81)+COUNTIF(R8:R24,$A$82)+COUNTIF(R8:R24,$A$84)+COUNTIF(R8:R24,$A$85)+COUNTIF(R27:R39,$A$65)+COUNTIF(R27:R39,$A$66)+COUNTIF(R27:R39,$A$67)+COUNTIF(R27:R39,$A$68)+COUNTIF(R27:R39,$A$69)+COUNTIF(R27:R39,$A$70)+COUNTIF(R27:R39,$A$71)+COUNTIF(R27:R39,$A$72)+COUNTIF(R27:R39,$A$73)+COUNTIF(R27:R39,$A$75)+COUNTIF(R27:R39,$A$76)+COUNTIF(R27:R39,$A$77)+COUNTIF(R27:R39,$A$78)+COUNTIF(R27:R39,$A$79)+COUNTIF(R27:R39,$A$80)+COUNTIF(R27:R39,$A$81)+COUNTIF(R27:R39,$A$84)+COUNTIF(R27:R39,$A$85)</f>
        <v>14</v>
      </c>
      <c r="S25" s="41"/>
      <c r="T25" s="109">
        <f>+COUNTIF(T8:T24,$A$65)+COUNTIF(T8:T24,$A$66)+COUNTIF(T8:T24,$A$67)+COUNTIF(T8:T24,$A$68)+COUNTIF(T8:T24,$A$69)+COUNTIF(T8:T24,$A$70)+COUNTIF(T8:T24,$A$71)+COUNTIF(T8:T24,$A$72)+COUNTIF(T8:T24,$A$73)+COUNTIF(T8:T24,$A$75)+COUNTIF(T8:T24,$A$76)+COUNTIF(T8:T24,$A$77)+COUNTIF(T8:T24,$A$78)+COUNTIF(T8:T24,$A$79)+COUNTIF(T8:T24,$A$80)+COUNTIF(T8:T24,$A$81)+COUNTIF(T8:T24,$A$82)+COUNTIF(T8:T24,$A$84)+COUNTIF(T8:T24,$A$85)+COUNTIF(T27:T39,$A$65)+COUNTIF(T27:T39,$A$66)+COUNTIF(T27:T39,$A$67)+COUNTIF(T27:T39,$A$68)+COUNTIF(T27:T39,$A$69)+COUNTIF(T27:T39,$A$70)+COUNTIF(T27:T39,$A$71)+COUNTIF(T27:T39,$A$72)+COUNTIF(T27:T39,$A$73)+COUNTIF(T27:T39,$A$75)+COUNTIF(T27:T39,$A$76)+COUNTIF(T27:T39,$A$77)+COUNTIF(T27:T39,$A$78)+COUNTIF(T27:T39,$A$79)+COUNTIF(T27:T39,$A$80)+COUNTIF(T27:T39,$A$81)+COUNTIF(T27:T39,$A$84)+COUNTIF(T27:T39,$A$85)</f>
        <v>17</v>
      </c>
      <c r="U25" s="41"/>
      <c r="V25" s="109">
        <f>+COUNTIF(V8:V24,$A$65)+COUNTIF(V8:V24,$A$66)+COUNTIF(V8:V24,$A$67)+COUNTIF(V8:V24,$A$68)+COUNTIF(V8:V24,$A$69)+COUNTIF(V8:V24,$A$70)+COUNTIF(V8:V24,$A$71)+COUNTIF(V8:V24,$A$72)+COUNTIF(V8:V24,$A$73)+COUNTIF(V8:V24,$A$75)+COUNTIF(V8:V24,$A$76)+COUNTIF(V8:V24,$A$77)+COUNTIF(V8:V24,$A$78)+COUNTIF(V8:V24,$A$79)+COUNTIF(V8:V24,$A$80)+COUNTIF(V8:V24,$A$81)+COUNTIF(V8:V24,$A$82)+COUNTIF(V8:V24,$A$84)+COUNTIF(V8:V24,$A$85)+COUNTIF(V27:V39,$A$65)+COUNTIF(V27:V39,$A$66)+COUNTIF(V27:V39,$A$67)+COUNTIF(V27:V39,$A$68)+COUNTIF(V27:V39,$A$69)+COUNTIF(V27:V39,$A$70)+COUNTIF(V27:V39,$A$71)+COUNTIF(V27:V39,$A$72)+COUNTIF(V27:V39,$A$73)+COUNTIF(V27:V39,$A$75)+COUNTIF(V27:V39,$A$76)+COUNTIF(V27:V39,$A$77)+COUNTIF(V27:V39,$A$78)+COUNTIF(V27:V39,$A$79)+COUNTIF(V27:V39,$A$80)+COUNTIF(V27:V39,$A$81)+COUNTIF(V27:V39,$A$84)+COUNTIF(V27:V39,$A$85)</f>
        <v>17</v>
      </c>
      <c r="W25" s="41"/>
      <c r="X25" s="109">
        <f>+COUNTIF(X8:X24,$A$65)+COUNTIF(X8:X24,$A$66)+COUNTIF(X8:X24,$A$67)+COUNTIF(X8:X24,$A$68)+COUNTIF(X8:X24,$A$69)+COUNTIF(X8:X24,$A$70)+COUNTIF(X8:X24,$A$71)+COUNTIF(X8:X24,$A$72)+COUNTIF(X8:X24,$A$73)+COUNTIF(X8:X24,$A$75)+COUNTIF(X8:X24,$A$76)+COUNTIF(X8:X24,$A$77)+COUNTIF(X8:X24,$A$78)+COUNTIF(X8:X24,$A$79)+COUNTIF(X8:X24,$A$80)+COUNTIF(X8:X24,$A$81)+COUNTIF(X8:X24,$A$82)+COUNTIF(X8:X24,$A$84)+COUNTIF(X8:X24,$A$85)+COUNTIF(X27:X39,$A$65)+COUNTIF(X27:X39,$A$66)+COUNTIF(X27:X39,$A$67)+COUNTIF(X27:X39,$A$68)+COUNTIF(X27:X39,$A$69)+COUNTIF(X27:X39,$A$70)+COUNTIF(X27:X39,$A$71)+COUNTIF(X27:X39,$A$72)+COUNTIF(X27:X39,$A$73)+COUNTIF(X27:X39,$A$75)+COUNTIF(X27:X39,$A$76)+COUNTIF(X27:X39,$A$77)+COUNTIF(X27:X39,$A$78)+COUNTIF(X27:X39,$A$79)+COUNTIF(X27:X39,$A$80)+COUNTIF(X27:X39,$A$81)+COUNTIF(X27:X39,$A$84)+COUNTIF(X27:X39,$A$85)</f>
        <v>17</v>
      </c>
      <c r="Y25" s="41"/>
      <c r="Z25" s="54"/>
      <c r="AA25" s="109">
        <f>+COUNTIF(AA8:AA24,$A$65)+COUNTIF(AA8:AA24,$A$66)+COUNTIF(AA8:AA24,$A$67)+COUNTIF(AA8:AA24,$A$68)+COUNTIF(AA8:AA24,$A$69)+COUNTIF(AA8:AA24,$A$70)+COUNTIF(AA8:AA24,$A$71)+COUNTIF(AA8:AA24,$A$72)+COUNTIF(AA8:AA24,$A$73)+COUNTIF(AA8:AA24,$A$75)+COUNTIF(AA8:AA24,$A$76)+COUNTIF(AA8:AA24,$A$77)+COUNTIF(AA8:AA24,$A$78)+COUNTIF(AA8:AA24,$A$79)+COUNTIF(AA8:AA24,$A$80)+COUNTIF(AA8:AA24,$A$81)+COUNTIF(AA8:AA24,$A$82)+COUNTIF(AA8:AA24,$A$84)+COUNTIF(AA8:AA24,$A$85)+COUNTIF(AA27:AA39,$A$65)+COUNTIF(AA27:AA39,$A$66)+COUNTIF(AA27:AA39,$A$67)+COUNTIF(AA27:AA39,$A$68)+COUNTIF(AA27:AA39,$A$69)+COUNTIF(AA27:AA39,$A$70)+COUNTIF(AA27:AA39,$A$71)+COUNTIF(AA27:AA39,$A$72)+COUNTIF(AA27:AA39,$A$73)+COUNTIF(AA27:AA39,$A$75)+COUNTIF(AA27:AA39,$A$76)+COUNTIF(AA27:AA39,$A$77)+COUNTIF(AA27:AA39,$A$78)+COUNTIF(AA27:AA39,$A$79)+COUNTIF(AA27:AA39,$A$80)+COUNTIF(AA27:AA39,$A$81)+COUNTIF(AA27:AA39,$A$84)+COUNTIF(AA27:AA39,$A$85)</f>
        <v>18</v>
      </c>
      <c r="AB25" s="41"/>
      <c r="AC25" s="109">
        <f>+COUNTIF(AC8:AC24,$A$65)+COUNTIF(AC8:AC24,$A$66)+COUNTIF(AC8:AC24,$A$67)+COUNTIF(AC8:AC24,$A$68)+COUNTIF(AC8:AC24,$A$69)+COUNTIF(AC8:AC24,$A$70)+COUNTIF(AC8:AC24,$A$71)+COUNTIF(AC8:AC24,$A$72)+COUNTIF(AC8:AC24,$A$73)+COUNTIF(AC8:AC24,$A$75)+COUNTIF(AC8:AC24,$A$76)+COUNTIF(AC8:AC24,$A$77)+COUNTIF(AC8:AC24,$A$78)+COUNTIF(AC8:AC24,$A$79)+COUNTIF(AC8:AC24,$A$80)+COUNTIF(AC8:AC24,$A$81)+COUNTIF(AC8:AC24,$A$82)+COUNTIF(AC8:AC24,$A$84)+COUNTIF(AC8:AC24,$A$85)+COUNTIF(AC27:AC39,$A$65)+COUNTIF(AC27:AC39,$A$66)+COUNTIF(AC27:AC39,$A$67)+COUNTIF(AC27:AC39,$A$68)+COUNTIF(AC27:AC39,$A$69)+COUNTIF(AC27:AC39,$A$70)+COUNTIF(AC27:AC39,$A$71)+COUNTIF(AC27:AC39,$A$72)+COUNTIF(AC27:AC39,$A$73)+COUNTIF(AC27:AC39,$A$75)+COUNTIF(AC27:AC39,$A$76)+COUNTIF(AC27:AC39,$A$77)+COUNTIF(AC27:AC39,$A$78)+COUNTIF(AC27:AC39,$A$79)+COUNTIF(AC27:AC39,$A$80)+COUNTIF(AC27:AC39,$A$81)+COUNTIF(AC27:AC39,$A$84)+COUNTIF(AC27:AC39,$A$85)</f>
        <v>17</v>
      </c>
      <c r="AD25" s="41"/>
      <c r="AE25" s="109">
        <f>+COUNTIF(AE8:AE24,$A$65)+COUNTIF(AE8:AE24,$A$66)+COUNTIF(AE8:AE24,$A$67)+COUNTIF(AE8:AE24,$A$68)+COUNTIF(AE8:AE24,$A$69)+COUNTIF(AE8:AE24,$A$70)+COUNTIF(AE8:AE24,$A$71)+COUNTIF(AE8:AE24,$A$72)+COUNTIF(AE8:AE24,$A$73)+COUNTIF(AE8:AE24,$A$75)+COUNTIF(AE8:AE24,$A$76)+COUNTIF(AE8:AE24,$A$77)+COUNTIF(AE8:AE24,$A$78)+COUNTIF(AE8:AE24,$A$79)+COUNTIF(AE8:AE24,$A$80)+COUNTIF(AE8:AE24,$A$81)+COUNTIF(AE8:AE24,$A$82)+COUNTIF(AE8:AE24,$A$84)+COUNTIF(AE8:AE24,$A$85)+COUNTIF(AE27:AE39,$A$65)+COUNTIF(AE27:AE39,$A$66)+COUNTIF(AE27:AE39,$A$67)+COUNTIF(AE27:AE39,$A$68)+COUNTIF(AE27:AE39,$A$69)+COUNTIF(AE27:AE39,$A$70)+COUNTIF(AE27:AE39,$A$71)+COUNTIF(AE27:AE39,$A$72)+COUNTIF(AE27:AE39,$A$73)+COUNTIF(AE27:AE39,$A$75)+COUNTIF(AE27:AE39,$A$76)+COUNTIF(AE27:AE39,$A$77)+COUNTIF(AE27:AE39,$A$78)+COUNTIF(AE27:AE39,$A$79)+COUNTIF(AE27:AE39,$A$80)+COUNTIF(AE27:AE39,$A$81)+COUNTIF(AE27:AE39,$A$84)+COUNTIF(AE27:AE39,$A$85)</f>
        <v>16</v>
      </c>
      <c r="AF25" s="41"/>
      <c r="AG25" s="109">
        <f>+COUNTIF(AG8:AG24,$A$65)+COUNTIF(AG8:AG24,$A$66)+COUNTIF(AG8:AG24,$A$67)+COUNTIF(AG8:AG24,$A$68)+COUNTIF(AG8:AG24,$A$69)+COUNTIF(AG8:AG24,$A$70)+COUNTIF(AG8:AG24,$A$71)+COUNTIF(AG8:AG24,$A$72)+COUNTIF(AG8:AG24,$A$73)+COUNTIF(AG8:AG24,$A$75)+COUNTIF(AG8:AG24,$A$76)+COUNTIF(AG8:AG24,$A$77)+COUNTIF(AG8:AG24,$A$78)+COUNTIF(AG8:AG24,$A$79)+COUNTIF(AG8:AG24,$A$80)+COUNTIF(AG8:AG24,$A$81)+COUNTIF(AG8:AG24,$A$82)+COUNTIF(AG8:AG24,$A$84)+COUNTIF(AG8:AG24,$A$85)+COUNTIF(AG27:AG39,$A$65)+COUNTIF(AG27:AG39,$A$66)+COUNTIF(AG27:AG39,$A$67)+COUNTIF(AG27:AG39,$A$68)+COUNTIF(AG27:AG39,$A$69)+COUNTIF(AG27:AG39,$A$70)+COUNTIF(AG27:AG39,$A$71)+COUNTIF(AG27:AG39,$A$72)+COUNTIF(AG27:AG39,$A$73)+COUNTIF(AG27:AG39,$A$75)+COUNTIF(AG27:AG39,$A$76)+COUNTIF(AG27:AG39,$A$77)+COUNTIF(AG27:AG39,$A$78)+COUNTIF(AG27:AG39,$A$79)+COUNTIF(AG27:AG39,$A$80)+COUNTIF(AG27:AG39,$A$81)+COUNTIF(AG27:AG39,$A$84)+COUNTIF(AG27:AG39,$A$85)</f>
        <v>15</v>
      </c>
      <c r="AH25" s="110"/>
      <c r="AI25" s="109">
        <f>+COUNTIF(AI8:AI24,$A$65)+COUNTIF(AI8:AI24,$A$66)+COUNTIF(AI8:AI24,$A$67)+COUNTIF(AI8:AI24,$A$68)+COUNTIF(AI8:AI24,$A$69)+COUNTIF(AI8:AI24,$A$70)+COUNTIF(AI8:AI24,$A$71)+COUNTIF(AI8:AI24,$A$72)+COUNTIF(AI8:AI24,$A$73)+COUNTIF(AI8:AI24,$A$75)+COUNTIF(AI8:AI24,$A$76)+COUNTIF(AI8:AI24,$A$77)+COUNTIF(AI8:AI24,$A$78)+COUNTIF(AI8:AI24,$A$79)+COUNTIF(AI8:AI24,$A$80)+COUNTIF(AI8:AI24,$A$81)+COUNTIF(AI8:AI24,$A$82)+COUNTIF(AI8:AI24,$A$84)+COUNTIF(AI8:AI24,$A$85)+COUNTIF(AI27:AI39,$A$65)+COUNTIF(AI27:AI39,$A$66)+COUNTIF(AI27:AI39,$A$67)+COUNTIF(AI27:AI39,$A$68)+COUNTIF(AI27:AI39,$A$69)+COUNTIF(AI27:AI39,$A$70)+COUNTIF(AI27:AI39,$A$71)+COUNTIF(AI27:AI39,$A$72)+COUNTIF(AI27:AI39,$A$73)+COUNTIF(AI27:AI39,$A$75)+COUNTIF(AI27:AI39,$A$76)+COUNTIF(AI27:AI39,$A$77)+COUNTIF(AI27:AI39,$A$78)+COUNTIF(AI27:AI39,$A$79)+COUNTIF(AI27:AI39,$A$80)+COUNTIF(AI27:AI39,$A$81)+COUNTIF(AI27:AI39,$A$84)+COUNTIF(AI27:AI39,$A$85)</f>
        <v>15</v>
      </c>
      <c r="AJ25" s="41"/>
      <c r="AK25" s="109">
        <f>+COUNTIF(AK8:AK24,$A$65)+COUNTIF(AK8:AK24,$A$66)+COUNTIF(AK8:AK24,$A$67)+COUNTIF(AK8:AK24,$A$68)+COUNTIF(AK8:AK24,$A$69)+COUNTIF(AK8:AK24,$A$70)+COUNTIF(AK8:AK24,$A$71)+COUNTIF(AK8:AK24,$A$72)+COUNTIF(AK8:AK24,$A$73)+COUNTIF(AK8:AK24,$A$75)+COUNTIF(AK8:AK24,$A$76)+COUNTIF(AK8:AK24,$A$77)+COUNTIF(AK8:AK24,$A$78)+COUNTIF(AK8:AK24,$A$79)+COUNTIF(AK8:AK24,$A$80)+COUNTIF(AK8:AK24,$A$81)+COUNTIF(AK8:AK24,$A$82)+COUNTIF(AK8:AK24,$A$84)+COUNTIF(AK8:AK24,$A$85)+COUNTIF(AK27:AK39,$A$65)+COUNTIF(AK27:AK39,$A$66)+COUNTIF(AK27:AK39,$A$67)+COUNTIF(AK27:AK39,$A$68)+COUNTIF(AK27:AK39,$A$69)+COUNTIF(AK27:AK39,$A$70)+COUNTIF(AK27:AK39,$A$71)+COUNTIF(AK27:AK39,$A$72)+COUNTIF(AK27:AK39,$A$73)+COUNTIF(AK27:AK39,$A$75)+COUNTIF(AK27:AK39,$A$76)+COUNTIF(AK27:AK39,$A$77)+COUNTIF(AK27:AK39,$A$78)+COUNTIF(AK27:AK39,$A$79)+COUNTIF(AK27:AK39,$A$80)+COUNTIF(AK27:AK39,$A$81)+COUNTIF(AK27:AK39,$A$84)+COUNTIF(AK27:AK39,$A$85)</f>
        <v>16</v>
      </c>
      <c r="AL25" s="41"/>
      <c r="AM25" s="109">
        <f>+COUNTIF(AM8:AM24,$A$65)+COUNTIF(AM8:AM24,$A$66)+COUNTIF(AM8:AM24,$A$67)+COUNTIF(AM8:AM24,$A$68)+COUNTIF(AM8:AM24,$A$69)+COUNTIF(AM8:AM24,$A$70)+COUNTIF(AM8:AM24,$A$71)+COUNTIF(AM8:AM24,$A$72)+COUNTIF(AM8:AM24,$A$73)+COUNTIF(AM8:AM24,$A$75)+COUNTIF(AM8:AM24,$A$76)+COUNTIF(AM8:AM24,$A$77)+COUNTIF(AM8:AM24,$A$78)+COUNTIF(AM8:AM24,$A$79)+COUNTIF(AM8:AM24,$A$80)+COUNTIF(AM8:AM24,$A$81)+COUNTIF(AM8:AM24,$A$82)+COUNTIF(AM8:AM24,$A$84)+COUNTIF(AM8:AM24,$A$85)+COUNTIF(AM27:AM39,$A$65)+COUNTIF(AM27:AM39,$A$66)+COUNTIF(AM27:AM39,$A$67)+COUNTIF(AM27:AM39,$A$68)+COUNTIF(AM27:AM39,$A$69)+COUNTIF(AM27:AM39,$A$70)+COUNTIF(AM27:AM39,$A$71)+COUNTIF(AM27:AM39,$A$72)+COUNTIF(AM27:AM39,$A$73)+COUNTIF(AM27:AM39,$A$75)+COUNTIF(AM27:AM39,$A$76)+COUNTIF(AM27:AM39,$A$77)+COUNTIF(AM27:AM39,$A$78)+COUNTIF(AM27:AM39,$A$79)+COUNTIF(AM27:AM39,$A$80)+COUNTIF(AM27:AM39,$A$81)+COUNTIF(AM27:AM39,$A$84)+COUNTIF(AM27:AM39,$A$85)</f>
        <v>17</v>
      </c>
      <c r="AN25" s="41"/>
      <c r="AO25" s="111"/>
      <c r="AP25" s="109">
        <f>+COUNTIF(AP8:AP24,$A$65)+COUNTIF(AP8:AP24,$A$66)+COUNTIF(AP8:AP24,$A$67)+COUNTIF(AP8:AP24,$A$68)+COUNTIF(AP8:AP24,$A$69)+COUNTIF(AP8:AP24,$A$70)+COUNTIF(AP8:AP24,$A$71)+COUNTIF(AP8:AP24,$A$72)+COUNTIF(AP8:AP24,$A$73)+COUNTIF(AP8:AP24,$A$75)+COUNTIF(AP8:AP24,$A$76)+COUNTIF(AP8:AP24,$A$77)+COUNTIF(AP8:AP24,$A$78)+COUNTIF(AP8:AP24,$A$79)+COUNTIF(AP8:AP24,$A$80)+COUNTIF(AP8:AP24,$A$81)+COUNTIF(AP8:AP24,$A$82)+COUNTIF(AP8:AP24,$A$84)+COUNTIF(AP8:AP24,$A$85)+COUNTIF(AP27:AP39,$A$65)+COUNTIF(AP27:AP39,$A$66)+COUNTIF(AP27:AP39,$A$67)+COUNTIF(AP27:AP39,$A$68)+COUNTIF(AP27:AP39,$A$69)+COUNTIF(AP27:AP39,$A$70)+COUNTIF(AP27:AP39,$A$71)+COUNTIF(AP27:AP39,$A$72)+COUNTIF(AP27:AP39,$A$73)+COUNTIF(AP27:AP39,$A$75)+COUNTIF(AP27:AP39,$A$76)+COUNTIF(AP27:AP39,$A$77)+COUNTIF(AP27:AP39,$A$78)+COUNTIF(AP27:AP39,$A$79)+COUNTIF(AP27:AP39,$A$80)+COUNTIF(AP27:AP39,$A$81)+COUNTIF(AP27:AP39,$A$84)+COUNTIF(AP27:AP39,$A$85)</f>
        <v>13</v>
      </c>
      <c r="AQ25" s="41"/>
      <c r="AR25" s="109">
        <f>+COUNTIF(AR8:AR24,$A$65)+COUNTIF(AR8:AR24,$A$66)+COUNTIF(AR8:AR24,$A$67)+COUNTIF(AR8:AR24,$A$68)+COUNTIF(AR8:AR24,$A$69)+COUNTIF(AR8:AR24,$A$70)+COUNTIF(AR8:AR24,$A$71)+COUNTIF(AR8:AR24,$A$72)+COUNTIF(AR8:AR24,$A$73)+COUNTIF(AR8:AR24,$A$75)+COUNTIF(AR8:AR24,$A$76)+COUNTIF(AR8:AR24,$A$77)+COUNTIF(AR8:AR24,$A$78)+COUNTIF(AR8:AR24,$A$79)+COUNTIF(AR8:AR24,$A$80)+COUNTIF(AR8:AR24,$A$81)+COUNTIF(AR8:AR24,$A$82)+COUNTIF(AR8:AR24,$A$84)+COUNTIF(AR8:AR24,$A$85)+COUNTIF(AR27:AR39,$A$65)+COUNTIF(AR27:AR39,$A$66)+COUNTIF(AR27:AR39,$A$67)+COUNTIF(AR27:AR39,$A$68)+COUNTIF(AR27:AR39,$A$69)+COUNTIF(AR27:AR39,$A$70)+COUNTIF(AR27:AR39,$A$71)+COUNTIF(AR27:AR39,$A$72)+COUNTIF(AR27:AR39,$A$73)+COUNTIF(AR27:AR39,$A$75)+COUNTIF(AR27:AR39,$A$76)+COUNTIF(AR27:AR39,$A$77)+COUNTIF(AR27:AR39,$A$78)+COUNTIF(AR27:AR39,$A$79)+COUNTIF(AR27:AR39,$A$80)+COUNTIF(AR27:AR39,$A$81)+COUNTIF(AR27:AR39,$A$84)+COUNTIF(AR27:AR39,$A$85)</f>
        <v>15</v>
      </c>
      <c r="AS25" s="41"/>
      <c r="AT25" s="109">
        <f>+COUNTIF(AT8:AT24,$A$65)+COUNTIF(AT8:AT24,$A$66)+COUNTIF(AT8:AT24,$A$67)+COUNTIF(AT8:AT24,$A$68)+COUNTIF(AT8:AT24,$A$69)+COUNTIF(AT8:AT24,$A$70)+COUNTIF(AT8:AT24,$A$71)+COUNTIF(AT8:AT24,$A$72)+COUNTIF(AT8:AT24,$A$73)+COUNTIF(AT8:AT24,$A$75)+COUNTIF(AT8:AT24,$A$76)+COUNTIF(AT8:AT24,$A$77)+COUNTIF(AT8:AT24,$A$78)+COUNTIF(AT8:AT24,$A$79)+COUNTIF(AT8:AT24,$A$80)+COUNTIF(AT8:AT24,$A$81)+COUNTIF(AT8:AT24,$A$82)+COUNTIF(AT8:AT24,$A$84)+COUNTIF(AT8:AT24,$A$85)+COUNTIF(AT27:AT39,$A$65)+COUNTIF(AT27:AT39,$A$66)+COUNTIF(AT27:AT39,$A$67)+COUNTIF(AT27:AT39,$A$68)+COUNTIF(AT27:AT39,$A$69)+COUNTIF(AT27:AT39,$A$70)+COUNTIF(AT27:AT39,$A$71)+COUNTIF(AT27:AT39,$A$72)+COUNTIF(AT27:AT39,$A$73)+COUNTIF(AT27:AT39,$A$75)+COUNTIF(AT27:AT39,$A$76)+COUNTIF(AT27:AT39,$A$77)+COUNTIF(AT27:AT39,$A$78)+COUNTIF(AT27:AT39,$A$79)+COUNTIF(AT27:AT39,$A$80)+COUNTIF(AT27:AT39,$A$81)+COUNTIF(AT27:AT39,$A$84)+COUNTIF(AT27:AT39,$A$85)</f>
        <v>14</v>
      </c>
      <c r="AU25" s="41"/>
      <c r="AV25" s="109">
        <f>+COUNTIF(AV8:AV24,$A$65)+COUNTIF(AV8:AV24,$A$66)+COUNTIF(AV8:AV24,$A$67)+COUNTIF(AV8:AV24,$A$68)+COUNTIF(AV8:AV24,$A$69)+COUNTIF(AV8:AV24,$A$70)+COUNTIF(AV8:AV24,$A$71)+COUNTIF(AV8:AV24,$A$72)+COUNTIF(AV8:AV24,$A$73)+COUNTIF(AV8:AV24,$A$75)+COUNTIF(AV8:AV24,$A$76)+COUNTIF(AV8:AV24,$A$77)+COUNTIF(AV8:AV24,$A$78)+COUNTIF(AV8:AV24,$A$79)+COUNTIF(AV8:AV24,$A$80)+COUNTIF(AV8:AV24,$A$81)+COUNTIF(AV8:AV24,$A$82)+COUNTIF(AV8:AV24,$A$84)+COUNTIF(AV8:AV24,$A$85)+COUNTIF(AV27:AV39,$A$65)+COUNTIF(AV27:AV39,$A$66)+COUNTIF(AV27:AV39,$A$67)+COUNTIF(AV27:AV39,$A$68)+COUNTIF(AV27:AV39,$A$69)+COUNTIF(AV27:AV39,$A$70)+COUNTIF(AV27:AV39,$A$71)+COUNTIF(AV27:AV39,$A$72)+COUNTIF(AV27:AV39,$A$73)+COUNTIF(AV27:AV39,$A$75)+COUNTIF(AV27:AV39,$A$76)+COUNTIF(AV27:AV39,$A$77)+COUNTIF(AV27:AV39,$A$78)+COUNTIF(AV27:AV39,$A$79)+COUNTIF(AV27:AV39,$A$80)+COUNTIF(AV27:AV39,$A$81)+COUNTIF(AV27:AV39,$A$84)+COUNTIF(AV27:AV39,$A$85)</f>
        <v>15</v>
      </c>
      <c r="AW25" s="41"/>
      <c r="AX25" s="109">
        <f>+COUNTIF(AX8:AX24,$A$65)+COUNTIF(AX8:AX24,$A$66)+COUNTIF(AX8:AX24,$A$67)+COUNTIF(AX8:AX24,$A$68)+COUNTIF(AX8:AX24,$A$69)+COUNTIF(AX8:AX24,$A$70)+COUNTIF(AX8:AX24,$A$71)+COUNTIF(AX8:AX24,$A$72)+COUNTIF(AX8:AX24,$A$73)+COUNTIF(AX8:AX24,$A$75)+COUNTIF(AX8:AX24,$A$76)+COUNTIF(AX8:AX24,$A$77)+COUNTIF(AX8:AX24,$A$78)+COUNTIF(AX8:AX24,$A$79)+COUNTIF(AX8:AX24,$A$80)+COUNTIF(AX8:AX24,$A$81)+COUNTIF(AX8:AX24,$A$82)+COUNTIF(AX8:AX24,$A$84)+COUNTIF(AX8:AX24,$A$85)+COUNTIF(AX27:AX39,$A$65)+COUNTIF(AX27:AX39,$A$66)+COUNTIF(AX27:AX39,$A$67)+COUNTIF(AX27:AX39,$A$68)+COUNTIF(AX27:AX39,$A$69)+COUNTIF(AX27:AX39,$A$70)+COUNTIF(AX27:AX39,$A$71)+COUNTIF(AX27:AX39,$A$72)+COUNTIF(AX27:AX39,$A$73)+COUNTIF(AX27:AX39,$A$75)+COUNTIF(AX27:AX39,$A$76)+COUNTIF(AX27:AX39,$A$77)+COUNTIF(AX27:AX39,$A$78)+COUNTIF(AX27:AX39,$A$79)+COUNTIF(AX27:AX39,$A$80)+COUNTIF(AX27:AX39,$A$81)+COUNTIF(AX27:AX39,$A$84)+COUNTIF(AX27:AX39,$A$85)</f>
        <v>16</v>
      </c>
      <c r="AY25" s="41"/>
      <c r="AZ25" s="109">
        <f>+COUNTIF(AZ8:AZ24,$A$65)+COUNTIF(AZ8:AZ24,$A$66)+COUNTIF(AZ8:AZ24,$A$67)+COUNTIF(AZ8:AZ24,$A$68)+COUNTIF(AZ8:AZ24,$A$69)+COUNTIF(AZ8:AZ24,$A$70)+COUNTIF(AZ8:AZ24,$A$71)+COUNTIF(AZ8:AZ24,$A$72)+COUNTIF(AZ8:AZ24,$A$73)+COUNTIF(AZ8:AZ24,$A$75)+COUNTIF(AZ8:AZ24,$A$76)+COUNTIF(AZ8:AZ24,$A$77)+COUNTIF(AZ8:AZ24,$A$78)+COUNTIF(AZ8:AZ24,$A$79)+COUNTIF(AZ8:AZ24,$A$80)+COUNTIF(AZ8:AZ24,$A$81)+COUNTIF(AZ8:AZ24,$A$82)+COUNTIF(AZ8:AZ24,$A$84)+COUNTIF(AZ8:AZ24,$A$85)+COUNTIF(AZ27:AZ39,$A$65)+COUNTIF(AZ27:AZ39,$A$66)+COUNTIF(AZ27:AZ39,$A$67)+COUNTIF(AZ27:AZ39,$A$68)+COUNTIF(AZ27:AZ39,$A$69)+COUNTIF(AZ27:AZ39,$A$70)+COUNTIF(AZ27:AZ39,$A$71)+COUNTIF(AZ27:AZ39,$A$72)+COUNTIF(AZ27:AZ39,$A$73)+COUNTIF(AZ27:AZ39,$A$75)+COUNTIF(AZ27:AZ39,$A$76)+COUNTIF(AZ27:AZ39,$A$77)+COUNTIF(AZ27:AZ39,$A$78)+COUNTIF(AZ27:AZ39,$A$79)+COUNTIF(AZ27:AZ39,$A$80)+COUNTIF(AZ27:AZ39,$A$81)+COUNTIF(AZ27:AZ39,$A$84)+COUNTIF(AZ27:AZ39,$A$85)</f>
        <v>16</v>
      </c>
      <c r="BA25" s="41"/>
      <c r="BB25" s="109">
        <f>+COUNTIF(BB8:BB24,$A$65)+COUNTIF(BB8:BB24,$A$66)+COUNTIF(BB8:BB24,$A$67)+COUNTIF(BB8:BB24,$A$68)+COUNTIF(BB8:BB24,$A$69)+COUNTIF(BB8:BB24,$A$70)+COUNTIF(BB8:BB24,$A$71)+COUNTIF(BB8:BB24,$A$72)+COUNTIF(BB8:BB24,$A$73)+COUNTIF(BB8:BB24,$A$75)+COUNTIF(BB8:BB24,$A$76)+COUNTIF(BB8:BB24,$A$77)+COUNTIF(BB8:BB24,$A$78)+COUNTIF(BB8:BB24,$A$79)+COUNTIF(BB8:BB24,$A$80)+COUNTIF(BB8:BB24,$A$81)+COUNTIF(BB8:BB24,$A$82)+COUNTIF(BB8:BB24,$A$84)+COUNTIF(BB8:BB24,$A$85)+COUNTIF(BB27:BB39,$A$65)+COUNTIF(BB27:BB39,$A$66)+COUNTIF(BB27:BB39,$A$67)+COUNTIF(BB27:BB39,$A$68)+COUNTIF(BB27:BB39,$A$69)+COUNTIF(BB27:BB39,$A$70)+COUNTIF(BB27:BB39,$A$71)+COUNTIF(BB27:BB39,$A$72)+COUNTIF(BB27:BB39,$A$73)+COUNTIF(BB27:BB39,$A$75)+COUNTIF(BB27:BB39,$A$76)+COUNTIF(BB27:BB39,$A$77)+COUNTIF(BB27:BB39,$A$78)+COUNTIF(BB27:BB39,$A$79)+COUNTIF(BB27:BB39,$A$80)+COUNTIF(BB27:BB39,$A$81)+COUNTIF(BB27:BB39,$A$84)+COUNTIF(BB27:BB39,$A$85)</f>
        <v>16</v>
      </c>
      <c r="BC25" s="41"/>
      <c r="BD25" s="111"/>
      <c r="BE25" s="109">
        <f>+COUNTIF(BE8:BE24,$A$65)+COUNTIF(BE8:BE24,$A$66)+COUNTIF(BE8:BE24,$A$67)+COUNTIF(BE8:BE24,$A$68)+COUNTIF(BE8:BE24,$A$69)+COUNTIF(BE8:BE24,$A$70)+COUNTIF(BE8:BE24,$A$71)+COUNTIF(BE8:BE24,$A$72)+COUNTIF(BE8:BE24,$A$73)+COUNTIF(BE8:BE24,$A$75)+COUNTIF(BE8:BE24,$A$76)+COUNTIF(BE8:BE24,$A$77)+COUNTIF(BE8:BE24,$A$78)+COUNTIF(BE8:BE24,$A$79)+COUNTIF(BE8:BE24,$A$80)+COUNTIF(BE8:BE24,$A$81)+COUNTIF(BE8:BE24,$A$82)+COUNTIF(BE8:BE24,$A$84)+COUNTIF(BE8:BE24,$A$85)+COUNTIF(BE27:BE39,$A$65)+COUNTIF(BE27:BE39,$A$66)+COUNTIF(BE27:BE39,$A$67)+COUNTIF(BE27:BE39,$A$68)+COUNTIF(BE27:BE39,$A$69)+COUNTIF(BE27:BE39,$A$70)+COUNTIF(BE27:BE39,$A$71)+COUNTIF(BE27:BE39,$A$72)+COUNTIF(BE27:BE39,$A$73)+COUNTIF(BE27:BE39,$A$75)+COUNTIF(BE27:BE39,$A$76)+COUNTIF(BE27:BE39,$A$77)+COUNTIF(BE27:BE39,$A$78)+COUNTIF(BE27:BE39,$A$79)+COUNTIF(BE27:BE39,$A$80)+COUNTIF(BE27:BE39,$A$81)+COUNTIF(BE27:BE39,$A$84)+COUNTIF(BE27:BE39,$A$85)</f>
        <v>13</v>
      </c>
      <c r="BF25" s="41"/>
      <c r="BG25" s="109">
        <f>+COUNTIF(BG8:BG24,$A$65)+COUNTIF(BG8:BG24,$A$66)+COUNTIF(BG8:BG24,$A$67)+COUNTIF(BG8:BG24,$A$68)+COUNTIF(BG8:BG24,$A$69)+COUNTIF(BG8:BG24,$A$70)+COUNTIF(BG8:BG24,$A$71)+COUNTIF(BG8:BG24,$A$72)+COUNTIF(BG8:BG24,$A$73)+COUNTIF(BG8:BG24,$A$75)+COUNTIF(BG8:BG24,$A$76)+COUNTIF(BG8:BG24,$A$77)+COUNTIF(BG8:BG24,$A$78)+COUNTIF(BG8:BG24,$A$79)+COUNTIF(BG8:BG24,$A$80)+COUNTIF(BG8:BG24,$A$81)+COUNTIF(BG8:BG24,$A$82)+COUNTIF(BG8:BG24,$A$84)+COUNTIF(BG8:BG24,$A$85)+COUNTIF(BG27:BG39,$A$65)+COUNTIF(BG27:BG39,$A$66)+COUNTIF(BG27:BG39,$A$67)+COUNTIF(BG27:BG39,$A$68)+COUNTIF(BG27:BG39,$A$69)+COUNTIF(BG27:BG39,$A$70)+COUNTIF(BG27:BG39,$A$71)+COUNTIF(BG27:BG39,$A$72)+COUNTIF(BG27:BG39,$A$73)+COUNTIF(BG27:BG39,$A$75)+COUNTIF(BG27:BG39,$A$76)+COUNTIF(BG27:BG39,$A$77)+COUNTIF(BG27:BG39,$A$78)+COUNTIF(BG27:BG39,$A$79)+COUNTIF(BG27:BG39,$A$80)+COUNTIF(BG27:BG39,$A$81)+COUNTIF(BG27:BG39,$A$84)+COUNTIF(BG27:BG39,$A$85)</f>
        <v>14</v>
      </c>
      <c r="BH25" s="41"/>
      <c r="BI25" s="109">
        <f>+COUNTIF(BI8:BI24,$A$65)+COUNTIF(BI8:BI24,$A$66)+COUNTIF(BI8:BI24,$A$67)+COUNTIF(BI8:BI24,$A$68)+COUNTIF(BI8:BI24,$A$69)+COUNTIF(BI8:BI24,$A$70)+COUNTIF(BI8:BI24,$A$71)+COUNTIF(BI8:BI24,$A$72)+COUNTIF(BI8:BI24,$A$73)+COUNTIF(BI8:BI24,$A$75)+COUNTIF(BI8:BI24,$A$76)+COUNTIF(BI8:BI24,$A$77)+COUNTIF(BI8:BI24,$A$78)+COUNTIF(BI8:BI24,$A$79)+COUNTIF(BI8:BI24,$A$80)+COUNTIF(BI8:BI24,$A$81)+COUNTIF(BI8:BI24,$A$82)+COUNTIF(BI8:BI24,$A$84)+COUNTIF(BI8:BI24,$A$85)+COUNTIF(BI27:BI39,$A$65)+COUNTIF(BI27:BI39,$A$66)+COUNTIF(BI27:BI39,$A$67)+COUNTIF(BI27:BI39,$A$68)+COUNTIF(BI27:BI39,$A$69)+COUNTIF(BI27:BI39,$A$70)+COUNTIF(BI27:BI39,$A$71)+COUNTIF(BI27:BI39,$A$72)+COUNTIF(BI27:BI39,$A$73)+COUNTIF(BI27:BI39,$A$75)+COUNTIF(BI27:BI39,$A$76)+COUNTIF(BI27:BI39,$A$77)+COUNTIF(BI27:BI39,$A$78)+COUNTIF(BI27:BI39,$A$79)+COUNTIF(BI27:BI39,$A$80)+COUNTIF(BI27:BI39,$A$81)+COUNTIF(BI27:BI39,$A$84)+COUNTIF(BI27:BI39,$A$85)</f>
        <v>13</v>
      </c>
      <c r="BJ25" s="41"/>
      <c r="BK25" s="109">
        <f>+COUNTIF(BK8:BK24,$A$65)+COUNTIF(BK8:BK24,$A$66)+COUNTIF(BK8:BK24,$A$67)+COUNTIF(BK8:BK24,$A$68)+COUNTIF(BK8:BK24,$A$69)+COUNTIF(BK8:BK24,$A$70)+COUNTIF(BK8:BK24,$A$71)+COUNTIF(BK8:BK24,$A$72)+COUNTIF(BK8:BK24,$A$73)+COUNTIF(BK8:BK24,$A$75)+COUNTIF(BK8:BK24,$A$76)+COUNTIF(BK8:BK24,$A$77)+COUNTIF(BK8:BK24,$A$78)+COUNTIF(BK8:BK24,$A$79)+COUNTIF(BK8:BK24,$A$80)+COUNTIF(BK8:BK24,$A$81)+COUNTIF(BK8:BK24,$A$82)+COUNTIF(BK8:BK24,$A$84)+COUNTIF(BK8:BK24,$A$85)+COUNTIF(BK27:BK39,$A$65)+COUNTIF(BK27:BK39,$A$66)+COUNTIF(BK27:BK39,$A$67)+COUNTIF(BK27:BK39,$A$68)+COUNTIF(BK27:BK39,$A$69)+COUNTIF(BK27:BK39,$A$70)+COUNTIF(BK27:BK39,$A$71)+COUNTIF(BK27:BK39,$A$72)+COUNTIF(BK27:BK39,$A$73)+COUNTIF(BK27:BK39,$A$75)+COUNTIF(BK27:BK39,$A$76)+COUNTIF(BK27:BK39,$A$77)+COUNTIF(BK27:BK39,$A$78)+COUNTIF(BK27:BK39,$A$79)+COUNTIF(BK27:BK39,$A$80)+COUNTIF(BK27:BK39,$A$81)+COUNTIF(BK27:BK39,$A$84)+COUNTIF(BK27:BK39,$A$85)</f>
        <v>14</v>
      </c>
      <c r="BL25" s="41"/>
      <c r="BM25" s="109">
        <f>+COUNTIF(BM8:BM24,$A$65)+COUNTIF(BM8:BM24,$A$66)+COUNTIF(BM8:BM24,$A$67)+COUNTIF(BM8:BM24,$A$68)+COUNTIF(BM8:BM24,$A$69)+COUNTIF(BM8:BM24,$A$70)+COUNTIF(BM8:BM24,$A$71)+COUNTIF(BM8:BM24,$A$72)+COUNTIF(BM8:BM24,$A$73)+COUNTIF(BM8:BM24,$A$75)+COUNTIF(BM8:BM24,$A$76)+COUNTIF(BM8:BM24,$A$77)+COUNTIF(BM8:BM24,$A$78)+COUNTIF(BM8:BM24,$A$79)+COUNTIF(BM8:BM24,$A$80)+COUNTIF(BM8:BM24,$A$81)+COUNTIF(BM8:BM24,$A$82)+COUNTIF(BM8:BM24,$A$84)+COUNTIF(BM8:BM24,$A$85)+COUNTIF(BM27:BM39,$A$65)+COUNTIF(BM27:BM39,$A$66)+COUNTIF(BM27:BM39,$A$67)+COUNTIF(BM27:BM39,$A$68)+COUNTIF(BM27:BM39,$A$69)+COUNTIF(BM27:BM39,$A$70)+COUNTIF(BM27:BM39,$A$71)+COUNTIF(BM27:BM39,$A$72)+COUNTIF(BM27:BM39,$A$73)+COUNTIF(BM27:BM39,$A$75)+COUNTIF(BM27:BM39,$A$76)+COUNTIF(BM27:BM39,$A$77)+COUNTIF(BM27:BM39,$A$78)+COUNTIF(BM27:BM39,$A$79)+COUNTIF(BM27:BM39,$A$80)+COUNTIF(BM27:BM39,$A$81)+COUNTIF(BM27:BM39,$A$84)+COUNTIF(BM27:BM39,$A$85)</f>
        <v>18</v>
      </c>
      <c r="BN25" s="41"/>
      <c r="BO25" s="109">
        <f>+COUNTIF(BO8:BO24,$A$65)+COUNTIF(BO8:BO24,$A$66)+COUNTIF(BO8:BO24,$A$67)+COUNTIF(BO8:BO24,$A$68)+COUNTIF(BO8:BO24,$A$69)+COUNTIF(BO8:BO24,$A$70)+COUNTIF(BO8:BO24,$A$71)+COUNTIF(BO8:BO24,$A$72)+COUNTIF(BO8:BO24,$A$73)+COUNTIF(BO8:BO24,$A$75)+COUNTIF(BO8:BO24,$A$76)+COUNTIF(BO8:BO24,$A$77)+COUNTIF(BO8:BO24,$A$78)+COUNTIF(BO8:BO24,$A$79)+COUNTIF(BO8:BO24,$A$80)+COUNTIF(BO8:BO24,$A$81)+COUNTIF(BO8:BO24,$A$82)+COUNTIF(BO8:BO24,$A$84)+COUNTIF(BO8:BO24,$A$85)+COUNTIF(BO27:BO39,$A$65)+COUNTIF(BO27:BO39,$A$66)+COUNTIF(BO27:BO39,$A$67)+COUNTIF(BO27:BO39,$A$68)+COUNTIF(BO27:BO39,$A$69)+COUNTIF(BO27:BO39,$A$70)+COUNTIF(BO27:BO39,$A$71)+COUNTIF(BO27:BO39,$A$72)+COUNTIF(BO27:BO39,$A$73)+COUNTIF(BO27:BO39,$A$75)+COUNTIF(BO27:BO39,$A$76)+COUNTIF(BO27:BO39,$A$77)+COUNTIF(BO27:BO39,$A$78)+COUNTIF(BO27:BO39,$A$79)+COUNTIF(BO27:BO39,$A$80)+COUNTIF(BO27:BO39,$A$81)+COUNTIF(BO27:BO39,$A$84)+COUNTIF(BO27:BO39,$A$85)</f>
        <v>19</v>
      </c>
      <c r="BP25" s="41"/>
      <c r="BQ25" s="109">
        <f>+COUNTIF(BQ8:BQ24,$A$65)+COUNTIF(BQ8:BQ24,$A$66)+COUNTIF(BQ8:BQ24,$A$67)+COUNTIF(BQ8:BQ24,$A$68)+COUNTIF(BQ8:BQ24,$A$69)+COUNTIF(BQ8:BQ24,$A$70)+COUNTIF(BQ8:BQ24,$A$71)+COUNTIF(BQ8:BQ24,$A$72)+COUNTIF(BQ8:BQ24,$A$73)+COUNTIF(BQ8:BQ24,$A$75)+COUNTIF(BQ8:BQ24,$A$76)+COUNTIF(BQ8:BQ24,$A$77)+COUNTIF(BQ8:BQ24,$A$78)+COUNTIF(BQ8:BQ24,$A$79)+COUNTIF(BQ8:BQ24,$A$80)+COUNTIF(BQ8:BQ24,$A$81)+COUNTIF(BQ8:BQ24,$A$82)+COUNTIF(BQ8:BQ24,$A$84)+COUNTIF(BQ8:BQ24,$A$85)+COUNTIF(BQ27:BQ39,$A$65)+COUNTIF(BQ27:BQ39,$A$66)+COUNTIF(BQ27:BQ39,$A$67)+COUNTIF(BQ27:BQ39,$A$68)+COUNTIF(BQ27:BQ39,$A$69)+COUNTIF(BQ27:BQ39,$A$70)+COUNTIF(BQ27:BQ39,$A$71)+COUNTIF(BQ27:BQ39,$A$72)+COUNTIF(BQ27:BQ39,$A$73)+COUNTIF(BQ27:BQ39,$A$75)+COUNTIF(BQ27:BQ39,$A$76)+COUNTIF(BQ27:BQ39,$A$77)+COUNTIF(BQ27:BQ39,$A$78)+COUNTIF(BQ27:BQ39,$A$79)+COUNTIF(BQ27:BQ39,$A$80)+COUNTIF(BQ27:BQ39,$A$81)+COUNTIF(BQ27:BQ39,$A$84)+COUNTIF(BQ27:BQ39,$A$85)</f>
        <v>18</v>
      </c>
      <c r="BR25" s="112">
        <f>+COUNTIF(BR8:BR16,$A$61)+COUNTIF(BR8:BR16,$A$62)+COUNTIF(BR8:BR16,$A$63)+COUNTIF(BR8:BR16,$A$64)+COUNTIF(BR8:BR16,$A$65)+COUNTIF(BR8:BR16,$A$66)+COUNTIF(BR8:BR16,$A$67)+COUNTIF(BR8:BR16,$A$68)+COUNTIF(BR8:BR16,$A$69)+COUNTIF(BR8:BR16,$A$71)+COUNTIF(BR8:BR16,$A$72)+COUNTIF(BR8:BR16,$A$73)+COUNTIF(BR8:BR16,$A$74)+COUNTIF(BR8:BR16,$A$75)+COUNTIF(BR8:BR16,$A$76)+COUNTIF(BR8:BR16,$A$77)+COUNTIF(BR8:BR16,$A$78)+COUNTIF(BR8:BR16,$A$80)+COUNTIF(BR8:BR16,$A$81)+COUNTIF(BR27:BR39,$A$61)+COUNTIF(BR27:BR39,$A$62)+COUNTIF(BR27:BR39,$A$63)+COUNTIF(BR27:BR39,$A$64)+COUNTIF(BR27:BR39,$A$65)+COUNTIF(BR27:BR39,$A$66)+COUNTIF(BR27:BR39,$A$67)+COUNTIF(BR27:BR39,$A$68)+COUNTIF(BR27:BR39,$A$69)+COUNTIF(BR27:BR39,$A$71)+COUNTIF(BR27:BR39,$A$72)+COUNTIF(BR27:BR39,$A$73)+COUNTIF(BR27:BR39,$A$74)+COUNTIF(BR27:BR39,$A$75)+COUNTIF(BR27:BR39,$A$76)+COUNTIF(BR27:BR39,$A$77)+COUNTIF(BR27:BR39,$A$78)+COUNTIF(BR27:BR39,$A$80)+COUNTIF(BR27:BR39,$A$81)</f>
        <v>0</v>
      </c>
      <c r="BS25" s="42">
        <f t="shared" ref="BS25:BW25" si="42">SUM(BS27:BS32)</f>
        <v>159.3333333</v>
      </c>
      <c r="BT25" s="42">
        <f t="shared" si="42"/>
        <v>1434</v>
      </c>
      <c r="BU25" s="42">
        <f t="shared" si="42"/>
        <v>6</v>
      </c>
      <c r="BV25" s="113">
        <f t="shared" si="42"/>
        <v>82</v>
      </c>
      <c r="BW25" s="113">
        <f t="shared" si="42"/>
        <v>0</v>
      </c>
      <c r="BX25" s="44"/>
      <c r="BY25" s="114"/>
      <c r="BZ25" s="114"/>
      <c r="CA25" s="114"/>
      <c r="CB25" s="114"/>
      <c r="CC25" s="114"/>
      <c r="CD25" s="114"/>
      <c r="CE25" s="114"/>
      <c r="CF25" s="114"/>
      <c r="CG25" s="114"/>
      <c r="CH25" s="114"/>
      <c r="CI25" s="114"/>
      <c r="CJ25" s="114"/>
      <c r="CK25" s="114"/>
      <c r="CL25" s="114"/>
      <c r="CM25" s="114"/>
      <c r="CN25" s="114"/>
      <c r="CO25" s="114"/>
      <c r="CP25" s="114"/>
      <c r="CQ25" s="114"/>
      <c r="CR25" s="114"/>
      <c r="CS25" s="114"/>
      <c r="CT25" s="114"/>
      <c r="CU25" s="114"/>
      <c r="CV25" s="114"/>
      <c r="CW25" s="114"/>
      <c r="CX25" s="68"/>
      <c r="CY25" s="115"/>
      <c r="CZ25" s="115"/>
      <c r="DA25" s="115"/>
      <c r="DB25" s="115"/>
      <c r="DC25" s="115"/>
      <c r="DD25" s="115"/>
      <c r="DE25" s="115"/>
    </row>
    <row r="26">
      <c r="A26" s="116" t="s">
        <v>52</v>
      </c>
      <c r="B26" s="117" t="s">
        <v>74</v>
      </c>
      <c r="C26" s="118">
        <v>9.81928897E8</v>
      </c>
      <c r="D26" s="119"/>
      <c r="E26" s="55" t="s">
        <v>50</v>
      </c>
      <c r="F26" s="120"/>
      <c r="G26" s="55" t="s">
        <v>52</v>
      </c>
      <c r="H26" s="121"/>
      <c r="I26" s="55" t="s">
        <v>52</v>
      </c>
      <c r="J26" s="121"/>
      <c r="K26" s="122">
        <v>118.0</v>
      </c>
      <c r="L26" s="55" t="s">
        <v>52</v>
      </c>
      <c r="M26" s="121"/>
      <c r="N26" s="55" t="s">
        <v>52</v>
      </c>
      <c r="O26" s="121"/>
      <c r="P26" s="55" t="s">
        <v>23</v>
      </c>
      <c r="Q26" s="121"/>
      <c r="R26" s="55" t="s">
        <v>42</v>
      </c>
      <c r="S26" s="121"/>
      <c r="T26" s="55" t="s">
        <v>52</v>
      </c>
      <c r="U26" s="123"/>
      <c r="V26" s="55" t="s">
        <v>52</v>
      </c>
      <c r="W26" s="123"/>
      <c r="X26" s="55" t="s">
        <v>52</v>
      </c>
      <c r="Y26" s="123"/>
      <c r="Z26" s="122">
        <v>118.0</v>
      </c>
      <c r="AA26" s="55" t="s">
        <v>52</v>
      </c>
      <c r="AB26" s="123"/>
      <c r="AC26" s="55" t="s">
        <v>52</v>
      </c>
      <c r="AD26" s="123"/>
      <c r="AE26" s="55" t="s">
        <v>42</v>
      </c>
      <c r="AF26" s="123"/>
      <c r="AG26" s="55" t="s">
        <v>52</v>
      </c>
      <c r="AH26" s="123"/>
      <c r="AI26" s="55" t="s">
        <v>52</v>
      </c>
      <c r="AJ26" s="123"/>
      <c r="AK26" s="55" t="s">
        <v>52</v>
      </c>
      <c r="AL26" s="123"/>
      <c r="AM26" s="55" t="s">
        <v>50</v>
      </c>
      <c r="AN26" s="123"/>
      <c r="AO26" s="124"/>
      <c r="AP26" s="55" t="s">
        <v>52</v>
      </c>
      <c r="AQ26" s="123"/>
      <c r="AR26" s="55" t="s">
        <v>42</v>
      </c>
      <c r="AS26" s="123"/>
      <c r="AT26" s="55" t="s">
        <v>52</v>
      </c>
      <c r="AU26" s="123"/>
      <c r="AV26" s="55" t="s">
        <v>52</v>
      </c>
      <c r="AW26" s="123"/>
      <c r="AX26" s="55" t="s">
        <v>52</v>
      </c>
      <c r="AY26" s="123"/>
      <c r="AZ26" s="55" t="s">
        <v>52</v>
      </c>
      <c r="BA26" s="125"/>
      <c r="BB26" s="55" t="s">
        <v>52</v>
      </c>
      <c r="BC26" s="123"/>
      <c r="BD26" s="124"/>
      <c r="BE26" s="55" t="s">
        <v>23</v>
      </c>
      <c r="BF26" s="123"/>
      <c r="BG26" s="55" t="s">
        <v>23</v>
      </c>
      <c r="BH26" s="125"/>
      <c r="BI26" s="55" t="s">
        <v>23</v>
      </c>
      <c r="BJ26" s="123"/>
      <c r="BK26" s="55" t="s">
        <v>52</v>
      </c>
      <c r="BL26" s="125"/>
      <c r="BM26" s="55" t="s">
        <v>52</v>
      </c>
      <c r="BN26" s="123"/>
      <c r="BO26" s="55" t="s">
        <v>42</v>
      </c>
      <c r="BP26" s="120"/>
      <c r="BQ26" s="55" t="s">
        <v>52</v>
      </c>
      <c r="BR26" s="126"/>
      <c r="BS26" s="63">
        <f>sum(BY26:CV26)</f>
        <v>4</v>
      </c>
      <c r="BT26" s="64">
        <f>BS26*8-BU26</f>
        <v>32</v>
      </c>
      <c r="BU26" s="65">
        <f>sumproduct(CM26:CR26,$CM$41:$CR$41)</f>
        <v>0</v>
      </c>
      <c r="BV26" s="66">
        <f t="shared" ref="BV26:BV40" si="45">+COUNTIF(E26:BR26,"NĐ")+COUNTIF(E26:BR26,"TB")+COUNTIF(E26:BR26,"NB")+COUNTIF(E26:BR26,"GaNĐ")+COUNTIF(E26:BR26,"BigNĐ")</f>
        <v>0</v>
      </c>
      <c r="BW26" s="66">
        <f t="shared" ref="BW26:BW40" si="46">+COUNTIF(E26:BR26,"NBAI")</f>
        <v>0</v>
      </c>
      <c r="BX26" s="4"/>
      <c r="BY26" s="67">
        <f t="shared" ref="BY26:CW26" si="43">COUNTIF($E26:$BR26,BY$6)</f>
        <v>0</v>
      </c>
      <c r="BZ26" s="67">
        <f t="shared" si="43"/>
        <v>0</v>
      </c>
      <c r="CA26" s="67">
        <f t="shared" si="43"/>
        <v>0</v>
      </c>
      <c r="CB26" s="67">
        <f t="shared" si="43"/>
        <v>0</v>
      </c>
      <c r="CC26" s="67">
        <f t="shared" si="43"/>
        <v>0</v>
      </c>
      <c r="CD26" s="67">
        <f t="shared" si="43"/>
        <v>4</v>
      </c>
      <c r="CE26" s="67">
        <f t="shared" si="43"/>
        <v>0</v>
      </c>
      <c r="CF26" s="67">
        <f t="shared" si="43"/>
        <v>0</v>
      </c>
      <c r="CG26" s="67">
        <f t="shared" si="43"/>
        <v>0</v>
      </c>
      <c r="CH26" s="67">
        <f t="shared" si="43"/>
        <v>0</v>
      </c>
      <c r="CI26" s="67">
        <f t="shared" si="43"/>
        <v>0</v>
      </c>
      <c r="CJ26" s="67">
        <f t="shared" si="43"/>
        <v>0</v>
      </c>
      <c r="CK26" s="67">
        <f t="shared" si="43"/>
        <v>0</v>
      </c>
      <c r="CL26" s="67">
        <f t="shared" si="43"/>
        <v>0</v>
      </c>
      <c r="CM26" s="67">
        <f t="shared" si="43"/>
        <v>0</v>
      </c>
      <c r="CN26" s="67">
        <f t="shared" si="43"/>
        <v>0</v>
      </c>
      <c r="CO26" s="67">
        <f t="shared" si="43"/>
        <v>0</v>
      </c>
      <c r="CP26" s="67">
        <f t="shared" si="43"/>
        <v>0</v>
      </c>
      <c r="CQ26" s="67">
        <f t="shared" si="43"/>
        <v>0</v>
      </c>
      <c r="CR26" s="67">
        <f t="shared" si="43"/>
        <v>0</v>
      </c>
      <c r="CS26" s="67">
        <f t="shared" si="43"/>
        <v>0</v>
      </c>
      <c r="CT26" s="67">
        <f t="shared" si="43"/>
        <v>0</v>
      </c>
      <c r="CU26" s="67">
        <f t="shared" si="43"/>
        <v>0</v>
      </c>
      <c r="CV26" s="67">
        <f t="shared" si="43"/>
        <v>0</v>
      </c>
      <c r="CW26" s="67">
        <f t="shared" si="43"/>
        <v>4</v>
      </c>
      <c r="CX26" s="68"/>
      <c r="CY26" s="67">
        <f t="shared" ref="CY26:DE26" si="44">COUNTIF($E26:$BR26,CY$6)</f>
        <v>0</v>
      </c>
      <c r="CZ26" s="67">
        <f t="shared" si="44"/>
        <v>0</v>
      </c>
      <c r="DA26" s="67">
        <f t="shared" si="44"/>
        <v>0</v>
      </c>
      <c r="DB26" s="67">
        <f t="shared" si="44"/>
        <v>0</v>
      </c>
      <c r="DC26" s="67">
        <f t="shared" si="44"/>
        <v>0</v>
      </c>
      <c r="DD26" s="67">
        <f t="shared" si="44"/>
        <v>0</v>
      </c>
      <c r="DE26" s="67">
        <f t="shared" si="44"/>
        <v>0</v>
      </c>
    </row>
    <row r="27">
      <c r="A27" s="69">
        <f t="shared" ref="A27:A35" si="49">IF(B27&lt;&gt;"",SUBTOTAL(3,$B$27:B27),"")</f>
        <v>1</v>
      </c>
      <c r="B27" s="70" t="s">
        <v>75</v>
      </c>
      <c r="C27" s="71">
        <v>3.58964864E8</v>
      </c>
      <c r="D27" s="119">
        <v>141.0</v>
      </c>
      <c r="E27" s="86" t="s">
        <v>37</v>
      </c>
      <c r="F27" s="77" t="s">
        <v>54</v>
      </c>
      <c r="G27" s="86" t="s">
        <v>26</v>
      </c>
      <c r="H27" s="127" t="s">
        <v>44</v>
      </c>
      <c r="I27" s="86" t="s">
        <v>27</v>
      </c>
      <c r="J27" s="72"/>
      <c r="K27" s="128">
        <v>141.0</v>
      </c>
      <c r="L27" s="55" t="s">
        <v>42</v>
      </c>
      <c r="M27" s="77"/>
      <c r="N27" s="86" t="s">
        <v>26</v>
      </c>
      <c r="O27" s="72" t="s">
        <v>43</v>
      </c>
      <c r="P27" s="86" t="s">
        <v>26</v>
      </c>
      <c r="Q27" s="72" t="s">
        <v>43</v>
      </c>
      <c r="R27" s="86" t="s">
        <v>26</v>
      </c>
      <c r="S27" s="72" t="s">
        <v>43</v>
      </c>
      <c r="T27" s="86" t="s">
        <v>27</v>
      </c>
      <c r="U27" s="72"/>
      <c r="V27" s="86" t="s">
        <v>40</v>
      </c>
      <c r="W27" s="127" t="s">
        <v>47</v>
      </c>
      <c r="X27" s="86" t="s">
        <v>26</v>
      </c>
      <c r="Y27" s="72" t="s">
        <v>46</v>
      </c>
      <c r="Z27" s="128">
        <v>141.0</v>
      </c>
      <c r="AA27" s="86" t="s">
        <v>42</v>
      </c>
      <c r="AB27" s="125"/>
      <c r="AC27" s="86" t="s">
        <v>27</v>
      </c>
      <c r="AD27" s="125"/>
      <c r="AE27" s="86" t="s">
        <v>26</v>
      </c>
      <c r="AF27" s="125"/>
      <c r="AG27" s="86" t="s">
        <v>26</v>
      </c>
      <c r="AH27" s="72" t="s">
        <v>54</v>
      </c>
      <c r="AI27" s="86" t="s">
        <v>26</v>
      </c>
      <c r="AJ27" s="127" t="s">
        <v>45</v>
      </c>
      <c r="AK27" s="86" t="s">
        <v>26</v>
      </c>
      <c r="AL27" s="125" t="s">
        <v>45</v>
      </c>
      <c r="AM27" s="86" t="s">
        <v>26</v>
      </c>
      <c r="AN27" s="125" t="s">
        <v>45</v>
      </c>
      <c r="AO27" s="129"/>
      <c r="AP27" s="86" t="s">
        <v>42</v>
      </c>
      <c r="AQ27" s="125"/>
      <c r="AR27" s="86" t="s">
        <v>26</v>
      </c>
      <c r="AS27" s="125" t="s">
        <v>43</v>
      </c>
      <c r="AT27" s="86" t="s">
        <v>26</v>
      </c>
      <c r="AU27" s="125" t="s">
        <v>43</v>
      </c>
      <c r="AV27" s="86" t="s">
        <v>26</v>
      </c>
      <c r="AW27" s="125"/>
      <c r="AX27" s="86" t="s">
        <v>26</v>
      </c>
      <c r="AY27" s="125"/>
      <c r="AZ27" s="86" t="s">
        <v>26</v>
      </c>
      <c r="BA27" s="125"/>
      <c r="BB27" s="86" t="s">
        <v>26</v>
      </c>
      <c r="BC27" s="125" t="s">
        <v>44</v>
      </c>
      <c r="BD27" s="129"/>
      <c r="BE27" s="86" t="s">
        <v>27</v>
      </c>
      <c r="BF27" s="85" t="s">
        <v>54</v>
      </c>
      <c r="BG27" s="86" t="s">
        <v>26</v>
      </c>
      <c r="BH27" s="125" t="s">
        <v>47</v>
      </c>
      <c r="BI27" s="86" t="s">
        <v>27</v>
      </c>
      <c r="BJ27" s="125"/>
      <c r="BK27" s="86" t="s">
        <v>26</v>
      </c>
      <c r="BL27" s="125" t="s">
        <v>43</v>
      </c>
      <c r="BM27" s="86" t="s">
        <v>26</v>
      </c>
      <c r="BN27" s="125" t="s">
        <v>45</v>
      </c>
      <c r="BO27" s="86" t="s">
        <v>26</v>
      </c>
      <c r="BP27" s="87" t="s">
        <v>45</v>
      </c>
      <c r="BQ27" s="86" t="s">
        <v>26</v>
      </c>
      <c r="BR27" s="87"/>
      <c r="BS27" s="82">
        <f t="shared" ref="BS27:BS40" si="50">BT27/9</f>
        <v>28.55555556</v>
      </c>
      <c r="BT27" s="64">
        <f t="shared" ref="BT27:BT39" si="51">sumproduct(BY27:CW27,$BY$5:$CW$5)+sum(BY27:CB27)-BU27</f>
        <v>257</v>
      </c>
      <c r="BU27" s="83">
        <f t="shared" ref="BU27:BU40" si="52">sumproduct(CM27:CR27,$CM$42:$CR$42)</f>
        <v>3</v>
      </c>
      <c r="BV27" s="66">
        <f t="shared" si="45"/>
        <v>16</v>
      </c>
      <c r="BW27" s="66">
        <f t="shared" si="46"/>
        <v>0</v>
      </c>
      <c r="BX27" s="4"/>
      <c r="BY27" s="67">
        <f t="shared" ref="BY27:CW27" si="47">COUNTIF($E27:$BR27,BY$6)</f>
        <v>0</v>
      </c>
      <c r="BZ27" s="67">
        <f t="shared" si="47"/>
        <v>0</v>
      </c>
      <c r="CA27" s="67">
        <f t="shared" si="47"/>
        <v>0</v>
      </c>
      <c r="CB27" s="67">
        <f t="shared" si="47"/>
        <v>0</v>
      </c>
      <c r="CC27" s="67">
        <f t="shared" si="47"/>
        <v>0</v>
      </c>
      <c r="CD27" s="67">
        <f t="shared" si="47"/>
        <v>0</v>
      </c>
      <c r="CE27" s="67">
        <f t="shared" si="47"/>
        <v>0</v>
      </c>
      <c r="CF27" s="67">
        <f t="shared" si="47"/>
        <v>0</v>
      </c>
      <c r="CG27" s="67">
        <f t="shared" si="47"/>
        <v>21</v>
      </c>
      <c r="CH27" s="67">
        <f t="shared" si="47"/>
        <v>5</v>
      </c>
      <c r="CI27" s="67">
        <f t="shared" si="47"/>
        <v>0</v>
      </c>
      <c r="CJ27" s="67">
        <f t="shared" si="47"/>
        <v>0</v>
      </c>
      <c r="CK27" s="67">
        <f t="shared" si="47"/>
        <v>0</v>
      </c>
      <c r="CL27" s="67">
        <f t="shared" si="47"/>
        <v>0</v>
      </c>
      <c r="CM27" s="67">
        <f t="shared" si="47"/>
        <v>0</v>
      </c>
      <c r="CN27" s="67">
        <f t="shared" si="47"/>
        <v>0</v>
      </c>
      <c r="CO27" s="67">
        <f t="shared" si="47"/>
        <v>0</v>
      </c>
      <c r="CP27" s="67">
        <f t="shared" si="47"/>
        <v>0</v>
      </c>
      <c r="CQ27" s="67">
        <f t="shared" si="47"/>
        <v>0</v>
      </c>
      <c r="CR27" s="67">
        <f t="shared" si="47"/>
        <v>1</v>
      </c>
      <c r="CS27" s="67">
        <f t="shared" si="47"/>
        <v>0</v>
      </c>
      <c r="CT27" s="67">
        <f t="shared" si="47"/>
        <v>0</v>
      </c>
      <c r="CU27" s="67">
        <f t="shared" si="47"/>
        <v>1</v>
      </c>
      <c r="CV27" s="67">
        <f t="shared" si="47"/>
        <v>0</v>
      </c>
      <c r="CW27" s="67">
        <f t="shared" si="47"/>
        <v>3</v>
      </c>
      <c r="CX27" s="68"/>
      <c r="CY27" s="67">
        <f t="shared" ref="CY27:DE27" si="48">COUNTIF($E27:$BR27,CY$6)</f>
        <v>6</v>
      </c>
      <c r="CZ27" s="67">
        <f t="shared" si="48"/>
        <v>2</v>
      </c>
      <c r="DA27" s="67">
        <f t="shared" si="48"/>
        <v>5</v>
      </c>
      <c r="DB27" s="67">
        <f t="shared" si="48"/>
        <v>1</v>
      </c>
      <c r="DC27" s="67">
        <f t="shared" si="48"/>
        <v>2</v>
      </c>
      <c r="DD27" s="67">
        <f t="shared" si="48"/>
        <v>0</v>
      </c>
      <c r="DE27" s="67">
        <f t="shared" si="48"/>
        <v>0</v>
      </c>
    </row>
    <row r="28" ht="15.0" customHeight="1">
      <c r="A28" s="69">
        <f t="shared" si="49"/>
        <v>2</v>
      </c>
      <c r="B28" s="70" t="s">
        <v>76</v>
      </c>
      <c r="C28" s="71">
        <v>9.8770398E8</v>
      </c>
      <c r="D28" s="119">
        <v>137.0</v>
      </c>
      <c r="E28" s="60" t="s">
        <v>40</v>
      </c>
      <c r="F28" s="130" t="s">
        <v>44</v>
      </c>
      <c r="G28" s="60" t="s">
        <v>37</v>
      </c>
      <c r="H28" s="127"/>
      <c r="I28" s="60" t="s">
        <v>42</v>
      </c>
      <c r="J28" s="127"/>
      <c r="K28" s="128">
        <v>137.0</v>
      </c>
      <c r="L28" s="55" t="s">
        <v>42</v>
      </c>
      <c r="M28" s="127"/>
      <c r="N28" s="60" t="s">
        <v>27</v>
      </c>
      <c r="O28" s="58"/>
      <c r="P28" s="60" t="s">
        <v>27</v>
      </c>
      <c r="Q28" s="72"/>
      <c r="R28" s="60" t="s">
        <v>42</v>
      </c>
      <c r="S28" s="72"/>
      <c r="T28" s="60" t="s">
        <v>26</v>
      </c>
      <c r="U28" s="87" t="s">
        <v>45</v>
      </c>
      <c r="V28" s="60" t="s">
        <v>26</v>
      </c>
      <c r="W28" s="87" t="s">
        <v>45</v>
      </c>
      <c r="X28" s="60" t="s">
        <v>29</v>
      </c>
      <c r="Y28" s="87" t="s">
        <v>45</v>
      </c>
      <c r="Z28" s="128">
        <v>137.0</v>
      </c>
      <c r="AA28" s="60" t="s">
        <v>27</v>
      </c>
      <c r="AB28" s="127" t="s">
        <v>43</v>
      </c>
      <c r="AC28" s="60" t="s">
        <v>26</v>
      </c>
      <c r="AD28" s="125" t="s">
        <v>43</v>
      </c>
      <c r="AE28" s="60" t="s">
        <v>26</v>
      </c>
      <c r="AF28" s="125" t="s">
        <v>43</v>
      </c>
      <c r="AG28" s="60" t="s">
        <v>26</v>
      </c>
      <c r="AH28" s="125" t="s">
        <v>43</v>
      </c>
      <c r="AI28" s="60" t="s">
        <v>40</v>
      </c>
      <c r="AJ28" s="125" t="s">
        <v>44</v>
      </c>
      <c r="AK28" s="60" t="s">
        <v>26</v>
      </c>
      <c r="AL28" s="125" t="s">
        <v>44</v>
      </c>
      <c r="AM28" s="60" t="s">
        <v>26</v>
      </c>
      <c r="AN28" s="127" t="s">
        <v>44</v>
      </c>
      <c r="AO28" s="129"/>
      <c r="AP28" s="60" t="s">
        <v>26</v>
      </c>
      <c r="AQ28" s="85" t="s">
        <v>54</v>
      </c>
      <c r="AR28" s="60" t="s">
        <v>42</v>
      </c>
      <c r="AS28" s="125"/>
      <c r="AT28" s="60" t="s">
        <v>27</v>
      </c>
      <c r="AU28" s="125"/>
      <c r="AV28" s="60" t="s">
        <v>27</v>
      </c>
      <c r="AW28" s="125"/>
      <c r="AX28" s="60" t="s">
        <v>26</v>
      </c>
      <c r="AY28" s="125" t="s">
        <v>45</v>
      </c>
      <c r="AZ28" s="60" t="s">
        <v>26</v>
      </c>
      <c r="BA28" s="125" t="s">
        <v>45</v>
      </c>
      <c r="BB28" s="60" t="s">
        <v>42</v>
      </c>
      <c r="BC28" s="125"/>
      <c r="BD28" s="129"/>
      <c r="BE28" s="60" t="s">
        <v>26</v>
      </c>
      <c r="BF28" s="125" t="s">
        <v>43</v>
      </c>
      <c r="BG28" s="60" t="s">
        <v>27</v>
      </c>
      <c r="BH28" s="85" t="s">
        <v>54</v>
      </c>
      <c r="BI28" s="60" t="s">
        <v>26</v>
      </c>
      <c r="BJ28" s="125" t="s">
        <v>43</v>
      </c>
      <c r="BK28" s="60" t="s">
        <v>27</v>
      </c>
      <c r="BL28" s="125"/>
      <c r="BM28" s="60" t="s">
        <v>27</v>
      </c>
      <c r="BN28" s="125"/>
      <c r="BO28" s="60" t="s">
        <v>27</v>
      </c>
      <c r="BP28" s="87"/>
      <c r="BQ28" s="58" t="s">
        <v>26</v>
      </c>
      <c r="BR28" s="131" t="s">
        <v>44</v>
      </c>
      <c r="BS28" s="82">
        <f t="shared" si="50"/>
        <v>26.66666667</v>
      </c>
      <c r="BT28" s="64">
        <f t="shared" si="51"/>
        <v>240</v>
      </c>
      <c r="BU28" s="83">
        <f t="shared" si="52"/>
        <v>3</v>
      </c>
      <c r="BV28" s="66">
        <f t="shared" si="45"/>
        <v>16</v>
      </c>
      <c r="BW28" s="66">
        <f t="shared" si="46"/>
        <v>0</v>
      </c>
      <c r="BX28" s="4"/>
      <c r="BY28" s="67">
        <f t="shared" ref="BY28:CW28" si="53">COUNTIF($E28:$BR28,BY$6)</f>
        <v>0</v>
      </c>
      <c r="BZ28" s="67">
        <f t="shared" si="53"/>
        <v>0</v>
      </c>
      <c r="CA28" s="67">
        <f t="shared" si="53"/>
        <v>0</v>
      </c>
      <c r="CB28" s="67">
        <f t="shared" si="53"/>
        <v>0</v>
      </c>
      <c r="CC28" s="67">
        <f t="shared" si="53"/>
        <v>0</v>
      </c>
      <c r="CD28" s="67">
        <f t="shared" si="53"/>
        <v>0</v>
      </c>
      <c r="CE28" s="67">
        <f t="shared" si="53"/>
        <v>0</v>
      </c>
      <c r="CF28" s="67">
        <f t="shared" si="53"/>
        <v>0</v>
      </c>
      <c r="CG28" s="67">
        <f t="shared" si="53"/>
        <v>13</v>
      </c>
      <c r="CH28" s="67">
        <f t="shared" si="53"/>
        <v>9</v>
      </c>
      <c r="CI28" s="67">
        <f t="shared" si="53"/>
        <v>0</v>
      </c>
      <c r="CJ28" s="67">
        <f t="shared" si="53"/>
        <v>1</v>
      </c>
      <c r="CK28" s="67">
        <f t="shared" si="53"/>
        <v>0</v>
      </c>
      <c r="CL28" s="67">
        <f t="shared" si="53"/>
        <v>0</v>
      </c>
      <c r="CM28" s="67">
        <f t="shared" si="53"/>
        <v>0</v>
      </c>
      <c r="CN28" s="67">
        <f t="shared" si="53"/>
        <v>0</v>
      </c>
      <c r="CO28" s="67">
        <f t="shared" si="53"/>
        <v>0</v>
      </c>
      <c r="CP28" s="67">
        <f t="shared" si="53"/>
        <v>0</v>
      </c>
      <c r="CQ28" s="67">
        <f t="shared" si="53"/>
        <v>0</v>
      </c>
      <c r="CR28" s="67">
        <f t="shared" si="53"/>
        <v>1</v>
      </c>
      <c r="CS28" s="67">
        <f t="shared" si="53"/>
        <v>0</v>
      </c>
      <c r="CT28" s="67">
        <f t="shared" si="53"/>
        <v>0</v>
      </c>
      <c r="CU28" s="67">
        <f t="shared" si="53"/>
        <v>2</v>
      </c>
      <c r="CV28" s="67">
        <f t="shared" si="53"/>
        <v>0</v>
      </c>
      <c r="CW28" s="67">
        <f t="shared" si="53"/>
        <v>5</v>
      </c>
      <c r="CX28" s="68"/>
      <c r="CY28" s="67">
        <f t="shared" ref="CY28:DE28" si="54">COUNTIF($E28:$BR28,CY$6)</f>
        <v>6</v>
      </c>
      <c r="CZ28" s="67">
        <f t="shared" si="54"/>
        <v>5</v>
      </c>
      <c r="DA28" s="67">
        <f t="shared" si="54"/>
        <v>5</v>
      </c>
      <c r="DB28" s="67">
        <f t="shared" si="54"/>
        <v>0</v>
      </c>
      <c r="DC28" s="67">
        <f t="shared" si="54"/>
        <v>0</v>
      </c>
      <c r="DD28" s="67">
        <f t="shared" si="54"/>
        <v>0</v>
      </c>
      <c r="DE28" s="67">
        <f t="shared" si="54"/>
        <v>0</v>
      </c>
    </row>
    <row r="29">
      <c r="A29" s="69">
        <f t="shared" si="49"/>
        <v>3</v>
      </c>
      <c r="B29" s="70" t="s">
        <v>77</v>
      </c>
      <c r="C29" s="71">
        <v>9.82394753E8</v>
      </c>
      <c r="D29" s="119">
        <v>106.0</v>
      </c>
      <c r="E29" s="86" t="s">
        <v>26</v>
      </c>
      <c r="F29" s="132"/>
      <c r="G29" s="86" t="s">
        <v>26</v>
      </c>
      <c r="H29" s="127" t="s">
        <v>46</v>
      </c>
      <c r="I29" s="86" t="s">
        <v>26</v>
      </c>
      <c r="J29" s="72" t="s">
        <v>44</v>
      </c>
      <c r="K29" s="133">
        <v>106.0</v>
      </c>
      <c r="L29" s="55" t="s">
        <v>26</v>
      </c>
      <c r="M29" s="72" t="s">
        <v>43</v>
      </c>
      <c r="N29" s="86" t="s">
        <v>42</v>
      </c>
      <c r="O29" s="72"/>
      <c r="P29" s="86" t="s">
        <v>42</v>
      </c>
      <c r="Q29" s="72"/>
      <c r="R29" s="86" t="s">
        <v>26</v>
      </c>
      <c r="S29" s="77" t="s">
        <v>54</v>
      </c>
      <c r="T29" s="86" t="s">
        <v>26</v>
      </c>
      <c r="U29" s="125" t="s">
        <v>46</v>
      </c>
      <c r="V29" s="86" t="s">
        <v>42</v>
      </c>
      <c r="W29" s="125"/>
      <c r="X29" s="86" t="s">
        <v>42</v>
      </c>
      <c r="Y29" s="127"/>
      <c r="Z29" s="133">
        <v>106.0</v>
      </c>
      <c r="AA29" s="86" t="s">
        <v>26</v>
      </c>
      <c r="AB29" s="127" t="s">
        <v>47</v>
      </c>
      <c r="AC29" s="86" t="s">
        <v>26</v>
      </c>
      <c r="AD29" s="127" t="s">
        <v>47</v>
      </c>
      <c r="AE29" s="86" t="s">
        <v>26</v>
      </c>
      <c r="AF29" s="127" t="s">
        <v>47</v>
      </c>
      <c r="AG29" s="86" t="s">
        <v>26</v>
      </c>
      <c r="AH29" s="127"/>
      <c r="AI29" s="86" t="s">
        <v>26</v>
      </c>
      <c r="AJ29" s="125"/>
      <c r="AK29" s="86" t="s">
        <v>26</v>
      </c>
      <c r="AL29" s="125" t="s">
        <v>47</v>
      </c>
      <c r="AM29" s="86" t="s">
        <v>26</v>
      </c>
      <c r="AN29" s="125" t="s">
        <v>47</v>
      </c>
      <c r="AO29" s="134"/>
      <c r="AP29" s="86" t="s">
        <v>26</v>
      </c>
      <c r="AQ29" s="85"/>
      <c r="AR29" s="86" t="s">
        <v>26</v>
      </c>
      <c r="AS29" s="125"/>
      <c r="AT29" s="86" t="s">
        <v>26</v>
      </c>
      <c r="AU29" s="125"/>
      <c r="AV29" s="86" t="s">
        <v>26</v>
      </c>
      <c r="AW29" s="125" t="s">
        <v>43</v>
      </c>
      <c r="AX29" s="86" t="s">
        <v>26</v>
      </c>
      <c r="AY29" s="125" t="s">
        <v>44</v>
      </c>
      <c r="AZ29" s="86" t="s">
        <v>26</v>
      </c>
      <c r="BA29" s="125" t="s">
        <v>44</v>
      </c>
      <c r="BB29" s="86" t="s">
        <v>26</v>
      </c>
      <c r="BC29" s="125" t="s">
        <v>45</v>
      </c>
      <c r="BD29" s="134"/>
      <c r="BE29" s="86" t="s">
        <v>42</v>
      </c>
      <c r="BF29" s="125"/>
      <c r="BG29" s="86" t="s">
        <v>42</v>
      </c>
      <c r="BH29" s="125"/>
      <c r="BI29" s="86" t="s">
        <v>42</v>
      </c>
      <c r="BJ29" s="85" t="s">
        <v>54</v>
      </c>
      <c r="BK29" s="86" t="s">
        <v>26</v>
      </c>
      <c r="BL29" s="125"/>
      <c r="BM29" s="86" t="s">
        <v>26</v>
      </c>
      <c r="BN29" s="125" t="s">
        <v>44</v>
      </c>
      <c r="BO29" s="86" t="s">
        <v>26</v>
      </c>
      <c r="BP29" s="87" t="s">
        <v>44</v>
      </c>
      <c r="BQ29" s="86" t="s">
        <v>26</v>
      </c>
      <c r="BR29" s="131"/>
      <c r="BS29" s="82">
        <f t="shared" si="50"/>
        <v>24</v>
      </c>
      <c r="BT29" s="64">
        <f t="shared" si="51"/>
        <v>216</v>
      </c>
      <c r="BU29" s="83">
        <f t="shared" si="52"/>
        <v>0</v>
      </c>
      <c r="BV29" s="66">
        <f t="shared" si="45"/>
        <v>15</v>
      </c>
      <c r="BW29" s="66">
        <f t="shared" si="46"/>
        <v>0</v>
      </c>
      <c r="BX29" s="4"/>
      <c r="BY29" s="67">
        <f t="shared" ref="BY29:CW29" si="55">COUNTIF($E29:$BR29,BY$6)</f>
        <v>0</v>
      </c>
      <c r="BZ29" s="67">
        <f t="shared" si="55"/>
        <v>0</v>
      </c>
      <c r="CA29" s="67">
        <f t="shared" si="55"/>
        <v>0</v>
      </c>
      <c r="CB29" s="67">
        <f t="shared" si="55"/>
        <v>0</v>
      </c>
      <c r="CC29" s="67">
        <f t="shared" si="55"/>
        <v>0</v>
      </c>
      <c r="CD29" s="67">
        <f t="shared" si="55"/>
        <v>0</v>
      </c>
      <c r="CE29" s="67">
        <f t="shared" si="55"/>
        <v>0</v>
      </c>
      <c r="CF29" s="67">
        <f t="shared" si="55"/>
        <v>0</v>
      </c>
      <c r="CG29" s="67">
        <f t="shared" si="55"/>
        <v>24</v>
      </c>
      <c r="CH29" s="67">
        <f t="shared" si="55"/>
        <v>0</v>
      </c>
      <c r="CI29" s="67">
        <f t="shared" si="55"/>
        <v>0</v>
      </c>
      <c r="CJ29" s="67">
        <f t="shared" si="55"/>
        <v>0</v>
      </c>
      <c r="CK29" s="67">
        <f t="shared" si="55"/>
        <v>0</v>
      </c>
      <c r="CL29" s="67">
        <f t="shared" si="55"/>
        <v>0</v>
      </c>
      <c r="CM29" s="67">
        <f t="shared" si="55"/>
        <v>0</v>
      </c>
      <c r="CN29" s="67">
        <f t="shared" si="55"/>
        <v>0</v>
      </c>
      <c r="CO29" s="67">
        <f t="shared" si="55"/>
        <v>0</v>
      </c>
      <c r="CP29" s="67">
        <f t="shared" si="55"/>
        <v>0</v>
      </c>
      <c r="CQ29" s="67">
        <f t="shared" si="55"/>
        <v>0</v>
      </c>
      <c r="CR29" s="67">
        <f t="shared" si="55"/>
        <v>0</v>
      </c>
      <c r="CS29" s="67">
        <f t="shared" si="55"/>
        <v>0</v>
      </c>
      <c r="CT29" s="67">
        <f t="shared" si="55"/>
        <v>0</v>
      </c>
      <c r="CU29" s="67">
        <f t="shared" si="55"/>
        <v>0</v>
      </c>
      <c r="CV29" s="67">
        <f t="shared" si="55"/>
        <v>0</v>
      </c>
      <c r="CW29" s="67">
        <f t="shared" si="55"/>
        <v>7</v>
      </c>
      <c r="CX29" s="68"/>
      <c r="CY29" s="67">
        <f t="shared" ref="CY29:DE29" si="56">COUNTIF($E29:$BR29,CY$6)</f>
        <v>2</v>
      </c>
      <c r="CZ29" s="67">
        <f t="shared" si="56"/>
        <v>5</v>
      </c>
      <c r="DA29" s="67">
        <f t="shared" si="56"/>
        <v>1</v>
      </c>
      <c r="DB29" s="67">
        <f t="shared" si="56"/>
        <v>2</v>
      </c>
      <c r="DC29" s="67">
        <f t="shared" si="56"/>
        <v>5</v>
      </c>
      <c r="DD29" s="67">
        <f t="shared" si="56"/>
        <v>0</v>
      </c>
      <c r="DE29" s="67">
        <f t="shared" si="56"/>
        <v>0</v>
      </c>
    </row>
    <row r="30">
      <c r="A30" s="69">
        <f t="shared" si="49"/>
        <v>4</v>
      </c>
      <c r="B30" s="88" t="s">
        <v>78</v>
      </c>
      <c r="C30" s="71"/>
      <c r="D30" s="135">
        <v>102.0</v>
      </c>
      <c r="E30" s="60" t="s">
        <v>27</v>
      </c>
      <c r="F30" s="130" t="s">
        <v>46</v>
      </c>
      <c r="G30" s="57" t="s">
        <v>27</v>
      </c>
      <c r="H30" s="136"/>
      <c r="I30" s="60" t="s">
        <v>27</v>
      </c>
      <c r="J30" s="127" t="s">
        <v>46</v>
      </c>
      <c r="K30" s="133">
        <v>102.0</v>
      </c>
      <c r="L30" s="55" t="s">
        <v>26</v>
      </c>
      <c r="M30" s="127" t="s">
        <v>47</v>
      </c>
      <c r="N30" s="60" t="s">
        <v>27</v>
      </c>
      <c r="O30" s="77" t="s">
        <v>54</v>
      </c>
      <c r="P30" s="60" t="s">
        <v>27</v>
      </c>
      <c r="Q30" s="72"/>
      <c r="R30" s="60" t="s">
        <v>27</v>
      </c>
      <c r="S30" s="72"/>
      <c r="T30" s="60" t="s">
        <v>27</v>
      </c>
      <c r="U30" s="127" t="s">
        <v>47</v>
      </c>
      <c r="V30" s="60" t="s">
        <v>26</v>
      </c>
      <c r="W30" s="125" t="s">
        <v>46</v>
      </c>
      <c r="X30" s="60" t="s">
        <v>42</v>
      </c>
      <c r="Y30" s="125"/>
      <c r="Z30" s="133">
        <v>102.0</v>
      </c>
      <c r="AA30" s="60" t="s">
        <v>26</v>
      </c>
      <c r="AB30" s="125"/>
      <c r="AC30" s="60" t="s">
        <v>42</v>
      </c>
      <c r="AD30" s="127"/>
      <c r="AE30" s="60" t="s">
        <v>27</v>
      </c>
      <c r="AF30" s="72" t="s">
        <v>54</v>
      </c>
      <c r="AG30" s="60" t="s">
        <v>27</v>
      </c>
      <c r="AH30" s="77"/>
      <c r="AI30" s="60" t="s">
        <v>26</v>
      </c>
      <c r="AJ30" s="125" t="s">
        <v>46</v>
      </c>
      <c r="AK30" s="60" t="s">
        <v>27</v>
      </c>
      <c r="AL30" s="125"/>
      <c r="AM30" s="60" t="s">
        <v>27</v>
      </c>
      <c r="AN30" s="125"/>
      <c r="AO30" s="134"/>
      <c r="AP30" s="60" t="s">
        <v>26</v>
      </c>
      <c r="AQ30" s="125" t="s">
        <v>43</v>
      </c>
      <c r="AR30" s="60" t="s">
        <v>26</v>
      </c>
      <c r="AS30" s="125"/>
      <c r="AT30" s="60" t="s">
        <v>42</v>
      </c>
      <c r="AU30" s="125"/>
      <c r="AV30" s="60" t="s">
        <v>27</v>
      </c>
      <c r="AW30" s="85" t="s">
        <v>54</v>
      </c>
      <c r="AX30" s="60" t="s">
        <v>27</v>
      </c>
      <c r="AY30" s="125"/>
      <c r="AZ30" s="60" t="s">
        <v>26</v>
      </c>
      <c r="BA30" s="125" t="s">
        <v>47</v>
      </c>
      <c r="BB30" s="60" t="s">
        <v>26</v>
      </c>
      <c r="BC30" s="125" t="s">
        <v>47</v>
      </c>
      <c r="BD30" s="134"/>
      <c r="BE30" s="60" t="s">
        <v>42</v>
      </c>
      <c r="BF30" s="125"/>
      <c r="BG30" s="60" t="s">
        <v>27</v>
      </c>
      <c r="BH30" s="125"/>
      <c r="BI30" s="60" t="s">
        <v>27</v>
      </c>
      <c r="BJ30" s="125"/>
      <c r="BK30" s="60" t="s">
        <v>27</v>
      </c>
      <c r="BL30" s="85" t="s">
        <v>54</v>
      </c>
      <c r="BM30" s="60" t="s">
        <v>27</v>
      </c>
      <c r="BN30" s="125"/>
      <c r="BO30" s="60" t="s">
        <v>40</v>
      </c>
      <c r="BP30" s="87" t="s">
        <v>47</v>
      </c>
      <c r="BQ30" s="55" t="s">
        <v>40</v>
      </c>
      <c r="BR30" s="131" t="s">
        <v>47</v>
      </c>
      <c r="BS30" s="82">
        <f t="shared" si="50"/>
        <v>28.11111111</v>
      </c>
      <c r="BT30" s="64">
        <f t="shared" si="51"/>
        <v>253</v>
      </c>
      <c r="BU30" s="83">
        <f t="shared" si="52"/>
        <v>0</v>
      </c>
      <c r="BV30" s="66">
        <f t="shared" si="45"/>
        <v>11</v>
      </c>
      <c r="BW30" s="66">
        <f t="shared" si="46"/>
        <v>0</v>
      </c>
      <c r="BX30" s="4"/>
      <c r="BY30" s="67">
        <f t="shared" ref="BY30:CW30" si="57">COUNTIF($E30:$BR30,BY$6)</f>
        <v>0</v>
      </c>
      <c r="BZ30" s="67">
        <f t="shared" si="57"/>
        <v>0</v>
      </c>
      <c r="CA30" s="67">
        <f t="shared" si="57"/>
        <v>0</v>
      </c>
      <c r="CB30" s="67">
        <f t="shared" si="57"/>
        <v>0</v>
      </c>
      <c r="CC30" s="67">
        <f t="shared" si="57"/>
        <v>0</v>
      </c>
      <c r="CD30" s="67">
        <f t="shared" si="57"/>
        <v>0</v>
      </c>
      <c r="CE30" s="67">
        <f t="shared" si="57"/>
        <v>0</v>
      </c>
      <c r="CF30" s="67">
        <f t="shared" si="57"/>
        <v>0</v>
      </c>
      <c r="CG30" s="67">
        <f t="shared" si="57"/>
        <v>8</v>
      </c>
      <c r="CH30" s="67">
        <f t="shared" si="57"/>
        <v>17</v>
      </c>
      <c r="CI30" s="67">
        <f t="shared" si="57"/>
        <v>0</v>
      </c>
      <c r="CJ30" s="67">
        <f t="shared" si="57"/>
        <v>0</v>
      </c>
      <c r="CK30" s="67">
        <f t="shared" si="57"/>
        <v>0</v>
      </c>
      <c r="CL30" s="67">
        <f t="shared" si="57"/>
        <v>0</v>
      </c>
      <c r="CM30" s="67">
        <f t="shared" si="57"/>
        <v>0</v>
      </c>
      <c r="CN30" s="67">
        <f t="shared" si="57"/>
        <v>0</v>
      </c>
      <c r="CO30" s="67">
        <f t="shared" si="57"/>
        <v>0</v>
      </c>
      <c r="CP30" s="67">
        <f t="shared" si="57"/>
        <v>0</v>
      </c>
      <c r="CQ30" s="67">
        <f t="shared" si="57"/>
        <v>0</v>
      </c>
      <c r="CR30" s="67">
        <f t="shared" si="57"/>
        <v>0</v>
      </c>
      <c r="CS30" s="67">
        <f t="shared" si="57"/>
        <v>0</v>
      </c>
      <c r="CT30" s="67">
        <f t="shared" si="57"/>
        <v>0</v>
      </c>
      <c r="CU30" s="67">
        <f t="shared" si="57"/>
        <v>2</v>
      </c>
      <c r="CV30" s="67">
        <f t="shared" si="57"/>
        <v>0</v>
      </c>
      <c r="CW30" s="67">
        <f t="shared" si="57"/>
        <v>4</v>
      </c>
      <c r="CX30" s="68"/>
      <c r="CY30" s="67">
        <f t="shared" ref="CY30:DE30" si="58">COUNTIF($E30:$BR30,CY$6)</f>
        <v>1</v>
      </c>
      <c r="CZ30" s="67">
        <f t="shared" si="58"/>
        <v>0</v>
      </c>
      <c r="DA30" s="67">
        <f t="shared" si="58"/>
        <v>0</v>
      </c>
      <c r="DB30" s="67">
        <f t="shared" si="58"/>
        <v>4</v>
      </c>
      <c r="DC30" s="67">
        <f t="shared" si="58"/>
        <v>6</v>
      </c>
      <c r="DD30" s="67">
        <f t="shared" si="58"/>
        <v>0</v>
      </c>
      <c r="DE30" s="67">
        <f t="shared" si="58"/>
        <v>0</v>
      </c>
    </row>
    <row r="31" ht="15.0" customHeight="1">
      <c r="A31" s="69">
        <f t="shared" si="49"/>
        <v>5</v>
      </c>
      <c r="B31" s="70" t="s">
        <v>79</v>
      </c>
      <c r="C31" s="71">
        <v>9.7633292E8</v>
      </c>
      <c r="D31" s="137">
        <v>114.0</v>
      </c>
      <c r="E31" s="86" t="s">
        <v>26</v>
      </c>
      <c r="F31" s="87" t="s">
        <v>45</v>
      </c>
      <c r="G31" s="86" t="s">
        <v>26</v>
      </c>
      <c r="H31" s="127" t="s">
        <v>45</v>
      </c>
      <c r="I31" s="86" t="s">
        <v>26</v>
      </c>
      <c r="J31" s="127" t="s">
        <v>45</v>
      </c>
      <c r="K31" s="138">
        <v>114.0</v>
      </c>
      <c r="L31" s="55" t="s">
        <v>27</v>
      </c>
      <c r="M31" s="72"/>
      <c r="N31" s="86" t="s">
        <v>42</v>
      </c>
      <c r="O31" s="72"/>
      <c r="P31" s="86" t="s">
        <v>27</v>
      </c>
      <c r="Q31" s="77" t="s">
        <v>54</v>
      </c>
      <c r="R31" s="86" t="s">
        <v>27</v>
      </c>
      <c r="S31" s="58"/>
      <c r="T31" s="86" t="s">
        <v>26</v>
      </c>
      <c r="U31" s="72" t="s">
        <v>44</v>
      </c>
      <c r="V31" s="86" t="s">
        <v>26</v>
      </c>
      <c r="W31" s="72" t="s">
        <v>44</v>
      </c>
      <c r="X31" s="86" t="s">
        <v>26</v>
      </c>
      <c r="Y31" s="72" t="s">
        <v>44</v>
      </c>
      <c r="Z31" s="138">
        <v>114.0</v>
      </c>
      <c r="AA31" s="86" t="s">
        <v>27</v>
      </c>
      <c r="AB31" s="125"/>
      <c r="AC31" s="86" t="s">
        <v>26</v>
      </c>
      <c r="AD31" s="72" t="s">
        <v>54</v>
      </c>
      <c r="AE31" s="86" t="s">
        <v>26</v>
      </c>
      <c r="AF31" s="127" t="s">
        <v>46</v>
      </c>
      <c r="AG31" s="86" t="s">
        <v>26</v>
      </c>
      <c r="AH31" s="127" t="s">
        <v>46</v>
      </c>
      <c r="AI31" s="86" t="s">
        <v>27</v>
      </c>
      <c r="AJ31" s="125"/>
      <c r="AK31" s="86" t="s">
        <v>26</v>
      </c>
      <c r="AL31" s="125"/>
      <c r="AM31" s="86" t="s">
        <v>27</v>
      </c>
      <c r="AN31" s="125"/>
      <c r="AO31" s="139"/>
      <c r="AP31" s="86" t="s">
        <v>42</v>
      </c>
      <c r="AQ31" s="125"/>
      <c r="AR31" s="86" t="s">
        <v>42</v>
      </c>
      <c r="AS31" s="125"/>
      <c r="AT31" s="86" t="s">
        <v>26</v>
      </c>
      <c r="AU31" s="125" t="s">
        <v>47</v>
      </c>
      <c r="AV31" s="86" t="s">
        <v>26</v>
      </c>
      <c r="AW31" s="125" t="s">
        <v>47</v>
      </c>
      <c r="AX31" s="86" t="s">
        <v>26</v>
      </c>
      <c r="AY31" s="125" t="s">
        <v>47</v>
      </c>
      <c r="AZ31" s="140" t="s">
        <v>19</v>
      </c>
      <c r="BA31" s="125"/>
      <c r="BB31" s="86" t="s">
        <v>27</v>
      </c>
      <c r="BC31" s="125"/>
      <c r="BD31" s="139"/>
      <c r="BE31" s="86" t="s">
        <v>27</v>
      </c>
      <c r="BF31" s="125"/>
      <c r="BG31" s="86" t="s">
        <v>42</v>
      </c>
      <c r="BH31" s="125"/>
      <c r="BI31" s="86" t="s">
        <v>42</v>
      </c>
      <c r="BJ31" s="125"/>
      <c r="BK31" s="86" t="s">
        <v>26</v>
      </c>
      <c r="BL31" s="125" t="s">
        <v>47</v>
      </c>
      <c r="BM31" s="86" t="s">
        <v>26</v>
      </c>
      <c r="BN31" s="125" t="s">
        <v>47</v>
      </c>
      <c r="BO31" s="86" t="s">
        <v>27</v>
      </c>
      <c r="BP31" s="87"/>
      <c r="BQ31" s="86" t="s">
        <v>26</v>
      </c>
      <c r="BR31" s="131" t="s">
        <v>45</v>
      </c>
      <c r="BS31" s="82">
        <f t="shared" si="50"/>
        <v>26</v>
      </c>
      <c r="BT31" s="64">
        <f t="shared" si="51"/>
        <v>234</v>
      </c>
      <c r="BU31" s="83">
        <f t="shared" si="52"/>
        <v>0</v>
      </c>
      <c r="BV31" s="66">
        <f t="shared" si="45"/>
        <v>14</v>
      </c>
      <c r="BW31" s="66">
        <f t="shared" si="46"/>
        <v>0</v>
      </c>
      <c r="BX31" s="4"/>
      <c r="BY31" s="67">
        <f t="shared" ref="BY31:CW31" si="59">COUNTIF($E31:$BR31,BY$6)</f>
        <v>0</v>
      </c>
      <c r="BZ31" s="67">
        <f t="shared" si="59"/>
        <v>1</v>
      </c>
      <c r="CA31" s="67">
        <f t="shared" si="59"/>
        <v>0</v>
      </c>
      <c r="CB31" s="67">
        <f t="shared" si="59"/>
        <v>0</v>
      </c>
      <c r="CC31" s="67">
        <f t="shared" si="59"/>
        <v>0</v>
      </c>
      <c r="CD31" s="67">
        <f t="shared" si="59"/>
        <v>0</v>
      </c>
      <c r="CE31" s="67">
        <f t="shared" si="59"/>
        <v>0</v>
      </c>
      <c r="CF31" s="67">
        <f t="shared" si="59"/>
        <v>0</v>
      </c>
      <c r="CG31" s="67">
        <f t="shared" si="59"/>
        <v>16</v>
      </c>
      <c r="CH31" s="67">
        <f t="shared" si="59"/>
        <v>9</v>
      </c>
      <c r="CI31" s="67">
        <f t="shared" si="59"/>
        <v>0</v>
      </c>
      <c r="CJ31" s="67">
        <f t="shared" si="59"/>
        <v>0</v>
      </c>
      <c r="CK31" s="67">
        <f t="shared" si="59"/>
        <v>0</v>
      </c>
      <c r="CL31" s="67">
        <f t="shared" si="59"/>
        <v>0</v>
      </c>
      <c r="CM31" s="67">
        <f t="shared" si="59"/>
        <v>0</v>
      </c>
      <c r="CN31" s="67">
        <f t="shared" si="59"/>
        <v>0</v>
      </c>
      <c r="CO31" s="67">
        <f t="shared" si="59"/>
        <v>0</v>
      </c>
      <c r="CP31" s="67">
        <f t="shared" si="59"/>
        <v>0</v>
      </c>
      <c r="CQ31" s="67">
        <f t="shared" si="59"/>
        <v>0</v>
      </c>
      <c r="CR31" s="67">
        <f t="shared" si="59"/>
        <v>0</v>
      </c>
      <c r="CS31" s="67">
        <f t="shared" si="59"/>
        <v>0</v>
      </c>
      <c r="CT31" s="67">
        <f t="shared" si="59"/>
        <v>0</v>
      </c>
      <c r="CU31" s="67">
        <f t="shared" si="59"/>
        <v>0</v>
      </c>
      <c r="CV31" s="67">
        <f t="shared" si="59"/>
        <v>0</v>
      </c>
      <c r="CW31" s="67">
        <f t="shared" si="59"/>
        <v>5</v>
      </c>
      <c r="CX31" s="68"/>
      <c r="CY31" s="67">
        <f t="shared" ref="CY31:DE31" si="60">COUNTIF($E31:$BR31,CY$6)</f>
        <v>0</v>
      </c>
      <c r="CZ31" s="67">
        <f t="shared" si="60"/>
        <v>3</v>
      </c>
      <c r="DA31" s="67">
        <f t="shared" si="60"/>
        <v>4</v>
      </c>
      <c r="DB31" s="67">
        <f t="shared" si="60"/>
        <v>2</v>
      </c>
      <c r="DC31" s="67">
        <f t="shared" si="60"/>
        <v>5</v>
      </c>
      <c r="DD31" s="67">
        <f t="shared" si="60"/>
        <v>0</v>
      </c>
      <c r="DE31" s="67">
        <f t="shared" si="60"/>
        <v>0</v>
      </c>
    </row>
    <row r="32">
      <c r="A32" s="69">
        <f t="shared" si="49"/>
        <v>6</v>
      </c>
      <c r="B32" s="70" t="s">
        <v>80</v>
      </c>
      <c r="C32" s="71">
        <v>9.76513002E8</v>
      </c>
      <c r="D32" s="137">
        <v>112.0</v>
      </c>
      <c r="E32" s="60" t="s">
        <v>26</v>
      </c>
      <c r="F32" s="130" t="s">
        <v>49</v>
      </c>
      <c r="G32" s="60" t="s">
        <v>26</v>
      </c>
      <c r="H32" s="141" t="s">
        <v>49</v>
      </c>
      <c r="I32" s="60" t="s">
        <v>27</v>
      </c>
      <c r="J32" s="72" t="s">
        <v>49</v>
      </c>
      <c r="K32" s="138">
        <v>112.0</v>
      </c>
      <c r="L32" s="55" t="s">
        <v>27</v>
      </c>
      <c r="M32" s="72"/>
      <c r="N32" s="57" t="s">
        <v>27</v>
      </c>
      <c r="O32" s="72"/>
      <c r="P32" s="60" t="s">
        <v>42</v>
      </c>
      <c r="Q32" s="72"/>
      <c r="R32" s="80" t="s">
        <v>19</v>
      </c>
      <c r="S32" s="77"/>
      <c r="T32" s="57" t="s">
        <v>27</v>
      </c>
      <c r="U32" s="72"/>
      <c r="V32" s="57" t="s">
        <v>27</v>
      </c>
      <c r="W32" s="127"/>
      <c r="X32" s="57" t="s">
        <v>27</v>
      </c>
      <c r="Y32" s="127" t="s">
        <v>47</v>
      </c>
      <c r="Z32" s="138">
        <v>112.0</v>
      </c>
      <c r="AA32" s="60" t="s">
        <v>26</v>
      </c>
      <c r="AB32" s="125" t="s">
        <v>46</v>
      </c>
      <c r="AC32" s="60" t="s">
        <v>42</v>
      </c>
      <c r="AD32" s="125"/>
      <c r="AE32" s="60" t="s">
        <v>42</v>
      </c>
      <c r="AF32" s="127"/>
      <c r="AG32" s="60" t="s">
        <v>42</v>
      </c>
      <c r="AH32" s="127"/>
      <c r="AI32" s="57" t="s">
        <v>27</v>
      </c>
      <c r="AJ32" s="72" t="s">
        <v>54</v>
      </c>
      <c r="AK32" s="57" t="s">
        <v>27</v>
      </c>
      <c r="AL32" s="125"/>
      <c r="AM32" s="60" t="s">
        <v>42</v>
      </c>
      <c r="AN32" s="127"/>
      <c r="AO32" s="139"/>
      <c r="AP32" s="60" t="s">
        <v>26</v>
      </c>
      <c r="AQ32" s="125" t="s">
        <v>46</v>
      </c>
      <c r="AR32" s="60" t="s">
        <v>26</v>
      </c>
      <c r="AS32" s="125" t="s">
        <v>46</v>
      </c>
      <c r="AT32" s="60" t="s">
        <v>26</v>
      </c>
      <c r="AU32" s="127" t="s">
        <v>46</v>
      </c>
      <c r="AV32" s="60" t="s">
        <v>26</v>
      </c>
      <c r="AW32" s="127" t="s">
        <v>46</v>
      </c>
      <c r="AX32" s="60" t="s">
        <v>27</v>
      </c>
      <c r="AY32" s="125"/>
      <c r="AZ32" s="60" t="s">
        <v>27</v>
      </c>
      <c r="BA32" s="125"/>
      <c r="BB32" s="60" t="s">
        <v>27</v>
      </c>
      <c r="BC32" s="125"/>
      <c r="BD32" s="139"/>
      <c r="BE32" s="60" t="s">
        <v>26</v>
      </c>
      <c r="BF32" s="125" t="s">
        <v>46</v>
      </c>
      <c r="BG32" s="60" t="s">
        <v>26</v>
      </c>
      <c r="BH32" s="125" t="s">
        <v>46</v>
      </c>
      <c r="BI32" s="60" t="s">
        <v>26</v>
      </c>
      <c r="BJ32" s="125" t="s">
        <v>46</v>
      </c>
      <c r="BK32" s="60" t="s">
        <v>26</v>
      </c>
      <c r="BL32" s="125" t="s">
        <v>46</v>
      </c>
      <c r="BM32" s="57" t="s">
        <v>27</v>
      </c>
      <c r="BN32" s="85" t="s">
        <v>54</v>
      </c>
      <c r="BO32" s="57" t="s">
        <v>27</v>
      </c>
      <c r="BP32" s="87"/>
      <c r="BQ32" s="57" t="s">
        <v>27</v>
      </c>
      <c r="BR32" s="131"/>
      <c r="BS32" s="82">
        <f t="shared" si="50"/>
        <v>26</v>
      </c>
      <c r="BT32" s="64">
        <f t="shared" si="51"/>
        <v>234</v>
      </c>
      <c r="BU32" s="83">
        <f t="shared" si="52"/>
        <v>0</v>
      </c>
      <c r="BV32" s="66">
        <f t="shared" si="45"/>
        <v>10</v>
      </c>
      <c r="BW32" s="66">
        <f t="shared" si="46"/>
        <v>0</v>
      </c>
      <c r="BX32" s="4"/>
      <c r="BY32" s="67">
        <f t="shared" ref="BY32:CW32" si="61">COUNTIF($E32:$BR32,BY$6)</f>
        <v>0</v>
      </c>
      <c r="BZ32" s="67">
        <f t="shared" si="61"/>
        <v>1</v>
      </c>
      <c r="CA32" s="67">
        <f t="shared" si="61"/>
        <v>0</v>
      </c>
      <c r="CB32" s="67">
        <f t="shared" si="61"/>
        <v>0</v>
      </c>
      <c r="CC32" s="67">
        <f t="shared" si="61"/>
        <v>0</v>
      </c>
      <c r="CD32" s="67">
        <f t="shared" si="61"/>
        <v>0</v>
      </c>
      <c r="CE32" s="67">
        <f t="shared" si="61"/>
        <v>0</v>
      </c>
      <c r="CF32" s="67">
        <f t="shared" si="61"/>
        <v>0</v>
      </c>
      <c r="CG32" s="67">
        <f t="shared" si="61"/>
        <v>11</v>
      </c>
      <c r="CH32" s="67">
        <f t="shared" si="61"/>
        <v>14</v>
      </c>
      <c r="CI32" s="67">
        <f t="shared" si="61"/>
        <v>0</v>
      </c>
      <c r="CJ32" s="67">
        <f t="shared" si="61"/>
        <v>0</v>
      </c>
      <c r="CK32" s="67">
        <f t="shared" si="61"/>
        <v>0</v>
      </c>
      <c r="CL32" s="67">
        <f t="shared" si="61"/>
        <v>0</v>
      </c>
      <c r="CM32" s="67">
        <f t="shared" si="61"/>
        <v>0</v>
      </c>
      <c r="CN32" s="67">
        <f t="shared" si="61"/>
        <v>0</v>
      </c>
      <c r="CO32" s="67">
        <f t="shared" si="61"/>
        <v>0</v>
      </c>
      <c r="CP32" s="67">
        <f t="shared" si="61"/>
        <v>0</v>
      </c>
      <c r="CQ32" s="67">
        <f t="shared" si="61"/>
        <v>0</v>
      </c>
      <c r="CR32" s="67">
        <f t="shared" si="61"/>
        <v>0</v>
      </c>
      <c r="CS32" s="67">
        <f t="shared" si="61"/>
        <v>0</v>
      </c>
      <c r="CT32" s="67">
        <f t="shared" si="61"/>
        <v>0</v>
      </c>
      <c r="CU32" s="67">
        <f t="shared" si="61"/>
        <v>0</v>
      </c>
      <c r="CV32" s="67">
        <f t="shared" si="61"/>
        <v>0</v>
      </c>
      <c r="CW32" s="67">
        <f t="shared" si="61"/>
        <v>5</v>
      </c>
      <c r="CX32" s="68"/>
      <c r="CY32" s="67">
        <f t="shared" ref="CY32:DE32" si="62">COUNTIF($E32:$BR32,CY$6)</f>
        <v>0</v>
      </c>
      <c r="CZ32" s="67">
        <f t="shared" si="62"/>
        <v>0</v>
      </c>
      <c r="DA32" s="67">
        <f t="shared" si="62"/>
        <v>0</v>
      </c>
      <c r="DB32" s="67">
        <f t="shared" si="62"/>
        <v>9</v>
      </c>
      <c r="DC32" s="67">
        <f t="shared" si="62"/>
        <v>1</v>
      </c>
      <c r="DD32" s="67">
        <f t="shared" si="62"/>
        <v>0</v>
      </c>
      <c r="DE32" s="67">
        <f t="shared" si="62"/>
        <v>3</v>
      </c>
    </row>
    <row r="33" ht="14.25" customHeight="1">
      <c r="A33" s="69">
        <f t="shared" si="49"/>
        <v>7</v>
      </c>
      <c r="B33" s="99" t="s">
        <v>81</v>
      </c>
      <c r="C33" s="100" t="s">
        <v>82</v>
      </c>
      <c r="D33" s="142">
        <v>108.0</v>
      </c>
      <c r="E33" s="86" t="s">
        <v>42</v>
      </c>
      <c r="F33" s="130"/>
      <c r="G33" s="86" t="s">
        <v>27</v>
      </c>
      <c r="H33" s="77" t="s">
        <v>54</v>
      </c>
      <c r="I33" s="86" t="s">
        <v>40</v>
      </c>
      <c r="J33" s="72"/>
      <c r="K33" s="142">
        <v>108.0</v>
      </c>
      <c r="L33" s="55" t="s">
        <v>26</v>
      </c>
      <c r="M33" s="127" t="s">
        <v>46</v>
      </c>
      <c r="N33" s="86" t="s">
        <v>26</v>
      </c>
      <c r="O33" s="72" t="s">
        <v>46</v>
      </c>
      <c r="P33" s="86" t="s">
        <v>26</v>
      </c>
      <c r="Q33" s="127" t="s">
        <v>46</v>
      </c>
      <c r="R33" s="86" t="s">
        <v>26</v>
      </c>
      <c r="S33" s="72" t="s">
        <v>46</v>
      </c>
      <c r="T33" s="86" t="s">
        <v>27</v>
      </c>
      <c r="U33" s="77" t="s">
        <v>54</v>
      </c>
      <c r="V33" s="86" t="s">
        <v>27</v>
      </c>
      <c r="W33" s="127"/>
      <c r="X33" s="86" t="s">
        <v>27</v>
      </c>
      <c r="Y33" s="127"/>
      <c r="Z33" s="142">
        <v>108.0</v>
      </c>
      <c r="AA33" s="86" t="s">
        <v>27</v>
      </c>
      <c r="AB33" s="72" t="s">
        <v>54</v>
      </c>
      <c r="AC33" s="86" t="s">
        <v>26</v>
      </c>
      <c r="AD33" s="125" t="s">
        <v>46</v>
      </c>
      <c r="AE33" s="86" t="s">
        <v>27</v>
      </c>
      <c r="AF33" s="127"/>
      <c r="AG33" s="86" t="s">
        <v>27</v>
      </c>
      <c r="AH33" s="127"/>
      <c r="AI33" s="86" t="s">
        <v>27</v>
      </c>
      <c r="AJ33" s="127"/>
      <c r="AK33" s="86" t="s">
        <v>26</v>
      </c>
      <c r="AL33" s="127" t="s">
        <v>46</v>
      </c>
      <c r="AM33" s="86" t="s">
        <v>26</v>
      </c>
      <c r="AN33" s="127" t="s">
        <v>46</v>
      </c>
      <c r="AO33" s="142"/>
      <c r="AP33" s="86" t="s">
        <v>27</v>
      </c>
      <c r="AQ33" s="127"/>
      <c r="AR33" s="86" t="s">
        <v>27</v>
      </c>
      <c r="AS33" s="85" t="s">
        <v>54</v>
      </c>
      <c r="AT33" s="86" t="s">
        <v>42</v>
      </c>
      <c r="AU33" s="127"/>
      <c r="AV33" s="86" t="s">
        <v>27</v>
      </c>
      <c r="AW33" s="127"/>
      <c r="AX33" s="86" t="s">
        <v>26</v>
      </c>
      <c r="AY33" s="127" t="s">
        <v>46</v>
      </c>
      <c r="AZ33" s="86" t="s">
        <v>27</v>
      </c>
      <c r="BA33" s="127"/>
      <c r="BB33" s="86" t="s">
        <v>27</v>
      </c>
      <c r="BC33" s="127"/>
      <c r="BD33" s="142"/>
      <c r="BE33" s="86" t="s">
        <v>27</v>
      </c>
      <c r="BF33" s="127"/>
      <c r="BG33" s="86" t="s">
        <v>26</v>
      </c>
      <c r="BH33" s="127" t="s">
        <v>43</v>
      </c>
      <c r="BI33" s="86" t="s">
        <v>42</v>
      </c>
      <c r="BJ33" s="127"/>
      <c r="BK33" s="86" t="s">
        <v>27</v>
      </c>
      <c r="BL33" s="127"/>
      <c r="BM33" s="86" t="s">
        <v>26</v>
      </c>
      <c r="BN33" s="125" t="s">
        <v>46</v>
      </c>
      <c r="BO33" s="86" t="s">
        <v>26</v>
      </c>
      <c r="BP33" s="87" t="s">
        <v>46</v>
      </c>
      <c r="BQ33" s="86" t="s">
        <v>27</v>
      </c>
      <c r="BR33" s="143"/>
      <c r="BS33" s="82">
        <f t="shared" si="50"/>
        <v>28.55555556</v>
      </c>
      <c r="BT33" s="64">
        <f t="shared" si="51"/>
        <v>257</v>
      </c>
      <c r="BU33" s="83">
        <f t="shared" si="52"/>
        <v>0</v>
      </c>
      <c r="BV33" s="66">
        <f t="shared" si="45"/>
        <v>11</v>
      </c>
      <c r="BW33" s="66">
        <f t="shared" si="46"/>
        <v>0</v>
      </c>
      <c r="BX33" s="4"/>
      <c r="BY33" s="67">
        <f t="shared" ref="BY33:CW33" si="63">COUNTIF($E33:$BR33,BY$6)</f>
        <v>0</v>
      </c>
      <c r="BZ33" s="67">
        <f t="shared" si="63"/>
        <v>0</v>
      </c>
      <c r="CA33" s="67">
        <f t="shared" si="63"/>
        <v>0</v>
      </c>
      <c r="CB33" s="67">
        <f t="shared" si="63"/>
        <v>0</v>
      </c>
      <c r="CC33" s="67">
        <f t="shared" si="63"/>
        <v>0</v>
      </c>
      <c r="CD33" s="67">
        <f t="shared" si="63"/>
        <v>0</v>
      </c>
      <c r="CE33" s="67">
        <f t="shared" si="63"/>
        <v>0</v>
      </c>
      <c r="CF33" s="67">
        <f t="shared" si="63"/>
        <v>0</v>
      </c>
      <c r="CG33" s="67">
        <f t="shared" si="63"/>
        <v>11</v>
      </c>
      <c r="CH33" s="67">
        <f t="shared" si="63"/>
        <v>16</v>
      </c>
      <c r="CI33" s="67">
        <f t="shared" si="63"/>
        <v>0</v>
      </c>
      <c r="CJ33" s="67">
        <f t="shared" si="63"/>
        <v>0</v>
      </c>
      <c r="CK33" s="67">
        <f t="shared" si="63"/>
        <v>0</v>
      </c>
      <c r="CL33" s="67">
        <f t="shared" si="63"/>
        <v>0</v>
      </c>
      <c r="CM33" s="67">
        <f t="shared" si="63"/>
        <v>0</v>
      </c>
      <c r="CN33" s="67">
        <f t="shared" si="63"/>
        <v>0</v>
      </c>
      <c r="CO33" s="67">
        <f t="shared" si="63"/>
        <v>0</v>
      </c>
      <c r="CP33" s="67">
        <f t="shared" si="63"/>
        <v>0</v>
      </c>
      <c r="CQ33" s="67">
        <f t="shared" si="63"/>
        <v>0</v>
      </c>
      <c r="CR33" s="67">
        <f t="shared" si="63"/>
        <v>0</v>
      </c>
      <c r="CS33" s="67">
        <f t="shared" si="63"/>
        <v>0</v>
      </c>
      <c r="CT33" s="67">
        <f t="shared" si="63"/>
        <v>0</v>
      </c>
      <c r="CU33" s="67">
        <f t="shared" si="63"/>
        <v>1</v>
      </c>
      <c r="CV33" s="67">
        <f t="shared" si="63"/>
        <v>0</v>
      </c>
      <c r="CW33" s="67">
        <f t="shared" si="63"/>
        <v>3</v>
      </c>
      <c r="CX33" s="68"/>
      <c r="CY33" s="67">
        <f t="shared" ref="CY33:DE33" si="64">COUNTIF($E33:$BR33,CY$6)</f>
        <v>1</v>
      </c>
      <c r="CZ33" s="67">
        <f t="shared" si="64"/>
        <v>0</v>
      </c>
      <c r="DA33" s="67">
        <f t="shared" si="64"/>
        <v>0</v>
      </c>
      <c r="DB33" s="67">
        <f t="shared" si="64"/>
        <v>10</v>
      </c>
      <c r="DC33" s="67">
        <f t="shared" si="64"/>
        <v>0</v>
      </c>
      <c r="DD33" s="67">
        <f t="shared" si="64"/>
        <v>0</v>
      </c>
      <c r="DE33" s="67">
        <f t="shared" si="64"/>
        <v>0</v>
      </c>
    </row>
    <row r="34">
      <c r="A34" s="69">
        <f t="shared" si="49"/>
        <v>8</v>
      </c>
      <c r="B34" s="144" t="s">
        <v>83</v>
      </c>
      <c r="C34" s="100" t="s">
        <v>84</v>
      </c>
      <c r="D34" s="142">
        <v>116.0</v>
      </c>
      <c r="E34" s="86" t="s">
        <v>35</v>
      </c>
      <c r="F34" s="145" t="s">
        <v>48</v>
      </c>
      <c r="G34" s="86" t="s">
        <v>37</v>
      </c>
      <c r="H34" s="127" t="s">
        <v>48</v>
      </c>
      <c r="I34" s="86" t="s">
        <v>26</v>
      </c>
      <c r="J34" s="127" t="s">
        <v>48</v>
      </c>
      <c r="K34" s="142">
        <v>116.0</v>
      </c>
      <c r="L34" s="55" t="s">
        <v>27</v>
      </c>
      <c r="M34" s="77" t="s">
        <v>54</v>
      </c>
      <c r="N34" s="86" t="s">
        <v>26</v>
      </c>
      <c r="O34" s="127" t="s">
        <v>47</v>
      </c>
      <c r="P34" s="86" t="s">
        <v>26</v>
      </c>
      <c r="Q34" s="127" t="s">
        <v>47</v>
      </c>
      <c r="R34" s="86" t="s">
        <v>40</v>
      </c>
      <c r="S34" s="127" t="s">
        <v>47</v>
      </c>
      <c r="T34" s="86" t="s">
        <v>27</v>
      </c>
      <c r="U34" s="127"/>
      <c r="V34" s="86" t="s">
        <v>27</v>
      </c>
      <c r="W34" s="77"/>
      <c r="X34" s="86" t="s">
        <v>27</v>
      </c>
      <c r="Y34" s="77" t="s">
        <v>54</v>
      </c>
      <c r="Z34" s="142">
        <v>116.0</v>
      </c>
      <c r="AA34" s="146" t="s">
        <v>27</v>
      </c>
      <c r="AB34" s="127"/>
      <c r="AC34" s="146" t="s">
        <v>42</v>
      </c>
      <c r="AD34" s="127"/>
      <c r="AE34" s="146" t="s">
        <v>42</v>
      </c>
      <c r="AF34" s="127"/>
      <c r="AG34" s="146" t="s">
        <v>26</v>
      </c>
      <c r="AH34" s="127" t="s">
        <v>47</v>
      </c>
      <c r="AI34" s="146" t="s">
        <v>26</v>
      </c>
      <c r="AJ34" s="127" t="s">
        <v>47</v>
      </c>
      <c r="AK34" s="146" t="s">
        <v>27</v>
      </c>
      <c r="AL34" s="84"/>
      <c r="AM34" s="146" t="s">
        <v>27</v>
      </c>
      <c r="AN34" s="84"/>
      <c r="AO34" s="147"/>
      <c r="AP34" s="146" t="s">
        <v>27</v>
      </c>
      <c r="AQ34" s="125" t="s">
        <v>47</v>
      </c>
      <c r="AR34" s="146" t="s">
        <v>26</v>
      </c>
      <c r="AS34" s="125" t="s">
        <v>47</v>
      </c>
      <c r="AT34" s="148" t="s">
        <v>42</v>
      </c>
      <c r="AU34" s="85" t="s">
        <v>54</v>
      </c>
      <c r="AV34" s="148" t="s">
        <v>85</v>
      </c>
      <c r="AW34" s="149"/>
      <c r="AX34" s="148" t="s">
        <v>27</v>
      </c>
      <c r="AY34" s="149"/>
      <c r="AZ34" s="148" t="s">
        <v>26</v>
      </c>
      <c r="BA34" s="149" t="s">
        <v>46</v>
      </c>
      <c r="BB34" s="146" t="s">
        <v>26</v>
      </c>
      <c r="BC34" s="127" t="s">
        <v>46</v>
      </c>
      <c r="BD34" s="147"/>
      <c r="BE34" s="146" t="s">
        <v>26</v>
      </c>
      <c r="BF34" s="127" t="s">
        <v>47</v>
      </c>
      <c r="BG34" s="146" t="s">
        <v>27</v>
      </c>
      <c r="BH34" s="127"/>
      <c r="BI34" s="146" t="s">
        <v>26</v>
      </c>
      <c r="BJ34" s="127" t="s">
        <v>47</v>
      </c>
      <c r="BK34" s="146" t="s">
        <v>27</v>
      </c>
      <c r="BL34" s="127"/>
      <c r="BM34" s="146" t="s">
        <v>27</v>
      </c>
      <c r="BN34" s="127"/>
      <c r="BO34" s="146" t="s">
        <v>27</v>
      </c>
      <c r="BP34" s="85" t="s">
        <v>54</v>
      </c>
      <c r="BQ34" s="146" t="s">
        <v>40</v>
      </c>
      <c r="BR34" s="149" t="s">
        <v>46</v>
      </c>
      <c r="BS34" s="82">
        <f t="shared" si="50"/>
        <v>28.11111111</v>
      </c>
      <c r="BT34" s="64">
        <f t="shared" si="51"/>
        <v>253</v>
      </c>
      <c r="BU34" s="83">
        <f t="shared" si="52"/>
        <v>6</v>
      </c>
      <c r="BV34" s="66">
        <f t="shared" si="45"/>
        <v>12</v>
      </c>
      <c r="BW34" s="66">
        <f t="shared" si="46"/>
        <v>0</v>
      </c>
      <c r="BX34" s="4"/>
      <c r="BY34" s="67">
        <f t="shared" ref="BY34:CW34" si="65">COUNTIF($E34:$BR34,BY$6)</f>
        <v>0</v>
      </c>
      <c r="BZ34" s="67">
        <f t="shared" si="65"/>
        <v>0</v>
      </c>
      <c r="CA34" s="67">
        <f t="shared" si="65"/>
        <v>0</v>
      </c>
      <c r="CB34" s="67">
        <f t="shared" si="65"/>
        <v>0</v>
      </c>
      <c r="CC34" s="67">
        <f t="shared" si="65"/>
        <v>0</v>
      </c>
      <c r="CD34" s="67">
        <f t="shared" si="65"/>
        <v>0</v>
      </c>
      <c r="CE34" s="67">
        <f t="shared" si="65"/>
        <v>0</v>
      </c>
      <c r="CF34" s="67">
        <f t="shared" si="65"/>
        <v>0</v>
      </c>
      <c r="CG34" s="67">
        <f t="shared" si="65"/>
        <v>10</v>
      </c>
      <c r="CH34" s="67">
        <f t="shared" si="65"/>
        <v>13</v>
      </c>
      <c r="CI34" s="67">
        <f t="shared" si="65"/>
        <v>0</v>
      </c>
      <c r="CJ34" s="67">
        <f t="shared" si="65"/>
        <v>0</v>
      </c>
      <c r="CK34" s="67">
        <f t="shared" si="65"/>
        <v>0</v>
      </c>
      <c r="CL34" s="67">
        <f t="shared" si="65"/>
        <v>0</v>
      </c>
      <c r="CM34" s="67">
        <f t="shared" si="65"/>
        <v>0</v>
      </c>
      <c r="CN34" s="67">
        <f t="shared" si="65"/>
        <v>0</v>
      </c>
      <c r="CO34" s="67">
        <f t="shared" si="65"/>
        <v>0</v>
      </c>
      <c r="CP34" s="67">
        <f t="shared" si="65"/>
        <v>1</v>
      </c>
      <c r="CQ34" s="67">
        <f t="shared" si="65"/>
        <v>0</v>
      </c>
      <c r="CR34" s="67">
        <f t="shared" si="65"/>
        <v>1</v>
      </c>
      <c r="CS34" s="67">
        <f t="shared" si="65"/>
        <v>0</v>
      </c>
      <c r="CT34" s="67">
        <f t="shared" si="65"/>
        <v>0</v>
      </c>
      <c r="CU34" s="67">
        <f t="shared" si="65"/>
        <v>2</v>
      </c>
      <c r="CV34" s="67">
        <f t="shared" si="65"/>
        <v>0</v>
      </c>
      <c r="CW34" s="67">
        <f t="shared" si="65"/>
        <v>3</v>
      </c>
      <c r="CX34" s="68"/>
      <c r="CY34" s="67">
        <f t="shared" ref="CY34:DE34" si="66">COUNTIF($E34:$BR34,CY$6)</f>
        <v>0</v>
      </c>
      <c r="CZ34" s="67">
        <f t="shared" si="66"/>
        <v>0</v>
      </c>
      <c r="DA34" s="67">
        <f t="shared" si="66"/>
        <v>0</v>
      </c>
      <c r="DB34" s="67">
        <f t="shared" si="66"/>
        <v>3</v>
      </c>
      <c r="DC34" s="67">
        <f t="shared" si="66"/>
        <v>9</v>
      </c>
      <c r="DD34" s="67">
        <f t="shared" si="66"/>
        <v>3</v>
      </c>
      <c r="DE34" s="67">
        <f t="shared" si="66"/>
        <v>0</v>
      </c>
    </row>
    <row r="35">
      <c r="A35" s="69">
        <f t="shared" si="49"/>
        <v>9</v>
      </c>
      <c r="B35" s="150" t="s">
        <v>86</v>
      </c>
      <c r="C35" s="151" t="s">
        <v>87</v>
      </c>
      <c r="D35" s="142">
        <v>134.0</v>
      </c>
      <c r="E35" s="152" t="s">
        <v>42</v>
      </c>
      <c r="F35" s="145"/>
      <c r="G35" s="152" t="s">
        <v>27</v>
      </c>
      <c r="H35" s="127"/>
      <c r="I35" s="152" t="s">
        <v>27</v>
      </c>
      <c r="J35" s="127"/>
      <c r="K35" s="142">
        <v>134.0</v>
      </c>
      <c r="L35" s="55" t="s">
        <v>27</v>
      </c>
      <c r="M35" s="127"/>
      <c r="N35" s="152" t="s">
        <v>27</v>
      </c>
      <c r="O35" s="127"/>
      <c r="P35" s="152" t="s">
        <v>27</v>
      </c>
      <c r="Q35" s="127"/>
      <c r="R35" s="152" t="s">
        <v>27</v>
      </c>
      <c r="S35" s="127"/>
      <c r="T35" s="152" t="s">
        <v>27</v>
      </c>
      <c r="U35" s="127"/>
      <c r="V35" s="152" t="s">
        <v>27</v>
      </c>
      <c r="W35" s="127"/>
      <c r="X35" s="152" t="s">
        <v>27</v>
      </c>
      <c r="Y35" s="127"/>
      <c r="Z35" s="142">
        <v>134.0</v>
      </c>
      <c r="AA35" s="152" t="s">
        <v>42</v>
      </c>
      <c r="AB35" s="127"/>
      <c r="AC35" s="152" t="s">
        <v>27</v>
      </c>
      <c r="AD35" s="127"/>
      <c r="AE35" s="152" t="s">
        <v>27</v>
      </c>
      <c r="AF35" s="127"/>
      <c r="AG35" s="152" t="s">
        <v>27</v>
      </c>
      <c r="AH35" s="127"/>
      <c r="AI35" s="152" t="s">
        <v>42</v>
      </c>
      <c r="AJ35" s="84"/>
      <c r="AK35" s="152" t="s">
        <v>42</v>
      </c>
      <c r="AL35" s="72" t="s">
        <v>54</v>
      </c>
      <c r="AM35" s="152" t="s">
        <v>42</v>
      </c>
      <c r="AN35" s="153"/>
      <c r="AO35" s="147"/>
      <c r="AP35" s="152" t="s">
        <v>42</v>
      </c>
      <c r="AQ35" s="154"/>
      <c r="AR35" s="152" t="s">
        <v>42</v>
      </c>
      <c r="AS35" s="127"/>
      <c r="AT35" s="60" t="s">
        <v>42</v>
      </c>
      <c r="AU35" s="127"/>
      <c r="AV35" s="60" t="s">
        <v>42</v>
      </c>
      <c r="AW35" s="127"/>
      <c r="AX35" s="60" t="s">
        <v>42</v>
      </c>
      <c r="AY35" s="127"/>
      <c r="AZ35" s="60" t="s">
        <v>42</v>
      </c>
      <c r="BA35" s="127"/>
      <c r="BB35" s="152" t="s">
        <v>42</v>
      </c>
      <c r="BC35" s="127"/>
      <c r="BD35" s="147"/>
      <c r="BE35" s="152" t="s">
        <v>42</v>
      </c>
      <c r="BF35" s="127"/>
      <c r="BG35" s="152" t="s">
        <v>42</v>
      </c>
      <c r="BH35" s="127"/>
      <c r="BI35" s="152" t="s">
        <v>42</v>
      </c>
      <c r="BJ35" s="127"/>
      <c r="BK35" s="152" t="s">
        <v>42</v>
      </c>
      <c r="BL35" s="127"/>
      <c r="BM35" s="152" t="s">
        <v>42</v>
      </c>
      <c r="BN35" s="127"/>
      <c r="BO35" s="152" t="s">
        <v>42</v>
      </c>
      <c r="BP35" s="127"/>
      <c r="BQ35" s="152" t="s">
        <v>42</v>
      </c>
      <c r="BR35" s="127"/>
      <c r="BS35" s="82">
        <f t="shared" si="50"/>
        <v>12</v>
      </c>
      <c r="BT35" s="64">
        <f t="shared" si="51"/>
        <v>108</v>
      </c>
      <c r="BU35" s="83">
        <f t="shared" si="52"/>
        <v>0</v>
      </c>
      <c r="BV35" s="66">
        <f t="shared" si="45"/>
        <v>0</v>
      </c>
      <c r="BW35" s="66">
        <f t="shared" si="46"/>
        <v>0</v>
      </c>
      <c r="BX35" s="4"/>
      <c r="BY35" s="67">
        <f t="shared" ref="BY35:CW35" si="67">COUNTIF($E35:$BR35,BY$6)</f>
        <v>0</v>
      </c>
      <c r="BZ35" s="67">
        <f t="shared" si="67"/>
        <v>0</v>
      </c>
      <c r="CA35" s="67">
        <f t="shared" si="67"/>
        <v>0</v>
      </c>
      <c r="CB35" s="67">
        <f t="shared" si="67"/>
        <v>0</v>
      </c>
      <c r="CC35" s="67">
        <f t="shared" si="67"/>
        <v>0</v>
      </c>
      <c r="CD35" s="67">
        <f t="shared" si="67"/>
        <v>0</v>
      </c>
      <c r="CE35" s="67">
        <f t="shared" si="67"/>
        <v>0</v>
      </c>
      <c r="CF35" s="67">
        <f t="shared" si="67"/>
        <v>0</v>
      </c>
      <c r="CG35" s="67">
        <f t="shared" si="67"/>
        <v>0</v>
      </c>
      <c r="CH35" s="67">
        <f t="shared" si="67"/>
        <v>12</v>
      </c>
      <c r="CI35" s="67">
        <f t="shared" si="67"/>
        <v>0</v>
      </c>
      <c r="CJ35" s="67">
        <f t="shared" si="67"/>
        <v>0</v>
      </c>
      <c r="CK35" s="67">
        <f t="shared" si="67"/>
        <v>0</v>
      </c>
      <c r="CL35" s="67">
        <f t="shared" si="67"/>
        <v>0</v>
      </c>
      <c r="CM35" s="67">
        <f t="shared" si="67"/>
        <v>0</v>
      </c>
      <c r="CN35" s="67">
        <f t="shared" si="67"/>
        <v>0</v>
      </c>
      <c r="CO35" s="67">
        <f t="shared" si="67"/>
        <v>0</v>
      </c>
      <c r="CP35" s="67">
        <f t="shared" si="67"/>
        <v>0</v>
      </c>
      <c r="CQ35" s="67">
        <f t="shared" si="67"/>
        <v>0</v>
      </c>
      <c r="CR35" s="67">
        <f t="shared" si="67"/>
        <v>0</v>
      </c>
      <c r="CS35" s="67">
        <f t="shared" si="67"/>
        <v>0</v>
      </c>
      <c r="CT35" s="67">
        <f t="shared" si="67"/>
        <v>0</v>
      </c>
      <c r="CU35" s="67">
        <f t="shared" si="67"/>
        <v>0</v>
      </c>
      <c r="CV35" s="67">
        <f t="shared" si="67"/>
        <v>0</v>
      </c>
      <c r="CW35" s="67">
        <f t="shared" si="67"/>
        <v>19</v>
      </c>
      <c r="CX35" s="68"/>
      <c r="CY35" s="67">
        <f t="shared" ref="CY35:DE35" si="68">COUNTIF($E35:$BR35,CY$6)</f>
        <v>0</v>
      </c>
      <c r="CZ35" s="67">
        <f t="shared" si="68"/>
        <v>0</v>
      </c>
      <c r="DA35" s="67">
        <f t="shared" si="68"/>
        <v>0</v>
      </c>
      <c r="DB35" s="67">
        <f t="shared" si="68"/>
        <v>0</v>
      </c>
      <c r="DC35" s="67">
        <f t="shared" si="68"/>
        <v>0</v>
      </c>
      <c r="DD35" s="67">
        <f t="shared" si="68"/>
        <v>0</v>
      </c>
      <c r="DE35" s="67">
        <f t="shared" si="68"/>
        <v>0</v>
      </c>
    </row>
    <row r="36">
      <c r="A36" s="98">
        <v>10.0</v>
      </c>
      <c r="B36" s="155" t="s">
        <v>88</v>
      </c>
      <c r="C36" s="156"/>
      <c r="D36" s="142"/>
      <c r="E36" s="152"/>
      <c r="F36" s="145"/>
      <c r="G36" s="152"/>
      <c r="H36" s="127"/>
      <c r="I36" s="152"/>
      <c r="J36" s="157"/>
      <c r="K36" s="142"/>
      <c r="L36" s="158"/>
      <c r="M36" s="127"/>
      <c r="N36" s="152"/>
      <c r="O36" s="127"/>
      <c r="P36" s="152" t="s">
        <v>23</v>
      </c>
      <c r="Q36" s="127"/>
      <c r="R36" s="152" t="s">
        <v>23</v>
      </c>
      <c r="S36" s="127"/>
      <c r="T36" s="152" t="s">
        <v>23</v>
      </c>
      <c r="U36" s="127"/>
      <c r="V36" s="152" t="s">
        <v>27</v>
      </c>
      <c r="W36" s="127"/>
      <c r="X36" s="152" t="s">
        <v>27</v>
      </c>
      <c r="Y36" s="127"/>
      <c r="Z36" s="142">
        <v>115.0</v>
      </c>
      <c r="AA36" s="152" t="s">
        <v>27</v>
      </c>
      <c r="AB36" s="127"/>
      <c r="AC36" s="152" t="s">
        <v>27</v>
      </c>
      <c r="AD36" s="127"/>
      <c r="AE36" s="152" t="s">
        <v>27</v>
      </c>
      <c r="AF36" s="127"/>
      <c r="AG36" s="152" t="s">
        <v>27</v>
      </c>
      <c r="AH36" s="127"/>
      <c r="AI36" s="152" t="s">
        <v>27</v>
      </c>
      <c r="AJ36" s="84"/>
      <c r="AK36" s="152" t="s">
        <v>27</v>
      </c>
      <c r="AL36" s="84"/>
      <c r="AM36" s="152" t="s">
        <v>27</v>
      </c>
      <c r="AN36" s="85" t="s">
        <v>54</v>
      </c>
      <c r="AO36" s="147"/>
      <c r="AP36" s="152" t="s">
        <v>27</v>
      </c>
      <c r="AQ36" s="154"/>
      <c r="AR36" s="152" t="s">
        <v>27</v>
      </c>
      <c r="AS36" s="127"/>
      <c r="AT36" s="60" t="s">
        <v>27</v>
      </c>
      <c r="AU36" s="127"/>
      <c r="AV36" s="60" t="s">
        <v>27</v>
      </c>
      <c r="AW36" s="127"/>
      <c r="AX36" s="60" t="s">
        <v>27</v>
      </c>
      <c r="AY36" s="85" t="s">
        <v>54</v>
      </c>
      <c r="AZ36" s="60" t="s">
        <v>27</v>
      </c>
      <c r="BA36" s="127"/>
      <c r="BB36" s="152" t="s">
        <v>42</v>
      </c>
      <c r="BC36" s="127"/>
      <c r="BD36" s="147"/>
      <c r="BE36" s="152" t="s">
        <v>27</v>
      </c>
      <c r="BF36" s="127"/>
      <c r="BG36" s="152" t="s">
        <v>27</v>
      </c>
      <c r="BH36" s="127"/>
      <c r="BI36" s="152" t="s">
        <v>27</v>
      </c>
      <c r="BJ36" s="127"/>
      <c r="BK36" s="152" t="s">
        <v>27</v>
      </c>
      <c r="BL36" s="127"/>
      <c r="BM36" s="152" t="s">
        <v>27</v>
      </c>
      <c r="BN36" s="127"/>
      <c r="BO36" s="152" t="s">
        <v>27</v>
      </c>
      <c r="BP36" s="127"/>
      <c r="BQ36" s="152" t="s">
        <v>27</v>
      </c>
      <c r="BR36" s="85" t="s">
        <v>54</v>
      </c>
      <c r="BS36" s="82">
        <f t="shared" si="50"/>
        <v>25</v>
      </c>
      <c r="BT36" s="64">
        <f t="shared" si="51"/>
        <v>225</v>
      </c>
      <c r="BU36" s="83">
        <f t="shared" si="52"/>
        <v>0</v>
      </c>
      <c r="BV36" s="66">
        <f t="shared" si="45"/>
        <v>0</v>
      </c>
      <c r="BW36" s="66">
        <f t="shared" si="46"/>
        <v>0</v>
      </c>
      <c r="BX36" s="4"/>
      <c r="BY36" s="67">
        <f t="shared" ref="BY36:CW36" si="69">COUNTIF($E36:$BR36,BY$6)</f>
        <v>0</v>
      </c>
      <c r="BZ36" s="67">
        <f t="shared" si="69"/>
        <v>0</v>
      </c>
      <c r="CA36" s="67">
        <f t="shared" si="69"/>
        <v>0</v>
      </c>
      <c r="CB36" s="67">
        <f t="shared" si="69"/>
        <v>0</v>
      </c>
      <c r="CC36" s="67">
        <f t="shared" si="69"/>
        <v>0</v>
      </c>
      <c r="CD36" s="67">
        <f t="shared" si="69"/>
        <v>3</v>
      </c>
      <c r="CE36" s="67">
        <f t="shared" si="69"/>
        <v>0</v>
      </c>
      <c r="CF36" s="67">
        <f t="shared" si="69"/>
        <v>0</v>
      </c>
      <c r="CG36" s="67">
        <f t="shared" si="69"/>
        <v>0</v>
      </c>
      <c r="CH36" s="67">
        <f t="shared" si="69"/>
        <v>22</v>
      </c>
      <c r="CI36" s="67">
        <f t="shared" si="69"/>
        <v>0</v>
      </c>
      <c r="CJ36" s="67">
        <f t="shared" si="69"/>
        <v>0</v>
      </c>
      <c r="CK36" s="67">
        <f t="shared" si="69"/>
        <v>0</v>
      </c>
      <c r="CL36" s="67">
        <f t="shared" si="69"/>
        <v>0</v>
      </c>
      <c r="CM36" s="67">
        <f t="shared" si="69"/>
        <v>0</v>
      </c>
      <c r="CN36" s="67">
        <f t="shared" si="69"/>
        <v>0</v>
      </c>
      <c r="CO36" s="67">
        <f t="shared" si="69"/>
        <v>0</v>
      </c>
      <c r="CP36" s="67">
        <f t="shared" si="69"/>
        <v>0</v>
      </c>
      <c r="CQ36" s="67">
        <f t="shared" si="69"/>
        <v>0</v>
      </c>
      <c r="CR36" s="67">
        <f t="shared" si="69"/>
        <v>0</v>
      </c>
      <c r="CS36" s="67">
        <f t="shared" si="69"/>
        <v>0</v>
      </c>
      <c r="CT36" s="67">
        <f t="shared" si="69"/>
        <v>0</v>
      </c>
      <c r="CU36" s="67">
        <f t="shared" si="69"/>
        <v>0</v>
      </c>
      <c r="CV36" s="67">
        <f t="shared" si="69"/>
        <v>0</v>
      </c>
      <c r="CW36" s="67">
        <f t="shared" si="69"/>
        <v>1</v>
      </c>
      <c r="CX36" s="68"/>
      <c r="CY36" s="67">
        <f t="shared" ref="CY36:DE36" si="70">COUNTIF($E36:$BR36,CY$6)</f>
        <v>0</v>
      </c>
      <c r="CZ36" s="67">
        <f t="shared" si="70"/>
        <v>0</v>
      </c>
      <c r="DA36" s="67">
        <f t="shared" si="70"/>
        <v>0</v>
      </c>
      <c r="DB36" s="67">
        <f t="shared" si="70"/>
        <v>0</v>
      </c>
      <c r="DC36" s="67">
        <f t="shared" si="70"/>
        <v>0</v>
      </c>
      <c r="DD36" s="67">
        <f t="shared" si="70"/>
        <v>0</v>
      </c>
      <c r="DE36" s="67">
        <f t="shared" si="70"/>
        <v>0</v>
      </c>
    </row>
    <row r="37">
      <c r="A37" s="69">
        <f>IF(B37&lt;&gt;"",SUBTOTAL(3,$B$27:B37),"")</f>
        <v>11</v>
      </c>
      <c r="B37" s="155" t="s">
        <v>89</v>
      </c>
      <c r="C37" s="156"/>
      <c r="D37" s="142"/>
      <c r="E37" s="152"/>
      <c r="F37" s="145"/>
      <c r="G37" s="152"/>
      <c r="H37" s="127"/>
      <c r="I37" s="152"/>
      <c r="J37" s="157"/>
      <c r="K37" s="142"/>
      <c r="L37" s="158"/>
      <c r="M37" s="127"/>
      <c r="N37" s="152"/>
      <c r="O37" s="127"/>
      <c r="P37" s="152"/>
      <c r="Q37" s="127"/>
      <c r="R37" s="152"/>
      <c r="S37" s="127"/>
      <c r="T37" s="152" t="s">
        <v>23</v>
      </c>
      <c r="U37" s="127"/>
      <c r="V37" s="152" t="s">
        <v>23</v>
      </c>
      <c r="W37" s="127"/>
      <c r="X37" s="152" t="s">
        <v>23</v>
      </c>
      <c r="Y37" s="127"/>
      <c r="Z37" s="142">
        <v>109.0</v>
      </c>
      <c r="AA37" s="152" t="s">
        <v>27</v>
      </c>
      <c r="AB37" s="127"/>
      <c r="AC37" s="152" t="s">
        <v>27</v>
      </c>
      <c r="AD37" s="127"/>
      <c r="AE37" s="152" t="s">
        <v>27</v>
      </c>
      <c r="AF37" s="127"/>
      <c r="AG37" s="152" t="s">
        <v>27</v>
      </c>
      <c r="AH37" s="127"/>
      <c r="AI37" s="152" t="s">
        <v>42</v>
      </c>
      <c r="AJ37" s="84"/>
      <c r="AK37" s="152" t="s">
        <v>42</v>
      </c>
      <c r="AL37" s="84"/>
      <c r="AM37" s="152" t="s">
        <v>42</v>
      </c>
      <c r="AN37" s="85"/>
      <c r="AO37" s="147"/>
      <c r="AP37" s="152" t="s">
        <v>42</v>
      </c>
      <c r="AQ37" s="127"/>
      <c r="AR37" s="152" t="s">
        <v>42</v>
      </c>
      <c r="AS37" s="127"/>
      <c r="AT37" s="152" t="s">
        <v>42</v>
      </c>
      <c r="AU37" s="127"/>
      <c r="AV37" s="152" t="s">
        <v>42</v>
      </c>
      <c r="AW37" s="127"/>
      <c r="AX37" s="152" t="s">
        <v>42</v>
      </c>
      <c r="AY37" s="127"/>
      <c r="AZ37" s="152" t="s">
        <v>42</v>
      </c>
      <c r="BA37" s="84"/>
      <c r="BB37" s="152" t="s">
        <v>42</v>
      </c>
      <c r="BC37" s="127"/>
      <c r="BD37" s="147"/>
      <c r="BE37" s="152" t="s">
        <v>42</v>
      </c>
      <c r="BF37" s="127"/>
      <c r="BG37" s="152" t="s">
        <v>42</v>
      </c>
      <c r="BH37" s="127"/>
      <c r="BI37" s="152" t="s">
        <v>42</v>
      </c>
      <c r="BJ37" s="127"/>
      <c r="BK37" s="152" t="s">
        <v>42</v>
      </c>
      <c r="BL37" s="127"/>
      <c r="BM37" s="152" t="s">
        <v>42</v>
      </c>
      <c r="BN37" s="127"/>
      <c r="BO37" s="152" t="s">
        <v>42</v>
      </c>
      <c r="BP37" s="127"/>
      <c r="BQ37" s="152" t="s">
        <v>42</v>
      </c>
      <c r="BR37" s="127"/>
      <c r="BS37" s="82">
        <f t="shared" si="50"/>
        <v>7</v>
      </c>
      <c r="BT37" s="64">
        <f t="shared" si="51"/>
        <v>63</v>
      </c>
      <c r="BU37" s="83">
        <f t="shared" si="52"/>
        <v>0</v>
      </c>
      <c r="BV37" s="66">
        <f t="shared" si="45"/>
        <v>0</v>
      </c>
      <c r="BW37" s="66">
        <f t="shared" si="46"/>
        <v>0</v>
      </c>
      <c r="BX37" s="4"/>
      <c r="BY37" s="67">
        <f t="shared" ref="BY37:CW37" si="71">COUNTIF($E37:$BR37,BY$6)</f>
        <v>0</v>
      </c>
      <c r="BZ37" s="67">
        <f t="shared" si="71"/>
        <v>0</v>
      </c>
      <c r="CA37" s="67">
        <f t="shared" si="71"/>
        <v>0</v>
      </c>
      <c r="CB37" s="67">
        <f t="shared" si="71"/>
        <v>0</v>
      </c>
      <c r="CC37" s="67">
        <f t="shared" si="71"/>
        <v>0</v>
      </c>
      <c r="CD37" s="67">
        <f t="shared" si="71"/>
        <v>3</v>
      </c>
      <c r="CE37" s="67">
        <f t="shared" si="71"/>
        <v>0</v>
      </c>
      <c r="CF37" s="67">
        <f t="shared" si="71"/>
        <v>0</v>
      </c>
      <c r="CG37" s="67">
        <f t="shared" si="71"/>
        <v>0</v>
      </c>
      <c r="CH37" s="67">
        <f t="shared" si="71"/>
        <v>4</v>
      </c>
      <c r="CI37" s="67">
        <f t="shared" si="71"/>
        <v>0</v>
      </c>
      <c r="CJ37" s="67">
        <f t="shared" si="71"/>
        <v>0</v>
      </c>
      <c r="CK37" s="67">
        <f t="shared" si="71"/>
        <v>0</v>
      </c>
      <c r="CL37" s="67">
        <f t="shared" si="71"/>
        <v>0</v>
      </c>
      <c r="CM37" s="67">
        <f t="shared" si="71"/>
        <v>0</v>
      </c>
      <c r="CN37" s="67">
        <f t="shared" si="71"/>
        <v>0</v>
      </c>
      <c r="CO37" s="67">
        <f t="shared" si="71"/>
        <v>0</v>
      </c>
      <c r="CP37" s="67">
        <f t="shared" si="71"/>
        <v>0</v>
      </c>
      <c r="CQ37" s="67">
        <f t="shared" si="71"/>
        <v>0</v>
      </c>
      <c r="CR37" s="67">
        <f t="shared" si="71"/>
        <v>0</v>
      </c>
      <c r="CS37" s="67">
        <f t="shared" si="71"/>
        <v>0</v>
      </c>
      <c r="CT37" s="67">
        <f t="shared" si="71"/>
        <v>0</v>
      </c>
      <c r="CU37" s="67">
        <f t="shared" si="71"/>
        <v>0</v>
      </c>
      <c r="CV37" s="67">
        <f t="shared" si="71"/>
        <v>0</v>
      </c>
      <c r="CW37" s="67">
        <f t="shared" si="71"/>
        <v>17</v>
      </c>
      <c r="CX37" s="68"/>
      <c r="CY37" s="67">
        <f t="shared" ref="CY37:DE37" si="72">COUNTIF($E37:$BR37,CY$6)</f>
        <v>0</v>
      </c>
      <c r="CZ37" s="67">
        <f t="shared" si="72"/>
        <v>0</v>
      </c>
      <c r="DA37" s="67">
        <f t="shared" si="72"/>
        <v>0</v>
      </c>
      <c r="DB37" s="67">
        <f t="shared" si="72"/>
        <v>0</v>
      </c>
      <c r="DC37" s="67">
        <f t="shared" si="72"/>
        <v>0</v>
      </c>
      <c r="DD37" s="67">
        <f t="shared" si="72"/>
        <v>0</v>
      </c>
      <c r="DE37" s="67">
        <f t="shared" si="72"/>
        <v>0</v>
      </c>
    </row>
    <row r="38">
      <c r="A38" s="98">
        <v>12.0</v>
      </c>
      <c r="B38" s="155" t="s">
        <v>90</v>
      </c>
      <c r="C38" s="156"/>
      <c r="D38" s="142"/>
      <c r="E38" s="152"/>
      <c r="F38" s="145"/>
      <c r="G38" s="152"/>
      <c r="H38" s="127"/>
      <c r="I38" s="152"/>
      <c r="J38" s="157"/>
      <c r="K38" s="142"/>
      <c r="L38" s="158"/>
      <c r="M38" s="127"/>
      <c r="N38" s="152"/>
      <c r="O38" s="127"/>
      <c r="P38" s="152"/>
      <c r="Q38" s="127"/>
      <c r="R38" s="152"/>
      <c r="S38" s="127"/>
      <c r="T38" s="152" t="s">
        <v>23</v>
      </c>
      <c r="U38" s="127"/>
      <c r="V38" s="152" t="s">
        <v>23</v>
      </c>
      <c r="W38" s="127"/>
      <c r="X38" s="152" t="s">
        <v>23</v>
      </c>
      <c r="Y38" s="127"/>
      <c r="Z38" s="142">
        <v>138.0</v>
      </c>
      <c r="AA38" s="152" t="s">
        <v>27</v>
      </c>
      <c r="AB38" s="127"/>
      <c r="AC38" s="152" t="s">
        <v>27</v>
      </c>
      <c r="AD38" s="127"/>
      <c r="AE38" s="152" t="s">
        <v>27</v>
      </c>
      <c r="AF38" s="127"/>
      <c r="AG38" s="152" t="s">
        <v>27</v>
      </c>
      <c r="AH38" s="127"/>
      <c r="AI38" s="152" t="s">
        <v>42</v>
      </c>
      <c r="AJ38" s="84"/>
      <c r="AK38" s="152" t="s">
        <v>42</v>
      </c>
      <c r="AL38" s="84"/>
      <c r="AM38" s="152" t="s">
        <v>42</v>
      </c>
      <c r="AN38" s="85"/>
      <c r="AO38" s="147"/>
      <c r="AP38" s="152" t="s">
        <v>42</v>
      </c>
      <c r="AQ38" s="127"/>
      <c r="AR38" s="152" t="s">
        <v>42</v>
      </c>
      <c r="AS38" s="127"/>
      <c r="AT38" s="152" t="s">
        <v>42</v>
      </c>
      <c r="AU38" s="127"/>
      <c r="AV38" s="152" t="s">
        <v>42</v>
      </c>
      <c r="AW38" s="127"/>
      <c r="AX38" s="152" t="s">
        <v>42</v>
      </c>
      <c r="AY38" s="127"/>
      <c r="AZ38" s="152" t="s">
        <v>42</v>
      </c>
      <c r="BA38" s="84"/>
      <c r="BB38" s="152" t="s">
        <v>42</v>
      </c>
      <c r="BC38" s="85"/>
      <c r="BD38" s="147"/>
      <c r="BE38" s="152" t="s">
        <v>42</v>
      </c>
      <c r="BF38" s="127"/>
      <c r="BG38" s="152" t="s">
        <v>42</v>
      </c>
      <c r="BH38" s="127"/>
      <c r="BI38" s="152" t="s">
        <v>42</v>
      </c>
      <c r="BJ38" s="127"/>
      <c r="BK38" s="152" t="s">
        <v>42</v>
      </c>
      <c r="BL38" s="127"/>
      <c r="BM38" s="152" t="s">
        <v>42</v>
      </c>
      <c r="BN38" s="127"/>
      <c r="BO38" s="152" t="s">
        <v>42</v>
      </c>
      <c r="BP38" s="127"/>
      <c r="BQ38" s="152" t="s">
        <v>42</v>
      </c>
      <c r="BR38" s="127"/>
      <c r="BS38" s="82">
        <f t="shared" si="50"/>
        <v>7</v>
      </c>
      <c r="BT38" s="64">
        <f t="shared" si="51"/>
        <v>63</v>
      </c>
      <c r="BU38" s="83">
        <f t="shared" si="52"/>
        <v>0</v>
      </c>
      <c r="BV38" s="66">
        <f t="shared" si="45"/>
        <v>0</v>
      </c>
      <c r="BW38" s="66">
        <f t="shared" si="46"/>
        <v>0</v>
      </c>
      <c r="BX38" s="4"/>
      <c r="BY38" s="67">
        <f t="shared" ref="BY38:CW38" si="73">COUNTIF($E38:$BR38,BY$6)</f>
        <v>0</v>
      </c>
      <c r="BZ38" s="67">
        <f t="shared" si="73"/>
        <v>0</v>
      </c>
      <c r="CA38" s="67">
        <f t="shared" si="73"/>
        <v>0</v>
      </c>
      <c r="CB38" s="67">
        <f t="shared" si="73"/>
        <v>0</v>
      </c>
      <c r="CC38" s="67">
        <f t="shared" si="73"/>
        <v>0</v>
      </c>
      <c r="CD38" s="67">
        <f t="shared" si="73"/>
        <v>3</v>
      </c>
      <c r="CE38" s="67">
        <f t="shared" si="73"/>
        <v>0</v>
      </c>
      <c r="CF38" s="67">
        <f t="shared" si="73"/>
        <v>0</v>
      </c>
      <c r="CG38" s="67">
        <f t="shared" si="73"/>
        <v>0</v>
      </c>
      <c r="CH38" s="67">
        <f t="shared" si="73"/>
        <v>4</v>
      </c>
      <c r="CI38" s="67">
        <f t="shared" si="73"/>
        <v>0</v>
      </c>
      <c r="CJ38" s="67">
        <f t="shared" si="73"/>
        <v>0</v>
      </c>
      <c r="CK38" s="67">
        <f t="shared" si="73"/>
        <v>0</v>
      </c>
      <c r="CL38" s="67">
        <f t="shared" si="73"/>
        <v>0</v>
      </c>
      <c r="CM38" s="67">
        <f t="shared" si="73"/>
        <v>0</v>
      </c>
      <c r="CN38" s="67">
        <f t="shared" si="73"/>
        <v>0</v>
      </c>
      <c r="CO38" s="67">
        <f t="shared" si="73"/>
        <v>0</v>
      </c>
      <c r="CP38" s="67">
        <f t="shared" si="73"/>
        <v>0</v>
      </c>
      <c r="CQ38" s="67">
        <f t="shared" si="73"/>
        <v>0</v>
      </c>
      <c r="CR38" s="67">
        <f t="shared" si="73"/>
        <v>0</v>
      </c>
      <c r="CS38" s="67">
        <f t="shared" si="73"/>
        <v>0</v>
      </c>
      <c r="CT38" s="67">
        <f t="shared" si="73"/>
        <v>0</v>
      </c>
      <c r="CU38" s="67">
        <f t="shared" si="73"/>
        <v>0</v>
      </c>
      <c r="CV38" s="67">
        <f t="shared" si="73"/>
        <v>0</v>
      </c>
      <c r="CW38" s="67">
        <f t="shared" si="73"/>
        <v>17</v>
      </c>
      <c r="CX38" s="68"/>
      <c r="CY38" s="67">
        <f t="shared" ref="CY38:DE38" si="74">COUNTIF($E38:$BR38,CY$6)</f>
        <v>0</v>
      </c>
      <c r="CZ38" s="67">
        <f t="shared" si="74"/>
        <v>0</v>
      </c>
      <c r="DA38" s="67">
        <f t="shared" si="74"/>
        <v>0</v>
      </c>
      <c r="DB38" s="67">
        <f t="shared" si="74"/>
        <v>0</v>
      </c>
      <c r="DC38" s="67">
        <f t="shared" si="74"/>
        <v>0</v>
      </c>
      <c r="DD38" s="67">
        <f t="shared" si="74"/>
        <v>0</v>
      </c>
      <c r="DE38" s="67">
        <f t="shared" si="74"/>
        <v>0</v>
      </c>
    </row>
    <row r="39">
      <c r="A39" s="69">
        <f>IF(B39&lt;&gt;"",SUBTOTAL(3,$B$27:B39),"")</f>
        <v>13</v>
      </c>
      <c r="B39" s="144" t="s">
        <v>91</v>
      </c>
      <c r="C39" s="159"/>
      <c r="D39" s="142">
        <v>109.0</v>
      </c>
      <c r="E39" s="152" t="s">
        <v>27</v>
      </c>
      <c r="F39" s="160"/>
      <c r="G39" s="152" t="s">
        <v>27</v>
      </c>
      <c r="H39" s="127"/>
      <c r="I39" s="152" t="s">
        <v>27</v>
      </c>
      <c r="J39" s="77" t="s">
        <v>54</v>
      </c>
      <c r="K39" s="142">
        <v>109.0</v>
      </c>
      <c r="L39" s="55" t="s">
        <v>42</v>
      </c>
      <c r="M39" s="127"/>
      <c r="N39" s="152" t="s">
        <v>27</v>
      </c>
      <c r="O39" s="127"/>
      <c r="P39" s="152" t="s">
        <v>27</v>
      </c>
      <c r="Q39" s="127"/>
      <c r="R39" s="152" t="s">
        <v>42</v>
      </c>
      <c r="S39" s="127"/>
      <c r="T39" s="152" t="s">
        <v>42</v>
      </c>
      <c r="U39" s="127"/>
      <c r="V39" s="152" t="s">
        <v>42</v>
      </c>
      <c r="W39" s="127"/>
      <c r="X39" s="152" t="s">
        <v>42</v>
      </c>
      <c r="Y39" s="127"/>
      <c r="Z39" s="142">
        <v>109.0</v>
      </c>
      <c r="AA39" s="152" t="s">
        <v>42</v>
      </c>
      <c r="AB39" s="127"/>
      <c r="AC39" s="152" t="s">
        <v>42</v>
      </c>
      <c r="AD39" s="127"/>
      <c r="AE39" s="152" t="s">
        <v>42</v>
      </c>
      <c r="AF39" s="127"/>
      <c r="AG39" s="152" t="s">
        <v>42</v>
      </c>
      <c r="AH39" s="127"/>
      <c r="AI39" s="152" t="s">
        <v>42</v>
      </c>
      <c r="AJ39" s="127"/>
      <c r="AK39" s="152" t="s">
        <v>42</v>
      </c>
      <c r="AL39" s="84"/>
      <c r="AM39" s="152" t="s">
        <v>42</v>
      </c>
      <c r="AN39" s="77"/>
      <c r="AO39" s="142"/>
      <c r="AP39" s="152" t="s">
        <v>42</v>
      </c>
      <c r="AQ39" s="127"/>
      <c r="AR39" s="152" t="s">
        <v>42</v>
      </c>
      <c r="AS39" s="127"/>
      <c r="AT39" s="152" t="s">
        <v>42</v>
      </c>
      <c r="AU39" s="127"/>
      <c r="AV39" s="152" t="s">
        <v>42</v>
      </c>
      <c r="AW39" s="127"/>
      <c r="AX39" s="152" t="s">
        <v>42</v>
      </c>
      <c r="AY39" s="127"/>
      <c r="AZ39" s="152" t="s">
        <v>42</v>
      </c>
      <c r="BA39" s="84"/>
      <c r="BB39" s="152" t="s">
        <v>42</v>
      </c>
      <c r="BC39" s="127"/>
      <c r="BD39" s="142"/>
      <c r="BE39" s="152" t="s">
        <v>42</v>
      </c>
      <c r="BF39" s="127"/>
      <c r="BG39" s="152" t="s">
        <v>42</v>
      </c>
      <c r="BH39" s="127"/>
      <c r="BI39" s="152" t="s">
        <v>42</v>
      </c>
      <c r="BJ39" s="127"/>
      <c r="BK39" s="152" t="s">
        <v>42</v>
      </c>
      <c r="BL39" s="127"/>
      <c r="BM39" s="152" t="s">
        <v>42</v>
      </c>
      <c r="BN39" s="127"/>
      <c r="BO39" s="152" t="s">
        <v>42</v>
      </c>
      <c r="BP39" s="127"/>
      <c r="BQ39" s="152" t="s">
        <v>42</v>
      </c>
      <c r="BR39" s="127"/>
      <c r="BS39" s="82">
        <f t="shared" si="50"/>
        <v>5</v>
      </c>
      <c r="BT39" s="64">
        <f t="shared" si="51"/>
        <v>45</v>
      </c>
      <c r="BU39" s="83">
        <f t="shared" si="52"/>
        <v>0</v>
      </c>
      <c r="BV39" s="66">
        <f t="shared" si="45"/>
        <v>0</v>
      </c>
      <c r="BW39" s="66">
        <f t="shared" si="46"/>
        <v>0</v>
      </c>
      <c r="BX39" s="4"/>
      <c r="BY39" s="67">
        <f t="shared" ref="BY39:CW39" si="75">COUNTIF($E39:$BR39,BY$6)</f>
        <v>0</v>
      </c>
      <c r="BZ39" s="67">
        <f t="shared" si="75"/>
        <v>0</v>
      </c>
      <c r="CA39" s="67">
        <f t="shared" si="75"/>
        <v>0</v>
      </c>
      <c r="CB39" s="67">
        <f t="shared" si="75"/>
        <v>0</v>
      </c>
      <c r="CC39" s="67">
        <f t="shared" si="75"/>
        <v>0</v>
      </c>
      <c r="CD39" s="67">
        <f t="shared" si="75"/>
        <v>0</v>
      </c>
      <c r="CE39" s="67">
        <f t="shared" si="75"/>
        <v>0</v>
      </c>
      <c r="CF39" s="67">
        <f t="shared" si="75"/>
        <v>0</v>
      </c>
      <c r="CG39" s="67">
        <f t="shared" si="75"/>
        <v>0</v>
      </c>
      <c r="CH39" s="67">
        <f t="shared" si="75"/>
        <v>5</v>
      </c>
      <c r="CI39" s="67">
        <f t="shared" si="75"/>
        <v>0</v>
      </c>
      <c r="CJ39" s="67">
        <f t="shared" si="75"/>
        <v>0</v>
      </c>
      <c r="CK39" s="67">
        <f t="shared" si="75"/>
        <v>0</v>
      </c>
      <c r="CL39" s="67">
        <f t="shared" si="75"/>
        <v>0</v>
      </c>
      <c r="CM39" s="67">
        <f t="shared" si="75"/>
        <v>0</v>
      </c>
      <c r="CN39" s="67">
        <f t="shared" si="75"/>
        <v>0</v>
      </c>
      <c r="CO39" s="67">
        <f t="shared" si="75"/>
        <v>0</v>
      </c>
      <c r="CP39" s="67">
        <f t="shared" si="75"/>
        <v>0</v>
      </c>
      <c r="CQ39" s="67">
        <f t="shared" si="75"/>
        <v>0</v>
      </c>
      <c r="CR39" s="67">
        <f t="shared" si="75"/>
        <v>0</v>
      </c>
      <c r="CS39" s="67">
        <f t="shared" si="75"/>
        <v>0</v>
      </c>
      <c r="CT39" s="67">
        <f t="shared" si="75"/>
        <v>0</v>
      </c>
      <c r="CU39" s="67">
        <f t="shared" si="75"/>
        <v>0</v>
      </c>
      <c r="CV39" s="67">
        <f t="shared" si="75"/>
        <v>0</v>
      </c>
      <c r="CW39" s="67">
        <f t="shared" si="75"/>
        <v>26</v>
      </c>
      <c r="CX39" s="68"/>
      <c r="CY39" s="67">
        <f t="shared" ref="CY39:DE39" si="76">COUNTIF($E39:$BR39,CY$6)</f>
        <v>0</v>
      </c>
      <c r="CZ39" s="67">
        <f t="shared" si="76"/>
        <v>0</v>
      </c>
      <c r="DA39" s="67">
        <f t="shared" si="76"/>
        <v>0</v>
      </c>
      <c r="DB39" s="67">
        <f t="shared" si="76"/>
        <v>0</v>
      </c>
      <c r="DC39" s="67">
        <f t="shared" si="76"/>
        <v>0</v>
      </c>
      <c r="DD39" s="67">
        <f t="shared" si="76"/>
        <v>0</v>
      </c>
      <c r="DE39" s="67">
        <f t="shared" si="76"/>
        <v>0</v>
      </c>
    </row>
    <row r="40">
      <c r="A40" s="161" t="s">
        <v>92</v>
      </c>
      <c r="B40" s="162" t="s">
        <v>93</v>
      </c>
      <c r="C40" s="163">
        <v>8.66731902E8</v>
      </c>
      <c r="D40" s="164"/>
      <c r="E40" s="60" t="s">
        <v>27</v>
      </c>
      <c r="F40" s="165"/>
      <c r="G40" s="60" t="s">
        <v>42</v>
      </c>
      <c r="H40" s="165"/>
      <c r="I40" s="60" t="s">
        <v>42</v>
      </c>
      <c r="J40" s="165"/>
      <c r="K40" s="164"/>
      <c r="L40" s="60" t="s">
        <v>23</v>
      </c>
      <c r="M40" s="165"/>
      <c r="N40" s="60" t="s">
        <v>23</v>
      </c>
      <c r="O40" s="165"/>
      <c r="P40" s="60" t="s">
        <v>23</v>
      </c>
      <c r="Q40" s="165"/>
      <c r="R40" s="60" t="s">
        <v>23</v>
      </c>
      <c r="S40" s="165"/>
      <c r="T40" s="60" t="s">
        <v>23</v>
      </c>
      <c r="U40" s="165"/>
      <c r="V40" s="60" t="s">
        <v>23</v>
      </c>
      <c r="W40" s="165"/>
      <c r="X40" s="60" t="s">
        <v>23</v>
      </c>
      <c r="Y40" s="165"/>
      <c r="Z40" s="164"/>
      <c r="AA40" s="60" t="s">
        <v>37</v>
      </c>
      <c r="AB40" s="165"/>
      <c r="AC40" s="152" t="s">
        <v>42</v>
      </c>
      <c r="AD40" s="165"/>
      <c r="AE40" s="152" t="s">
        <v>42</v>
      </c>
      <c r="AF40" s="165"/>
      <c r="AG40" s="60" t="s">
        <v>23</v>
      </c>
      <c r="AH40" s="165"/>
      <c r="AI40" s="152" t="s">
        <v>42</v>
      </c>
      <c r="AJ40" s="165"/>
      <c r="AK40" s="152" t="s">
        <v>94</v>
      </c>
      <c r="AL40" s="165"/>
      <c r="AM40" s="152" t="s">
        <v>42</v>
      </c>
      <c r="AN40" s="165"/>
      <c r="AO40" s="164"/>
      <c r="AP40" s="60" t="s">
        <v>94</v>
      </c>
      <c r="AQ40" s="165"/>
      <c r="AR40" s="60" t="s">
        <v>94</v>
      </c>
      <c r="AS40" s="165"/>
      <c r="AT40" s="60" t="s">
        <v>94</v>
      </c>
      <c r="AU40" s="165"/>
      <c r="AV40" s="60" t="s">
        <v>94</v>
      </c>
      <c r="AW40" s="165"/>
      <c r="AX40" s="60" t="s">
        <v>94</v>
      </c>
      <c r="AY40" s="165"/>
      <c r="AZ40" s="60" t="s">
        <v>94</v>
      </c>
      <c r="BA40" s="165"/>
      <c r="BB40" s="60" t="s">
        <v>94</v>
      </c>
      <c r="BC40" s="165"/>
      <c r="BD40" s="164"/>
      <c r="BE40" s="152" t="s">
        <v>42</v>
      </c>
      <c r="BF40" s="165"/>
      <c r="BG40" s="60" t="s">
        <v>25</v>
      </c>
      <c r="BH40" s="165"/>
      <c r="BI40" s="60" t="s">
        <v>94</v>
      </c>
      <c r="BJ40" s="165"/>
      <c r="BK40" s="60" t="s">
        <v>42</v>
      </c>
      <c r="BL40" s="165"/>
      <c r="BM40" s="60" t="s">
        <v>94</v>
      </c>
      <c r="BN40" s="165"/>
      <c r="BO40" s="60" t="s">
        <v>94</v>
      </c>
      <c r="BP40" s="165"/>
      <c r="BQ40" s="60" t="s">
        <v>94</v>
      </c>
      <c r="BR40" s="165"/>
      <c r="BS40" s="82">
        <f t="shared" si="50"/>
        <v>11</v>
      </c>
      <c r="BT40" s="64">
        <f>sumproduct(BY40:CW40,$BY$5:$CW$5)-BU40</f>
        <v>99</v>
      </c>
      <c r="BU40" s="166">
        <f t="shared" si="52"/>
        <v>3</v>
      </c>
      <c r="BV40" s="66">
        <f t="shared" si="45"/>
        <v>0</v>
      </c>
      <c r="BW40" s="66">
        <f t="shared" si="46"/>
        <v>0</v>
      </c>
      <c r="BX40" s="4"/>
      <c r="BY40" s="67">
        <f t="shared" ref="BY40:CW40" si="77">COUNTIF($E40:$BR40,BY$6)</f>
        <v>0</v>
      </c>
      <c r="BZ40" s="67">
        <f t="shared" si="77"/>
        <v>0</v>
      </c>
      <c r="CA40" s="67">
        <f t="shared" si="77"/>
        <v>0</v>
      </c>
      <c r="CB40" s="67">
        <f t="shared" si="77"/>
        <v>0</v>
      </c>
      <c r="CC40" s="67">
        <f t="shared" si="77"/>
        <v>0</v>
      </c>
      <c r="CD40" s="67">
        <f t="shared" si="77"/>
        <v>8</v>
      </c>
      <c r="CE40" s="67">
        <f t="shared" si="77"/>
        <v>0</v>
      </c>
      <c r="CF40" s="67">
        <f t="shared" si="77"/>
        <v>1</v>
      </c>
      <c r="CG40" s="67">
        <f t="shared" si="77"/>
        <v>0</v>
      </c>
      <c r="CH40" s="67">
        <f t="shared" si="77"/>
        <v>1</v>
      </c>
      <c r="CI40" s="67">
        <f t="shared" si="77"/>
        <v>0</v>
      </c>
      <c r="CJ40" s="67">
        <f t="shared" si="77"/>
        <v>0</v>
      </c>
      <c r="CK40" s="67">
        <f t="shared" si="77"/>
        <v>0</v>
      </c>
      <c r="CL40" s="67">
        <f t="shared" si="77"/>
        <v>0</v>
      </c>
      <c r="CM40" s="67">
        <f t="shared" si="77"/>
        <v>0</v>
      </c>
      <c r="CN40" s="67">
        <f t="shared" si="77"/>
        <v>0</v>
      </c>
      <c r="CO40" s="67">
        <f t="shared" si="77"/>
        <v>0</v>
      </c>
      <c r="CP40" s="67">
        <f t="shared" si="77"/>
        <v>0</v>
      </c>
      <c r="CQ40" s="67">
        <f t="shared" si="77"/>
        <v>0</v>
      </c>
      <c r="CR40" s="67">
        <f t="shared" si="77"/>
        <v>1</v>
      </c>
      <c r="CS40" s="67">
        <f t="shared" si="77"/>
        <v>0</v>
      </c>
      <c r="CT40" s="67">
        <f t="shared" si="77"/>
        <v>0</v>
      </c>
      <c r="CU40" s="67">
        <f t="shared" si="77"/>
        <v>0</v>
      </c>
      <c r="CV40" s="67">
        <f t="shared" si="77"/>
        <v>0</v>
      </c>
      <c r="CW40" s="67">
        <f t="shared" si="77"/>
        <v>8</v>
      </c>
      <c r="CX40" s="68"/>
      <c r="CY40" s="67">
        <f t="shared" ref="CY40:DE40" si="78">COUNTIF($E40:$BR40,CY$6)</f>
        <v>0</v>
      </c>
      <c r="CZ40" s="67">
        <f t="shared" si="78"/>
        <v>0</v>
      </c>
      <c r="DA40" s="67">
        <f t="shared" si="78"/>
        <v>0</v>
      </c>
      <c r="DB40" s="67">
        <f t="shared" si="78"/>
        <v>0</v>
      </c>
      <c r="DC40" s="67">
        <f t="shared" si="78"/>
        <v>0</v>
      </c>
      <c r="DD40" s="67">
        <f t="shared" si="78"/>
        <v>0</v>
      </c>
      <c r="DE40" s="67">
        <f t="shared" si="78"/>
        <v>0</v>
      </c>
    </row>
    <row r="41">
      <c r="A41" s="7"/>
      <c r="B41" s="4"/>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7"/>
      <c r="BQ41" s="167"/>
      <c r="BR41" s="167"/>
      <c r="BS41" s="167"/>
      <c r="BT41" s="167"/>
      <c r="BU41" s="167"/>
      <c r="BV41" s="167"/>
      <c r="BW41" s="167"/>
      <c r="BX41" s="4"/>
      <c r="BY41" s="168"/>
      <c r="BZ41" s="168"/>
      <c r="CA41" s="168"/>
      <c r="CB41" s="168"/>
      <c r="CC41" s="168"/>
      <c r="CD41" s="168"/>
      <c r="CE41" s="168"/>
      <c r="CF41" s="168"/>
      <c r="CG41" s="168"/>
      <c r="CH41" s="168"/>
      <c r="CI41" s="168"/>
      <c r="CJ41" s="168"/>
      <c r="CK41" s="168"/>
      <c r="CL41" s="168"/>
      <c r="CM41" s="169">
        <v>4.0</v>
      </c>
      <c r="CN41" s="169">
        <v>4.0</v>
      </c>
      <c r="CO41" s="169">
        <v>4.0</v>
      </c>
      <c r="CP41" s="169">
        <v>4.0</v>
      </c>
      <c r="CQ41" s="169">
        <v>3.0</v>
      </c>
      <c r="CR41" s="169">
        <v>4.0</v>
      </c>
      <c r="CS41" s="168"/>
      <c r="CT41" s="168"/>
      <c r="CU41" s="168"/>
      <c r="CV41" s="168"/>
      <c r="CW41" s="168"/>
      <c r="CX41" s="170"/>
      <c r="CY41" s="170"/>
      <c r="CZ41" s="170"/>
      <c r="DA41" s="170"/>
      <c r="DB41" s="170"/>
      <c r="DC41" s="170"/>
      <c r="DD41" s="170"/>
      <c r="DE41" s="170"/>
    </row>
    <row r="42">
      <c r="A42" s="7"/>
      <c r="B42" s="4"/>
      <c r="C42" s="167"/>
      <c r="D42" s="171" t="s">
        <v>95</v>
      </c>
      <c r="E42" s="172">
        <f>COUNTIF(E8:E24,$A$57)+COUNTIF(E27:E39,$A$57)</f>
        <v>1</v>
      </c>
      <c r="F42" s="172">
        <f>COUNTIF(F8:F16,$A$57)+COUNTIF(F27:F32,$A$57)</f>
        <v>0</v>
      </c>
      <c r="G42" s="172">
        <f>COUNTIF(G8:G24,$A$57)+COUNTIF(G27:G39,$A$57)</f>
        <v>3</v>
      </c>
      <c r="H42" s="172">
        <f>COUNTIF(H8:H16,$A$57)+COUNTIF(H27:H32,$A$57)</f>
        <v>0</v>
      </c>
      <c r="I42" s="173">
        <f>COUNTIF(I8:I24,$A$57)+COUNTIF(I27:I39,$A$57)</f>
        <v>3</v>
      </c>
      <c r="J42" s="172">
        <f>COUNTIF(J8:J16,$A$57)+COUNTIF(J27:J32,$A$57)</f>
        <v>0</v>
      </c>
      <c r="K42" s="171" t="s">
        <v>95</v>
      </c>
      <c r="L42" s="173">
        <f>COUNTIF(L8:L24,$A$57)+COUNTIF(L27:L39,$A$57)</f>
        <v>4</v>
      </c>
      <c r="M42" s="172">
        <f>COUNTIF(M8:M16,$A$57)+COUNTIF(M27:M32,$A$57)</f>
        <v>0</v>
      </c>
      <c r="N42" s="173">
        <f>COUNTIF(N8:N24,$A$57)+COUNTIF(N27:N39,$A$57)</f>
        <v>2</v>
      </c>
      <c r="O42" s="172">
        <f>COUNTIF(O8:O16,$A$57)+COUNTIF(O27:O32,$A$57)</f>
        <v>0</v>
      </c>
      <c r="P42" s="172">
        <f>COUNTIF(P8:P24,$A$57)+COUNTIF(P27:P39,$A$57)</f>
        <v>3</v>
      </c>
      <c r="Q42" s="172">
        <f>COUNTIF(Q8:Q16,$A$57)+COUNTIF(Q27:Q32,$A$57)</f>
        <v>0</v>
      </c>
      <c r="R42" s="172">
        <f>COUNTIF(R8:R24,$A$57)+COUNTIF(R27:R39,$A$57)</f>
        <v>3</v>
      </c>
      <c r="S42" s="172">
        <f>COUNTIF(S8:S16,$A$57)+COUNTIF(S27:S32,$A$57)</f>
        <v>0</v>
      </c>
      <c r="T42" s="172">
        <f>COUNTIF(T8:T24,$A$57)+COUNTIF(T27:T39,$A$57)</f>
        <v>2</v>
      </c>
      <c r="U42" s="172">
        <f>COUNTIF(U8:U16,$A$57)+COUNTIF(U27:U32,$A$57)</f>
        <v>0</v>
      </c>
      <c r="V42" s="172">
        <f>COUNTIF(V8:V24,$A$57)+COUNTIF(V27:V39,$A$57)</f>
        <v>2</v>
      </c>
      <c r="W42" s="172">
        <f>COUNTIF(W8:W16,$A$57)+COUNTIF(W27:W32,$A$57)</f>
        <v>0</v>
      </c>
      <c r="X42" s="172">
        <f>COUNTIF(X8:X24,$A$57)+COUNTIF(X27:X39,$A$57)</f>
        <v>3</v>
      </c>
      <c r="Y42" s="172">
        <f>COUNTIF(Y8:Y16,$A$57)+COUNTIF(Y27:Y32,$A$57)</f>
        <v>0</v>
      </c>
      <c r="Z42" s="171" t="s">
        <v>95</v>
      </c>
      <c r="AA42" s="172">
        <f>COUNTIF(AA8:AA24,$A$57)+COUNTIF(AA27:AA39,$A$57)</f>
        <v>4</v>
      </c>
      <c r="AB42" s="172">
        <f>COUNTIF(AB8:AB16,$A$57)+COUNTIF(AB27:AB32,$A$57)</f>
        <v>0</v>
      </c>
      <c r="AC42" s="172">
        <f>COUNTIF(AC8:AC24,$A$57)+COUNTIF(AC27:AC39,$A$57)</f>
        <v>3</v>
      </c>
      <c r="AD42" s="172">
        <f>COUNTIF(AD8:AD16,$A$57)+COUNTIF(AD27:AD32,$A$57)</f>
        <v>0</v>
      </c>
      <c r="AE42" s="172">
        <f>COUNTIF(AE8:AE24,$A$57)+COUNTIF(AE27:AE39,$A$57)</f>
        <v>3</v>
      </c>
      <c r="AF42" s="172">
        <f>COUNTIF(AF8:AF16,$A$57)+COUNTIF(AF27:AF32,$A$57)</f>
        <v>0</v>
      </c>
      <c r="AG42" s="172">
        <f>COUNTIF(AG8:AG24,$A$57)+COUNTIF(AG27:AG39,$A$57)</f>
        <v>2</v>
      </c>
      <c r="AH42" s="172">
        <f>COUNTIF(AH8:AH16,$A$57)+COUNTIF(AH27:AH32,$A$57)</f>
        <v>0</v>
      </c>
      <c r="AI42" s="172">
        <f>COUNTIF(AI8:AI24,$A$57)+COUNTIF(AI27:AI39,$A$57)</f>
        <v>3</v>
      </c>
      <c r="AJ42" s="172">
        <f>COUNTIF(AJ8:AJ16,$A$57)+COUNTIF(AJ27:AJ32,$A$57)</f>
        <v>0</v>
      </c>
      <c r="AK42" s="172">
        <f>COUNTIF(AK8:AK24,$A$57)+COUNTIF(AK27:AK39,$A$57)</f>
        <v>2</v>
      </c>
      <c r="AL42" s="172">
        <f>COUNTIF(AL8:AL16,$A$57)+COUNTIF(AL27:AL32,$A$57)</f>
        <v>0</v>
      </c>
      <c r="AM42" s="172">
        <f>COUNTIF(AM8:AM24,$A$57)+COUNTIF(AM27:AM39,$A$57)</f>
        <v>2</v>
      </c>
      <c r="AN42" s="172">
        <f>COUNTIF(AN8:AN16,$A$57)+COUNTIF(AN27:AN32,$A$57)</f>
        <v>0</v>
      </c>
      <c r="AO42" s="171" t="s">
        <v>95</v>
      </c>
      <c r="AP42" s="172">
        <f>COUNTIF(AP8:AP24,$A$57)+COUNTIF(AP27:AP39,$A$57)</f>
        <v>4</v>
      </c>
      <c r="AQ42" s="172">
        <f>COUNTIF(AQ8:AQ16,$A$57)+COUNTIF(AQ27:AQ32,$A$57)</f>
        <v>0</v>
      </c>
      <c r="AR42" s="172">
        <f>COUNTIF(AR8:AR24,$A$57)+COUNTIF(AR27:AR39,$A$57)</f>
        <v>3</v>
      </c>
      <c r="AS42" s="172">
        <f>COUNTIF(AS8:AS16,$A$57)+COUNTIF(AS27:AS32,$A$57)</f>
        <v>0</v>
      </c>
      <c r="AT42" s="172">
        <f>COUNTIF(AT8:AT24,$A$57)+COUNTIF(AT27:AT39,$A$57)</f>
        <v>1</v>
      </c>
      <c r="AU42" s="172">
        <f>COUNTIF(AU8:AU16,$A$57)+COUNTIF(AU27:AU32,$A$57)</f>
        <v>0</v>
      </c>
      <c r="AV42" s="172">
        <f>COUNTIF(AV8:AV24,$A$57)+COUNTIF(AV27:AV39,$A$57)</f>
        <v>2</v>
      </c>
      <c r="AW42" s="172">
        <f>COUNTIF(AW8:AW16,$A$57)+COUNTIF(AW27:AW32,$A$57)</f>
        <v>0</v>
      </c>
      <c r="AX42" s="172">
        <f>COUNTIF(AX8:AX24,$A$57)+COUNTIF(AX27:AX39,$A$57)</f>
        <v>2</v>
      </c>
      <c r="AY42" s="172">
        <f>COUNTIF(AY8:AY16,$A$57)+COUNTIF(AY27:AY32,$A$57)</f>
        <v>0</v>
      </c>
      <c r="AZ42" s="172">
        <f>COUNTIF(AZ8:AZ24,$A$57)+COUNTIF(AZ27:AZ39,$A$57)</f>
        <v>3</v>
      </c>
      <c r="BA42" s="172">
        <f>COUNTIF(BA8:BA16,$A$57)+COUNTIF(BA27:BA32,$A$57)</f>
        <v>0</v>
      </c>
      <c r="BB42" s="172">
        <f>COUNTIF(BB8:BB24,$A$57)+COUNTIF(BB27:BB39,$A$57)</f>
        <v>3</v>
      </c>
      <c r="BC42" s="172">
        <f>COUNTIF(BC8:BC16,$A$57)+COUNTIF(BC27:BC32,$A$57)</f>
        <v>0</v>
      </c>
      <c r="BD42" s="171" t="s">
        <v>95</v>
      </c>
      <c r="BE42" s="172">
        <f>COUNTIF(BE8:BE24,$A$57)+COUNTIF(BE27:BE39,$A$57)</f>
        <v>5</v>
      </c>
      <c r="BF42" s="172">
        <f>COUNTIF(BF8:BF16,$A$57)+COUNTIF(BF27:BF32,$A$57)</f>
        <v>0</v>
      </c>
      <c r="BG42" s="172">
        <f>COUNTIF(BG8:BG24,$A$57)+COUNTIF(BG27:BG39,$A$57)</f>
        <v>3</v>
      </c>
      <c r="BH42" s="172">
        <f>COUNTIF(BH8:BH16,$A$57)+COUNTIF(BH27:BH32,$A$57)</f>
        <v>0</v>
      </c>
      <c r="BI42" s="172">
        <f>COUNTIF(BI8:BI24,$A$57)+COUNTIF(BI27:BI39,$A$57)</f>
        <v>3</v>
      </c>
      <c r="BJ42" s="172">
        <f>COUNTIF(BJ8:BJ16,$A$57)+COUNTIF(BJ27:BJ32,$A$57)</f>
        <v>0</v>
      </c>
      <c r="BK42" s="172">
        <f>COUNTIF(BK8:BK24,$A$57)+COUNTIF(BK27:BK39,$A$57)</f>
        <v>5</v>
      </c>
      <c r="BL42" s="172">
        <f>COUNTIF(BL8:BL16,$A$57)+COUNTIF(BL27:BL32,$A$57)</f>
        <v>0</v>
      </c>
      <c r="BM42" s="172">
        <f>COUNTIF(BM8:BM24,$A$57)+COUNTIF(BM27:BM39,$A$57)</f>
        <v>3</v>
      </c>
      <c r="BN42" s="172">
        <f>COUNTIF(BN8:BN16,$A$57)+COUNTIF(BN27:BN32,$A$57)</f>
        <v>0</v>
      </c>
      <c r="BO42" s="172">
        <f>COUNTIF(BO8:BO24,$A$57)+COUNTIF(BO27:BO39,$A$57)</f>
        <v>4</v>
      </c>
      <c r="BP42" s="172">
        <f>COUNTIF(BP8:BP16,$A$57)+COUNTIF(BP27:BP32,$A$57)</f>
        <v>0</v>
      </c>
      <c r="BQ42" s="172">
        <f>COUNTIF(BQ8:BQ24,$A$57)+COUNTIF(BQ27:BQ39,$A$57)</f>
        <v>2</v>
      </c>
      <c r="BR42" s="172">
        <f>COUNTIF(BR8:BR16,$A$57)+COUNTIF(BR27:BR32,$A$57)</f>
        <v>0</v>
      </c>
      <c r="BS42" s="4"/>
      <c r="BT42" s="4"/>
      <c r="BU42" s="4"/>
      <c r="BV42" s="4"/>
      <c r="BW42" s="4"/>
      <c r="BX42" s="4"/>
      <c r="BY42" s="7"/>
      <c r="BZ42" s="7"/>
      <c r="CA42" s="7"/>
      <c r="CB42" s="7"/>
      <c r="CC42" s="7"/>
      <c r="CD42" s="7"/>
      <c r="CE42" s="7"/>
      <c r="CF42" s="7"/>
      <c r="CG42" s="7"/>
      <c r="CH42" s="7"/>
      <c r="CI42" s="7"/>
      <c r="CJ42" s="7"/>
      <c r="CK42" s="7"/>
      <c r="CL42" s="7"/>
      <c r="CM42" s="169">
        <v>3.0</v>
      </c>
      <c r="CN42" s="169">
        <v>3.0</v>
      </c>
      <c r="CO42" s="169">
        <v>3.0</v>
      </c>
      <c r="CP42" s="169">
        <v>3.0</v>
      </c>
      <c r="CQ42" s="169">
        <v>2.0</v>
      </c>
      <c r="CR42" s="169">
        <v>3.0</v>
      </c>
      <c r="CS42" s="7"/>
      <c r="CT42" s="7"/>
      <c r="CU42" s="7"/>
      <c r="CV42" s="7"/>
      <c r="CW42" s="7"/>
      <c r="CX42" s="4"/>
      <c r="CY42" s="4"/>
      <c r="CZ42" s="4"/>
      <c r="DA42" s="4"/>
      <c r="DB42" s="4"/>
      <c r="DC42" s="4"/>
      <c r="DD42" s="4"/>
      <c r="DE42" s="4"/>
    </row>
    <row r="43">
      <c r="A43" s="4"/>
      <c r="B43" s="4"/>
      <c r="C43" s="167"/>
      <c r="D43" s="171" t="s">
        <v>96</v>
      </c>
      <c r="E43" s="172">
        <f>COUNTIF(E8:E24,$A$66)+COUNTIF(E8:E24,$A$68)+COUNTIF(E27:E39,$A$66)+COUNTIF(E27:E39,$A$68)+COUNTIF(E27:E39,$A$77)+COUNTIF(E8:E24,$A$778)</f>
        <v>3</v>
      </c>
      <c r="F43" s="172">
        <f>COUNTIF(F8:F16,$A$66)+COUNTIF(F8:F16,$A$68)+COUNTIF(F27:F32,$A$66)+COUNTIF(F27:F32,$A$68)</f>
        <v>0</v>
      </c>
      <c r="G43" s="172">
        <f>COUNTIF(G8:G24,$A$66)+COUNTIF(G8:G24,$A$68)+COUNTIF(G27:G39,$A$66)+COUNTIF(G27:G39,$A$68)+COUNTIF(G27:G39,$A$77)+COUNTIF(G8:G24,$A$778)</f>
        <v>6</v>
      </c>
      <c r="H43" s="172">
        <f>COUNTIF(H8:H16,$A$66)+COUNTIF(H8:H16,$A$68)+COUNTIF(H27:H32,$A$66)+COUNTIF(H27:H32,$A$68)</f>
        <v>0</v>
      </c>
      <c r="I43" s="173">
        <f>COUNTIF(I8:I24,$A$66)+COUNTIF(I8:I24,$A$68)+COUNTIF(I27:I39,$A$66)+COUNTIF(I27:I39,$A$68)+COUNTIF(I27:I39,$A$77)+COUNTIF(I8:I24,$A$778)</f>
        <v>5</v>
      </c>
      <c r="J43" s="172">
        <f>COUNTIF(J8:J16,$A$66)+COUNTIF(J8:J16,$A$68)+COUNTIF(J27:J32,$A$66)+COUNTIF(J27:J32,$A$68)</f>
        <v>0</v>
      </c>
      <c r="K43" s="171" t="s">
        <v>96</v>
      </c>
      <c r="L43" s="173">
        <f>COUNTIF(L8:L24,$A$66)+COUNTIF(L8:L24,$A$68)+COUNTIF(L27:L39,$A$66)+COUNTIF(L27:L39,$A$68)+COUNTIF(L27:L39,$A$77)+COUNTIF(L8:L24,$A$778)</f>
        <v>4</v>
      </c>
      <c r="M43" s="172">
        <f>COUNTIF(M8:M16,$A$66)+COUNTIF(M8:M16,$A$68)+COUNTIF(M27:M32,$A$66)+COUNTIF(M27:M32,$A$68)</f>
        <v>0</v>
      </c>
      <c r="N43" s="173">
        <f>COUNTIF(N8:N24,$A$66)+COUNTIF(N8:N24,$A$68)+COUNTIF(N27:N39,$A$66)+COUNTIF(N27:N39,$A$68)+COUNTIF(N27:N39,$A$77)+COUNTIF(N8:N24,$A$778)</f>
        <v>6</v>
      </c>
      <c r="O43" s="172">
        <f>COUNTIF(O8:O16,$A$66)+COUNTIF(O8:O16,$A$68)+COUNTIF(O27:O32,$A$66)+COUNTIF(O27:O32,$A$68)</f>
        <v>0</v>
      </c>
      <c r="P43" s="172">
        <f>COUNTIF(P8:P24,$A$66)+COUNTIF(P8:P24,$A$68)+COUNTIF(P27:P39,$A$66)+COUNTIF(P27:P39,$A$68)+COUNTIF(P27:P39,$A$77)+COUNTIF(P8:P24,$A$778)</f>
        <v>5</v>
      </c>
      <c r="Q43" s="172">
        <f>COUNTIF(Q8:Q16,$A$66)+COUNTIF(Q8:Q16,$A$68)+COUNTIF(Q27:Q32,$A$66)+COUNTIF(Q27:Q32,$A$68)</f>
        <v>0</v>
      </c>
      <c r="R43" s="172">
        <f>COUNTIF(R8:R24,$A$66)+COUNTIF(R8:R24,$A$68)+COUNTIF(R27:R39,$A$66)+COUNTIF(R27:R39,$A$68)+COUNTIF(R27:R39,$A$77)+COUNTIF(R8:R24,$A$778)</f>
        <v>3</v>
      </c>
      <c r="S43" s="172">
        <f>COUNTIF(S8:S16,$A$66)+COUNTIF(S8:S16,$A$68)+COUNTIF(S27:S32,$A$66)+COUNTIF(S27:S32,$A$68)</f>
        <v>0</v>
      </c>
      <c r="T43" s="172">
        <f>COUNTIF(T8:T24,$A$66)+COUNTIF(T8:T24,$A$68)+COUNTIF(T27:T39,$A$66)+COUNTIF(T27:T39,$A$68)+COUNTIF(T27:T39,$A$77)+COUNTIF(T8:T24,$A$778)</f>
        <v>6</v>
      </c>
      <c r="U43" s="172">
        <f>COUNTIF(U8:U16,$A$66)+COUNTIF(U8:U16,$A$68)+COUNTIF(U27:U32,$A$66)+COUNTIF(U27:U32,$A$68)</f>
        <v>0</v>
      </c>
      <c r="V43" s="172">
        <f>COUNTIF(V8:V24,$A$66)+COUNTIF(V8:V24,$A$68)+COUNTIF(V27:V39,$A$66)+COUNTIF(V27:V39,$A$68)+COUNTIF(V27:V39,$A$77)+COUNTIF(V8:V24,$A$778)</f>
        <v>5</v>
      </c>
      <c r="W43" s="172">
        <f>COUNTIF(W8:W16,$A$66)+COUNTIF(W8:W16,$A$68)+COUNTIF(W27:W32,$A$66)+COUNTIF(W27:W32,$A$68)</f>
        <v>0</v>
      </c>
      <c r="X43" s="172">
        <f>COUNTIF(X8:X24,$A$66)+COUNTIF(X8:X24,$A$68)+COUNTIF(X27:X39,$A$66)+COUNTIF(X27:X39,$A$68)+COUNTIF(X27:X39,$A$77)+COUNTIF(X8:X24,$A$778)</f>
        <v>6</v>
      </c>
      <c r="Y43" s="172">
        <f>COUNTIF(Y8:Y16,$A$66)+COUNTIF(Y8:Y16,$A$68)+COUNTIF(Y27:Y32,$A$66)+COUNTIF(Y27:Y32,$A$68)</f>
        <v>0</v>
      </c>
      <c r="Z43" s="171" t="s">
        <v>96</v>
      </c>
      <c r="AA43" s="172">
        <f>COUNTIF(AA8:AA24,$A$66)+COUNTIF(AA8:AA24,$A$68)+COUNTIF(AA27:AA39,$A$66)+COUNTIF(AA27:AA39,$A$68)+COUNTIF(AA27:AA39,$A$77)+COUNTIF(AA8:AA24,$A$778)</f>
        <v>7</v>
      </c>
      <c r="AB43" s="172">
        <f>COUNTIF(AB8:AB16,$A$66)+COUNTIF(AB8:AB16,$A$68)+COUNTIF(AB27:AB32,$A$66)+COUNTIF(AB27:AB32,$A$68)</f>
        <v>0</v>
      </c>
      <c r="AC43" s="172">
        <f>COUNTIF(AC8:AC24,$A$66)+COUNTIF(AC8:AC24,$A$68)+COUNTIF(AC27:AC39,$A$66)+COUNTIF(AC27:AC39,$A$68)+COUNTIF(AC27:AC39,$A$77)+COUNTIF(AC8:AC24,$A$778)</f>
        <v>6</v>
      </c>
      <c r="AD43" s="172">
        <f>COUNTIF(AD8:AD16,$A$66)+COUNTIF(AD8:AD16,$A$68)+COUNTIF(AD27:AD32,$A$66)+COUNTIF(AD27:AD32,$A$68)</f>
        <v>0</v>
      </c>
      <c r="AE43" s="172">
        <f>COUNTIF(AE8:AE24,$A$66)+COUNTIF(AE8:AE24,$A$68)+COUNTIF(AE27:AE39,$A$66)+COUNTIF(AE27:AE39,$A$68)+COUNTIF(AE27:AE39,$A$77)+COUNTIF(AE8:AE24,$A$778)</f>
        <v>6</v>
      </c>
      <c r="AF43" s="172">
        <f>COUNTIF(AF8:AF16,$A$66)+COUNTIF(AF8:AF16,$A$68)+COUNTIF(AF27:AF32,$A$66)+COUNTIF(AF27:AF32,$A$68)</f>
        <v>0</v>
      </c>
      <c r="AG43" s="172">
        <f>COUNTIF(AG8:AG24,$A$66)+COUNTIF(AG8:AG24,$A$68)+COUNTIF(AG27:AG39,$A$66)+COUNTIF(AG27:AG39,$A$68)+COUNTIF(AG27:AG39,$A$77)+COUNTIF(AG8:AG24,$A$778)</f>
        <v>6</v>
      </c>
      <c r="AH43" s="172">
        <f>COUNTIF(AH8:AH16,$A$66)+COUNTIF(AH8:AH16,$A$68)+COUNTIF(AH27:AH32,$A$66)+COUNTIF(AH27:AH32,$A$68)</f>
        <v>0</v>
      </c>
      <c r="AI43" s="172">
        <f>COUNTIF(AI8:AI24,$A$66)+COUNTIF(AI8:AI24,$A$68)+COUNTIF(AI27:AI39,$A$66)+COUNTIF(AI27:AI39,$A$68)+COUNTIF(AI27:AI39,$A$77)+COUNTIF(AI8:AI24,$A$778)</f>
        <v>4</v>
      </c>
      <c r="AJ43" s="172">
        <f>COUNTIF(AJ8:AJ16,$A$66)+COUNTIF(AJ8:AJ16,$A$68)+COUNTIF(AJ27:AJ32,$A$66)+COUNTIF(AJ27:AJ32,$A$68)</f>
        <v>0</v>
      </c>
      <c r="AK43" s="172">
        <f>COUNTIF(AK8:AK24,$A$66)+COUNTIF(AK8:AK24,$A$68)+COUNTIF(AK27:AK39,$A$66)+COUNTIF(AK27:AK39,$A$68)+COUNTIF(AK27:AK39,$A$77)+COUNTIF(AK8:AK24,$A$778)</f>
        <v>4</v>
      </c>
      <c r="AL43" s="172">
        <f>COUNTIF(AL8:AL16,$A$66)+COUNTIF(AL8:AL16,$A$68)+COUNTIF(AL27:AL32,$A$66)+COUNTIF(AL27:AL32,$A$68)</f>
        <v>0</v>
      </c>
      <c r="AM43" s="172">
        <f>COUNTIF(AM8:AM24,$A$66)+COUNTIF(AM8:AM24,$A$68)+COUNTIF(AM27:AM39,$A$66)+COUNTIF(AM27:AM39,$A$68)+COUNTIF(AM27:AM39,$A$77)+COUNTIF(AM8:AM24,$A$778)</f>
        <v>4</v>
      </c>
      <c r="AN43" s="172">
        <f>COUNTIF(AN8:AN16,$A$66)+COUNTIF(AN8:AN16,$A$68)+COUNTIF(AN27:AN32,$A$66)+COUNTIF(AN27:AN32,$A$68)</f>
        <v>0</v>
      </c>
      <c r="AO43" s="171" t="s">
        <v>96</v>
      </c>
      <c r="AP43" s="172">
        <f>COUNTIF(AP8:AP24,$A$66)+COUNTIF(AP8:AP24,$A$68)+COUNTIF(AP27:AP39,$A$66)+COUNTIF(AP27:AP39,$A$68)+COUNTIF(AP27:AP39,$A$77)+COUNTIF(AP8:AP24,$A$778)</f>
        <v>3</v>
      </c>
      <c r="AQ43" s="172">
        <f>COUNTIF(AQ8:AQ16,$A$66)+COUNTIF(AQ8:AQ16,$A$68)+COUNTIF(AQ27:AQ32,$A$66)+COUNTIF(AQ27:AQ32,$A$68)</f>
        <v>0</v>
      </c>
      <c r="AR43" s="172">
        <f>COUNTIF(AR8:AR24,$A$66)+COUNTIF(AR8:AR24,$A$68)+COUNTIF(AR27:AR39,$A$66)+COUNTIF(AR27:AR39,$A$68)+COUNTIF(AR27:AR39,$A$77)+COUNTIF(AR8:AR24,$A$778)</f>
        <v>2</v>
      </c>
      <c r="AS43" s="172">
        <f>COUNTIF(AS8:AS16,$A$66)+COUNTIF(AS8:AS16,$A$68)+COUNTIF(AS27:AS32,$A$66)+COUNTIF(AS27:AS32,$A$68)</f>
        <v>0</v>
      </c>
      <c r="AT43" s="172">
        <f>COUNTIF(AT8:AT24,$A$66)+COUNTIF(AT8:AT24,$A$68)+COUNTIF(AT27:AT39,$A$66)+COUNTIF(AT27:AT39,$A$68)+COUNTIF(AT27:AT39,$A$77)+COUNTIF(AT8:AT24,$A$778)</f>
        <v>2</v>
      </c>
      <c r="AU43" s="172">
        <f>COUNTIF(AU8:AU16,$A$66)+COUNTIF(AU8:AU16,$A$68)+COUNTIF(AU27:AU32,$A$66)+COUNTIF(AU27:AU32,$A$68)</f>
        <v>0</v>
      </c>
      <c r="AV43" s="172">
        <f>COUNTIF(AV8:AV24,$A$66)+COUNTIF(AV8:AV24,$A$68)+COUNTIF(AV27:AV39,$A$66)+COUNTIF(AV27:AV39,$A$68)+COUNTIF(AV27:AV39,$A$77)+COUNTIF(AV8:AV24,$A$778)</f>
        <v>4</v>
      </c>
      <c r="AW43" s="172">
        <f>COUNTIF(AW8:AW16,$A$66)+COUNTIF(AW8:AW16,$A$68)+COUNTIF(AW27:AW32,$A$66)+COUNTIF(AW27:AW32,$A$68)</f>
        <v>0</v>
      </c>
      <c r="AX43" s="172">
        <f>COUNTIF(AX8:AX24,$A$66)+COUNTIF(AX8:AX24,$A$68)+COUNTIF(AX27:AX39,$A$66)+COUNTIF(AX27:AX39,$A$68)+COUNTIF(AX27:AX39,$A$77)+COUNTIF(AX8:AX24,$A$778)</f>
        <v>4</v>
      </c>
      <c r="AY43" s="172">
        <f>COUNTIF(AY8:AY16,$A$66)+COUNTIF(AY8:AY16,$A$68)+COUNTIF(AY27:AY32,$A$66)+COUNTIF(AY27:AY32,$A$68)</f>
        <v>0</v>
      </c>
      <c r="AZ43" s="172">
        <f>COUNTIF(AZ8:AZ24,$A$66)+COUNTIF(AZ8:AZ24,$A$68)+COUNTIF(AZ27:AZ39,$A$66)+COUNTIF(AZ27:AZ39,$A$68)+COUNTIF(AZ27:AZ39,$A$77)+COUNTIF(AZ8:AZ24,$A$778)</f>
        <v>3</v>
      </c>
      <c r="BA43" s="172">
        <f>COUNTIF(BA8:BA16,$A$66)+COUNTIF(BA8:BA16,$A$68)+COUNTIF(BA27:BA32,$A$66)+COUNTIF(BA27:BA32,$A$68)</f>
        <v>0</v>
      </c>
      <c r="BB43" s="172">
        <f>COUNTIF(BB8:BB24,$A$66)+COUNTIF(BB8:BB24,$A$68)+COUNTIF(BB27:BB39,$A$66)+COUNTIF(BB27:BB39,$A$68)+COUNTIF(BB27:BB39,$A$77)+COUNTIF(BB8:BB24,$A$778)</f>
        <v>3</v>
      </c>
      <c r="BC43" s="172">
        <f>COUNTIF(BC8:BC16,$A$66)+COUNTIF(BC8:BC16,$A$68)+COUNTIF(BC27:BC32,$A$66)+COUNTIF(BC27:BC32,$A$68)</f>
        <v>0</v>
      </c>
      <c r="BD43" s="171" t="s">
        <v>96</v>
      </c>
      <c r="BE43" s="172">
        <f>COUNTIF(BE8:BE24,$A$66)+COUNTIF(BE8:BE24,$A$68)+COUNTIF(BE27:BE39,$A$66)+COUNTIF(BE27:BE39,$A$68)+COUNTIF(BE27:BE39,$A$77)+COUNTIF(BE8:BE24,$A$778)</f>
        <v>4</v>
      </c>
      <c r="BF43" s="172">
        <f>COUNTIF(BF8:BF16,$A$66)+COUNTIF(BF8:BF16,$A$68)+COUNTIF(BF27:BF32,$A$66)+COUNTIF(BF27:BF32,$A$68)</f>
        <v>0</v>
      </c>
      <c r="BG43" s="172">
        <f>COUNTIF(BG8:BG24,$A$66)+COUNTIF(BG8:BG24,$A$68)+COUNTIF(BG27:BG39,$A$66)+COUNTIF(BG27:BG39,$A$68)+COUNTIF(BG27:BG39,$A$77)+COUNTIF(BG8:BG24,$A$778)</f>
        <v>4</v>
      </c>
      <c r="BH43" s="172">
        <f>COUNTIF(BH8:BH16,$A$66)+COUNTIF(BH8:BH16,$A$68)+COUNTIF(BH27:BH32,$A$66)+COUNTIF(BH27:BH32,$A$68)</f>
        <v>0</v>
      </c>
      <c r="BI43" s="172">
        <f>COUNTIF(BI8:BI24,$A$66)+COUNTIF(BI8:BI24,$A$68)+COUNTIF(BI27:BI39,$A$66)+COUNTIF(BI27:BI39,$A$68)+COUNTIF(BI27:BI39,$A$77)+COUNTIF(BI8:BI24,$A$778)</f>
        <v>3</v>
      </c>
      <c r="BJ43" s="172">
        <f>COUNTIF(BJ8:BJ16,$A$66)+COUNTIF(BJ8:BJ16,$A$68)+COUNTIF(BJ27:BJ32,$A$66)+COUNTIF(BJ27:BJ32,$A$68)</f>
        <v>0</v>
      </c>
      <c r="BK43" s="172">
        <f>COUNTIF(BK8:BK24,$A$66)+COUNTIF(BK8:BK24,$A$68)+COUNTIF(BK27:BK39,$A$66)+COUNTIF(BK27:BK39,$A$68)+COUNTIF(BK27:BK39,$A$77)+COUNTIF(BK8:BK24,$A$778)</f>
        <v>5</v>
      </c>
      <c r="BL43" s="172">
        <f>COUNTIF(BL8:BL16,$A$66)+COUNTIF(BL8:BL16,$A$68)+COUNTIF(BL27:BL32,$A$66)+COUNTIF(BL27:BL32,$A$68)</f>
        <v>0</v>
      </c>
      <c r="BM43" s="172">
        <f>COUNTIF(BM8:BM24,$A$66)+COUNTIF(BM8:BM24,$A$68)+COUNTIF(BM27:BM39,$A$66)+COUNTIF(BM27:BM39,$A$68)+COUNTIF(BM27:BM39,$A$77)+COUNTIF(BM8:BM24,$A$778)</f>
        <v>5</v>
      </c>
      <c r="BN43" s="172">
        <f>COUNTIF(BN8:BN16,$A$66)+COUNTIF(BN8:BN16,$A$68)+COUNTIF(BN27:BN32,$A$66)+COUNTIF(BN27:BN32,$A$68)</f>
        <v>0</v>
      </c>
      <c r="BO43" s="172">
        <f>COUNTIF(BO8:BO24,$A$66)+COUNTIF(BO8:BO24,$A$68)+COUNTIF(BO27:BO39,$A$66)+COUNTIF(BO27:BO39,$A$68)+COUNTIF(BO27:BO39,$A$77)+COUNTIF(BO8:BO24,$A$778)</f>
        <v>5</v>
      </c>
      <c r="BP43" s="172">
        <f>COUNTIF(BP8:BP16,$A$66)+COUNTIF(BP8:BP16,$A$68)+COUNTIF(BP27:BP32,$A$66)+COUNTIF(BP27:BP32,$A$68)</f>
        <v>0</v>
      </c>
      <c r="BQ43" s="172">
        <f>COUNTIF(BQ8:BQ24,$A$66)+COUNTIF(BQ8:BQ24,$A$68)+COUNTIF(BQ27:BQ39,$A$66)+COUNTIF(BQ27:BQ39,$A$68)+COUNTIF(BQ27:BQ39,$A$77)+COUNTIF(BQ8:BQ24,$A$778)</f>
        <v>3</v>
      </c>
      <c r="BR43" s="172">
        <f>COUNTIF(BR8:BR16,$A$66)+COUNTIF(BR8:BR16,$A$68)+COUNTIF(BR27:BR32,$A$66)+COUNTIF(BR27:BR32,$A$68)</f>
        <v>0</v>
      </c>
      <c r="BS43" s="4"/>
      <c r="BT43" s="4"/>
      <c r="BU43" s="4"/>
      <c r="BV43" s="4"/>
      <c r="BW43" s="4"/>
      <c r="BX43" s="4"/>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4"/>
      <c r="CY43" s="4"/>
      <c r="CZ43" s="4"/>
      <c r="DA43" s="4"/>
      <c r="DB43" s="4"/>
      <c r="DC43" s="4"/>
      <c r="DD43" s="4"/>
      <c r="DE43" s="4"/>
    </row>
    <row r="44">
      <c r="A44" s="4"/>
      <c r="B44" s="4"/>
      <c r="C44" s="167"/>
      <c r="D44" s="174"/>
      <c r="E44" s="175"/>
      <c r="F44" s="175"/>
      <c r="G44" s="175"/>
      <c r="H44" s="175"/>
      <c r="I44" s="175"/>
      <c r="J44" s="175"/>
      <c r="K44" s="175"/>
      <c r="L44" s="175"/>
      <c r="M44" s="175"/>
      <c r="N44" s="175"/>
      <c r="O44" s="175"/>
      <c r="V44" s="176"/>
      <c r="W44" s="176"/>
      <c r="X44" s="4"/>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6"/>
      <c r="BN44" s="176"/>
      <c r="BO44" s="176"/>
      <c r="BP44" s="176"/>
      <c r="BQ44" s="176"/>
      <c r="BR44" s="176"/>
      <c r="BS44" s="4"/>
      <c r="BT44" s="4"/>
      <c r="BU44" s="4"/>
      <c r="BV44" s="4"/>
      <c r="BW44" s="4"/>
      <c r="BX44" s="4"/>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4"/>
      <c r="CY44" s="4"/>
      <c r="CZ44" s="4"/>
      <c r="DA44" s="4"/>
      <c r="DB44" s="4"/>
      <c r="DC44" s="4"/>
      <c r="DD44" s="4"/>
      <c r="DE44" s="4"/>
    </row>
    <row r="45">
      <c r="A45" s="4"/>
      <c r="B45" s="4"/>
      <c r="C45" s="167"/>
      <c r="D45" s="174"/>
      <c r="E45" s="158"/>
      <c r="F45" s="158"/>
      <c r="G45" s="158"/>
      <c r="H45" s="158"/>
      <c r="I45" s="158"/>
      <c r="J45" s="158"/>
      <c r="K45" s="158"/>
      <c r="L45" s="158"/>
      <c r="M45" s="158"/>
      <c r="N45" s="158"/>
      <c r="O45" s="158"/>
      <c r="P45" s="177" t="s">
        <v>97</v>
      </c>
      <c r="Q45" s="178"/>
      <c r="R45" s="178"/>
      <c r="S45" s="178"/>
      <c r="T45" s="178"/>
      <c r="U45" s="178"/>
      <c r="V45" s="178"/>
      <c r="W45" s="179"/>
      <c r="Z45" s="176"/>
      <c r="AA45" s="176"/>
      <c r="AB45" s="176"/>
      <c r="AC45" s="176"/>
      <c r="AD45" s="176"/>
      <c r="AE45" s="180" t="s">
        <v>97</v>
      </c>
      <c r="AF45" s="178"/>
      <c r="AG45" s="178"/>
      <c r="AH45" s="178"/>
      <c r="AI45" s="178"/>
      <c r="AJ45" s="178"/>
      <c r="AK45" s="178"/>
      <c r="AL45" s="179"/>
      <c r="AN45" s="176"/>
      <c r="AO45" s="176"/>
      <c r="AP45" s="176"/>
      <c r="AQ45" s="176"/>
      <c r="AR45" s="176"/>
      <c r="AS45" s="176"/>
      <c r="AT45" s="180" t="s">
        <v>97</v>
      </c>
      <c r="AU45" s="178"/>
      <c r="AV45" s="178"/>
      <c r="AW45" s="178"/>
      <c r="AX45" s="178"/>
      <c r="AY45" s="178"/>
      <c r="AZ45" s="178"/>
      <c r="BA45" s="179"/>
      <c r="BG45" s="180" t="s">
        <v>97</v>
      </c>
      <c r="BH45" s="178"/>
      <c r="BI45" s="178"/>
      <c r="BJ45" s="178"/>
      <c r="BK45" s="178"/>
      <c r="BL45" s="178"/>
      <c r="BM45" s="178"/>
      <c r="BN45" s="179"/>
      <c r="BW45" s="4"/>
      <c r="BX45" s="4"/>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4"/>
      <c r="CY45" s="4"/>
      <c r="CZ45" s="4"/>
      <c r="DA45" s="4"/>
      <c r="DB45" s="4"/>
      <c r="DC45" s="4"/>
      <c r="DD45" s="4"/>
      <c r="DE45" s="4"/>
    </row>
    <row r="46">
      <c r="A46" s="23" t="s">
        <v>98</v>
      </c>
      <c r="B46" s="25"/>
      <c r="C46" s="167"/>
      <c r="D46" s="174"/>
      <c r="E46" s="158"/>
      <c r="F46" s="158"/>
      <c r="G46" s="158"/>
      <c r="H46" s="158"/>
      <c r="I46" s="158"/>
      <c r="J46" s="158"/>
      <c r="K46" s="158"/>
      <c r="L46" s="158"/>
      <c r="M46" s="158"/>
      <c r="N46" s="158"/>
      <c r="O46" s="158"/>
      <c r="P46" s="181" t="s">
        <v>99</v>
      </c>
      <c r="Q46" s="182" t="s">
        <v>100</v>
      </c>
      <c r="R46" s="178"/>
      <c r="S46" s="178"/>
      <c r="T46" s="179"/>
      <c r="U46" s="182" t="s">
        <v>101</v>
      </c>
      <c r="V46" s="178"/>
      <c r="W46" s="179"/>
      <c r="Z46" s="176"/>
      <c r="AA46" s="176"/>
      <c r="AB46" s="176"/>
      <c r="AC46" s="176"/>
      <c r="AD46" s="176"/>
      <c r="AE46" s="183" t="s">
        <v>99</v>
      </c>
      <c r="AF46" s="184" t="s">
        <v>100</v>
      </c>
      <c r="AG46" s="178"/>
      <c r="AH46" s="178"/>
      <c r="AI46" s="179"/>
      <c r="AJ46" s="184" t="s">
        <v>101</v>
      </c>
      <c r="AK46" s="178"/>
      <c r="AL46" s="179"/>
      <c r="AN46" s="176"/>
      <c r="AO46" s="176"/>
      <c r="AP46" s="176"/>
      <c r="AQ46" s="176"/>
      <c r="AR46" s="176"/>
      <c r="AS46" s="176"/>
      <c r="AT46" s="183" t="s">
        <v>99</v>
      </c>
      <c r="AU46" s="184" t="s">
        <v>100</v>
      </c>
      <c r="AV46" s="178"/>
      <c r="AW46" s="178"/>
      <c r="AX46" s="179"/>
      <c r="AY46" s="184" t="s">
        <v>101</v>
      </c>
      <c r="AZ46" s="178"/>
      <c r="BA46" s="179"/>
      <c r="BG46" s="183" t="s">
        <v>99</v>
      </c>
      <c r="BH46" s="184" t="s">
        <v>100</v>
      </c>
      <c r="BI46" s="178"/>
      <c r="BJ46" s="178"/>
      <c r="BK46" s="179"/>
      <c r="BL46" s="184" t="s">
        <v>101</v>
      </c>
      <c r="BM46" s="178"/>
      <c r="BN46" s="179"/>
      <c r="BW46" s="4"/>
      <c r="BX46" s="4"/>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4"/>
      <c r="CY46" s="4"/>
      <c r="CZ46" s="4"/>
      <c r="DA46" s="4"/>
      <c r="DB46" s="4"/>
      <c r="DC46" s="4"/>
      <c r="DD46" s="4"/>
      <c r="DE46" s="4"/>
    </row>
    <row r="47">
      <c r="A47" s="185" t="s">
        <v>16</v>
      </c>
      <c r="B47" s="40"/>
      <c r="C47" s="167"/>
      <c r="D47" s="174"/>
      <c r="E47" s="158"/>
      <c r="F47" s="158"/>
      <c r="G47" s="158"/>
      <c r="H47" s="158"/>
      <c r="I47" s="158"/>
      <c r="J47" s="158"/>
      <c r="K47" s="158"/>
      <c r="L47" s="158"/>
      <c r="M47" s="158"/>
      <c r="N47" s="158"/>
      <c r="O47" s="158"/>
      <c r="P47" s="186" t="s">
        <v>102</v>
      </c>
      <c r="Q47" s="187"/>
      <c r="R47" s="178"/>
      <c r="S47" s="178"/>
      <c r="T47" s="179"/>
      <c r="U47" s="188"/>
      <c r="V47" s="178"/>
      <c r="W47" s="179"/>
      <c r="Z47" s="176"/>
      <c r="AA47" s="176"/>
      <c r="AB47" s="176"/>
      <c r="AC47" s="176"/>
      <c r="AD47" s="176"/>
      <c r="AE47" s="189" t="s">
        <v>102</v>
      </c>
      <c r="AF47" s="190"/>
      <c r="AG47" s="178"/>
      <c r="AH47" s="178"/>
      <c r="AI47" s="179"/>
      <c r="AJ47" s="190"/>
      <c r="AK47" s="178"/>
      <c r="AL47" s="179"/>
      <c r="AN47" s="176"/>
      <c r="AO47" s="176"/>
      <c r="AP47" s="176"/>
      <c r="AQ47" s="176"/>
      <c r="AR47" s="176"/>
      <c r="AS47" s="176"/>
      <c r="AT47" s="189" t="s">
        <v>102</v>
      </c>
      <c r="AU47" s="190"/>
      <c r="AV47" s="178"/>
      <c r="AW47" s="178"/>
      <c r="AX47" s="179"/>
      <c r="AY47" s="190"/>
      <c r="AZ47" s="178"/>
      <c r="BA47" s="179"/>
      <c r="BG47" s="189" t="s">
        <v>102</v>
      </c>
      <c r="BH47" s="190"/>
      <c r="BI47" s="178"/>
      <c r="BJ47" s="178"/>
      <c r="BK47" s="179"/>
      <c r="BL47" s="190"/>
      <c r="BM47" s="178"/>
      <c r="BN47" s="179"/>
      <c r="BW47" s="4"/>
      <c r="BX47" s="4"/>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4"/>
      <c r="CY47" s="4"/>
      <c r="CZ47" s="4"/>
      <c r="DA47" s="4"/>
      <c r="DB47" s="4"/>
      <c r="DC47" s="4"/>
      <c r="DD47" s="4"/>
      <c r="DE47" s="4"/>
    </row>
    <row r="48" hidden="1">
      <c r="A48" s="191" t="s">
        <v>43</v>
      </c>
      <c r="B48" s="191" t="s">
        <v>103</v>
      </c>
      <c r="C48" s="167"/>
      <c r="D48" s="174"/>
      <c r="E48" s="158"/>
      <c r="F48" s="158"/>
      <c r="G48" s="158"/>
      <c r="H48" s="158"/>
      <c r="I48" s="158"/>
      <c r="J48" s="158"/>
      <c r="K48" s="158"/>
      <c r="L48" s="158"/>
      <c r="M48" s="158"/>
      <c r="N48" s="158"/>
      <c r="O48" s="158"/>
      <c r="P48" s="186" t="s">
        <v>104</v>
      </c>
      <c r="Q48" s="192"/>
      <c r="R48" s="178"/>
      <c r="S48" s="178"/>
      <c r="T48" s="179"/>
      <c r="U48" s="188"/>
      <c r="V48" s="178"/>
      <c r="W48" s="179"/>
      <c r="Z48" s="176"/>
      <c r="AA48" s="176"/>
      <c r="AB48" s="176"/>
      <c r="AC48" s="176"/>
      <c r="AD48" s="176"/>
      <c r="AE48" s="189" t="s">
        <v>104</v>
      </c>
      <c r="AF48" s="190"/>
      <c r="AG48" s="178"/>
      <c r="AH48" s="178"/>
      <c r="AI48" s="179"/>
      <c r="AJ48" s="190"/>
      <c r="AK48" s="178"/>
      <c r="AL48" s="179"/>
      <c r="AN48" s="176"/>
      <c r="AO48" s="176"/>
      <c r="AP48" s="176"/>
      <c r="AQ48" s="176"/>
      <c r="AR48" s="176"/>
      <c r="AS48" s="176"/>
      <c r="AT48" s="189" t="s">
        <v>104</v>
      </c>
      <c r="AU48" s="190"/>
      <c r="AV48" s="178"/>
      <c r="AW48" s="178"/>
      <c r="AX48" s="179"/>
      <c r="AY48" s="190"/>
      <c r="AZ48" s="178"/>
      <c r="BA48" s="179"/>
      <c r="BG48" s="189" t="s">
        <v>104</v>
      </c>
      <c r="BH48" s="190"/>
      <c r="BI48" s="178"/>
      <c r="BJ48" s="178"/>
      <c r="BK48" s="179"/>
      <c r="BL48" s="190"/>
      <c r="BM48" s="178"/>
      <c r="BN48" s="179"/>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4"/>
      <c r="CY48" s="4"/>
      <c r="CZ48" s="4"/>
      <c r="DA48" s="4"/>
      <c r="DB48" s="4"/>
      <c r="DC48" s="4"/>
      <c r="DD48" s="4"/>
      <c r="DE48" s="4"/>
    </row>
    <row r="49" hidden="1">
      <c r="A49" s="191" t="s">
        <v>44</v>
      </c>
      <c r="B49" s="191" t="s">
        <v>105</v>
      </c>
      <c r="C49" s="167"/>
      <c r="D49" s="174"/>
      <c r="E49" s="158"/>
      <c r="F49" s="158"/>
      <c r="G49" s="158"/>
      <c r="H49" s="158"/>
      <c r="I49" s="158"/>
      <c r="J49" s="158"/>
      <c r="K49" s="158"/>
      <c r="L49" s="158"/>
      <c r="M49" s="158"/>
      <c r="N49" s="158"/>
      <c r="O49" s="158"/>
      <c r="P49" s="186" t="s">
        <v>106</v>
      </c>
      <c r="Q49" s="192"/>
      <c r="R49" s="178"/>
      <c r="S49" s="178"/>
      <c r="T49" s="179"/>
      <c r="U49" s="188"/>
      <c r="V49" s="178"/>
      <c r="W49" s="179"/>
      <c r="Z49" s="176"/>
      <c r="AA49" s="176"/>
      <c r="AB49" s="176"/>
      <c r="AC49" s="176"/>
      <c r="AD49" s="176"/>
      <c r="AE49" s="189" t="s">
        <v>106</v>
      </c>
      <c r="AF49" s="190"/>
      <c r="AG49" s="178"/>
      <c r="AH49" s="178"/>
      <c r="AI49" s="179"/>
      <c r="AJ49" s="190"/>
      <c r="AK49" s="178"/>
      <c r="AL49" s="179"/>
      <c r="AN49" s="176"/>
      <c r="AO49" s="176"/>
      <c r="AP49" s="176"/>
      <c r="AQ49" s="176"/>
      <c r="AR49" s="176"/>
      <c r="AS49" s="176"/>
      <c r="AT49" s="189" t="s">
        <v>106</v>
      </c>
      <c r="AU49" s="190"/>
      <c r="AV49" s="178"/>
      <c r="AW49" s="178"/>
      <c r="AX49" s="179"/>
      <c r="AY49" s="190"/>
      <c r="AZ49" s="178"/>
      <c r="BA49" s="179"/>
      <c r="BG49" s="189" t="s">
        <v>106</v>
      </c>
      <c r="BH49" s="190"/>
      <c r="BI49" s="178"/>
      <c r="BJ49" s="178"/>
      <c r="BK49" s="179"/>
      <c r="BL49" s="190"/>
      <c r="BM49" s="178"/>
      <c r="BN49" s="179"/>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4"/>
      <c r="CY49" s="4"/>
      <c r="CZ49" s="4"/>
      <c r="DA49" s="4"/>
      <c r="DB49" s="4"/>
      <c r="DC49" s="4"/>
      <c r="DD49" s="4"/>
      <c r="DE49" s="4"/>
    </row>
    <row r="50" hidden="1">
      <c r="A50" s="191" t="s">
        <v>45</v>
      </c>
      <c r="B50" s="191" t="s">
        <v>107</v>
      </c>
      <c r="C50" s="167"/>
      <c r="D50" s="174"/>
      <c r="E50" s="158"/>
      <c r="F50" s="158"/>
      <c r="G50" s="158"/>
      <c r="H50" s="158"/>
      <c r="I50" s="158"/>
      <c r="J50" s="158"/>
      <c r="K50" s="158"/>
      <c r="L50" s="158"/>
      <c r="M50" s="158"/>
      <c r="N50" s="158"/>
      <c r="O50" s="158"/>
      <c r="P50" s="186" t="s">
        <v>108</v>
      </c>
      <c r="Q50" s="192"/>
      <c r="R50" s="178"/>
      <c r="S50" s="178"/>
      <c r="T50" s="179"/>
      <c r="U50" s="188"/>
      <c r="V50" s="178"/>
      <c r="W50" s="179"/>
      <c r="Z50" s="176"/>
      <c r="AA50" s="176"/>
      <c r="AB50" s="176"/>
      <c r="AC50" s="176"/>
      <c r="AD50" s="176"/>
      <c r="AE50" s="189" t="s">
        <v>108</v>
      </c>
      <c r="AF50" s="190"/>
      <c r="AG50" s="178"/>
      <c r="AH50" s="178"/>
      <c r="AI50" s="179"/>
      <c r="AJ50" s="190"/>
      <c r="AK50" s="178"/>
      <c r="AL50" s="179"/>
      <c r="AN50" s="176"/>
      <c r="AO50" s="176"/>
      <c r="AP50" s="176"/>
      <c r="AQ50" s="176"/>
      <c r="AR50" s="176"/>
      <c r="AS50" s="176"/>
      <c r="AT50" s="189" t="s">
        <v>108</v>
      </c>
      <c r="AU50" s="190"/>
      <c r="AV50" s="178"/>
      <c r="AW50" s="178"/>
      <c r="AX50" s="179"/>
      <c r="AY50" s="190"/>
      <c r="AZ50" s="178"/>
      <c r="BA50" s="179"/>
      <c r="BG50" s="189" t="s">
        <v>108</v>
      </c>
      <c r="BH50" s="190"/>
      <c r="BI50" s="178"/>
      <c r="BJ50" s="178"/>
      <c r="BK50" s="179"/>
      <c r="BL50" s="190"/>
      <c r="BM50" s="178"/>
      <c r="BN50" s="179"/>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4"/>
      <c r="CY50" s="4"/>
      <c r="CZ50" s="4"/>
      <c r="DA50" s="4"/>
      <c r="DB50" s="4"/>
      <c r="DC50" s="4"/>
      <c r="DD50" s="4"/>
      <c r="DE50" s="4"/>
    </row>
    <row r="51" hidden="1">
      <c r="A51" s="191" t="s">
        <v>46</v>
      </c>
      <c r="B51" s="191" t="s">
        <v>109</v>
      </c>
      <c r="C51" s="167"/>
      <c r="D51" s="4"/>
      <c r="E51" s="158"/>
      <c r="F51" s="158"/>
      <c r="G51" s="158"/>
      <c r="H51" s="158"/>
      <c r="I51" s="158"/>
      <c r="J51" s="158"/>
      <c r="K51" s="158"/>
      <c r="L51" s="158"/>
      <c r="M51" s="158"/>
      <c r="N51" s="158"/>
      <c r="O51" s="158"/>
      <c r="P51" s="186" t="s">
        <v>110</v>
      </c>
      <c r="Q51" s="192"/>
      <c r="R51" s="178"/>
      <c r="S51" s="178"/>
      <c r="T51" s="179"/>
      <c r="U51" s="188"/>
      <c r="V51" s="178"/>
      <c r="W51" s="179"/>
      <c r="Z51" s="176"/>
      <c r="AA51" s="176"/>
      <c r="AB51" s="176"/>
      <c r="AC51" s="176"/>
      <c r="AD51" s="176"/>
      <c r="AE51" s="189" t="s">
        <v>110</v>
      </c>
      <c r="AF51" s="190"/>
      <c r="AG51" s="178"/>
      <c r="AH51" s="178"/>
      <c r="AI51" s="179"/>
      <c r="AJ51" s="190"/>
      <c r="AK51" s="178"/>
      <c r="AL51" s="179"/>
      <c r="AN51" s="176"/>
      <c r="AO51" s="176"/>
      <c r="AP51" s="176"/>
      <c r="AQ51" s="176"/>
      <c r="AR51" s="176"/>
      <c r="AS51" s="176"/>
      <c r="AT51" s="189" t="s">
        <v>110</v>
      </c>
      <c r="AU51" s="190"/>
      <c r="AV51" s="178"/>
      <c r="AW51" s="178"/>
      <c r="AX51" s="179"/>
      <c r="AY51" s="190"/>
      <c r="AZ51" s="178"/>
      <c r="BA51" s="179"/>
      <c r="BG51" s="189" t="s">
        <v>110</v>
      </c>
      <c r="BH51" s="190"/>
      <c r="BI51" s="178"/>
      <c r="BJ51" s="178"/>
      <c r="BK51" s="179"/>
      <c r="BL51" s="190"/>
      <c r="BM51" s="178"/>
      <c r="BN51" s="179"/>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4"/>
      <c r="CY51" s="4"/>
      <c r="CZ51" s="4"/>
      <c r="DA51" s="4"/>
      <c r="DB51" s="4"/>
      <c r="DC51" s="4"/>
      <c r="DD51" s="4"/>
      <c r="DE51" s="4"/>
    </row>
    <row r="52" hidden="1">
      <c r="A52" s="191" t="s">
        <v>47</v>
      </c>
      <c r="B52" s="191" t="s">
        <v>111</v>
      </c>
      <c r="C52" s="167"/>
      <c r="D52" s="4"/>
      <c r="E52" s="158"/>
      <c r="F52" s="158"/>
      <c r="G52" s="158"/>
      <c r="H52" s="158"/>
      <c r="I52" s="158"/>
      <c r="J52" s="158"/>
      <c r="K52" s="158"/>
      <c r="L52" s="158"/>
      <c r="M52" s="158"/>
      <c r="N52" s="158"/>
      <c r="O52" s="158"/>
      <c r="P52" s="186" t="s">
        <v>112</v>
      </c>
      <c r="Q52" s="192"/>
      <c r="R52" s="178"/>
      <c r="S52" s="178"/>
      <c r="T52" s="179"/>
      <c r="U52" s="188"/>
      <c r="V52" s="178"/>
      <c r="W52" s="179"/>
      <c r="Z52" s="176"/>
      <c r="AA52" s="176"/>
      <c r="AB52" s="176"/>
      <c r="AC52" s="176"/>
      <c r="AD52" s="176"/>
      <c r="AE52" s="189" t="s">
        <v>112</v>
      </c>
      <c r="AF52" s="190"/>
      <c r="AG52" s="178"/>
      <c r="AH52" s="178"/>
      <c r="AI52" s="179"/>
      <c r="AJ52" s="190"/>
      <c r="AK52" s="178"/>
      <c r="AL52" s="179"/>
      <c r="AN52" s="176"/>
      <c r="AO52" s="176"/>
      <c r="AP52" s="176"/>
      <c r="AQ52" s="176"/>
      <c r="AR52" s="176"/>
      <c r="AS52" s="176"/>
      <c r="AT52" s="189" t="s">
        <v>112</v>
      </c>
      <c r="AU52" s="190"/>
      <c r="AV52" s="178"/>
      <c r="AW52" s="178"/>
      <c r="AX52" s="179"/>
      <c r="AY52" s="190"/>
      <c r="AZ52" s="178"/>
      <c r="BA52" s="179"/>
      <c r="BG52" s="189" t="s">
        <v>112</v>
      </c>
      <c r="BH52" s="190"/>
      <c r="BI52" s="178"/>
      <c r="BJ52" s="178"/>
      <c r="BK52" s="179"/>
      <c r="BL52" s="190"/>
      <c r="BM52" s="178"/>
      <c r="BN52" s="179"/>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4"/>
      <c r="CY52" s="4"/>
      <c r="CZ52" s="4"/>
      <c r="DA52" s="4"/>
      <c r="DB52" s="4"/>
      <c r="DC52" s="4"/>
      <c r="DD52" s="4"/>
      <c r="DE52" s="4"/>
    </row>
    <row r="53" hidden="1">
      <c r="A53" s="191" t="s">
        <v>48</v>
      </c>
      <c r="B53" s="191" t="s">
        <v>113</v>
      </c>
      <c r="C53" s="167"/>
      <c r="D53" s="4"/>
      <c r="E53" s="158"/>
      <c r="F53" s="158"/>
      <c r="G53" s="158"/>
      <c r="H53" s="158"/>
      <c r="I53" s="158"/>
      <c r="J53" s="158"/>
      <c r="K53" s="158"/>
      <c r="L53" s="158"/>
      <c r="M53" s="158"/>
      <c r="N53" s="158"/>
      <c r="O53" s="158"/>
      <c r="P53" s="186" t="s">
        <v>114</v>
      </c>
      <c r="Q53" s="192"/>
      <c r="R53" s="178"/>
      <c r="S53" s="178"/>
      <c r="T53" s="179"/>
      <c r="U53" s="188"/>
      <c r="V53" s="178"/>
      <c r="W53" s="179"/>
      <c r="Z53" s="176"/>
      <c r="AA53" s="176"/>
      <c r="AB53" s="176"/>
      <c r="AC53" s="176"/>
      <c r="AD53" s="176"/>
      <c r="AE53" s="189" t="s">
        <v>114</v>
      </c>
      <c r="AF53" s="190"/>
      <c r="AG53" s="178"/>
      <c r="AH53" s="178"/>
      <c r="AI53" s="179"/>
      <c r="AJ53" s="190"/>
      <c r="AK53" s="178"/>
      <c r="AL53" s="179"/>
      <c r="AN53" s="176"/>
      <c r="AO53" s="176"/>
      <c r="AP53" s="176"/>
      <c r="AQ53" s="176"/>
      <c r="AR53" s="176"/>
      <c r="AS53" s="176"/>
      <c r="AT53" s="189" t="s">
        <v>114</v>
      </c>
      <c r="AU53" s="190"/>
      <c r="AV53" s="178"/>
      <c r="AW53" s="178"/>
      <c r="AX53" s="179"/>
      <c r="AY53" s="190"/>
      <c r="AZ53" s="178"/>
      <c r="BA53" s="179"/>
      <c r="BG53" s="189" t="s">
        <v>114</v>
      </c>
      <c r="BH53" s="190"/>
      <c r="BI53" s="178"/>
      <c r="BJ53" s="178"/>
      <c r="BK53" s="179"/>
      <c r="BL53" s="190"/>
      <c r="BM53" s="178"/>
      <c r="BN53" s="179"/>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4"/>
      <c r="CY53" s="4"/>
      <c r="CZ53" s="4"/>
      <c r="DA53" s="4"/>
      <c r="DB53" s="4"/>
      <c r="DC53" s="4"/>
      <c r="DD53" s="4"/>
      <c r="DE53" s="4"/>
    </row>
    <row r="54" hidden="1">
      <c r="A54" s="191" t="s">
        <v>49</v>
      </c>
      <c r="B54" s="191" t="s">
        <v>115</v>
      </c>
      <c r="C54" s="167"/>
      <c r="D54" s="4"/>
      <c r="E54" s="158"/>
      <c r="F54" s="158"/>
      <c r="G54" s="158"/>
      <c r="H54" s="158"/>
      <c r="I54" s="158"/>
      <c r="J54" s="158"/>
      <c r="K54" s="158"/>
      <c r="L54" s="158"/>
      <c r="M54" s="158"/>
      <c r="N54" s="158"/>
      <c r="O54" s="158"/>
      <c r="P54" s="186" t="s">
        <v>116</v>
      </c>
      <c r="Q54" s="192"/>
      <c r="R54" s="178"/>
      <c r="S54" s="178"/>
      <c r="T54" s="179"/>
      <c r="U54" s="188"/>
      <c r="V54" s="178"/>
      <c r="W54" s="179"/>
      <c r="Z54" s="176"/>
      <c r="AA54" s="176"/>
      <c r="AB54" s="176"/>
      <c r="AC54" s="176"/>
      <c r="AD54" s="176"/>
      <c r="AE54" s="189" t="s">
        <v>116</v>
      </c>
      <c r="AF54" s="190"/>
      <c r="AG54" s="178"/>
      <c r="AH54" s="178"/>
      <c r="AI54" s="179"/>
      <c r="AJ54" s="190"/>
      <c r="AK54" s="178"/>
      <c r="AL54" s="179"/>
      <c r="AM54" s="193"/>
      <c r="AN54" s="176"/>
      <c r="AO54" s="176"/>
      <c r="AP54" s="176"/>
      <c r="AQ54" s="176"/>
      <c r="AR54" s="176"/>
      <c r="AS54" s="176"/>
      <c r="AT54" s="189" t="s">
        <v>116</v>
      </c>
      <c r="AU54" s="190"/>
      <c r="AV54" s="178"/>
      <c r="AW54" s="178"/>
      <c r="AX54" s="179"/>
      <c r="AY54" s="190"/>
      <c r="AZ54" s="178"/>
      <c r="BA54" s="179"/>
      <c r="BB54" s="193"/>
      <c r="BG54" s="189" t="s">
        <v>116</v>
      </c>
      <c r="BH54" s="190"/>
      <c r="BI54" s="178"/>
      <c r="BJ54" s="178"/>
      <c r="BK54" s="179"/>
      <c r="BL54" s="190"/>
      <c r="BM54" s="178"/>
      <c r="BN54" s="179"/>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4"/>
      <c r="CY54" s="4"/>
      <c r="CZ54" s="4"/>
      <c r="DA54" s="4"/>
      <c r="DB54" s="4"/>
      <c r="DC54" s="4"/>
      <c r="DD54" s="4"/>
      <c r="DE54" s="4"/>
    </row>
    <row r="55" hidden="1">
      <c r="A55" s="191" t="s">
        <v>117</v>
      </c>
      <c r="B55" s="191" t="s">
        <v>118</v>
      </c>
      <c r="C55" s="4"/>
      <c r="D55" s="4"/>
      <c r="E55" s="158"/>
      <c r="F55" s="158"/>
      <c r="G55" s="158"/>
      <c r="H55" s="158"/>
      <c r="I55" s="158"/>
      <c r="J55" s="158"/>
      <c r="K55" s="158"/>
      <c r="L55" s="158"/>
      <c r="M55" s="158"/>
      <c r="N55" s="158"/>
      <c r="O55" s="158"/>
      <c r="P55" s="186" t="s">
        <v>119</v>
      </c>
      <c r="Q55" s="192"/>
      <c r="R55" s="178"/>
      <c r="S55" s="178"/>
      <c r="T55" s="179"/>
      <c r="U55" s="188"/>
      <c r="V55" s="178"/>
      <c r="W55" s="179"/>
      <c r="Z55" s="176"/>
      <c r="AA55" s="176"/>
      <c r="AB55" s="176"/>
      <c r="AC55" s="176"/>
      <c r="AD55" s="176"/>
      <c r="AE55" s="189" t="s">
        <v>119</v>
      </c>
      <c r="AF55" s="190"/>
      <c r="AG55" s="178"/>
      <c r="AH55" s="178"/>
      <c r="AI55" s="179"/>
      <c r="AJ55" s="190"/>
      <c r="AK55" s="178"/>
      <c r="AL55" s="179"/>
      <c r="AN55" s="176"/>
      <c r="AO55" s="176"/>
      <c r="AP55" s="176"/>
      <c r="AQ55" s="176"/>
      <c r="AR55" s="176"/>
      <c r="AS55" s="176"/>
      <c r="AT55" s="189" t="s">
        <v>119</v>
      </c>
      <c r="AU55" s="190"/>
      <c r="AV55" s="178"/>
      <c r="AW55" s="178"/>
      <c r="AX55" s="179"/>
      <c r="AY55" s="190"/>
      <c r="AZ55" s="178"/>
      <c r="BA55" s="179"/>
      <c r="BG55" s="189" t="s">
        <v>119</v>
      </c>
      <c r="BH55" s="190"/>
      <c r="BI55" s="178"/>
      <c r="BJ55" s="178"/>
      <c r="BK55" s="179"/>
      <c r="BL55" s="190"/>
      <c r="BM55" s="178"/>
      <c r="BN55" s="179"/>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4"/>
      <c r="CY55" s="4"/>
      <c r="CZ55" s="4"/>
      <c r="DA55" s="4"/>
      <c r="DB55" s="4"/>
      <c r="DC55" s="4"/>
      <c r="DD55" s="4"/>
      <c r="DE55" s="4"/>
    </row>
    <row r="56">
      <c r="A56" s="185" t="s">
        <v>120</v>
      </c>
      <c r="B56" s="40"/>
      <c r="C56" s="167"/>
      <c r="D56" s="4"/>
      <c r="E56" s="158"/>
      <c r="F56" s="158"/>
      <c r="G56" s="158"/>
      <c r="H56" s="158"/>
      <c r="I56" s="158"/>
      <c r="J56" s="158"/>
      <c r="K56" s="158"/>
      <c r="L56" s="158"/>
      <c r="M56" s="158"/>
      <c r="N56" s="158"/>
      <c r="O56" s="158"/>
      <c r="P56" s="186" t="s">
        <v>104</v>
      </c>
      <c r="Q56" s="187"/>
      <c r="R56" s="178"/>
      <c r="S56" s="178"/>
      <c r="T56" s="179"/>
      <c r="U56" s="188"/>
      <c r="V56" s="178"/>
      <c r="W56" s="179"/>
      <c r="Z56" s="176"/>
      <c r="AA56" s="176"/>
      <c r="AB56" s="176"/>
      <c r="AC56" s="176"/>
      <c r="AD56" s="176"/>
      <c r="AE56" s="194" t="s">
        <v>104</v>
      </c>
      <c r="AF56" s="190"/>
      <c r="AG56" s="178"/>
      <c r="AH56" s="178"/>
      <c r="AI56" s="179"/>
      <c r="AJ56" s="190"/>
      <c r="AK56" s="178"/>
      <c r="AL56" s="179"/>
      <c r="AN56" s="176"/>
      <c r="AO56" s="176"/>
      <c r="AP56" s="176"/>
      <c r="AQ56" s="176"/>
      <c r="AR56" s="176"/>
      <c r="AS56" s="176"/>
      <c r="AT56" s="194" t="s">
        <v>104</v>
      </c>
      <c r="AU56" s="190"/>
      <c r="AV56" s="178"/>
      <c r="AW56" s="178"/>
      <c r="AX56" s="179"/>
      <c r="AY56" s="190"/>
      <c r="AZ56" s="178"/>
      <c r="BA56" s="179"/>
      <c r="BG56" s="194" t="s">
        <v>104</v>
      </c>
      <c r="BH56" s="190"/>
      <c r="BI56" s="178"/>
      <c r="BJ56" s="178"/>
      <c r="BK56" s="179"/>
      <c r="BL56" s="190"/>
      <c r="BM56" s="178"/>
      <c r="BN56" s="179"/>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4"/>
      <c r="CY56" s="4"/>
      <c r="CZ56" s="4"/>
      <c r="DA56" s="4"/>
      <c r="DB56" s="4"/>
      <c r="DC56" s="4"/>
      <c r="DD56" s="4"/>
      <c r="DE56" s="4"/>
    </row>
    <row r="57">
      <c r="A57" s="48" t="s">
        <v>18</v>
      </c>
      <c r="B57" s="191" t="s">
        <v>121</v>
      </c>
      <c r="C57" s="167"/>
      <c r="D57" s="4"/>
      <c r="E57" s="158"/>
      <c r="F57" s="158"/>
      <c r="G57" s="158"/>
      <c r="H57" s="158"/>
      <c r="I57" s="158"/>
      <c r="J57" s="158"/>
      <c r="K57" s="158"/>
      <c r="L57" s="158"/>
      <c r="M57" s="158"/>
      <c r="N57" s="158"/>
      <c r="O57" s="158"/>
      <c r="P57" s="186" t="s">
        <v>106</v>
      </c>
      <c r="Q57" s="187"/>
      <c r="R57" s="178"/>
      <c r="S57" s="178"/>
      <c r="T57" s="179"/>
      <c r="U57" s="195"/>
      <c r="V57" s="178"/>
      <c r="W57" s="179"/>
      <c r="Z57" s="176"/>
      <c r="AA57" s="176"/>
      <c r="AB57" s="176"/>
      <c r="AC57" s="176"/>
      <c r="AD57" s="176"/>
      <c r="AE57" s="194" t="s">
        <v>106</v>
      </c>
      <c r="AF57" s="190"/>
      <c r="AG57" s="178"/>
      <c r="AH57" s="178"/>
      <c r="AI57" s="179"/>
      <c r="AJ57" s="190"/>
      <c r="AK57" s="178"/>
      <c r="AL57" s="179"/>
      <c r="AN57" s="176"/>
      <c r="AO57" s="176"/>
      <c r="AP57" s="176"/>
      <c r="AQ57" s="176"/>
      <c r="AR57" s="176"/>
      <c r="AS57" s="176"/>
      <c r="AT57" s="194" t="s">
        <v>106</v>
      </c>
      <c r="AU57" s="190"/>
      <c r="AV57" s="178"/>
      <c r="AW57" s="178"/>
      <c r="AX57" s="179"/>
      <c r="AY57" s="190"/>
      <c r="AZ57" s="178"/>
      <c r="BA57" s="179"/>
      <c r="BB57" s="4"/>
      <c r="BG57" s="194" t="s">
        <v>106</v>
      </c>
      <c r="BH57" s="190"/>
      <c r="BI57" s="178"/>
      <c r="BJ57" s="178"/>
      <c r="BK57" s="179"/>
      <c r="BL57" s="190"/>
      <c r="BM57" s="178"/>
      <c r="BN57" s="179"/>
      <c r="BO57" s="4"/>
      <c r="BP57" s="4"/>
      <c r="BQ57" s="4"/>
      <c r="BR57" s="4"/>
      <c r="BS57" s="4"/>
      <c r="BT57" s="4"/>
      <c r="BU57" s="4"/>
      <c r="BV57" s="4"/>
      <c r="BW57" s="4"/>
      <c r="BX57" s="4"/>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4"/>
      <c r="CY57" s="4"/>
      <c r="CZ57" s="4"/>
      <c r="DA57" s="4"/>
      <c r="DB57" s="4"/>
      <c r="DC57" s="4"/>
      <c r="DD57" s="4"/>
      <c r="DE57" s="4"/>
    </row>
    <row r="58">
      <c r="A58" s="48" t="s">
        <v>19</v>
      </c>
      <c r="B58" s="191" t="s">
        <v>122</v>
      </c>
      <c r="C58" s="167"/>
      <c r="D58" s="4"/>
      <c r="E58" s="158"/>
      <c r="F58" s="158"/>
      <c r="G58" s="158"/>
      <c r="H58" s="158"/>
      <c r="I58" s="158"/>
      <c r="J58" s="158"/>
      <c r="K58" s="158"/>
      <c r="L58" s="158"/>
      <c r="M58" s="158"/>
      <c r="N58" s="158"/>
      <c r="O58" s="158"/>
      <c r="P58" s="186" t="s">
        <v>108</v>
      </c>
      <c r="Q58" s="187"/>
      <c r="R58" s="178"/>
      <c r="S58" s="178"/>
      <c r="T58" s="179"/>
      <c r="U58" s="195"/>
      <c r="V58" s="178"/>
      <c r="W58" s="179"/>
      <c r="Z58" s="176"/>
      <c r="AA58" s="176"/>
      <c r="AB58" s="176"/>
      <c r="AC58" s="176"/>
      <c r="AD58" s="176"/>
      <c r="AE58" s="194" t="s">
        <v>108</v>
      </c>
      <c r="AF58" s="190"/>
      <c r="AG58" s="178"/>
      <c r="AH58" s="178"/>
      <c r="AI58" s="179"/>
      <c r="AJ58" s="190"/>
      <c r="AK58" s="178"/>
      <c r="AL58" s="179"/>
      <c r="AN58" s="176"/>
      <c r="AO58" s="176"/>
      <c r="AP58" s="176"/>
      <c r="AQ58" s="176"/>
      <c r="AR58" s="176"/>
      <c r="AS58" s="176"/>
      <c r="AT58" s="194" t="s">
        <v>108</v>
      </c>
      <c r="AU58" s="190"/>
      <c r="AV58" s="178"/>
      <c r="AW58" s="178"/>
      <c r="AX58" s="179"/>
      <c r="AY58" s="190"/>
      <c r="AZ58" s="178"/>
      <c r="BA58" s="179"/>
      <c r="BB58" s="4"/>
      <c r="BG58" s="194" t="s">
        <v>108</v>
      </c>
      <c r="BH58" s="190"/>
      <c r="BI58" s="178"/>
      <c r="BJ58" s="178"/>
      <c r="BK58" s="179"/>
      <c r="BL58" s="190"/>
      <c r="BM58" s="178"/>
      <c r="BN58" s="179"/>
      <c r="BO58" s="4"/>
      <c r="BP58" s="4"/>
      <c r="BQ58" s="4"/>
      <c r="BR58" s="4"/>
      <c r="BS58" s="4"/>
      <c r="BT58" s="4"/>
      <c r="BU58" s="4"/>
      <c r="BV58" s="4"/>
      <c r="BW58" s="4"/>
      <c r="BX58" s="4"/>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4"/>
      <c r="CY58" s="4"/>
      <c r="CZ58" s="4"/>
      <c r="DA58" s="4"/>
      <c r="DB58" s="4"/>
      <c r="DC58" s="4"/>
      <c r="DD58" s="4"/>
      <c r="DE58" s="4"/>
    </row>
    <row r="59">
      <c r="A59" s="48" t="s">
        <v>20</v>
      </c>
      <c r="B59" s="191" t="s">
        <v>123</v>
      </c>
      <c r="C59" s="167"/>
      <c r="D59" s="4"/>
      <c r="E59" s="158"/>
      <c r="F59" s="158"/>
      <c r="G59" s="158"/>
      <c r="H59" s="158"/>
      <c r="I59" s="158"/>
      <c r="J59" s="158"/>
      <c r="K59" s="158"/>
      <c r="L59" s="158"/>
      <c r="M59" s="158"/>
      <c r="N59" s="158"/>
      <c r="O59" s="158"/>
      <c r="P59" s="186" t="s">
        <v>110</v>
      </c>
      <c r="Q59" s="187"/>
      <c r="R59" s="178"/>
      <c r="S59" s="178"/>
      <c r="T59" s="179"/>
      <c r="U59" s="195"/>
      <c r="V59" s="178"/>
      <c r="W59" s="179"/>
      <c r="Z59" s="176"/>
      <c r="AA59" s="176"/>
      <c r="AB59" s="176"/>
      <c r="AC59" s="176"/>
      <c r="AD59" s="176"/>
      <c r="AE59" s="194" t="s">
        <v>110</v>
      </c>
      <c r="AF59" s="190"/>
      <c r="AG59" s="178"/>
      <c r="AH59" s="178"/>
      <c r="AI59" s="179"/>
      <c r="AJ59" s="190"/>
      <c r="AK59" s="178"/>
      <c r="AL59" s="179"/>
      <c r="AN59" s="176"/>
      <c r="AO59" s="176"/>
      <c r="AP59" s="176"/>
      <c r="AQ59" s="176"/>
      <c r="AR59" s="176"/>
      <c r="AS59" s="176"/>
      <c r="AT59" s="194" t="s">
        <v>110</v>
      </c>
      <c r="AU59" s="190"/>
      <c r="AV59" s="178"/>
      <c r="AW59" s="178"/>
      <c r="AX59" s="179"/>
      <c r="AY59" s="190"/>
      <c r="AZ59" s="178"/>
      <c r="BA59" s="179"/>
      <c r="BB59" s="4"/>
      <c r="BG59" s="194" t="s">
        <v>110</v>
      </c>
      <c r="BH59" s="190"/>
      <c r="BI59" s="178"/>
      <c r="BJ59" s="178"/>
      <c r="BK59" s="179"/>
      <c r="BL59" s="190"/>
      <c r="BM59" s="178"/>
      <c r="BN59" s="179"/>
      <c r="BO59" s="4"/>
      <c r="BP59" s="4"/>
      <c r="BQ59" s="4"/>
      <c r="BR59" s="4"/>
      <c r="BS59" s="4"/>
      <c r="BT59" s="4"/>
      <c r="BU59" s="4"/>
      <c r="BV59" s="4"/>
      <c r="BW59" s="4"/>
      <c r="BX59" s="4"/>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4"/>
      <c r="CY59" s="4"/>
      <c r="CZ59" s="4"/>
      <c r="DA59" s="4"/>
      <c r="DB59" s="4"/>
      <c r="DC59" s="4"/>
      <c r="DD59" s="4"/>
      <c r="DE59" s="4"/>
    </row>
    <row r="60">
      <c r="A60" s="196" t="s">
        <v>124</v>
      </c>
      <c r="B60" s="197" t="s">
        <v>125</v>
      </c>
      <c r="C60" s="167"/>
      <c r="D60" s="4"/>
      <c r="E60" s="5"/>
      <c r="F60" s="158"/>
      <c r="G60" s="158"/>
      <c r="H60" s="158"/>
      <c r="I60" s="158"/>
      <c r="J60" s="158"/>
      <c r="K60" s="158"/>
      <c r="L60" s="158"/>
      <c r="M60" s="158"/>
      <c r="N60" s="158"/>
      <c r="O60" s="158"/>
      <c r="P60" s="186" t="s">
        <v>112</v>
      </c>
      <c r="Q60" s="187"/>
      <c r="R60" s="178"/>
      <c r="S60" s="178"/>
      <c r="T60" s="179"/>
      <c r="U60" s="195"/>
      <c r="V60" s="178"/>
      <c r="W60" s="179"/>
      <c r="Z60" s="176"/>
      <c r="AA60" s="176"/>
      <c r="AB60" s="176"/>
      <c r="AC60" s="176"/>
      <c r="AD60" s="176"/>
      <c r="AE60" s="194" t="s">
        <v>112</v>
      </c>
      <c r="AF60" s="190"/>
      <c r="AG60" s="178"/>
      <c r="AH60" s="178"/>
      <c r="AI60" s="179"/>
      <c r="AJ60" s="190"/>
      <c r="AK60" s="178"/>
      <c r="AL60" s="179"/>
      <c r="AN60" s="176"/>
      <c r="AO60" s="176"/>
      <c r="AP60" s="176"/>
      <c r="AQ60" s="176"/>
      <c r="AR60" s="176"/>
      <c r="AS60" s="176"/>
      <c r="AT60" s="194" t="s">
        <v>112</v>
      </c>
      <c r="AU60" s="190"/>
      <c r="AV60" s="178"/>
      <c r="AW60" s="178"/>
      <c r="AX60" s="179"/>
      <c r="AY60" s="190"/>
      <c r="AZ60" s="178"/>
      <c r="BA60" s="179"/>
      <c r="BB60" s="4"/>
      <c r="BG60" s="194" t="s">
        <v>112</v>
      </c>
      <c r="BH60" s="190"/>
      <c r="BI60" s="178"/>
      <c r="BJ60" s="178"/>
      <c r="BK60" s="179"/>
      <c r="BL60" s="190"/>
      <c r="BM60" s="178"/>
      <c r="BN60" s="179"/>
      <c r="BO60" s="4"/>
      <c r="BP60" s="4"/>
      <c r="BQ60" s="4"/>
      <c r="BR60" s="4"/>
      <c r="BS60" s="4"/>
      <c r="BT60" s="4"/>
      <c r="BU60" s="4"/>
      <c r="BV60" s="4"/>
      <c r="BW60" s="4"/>
      <c r="BX60" s="4"/>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4"/>
      <c r="CY60" s="4"/>
      <c r="CZ60" s="4"/>
      <c r="DA60" s="4"/>
      <c r="DB60" s="4"/>
      <c r="DC60" s="4"/>
      <c r="DD60" s="4"/>
      <c r="DE60" s="4"/>
    </row>
    <row r="61">
      <c r="A61" s="48" t="s">
        <v>22</v>
      </c>
      <c r="B61" s="191" t="s">
        <v>126</v>
      </c>
      <c r="C61" s="167"/>
      <c r="D61" s="4"/>
      <c r="E61" s="5"/>
      <c r="F61" s="158"/>
      <c r="G61" s="158"/>
      <c r="H61" s="158"/>
      <c r="I61" s="158"/>
      <c r="J61" s="158"/>
      <c r="K61" s="158"/>
      <c r="L61" s="158"/>
      <c r="M61" s="158"/>
      <c r="N61" s="158"/>
      <c r="O61" s="158"/>
      <c r="P61" s="186" t="s">
        <v>127</v>
      </c>
      <c r="Q61" s="187"/>
      <c r="R61" s="178"/>
      <c r="S61" s="178"/>
      <c r="T61" s="179"/>
      <c r="U61" s="195"/>
      <c r="V61" s="178"/>
      <c r="W61" s="179"/>
      <c r="Z61" s="176"/>
      <c r="AA61" s="176"/>
      <c r="AB61" s="176"/>
      <c r="AC61" s="176"/>
      <c r="AD61" s="176"/>
      <c r="AE61" s="194" t="s">
        <v>127</v>
      </c>
      <c r="AF61" s="190"/>
      <c r="AG61" s="178"/>
      <c r="AH61" s="178"/>
      <c r="AI61" s="179"/>
      <c r="AJ61" s="190"/>
      <c r="AK61" s="178"/>
      <c r="AL61" s="179"/>
      <c r="AN61" s="176"/>
      <c r="AO61" s="176"/>
      <c r="AP61" s="176"/>
      <c r="AQ61" s="176"/>
      <c r="AR61" s="176"/>
      <c r="AS61" s="176"/>
      <c r="AT61" s="194" t="s">
        <v>127</v>
      </c>
      <c r="AU61" s="190"/>
      <c r="AV61" s="178"/>
      <c r="AW61" s="178"/>
      <c r="AX61" s="179"/>
      <c r="AY61" s="190"/>
      <c r="AZ61" s="178"/>
      <c r="BA61" s="179"/>
      <c r="BB61" s="4"/>
      <c r="BC61" s="4"/>
      <c r="BD61" s="4"/>
      <c r="BE61" s="4"/>
      <c r="BF61" s="4"/>
      <c r="BG61" s="194" t="s">
        <v>127</v>
      </c>
      <c r="BH61" s="190"/>
      <c r="BI61" s="178"/>
      <c r="BJ61" s="178"/>
      <c r="BK61" s="179"/>
      <c r="BL61" s="190"/>
      <c r="BM61" s="178"/>
      <c r="BN61" s="179"/>
      <c r="BO61" s="4"/>
      <c r="BP61" s="4"/>
      <c r="BQ61" s="4"/>
      <c r="BR61" s="4"/>
      <c r="BS61" s="4"/>
      <c r="BT61" s="4"/>
      <c r="BU61" s="4"/>
      <c r="BV61" s="4"/>
      <c r="BW61" s="4"/>
      <c r="BX61" s="4"/>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4"/>
      <c r="CY61" s="4"/>
      <c r="CZ61" s="4"/>
      <c r="DA61" s="4"/>
      <c r="DB61" s="4"/>
      <c r="DC61" s="4"/>
      <c r="DD61" s="4"/>
      <c r="DE61" s="4"/>
    </row>
    <row r="62">
      <c r="A62" s="48" t="s">
        <v>23</v>
      </c>
      <c r="B62" s="191" t="s">
        <v>128</v>
      </c>
      <c r="C62" s="167"/>
      <c r="D62" s="4"/>
      <c r="E62" s="5"/>
      <c r="F62" s="158"/>
      <c r="G62" s="158"/>
      <c r="H62" s="158"/>
      <c r="I62" s="158"/>
      <c r="J62" s="158"/>
      <c r="K62" s="158"/>
      <c r="L62" s="158"/>
      <c r="M62" s="158"/>
      <c r="N62" s="158"/>
      <c r="O62" s="158"/>
      <c r="P62" s="158"/>
      <c r="V62" s="4"/>
      <c r="W62" s="4"/>
      <c r="X62" s="4"/>
      <c r="Y62" s="4"/>
      <c r="Z62" s="176"/>
      <c r="AA62" s="176"/>
      <c r="AB62" s="176"/>
      <c r="AC62" s="176"/>
      <c r="AD62" s="176"/>
      <c r="AE62" s="176"/>
      <c r="AF62" s="176"/>
      <c r="AG62" s="176"/>
      <c r="AH62" s="176"/>
      <c r="AI62" s="176"/>
      <c r="AJ62" s="176"/>
      <c r="AK62" s="176"/>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4"/>
      <c r="CY62" s="4"/>
      <c r="CZ62" s="4"/>
      <c r="DA62" s="4"/>
      <c r="DB62" s="4"/>
      <c r="DC62" s="4"/>
      <c r="DD62" s="4"/>
      <c r="DE62" s="4"/>
    </row>
    <row r="63">
      <c r="A63" s="48" t="s">
        <v>24</v>
      </c>
      <c r="B63" s="197" t="s">
        <v>129</v>
      </c>
      <c r="C63" s="167"/>
      <c r="D63" s="4"/>
      <c r="E63" s="5"/>
      <c r="F63" s="158"/>
      <c r="G63" s="158"/>
      <c r="H63" s="158"/>
      <c r="I63" s="158"/>
      <c r="J63" s="158"/>
      <c r="K63" s="158"/>
      <c r="L63" s="158"/>
      <c r="M63" s="158"/>
      <c r="N63" s="158"/>
      <c r="O63" s="158"/>
      <c r="P63" s="158"/>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4"/>
      <c r="CY63" s="4"/>
      <c r="CZ63" s="4"/>
      <c r="DA63" s="4"/>
      <c r="DB63" s="4"/>
      <c r="DC63" s="4"/>
      <c r="DD63" s="4"/>
      <c r="DE63" s="4"/>
    </row>
    <row r="64">
      <c r="A64" s="48" t="s">
        <v>25</v>
      </c>
      <c r="B64" s="191" t="s">
        <v>130</v>
      </c>
      <c r="C64" s="167"/>
      <c r="D64" s="4"/>
      <c r="E64" s="5"/>
      <c r="F64" s="158"/>
      <c r="G64" s="158"/>
      <c r="H64" s="158"/>
      <c r="I64" s="158"/>
      <c r="J64" s="158"/>
      <c r="K64" s="158"/>
      <c r="L64" s="158"/>
      <c r="M64" s="158"/>
      <c r="N64" s="158"/>
      <c r="O64" s="158"/>
      <c r="P64" s="158"/>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4"/>
      <c r="CY64" s="4"/>
      <c r="CZ64" s="4"/>
      <c r="DA64" s="4"/>
      <c r="DB64" s="4"/>
      <c r="DC64" s="4"/>
      <c r="DD64" s="4"/>
      <c r="DE64" s="4"/>
    </row>
    <row r="65">
      <c r="A65" s="48" t="s">
        <v>26</v>
      </c>
      <c r="B65" s="191" t="s">
        <v>131</v>
      </c>
      <c r="C65" s="167"/>
      <c r="D65" s="4"/>
      <c r="E65" s="5"/>
      <c r="F65" s="5"/>
      <c r="G65" s="5"/>
      <c r="H65" s="5"/>
      <c r="I65" s="5"/>
      <c r="J65" s="5"/>
      <c r="K65" s="5"/>
      <c r="L65" s="5"/>
      <c r="M65" s="5"/>
      <c r="N65" s="5"/>
      <c r="O65" s="5"/>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4"/>
      <c r="CY65" s="4"/>
      <c r="CZ65" s="4"/>
      <c r="DA65" s="4"/>
      <c r="DB65" s="4"/>
      <c r="DC65" s="4"/>
      <c r="DD65" s="4"/>
      <c r="DE65" s="4"/>
    </row>
    <row r="66">
      <c r="A66" s="48" t="s">
        <v>27</v>
      </c>
      <c r="B66" s="191" t="s">
        <v>132</v>
      </c>
      <c r="C66" s="167"/>
      <c r="D66" s="4"/>
      <c r="E66" s="5"/>
      <c r="F66" s="5"/>
      <c r="G66" s="5"/>
      <c r="H66" s="5"/>
      <c r="I66" s="5"/>
      <c r="J66" s="5"/>
      <c r="K66" s="5"/>
      <c r="L66" s="5"/>
      <c r="M66" s="5"/>
      <c r="N66" s="5"/>
      <c r="O66" s="5"/>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4"/>
      <c r="CY66" s="4"/>
      <c r="CZ66" s="4"/>
      <c r="DA66" s="4"/>
      <c r="DB66" s="4"/>
      <c r="DC66" s="4"/>
      <c r="DD66" s="4"/>
      <c r="DE66" s="4"/>
    </row>
    <row r="67">
      <c r="A67" s="48" t="s">
        <v>28</v>
      </c>
      <c r="B67" s="197" t="s">
        <v>133</v>
      </c>
      <c r="C67" s="167"/>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4"/>
      <c r="CY67" s="4"/>
      <c r="CZ67" s="4"/>
      <c r="DA67" s="4"/>
      <c r="DB67" s="4"/>
      <c r="DC67" s="4"/>
      <c r="DD67" s="4"/>
      <c r="DE67" s="4"/>
    </row>
    <row r="68">
      <c r="A68" s="48" t="s">
        <v>29</v>
      </c>
      <c r="B68" s="197" t="s">
        <v>134</v>
      </c>
      <c r="C68" s="167"/>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4"/>
      <c r="CY68" s="4"/>
      <c r="CZ68" s="4"/>
      <c r="DA68" s="4"/>
      <c r="DB68" s="4"/>
      <c r="DC68" s="4"/>
      <c r="DD68" s="4"/>
      <c r="DE68" s="4"/>
    </row>
    <row r="69">
      <c r="A69" s="48" t="s">
        <v>30</v>
      </c>
      <c r="B69" s="191" t="s">
        <v>135</v>
      </c>
      <c r="C69" s="167"/>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4"/>
      <c r="CY69" s="4"/>
      <c r="CZ69" s="4"/>
      <c r="DA69" s="4"/>
      <c r="DB69" s="4"/>
      <c r="DC69" s="4"/>
      <c r="DD69" s="4"/>
      <c r="DE69" s="4"/>
    </row>
    <row r="70">
      <c r="A70" s="198" t="s">
        <v>21</v>
      </c>
      <c r="B70" s="199" t="s">
        <v>136</v>
      </c>
      <c r="C70" s="167"/>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4"/>
      <c r="CY70" s="4"/>
      <c r="CZ70" s="4"/>
      <c r="DA70" s="4"/>
      <c r="DB70" s="4"/>
      <c r="DC70" s="4"/>
      <c r="DD70" s="4"/>
      <c r="DE70" s="4"/>
    </row>
    <row r="71">
      <c r="A71" s="200" t="s">
        <v>85</v>
      </c>
      <c r="B71" s="197" t="s">
        <v>137</v>
      </c>
      <c r="C71" s="167"/>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4"/>
      <c r="CY71" s="4"/>
      <c r="CZ71" s="4"/>
      <c r="DA71" s="4"/>
      <c r="DB71" s="4"/>
      <c r="DC71" s="4"/>
      <c r="DD71" s="4"/>
      <c r="DE71" s="4"/>
    </row>
    <row r="72">
      <c r="A72" s="48" t="s">
        <v>32</v>
      </c>
      <c r="B72" s="191" t="s">
        <v>138</v>
      </c>
      <c r="C72" s="167"/>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4"/>
      <c r="CY72" s="4"/>
      <c r="CZ72" s="4"/>
      <c r="DA72" s="4"/>
      <c r="DB72" s="4"/>
      <c r="DC72" s="4"/>
      <c r="DD72" s="4"/>
      <c r="DE72" s="4"/>
    </row>
    <row r="73">
      <c r="A73" s="48" t="s">
        <v>33</v>
      </c>
      <c r="B73" s="191" t="s">
        <v>139</v>
      </c>
      <c r="C73" s="167"/>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4"/>
      <c r="CY73" s="4"/>
      <c r="CZ73" s="4"/>
      <c r="DA73" s="4"/>
      <c r="DB73" s="4"/>
      <c r="DC73" s="4"/>
      <c r="DD73" s="4"/>
      <c r="DE73" s="4"/>
    </row>
    <row r="74">
      <c r="A74" s="48" t="s">
        <v>34</v>
      </c>
      <c r="B74" s="191" t="s">
        <v>140</v>
      </c>
      <c r="C74" s="167"/>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4"/>
      <c r="CY74" s="4"/>
      <c r="CZ74" s="4"/>
      <c r="DA74" s="4"/>
      <c r="DB74" s="4"/>
      <c r="DC74" s="4"/>
      <c r="DD74" s="4"/>
      <c r="DE74" s="4"/>
    </row>
    <row r="75">
      <c r="A75" s="48" t="s">
        <v>35</v>
      </c>
      <c r="B75" s="191" t="s">
        <v>141</v>
      </c>
      <c r="C75" s="167"/>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4"/>
      <c r="CY75" s="4"/>
      <c r="CZ75" s="4"/>
      <c r="DA75" s="4"/>
      <c r="DB75" s="4"/>
      <c r="DC75" s="4"/>
      <c r="DD75" s="4"/>
      <c r="DE75" s="4"/>
    </row>
    <row r="76">
      <c r="A76" s="48" t="s">
        <v>36</v>
      </c>
      <c r="B76" s="191" t="s">
        <v>142</v>
      </c>
      <c r="C76" s="167"/>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4"/>
      <c r="CY76" s="4"/>
      <c r="CZ76" s="4"/>
      <c r="DA76" s="4"/>
      <c r="DB76" s="4"/>
      <c r="DC76" s="4"/>
      <c r="DD76" s="4"/>
      <c r="DE76" s="4"/>
    </row>
    <row r="77">
      <c r="A77" s="48" t="s">
        <v>37</v>
      </c>
      <c r="B77" s="197" t="s">
        <v>143</v>
      </c>
      <c r="C77" s="167"/>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4"/>
      <c r="CY77" s="4"/>
      <c r="CZ77" s="4"/>
      <c r="DA77" s="4"/>
      <c r="DB77" s="4"/>
      <c r="DC77" s="4"/>
      <c r="DD77" s="4"/>
      <c r="DE77" s="4"/>
    </row>
    <row r="78">
      <c r="A78" s="48" t="s">
        <v>40</v>
      </c>
      <c r="B78" s="191" t="s">
        <v>144</v>
      </c>
      <c r="C78" s="167"/>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4"/>
      <c r="CY78" s="4"/>
      <c r="CZ78" s="4"/>
      <c r="DA78" s="4"/>
      <c r="DB78" s="4"/>
      <c r="DC78" s="4"/>
      <c r="DD78" s="4"/>
      <c r="DE78" s="4"/>
    </row>
    <row r="79">
      <c r="A79" s="196" t="s">
        <v>145</v>
      </c>
      <c r="B79" s="197" t="s">
        <v>146</v>
      </c>
      <c r="C79" s="167"/>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4"/>
      <c r="CY79" s="4"/>
      <c r="CZ79" s="4"/>
      <c r="DA79" s="4"/>
      <c r="DB79" s="4"/>
      <c r="DC79" s="4"/>
      <c r="DD79" s="4"/>
      <c r="DE79" s="4"/>
    </row>
    <row r="80">
      <c r="A80" s="48" t="s">
        <v>38</v>
      </c>
      <c r="B80" s="191" t="s">
        <v>147</v>
      </c>
      <c r="C80" s="167"/>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4"/>
      <c r="CY80" s="4"/>
      <c r="CZ80" s="4"/>
      <c r="DA80" s="4"/>
      <c r="DB80" s="4"/>
      <c r="DC80" s="4"/>
      <c r="DD80" s="4"/>
      <c r="DE80" s="4"/>
    </row>
    <row r="81">
      <c r="A81" s="48" t="s">
        <v>39</v>
      </c>
      <c r="B81" s="191" t="s">
        <v>148</v>
      </c>
      <c r="C81" s="167"/>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4"/>
      <c r="CY81" s="4"/>
      <c r="CZ81" s="4"/>
      <c r="DA81" s="4"/>
      <c r="DB81" s="4"/>
      <c r="DC81" s="4"/>
      <c r="DD81" s="4"/>
      <c r="DE81" s="4"/>
    </row>
    <row r="82">
      <c r="A82" s="48" t="s">
        <v>42</v>
      </c>
      <c r="B82" s="191" t="s">
        <v>149</v>
      </c>
      <c r="C82" s="167"/>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4"/>
      <c r="CY82" s="4"/>
      <c r="CZ82" s="4"/>
      <c r="DA82" s="4"/>
      <c r="DB82" s="4"/>
      <c r="DC82" s="4"/>
      <c r="DD82" s="4"/>
      <c r="DE82" s="4"/>
    </row>
    <row r="83">
      <c r="A83" s="201" t="s">
        <v>150</v>
      </c>
      <c r="B83" s="202" t="s">
        <v>151</v>
      </c>
      <c r="C83" s="167"/>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4"/>
      <c r="CY83" s="4"/>
      <c r="CZ83" s="4"/>
      <c r="DA83" s="4"/>
      <c r="DB83" s="4"/>
      <c r="DC83" s="4"/>
      <c r="DD83" s="4"/>
      <c r="DE83" s="4"/>
    </row>
    <row r="84">
      <c r="A84" s="55" t="s">
        <v>50</v>
      </c>
      <c r="B84" s="202" t="s">
        <v>152</v>
      </c>
      <c r="C84" s="167"/>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4"/>
      <c r="CY84" s="4"/>
      <c r="CZ84" s="4"/>
      <c r="DA84" s="4"/>
      <c r="DB84" s="4"/>
      <c r="DC84" s="4"/>
      <c r="DD84" s="4"/>
      <c r="DE84" s="4"/>
    </row>
    <row r="85">
      <c r="A85" s="55" t="s">
        <v>52</v>
      </c>
      <c r="B85" s="202" t="s">
        <v>153</v>
      </c>
      <c r="C85" s="167"/>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4"/>
      <c r="CY85" s="4"/>
      <c r="CZ85" s="4"/>
      <c r="DA85" s="4"/>
      <c r="DB85" s="4"/>
      <c r="DC85" s="4"/>
      <c r="DD85" s="4"/>
      <c r="DE85" s="4"/>
    </row>
    <row r="86">
      <c r="A86" s="7"/>
      <c r="B86" s="4"/>
      <c r="C86" s="167"/>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4"/>
      <c r="CY86" s="4"/>
      <c r="CZ86" s="4"/>
      <c r="DA86" s="4"/>
      <c r="DB86" s="4"/>
      <c r="DC86" s="4"/>
      <c r="DD86" s="4"/>
      <c r="DE86" s="4"/>
    </row>
    <row r="87">
      <c r="A87" s="7"/>
      <c r="B87" s="4"/>
      <c r="C87" s="167"/>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4"/>
      <c r="CY87" s="4"/>
      <c r="CZ87" s="4"/>
      <c r="DA87" s="4"/>
      <c r="DB87" s="4"/>
      <c r="DC87" s="4"/>
      <c r="DD87" s="4"/>
      <c r="DE87" s="4"/>
    </row>
    <row r="88">
      <c r="A88" s="7"/>
      <c r="B88" s="4"/>
      <c r="C88" s="167"/>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4"/>
      <c r="CY88" s="4"/>
      <c r="CZ88" s="4"/>
      <c r="DA88" s="4"/>
      <c r="DB88" s="4"/>
      <c r="DC88" s="4"/>
      <c r="DD88" s="4"/>
      <c r="DE88" s="4"/>
    </row>
    <row r="89">
      <c r="A89" s="7"/>
      <c r="B89" s="4"/>
      <c r="C89" s="167"/>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4"/>
      <c r="CY89" s="4"/>
      <c r="CZ89" s="4"/>
      <c r="DA89" s="4"/>
      <c r="DB89" s="4"/>
      <c r="DC89" s="4"/>
      <c r="DD89" s="4"/>
      <c r="DE89" s="4"/>
    </row>
    <row r="90">
      <c r="A90" s="7"/>
      <c r="B90" s="4"/>
      <c r="C90" s="167"/>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4"/>
      <c r="CY90" s="4"/>
      <c r="CZ90" s="4"/>
      <c r="DA90" s="4"/>
      <c r="DB90" s="4"/>
      <c r="DC90" s="4"/>
      <c r="DD90" s="4"/>
      <c r="DE90" s="4"/>
    </row>
    <row r="91">
      <c r="A91" s="7"/>
      <c r="B91" s="4"/>
      <c r="C91" s="167"/>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4"/>
      <c r="CY91" s="4"/>
      <c r="CZ91" s="4"/>
      <c r="DA91" s="4"/>
      <c r="DB91" s="4"/>
      <c r="DC91" s="4"/>
      <c r="DD91" s="4"/>
      <c r="DE91" s="4"/>
    </row>
    <row r="92">
      <c r="A92" s="7"/>
      <c r="B92" s="4"/>
      <c r="C92" s="167"/>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4"/>
      <c r="CY92" s="4"/>
      <c r="CZ92" s="4"/>
      <c r="DA92" s="4"/>
      <c r="DB92" s="4"/>
      <c r="DC92" s="4"/>
      <c r="DD92" s="4"/>
      <c r="DE92" s="4"/>
    </row>
    <row r="93">
      <c r="A93" s="7"/>
      <c r="B93" s="4"/>
      <c r="C93" s="167"/>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4"/>
      <c r="CY93" s="4"/>
      <c r="CZ93" s="4"/>
      <c r="DA93" s="4"/>
      <c r="DB93" s="4"/>
      <c r="DC93" s="4"/>
      <c r="DD93" s="4"/>
      <c r="DE93" s="4"/>
    </row>
    <row r="94">
      <c r="A94" s="7"/>
      <c r="B94" s="4"/>
      <c r="C94" s="167"/>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4"/>
      <c r="CY94" s="4"/>
      <c r="CZ94" s="4"/>
      <c r="DA94" s="4"/>
      <c r="DB94" s="4"/>
      <c r="DC94" s="4"/>
      <c r="DD94" s="4"/>
      <c r="DE94" s="4"/>
    </row>
    <row r="95">
      <c r="A95" s="7"/>
      <c r="B95" s="4"/>
      <c r="C95" s="167"/>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4"/>
      <c r="CY95" s="4"/>
      <c r="CZ95" s="4"/>
      <c r="DA95" s="4"/>
      <c r="DB95" s="4"/>
      <c r="DC95" s="4"/>
      <c r="DD95" s="4"/>
      <c r="DE95" s="4"/>
    </row>
    <row r="96">
      <c r="A96" s="7"/>
      <c r="B96" s="4"/>
      <c r="C96" s="167"/>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4"/>
      <c r="CY96" s="4"/>
      <c r="CZ96" s="4"/>
      <c r="DA96" s="4"/>
      <c r="DB96" s="4"/>
      <c r="DC96" s="4"/>
      <c r="DD96" s="4"/>
      <c r="DE96" s="4"/>
    </row>
    <row r="97">
      <c r="A97" s="7"/>
      <c r="B97" s="4"/>
      <c r="C97" s="167"/>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4"/>
      <c r="CY97" s="4"/>
      <c r="CZ97" s="4"/>
      <c r="DA97" s="4"/>
      <c r="DB97" s="4"/>
      <c r="DC97" s="4"/>
      <c r="DD97" s="4"/>
      <c r="DE97" s="4"/>
    </row>
    <row r="98">
      <c r="A98" s="7"/>
      <c r="B98" s="4"/>
      <c r="C98" s="167"/>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4"/>
      <c r="CY98" s="4"/>
      <c r="CZ98" s="4"/>
      <c r="DA98" s="4"/>
      <c r="DB98" s="4"/>
      <c r="DC98" s="4"/>
      <c r="DD98" s="4"/>
      <c r="DE98" s="4"/>
    </row>
    <row r="99">
      <c r="A99" s="7"/>
      <c r="B99" s="4"/>
      <c r="C99" s="167"/>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4"/>
      <c r="CY99" s="4"/>
      <c r="CZ99" s="4"/>
      <c r="DA99" s="4"/>
      <c r="DB99" s="4"/>
      <c r="DC99" s="4"/>
      <c r="DD99" s="4"/>
      <c r="DE99" s="4"/>
    </row>
    <row r="100">
      <c r="A100" s="7"/>
      <c r="B100" s="4"/>
      <c r="C100" s="167"/>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4"/>
      <c r="CY100" s="4"/>
      <c r="CZ100" s="4"/>
      <c r="DA100" s="4"/>
      <c r="DB100" s="4"/>
      <c r="DC100" s="4"/>
      <c r="DD100" s="4"/>
      <c r="DE100" s="4"/>
    </row>
    <row r="101">
      <c r="A101" s="7"/>
      <c r="B101" s="4"/>
      <c r="C101" s="167"/>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4"/>
      <c r="CY101" s="4"/>
      <c r="CZ101" s="4"/>
      <c r="DA101" s="4"/>
      <c r="DB101" s="4"/>
      <c r="DC101" s="4"/>
      <c r="DD101" s="4"/>
      <c r="DE101" s="4"/>
    </row>
    <row r="102">
      <c r="A102" s="7"/>
      <c r="B102" s="4"/>
      <c r="C102" s="167"/>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4"/>
      <c r="CY102" s="4"/>
      <c r="CZ102" s="4"/>
      <c r="DA102" s="4"/>
      <c r="DB102" s="4"/>
      <c r="DC102" s="4"/>
      <c r="DD102" s="4"/>
      <c r="DE102" s="4"/>
    </row>
    <row r="103">
      <c r="A103" s="7"/>
      <c r="B103" s="4"/>
      <c r="C103" s="167"/>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4"/>
      <c r="CY103" s="4"/>
      <c r="CZ103" s="4"/>
      <c r="DA103" s="4"/>
      <c r="DB103" s="4"/>
      <c r="DC103" s="4"/>
      <c r="DD103" s="4"/>
      <c r="DE103" s="4"/>
    </row>
    <row r="104">
      <c r="A104" s="7"/>
      <c r="B104" s="4"/>
      <c r="C104" s="167"/>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4"/>
      <c r="CY104" s="4"/>
      <c r="CZ104" s="4"/>
      <c r="DA104" s="4"/>
      <c r="DB104" s="4"/>
      <c r="DC104" s="4"/>
      <c r="DD104" s="4"/>
      <c r="DE104" s="4"/>
    </row>
    <row r="105">
      <c r="A105" s="7"/>
      <c r="B105" s="4"/>
      <c r="C105" s="167"/>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4"/>
      <c r="CY105" s="4"/>
      <c r="CZ105" s="4"/>
      <c r="DA105" s="4"/>
      <c r="DB105" s="4"/>
      <c r="DC105" s="4"/>
      <c r="DD105" s="4"/>
      <c r="DE105" s="4"/>
    </row>
    <row r="106">
      <c r="A106" s="7"/>
      <c r="B106" s="4"/>
      <c r="C106" s="167"/>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4"/>
      <c r="CY106" s="4"/>
      <c r="CZ106" s="4"/>
      <c r="DA106" s="4"/>
      <c r="DB106" s="4"/>
      <c r="DC106" s="4"/>
      <c r="DD106" s="4"/>
      <c r="DE106" s="4"/>
    </row>
    <row r="107">
      <c r="A107" s="7"/>
      <c r="B107" s="4"/>
      <c r="C107" s="167"/>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4"/>
      <c r="CY107" s="4"/>
      <c r="CZ107" s="4"/>
      <c r="DA107" s="4"/>
      <c r="DB107" s="4"/>
      <c r="DC107" s="4"/>
      <c r="DD107" s="4"/>
      <c r="DE107" s="4"/>
    </row>
    <row r="108">
      <c r="A108" s="7"/>
      <c r="B108" s="4"/>
      <c r="C108" s="167"/>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4"/>
      <c r="CY108" s="4"/>
      <c r="CZ108" s="4"/>
      <c r="DA108" s="4"/>
      <c r="DB108" s="4"/>
      <c r="DC108" s="4"/>
      <c r="DD108" s="4"/>
      <c r="DE108" s="4"/>
    </row>
    <row r="109">
      <c r="A109" s="7"/>
      <c r="B109" s="4"/>
      <c r="C109" s="167"/>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4"/>
      <c r="CY109" s="4"/>
      <c r="CZ109" s="4"/>
      <c r="DA109" s="4"/>
      <c r="DB109" s="4"/>
      <c r="DC109" s="4"/>
      <c r="DD109" s="4"/>
      <c r="DE109" s="4"/>
    </row>
    <row r="110">
      <c r="A110" s="7"/>
      <c r="B110" s="4"/>
      <c r="C110" s="167"/>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4"/>
      <c r="CY110" s="4"/>
      <c r="CZ110" s="4"/>
      <c r="DA110" s="4"/>
      <c r="DB110" s="4"/>
      <c r="DC110" s="4"/>
      <c r="DD110" s="4"/>
      <c r="DE110" s="4"/>
    </row>
    <row r="111">
      <c r="A111" s="7"/>
      <c r="B111" s="4"/>
      <c r="C111" s="167"/>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4"/>
      <c r="CY111" s="4"/>
      <c r="CZ111" s="4"/>
      <c r="DA111" s="4"/>
      <c r="DB111" s="4"/>
      <c r="DC111" s="4"/>
      <c r="DD111" s="4"/>
      <c r="DE111" s="4"/>
    </row>
    <row r="112">
      <c r="A112" s="7"/>
      <c r="B112" s="4"/>
      <c r="C112" s="167"/>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4"/>
      <c r="CY112" s="4"/>
      <c r="CZ112" s="4"/>
      <c r="DA112" s="4"/>
      <c r="DB112" s="4"/>
      <c r="DC112" s="4"/>
      <c r="DD112" s="4"/>
      <c r="DE112" s="4"/>
    </row>
    <row r="113">
      <c r="A113" s="7"/>
      <c r="B113" s="4"/>
      <c r="C113" s="167"/>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4"/>
      <c r="CY113" s="4"/>
      <c r="CZ113" s="4"/>
      <c r="DA113" s="4"/>
      <c r="DB113" s="4"/>
      <c r="DC113" s="4"/>
      <c r="DD113" s="4"/>
      <c r="DE113" s="4"/>
    </row>
    <row r="114">
      <c r="A114" s="7"/>
      <c r="B114" s="4"/>
      <c r="C114" s="167"/>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4"/>
      <c r="CY114" s="4"/>
      <c r="CZ114" s="4"/>
      <c r="DA114" s="4"/>
      <c r="DB114" s="4"/>
      <c r="DC114" s="4"/>
      <c r="DD114" s="4"/>
      <c r="DE114" s="4"/>
    </row>
    <row r="115">
      <c r="A115" s="7"/>
      <c r="B115" s="4"/>
      <c r="C115" s="167"/>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4"/>
      <c r="CY115" s="4"/>
      <c r="CZ115" s="4"/>
      <c r="DA115" s="4"/>
      <c r="DB115" s="4"/>
      <c r="DC115" s="4"/>
      <c r="DD115" s="4"/>
      <c r="DE115" s="4"/>
    </row>
    <row r="116">
      <c r="A116" s="7"/>
      <c r="B116" s="4"/>
      <c r="C116" s="167"/>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4"/>
      <c r="CY116" s="4"/>
      <c r="CZ116" s="4"/>
      <c r="DA116" s="4"/>
      <c r="DB116" s="4"/>
      <c r="DC116" s="4"/>
      <c r="DD116" s="4"/>
      <c r="DE116" s="4"/>
    </row>
    <row r="117">
      <c r="A117" s="7"/>
      <c r="B117" s="4"/>
      <c r="C117" s="167"/>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4"/>
      <c r="CY117" s="4"/>
      <c r="CZ117" s="4"/>
      <c r="DA117" s="4"/>
      <c r="DB117" s="4"/>
      <c r="DC117" s="4"/>
      <c r="DD117" s="4"/>
      <c r="DE117" s="4"/>
    </row>
    <row r="118">
      <c r="A118" s="7"/>
      <c r="B118" s="4"/>
      <c r="C118" s="167"/>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4"/>
      <c r="CY118" s="4"/>
      <c r="CZ118" s="4"/>
      <c r="DA118" s="4"/>
      <c r="DB118" s="4"/>
      <c r="DC118" s="4"/>
      <c r="DD118" s="4"/>
      <c r="DE118" s="4"/>
    </row>
    <row r="119">
      <c r="A119" s="7"/>
      <c r="B119" s="4"/>
      <c r="C119" s="167"/>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4"/>
      <c r="CY119" s="4"/>
      <c r="CZ119" s="4"/>
      <c r="DA119" s="4"/>
      <c r="DB119" s="4"/>
      <c r="DC119" s="4"/>
      <c r="DD119" s="4"/>
      <c r="DE119" s="4"/>
    </row>
    <row r="120">
      <c r="A120" s="7"/>
      <c r="B120" s="4"/>
      <c r="C120" s="167"/>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4"/>
      <c r="CY120" s="4"/>
      <c r="CZ120" s="4"/>
      <c r="DA120" s="4"/>
      <c r="DB120" s="4"/>
      <c r="DC120" s="4"/>
      <c r="DD120" s="4"/>
      <c r="DE120" s="4"/>
    </row>
    <row r="121">
      <c r="A121" s="7"/>
      <c r="B121" s="4"/>
      <c r="C121" s="167"/>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4"/>
      <c r="CY121" s="4"/>
      <c r="CZ121" s="4"/>
      <c r="DA121" s="4"/>
      <c r="DB121" s="4"/>
      <c r="DC121" s="4"/>
      <c r="DD121" s="4"/>
      <c r="DE121" s="4"/>
    </row>
    <row r="122">
      <c r="A122" s="7"/>
      <c r="B122" s="4"/>
      <c r="C122" s="167"/>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4"/>
      <c r="CY122" s="4"/>
      <c r="CZ122" s="4"/>
      <c r="DA122" s="4"/>
      <c r="DB122" s="4"/>
      <c r="DC122" s="4"/>
      <c r="DD122" s="4"/>
      <c r="DE122" s="4"/>
    </row>
    <row r="123">
      <c r="A123" s="7"/>
      <c r="B123" s="4"/>
      <c r="C123" s="167"/>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4"/>
      <c r="CY123" s="4"/>
      <c r="CZ123" s="4"/>
      <c r="DA123" s="4"/>
      <c r="DB123" s="4"/>
      <c r="DC123" s="4"/>
      <c r="DD123" s="4"/>
      <c r="DE123" s="4"/>
    </row>
    <row r="124">
      <c r="A124" s="7"/>
      <c r="B124" s="4"/>
      <c r="C124" s="167"/>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4"/>
      <c r="CY124" s="4"/>
      <c r="CZ124" s="4"/>
      <c r="DA124" s="4"/>
      <c r="DB124" s="4"/>
      <c r="DC124" s="4"/>
      <c r="DD124" s="4"/>
      <c r="DE124" s="4"/>
    </row>
    <row r="125">
      <c r="A125" s="7"/>
      <c r="B125" s="4"/>
      <c r="C125" s="167"/>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4"/>
      <c r="CY125" s="4"/>
      <c r="CZ125" s="4"/>
      <c r="DA125" s="4"/>
      <c r="DB125" s="4"/>
      <c r="DC125" s="4"/>
      <c r="DD125" s="4"/>
      <c r="DE125" s="4"/>
    </row>
    <row r="126">
      <c r="A126" s="7"/>
      <c r="B126" s="4"/>
      <c r="C126" s="167"/>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4"/>
      <c r="CY126" s="4"/>
      <c r="CZ126" s="4"/>
      <c r="DA126" s="4"/>
      <c r="DB126" s="4"/>
      <c r="DC126" s="4"/>
      <c r="DD126" s="4"/>
      <c r="DE126" s="4"/>
    </row>
    <row r="127">
      <c r="A127" s="7"/>
      <c r="B127" s="4"/>
      <c r="C127" s="167"/>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4"/>
      <c r="CY127" s="4"/>
      <c r="CZ127" s="4"/>
      <c r="DA127" s="4"/>
      <c r="DB127" s="4"/>
      <c r="DC127" s="4"/>
      <c r="DD127" s="4"/>
      <c r="DE127" s="4"/>
    </row>
    <row r="128">
      <c r="A128" s="7"/>
      <c r="B128" s="4"/>
      <c r="C128" s="167"/>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4"/>
      <c r="CY128" s="4"/>
      <c r="CZ128" s="4"/>
      <c r="DA128" s="4"/>
      <c r="DB128" s="4"/>
      <c r="DC128" s="4"/>
      <c r="DD128" s="4"/>
      <c r="DE128" s="4"/>
    </row>
    <row r="129">
      <c r="A129" s="7"/>
      <c r="B129" s="4"/>
      <c r="C129" s="167"/>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4"/>
      <c r="CY129" s="4"/>
      <c r="CZ129" s="4"/>
      <c r="DA129" s="4"/>
      <c r="DB129" s="4"/>
      <c r="DC129" s="4"/>
      <c r="DD129" s="4"/>
      <c r="DE129" s="4"/>
    </row>
    <row r="130">
      <c r="A130" s="7"/>
      <c r="B130" s="4"/>
      <c r="C130" s="167"/>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4"/>
      <c r="CY130" s="4"/>
      <c r="CZ130" s="4"/>
      <c r="DA130" s="4"/>
      <c r="DB130" s="4"/>
      <c r="DC130" s="4"/>
      <c r="DD130" s="4"/>
      <c r="DE130" s="4"/>
    </row>
    <row r="131">
      <c r="A131" s="7"/>
      <c r="B131" s="4"/>
      <c r="C131" s="167"/>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4"/>
      <c r="CY131" s="4"/>
      <c r="CZ131" s="4"/>
      <c r="DA131" s="4"/>
      <c r="DB131" s="4"/>
      <c r="DC131" s="4"/>
      <c r="DD131" s="4"/>
      <c r="DE131" s="4"/>
    </row>
    <row r="132">
      <c r="A132" s="7"/>
      <c r="B132" s="4"/>
      <c r="C132" s="167"/>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4"/>
      <c r="CY132" s="4"/>
      <c r="CZ132" s="4"/>
      <c r="DA132" s="4"/>
      <c r="DB132" s="4"/>
      <c r="DC132" s="4"/>
      <c r="DD132" s="4"/>
      <c r="DE132" s="4"/>
    </row>
    <row r="133">
      <c r="A133" s="7"/>
      <c r="B133" s="4"/>
      <c r="C133" s="167"/>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4"/>
      <c r="CY133" s="4"/>
      <c r="CZ133" s="4"/>
      <c r="DA133" s="4"/>
      <c r="DB133" s="4"/>
      <c r="DC133" s="4"/>
      <c r="DD133" s="4"/>
      <c r="DE133" s="4"/>
    </row>
    <row r="134">
      <c r="A134" s="7"/>
      <c r="B134" s="4"/>
      <c r="C134" s="167"/>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4"/>
      <c r="CY134" s="4"/>
      <c r="CZ134" s="4"/>
      <c r="DA134" s="4"/>
      <c r="DB134" s="4"/>
      <c r="DC134" s="4"/>
      <c r="DD134" s="4"/>
      <c r="DE134" s="4"/>
    </row>
    <row r="135">
      <c r="A135" s="7"/>
      <c r="B135" s="4"/>
      <c r="C135" s="167"/>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4"/>
      <c r="CY135" s="4"/>
      <c r="CZ135" s="4"/>
      <c r="DA135" s="4"/>
      <c r="DB135" s="4"/>
      <c r="DC135" s="4"/>
      <c r="DD135" s="4"/>
      <c r="DE135" s="4"/>
    </row>
    <row r="136">
      <c r="A136" s="7"/>
      <c r="B136" s="4"/>
      <c r="C136" s="167"/>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4"/>
      <c r="CY136" s="4"/>
      <c r="CZ136" s="4"/>
      <c r="DA136" s="4"/>
      <c r="DB136" s="4"/>
      <c r="DC136" s="4"/>
      <c r="DD136" s="4"/>
      <c r="DE136" s="4"/>
    </row>
    <row r="137">
      <c r="A137" s="7"/>
      <c r="B137" s="4"/>
      <c r="C137" s="167"/>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4"/>
      <c r="CY137" s="4"/>
      <c r="CZ137" s="4"/>
      <c r="DA137" s="4"/>
      <c r="DB137" s="4"/>
      <c r="DC137" s="4"/>
      <c r="DD137" s="4"/>
      <c r="DE137" s="4"/>
    </row>
    <row r="138">
      <c r="A138" s="7"/>
      <c r="B138" s="4"/>
      <c r="C138" s="167"/>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4"/>
      <c r="CY138" s="4"/>
      <c r="CZ138" s="4"/>
      <c r="DA138" s="4"/>
      <c r="DB138" s="4"/>
      <c r="DC138" s="4"/>
      <c r="DD138" s="4"/>
      <c r="DE138" s="4"/>
    </row>
    <row r="139">
      <c r="A139" s="7"/>
      <c r="B139" s="4"/>
      <c r="C139" s="167"/>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4"/>
      <c r="CY139" s="4"/>
      <c r="CZ139" s="4"/>
      <c r="DA139" s="4"/>
      <c r="DB139" s="4"/>
      <c r="DC139" s="4"/>
      <c r="DD139" s="4"/>
      <c r="DE139" s="4"/>
    </row>
    <row r="140">
      <c r="A140" s="7"/>
      <c r="B140" s="4"/>
      <c r="C140" s="167"/>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4"/>
      <c r="CY140" s="4"/>
      <c r="CZ140" s="4"/>
      <c r="DA140" s="4"/>
      <c r="DB140" s="4"/>
      <c r="DC140" s="4"/>
      <c r="DD140" s="4"/>
      <c r="DE140" s="4"/>
    </row>
    <row r="141">
      <c r="A141" s="7"/>
      <c r="B141" s="4"/>
      <c r="C141" s="167"/>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4"/>
      <c r="CY141" s="4"/>
      <c r="CZ141" s="4"/>
      <c r="DA141" s="4"/>
      <c r="DB141" s="4"/>
      <c r="DC141" s="4"/>
      <c r="DD141" s="4"/>
      <c r="DE141" s="4"/>
    </row>
    <row r="142">
      <c r="A142" s="7"/>
      <c r="B142" s="4"/>
      <c r="C142" s="167"/>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4"/>
      <c r="CY142" s="4"/>
      <c r="CZ142" s="4"/>
      <c r="DA142" s="4"/>
      <c r="DB142" s="4"/>
      <c r="DC142" s="4"/>
      <c r="DD142" s="4"/>
      <c r="DE142" s="4"/>
    </row>
    <row r="143">
      <c r="A143" s="7"/>
      <c r="B143" s="4"/>
      <c r="C143" s="167"/>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4"/>
      <c r="CY143" s="4"/>
      <c r="CZ143" s="4"/>
      <c r="DA143" s="4"/>
      <c r="DB143" s="4"/>
      <c r="DC143" s="4"/>
      <c r="DD143" s="4"/>
      <c r="DE143" s="4"/>
    </row>
    <row r="144">
      <c r="A144" s="7"/>
      <c r="B144" s="4"/>
      <c r="C144" s="167"/>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4"/>
      <c r="CY144" s="4"/>
      <c r="CZ144" s="4"/>
      <c r="DA144" s="4"/>
      <c r="DB144" s="4"/>
      <c r="DC144" s="4"/>
      <c r="DD144" s="4"/>
      <c r="DE144" s="4"/>
    </row>
    <row r="145">
      <c r="A145" s="7"/>
      <c r="B145" s="4"/>
      <c r="C145" s="167"/>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4"/>
      <c r="CY145" s="4"/>
      <c r="CZ145" s="4"/>
      <c r="DA145" s="4"/>
      <c r="DB145" s="4"/>
      <c r="DC145" s="4"/>
      <c r="DD145" s="4"/>
      <c r="DE145" s="4"/>
    </row>
    <row r="146">
      <c r="A146" s="7"/>
      <c r="B146" s="4"/>
      <c r="C146" s="167"/>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4"/>
      <c r="CY146" s="4"/>
      <c r="CZ146" s="4"/>
      <c r="DA146" s="4"/>
      <c r="DB146" s="4"/>
      <c r="DC146" s="4"/>
      <c r="DD146" s="4"/>
      <c r="DE146" s="4"/>
    </row>
    <row r="147">
      <c r="A147" s="7"/>
      <c r="B147" s="4"/>
      <c r="C147" s="167"/>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4"/>
      <c r="CY147" s="4"/>
      <c r="CZ147" s="4"/>
      <c r="DA147" s="4"/>
      <c r="DB147" s="4"/>
      <c r="DC147" s="4"/>
      <c r="DD147" s="4"/>
      <c r="DE147" s="4"/>
    </row>
    <row r="148">
      <c r="A148" s="7"/>
      <c r="B148" s="4"/>
      <c r="C148" s="167"/>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4"/>
      <c r="CY148" s="4"/>
      <c r="CZ148" s="4"/>
      <c r="DA148" s="4"/>
      <c r="DB148" s="4"/>
      <c r="DC148" s="4"/>
      <c r="DD148" s="4"/>
      <c r="DE148" s="4"/>
    </row>
    <row r="149">
      <c r="A149" s="7"/>
      <c r="B149" s="4"/>
      <c r="C149" s="167"/>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4"/>
      <c r="CY149" s="4"/>
      <c r="CZ149" s="4"/>
      <c r="DA149" s="4"/>
      <c r="DB149" s="4"/>
      <c r="DC149" s="4"/>
      <c r="DD149" s="4"/>
      <c r="DE149" s="4"/>
    </row>
    <row r="150">
      <c r="A150" s="7"/>
      <c r="B150" s="4"/>
      <c r="C150" s="167"/>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4"/>
      <c r="CY150" s="4"/>
      <c r="CZ150" s="4"/>
      <c r="DA150" s="4"/>
      <c r="DB150" s="4"/>
      <c r="DC150" s="4"/>
      <c r="DD150" s="4"/>
      <c r="DE150" s="4"/>
    </row>
    <row r="151">
      <c r="A151" s="7"/>
      <c r="B151" s="4"/>
      <c r="C151" s="167"/>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4"/>
      <c r="CY151" s="4"/>
      <c r="CZ151" s="4"/>
      <c r="DA151" s="4"/>
      <c r="DB151" s="4"/>
      <c r="DC151" s="4"/>
      <c r="DD151" s="4"/>
      <c r="DE151" s="4"/>
    </row>
    <row r="152">
      <c r="A152" s="7"/>
      <c r="B152" s="4"/>
      <c r="C152" s="167"/>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4"/>
      <c r="CY152" s="4"/>
      <c r="CZ152" s="4"/>
      <c r="DA152" s="4"/>
      <c r="DB152" s="4"/>
      <c r="DC152" s="4"/>
      <c r="DD152" s="4"/>
      <c r="DE152" s="4"/>
    </row>
    <row r="153">
      <c r="A153" s="7"/>
      <c r="B153" s="4"/>
      <c r="C153" s="167"/>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4"/>
      <c r="CY153" s="4"/>
      <c r="CZ153" s="4"/>
      <c r="DA153" s="4"/>
      <c r="DB153" s="4"/>
      <c r="DC153" s="4"/>
      <c r="DD153" s="4"/>
      <c r="DE153" s="4"/>
    </row>
    <row r="154">
      <c r="A154" s="7"/>
      <c r="B154" s="4"/>
      <c r="C154" s="167"/>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4"/>
      <c r="CY154" s="4"/>
      <c r="CZ154" s="4"/>
      <c r="DA154" s="4"/>
      <c r="DB154" s="4"/>
      <c r="DC154" s="4"/>
      <c r="DD154" s="4"/>
      <c r="DE154" s="4"/>
    </row>
    <row r="155">
      <c r="A155" s="7"/>
      <c r="B155" s="4"/>
      <c r="C155" s="167"/>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4"/>
      <c r="CY155" s="4"/>
      <c r="CZ155" s="4"/>
      <c r="DA155" s="4"/>
      <c r="DB155" s="4"/>
      <c r="DC155" s="4"/>
      <c r="DD155" s="4"/>
      <c r="DE155" s="4"/>
    </row>
    <row r="156">
      <c r="A156" s="7"/>
      <c r="B156" s="4"/>
      <c r="C156" s="167"/>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4"/>
      <c r="CY156" s="4"/>
      <c r="CZ156" s="4"/>
      <c r="DA156" s="4"/>
      <c r="DB156" s="4"/>
      <c r="DC156" s="4"/>
      <c r="DD156" s="4"/>
      <c r="DE156" s="4"/>
    </row>
    <row r="157">
      <c r="A157" s="7"/>
      <c r="B157" s="4"/>
      <c r="C157" s="167"/>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4"/>
      <c r="CY157" s="4"/>
      <c r="CZ157" s="4"/>
      <c r="DA157" s="4"/>
      <c r="DB157" s="4"/>
      <c r="DC157" s="4"/>
      <c r="DD157" s="4"/>
      <c r="DE157" s="4"/>
    </row>
    <row r="158">
      <c r="A158" s="7"/>
      <c r="B158" s="4"/>
      <c r="C158" s="167"/>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4"/>
      <c r="CY158" s="4"/>
      <c r="CZ158" s="4"/>
      <c r="DA158" s="4"/>
      <c r="DB158" s="4"/>
      <c r="DC158" s="4"/>
      <c r="DD158" s="4"/>
      <c r="DE158" s="4"/>
    </row>
    <row r="159">
      <c r="A159" s="7"/>
      <c r="B159" s="4"/>
      <c r="C159" s="167"/>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4"/>
      <c r="CY159" s="4"/>
      <c r="CZ159" s="4"/>
      <c r="DA159" s="4"/>
      <c r="DB159" s="4"/>
      <c r="DC159" s="4"/>
      <c r="DD159" s="4"/>
      <c r="DE159" s="4"/>
    </row>
    <row r="160">
      <c r="A160" s="7"/>
      <c r="B160" s="4"/>
      <c r="C160" s="167"/>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4"/>
      <c r="CY160" s="4"/>
      <c r="CZ160" s="4"/>
      <c r="DA160" s="4"/>
      <c r="DB160" s="4"/>
      <c r="DC160" s="4"/>
      <c r="DD160" s="4"/>
      <c r="DE160" s="4"/>
    </row>
    <row r="161">
      <c r="A161" s="7"/>
      <c r="B161" s="4"/>
      <c r="C161" s="167"/>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4"/>
      <c r="CY161" s="4"/>
      <c r="CZ161" s="4"/>
      <c r="DA161" s="4"/>
      <c r="DB161" s="4"/>
      <c r="DC161" s="4"/>
      <c r="DD161" s="4"/>
      <c r="DE161" s="4"/>
    </row>
    <row r="162">
      <c r="A162" s="7"/>
      <c r="B162" s="4"/>
      <c r="C162" s="167"/>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4"/>
      <c r="CY162" s="4"/>
      <c r="CZ162" s="4"/>
      <c r="DA162" s="4"/>
      <c r="DB162" s="4"/>
      <c r="DC162" s="4"/>
      <c r="DD162" s="4"/>
      <c r="DE162" s="4"/>
    </row>
    <row r="163">
      <c r="A163" s="7"/>
      <c r="B163" s="4"/>
      <c r="C163" s="167"/>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4"/>
      <c r="CY163" s="4"/>
      <c r="CZ163" s="4"/>
      <c r="DA163" s="4"/>
      <c r="DB163" s="4"/>
      <c r="DC163" s="4"/>
      <c r="DD163" s="4"/>
      <c r="DE163" s="4"/>
    </row>
    <row r="164">
      <c r="A164" s="7"/>
      <c r="B164" s="4"/>
      <c r="C164" s="167"/>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4"/>
      <c r="CY164" s="4"/>
      <c r="CZ164" s="4"/>
      <c r="DA164" s="4"/>
      <c r="DB164" s="4"/>
      <c r="DC164" s="4"/>
      <c r="DD164" s="4"/>
      <c r="DE164" s="4"/>
    </row>
    <row r="165">
      <c r="A165" s="7"/>
      <c r="B165" s="4"/>
      <c r="C165" s="167"/>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4"/>
      <c r="CY165" s="4"/>
      <c r="CZ165" s="4"/>
      <c r="DA165" s="4"/>
      <c r="DB165" s="4"/>
      <c r="DC165" s="4"/>
      <c r="DD165" s="4"/>
      <c r="DE165" s="4"/>
    </row>
    <row r="166">
      <c r="A166" s="7"/>
      <c r="B166" s="4"/>
      <c r="C166" s="167"/>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4"/>
      <c r="CY166" s="4"/>
      <c r="CZ166" s="4"/>
      <c r="DA166" s="4"/>
      <c r="DB166" s="4"/>
      <c r="DC166" s="4"/>
      <c r="DD166" s="4"/>
      <c r="DE166" s="4"/>
    </row>
    <row r="167">
      <c r="A167" s="7"/>
      <c r="B167" s="4"/>
      <c r="C167" s="167"/>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4"/>
      <c r="CY167" s="4"/>
      <c r="CZ167" s="4"/>
      <c r="DA167" s="4"/>
      <c r="DB167" s="4"/>
      <c r="DC167" s="4"/>
      <c r="DD167" s="4"/>
      <c r="DE167" s="4"/>
    </row>
    <row r="168">
      <c r="A168" s="7"/>
      <c r="B168" s="4"/>
      <c r="C168" s="167"/>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4"/>
      <c r="CY168" s="4"/>
      <c r="CZ168" s="4"/>
      <c r="DA168" s="4"/>
      <c r="DB168" s="4"/>
      <c r="DC168" s="4"/>
      <c r="DD168" s="4"/>
      <c r="DE168" s="4"/>
    </row>
    <row r="169">
      <c r="A169" s="7"/>
      <c r="B169" s="4"/>
      <c r="C169" s="167"/>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4"/>
      <c r="CY169" s="4"/>
      <c r="CZ169" s="4"/>
      <c r="DA169" s="4"/>
      <c r="DB169" s="4"/>
      <c r="DC169" s="4"/>
      <c r="DD169" s="4"/>
      <c r="DE169" s="4"/>
    </row>
    <row r="170">
      <c r="A170" s="7"/>
      <c r="B170" s="4"/>
      <c r="C170" s="167"/>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4"/>
      <c r="CY170" s="4"/>
      <c r="CZ170" s="4"/>
      <c r="DA170" s="4"/>
      <c r="DB170" s="4"/>
      <c r="DC170" s="4"/>
      <c r="DD170" s="4"/>
      <c r="DE170" s="4"/>
    </row>
    <row r="171">
      <c r="A171" s="7"/>
      <c r="B171" s="4"/>
      <c r="C171" s="167"/>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4"/>
      <c r="CY171" s="4"/>
      <c r="CZ171" s="4"/>
      <c r="DA171" s="4"/>
      <c r="DB171" s="4"/>
      <c r="DC171" s="4"/>
      <c r="DD171" s="4"/>
      <c r="DE171" s="4"/>
    </row>
    <row r="172">
      <c r="A172" s="7"/>
      <c r="B172" s="4"/>
      <c r="C172" s="167"/>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4"/>
      <c r="CY172" s="4"/>
      <c r="CZ172" s="4"/>
      <c r="DA172" s="4"/>
      <c r="DB172" s="4"/>
      <c r="DC172" s="4"/>
      <c r="DD172" s="4"/>
      <c r="DE172" s="4"/>
    </row>
    <row r="173">
      <c r="A173" s="7"/>
      <c r="B173" s="4"/>
      <c r="C173" s="167"/>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4"/>
      <c r="CY173" s="4"/>
      <c r="CZ173" s="4"/>
      <c r="DA173" s="4"/>
      <c r="DB173" s="4"/>
      <c r="DC173" s="4"/>
      <c r="DD173" s="4"/>
      <c r="DE173" s="4"/>
    </row>
    <row r="174">
      <c r="A174" s="7"/>
      <c r="B174" s="4"/>
      <c r="C174" s="167"/>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4"/>
      <c r="CY174" s="4"/>
      <c r="CZ174" s="4"/>
      <c r="DA174" s="4"/>
      <c r="DB174" s="4"/>
      <c r="DC174" s="4"/>
      <c r="DD174" s="4"/>
      <c r="DE174" s="4"/>
    </row>
    <row r="175">
      <c r="A175" s="7"/>
      <c r="B175" s="4"/>
      <c r="C175" s="167"/>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4"/>
      <c r="CY175" s="4"/>
      <c r="CZ175" s="4"/>
      <c r="DA175" s="4"/>
      <c r="DB175" s="4"/>
      <c r="DC175" s="4"/>
      <c r="DD175" s="4"/>
      <c r="DE175" s="4"/>
    </row>
    <row r="176">
      <c r="A176" s="7"/>
      <c r="B176" s="4"/>
      <c r="C176" s="167"/>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4"/>
      <c r="CY176" s="4"/>
      <c r="CZ176" s="4"/>
      <c r="DA176" s="4"/>
      <c r="DB176" s="4"/>
      <c r="DC176" s="4"/>
      <c r="DD176" s="4"/>
      <c r="DE176" s="4"/>
    </row>
    <row r="177">
      <c r="A177" s="7"/>
      <c r="B177" s="4"/>
      <c r="C177" s="167"/>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4"/>
      <c r="CY177" s="4"/>
      <c r="CZ177" s="4"/>
      <c r="DA177" s="4"/>
      <c r="DB177" s="4"/>
      <c r="DC177" s="4"/>
      <c r="DD177" s="4"/>
      <c r="DE177" s="4"/>
    </row>
    <row r="178">
      <c r="A178" s="7"/>
      <c r="B178" s="4"/>
      <c r="C178" s="167"/>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4"/>
      <c r="CY178" s="4"/>
      <c r="CZ178" s="4"/>
      <c r="DA178" s="4"/>
      <c r="DB178" s="4"/>
      <c r="DC178" s="4"/>
      <c r="DD178" s="4"/>
      <c r="DE178" s="4"/>
    </row>
    <row r="179">
      <c r="A179" s="7"/>
      <c r="B179" s="4"/>
      <c r="C179" s="167"/>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4"/>
      <c r="CY179" s="4"/>
      <c r="CZ179" s="4"/>
      <c r="DA179" s="4"/>
      <c r="DB179" s="4"/>
      <c r="DC179" s="4"/>
      <c r="DD179" s="4"/>
      <c r="DE179" s="4"/>
    </row>
    <row r="180">
      <c r="A180" s="7"/>
      <c r="B180" s="4"/>
      <c r="C180" s="167"/>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4"/>
      <c r="CY180" s="4"/>
      <c r="CZ180" s="4"/>
      <c r="DA180" s="4"/>
      <c r="DB180" s="4"/>
      <c r="DC180" s="4"/>
      <c r="DD180" s="4"/>
      <c r="DE180" s="4"/>
    </row>
    <row r="181">
      <c r="A181" s="7"/>
      <c r="B181" s="4"/>
      <c r="C181" s="167"/>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4"/>
      <c r="CY181" s="4"/>
      <c r="CZ181" s="4"/>
      <c r="DA181" s="4"/>
      <c r="DB181" s="4"/>
      <c r="DC181" s="4"/>
      <c r="DD181" s="4"/>
      <c r="DE181" s="4"/>
    </row>
    <row r="182">
      <c r="A182" s="7"/>
      <c r="B182" s="4"/>
      <c r="C182" s="167"/>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4"/>
      <c r="CY182" s="4"/>
      <c r="CZ182" s="4"/>
      <c r="DA182" s="4"/>
      <c r="DB182" s="4"/>
      <c r="DC182" s="4"/>
      <c r="DD182" s="4"/>
      <c r="DE182" s="4"/>
    </row>
    <row r="183">
      <c r="A183" s="7"/>
      <c r="B183" s="4"/>
      <c r="C183" s="167"/>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4"/>
      <c r="CY183" s="4"/>
      <c r="CZ183" s="4"/>
      <c r="DA183" s="4"/>
      <c r="DB183" s="4"/>
      <c r="DC183" s="4"/>
      <c r="DD183" s="4"/>
      <c r="DE183" s="4"/>
    </row>
    <row r="184">
      <c r="A184" s="7"/>
      <c r="B184" s="4"/>
      <c r="C184" s="167"/>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4"/>
      <c r="CY184" s="4"/>
      <c r="CZ184" s="4"/>
      <c r="DA184" s="4"/>
      <c r="DB184" s="4"/>
      <c r="DC184" s="4"/>
      <c r="DD184" s="4"/>
      <c r="DE184" s="4"/>
    </row>
    <row r="185">
      <c r="A185" s="7"/>
      <c r="B185" s="4"/>
      <c r="C185" s="167"/>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4"/>
      <c r="CY185" s="4"/>
      <c r="CZ185" s="4"/>
      <c r="DA185" s="4"/>
      <c r="DB185" s="4"/>
      <c r="DC185" s="4"/>
      <c r="DD185" s="4"/>
      <c r="DE185" s="4"/>
    </row>
    <row r="186">
      <c r="A186" s="7"/>
      <c r="B186" s="4"/>
      <c r="C186" s="167"/>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4"/>
      <c r="CY186" s="4"/>
      <c r="CZ186" s="4"/>
      <c r="DA186" s="4"/>
      <c r="DB186" s="4"/>
      <c r="DC186" s="4"/>
      <c r="DD186" s="4"/>
      <c r="DE186" s="4"/>
    </row>
    <row r="187">
      <c r="A187" s="7"/>
      <c r="B187" s="4"/>
      <c r="C187" s="167"/>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4"/>
      <c r="CY187" s="4"/>
      <c r="CZ187" s="4"/>
      <c r="DA187" s="4"/>
      <c r="DB187" s="4"/>
      <c r="DC187" s="4"/>
      <c r="DD187" s="4"/>
      <c r="DE187" s="4"/>
    </row>
    <row r="188">
      <c r="A188" s="7"/>
      <c r="B188" s="4"/>
      <c r="C188" s="167"/>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c r="CX188" s="4"/>
      <c r="CY188" s="4"/>
      <c r="CZ188" s="4"/>
      <c r="DA188" s="4"/>
      <c r="DB188" s="4"/>
      <c r="DC188" s="4"/>
      <c r="DD188" s="4"/>
      <c r="DE188" s="4"/>
    </row>
    <row r="189">
      <c r="A189" s="7"/>
      <c r="B189" s="4"/>
      <c r="C189" s="167"/>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7"/>
      <c r="BZ189" s="7"/>
      <c r="CA189" s="7"/>
      <c r="CB189" s="7"/>
      <c r="CC189" s="7"/>
      <c r="CD189" s="7"/>
      <c r="CE189" s="7"/>
      <c r="CF189" s="7"/>
      <c r="CG189" s="7"/>
      <c r="CH189" s="7"/>
      <c r="CI189" s="7"/>
      <c r="CJ189" s="7"/>
      <c r="CK189" s="7"/>
      <c r="CL189" s="7"/>
      <c r="CM189" s="7"/>
      <c r="CN189" s="7"/>
      <c r="CO189" s="7"/>
      <c r="CP189" s="7"/>
      <c r="CQ189" s="7"/>
      <c r="CR189" s="7"/>
      <c r="CS189" s="7"/>
      <c r="CT189" s="7"/>
      <c r="CU189" s="7"/>
      <c r="CV189" s="7"/>
      <c r="CW189" s="7"/>
      <c r="CX189" s="4"/>
      <c r="CY189" s="4"/>
      <c r="CZ189" s="4"/>
      <c r="DA189" s="4"/>
      <c r="DB189" s="4"/>
      <c r="DC189" s="4"/>
      <c r="DD189" s="4"/>
      <c r="DE189" s="4"/>
    </row>
    <row r="190">
      <c r="A190" s="7"/>
      <c r="B190" s="4"/>
      <c r="C190" s="167"/>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7"/>
      <c r="BZ190" s="7"/>
      <c r="CA190" s="7"/>
      <c r="CB190" s="7"/>
      <c r="CC190" s="7"/>
      <c r="CD190" s="7"/>
      <c r="CE190" s="7"/>
      <c r="CF190" s="7"/>
      <c r="CG190" s="7"/>
      <c r="CH190" s="7"/>
      <c r="CI190" s="7"/>
      <c r="CJ190" s="7"/>
      <c r="CK190" s="7"/>
      <c r="CL190" s="7"/>
      <c r="CM190" s="7"/>
      <c r="CN190" s="7"/>
      <c r="CO190" s="7"/>
      <c r="CP190" s="7"/>
      <c r="CQ190" s="7"/>
      <c r="CR190" s="7"/>
      <c r="CS190" s="7"/>
      <c r="CT190" s="7"/>
      <c r="CU190" s="7"/>
      <c r="CV190" s="7"/>
      <c r="CW190" s="7"/>
      <c r="CX190" s="4"/>
      <c r="CY190" s="4"/>
      <c r="CZ190" s="4"/>
      <c r="DA190" s="4"/>
      <c r="DB190" s="4"/>
      <c r="DC190" s="4"/>
      <c r="DD190" s="4"/>
      <c r="DE190" s="4"/>
    </row>
    <row r="191">
      <c r="A191" s="7"/>
      <c r="B191" s="4"/>
      <c r="C191" s="167"/>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7"/>
      <c r="BZ191" s="7"/>
      <c r="CA191" s="7"/>
      <c r="CB191" s="7"/>
      <c r="CC191" s="7"/>
      <c r="CD191" s="7"/>
      <c r="CE191" s="7"/>
      <c r="CF191" s="7"/>
      <c r="CG191" s="7"/>
      <c r="CH191" s="7"/>
      <c r="CI191" s="7"/>
      <c r="CJ191" s="7"/>
      <c r="CK191" s="7"/>
      <c r="CL191" s="7"/>
      <c r="CM191" s="7"/>
      <c r="CN191" s="7"/>
      <c r="CO191" s="7"/>
      <c r="CP191" s="7"/>
      <c r="CQ191" s="7"/>
      <c r="CR191" s="7"/>
      <c r="CS191" s="7"/>
      <c r="CT191" s="7"/>
      <c r="CU191" s="7"/>
      <c r="CV191" s="7"/>
      <c r="CW191" s="7"/>
      <c r="CX191" s="4"/>
      <c r="CY191" s="4"/>
      <c r="CZ191" s="4"/>
      <c r="DA191" s="4"/>
      <c r="DB191" s="4"/>
      <c r="DC191" s="4"/>
      <c r="DD191" s="4"/>
      <c r="DE191" s="4"/>
    </row>
    <row r="192">
      <c r="A192" s="7"/>
      <c r="B192" s="4"/>
      <c r="C192" s="167"/>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4"/>
      <c r="CY192" s="4"/>
      <c r="CZ192" s="4"/>
      <c r="DA192" s="4"/>
      <c r="DB192" s="4"/>
      <c r="DC192" s="4"/>
      <c r="DD192" s="4"/>
      <c r="DE192" s="4"/>
    </row>
    <row r="193">
      <c r="A193" s="7"/>
      <c r="B193" s="4"/>
      <c r="C193" s="167"/>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4"/>
      <c r="CY193" s="4"/>
      <c r="CZ193" s="4"/>
      <c r="DA193" s="4"/>
      <c r="DB193" s="4"/>
      <c r="DC193" s="4"/>
      <c r="DD193" s="4"/>
      <c r="DE193" s="4"/>
    </row>
    <row r="194">
      <c r="A194" s="7"/>
      <c r="B194" s="4"/>
      <c r="C194" s="167"/>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s="7"/>
      <c r="CW194" s="7"/>
      <c r="CX194" s="4"/>
      <c r="CY194" s="4"/>
      <c r="CZ194" s="4"/>
      <c r="DA194" s="4"/>
      <c r="DB194" s="4"/>
      <c r="DC194" s="4"/>
      <c r="DD194" s="4"/>
      <c r="DE194" s="4"/>
    </row>
    <row r="195">
      <c r="A195" s="7"/>
      <c r="B195" s="4"/>
      <c r="C195" s="167"/>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c r="CX195" s="4"/>
      <c r="CY195" s="4"/>
      <c r="CZ195" s="4"/>
      <c r="DA195" s="4"/>
      <c r="DB195" s="4"/>
      <c r="DC195" s="4"/>
      <c r="DD195" s="4"/>
      <c r="DE195" s="4"/>
    </row>
    <row r="196">
      <c r="A196" s="7"/>
      <c r="B196" s="4"/>
      <c r="C196" s="167"/>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c r="CW196" s="7"/>
      <c r="CX196" s="4"/>
      <c r="CY196" s="4"/>
      <c r="CZ196" s="4"/>
      <c r="DA196" s="4"/>
      <c r="DB196" s="4"/>
      <c r="DC196" s="4"/>
      <c r="DD196" s="4"/>
      <c r="DE196" s="4"/>
    </row>
    <row r="197">
      <c r="A197" s="7"/>
      <c r="B197" s="4"/>
      <c r="C197" s="167"/>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4"/>
      <c r="CY197" s="4"/>
      <c r="CZ197" s="4"/>
      <c r="DA197" s="4"/>
      <c r="DB197" s="4"/>
      <c r="DC197" s="4"/>
      <c r="DD197" s="4"/>
      <c r="DE197" s="4"/>
    </row>
    <row r="198">
      <c r="A198" s="7"/>
      <c r="B198" s="4"/>
      <c r="C198" s="167"/>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4"/>
      <c r="CY198" s="4"/>
      <c r="CZ198" s="4"/>
      <c r="DA198" s="4"/>
      <c r="DB198" s="4"/>
      <c r="DC198" s="4"/>
      <c r="DD198" s="4"/>
      <c r="DE198" s="4"/>
    </row>
    <row r="199">
      <c r="A199" s="7"/>
      <c r="B199" s="4"/>
      <c r="C199" s="167"/>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c r="CX199" s="4"/>
      <c r="CY199" s="4"/>
      <c r="CZ199" s="4"/>
      <c r="DA199" s="4"/>
      <c r="DB199" s="4"/>
      <c r="DC199" s="4"/>
      <c r="DD199" s="4"/>
      <c r="DE199" s="4"/>
    </row>
    <row r="200">
      <c r="A200" s="7"/>
      <c r="B200" s="4"/>
      <c r="C200" s="167"/>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c r="CX200" s="4"/>
      <c r="CY200" s="4"/>
      <c r="CZ200" s="4"/>
      <c r="DA200" s="4"/>
      <c r="DB200" s="4"/>
      <c r="DC200" s="4"/>
      <c r="DD200" s="4"/>
      <c r="DE200" s="4"/>
    </row>
    <row r="201">
      <c r="A201" s="7"/>
      <c r="B201" s="4"/>
      <c r="C201" s="167"/>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c r="CX201" s="4"/>
      <c r="CY201" s="4"/>
      <c r="CZ201" s="4"/>
      <c r="DA201" s="4"/>
      <c r="DB201" s="4"/>
      <c r="DC201" s="4"/>
      <c r="DD201" s="4"/>
      <c r="DE201" s="4"/>
    </row>
    <row r="202">
      <c r="A202" s="7"/>
      <c r="B202" s="4"/>
      <c r="C202" s="167"/>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c r="CX202" s="4"/>
      <c r="CY202" s="4"/>
      <c r="CZ202" s="4"/>
      <c r="DA202" s="4"/>
      <c r="DB202" s="4"/>
      <c r="DC202" s="4"/>
      <c r="DD202" s="4"/>
      <c r="DE202" s="4"/>
    </row>
    <row r="203">
      <c r="A203" s="7"/>
      <c r="B203" s="4"/>
      <c r="C203" s="167"/>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c r="CX203" s="4"/>
      <c r="CY203" s="4"/>
      <c r="CZ203" s="4"/>
      <c r="DA203" s="4"/>
      <c r="DB203" s="4"/>
      <c r="DC203" s="4"/>
      <c r="DD203" s="4"/>
      <c r="DE203" s="4"/>
    </row>
    <row r="204">
      <c r="A204" s="7"/>
      <c r="B204" s="4"/>
      <c r="C204" s="167"/>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c r="CW204" s="7"/>
      <c r="CX204" s="4"/>
      <c r="CY204" s="4"/>
      <c r="CZ204" s="4"/>
      <c r="DA204" s="4"/>
      <c r="DB204" s="4"/>
      <c r="DC204" s="4"/>
      <c r="DD204" s="4"/>
      <c r="DE204" s="4"/>
    </row>
    <row r="205">
      <c r="A205" s="7"/>
      <c r="B205" s="4"/>
      <c r="C205" s="167"/>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c r="CX205" s="4"/>
      <c r="CY205" s="4"/>
      <c r="CZ205" s="4"/>
      <c r="DA205" s="4"/>
      <c r="DB205" s="4"/>
      <c r="DC205" s="4"/>
      <c r="DD205" s="4"/>
      <c r="DE205" s="4"/>
    </row>
    <row r="206">
      <c r="A206" s="7"/>
      <c r="B206" s="4"/>
      <c r="C206" s="167"/>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c r="CX206" s="4"/>
      <c r="CY206" s="4"/>
      <c r="CZ206" s="4"/>
      <c r="DA206" s="4"/>
      <c r="DB206" s="4"/>
      <c r="DC206" s="4"/>
      <c r="DD206" s="4"/>
      <c r="DE206" s="4"/>
    </row>
    <row r="207">
      <c r="A207" s="7"/>
      <c r="B207" s="4"/>
      <c r="C207" s="167"/>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c r="CX207" s="4"/>
      <c r="CY207" s="4"/>
      <c r="CZ207" s="4"/>
      <c r="DA207" s="4"/>
      <c r="DB207" s="4"/>
      <c r="DC207" s="4"/>
      <c r="DD207" s="4"/>
      <c r="DE207" s="4"/>
    </row>
    <row r="208">
      <c r="A208" s="7"/>
      <c r="B208" s="4"/>
      <c r="C208" s="167"/>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4"/>
      <c r="CY208" s="4"/>
      <c r="CZ208" s="4"/>
      <c r="DA208" s="4"/>
      <c r="DB208" s="4"/>
      <c r="DC208" s="4"/>
      <c r="DD208" s="4"/>
      <c r="DE208" s="4"/>
    </row>
    <row r="209">
      <c r="A209" s="7"/>
      <c r="B209" s="4"/>
      <c r="C209" s="167"/>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c r="CX209" s="4"/>
      <c r="CY209" s="4"/>
      <c r="CZ209" s="4"/>
      <c r="DA209" s="4"/>
      <c r="DB209" s="4"/>
      <c r="DC209" s="4"/>
      <c r="DD209" s="4"/>
      <c r="DE209" s="4"/>
    </row>
    <row r="210">
      <c r="A210" s="7"/>
      <c r="B210" s="4"/>
      <c r="C210" s="167"/>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c r="CW210" s="7"/>
      <c r="CX210" s="4"/>
      <c r="CY210" s="4"/>
      <c r="CZ210" s="4"/>
      <c r="DA210" s="4"/>
      <c r="DB210" s="4"/>
      <c r="DC210" s="4"/>
      <c r="DD210" s="4"/>
      <c r="DE210" s="4"/>
    </row>
    <row r="211">
      <c r="A211" s="7"/>
      <c r="B211" s="4"/>
      <c r="C211" s="167"/>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c r="CX211" s="4"/>
      <c r="CY211" s="4"/>
      <c r="CZ211" s="4"/>
      <c r="DA211" s="4"/>
      <c r="DB211" s="4"/>
      <c r="DC211" s="4"/>
      <c r="DD211" s="4"/>
      <c r="DE211" s="4"/>
    </row>
    <row r="212">
      <c r="A212" s="7"/>
      <c r="B212" s="4"/>
      <c r="C212" s="167"/>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c r="CW212" s="7"/>
      <c r="CX212" s="4"/>
      <c r="CY212" s="4"/>
      <c r="CZ212" s="4"/>
      <c r="DA212" s="4"/>
      <c r="DB212" s="4"/>
      <c r="DC212" s="4"/>
      <c r="DD212" s="4"/>
      <c r="DE212" s="4"/>
    </row>
    <row r="213">
      <c r="A213" s="7"/>
      <c r="B213" s="4"/>
      <c r="C213" s="167"/>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c r="CX213" s="4"/>
      <c r="CY213" s="4"/>
      <c r="CZ213" s="4"/>
      <c r="DA213" s="4"/>
      <c r="DB213" s="4"/>
      <c r="DC213" s="4"/>
      <c r="DD213" s="4"/>
      <c r="DE213" s="4"/>
    </row>
    <row r="214">
      <c r="A214" s="7"/>
      <c r="B214" s="4"/>
      <c r="C214" s="167"/>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c r="CW214" s="7"/>
      <c r="CX214" s="4"/>
      <c r="CY214" s="4"/>
      <c r="CZ214" s="4"/>
      <c r="DA214" s="4"/>
      <c r="DB214" s="4"/>
      <c r="DC214" s="4"/>
      <c r="DD214" s="4"/>
      <c r="DE214" s="4"/>
    </row>
    <row r="215">
      <c r="A215" s="7"/>
      <c r="B215" s="4"/>
      <c r="C215" s="167"/>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c r="CX215" s="4"/>
      <c r="CY215" s="4"/>
      <c r="CZ215" s="4"/>
      <c r="DA215" s="4"/>
      <c r="DB215" s="4"/>
      <c r="DC215" s="4"/>
      <c r="DD215" s="4"/>
      <c r="DE215" s="4"/>
    </row>
    <row r="216">
      <c r="A216" s="7"/>
      <c r="B216" s="4"/>
      <c r="C216" s="167"/>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c r="CW216" s="7"/>
      <c r="CX216" s="4"/>
      <c r="CY216" s="4"/>
      <c r="CZ216" s="4"/>
      <c r="DA216" s="4"/>
      <c r="DB216" s="4"/>
      <c r="DC216" s="4"/>
      <c r="DD216" s="4"/>
      <c r="DE216" s="4"/>
    </row>
    <row r="217">
      <c r="A217" s="7"/>
      <c r="B217" s="4"/>
      <c r="C217" s="167"/>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c r="CX217" s="4"/>
      <c r="CY217" s="4"/>
      <c r="CZ217" s="4"/>
      <c r="DA217" s="4"/>
      <c r="DB217" s="4"/>
      <c r="DC217" s="4"/>
      <c r="DD217" s="4"/>
      <c r="DE217" s="4"/>
    </row>
    <row r="218">
      <c r="A218" s="7"/>
      <c r="B218" s="4"/>
      <c r="C218" s="167"/>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4"/>
      <c r="CY218" s="4"/>
      <c r="CZ218" s="4"/>
      <c r="DA218" s="4"/>
      <c r="DB218" s="4"/>
      <c r="DC218" s="4"/>
      <c r="DD218" s="4"/>
      <c r="DE218" s="4"/>
    </row>
    <row r="219">
      <c r="A219" s="7"/>
      <c r="B219" s="4"/>
      <c r="C219" s="167"/>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4"/>
      <c r="CY219" s="4"/>
      <c r="CZ219" s="4"/>
      <c r="DA219" s="4"/>
      <c r="DB219" s="4"/>
      <c r="DC219" s="4"/>
      <c r="DD219" s="4"/>
      <c r="DE219" s="4"/>
    </row>
    <row r="220">
      <c r="A220" s="7"/>
      <c r="B220" s="4"/>
      <c r="C220" s="167"/>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c r="CW220" s="7"/>
      <c r="CX220" s="4"/>
      <c r="CY220" s="4"/>
      <c r="CZ220" s="4"/>
      <c r="DA220" s="4"/>
      <c r="DB220" s="4"/>
      <c r="DC220" s="4"/>
      <c r="DD220" s="4"/>
      <c r="DE220" s="4"/>
    </row>
    <row r="221">
      <c r="A221" s="7"/>
      <c r="B221" s="4"/>
      <c r="C221" s="167"/>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c r="CX221" s="4"/>
      <c r="CY221" s="4"/>
      <c r="CZ221" s="4"/>
      <c r="DA221" s="4"/>
      <c r="DB221" s="4"/>
      <c r="DC221" s="4"/>
      <c r="DD221" s="4"/>
      <c r="DE221" s="4"/>
    </row>
    <row r="222">
      <c r="A222" s="7"/>
      <c r="B222" s="4"/>
      <c r="C222" s="167"/>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c r="CW222" s="7"/>
      <c r="CX222" s="4"/>
      <c r="CY222" s="4"/>
      <c r="CZ222" s="4"/>
      <c r="DA222" s="4"/>
      <c r="DB222" s="4"/>
      <c r="DC222" s="4"/>
      <c r="DD222" s="4"/>
      <c r="DE222" s="4"/>
    </row>
    <row r="223">
      <c r="A223" s="7"/>
      <c r="B223" s="4"/>
      <c r="C223" s="167"/>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c r="CX223" s="4"/>
      <c r="CY223" s="4"/>
      <c r="CZ223" s="4"/>
      <c r="DA223" s="4"/>
      <c r="DB223" s="4"/>
      <c r="DC223" s="4"/>
      <c r="DD223" s="4"/>
      <c r="DE223" s="4"/>
    </row>
    <row r="224">
      <c r="A224" s="7"/>
      <c r="B224" s="4"/>
      <c r="C224" s="167"/>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c r="CW224" s="7"/>
      <c r="CX224" s="4"/>
      <c r="CY224" s="4"/>
      <c r="CZ224" s="4"/>
      <c r="DA224" s="4"/>
      <c r="DB224" s="4"/>
      <c r="DC224" s="4"/>
      <c r="DD224" s="4"/>
      <c r="DE224" s="4"/>
    </row>
    <row r="225">
      <c r="A225" s="7"/>
      <c r="B225" s="4"/>
      <c r="C225" s="167"/>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c r="CX225" s="4"/>
      <c r="CY225" s="4"/>
      <c r="CZ225" s="4"/>
      <c r="DA225" s="4"/>
      <c r="DB225" s="4"/>
      <c r="DC225" s="4"/>
      <c r="DD225" s="4"/>
      <c r="DE225" s="4"/>
    </row>
    <row r="226">
      <c r="A226" s="7"/>
      <c r="B226" s="4"/>
      <c r="C226" s="167"/>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c r="CW226" s="7"/>
      <c r="CX226" s="4"/>
      <c r="CY226" s="4"/>
      <c r="CZ226" s="4"/>
      <c r="DA226" s="4"/>
      <c r="DB226" s="4"/>
      <c r="DC226" s="4"/>
      <c r="DD226" s="4"/>
      <c r="DE226" s="4"/>
    </row>
    <row r="227">
      <c r="A227" s="7"/>
      <c r="B227" s="4"/>
      <c r="C227" s="167"/>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c r="CX227" s="4"/>
      <c r="CY227" s="4"/>
      <c r="CZ227" s="4"/>
      <c r="DA227" s="4"/>
      <c r="DB227" s="4"/>
      <c r="DC227" s="4"/>
      <c r="DD227" s="4"/>
      <c r="DE227" s="4"/>
    </row>
    <row r="228">
      <c r="A228" s="7"/>
      <c r="B228" s="4"/>
      <c r="C228" s="167"/>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4"/>
      <c r="CY228" s="4"/>
      <c r="CZ228" s="4"/>
      <c r="DA228" s="4"/>
      <c r="DB228" s="4"/>
      <c r="DC228" s="4"/>
      <c r="DD228" s="4"/>
      <c r="DE228" s="4"/>
    </row>
    <row r="229">
      <c r="A229" s="7"/>
      <c r="B229" s="4"/>
      <c r="C229" s="167"/>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4"/>
      <c r="CY229" s="4"/>
      <c r="CZ229" s="4"/>
      <c r="DA229" s="4"/>
      <c r="DB229" s="4"/>
      <c r="DC229" s="4"/>
      <c r="DD229" s="4"/>
      <c r="DE229" s="4"/>
    </row>
    <row r="230">
      <c r="A230" s="7"/>
      <c r="B230" s="4"/>
      <c r="C230" s="167"/>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c r="CX230" s="4"/>
      <c r="CY230" s="4"/>
      <c r="CZ230" s="4"/>
      <c r="DA230" s="4"/>
      <c r="DB230" s="4"/>
      <c r="DC230" s="4"/>
      <c r="DD230" s="4"/>
      <c r="DE230" s="4"/>
    </row>
    <row r="231">
      <c r="A231" s="7"/>
      <c r="B231" s="4"/>
      <c r="C231" s="167"/>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c r="CX231" s="4"/>
      <c r="CY231" s="4"/>
      <c r="CZ231" s="4"/>
      <c r="DA231" s="4"/>
      <c r="DB231" s="4"/>
      <c r="DC231" s="4"/>
      <c r="DD231" s="4"/>
      <c r="DE231" s="4"/>
    </row>
    <row r="232">
      <c r="A232" s="7"/>
      <c r="B232" s="4"/>
      <c r="C232" s="167"/>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c r="CW232" s="7"/>
      <c r="CX232" s="4"/>
      <c r="CY232" s="4"/>
      <c r="CZ232" s="4"/>
      <c r="DA232" s="4"/>
      <c r="DB232" s="4"/>
      <c r="DC232" s="4"/>
      <c r="DD232" s="4"/>
      <c r="DE232" s="4"/>
    </row>
    <row r="233">
      <c r="A233" s="7"/>
      <c r="B233" s="4"/>
      <c r="C233" s="167"/>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c r="CX233" s="4"/>
      <c r="CY233" s="4"/>
      <c r="CZ233" s="4"/>
      <c r="DA233" s="4"/>
      <c r="DB233" s="4"/>
      <c r="DC233" s="4"/>
      <c r="DD233" s="4"/>
      <c r="DE233" s="4"/>
    </row>
    <row r="234">
      <c r="A234" s="7"/>
      <c r="B234" s="4"/>
      <c r="C234" s="167"/>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c r="CW234" s="7"/>
      <c r="CX234" s="4"/>
      <c r="CY234" s="4"/>
      <c r="CZ234" s="4"/>
      <c r="DA234" s="4"/>
      <c r="DB234" s="4"/>
      <c r="DC234" s="4"/>
      <c r="DD234" s="4"/>
      <c r="DE234" s="4"/>
    </row>
    <row r="235">
      <c r="A235" s="7"/>
      <c r="B235" s="4"/>
      <c r="C235" s="167"/>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c r="CX235" s="4"/>
      <c r="CY235" s="4"/>
      <c r="CZ235" s="4"/>
      <c r="DA235" s="4"/>
      <c r="DB235" s="4"/>
      <c r="DC235" s="4"/>
      <c r="DD235" s="4"/>
      <c r="DE235" s="4"/>
    </row>
    <row r="236">
      <c r="A236" s="7"/>
      <c r="B236" s="4"/>
      <c r="C236" s="167"/>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c r="CW236" s="7"/>
      <c r="CX236" s="4"/>
      <c r="CY236" s="4"/>
      <c r="CZ236" s="4"/>
      <c r="DA236" s="4"/>
      <c r="DB236" s="4"/>
      <c r="DC236" s="4"/>
      <c r="DD236" s="4"/>
      <c r="DE236" s="4"/>
    </row>
    <row r="237">
      <c r="A237" s="7"/>
      <c r="B237" s="4"/>
      <c r="C237" s="167"/>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c r="CX237" s="4"/>
      <c r="CY237" s="4"/>
      <c r="CZ237" s="4"/>
      <c r="DA237" s="4"/>
      <c r="DB237" s="4"/>
      <c r="DC237" s="4"/>
      <c r="DD237" s="4"/>
      <c r="DE237" s="4"/>
    </row>
    <row r="238">
      <c r="A238" s="7"/>
      <c r="B238" s="4"/>
      <c r="C238" s="167"/>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4"/>
      <c r="CY238" s="4"/>
      <c r="CZ238" s="4"/>
      <c r="DA238" s="4"/>
      <c r="DB238" s="4"/>
      <c r="DC238" s="4"/>
      <c r="DD238" s="4"/>
      <c r="DE238" s="4"/>
    </row>
    <row r="239">
      <c r="A239" s="7"/>
      <c r="B239" s="4"/>
      <c r="C239" s="167"/>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c r="CX239" s="4"/>
      <c r="CY239" s="4"/>
      <c r="CZ239" s="4"/>
      <c r="DA239" s="4"/>
      <c r="DB239" s="4"/>
      <c r="DC239" s="4"/>
      <c r="DD239" s="4"/>
      <c r="DE239" s="4"/>
    </row>
    <row r="240">
      <c r="A240" s="7"/>
      <c r="B240" s="4"/>
      <c r="C240" s="167"/>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7"/>
      <c r="BZ240" s="7"/>
      <c r="CA240" s="7"/>
      <c r="CB240" s="7"/>
      <c r="CC240" s="7"/>
      <c r="CD240" s="7"/>
      <c r="CE240" s="7"/>
      <c r="CF240" s="7"/>
      <c r="CG240" s="7"/>
      <c r="CH240" s="7"/>
      <c r="CI240" s="7"/>
      <c r="CJ240" s="7"/>
      <c r="CK240" s="7"/>
      <c r="CL240" s="7"/>
      <c r="CM240" s="7"/>
      <c r="CN240" s="7"/>
      <c r="CO240" s="7"/>
      <c r="CP240" s="7"/>
      <c r="CQ240" s="7"/>
      <c r="CR240" s="7"/>
      <c r="CS240" s="7"/>
      <c r="CT240" s="7"/>
      <c r="CU240" s="7"/>
      <c r="CV240" s="7"/>
      <c r="CW240" s="7"/>
      <c r="CX240" s="4"/>
      <c r="CY240" s="4"/>
      <c r="CZ240" s="4"/>
      <c r="DA240" s="4"/>
      <c r="DB240" s="4"/>
      <c r="DC240" s="4"/>
      <c r="DD240" s="4"/>
      <c r="DE240" s="4"/>
    </row>
    <row r="241">
      <c r="A241" s="7"/>
      <c r="B241" s="4"/>
      <c r="C241" s="167"/>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c r="CW241" s="7"/>
      <c r="CX241" s="4"/>
      <c r="CY241" s="4"/>
      <c r="CZ241" s="4"/>
      <c r="DA241" s="4"/>
      <c r="DB241" s="4"/>
      <c r="DC241" s="4"/>
      <c r="DD241" s="4"/>
      <c r="DE241" s="4"/>
    </row>
    <row r="242">
      <c r="A242" s="7"/>
      <c r="B242" s="4"/>
      <c r="C242" s="167"/>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c r="CW242" s="7"/>
      <c r="CX242" s="4"/>
      <c r="CY242" s="4"/>
      <c r="CZ242" s="4"/>
      <c r="DA242" s="4"/>
      <c r="DB242" s="4"/>
      <c r="DC242" s="4"/>
      <c r="DD242" s="4"/>
      <c r="DE242" s="4"/>
    </row>
    <row r="243">
      <c r="A243" s="7"/>
      <c r="B243" s="4"/>
      <c r="C243" s="167"/>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c r="CW243" s="7"/>
      <c r="CX243" s="4"/>
      <c r="CY243" s="4"/>
      <c r="CZ243" s="4"/>
      <c r="DA243" s="4"/>
      <c r="DB243" s="4"/>
      <c r="DC243" s="4"/>
      <c r="DD243" s="4"/>
      <c r="DE243" s="4"/>
    </row>
    <row r="244">
      <c r="A244" s="7"/>
      <c r="B244" s="4"/>
      <c r="C244" s="167"/>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s="7"/>
      <c r="CW244" s="7"/>
      <c r="CX244" s="4"/>
      <c r="CY244" s="4"/>
      <c r="CZ244" s="4"/>
      <c r="DA244" s="4"/>
      <c r="DB244" s="4"/>
      <c r="DC244" s="4"/>
      <c r="DD244" s="4"/>
      <c r="DE244" s="4"/>
    </row>
    <row r="245">
      <c r="A245" s="7"/>
      <c r="B245" s="4"/>
      <c r="C245" s="167"/>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c r="CX245" s="4"/>
      <c r="CY245" s="4"/>
      <c r="CZ245" s="4"/>
      <c r="DA245" s="4"/>
      <c r="DB245" s="4"/>
      <c r="DC245" s="4"/>
      <c r="DD245" s="4"/>
      <c r="DE245" s="4"/>
    </row>
    <row r="246">
      <c r="A246" s="7"/>
      <c r="B246" s="4"/>
      <c r="C246" s="167"/>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c r="CW246" s="7"/>
      <c r="CX246" s="4"/>
      <c r="CY246" s="4"/>
      <c r="CZ246" s="4"/>
      <c r="DA246" s="4"/>
      <c r="DB246" s="4"/>
      <c r="DC246" s="4"/>
      <c r="DD246" s="4"/>
      <c r="DE246" s="4"/>
    </row>
    <row r="247">
      <c r="A247" s="7"/>
      <c r="B247" s="4"/>
      <c r="C247" s="167"/>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c r="CW247" s="7"/>
      <c r="CX247" s="4"/>
      <c r="CY247" s="4"/>
      <c r="CZ247" s="4"/>
      <c r="DA247" s="4"/>
      <c r="DB247" s="4"/>
      <c r="DC247" s="4"/>
      <c r="DD247" s="4"/>
      <c r="DE247" s="4"/>
    </row>
    <row r="248">
      <c r="A248" s="7"/>
      <c r="B248" s="4"/>
      <c r="C248" s="167"/>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4"/>
      <c r="CY248" s="4"/>
      <c r="CZ248" s="4"/>
      <c r="DA248" s="4"/>
      <c r="DB248" s="4"/>
      <c r="DC248" s="4"/>
      <c r="DD248" s="4"/>
      <c r="DE248" s="4"/>
    </row>
    <row r="249">
      <c r="A249" s="7"/>
      <c r="B249" s="4"/>
      <c r="C249" s="167"/>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c r="CW249" s="7"/>
      <c r="CX249" s="4"/>
      <c r="CY249" s="4"/>
      <c r="CZ249" s="4"/>
      <c r="DA249" s="4"/>
      <c r="DB249" s="4"/>
      <c r="DC249" s="4"/>
      <c r="DD249" s="4"/>
      <c r="DE249" s="4"/>
    </row>
    <row r="250">
      <c r="A250" s="7"/>
      <c r="B250" s="4"/>
      <c r="C250" s="167"/>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s="7"/>
      <c r="CW250" s="7"/>
      <c r="CX250" s="4"/>
      <c r="CY250" s="4"/>
      <c r="CZ250" s="4"/>
      <c r="DA250" s="4"/>
      <c r="DB250" s="4"/>
      <c r="DC250" s="4"/>
      <c r="DD250" s="4"/>
      <c r="DE250" s="4"/>
    </row>
    <row r="251">
      <c r="A251" s="7"/>
      <c r="B251" s="4"/>
      <c r="C251" s="167"/>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c r="CX251" s="4"/>
      <c r="CY251" s="4"/>
      <c r="CZ251" s="4"/>
      <c r="DA251" s="4"/>
      <c r="DB251" s="4"/>
      <c r="DC251" s="4"/>
      <c r="DD251" s="4"/>
      <c r="DE251" s="4"/>
    </row>
    <row r="252">
      <c r="A252" s="7"/>
      <c r="B252" s="4"/>
      <c r="C252" s="167"/>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7"/>
      <c r="BZ252" s="7"/>
      <c r="CA252" s="7"/>
      <c r="CB252" s="7"/>
      <c r="CC252" s="7"/>
      <c r="CD252" s="7"/>
      <c r="CE252" s="7"/>
      <c r="CF252" s="7"/>
      <c r="CG252" s="7"/>
      <c r="CH252" s="7"/>
      <c r="CI252" s="7"/>
      <c r="CJ252" s="7"/>
      <c r="CK252" s="7"/>
      <c r="CL252" s="7"/>
      <c r="CM252" s="7"/>
      <c r="CN252" s="7"/>
      <c r="CO252" s="7"/>
      <c r="CP252" s="7"/>
      <c r="CQ252" s="7"/>
      <c r="CR252" s="7"/>
      <c r="CS252" s="7"/>
      <c r="CT252" s="7"/>
      <c r="CU252" s="7"/>
      <c r="CV252" s="7"/>
      <c r="CW252" s="7"/>
      <c r="CX252" s="4"/>
      <c r="CY252" s="4"/>
      <c r="CZ252" s="4"/>
      <c r="DA252" s="4"/>
      <c r="DB252" s="4"/>
      <c r="DC252" s="4"/>
      <c r="DD252" s="4"/>
      <c r="DE252" s="4"/>
    </row>
    <row r="253">
      <c r="A253" s="7"/>
      <c r="B253" s="4"/>
      <c r="C253" s="167"/>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c r="CW253" s="7"/>
      <c r="CX253" s="4"/>
      <c r="CY253" s="4"/>
      <c r="CZ253" s="4"/>
      <c r="DA253" s="4"/>
      <c r="DB253" s="4"/>
      <c r="DC253" s="4"/>
      <c r="DD253" s="4"/>
      <c r="DE253" s="4"/>
    </row>
    <row r="254">
      <c r="A254" s="7"/>
      <c r="B254" s="4"/>
      <c r="C254" s="167"/>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7"/>
      <c r="BZ254" s="7"/>
      <c r="CA254" s="7"/>
      <c r="CB254" s="7"/>
      <c r="CC254" s="7"/>
      <c r="CD254" s="7"/>
      <c r="CE254" s="7"/>
      <c r="CF254" s="7"/>
      <c r="CG254" s="7"/>
      <c r="CH254" s="7"/>
      <c r="CI254" s="7"/>
      <c r="CJ254" s="7"/>
      <c r="CK254" s="7"/>
      <c r="CL254" s="7"/>
      <c r="CM254" s="7"/>
      <c r="CN254" s="7"/>
      <c r="CO254" s="7"/>
      <c r="CP254" s="7"/>
      <c r="CQ254" s="7"/>
      <c r="CR254" s="7"/>
      <c r="CS254" s="7"/>
      <c r="CT254" s="7"/>
      <c r="CU254" s="7"/>
      <c r="CV254" s="7"/>
      <c r="CW254" s="7"/>
      <c r="CX254" s="4"/>
      <c r="CY254" s="4"/>
      <c r="CZ254" s="4"/>
      <c r="DA254" s="4"/>
      <c r="DB254" s="4"/>
      <c r="DC254" s="4"/>
      <c r="DD254" s="4"/>
      <c r="DE254" s="4"/>
    </row>
    <row r="255">
      <c r="A255" s="7"/>
      <c r="B255" s="4"/>
      <c r="C255" s="167"/>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c r="CX255" s="4"/>
      <c r="CY255" s="4"/>
      <c r="CZ255" s="4"/>
      <c r="DA255" s="4"/>
      <c r="DB255" s="4"/>
      <c r="DC255" s="4"/>
      <c r="DD255" s="4"/>
      <c r="DE255" s="4"/>
    </row>
    <row r="256">
      <c r="A256" s="7"/>
      <c r="B256" s="4"/>
      <c r="C256" s="167"/>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c r="CW256" s="7"/>
      <c r="CX256" s="4"/>
      <c r="CY256" s="4"/>
      <c r="CZ256" s="4"/>
      <c r="DA256" s="4"/>
      <c r="DB256" s="4"/>
      <c r="DC256" s="4"/>
      <c r="DD256" s="4"/>
      <c r="DE256" s="4"/>
    </row>
    <row r="257">
      <c r="A257" s="7"/>
      <c r="B257" s="4"/>
      <c r="C257" s="167"/>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c r="CW257" s="7"/>
      <c r="CX257" s="4"/>
      <c r="CY257" s="4"/>
      <c r="CZ257" s="4"/>
      <c r="DA257" s="4"/>
      <c r="DB257" s="4"/>
      <c r="DC257" s="4"/>
      <c r="DD257" s="4"/>
      <c r="DE257" s="4"/>
    </row>
    <row r="258">
      <c r="A258" s="7"/>
      <c r="B258" s="4"/>
      <c r="C258" s="167"/>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4"/>
      <c r="CY258" s="4"/>
      <c r="CZ258" s="4"/>
      <c r="DA258" s="4"/>
      <c r="DB258" s="4"/>
      <c r="DC258" s="4"/>
      <c r="DD258" s="4"/>
      <c r="DE258" s="4"/>
    </row>
    <row r="259">
      <c r="A259" s="7"/>
      <c r="B259" s="4"/>
      <c r="C259" s="167"/>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c r="CX259" s="4"/>
      <c r="CY259" s="4"/>
      <c r="CZ259" s="4"/>
      <c r="DA259" s="4"/>
      <c r="DB259" s="4"/>
      <c r="DC259" s="4"/>
      <c r="DD259" s="4"/>
      <c r="DE259" s="4"/>
    </row>
    <row r="260">
      <c r="A260" s="7"/>
      <c r="B260" s="4"/>
      <c r="C260" s="167"/>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7"/>
      <c r="BZ260" s="7"/>
      <c r="CA260" s="7"/>
      <c r="CB260" s="7"/>
      <c r="CC260" s="7"/>
      <c r="CD260" s="7"/>
      <c r="CE260" s="7"/>
      <c r="CF260" s="7"/>
      <c r="CG260" s="7"/>
      <c r="CH260" s="7"/>
      <c r="CI260" s="7"/>
      <c r="CJ260" s="7"/>
      <c r="CK260" s="7"/>
      <c r="CL260" s="7"/>
      <c r="CM260" s="7"/>
      <c r="CN260" s="7"/>
      <c r="CO260" s="7"/>
      <c r="CP260" s="7"/>
      <c r="CQ260" s="7"/>
      <c r="CR260" s="7"/>
      <c r="CS260" s="7"/>
      <c r="CT260" s="7"/>
      <c r="CU260" s="7"/>
      <c r="CV260" s="7"/>
      <c r="CW260" s="7"/>
      <c r="CX260" s="4"/>
      <c r="CY260" s="4"/>
      <c r="CZ260" s="4"/>
      <c r="DA260" s="4"/>
      <c r="DB260" s="4"/>
      <c r="DC260" s="4"/>
      <c r="DD260" s="4"/>
      <c r="DE260" s="4"/>
    </row>
    <row r="261">
      <c r="A261" s="7"/>
      <c r="B261" s="4"/>
      <c r="C261" s="167"/>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c r="CX261" s="4"/>
      <c r="CY261" s="4"/>
      <c r="CZ261" s="4"/>
      <c r="DA261" s="4"/>
      <c r="DB261" s="4"/>
      <c r="DC261" s="4"/>
      <c r="DD261" s="4"/>
      <c r="DE261" s="4"/>
    </row>
    <row r="262">
      <c r="A262" s="7"/>
      <c r="B262" s="4"/>
      <c r="C262" s="167"/>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c r="CW262" s="7"/>
      <c r="CX262" s="4"/>
      <c r="CY262" s="4"/>
      <c r="CZ262" s="4"/>
      <c r="DA262" s="4"/>
      <c r="DB262" s="4"/>
      <c r="DC262" s="4"/>
      <c r="DD262" s="4"/>
      <c r="DE262" s="4"/>
    </row>
    <row r="263">
      <c r="A263" s="7"/>
      <c r="B263" s="4"/>
      <c r="C263" s="167"/>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c r="CW263" s="7"/>
      <c r="CX263" s="4"/>
      <c r="CY263" s="4"/>
      <c r="CZ263" s="4"/>
      <c r="DA263" s="4"/>
      <c r="DB263" s="4"/>
      <c r="DC263" s="4"/>
      <c r="DD263" s="4"/>
      <c r="DE263" s="4"/>
    </row>
    <row r="264">
      <c r="A264" s="7"/>
      <c r="B264" s="4"/>
      <c r="C264" s="167"/>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c r="CW264" s="7"/>
      <c r="CX264" s="4"/>
      <c r="CY264" s="4"/>
      <c r="CZ264" s="4"/>
      <c r="DA264" s="4"/>
      <c r="DB264" s="4"/>
      <c r="DC264" s="4"/>
      <c r="DD264" s="4"/>
      <c r="DE264" s="4"/>
    </row>
    <row r="265">
      <c r="A265" s="7"/>
      <c r="B265" s="4"/>
      <c r="C265" s="167"/>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c r="CW265" s="7"/>
      <c r="CX265" s="4"/>
      <c r="CY265" s="4"/>
      <c r="CZ265" s="4"/>
      <c r="DA265" s="4"/>
      <c r="DB265" s="4"/>
      <c r="DC265" s="4"/>
      <c r="DD265" s="4"/>
      <c r="DE265" s="4"/>
    </row>
    <row r="266">
      <c r="A266" s="7"/>
      <c r="B266" s="4"/>
      <c r="C266" s="167"/>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7"/>
      <c r="BZ266" s="7"/>
      <c r="CA266" s="7"/>
      <c r="CB266" s="7"/>
      <c r="CC266" s="7"/>
      <c r="CD266" s="7"/>
      <c r="CE266" s="7"/>
      <c r="CF266" s="7"/>
      <c r="CG266" s="7"/>
      <c r="CH266" s="7"/>
      <c r="CI266" s="7"/>
      <c r="CJ266" s="7"/>
      <c r="CK266" s="7"/>
      <c r="CL266" s="7"/>
      <c r="CM266" s="7"/>
      <c r="CN266" s="7"/>
      <c r="CO266" s="7"/>
      <c r="CP266" s="7"/>
      <c r="CQ266" s="7"/>
      <c r="CR266" s="7"/>
      <c r="CS266" s="7"/>
      <c r="CT266" s="7"/>
      <c r="CU266" s="7"/>
      <c r="CV266" s="7"/>
      <c r="CW266" s="7"/>
      <c r="CX266" s="4"/>
      <c r="CY266" s="4"/>
      <c r="CZ266" s="4"/>
      <c r="DA266" s="4"/>
      <c r="DB266" s="4"/>
      <c r="DC266" s="4"/>
      <c r="DD266" s="4"/>
      <c r="DE266" s="4"/>
    </row>
    <row r="267">
      <c r="A267" s="7"/>
      <c r="B267" s="4"/>
      <c r="C267" s="167"/>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7"/>
      <c r="BZ267" s="7"/>
      <c r="CA267" s="7"/>
      <c r="CB267" s="7"/>
      <c r="CC267" s="7"/>
      <c r="CD267" s="7"/>
      <c r="CE267" s="7"/>
      <c r="CF267" s="7"/>
      <c r="CG267" s="7"/>
      <c r="CH267" s="7"/>
      <c r="CI267" s="7"/>
      <c r="CJ267" s="7"/>
      <c r="CK267" s="7"/>
      <c r="CL267" s="7"/>
      <c r="CM267" s="7"/>
      <c r="CN267" s="7"/>
      <c r="CO267" s="7"/>
      <c r="CP267" s="7"/>
      <c r="CQ267" s="7"/>
      <c r="CR267" s="7"/>
      <c r="CS267" s="7"/>
      <c r="CT267" s="7"/>
      <c r="CU267" s="7"/>
      <c r="CV267" s="7"/>
      <c r="CW267" s="7"/>
      <c r="CX267" s="4"/>
      <c r="CY267" s="4"/>
      <c r="CZ267" s="4"/>
      <c r="DA267" s="4"/>
      <c r="DB267" s="4"/>
      <c r="DC267" s="4"/>
      <c r="DD267" s="4"/>
      <c r="DE267" s="4"/>
    </row>
    <row r="268">
      <c r="A268" s="7"/>
      <c r="B268" s="4"/>
      <c r="C268" s="167"/>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c r="CX268" s="4"/>
      <c r="CY268" s="4"/>
      <c r="CZ268" s="4"/>
      <c r="DA268" s="4"/>
      <c r="DB268" s="4"/>
      <c r="DC268" s="4"/>
      <c r="DD268" s="4"/>
      <c r="DE268" s="4"/>
    </row>
    <row r="269">
      <c r="A269" s="7"/>
      <c r="B269" s="4"/>
      <c r="C269" s="167"/>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s="7"/>
      <c r="CW269" s="7"/>
      <c r="CX269" s="4"/>
      <c r="CY269" s="4"/>
      <c r="CZ269" s="4"/>
      <c r="DA269" s="4"/>
      <c r="DB269" s="4"/>
      <c r="DC269" s="4"/>
      <c r="DD269" s="4"/>
      <c r="DE269" s="4"/>
    </row>
    <row r="270">
      <c r="A270" s="7"/>
      <c r="B270" s="4"/>
      <c r="C270" s="167"/>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7"/>
      <c r="BZ270" s="7"/>
      <c r="CA270" s="7"/>
      <c r="CB270" s="7"/>
      <c r="CC270" s="7"/>
      <c r="CD270" s="7"/>
      <c r="CE270" s="7"/>
      <c r="CF270" s="7"/>
      <c r="CG270" s="7"/>
      <c r="CH270" s="7"/>
      <c r="CI270" s="7"/>
      <c r="CJ270" s="7"/>
      <c r="CK270" s="7"/>
      <c r="CL270" s="7"/>
      <c r="CM270" s="7"/>
      <c r="CN270" s="7"/>
      <c r="CO270" s="7"/>
      <c r="CP270" s="7"/>
      <c r="CQ270" s="7"/>
      <c r="CR270" s="7"/>
      <c r="CS270" s="7"/>
      <c r="CT270" s="7"/>
      <c r="CU270" s="7"/>
      <c r="CV270" s="7"/>
      <c r="CW270" s="7"/>
      <c r="CX270" s="4"/>
      <c r="CY270" s="4"/>
      <c r="CZ270" s="4"/>
      <c r="DA270" s="4"/>
      <c r="DB270" s="4"/>
      <c r="DC270" s="4"/>
      <c r="DD270" s="4"/>
      <c r="DE270" s="4"/>
    </row>
    <row r="271">
      <c r="A271" s="7"/>
      <c r="B271" s="4"/>
      <c r="C271" s="167"/>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c r="CW271" s="7"/>
      <c r="CX271" s="4"/>
      <c r="CY271" s="4"/>
      <c r="CZ271" s="4"/>
      <c r="DA271" s="4"/>
      <c r="DB271" s="4"/>
      <c r="DC271" s="4"/>
      <c r="DD271" s="4"/>
      <c r="DE271" s="4"/>
    </row>
    <row r="272">
      <c r="A272" s="7"/>
      <c r="B272" s="4"/>
      <c r="C272" s="167"/>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7"/>
      <c r="BZ272" s="7"/>
      <c r="CA272" s="7"/>
      <c r="CB272" s="7"/>
      <c r="CC272" s="7"/>
      <c r="CD272" s="7"/>
      <c r="CE272" s="7"/>
      <c r="CF272" s="7"/>
      <c r="CG272" s="7"/>
      <c r="CH272" s="7"/>
      <c r="CI272" s="7"/>
      <c r="CJ272" s="7"/>
      <c r="CK272" s="7"/>
      <c r="CL272" s="7"/>
      <c r="CM272" s="7"/>
      <c r="CN272" s="7"/>
      <c r="CO272" s="7"/>
      <c r="CP272" s="7"/>
      <c r="CQ272" s="7"/>
      <c r="CR272" s="7"/>
      <c r="CS272" s="7"/>
      <c r="CT272" s="7"/>
      <c r="CU272" s="7"/>
      <c r="CV272" s="7"/>
      <c r="CW272" s="7"/>
      <c r="CX272" s="4"/>
      <c r="CY272" s="4"/>
      <c r="CZ272" s="4"/>
      <c r="DA272" s="4"/>
      <c r="DB272" s="4"/>
      <c r="DC272" s="4"/>
      <c r="DD272" s="4"/>
      <c r="DE272" s="4"/>
    </row>
    <row r="273">
      <c r="A273" s="7"/>
      <c r="B273" s="4"/>
      <c r="C273" s="167"/>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c r="CW273" s="7"/>
      <c r="CX273" s="4"/>
      <c r="CY273" s="4"/>
      <c r="CZ273" s="4"/>
      <c r="DA273" s="4"/>
      <c r="DB273" s="4"/>
      <c r="DC273" s="4"/>
      <c r="DD273" s="4"/>
      <c r="DE273" s="4"/>
    </row>
    <row r="274">
      <c r="A274" s="7"/>
      <c r="B274" s="4"/>
      <c r="C274" s="167"/>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s="7"/>
      <c r="CW274" s="7"/>
      <c r="CX274" s="4"/>
      <c r="CY274" s="4"/>
      <c r="CZ274" s="4"/>
      <c r="DA274" s="4"/>
      <c r="DB274" s="4"/>
      <c r="DC274" s="4"/>
      <c r="DD274" s="4"/>
      <c r="DE274" s="4"/>
    </row>
    <row r="275">
      <c r="A275" s="7"/>
      <c r="B275" s="4"/>
      <c r="C275" s="167"/>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s="7"/>
      <c r="CW275" s="7"/>
      <c r="CX275" s="4"/>
      <c r="CY275" s="4"/>
      <c r="CZ275" s="4"/>
      <c r="DA275" s="4"/>
      <c r="DB275" s="4"/>
      <c r="DC275" s="4"/>
      <c r="DD275" s="4"/>
      <c r="DE275" s="4"/>
    </row>
    <row r="276">
      <c r="A276" s="7"/>
      <c r="B276" s="4"/>
      <c r="C276" s="167"/>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7"/>
      <c r="BZ276" s="7"/>
      <c r="CA276" s="7"/>
      <c r="CB276" s="7"/>
      <c r="CC276" s="7"/>
      <c r="CD276" s="7"/>
      <c r="CE276" s="7"/>
      <c r="CF276" s="7"/>
      <c r="CG276" s="7"/>
      <c r="CH276" s="7"/>
      <c r="CI276" s="7"/>
      <c r="CJ276" s="7"/>
      <c r="CK276" s="7"/>
      <c r="CL276" s="7"/>
      <c r="CM276" s="7"/>
      <c r="CN276" s="7"/>
      <c r="CO276" s="7"/>
      <c r="CP276" s="7"/>
      <c r="CQ276" s="7"/>
      <c r="CR276" s="7"/>
      <c r="CS276" s="7"/>
      <c r="CT276" s="7"/>
      <c r="CU276" s="7"/>
      <c r="CV276" s="7"/>
      <c r="CW276" s="7"/>
      <c r="CX276" s="4"/>
      <c r="CY276" s="4"/>
      <c r="CZ276" s="4"/>
      <c r="DA276" s="4"/>
      <c r="DB276" s="4"/>
      <c r="DC276" s="4"/>
      <c r="DD276" s="4"/>
      <c r="DE276" s="4"/>
    </row>
    <row r="277">
      <c r="A277" s="7"/>
      <c r="B277" s="4"/>
      <c r="C277" s="167"/>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c r="CW277" s="7"/>
      <c r="CX277" s="4"/>
      <c r="CY277" s="4"/>
      <c r="CZ277" s="4"/>
      <c r="DA277" s="4"/>
      <c r="DB277" s="4"/>
      <c r="DC277" s="4"/>
      <c r="DD277" s="4"/>
      <c r="DE277" s="4"/>
    </row>
    <row r="278">
      <c r="A278" s="7"/>
      <c r="B278" s="4"/>
      <c r="C278" s="167"/>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4"/>
      <c r="CY278" s="4"/>
      <c r="CZ278" s="4"/>
      <c r="DA278" s="4"/>
      <c r="DB278" s="4"/>
      <c r="DC278" s="4"/>
      <c r="DD278" s="4"/>
      <c r="DE278" s="4"/>
    </row>
    <row r="279">
      <c r="A279" s="7"/>
      <c r="B279" s="4"/>
      <c r="C279" s="167"/>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7"/>
      <c r="BZ279" s="7"/>
      <c r="CA279" s="7"/>
      <c r="CB279" s="7"/>
      <c r="CC279" s="7"/>
      <c r="CD279" s="7"/>
      <c r="CE279" s="7"/>
      <c r="CF279" s="7"/>
      <c r="CG279" s="7"/>
      <c r="CH279" s="7"/>
      <c r="CI279" s="7"/>
      <c r="CJ279" s="7"/>
      <c r="CK279" s="7"/>
      <c r="CL279" s="7"/>
      <c r="CM279" s="7"/>
      <c r="CN279" s="7"/>
      <c r="CO279" s="7"/>
      <c r="CP279" s="7"/>
      <c r="CQ279" s="7"/>
      <c r="CR279" s="7"/>
      <c r="CS279" s="7"/>
      <c r="CT279" s="7"/>
      <c r="CU279" s="7"/>
      <c r="CV279" s="7"/>
      <c r="CW279" s="7"/>
      <c r="CX279" s="4"/>
      <c r="CY279" s="4"/>
      <c r="CZ279" s="4"/>
      <c r="DA279" s="4"/>
      <c r="DB279" s="4"/>
      <c r="DC279" s="4"/>
      <c r="DD279" s="4"/>
      <c r="DE279" s="4"/>
    </row>
    <row r="280">
      <c r="A280" s="7"/>
      <c r="B280" s="4"/>
      <c r="C280" s="167"/>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7"/>
      <c r="BZ280" s="7"/>
      <c r="CA280" s="7"/>
      <c r="CB280" s="7"/>
      <c r="CC280" s="7"/>
      <c r="CD280" s="7"/>
      <c r="CE280" s="7"/>
      <c r="CF280" s="7"/>
      <c r="CG280" s="7"/>
      <c r="CH280" s="7"/>
      <c r="CI280" s="7"/>
      <c r="CJ280" s="7"/>
      <c r="CK280" s="7"/>
      <c r="CL280" s="7"/>
      <c r="CM280" s="7"/>
      <c r="CN280" s="7"/>
      <c r="CO280" s="7"/>
      <c r="CP280" s="7"/>
      <c r="CQ280" s="7"/>
      <c r="CR280" s="7"/>
      <c r="CS280" s="7"/>
      <c r="CT280" s="7"/>
      <c r="CU280" s="7"/>
      <c r="CV280" s="7"/>
      <c r="CW280" s="7"/>
      <c r="CX280" s="4"/>
      <c r="CY280" s="4"/>
      <c r="CZ280" s="4"/>
      <c r="DA280" s="4"/>
      <c r="DB280" s="4"/>
      <c r="DC280" s="4"/>
      <c r="DD280" s="4"/>
      <c r="DE280" s="4"/>
    </row>
    <row r="281">
      <c r="A281" s="7"/>
      <c r="B281" s="4"/>
      <c r="C281" s="167"/>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7"/>
      <c r="BZ281" s="7"/>
      <c r="CA281" s="7"/>
      <c r="CB281" s="7"/>
      <c r="CC281" s="7"/>
      <c r="CD281" s="7"/>
      <c r="CE281" s="7"/>
      <c r="CF281" s="7"/>
      <c r="CG281" s="7"/>
      <c r="CH281" s="7"/>
      <c r="CI281" s="7"/>
      <c r="CJ281" s="7"/>
      <c r="CK281" s="7"/>
      <c r="CL281" s="7"/>
      <c r="CM281" s="7"/>
      <c r="CN281" s="7"/>
      <c r="CO281" s="7"/>
      <c r="CP281" s="7"/>
      <c r="CQ281" s="7"/>
      <c r="CR281" s="7"/>
      <c r="CS281" s="7"/>
      <c r="CT281" s="7"/>
      <c r="CU281" s="7"/>
      <c r="CV281" s="7"/>
      <c r="CW281" s="7"/>
      <c r="CX281" s="4"/>
      <c r="CY281" s="4"/>
      <c r="CZ281" s="4"/>
      <c r="DA281" s="4"/>
      <c r="DB281" s="4"/>
      <c r="DC281" s="4"/>
      <c r="DD281" s="4"/>
      <c r="DE281" s="4"/>
    </row>
    <row r="282">
      <c r="A282" s="7"/>
      <c r="B282" s="4"/>
      <c r="C282" s="167"/>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7"/>
      <c r="BZ282" s="7"/>
      <c r="CA282" s="7"/>
      <c r="CB282" s="7"/>
      <c r="CC282" s="7"/>
      <c r="CD282" s="7"/>
      <c r="CE282" s="7"/>
      <c r="CF282" s="7"/>
      <c r="CG282" s="7"/>
      <c r="CH282" s="7"/>
      <c r="CI282" s="7"/>
      <c r="CJ282" s="7"/>
      <c r="CK282" s="7"/>
      <c r="CL282" s="7"/>
      <c r="CM282" s="7"/>
      <c r="CN282" s="7"/>
      <c r="CO282" s="7"/>
      <c r="CP282" s="7"/>
      <c r="CQ282" s="7"/>
      <c r="CR282" s="7"/>
      <c r="CS282" s="7"/>
      <c r="CT282" s="7"/>
      <c r="CU282" s="7"/>
      <c r="CV282" s="7"/>
      <c r="CW282" s="7"/>
      <c r="CX282" s="4"/>
      <c r="CY282" s="4"/>
      <c r="CZ282" s="4"/>
      <c r="DA282" s="4"/>
      <c r="DB282" s="4"/>
      <c r="DC282" s="4"/>
      <c r="DD282" s="4"/>
      <c r="DE282" s="4"/>
    </row>
    <row r="283">
      <c r="A283" s="7"/>
      <c r="B283" s="4"/>
      <c r="C283" s="167"/>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7"/>
      <c r="BZ283" s="7"/>
      <c r="CA283" s="7"/>
      <c r="CB283" s="7"/>
      <c r="CC283" s="7"/>
      <c r="CD283" s="7"/>
      <c r="CE283" s="7"/>
      <c r="CF283" s="7"/>
      <c r="CG283" s="7"/>
      <c r="CH283" s="7"/>
      <c r="CI283" s="7"/>
      <c r="CJ283" s="7"/>
      <c r="CK283" s="7"/>
      <c r="CL283" s="7"/>
      <c r="CM283" s="7"/>
      <c r="CN283" s="7"/>
      <c r="CO283" s="7"/>
      <c r="CP283" s="7"/>
      <c r="CQ283" s="7"/>
      <c r="CR283" s="7"/>
      <c r="CS283" s="7"/>
      <c r="CT283" s="7"/>
      <c r="CU283" s="7"/>
      <c r="CV283" s="7"/>
      <c r="CW283" s="7"/>
      <c r="CX283" s="4"/>
      <c r="CY283" s="4"/>
      <c r="CZ283" s="4"/>
      <c r="DA283" s="4"/>
      <c r="DB283" s="4"/>
      <c r="DC283" s="4"/>
      <c r="DD283" s="4"/>
      <c r="DE283" s="4"/>
    </row>
  </sheetData>
  <autoFilter ref="$A$1:$BW$39"/>
  <mergeCells count="214">
    <mergeCell ref="AF47:AI47"/>
    <mergeCell ref="AJ47:AL47"/>
    <mergeCell ref="AF48:AI48"/>
    <mergeCell ref="AJ48:AL48"/>
    <mergeCell ref="AF49:AI49"/>
    <mergeCell ref="AJ49:AL49"/>
    <mergeCell ref="AJ50:AL50"/>
    <mergeCell ref="AF55:AI55"/>
    <mergeCell ref="AJ55:AL55"/>
    <mergeCell ref="AF56:AI56"/>
    <mergeCell ref="AJ56:AL56"/>
    <mergeCell ref="AF57:AI57"/>
    <mergeCell ref="AJ57:AL57"/>
    <mergeCell ref="AF58:AI58"/>
    <mergeCell ref="AJ58:AL58"/>
    <mergeCell ref="AF50:AI50"/>
    <mergeCell ref="AF51:AI51"/>
    <mergeCell ref="AJ51:AL51"/>
    <mergeCell ref="AF52:AI52"/>
    <mergeCell ref="AJ52:AL52"/>
    <mergeCell ref="AF53:AI53"/>
    <mergeCell ref="AJ53:AL53"/>
    <mergeCell ref="AA4:AB4"/>
    <mergeCell ref="AC4:AD4"/>
    <mergeCell ref="AE4:AF4"/>
    <mergeCell ref="AG4:AH4"/>
    <mergeCell ref="AA3:AB3"/>
    <mergeCell ref="AC3:AD3"/>
    <mergeCell ref="AE3:AF3"/>
    <mergeCell ref="AG3:AH3"/>
    <mergeCell ref="AI3:AJ3"/>
    <mergeCell ref="AK3:AL3"/>
    <mergeCell ref="AO3:AO5"/>
    <mergeCell ref="AM4:AN4"/>
    <mergeCell ref="AI4:AJ4"/>
    <mergeCell ref="AK4:AL4"/>
    <mergeCell ref="AE45:AL45"/>
    <mergeCell ref="AT45:BA45"/>
    <mergeCell ref="BG45:BN45"/>
    <mergeCell ref="AF46:AI46"/>
    <mergeCell ref="AJ46:AL46"/>
    <mergeCell ref="AU53:AX53"/>
    <mergeCell ref="AY53:BA53"/>
    <mergeCell ref="BH53:BK53"/>
    <mergeCell ref="BL53:BN53"/>
    <mergeCell ref="AU46:AX46"/>
    <mergeCell ref="AY46:BA46"/>
    <mergeCell ref="AU47:AX47"/>
    <mergeCell ref="AY47:BA47"/>
    <mergeCell ref="AU48:AX48"/>
    <mergeCell ref="AY48:BA48"/>
    <mergeCell ref="AY49:BA49"/>
    <mergeCell ref="AU58:AX58"/>
    <mergeCell ref="AY58:BA58"/>
    <mergeCell ref="BH58:BK58"/>
    <mergeCell ref="BL58:BN58"/>
    <mergeCell ref="C3:C5"/>
    <mergeCell ref="A6:C6"/>
    <mergeCell ref="A25:C25"/>
    <mergeCell ref="A46:B46"/>
    <mergeCell ref="A47:B47"/>
    <mergeCell ref="A56:B56"/>
    <mergeCell ref="A3:A5"/>
    <mergeCell ref="B3:B5"/>
    <mergeCell ref="D3:D5"/>
    <mergeCell ref="E3:F3"/>
    <mergeCell ref="G3:H3"/>
    <mergeCell ref="K3:K5"/>
    <mergeCell ref="I4:J4"/>
    <mergeCell ref="E4:F4"/>
    <mergeCell ref="G4:H4"/>
    <mergeCell ref="P45:W45"/>
    <mergeCell ref="Q46:T46"/>
    <mergeCell ref="U46:W46"/>
    <mergeCell ref="Q47:T47"/>
    <mergeCell ref="U47:W47"/>
    <mergeCell ref="Q48:T48"/>
    <mergeCell ref="U48:W48"/>
    <mergeCell ref="Q49:T49"/>
    <mergeCell ref="U49:W49"/>
    <mergeCell ref="Q50:T50"/>
    <mergeCell ref="U50:W50"/>
    <mergeCell ref="U51:W51"/>
    <mergeCell ref="Q51:T51"/>
    <mergeCell ref="Q52:T52"/>
    <mergeCell ref="U52:W52"/>
    <mergeCell ref="Q53:T53"/>
    <mergeCell ref="U53:W53"/>
    <mergeCell ref="Q54:T54"/>
    <mergeCell ref="U54:W54"/>
    <mergeCell ref="Q58:T58"/>
    <mergeCell ref="Q59:T59"/>
    <mergeCell ref="U59:W59"/>
    <mergeCell ref="Q60:T60"/>
    <mergeCell ref="U60:W60"/>
    <mergeCell ref="Q61:T61"/>
    <mergeCell ref="U61:W61"/>
    <mergeCell ref="Q55:T55"/>
    <mergeCell ref="U55:W55"/>
    <mergeCell ref="Q56:T56"/>
    <mergeCell ref="U56:W56"/>
    <mergeCell ref="Q57:T57"/>
    <mergeCell ref="U57:W57"/>
    <mergeCell ref="U58:W58"/>
    <mergeCell ref="BG4:BH4"/>
    <mergeCell ref="BI4:BJ4"/>
    <mergeCell ref="BY4:CW4"/>
    <mergeCell ref="CY4:DE4"/>
    <mergeCell ref="AP4:AQ4"/>
    <mergeCell ref="AR4:AS4"/>
    <mergeCell ref="AT4:AU4"/>
    <mergeCell ref="AV4:AW4"/>
    <mergeCell ref="AX4:AY4"/>
    <mergeCell ref="AZ4:BA4"/>
    <mergeCell ref="BE4:BF4"/>
    <mergeCell ref="X3:Y3"/>
    <mergeCell ref="Z3:Z5"/>
    <mergeCell ref="X4:Y4"/>
    <mergeCell ref="BB3:BC3"/>
    <mergeCell ref="BD3:BD5"/>
    <mergeCell ref="BB4:BC4"/>
    <mergeCell ref="BS3:BS5"/>
    <mergeCell ref="BT3:BT5"/>
    <mergeCell ref="BU3:BU5"/>
    <mergeCell ref="BV3:BV5"/>
    <mergeCell ref="BW3:BW5"/>
    <mergeCell ref="L4:M4"/>
    <mergeCell ref="N4:O4"/>
    <mergeCell ref="P4:Q4"/>
    <mergeCell ref="R4:S4"/>
    <mergeCell ref="T4:U4"/>
    <mergeCell ref="V4:W4"/>
    <mergeCell ref="I3:J3"/>
    <mergeCell ref="L3:M3"/>
    <mergeCell ref="N3:O3"/>
    <mergeCell ref="P3:Q3"/>
    <mergeCell ref="R3:S3"/>
    <mergeCell ref="T3:U3"/>
    <mergeCell ref="V3:W3"/>
    <mergeCell ref="AM3:AN3"/>
    <mergeCell ref="AP3:AQ3"/>
    <mergeCell ref="AR3:AS3"/>
    <mergeCell ref="AT3:AU3"/>
    <mergeCell ref="AV3:AW3"/>
    <mergeCell ref="AX3:AY3"/>
    <mergeCell ref="AZ3:BA3"/>
    <mergeCell ref="BK4:BL4"/>
    <mergeCell ref="BM4:BN4"/>
    <mergeCell ref="BO4:BP4"/>
    <mergeCell ref="BQ4:BR4"/>
    <mergeCell ref="BE3:BF3"/>
    <mergeCell ref="BG3:BH3"/>
    <mergeCell ref="BI3:BJ3"/>
    <mergeCell ref="BK3:BL3"/>
    <mergeCell ref="BM3:BN3"/>
    <mergeCell ref="BO3:BP3"/>
    <mergeCell ref="BQ3:BR3"/>
    <mergeCell ref="BH49:BK49"/>
    <mergeCell ref="BH50:BK50"/>
    <mergeCell ref="BL50:BN50"/>
    <mergeCell ref="BH46:BK46"/>
    <mergeCell ref="BL46:BN46"/>
    <mergeCell ref="BH47:BK47"/>
    <mergeCell ref="BL47:BN47"/>
    <mergeCell ref="BH48:BK48"/>
    <mergeCell ref="BL48:BN48"/>
    <mergeCell ref="BL49:BN49"/>
    <mergeCell ref="AU52:AX52"/>
    <mergeCell ref="AY52:BA52"/>
    <mergeCell ref="BH52:BK52"/>
    <mergeCell ref="BL52:BN52"/>
    <mergeCell ref="AU49:AX49"/>
    <mergeCell ref="AU50:AX50"/>
    <mergeCell ref="AY50:BA50"/>
    <mergeCell ref="AU51:AX51"/>
    <mergeCell ref="AY51:BA51"/>
    <mergeCell ref="BH51:BK51"/>
    <mergeCell ref="BL51:BN51"/>
    <mergeCell ref="BH54:BK54"/>
    <mergeCell ref="BH55:BK55"/>
    <mergeCell ref="AF54:AI54"/>
    <mergeCell ref="AJ54:AL54"/>
    <mergeCell ref="AU54:AX54"/>
    <mergeCell ref="AY54:BA54"/>
    <mergeCell ref="BL54:BN54"/>
    <mergeCell ref="AY55:BA55"/>
    <mergeCell ref="BL55:BN55"/>
    <mergeCell ref="AU55:AX55"/>
    <mergeCell ref="AU56:AX56"/>
    <mergeCell ref="AY56:BA56"/>
    <mergeCell ref="BH56:BK56"/>
    <mergeCell ref="BL56:BN56"/>
    <mergeCell ref="AU57:AX57"/>
    <mergeCell ref="AY57:BA57"/>
    <mergeCell ref="BH57:BK57"/>
    <mergeCell ref="BL57:BN57"/>
    <mergeCell ref="AJ59:AL59"/>
    <mergeCell ref="AU59:AX59"/>
    <mergeCell ref="AY59:BA59"/>
    <mergeCell ref="BH59:BK59"/>
    <mergeCell ref="BL59:BN59"/>
    <mergeCell ref="AF61:AI61"/>
    <mergeCell ref="AJ61:AL61"/>
    <mergeCell ref="AU61:AX61"/>
    <mergeCell ref="AY61:BA61"/>
    <mergeCell ref="BH61:BK61"/>
    <mergeCell ref="BL61:BN61"/>
    <mergeCell ref="AF59:AI59"/>
    <mergeCell ref="AF60:AI60"/>
    <mergeCell ref="AJ60:AL60"/>
    <mergeCell ref="AU60:AX60"/>
    <mergeCell ref="AY60:BA60"/>
    <mergeCell ref="BH60:BK60"/>
    <mergeCell ref="BL60:BN60"/>
  </mergeCells>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72:A77">
    <cfRule type="expression" dxfId="0" priority="1">
      <formula>AC7="C1"</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1" priority="2">
      <formula>Q8="BigNB"</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1" priority="3">
      <formula>Q8="GaNB"</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2" priority="4">
      <formula>Q8="BigNĐ"</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2" priority="5">
      <formula>Q8="GaNĐ"</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3" priority="6">
      <formula>Q8="NBAI"</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4" priority="7">
      <formula>Q8="PTYB"</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1" priority="8">
      <formula>Q8="YB"</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5" priority="9">
      <formula>Q8="PT"</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6" priority="10">
      <formula>Q8="VT"</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1" priority="11">
      <formula>Q8="NB"</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5" priority="12">
      <formula>Q8="TB"</formula>
    </cfRule>
  </conditionalFormatting>
  <conditionalFormatting sqref="Q8:Q24 S8:S24 W8:W24 Y8:Y24 AB8:AB24 AD8:AD24 AF8:AF24 AH8:AH24 AJ8:AJ24 AL8:AL24 AN8:AN24 AQ8:AQ24 AS8:AS24 AU8:AU24 AW8:AW24 AY8:AY24 BA8:BA24 BC8:BC24 BF8:BF24 BH8:BH24 BJ8:BJ24 BL8:BL24 BN8:BN24 BP8:BP24 M9 O9 U9:U16 H10 BR11:BR13 O12:O13 H13 M13 J14 M15:M16 F16 H16 J16 O16 AM17:AM24 AP17:AP24 AR17:AR24 AT17:AT24 AV17:AV24 BB17:BB24 BG17:BG24 BI17:BI24 BK17:BK24 BM17:BM24 BO17:BO24 BQ17:BQ24 U19:U24 AX19 AZ19 BE19 H22:H24 J22:J24 M22:M24 O22:O24 S27:S40 U27 W27 AF27:AF30 AH27:AH40 AJ27 AL27 AN27 AQ27 AS27 AU27 AW27:AW40 AY27 BA27 BC27 BJ27:BJ30 BL27:BL40 BN27:BN30 BP27:BP40 BR27 AB28:AB30 H29 O29 U29:U30 W29:W30 Y29:Y30 AD29:AD31 AS29:AS30 AU29:AU30 AY29:AY30 BA29:BA30 BC29:BC30 BF29:BF31 BH29:BH30 M30 AN30:AN31 AQ30:AQ31 O31 AL31 U32:U39 W32 Y32 AF32 AJ32 AY32 BA32 M33:M39 O33:O39 Q33:Q39 AB33:AB39 AD33:AD39 AL33 AQ33:AQ39 AS33:AS39 AU33 BF33:BF39 BH33:BH39 BJ33:BJ39 BN33:BN39 H34:H39 J34:J39 AJ34 BR34:BR39 AY37:AY39 AJ39 AN39 A48:A55">
    <cfRule type="expression" dxfId="6" priority="13">
      <formula>Q8="NĐ"</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57:A83">
    <cfRule type="expression" dxfId="7" priority="14">
      <formula>AC7="C6"</formula>
    </cfRule>
  </conditionalFormatting>
  <conditionalFormatting sqref="A57:A83">
    <cfRule type="expression" dxfId="8" priority="15">
      <formula>A57="Full"</formula>
    </cfRule>
  </conditionalFormatting>
  <conditionalFormatting sqref="A57:A83">
    <cfRule type="expression" dxfId="9" priority="16">
      <formula>A57="OFF"</formula>
    </cfRule>
  </conditionalFormatting>
  <conditionalFormatting sqref="A57:A83">
    <cfRule type="expression" dxfId="10" priority="17">
      <formula>A57="Gãy 2"</formula>
    </cfRule>
  </conditionalFormatting>
  <conditionalFormatting sqref="A57:A83">
    <cfRule type="expression" dxfId="10" priority="18">
      <formula>A57="Gãy 1"</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57:A83">
    <cfRule type="expression" dxfId="11" priority="19">
      <formula>AC7="HC4"</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57:A83">
    <cfRule type="expression" dxfId="11" priority="20">
      <formula>AC7="HC3"</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57:A83">
    <cfRule type="expression" dxfId="11" priority="21">
      <formula>AC7="HC2"</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57:A83">
    <cfRule type="expression" dxfId="11" priority="22">
      <formula>AC7="HC1"</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57:A83">
    <cfRule type="expression" dxfId="12" priority="23">
      <formula>AC7="C5"</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57:A83">
    <cfRule type="expression" dxfId="13" priority="24">
      <formula>AC7="C4"</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57:A83">
    <cfRule type="expression" dxfId="14" priority="25">
      <formula>AC7="C3"</formula>
    </cfRule>
  </conditionalFormatting>
  <conditionalFormatting sqref="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57:A83">
    <cfRule type="expression" dxfId="7" priority="26">
      <formula>AC7="C2"</formula>
    </cfRule>
  </conditionalFormatting>
  <conditionalFormatting sqref="A57:A83">
    <cfRule type="expression" dxfId="15" priority="27">
      <formula>A57="C1"</formula>
    </cfRule>
  </conditionalFormatting>
  <conditionalFormatting sqref="A57:A83">
    <cfRule type="expression" dxfId="16" priority="28">
      <formula>A57="S4"</formula>
    </cfRule>
  </conditionalFormatting>
  <conditionalFormatting sqref="A57:A83">
    <cfRule type="expression" dxfId="17" priority="29">
      <formula>A57="S3"</formula>
    </cfRule>
  </conditionalFormatting>
  <conditionalFormatting sqref="A57:A83">
    <cfRule type="expression" dxfId="18" priority="30">
      <formula>A57="S2"</formula>
    </cfRule>
  </conditionalFormatting>
  <conditionalFormatting sqref="A57:A83">
    <cfRule type="expression" dxfId="19" priority="31">
      <formula>A57="S1"</formula>
    </cfRule>
  </conditionalFormatting>
  <conditionalFormatting sqref="E7 F7:F24 G7 H7:H24 I7 J7:J24 L7 M7:M24 N7 O7:O24 Q7:Q24 R7 S7:S24 T7 U7:U24 V7 W7:W24 X7 Y7:Y24 AA7 AB7:AB24 AC7 AD7:AD24 AE7 AF7:AF24 AG7 AH7:AH24 AI7 AJ7:AJ24 AK7 AL7:AL24 AM7 AN7:AN24 AP7:AP9 AQ7:AQ24 AR7 AS7:AS24 AT7 AU7:AU24 AV7 AW7:AW24 AX7 AY7:AY24 AZ7 BA7:BA24 BB7 BC7:BC24 BF7:BF24 BH7:BH24 BJ7:BJ24 BK7 BL7:BL24 BM7 BN7:BN24 BO7 BP7:BP24 BQ7 BR7:BR24 BE8:BE24 BG10:BG24 BI10:BI24 BK10:BK24 BM10:BM24 BO10:BO24 L11 AP11 AR12:AR13 E14 G14 I14 T14 V14 X14 AE14 AG14 AI14 AK14 AM14 AP14 AT14:AT15 AV14 AX14 AZ14 BB14 BQ14 AR16:AR24 E17:E24 G17:G24 I17:I24 L17:L24 N17:N24 P17:P24 R17:R24 T17:T24 V17:V24 X17:X24 AA17:AA24 AC17:AC24 AE17:AE24 AG17:AG24 AI17:AI24 AK17:AK24 AM17:AM24 AP17:AP24 AT17:AT24 AV17:AV24 AX17:AX24 AZ17:AZ24 BB17:BB24 BQ17:BQ24 E26:J40 L26:L35 M26:Y40 AA26:AN40 AP26:BC40 BE26:BR40 L39:L40 A84:A85">
    <cfRule type="expression" dxfId="3" priority="32">
      <formula>E7="NBAI"</formula>
    </cfRule>
  </conditionalFormatting>
  <conditionalFormatting sqref="E7 F7:F24 G7 H7:H24 I7 J7:J24 L7 M7:M24 N7 O7:O24 Q7:Q24 R7 S7:S24 T7 U7:U24 V7 W7:W24 X7 Y7:Y24 AA7 AB7:AB24 AC7 AD7:AD24 AE7 AF7:AF24 AG7 AH7:AH24 AI7 AJ7:AJ24 AK7 AL7:AL24 AM7 AN7:AN24 AP7:AP9 AQ7:AQ24 AR7 AS7:AS24 AT7 AU7:AU24 AV7 AW7:AW24 AX7 AY7:AY24 AZ7 BA7:BA24 BB7 BC7:BC24 BF7:BF24 BH7:BH24 BJ7:BJ24 BK7 BL7:BL24 BM7 BN7:BN24 BO7 BP7:BP24 BQ7 BR7:BR24 BE8:BE24 BG10:BG24 BI10:BI24 BK10:BK24 BM10:BM24 BO10:BO24 L11 AP11 AR12:AR13 E14 G14 I14 T14 V14 X14 AE14 AG14 AI14 AK14 AM14 AP14 AT14:AT15 AV14 AX14 AZ14 BB14 BQ14 AR16:AR24 E17:E24 G17:G24 I17:I24 L17:L24 N17:N24 P17:P24 R17:R24 T17:T24 V17:V24 X17:X24 AA17:AA24 AC17:AC24 AE17:AE24 AG17:AG24 AI17:AI24 AK17:AK24 AM17:AM24 AP17:AP24 AT17:AT24 AV17:AV24 AX17:AX24 AZ17:AZ24 BB17:BB24 BQ17:BQ24 E26:J40 L26:L35 M26:Y40 AA26:AN40 AP26:BC40 BE26:BR40 L39:L40 A84:A85">
    <cfRule type="expression" dxfId="4" priority="33">
      <formula>E7="PTYB"</formula>
    </cfRule>
  </conditionalFormatting>
  <conditionalFormatting sqref="E7 F7:F24 G7 H7:H24 I7 J7:J24 L7 M7:M24 N7 O7:O24 Q7:Q24 R7 S7:S24 T7 U7:U24 V7 W7:W24 X7 Y7:Y24 AA7 AB7:AB24 AC7 AD7:AD24 AE7 AF7:AF24 AG7 AH7:AH24 AI7 AJ7:AJ24 AK7 AL7:AL24 AM7 AN7:AN24 AP7:AP9 AQ7:AQ24 AR7 AS7:AS24 AT7 AU7:AU24 AV7 AW7:AW24 AX7 AY7:AY24 AZ7 BA7:BA24 BB7 BC7:BC24 BF7:BF24 BH7:BH24 BJ7:BJ24 BK7 BL7:BL24 BM7 BN7:BN24 BO7 BP7:BP24 BQ7 BR7:BR24 BE8:BE24 BG10:BG24 BI10:BI24 BK10:BK24 BM10:BM24 BO10:BO24 L11 AP11 AR12:AR13 E14 G14 I14 T14 V14 X14 AE14 AG14 AI14 AK14 AM14 AP14 AT14:AT15 AV14 AX14 AZ14 BB14 BQ14 AR16:AR24 E17:E24 G17:G24 I17:I24 L17:L24 N17:N24 P17:P24 R17:R24 T17:T24 V17:V24 X17:X24 AA17:AA24 AC17:AC24 AE17:AE24 AG17:AG24 AI17:AI24 AK17:AK24 AM17:AM24 AP17:AP24 AT17:AT24 AV17:AV24 AX17:AX24 AZ17:AZ24 BB17:BB24 BQ17:BQ24 E26:J40 L26:L35 M26:Y40 AA26:AN40 AP26:BC40 BE26:BR40 L39:L40 A84:A85">
    <cfRule type="expression" dxfId="1" priority="34">
      <formula>E7="YB"</formula>
    </cfRule>
  </conditionalFormatting>
  <conditionalFormatting sqref="E7 F7:F24 G7 H7:H24 I7 J7:J24 L7 M7:M24 N7 O7:O24 Q7:Q24 R7 S7:S24 T7 U7:U24 V7 W7:W24 X7 Y7:Y24 AA7 AB7:AB24 AC7 AD7:AD24 AE7 AF7:AF24 AG7 AH7:AH24 AI7 AJ7:AJ24 AK7 AL7:AL24 AM7 AN7:AN24 AP7:AP9 AQ7:AQ24 AR7 AS7:AS24 AT7 AU7:AU24 AV7 AW7:AW24 AX7 AY7:AY24 AZ7 BA7:BA24 BB7 BC7:BC24 BF7:BF24 BH7:BH24 BJ7:BJ24 BK7 BL7:BL24 BM7 BN7:BN24 BO7 BP7:BP24 BQ7 BR7:BR24 BE8:BE24 BG10:BG24 BI10:BI24 BK10:BK24 BM10:BM24 BO10:BO24 L11 AP11 AR12:AR13 E14 G14 I14 T14 V14 X14 AE14 AG14 AI14 AK14 AM14 AP14 AT14:AT15 AV14 AX14 AZ14 BB14 BQ14 AR16:AR24 E17:E24 G17:G24 I17:I24 L17:L24 N17:N24 P17:P24 R17:R24 T17:T24 V17:V24 X17:X24 AA17:AA24 AC17:AC24 AE17:AE24 AG17:AG24 AI17:AI24 AK17:AK24 AM17:AM24 AP17:AP24 AT17:AT24 AV17:AV24 AX17:AX24 AZ17:AZ24 BB17:BB24 BQ17:BQ24 E26:J40 L26:L35 M26:Y40 AA26:AN40 AP26:BC40 BE26:BR40 L39:L40 A84:A85">
    <cfRule type="expression" dxfId="5" priority="35">
      <formula>E7="PT"</formula>
    </cfRule>
  </conditionalFormatting>
  <conditionalFormatting sqref="E7 F7:F24 G7 H7:H24 I7 J7:J24 L7 M7:M24 N7 O7:O24 Q7:Q24 R7 S7:S24 T7 U7:U24 V7 W7:W24 X7 Y7:Y24 AA7 AB7:AB24 AC7 AD7:AD24 AE7 AF7:AF24 AG7 AH7:AH24 AI7 AJ7:AJ24 AK7 AL7:AL24 AM7 AN7:AN24 AP7:AP9 AQ7:AQ24 AR7 AS7:AS24 AT7 AU7:AU24 AV7 AW7:AW24 AX7 AY7:AY24 AZ7 BA7:BA24 BB7 BC7:BC24 BF7:BF24 BH7:BH24 BJ7:BJ24 BK7 BL7:BL24 BM7 BN7:BN24 BO7 BP7:BP24 BQ7 BR7:BR24 BE8:BE24 BG10:BG24 BI10:BI24 BK10:BK24 BM10:BM24 BO10:BO24 L11 AP11 AR12:AR13 E14 G14 I14 T14 V14 X14 AE14 AG14 AI14 AK14 AM14 AP14 AT14:AT15 AV14 AX14 AZ14 BB14 BQ14 AR16:AR24 E17:E24 G17:G24 I17:I24 L17:L24 N17:N24 P17:P24 R17:R24 T17:T24 V17:V24 X17:X24 AA17:AA24 AC17:AC24 AE17:AE24 AG17:AG24 AI17:AI24 AK17:AK24 AM17:AM24 AP17:AP24 AT17:AT24 AV17:AV24 AX17:AX24 AZ17:AZ24 BB17:BB24 BQ17:BQ24 E26:J40 L26:L35 M26:Y40 AA26:AN40 AP26:BC40 BE26:BR40 L39:L40 A84:A85">
    <cfRule type="expression" dxfId="6" priority="36">
      <formula>E7="VT"</formula>
    </cfRule>
  </conditionalFormatting>
  <conditionalFormatting sqref="E7 F7:F24 G7 H7:H24 I7 J7:J24 L7 M7:M24 N7 O7:O24 Q7:Q24 R7 S7:S24 T7 U7:U24 V7 W7:W24 X7 Y7:Y24 AA7 AB7:AB24 AC7 AD7:AD24 AE7 AF7:AF24 AG7 AH7:AH24 AI7 AJ7:AJ24 AK7 AL7:AL24 AM7 AN7:AN24 AP7:AP9 AQ7:AQ24 AR7 AS7:AS24 AT7 AU7:AU24 AV7 AW7:AW24 AX7 AY7:AY24 AZ7 BA7:BA24 BB7 BC7:BC24 BF7:BF24 BH7:BH24 BJ7:BJ24 BK7 BL7:BL24 BM7 BN7:BN24 BO7 BP7:BP24 BQ7 BR7:BR24 BE8:BE24 BG10:BG24 BI10:BI24 BK10:BK24 BM10:BM24 BO10:BO24 L11 AP11 AR12:AR13 E14 G14 I14 T14 V14 X14 AE14 AG14 AI14 AK14 AM14 AP14 AT14:AT15 AV14 AX14 AZ14 BB14 BQ14 AR16:AR24 E17:E24 G17:G24 I17:I24 L17:L24 N17:N24 P17:P24 R17:R24 T17:T24 V17:V24 X17:X24 AA17:AA24 AC17:AC24 AE17:AE24 AG17:AG24 AI17:AI24 AK17:AK24 AM17:AM24 AP17:AP24 AT17:AT24 AV17:AV24 AX17:AX24 AZ17:AZ24 BB17:BB24 BQ17:BQ24 E26:J40 L26:L35 M26:Y40 AA26:AN40 AP26:BC40 BE26:BR40 L39:L40 A84:A85">
    <cfRule type="expression" dxfId="1" priority="37">
      <formula>E7="NB"</formula>
    </cfRule>
  </conditionalFormatting>
  <conditionalFormatting sqref="E7 F7:F24 G7 H7:H24 I7 J7:J24 L7 M7:M24 N7 O7:O24 Q7:Q24 R7 S7:S24 T7 U7:U24 V7 W7:W24 X7 Y7:Y24 AA7 AB7:AB24 AC7 AD7:AD24 AE7 AF7:AF24 AG7 AH7:AH24 AI7 AJ7:AJ24 AK7 AL7:AL24 AM7 AN7:AN24 AP7:AP9 AQ7:AQ24 AR7 AS7:AS24 AT7 AU7:AU24 AV7 AW7:AW24 AX7 AY7:AY24 AZ7 BA7:BA24 BB7 BC7:BC24 BF7:BF24 BH7:BH24 BJ7:BJ24 BK7 BL7:BL24 BM7 BN7:BN24 BO7 BP7:BP24 BQ7 BR7:BR24 BE8:BE24 BG10:BG24 BI10:BI24 BK10:BK24 BM10:BM24 BO10:BO24 L11 AP11 AR12:AR13 E14 G14 I14 T14 V14 X14 AE14 AG14 AI14 AK14 AM14 AP14 AT14:AT15 AV14 AX14 AZ14 BB14 BQ14 AR16:AR24 E17:E24 G17:G24 I17:I24 L17:L24 N17:N24 P17:P24 R17:R24 T17:T24 V17:V24 X17:X24 AA17:AA24 AC17:AC24 AE17:AE24 AG17:AG24 AI17:AI24 AK17:AK24 AM17:AM24 AP17:AP24 AT17:AT24 AV17:AV24 AX17:AX24 AZ17:AZ24 BB17:BB24 BQ17:BQ24 E26:J40 L26:L35 M26:Y40 AA26:AN40 AP26:BC40 BE26:BR40 L39:L40 A84:A85">
    <cfRule type="expression" dxfId="5" priority="38">
      <formula>E7="TB"</formula>
    </cfRule>
  </conditionalFormatting>
  <conditionalFormatting sqref="E7 F7:F24 G7 H7:H24 I7 J7:J24 L7 M7:M24 N7 O7:O24 Q7:Q24 R7 S7:S24 T7 U7:U24 V7 W7:W24 X7 Y7:Y24 AA7 AB7:AB24 AC7 AD7:AD24 AE7 AF7:AF24 AG7 AH7:AH24 AI7 AJ7:AJ24 AK7 AL7:AL24 AM7 AN7:AN24 AP7:AP9 AQ7:AQ24 AR7 AS7:AS24 AT7 AU7:AU24 AV7 AW7:AW24 AX7 AY7:AY24 AZ7 BA7:BA24 BB7 BC7:BC24 BF7:BF24 BH7:BH24 BJ7:BJ24 BK7 BL7:BL24 BM7 BN7:BN24 BO7 BP7:BP24 BQ7 BR7:BR24 BE8:BE24 BG10:BG24 BI10:BI24 BK10:BK24 BM10:BM24 BO10:BO24 L11 AP11 AR12:AR13 E14 G14 I14 T14 V14 X14 AE14 AG14 AI14 AK14 AM14 AP14 AT14:AT15 AV14 AX14 AZ14 BB14 BQ14 AR16:AR24 E17:E24 G17:G24 I17:I24 L17:L24 N17:N24 P17:P24 R17:R24 T17:T24 V17:V24 X17:X24 AA17:AA24 AC17:AC24 AE17:AE24 AG17:AG24 AI17:AI24 AK17:AK24 AM17:AM24 AP17:AP24 AT17:AT24 AV17:AV24 AX17:AX24 AZ17:AZ24 BB17:BB24 BQ17:BQ24 E26:J40 L26:L35 M26:Y40 AA26:AN40 AP26:BC40 BE26:BR40 L39:L40 A84:A85">
    <cfRule type="expression" dxfId="6" priority="39">
      <formula>E7="NĐ"</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0" priority="40">
      <formula>E7="C6"</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1" priority="41">
      <formula>E7="TC6"</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1" priority="42">
      <formula>E7="TC5"</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1" priority="43">
      <formula>E7="TC4"</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1" priority="44">
      <formula>E7="TC3"</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1" priority="45">
      <formula>E7="TC2"</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1" priority="46">
      <formula>E7="TC1"</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8" priority="47">
      <formula>E7="Full"</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9" priority="48">
      <formula>E7="OFF"</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10" priority="49">
      <formula>E7="Gãy 2"</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10" priority="50">
      <formula>E7="Gãy 1"</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2" priority="51">
      <formula>E7="HC4"</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2" priority="52">
      <formula>E7="HC3"</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2" priority="53">
      <formula>E7="HC2"</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2" priority="54">
      <formula>E7="HC1"</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3" priority="55">
      <formula>E7="C5"</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4" priority="56">
      <formula>E7="C4"</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5" priority="57">
      <formula>E7="C3"</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0" priority="58">
      <formula>E7="C2"</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26" priority="59">
      <formula>E7="C1"</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16" priority="60">
      <formula>E7="S4"</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17" priority="61">
      <formula>E7="S3"</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18" priority="62">
      <formula>E7="S2"</formula>
    </cfRule>
  </conditionalFormatting>
  <conditionalFormatting sqref="E7:E24 R7:R24 AC7:AC24 AE7:AE24 AG7:AG24 AM7:AM24 AR7:AR24 AT7:AT24 AV7:AV24 BI7:BI24 BK7:BK24 G8:G24 I8:I24 L8:L24 N8:N24 P8:P24 T8:T24 V8:V24 X8:X24 AA8:AA24 AI8:AI24 AK8:AK24 AP8:AP24 AX8:AZ24 BB8:BB24 BE8:BE24 BG8:BG24 BM8:BM24 BO8:BO24 BQ8:BQ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cfRule type="expression" dxfId="19" priority="63">
      <formula>E7="S1"</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0" priority="64">
      <formula>AP8="C6"</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1" priority="65">
      <formula>AP8="TC6"</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1" priority="66">
      <formula>AP8="TC5"</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1" priority="67">
      <formula>AP8="TC4"</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1" priority="68">
      <formula>AP8="TC3"</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1" priority="69">
      <formula>AP8="TC2"</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1" priority="70">
      <formula>AP8="TC1"</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8" priority="71">
      <formula>AP8="Full"</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9" priority="72">
      <formula>AP8="OFF"</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10" priority="73">
      <formula>AP8="Gãy 2"</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10" priority="74">
      <formula>AP8="Gãy 1"</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2" priority="75">
      <formula>AP8="HC4"</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2" priority="76">
      <formula>AP8="HC3"</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2" priority="77">
      <formula>AP8="HC2"</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2" priority="78">
      <formula>AP8="HC1"</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3" priority="79">
      <formula>AP8="C5"</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4" priority="80">
      <formula>AP8="C4"</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5" priority="81">
      <formula>AP8="C3"</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0" priority="82">
      <formula>AP8="C2"</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26" priority="83">
      <formula>AP8="C1"</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16" priority="84">
      <formula>AP8="S4"</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17" priority="85">
      <formula>AP8="S3"</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18" priority="86">
      <formula>AP8="S2"</formula>
    </cfRule>
  </conditionalFormatting>
  <conditionalFormatting sqref="AP8:AP9 BE8:BE24 BG10:BG24 BI10:BI24 BK10:BK24 BM10:BM24 BO10:BO24 L11 AP11 AR12:AR13 E14 G14 I14 T14 V14 X14 AE14 AI14 AK14 AM14 AP14 AT14:AT15 AX14 AZ14 BB14 BQ14 AR16 AP18:AP19 AR19 AT19 AV19 AX19 AZ19 BB19 BQ19 E27:E40 G27:G40 I27:I40 L27:L35 N27:N40 P27:P40 R27:R40 T27:T40 V27:V40 X27:X40 AA27:AA40 AC27:AC40 AE27:AE40 AG27:AG40 AI27:AI40 AK27:AK40 AM27:AM40 AP27:AP40 AR27:AR40 AT27:AT40 AV27:AV40 AX27:AX40 AZ27:AZ40 BB27:BB40 BE27:BE40 BG27:BG40 BI27:BI40 BK27:BK40 BM27:BM40 BO27:BO40 BQ27:BQ40 L39:L40 F40 H40 J40 M40 O40 Q40 S40 U40 W40 Y40 AB40 AD40 AF40 AH40 AJ40 AL40 AN40 AQ40 AS40 AU40 AW40 AY40 BA40 BC40 BF40 BH40 BJ40 BL40 BN40 BP40 BR40">
    <cfRule type="expression" dxfId="19" priority="87">
      <formula>AP8="S1"</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0" priority="88">
      <formula>E7="C6"</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1" priority="89">
      <formula>E7="TC6"</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1" priority="90">
      <formula>E7="TC5"</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1" priority="91">
      <formula>E7="TC4"</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1" priority="92">
      <formula>E7="TC3"</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1" priority="93">
      <formula>E7="TC2"</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1" priority="94">
      <formula>E7="TC1"</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8" priority="95">
      <formula>E7="Full"</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9" priority="96">
      <formula>E7="OFF"</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10" priority="97">
      <formula>E7="Gãy 2"</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10" priority="98">
      <formula>E7="Gãy 1"</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2" priority="99">
      <formula>E7="HC4"</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2" priority="100">
      <formula>E7="HC3"</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2" priority="101">
      <formula>E7="HC2"</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2" priority="102">
      <formula>E7="HC1"</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3" priority="103">
      <formula>E7="C5"</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4" priority="104">
      <formula>E7="C4"</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5" priority="105">
      <formula>E7="C3"</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0" priority="106">
      <formula>E7="C2"</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26" priority="107">
      <formula>E7="C1"</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16" priority="108">
      <formula>E7="S4"</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17" priority="109">
      <formula>E7="S3"</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18" priority="110">
      <formula>E7="S2"</formula>
    </cfRule>
  </conditionalFormatting>
  <conditionalFormatting sqref="E7:E24 G7:G24 I7:I24 L7:L24 N7:N24 P7:P24 R7:R24 T7:T24 V7:V24 X7:X24 AA7:AA24 AC7:AC24 AE7:AE24 AG7:AG24 AI7:AI24 AK7:AK24 AM7:AM24 AP7:AP24 AR7:AR24 AT7:AT24 AV7:AV24 AX7:AX24 AZ7:AZ24 BB7:BB24 BE7:BE24 BG7:BG24 BI7:BI24 BK7:BK24 BM7:BM24 BO7:BO24 BQ7:BQ24 AY8:AY24 AJ9 BN9 BA14 BN19 J22:J24 M22:M24 O22:O24 Q22:Q24 S22:S24 Y22:Y24 AB22:AB24 AD22:AD24 AF22:AF24 AH22:AH24 AN22:AN24 AQ22:AQ24 AS22:AS24 AU22:AU24 AW22:AW24 BF22:BF24 BH22:BH24 BJ22:BJ24 BL22:BL24 E26:E40 G26:G40 I26:I40 L26:L35 N26:N40 P26:P40 R26:R40 T26:T40 V26:V40 X26:X40 AA26:AA40 AC26:AC40 AE26:AE40 AG26:AG40 AI26:AI40 AK26:AK40 AM26:AM40 AP26:AP40 AR26:AR40 AT26:AT40 AV26:AV40 AX26:AX40 AZ26:AZ40 BB26:BB40 BE26:BE40 BG26:BG40 BI26:BI40 BK26:BK40 BM26:BM40 BO26:BO40 BQ26:BQ40 L39:L40 A84:A85">
    <cfRule type="expression" dxfId="19" priority="111">
      <formula>E7="S1"</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0" priority="112">
      <formula>E7="C6"</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1" priority="113">
      <formula>E7="TC6"</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1" priority="114">
      <formula>E7="TC5"</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1" priority="115">
      <formula>E7="TC4"</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1" priority="116">
      <formula>E7="TC3"</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1" priority="117">
      <formula>E7="TC2"</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1" priority="118">
      <formula>E7="TC1"</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8" priority="119">
      <formula>E7="Full"</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9" priority="120">
      <formula>E7="OFF"</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10" priority="121">
      <formula>E7="Gãy 2"</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10" priority="122">
      <formula>E7="Gãy 1"</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2" priority="123">
      <formula>E7="HC4"</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2" priority="124">
      <formula>E7="HC3"</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2" priority="125">
      <formula>E7="HC2"</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2" priority="126">
      <formula>E7="HC1"</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3" priority="127">
      <formula>E7="C5"</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4" priority="128">
      <formula>E7="C4"</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5" priority="129">
      <formula>E7="C3"</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0" priority="130">
      <formula>E7="C2"</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26" priority="131">
      <formula>E7="C1"</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16" priority="132">
      <formula>E7="S4"</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17" priority="133">
      <formula>E7="S3"</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18" priority="134">
      <formula>E7="S2"</formula>
    </cfRule>
  </conditionalFormatting>
  <conditionalFormatting sqref="E7 G7 I7 L7 N7 R7 T7 V7 X7 AA7 AC7 AE7 AG7 AI7 AK7 AM7 AP7:AP9 AR7 AT7 AV7 AX7 AZ7 BB7 BK7 BM7 BO7 BQ7 BE8:BE24 BG10:BG24 BI10:BI24 BK10:BK24 BM10:BM24 BO10:BO24 L11 AP11 AR12:AR13 E14 G14 I14 T14 V14 X14 AE14 AI14 AK14 AM14 AP14 AT14:AT15 AX14 AZ14 BB14 BQ14 AR16 AP18:AP19 AR19 AT19 AV19 AX19 AZ19 BB19 BQ19 E26:E40 G26:G40 I26:I40 L26:L35 N26:N40 P26:P40 R26:R40 T26:T40 V26:V40 X26:X40 AA26:AA40 AC26:AC40 AE26:AE40 AG26:AG40 AI26:AI40 AK26:AK40 AM26:AM40 AP26:AP40 AR26:AR40 AT26:AT40 AV26:AV40 AX26:AX40 AZ26:AZ40 BB26:BB40 BE26:BE40 BG26:BG40 BI26:BI40 BK26:BK40 BM26:BM40 BO26:BO40 BQ26:BQ40 L39:L40 F40 H40 J40 M40 O40 Q40 S40 U40 W40 Y40 AB40 AD40 AF40 AH40 AJ40 AL40 AN40 AQ40 AS40 AU40 AW40 AY40 BA40 BC40 BF40 BH40 BJ40 BL40 BN40 BP40 BR40 A84:A85">
    <cfRule type="expression" dxfId="19" priority="135">
      <formula>E7="S1"</formula>
    </cfRule>
  </conditionalFormatting>
  <conditionalFormatting sqref="F7:F24 H7:H24 J7:J24 M7:M24 O7:O24 Q7:Q24 S7:S24 U7:U24 W7:W24 Y7:Y24 AB7:AB24 AD7:AD24 AF7:AF24 AH7:AH24 AJ7:AJ24 AL7:AL24 AN7:AN24 AQ7:AQ24 AS7:AS24 AU7:AU24 AW7:AW24 AY7:AY24 BA7:BA24 BC7:BC24 BF7:BF24 BH7:BH24 BJ7:BJ24 BL7:BL24 BN7:BN24 BP7:BP24 BR7:BR24 BI12 AG14 AV14 BK14:BK15 BM14 E17:E24 G17:G24 I17:I24 L17:L24 N17:N24 P17:P24 R17:R24 T17:T24 V17:V24 X17:X24 AA17:AA24 AC17:AC24 AE17:AE24 AG17:AG24 AI17:AI24 AK17:AK24 AM17:AM24 AP17:AP24 AR17:AR24 AT17:AT24 AV17:AV24 AX17:AX24 AZ17:AZ24 BB17:BB24 BE17:BE24 BG17:BG24 BI17:BI24 BK17:BK24 BM17:BM24 BO17:BO24 BQ17:BQ24 F26:F40 H26:H40 J26:J40 M26:M40 O26:O40 Q26:Q40 S26:S40 U26:U40 W26:W40 Y26:Y40 AB26:AB40 AD26:AD40 AF26:AF40 AH26:AH40 AJ26:AJ40 AL26:AL40 AN26:AN40 AQ26:AQ40 AS26:AS40 AU26:AU40 AW26:AW40 AY26:AY40 BA26:BA40 BC26:BC40 BF26:BF40 BH26:BH40 BJ26:BJ40 BL26:BL40 BN26:BN40 BP26:BP40 L27:L35 BR27 BR34:BR40 L39">
    <cfRule type="expression" dxfId="1" priority="136">
      <formula>F7="BigNB"</formula>
    </cfRule>
  </conditionalFormatting>
  <conditionalFormatting sqref="F7:F24 H7:H24 J7:J24 M7:M24 O7:O24 Q7:Q24 S7:S24 U7:U24 W7:W24 Y7:Y24 AB7:AB24 AD7:AD24 AF7:AF24 AH7:AH24 AJ7:AJ24 AL7:AL24 AN7:AN24 AQ7:AQ24 AS7:AS24 AU7:AU24 AW7:AW24 AY7:AY24 BA7:BA24 BC7:BC24 BF7:BF24 BH7:BH24 BJ7:BJ24 BL7:BL24 BN7:BN24 BP7:BP24 BR7:BR24 BI12 AG14 AV14 BK14:BK15 BM14 E17:E24 G17:G24 I17:I24 L17:L24 N17:N24 P17:P24 R17:R24 T17:T24 V17:V24 X17:X24 AA17:AA24 AC17:AC24 AE17:AE24 AG17:AG24 AI17:AI24 AK17:AK24 AM17:AM24 AP17:AP24 AR17:AR24 AT17:AT24 AV17:AV24 AX17:AX24 AZ17:AZ24 BB17:BB24 BE17:BE24 BG17:BG24 BI17:BI24 BK17:BK24 BM17:BM24 BO17:BO24 BQ17:BQ24 F26:F40 H26:H40 J26:J40 M26:M40 O26:O40 Q26:Q40 S26:S40 U26:U40 W26:W40 Y26:Y40 AB26:AB40 AD26:AD40 AF26:AF40 AH26:AH40 AJ26:AJ40 AL26:AL40 AN26:AN40 AQ26:AQ40 AS26:AS40 AU26:AU40 AW26:AW40 AY26:AY40 BA26:BA40 BC26:BC40 BF26:BF40 BH26:BH40 BJ26:BJ40 BL26:BL40 BN26:BN40 BP26:BP40 L27:L35 BR27 BR34:BR40 L39">
    <cfRule type="expression" dxfId="1" priority="137">
      <formula>F7="GaNB"</formula>
    </cfRule>
  </conditionalFormatting>
  <conditionalFormatting sqref="F7:F24 H7:H24 J7:J24 M7:M24 O7:O24 Q7:Q24 S7:S24 U7:U24 W7:W24 Y7:Y24 AB7:AB24 AD7:AD24 AF7:AF24 AH7:AH24 AJ7:AJ24 AL7:AL24 AN7:AN24 AQ7:AQ24 AS7:AS24 AU7:AU24 AW7:AW24 AY7:AY24 BA7:BA24 BC7:BC24 BF7:BF24 BH7:BH24 BJ7:BJ24 BL7:BL24 BN7:BN24 BP7:BP24 BR7:BR24 BI12 AG14 AV14 BK14:BK15 BM14 E17:E24 G17:G24 I17:I24 L17:L24 N17:N24 P17:P24 R17:R24 T17:T24 V17:V24 X17:X24 AA17:AA24 AC17:AC24 AE17:AE24 AG17:AG24 AI17:AI24 AK17:AK24 AM17:AM24 AP17:AP24 AR17:AR24 AT17:AT24 AV17:AV24 AX17:AX24 AZ17:AZ24 BB17:BB24 BE17:BE24 BG17:BG24 BI17:BI24 BK17:BK24 BM17:BM24 BO17:BO24 BQ17:BQ24 F26:F40 H26:H40 J26:J40 M26:M40 O26:O40 Q26:Q40 S26:S40 U26:U40 W26:W40 Y26:Y40 AB26:AB40 AD26:AD40 AF26:AF40 AH26:AH40 AJ26:AJ40 AL26:AL40 AN26:AN40 AQ26:AQ40 AS26:AS40 AU26:AU40 AW26:AW40 AY26:AY40 BA26:BA40 BC26:BC40 BF26:BF40 BH26:BH40 BJ26:BJ40 BL26:BL40 BN26:BN40 BP26:BP40 L27:L35 BR27 BR34:BR40 L39">
    <cfRule type="expression" dxfId="2" priority="138">
      <formula>F7="BigNĐ"</formula>
    </cfRule>
  </conditionalFormatting>
  <conditionalFormatting sqref="F7:F24 H7:H24 J7:J24 M7:M24 O7:O24 Q7:Q24 S7:S24 U7:U24 W7:W24 Y7:Y24 AB7:AB24 AD7:AD24 AF7:AF24 AH7:AH24 AJ7:AJ24 AL7:AL24 AN7:AN24 AQ7:AQ24 AS7:AS24 AU7:AU24 AW7:AW24 AY7:AY24 BA7:BA24 BC7:BC24 BF7:BF24 BH7:BH24 BJ7:BJ24 BL7:BL24 BN7:BN24 BP7:BP24 BR7:BR24 BI12 AG14 AV14 BK14:BK15 BM14 E17:E24 G17:G24 I17:I24 L17:L24 N17:N24 P17:P24 R17:R24 T17:T24 V17:V24 X17:X24 AA17:AA24 AC17:AC24 AE17:AE24 AG17:AG24 AI17:AI24 AK17:AK24 AM17:AM24 AP17:AP24 AR17:AR24 AT17:AT24 AV17:AV24 AX17:AX24 AZ17:AZ24 BB17:BB24 BE17:BE24 BG17:BG24 BI17:BI24 BK17:BK24 BM17:BM24 BO17:BO24 BQ17:BQ24 F26:F40 H26:H40 J26:J40 M26:M40 O26:O40 Q26:Q40 S26:S40 U26:U40 W26:W40 Y26:Y40 AB26:AB40 AD26:AD40 AF26:AF40 AH26:AH40 AJ26:AJ40 AL26:AL40 AN26:AN40 AQ26:AQ40 AS26:AS40 AU26:AU40 AW26:AW40 AY26:AY40 BA26:BA40 BC26:BC40 BF26:BF40 BH26:BH40 BJ26:BJ40 BL26:BL40 BN26:BN40 BP26:BP40 L27:L35 BR27 BR34:BR40 L39">
    <cfRule type="expression" dxfId="2" priority="139">
      <formula>F7="GaNĐ"</formula>
    </cfRule>
  </conditionalFormatting>
  <conditionalFormatting sqref="M8:M24 O8:O24 Q8:Q24 S8:S24 U8:U24 W8:W24 Y8:Y24 AB8:AB24 AD8:AD24 AF8:AF24 AH8:AH24 AJ8:AJ24 AL8:AL24 AN8:AN24 AQ8:AQ24 AS8:AS24 AU8:AU24 AW8:AW24 AY8:AY24 BA8:BA24 BC8:BC24 BF8:BF24 BH8:BH24 BJ8:BJ24 BL8:BL24 BN8:BN24 BP8:BP24 H10:H11 F11 J11 BR11:BR13 BI12 H13:H15 F14 J14 AG14 AV14 BK14:BK15 BM14 E17:J24 L17:L24 N17:N24 P17:P24 R17:R24 T17:T24 V17:V24 X17:X24 AA17:AA24 AC17:AC24 AE17:AE24 AG17:AG24 AI17:AI24 AK17:AK24 AM17:AM24 AP17:AP24 AR17:AR24 AT17:AT24 AV17:AV24 AX17:AX24 AZ17:AZ24 BB17:BB24 BE17:BE24 BG17:BG24 BI17:BI24 BK17:BK24 BM17:BM24 BO17:BO24 BQ17:BQ24 F26:F40 H26:H40 J26:J40 M26:M40 O26:O40 Q26:Q40 S26:S40 U26:U40 W26:W40 Y26:Y40 AB26:AB40 AD26:AD40 AF26:AF40 AH26:AH40 AJ26:AJ40 AL26:AL40 AN26:AN40 AQ26:AQ40 AS26:AS40 AU26:AU40 AW26:AW40 AY26:AY40 BA26:BA40 BC26:BC40 BF26:BF40 BH26:BH40 BJ26:BJ40 BL26:BL40 BN26:BN40 BP26:BP40 L27:L35 BR27 BR34:BR40 L39">
    <cfRule type="expression" dxfId="1" priority="140">
      <formula>M8="BigNB"</formula>
    </cfRule>
  </conditionalFormatting>
  <conditionalFormatting sqref="M8:M24 O8:O24 Q8:Q24 S8:S24 U8:U24 W8:W24 Y8:Y24 AB8:AB24 AD8:AD24 AF8:AF24 AH8:AH24 AJ8:AJ24 AL8:AL24 AN8:AN24 AQ8:AQ24 AS8:AS24 AU8:AU24 AW8:AW24 AY8:AY24 BA8:BA24 BC8:BC24 BF8:BF24 BH8:BH24 BJ8:BJ24 BL8:BL24 BN8:BN24 BP8:BP24 H10:H11 F11 J11 BR11:BR13 BI12 H13:H15 F14 J14 AG14 AV14 BK14:BK15 BM14 E17:J24 L17:L24 N17:N24 P17:P24 R17:R24 T17:T24 V17:V24 X17:X24 AA17:AA24 AC17:AC24 AE17:AE24 AG17:AG24 AI17:AI24 AK17:AK24 AM17:AM24 AP17:AP24 AR17:AR24 AT17:AT24 AV17:AV24 AX17:AX24 AZ17:AZ24 BB17:BB24 BE17:BE24 BG17:BG24 BI17:BI24 BK17:BK24 BM17:BM24 BO17:BO24 BQ17:BQ24 F26:F40 H26:H40 J26:J40 M26:M40 O26:O40 Q26:Q40 S26:S40 U26:U40 W26:W40 Y26:Y40 AB26:AB40 AD26:AD40 AF26:AF40 AH26:AH40 AJ26:AJ40 AL26:AL40 AN26:AN40 AQ26:AQ40 AS26:AS40 AU26:AU40 AW26:AW40 AY26:AY40 BA26:BA40 BC26:BC40 BF26:BF40 BH26:BH40 BJ26:BJ40 BL26:BL40 BN26:BN40 BP26:BP40 L27:L35 BR27 BR34:BR40 L39">
    <cfRule type="expression" dxfId="1" priority="141">
      <formula>M8="GaNB"</formula>
    </cfRule>
  </conditionalFormatting>
  <conditionalFormatting sqref="M8:M24 O8:O24 Q8:Q24 S8:S24 U8:U24 W8:W24 Y8:Y24 AB8:AB24 AD8:AD24 AF8:AF24 AH8:AH24 AJ8:AJ24 AL8:AL24 AN8:AN24 AQ8:AQ24 AS8:AS24 AU8:AU24 AW8:AW24 AY8:AY24 BA8:BA24 BC8:BC24 BF8:BF24 BH8:BH24 BJ8:BJ24 BL8:BL24 BN8:BN24 BP8:BP24 H10:H11 F11 J11 BR11:BR13 BI12 H13:H15 F14 J14 AG14 AV14 BK14:BK15 BM14 E17:J24 L17:L24 N17:N24 P17:P24 R17:R24 T17:T24 V17:V24 X17:X24 AA17:AA24 AC17:AC24 AE17:AE24 AG17:AG24 AI17:AI24 AK17:AK24 AM17:AM24 AP17:AP24 AR17:AR24 AT17:AT24 AV17:AV24 AX17:AX24 AZ17:AZ24 BB17:BB24 BE17:BE24 BG17:BG24 BI17:BI24 BK17:BK24 BM17:BM24 BO17:BO24 BQ17:BQ24 F26:F40 H26:H40 J26:J40 M26:M40 O26:O40 Q26:Q40 S26:S40 U26:U40 W26:W40 Y26:Y40 AB26:AB40 AD26:AD40 AF26:AF40 AH26:AH40 AJ26:AJ40 AL26:AL40 AN26:AN40 AQ26:AQ40 AS26:AS40 AU26:AU40 AW26:AW40 AY26:AY40 BA26:BA40 BC26:BC40 BF26:BF40 BH26:BH40 BJ26:BJ40 BL26:BL40 BN26:BN40 BP26:BP40 L27:L35 BR27 BR34:BR40 L39">
    <cfRule type="expression" dxfId="2" priority="142">
      <formula>M8="BigNĐ"</formula>
    </cfRule>
  </conditionalFormatting>
  <conditionalFormatting sqref="M8:M24 O8:O24 Q8:Q24 S8:S24 U8:U24 W8:W24 Y8:Y24 AB8:AB24 AD8:AD24 AF8:AF24 AH8:AH24 AJ8:AJ24 AL8:AL24 AN8:AN24 AQ8:AQ24 AS8:AS24 AU8:AU24 AW8:AW24 AY8:AY24 BA8:BA24 BC8:BC24 BF8:BF24 BH8:BH24 BJ8:BJ24 BL8:BL24 BN8:BN24 BP8:BP24 H10:H11 F11 J11 BR11:BR13 BI12 H13:H15 F14 J14 AG14 AV14 BK14:BK15 BM14 E17:J24 L17:L24 N17:N24 P17:P24 R17:R24 T17:T24 V17:V24 X17:X24 AA17:AA24 AC17:AC24 AE17:AE24 AG17:AG24 AI17:AI24 AK17:AK24 AM17:AM24 AP17:AP24 AR17:AR24 AT17:AT24 AV17:AV24 AX17:AX24 AZ17:AZ24 BB17:BB24 BE17:BE24 BG17:BG24 BI17:BI24 BK17:BK24 BM17:BM24 BO17:BO24 BQ17:BQ24 F26:F40 H26:H40 J26:J40 M26:M40 O26:O40 Q26:Q40 S26:S40 U26:U40 W26:W40 Y26:Y40 AB26:AB40 AD26:AD40 AF26:AF40 AH26:AH40 AJ26:AJ40 AL26:AL40 AN26:AN40 AQ26:AQ40 AS26:AS40 AU26:AU40 AW26:AW40 AY26:AY40 BA26:BA40 BC26:BC40 BF26:BF40 BH26:BH40 BJ26:BJ40 BL26:BL40 BN26:BN40 BP26:BP40 L27:L35 BR27 BR34:BR40 L39">
    <cfRule type="expression" dxfId="2" priority="143">
      <formula>M8="GaNĐ"</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0" priority="144">
      <formula>E7="C6"</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1" priority="145">
      <formula>E7="TC6"</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1" priority="146">
      <formula>E7="TC5"</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1" priority="147">
      <formula>E7="TC4"</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1" priority="148">
      <formula>E7="TC3"</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1" priority="149">
      <formula>E7="TC2"</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1" priority="150">
      <formula>E7="TC1"</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8" priority="151">
      <formula>E7="Full"</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9" priority="152">
      <formula>E7="OFF"</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10" priority="153">
      <formula>E7="Gãy 2"</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10" priority="154">
      <formula>E7="Gãy 1"</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2" priority="155">
      <formula>E7="HC4"</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2" priority="156">
      <formula>E7="HC3"</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2" priority="157">
      <formula>E7="HC2"</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2" priority="158">
      <formula>E7="HC1"</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3" priority="159">
      <formula>E7="C5"</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4" priority="160">
      <formula>E7="C4"</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5" priority="161">
      <formula>E7="C3"</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0" priority="162">
      <formula>E7="C2"</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26" priority="163">
      <formula>E7="C1"</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16" priority="164">
      <formula>E7="S4"</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17" priority="165">
      <formula>E7="S3"</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18" priority="166">
      <formula>E7="S2"</formula>
    </cfRule>
  </conditionalFormatting>
  <conditionalFormatting sqref="E7:E24 G7:G24 I7:I24 L7:L24 N7:N24 R7:R24 T7:T24 V7:V24 X7:X24 AA7:AA24 AC7:AC24 AE7:AE24 AG7:AG24 AI7:AI24 AK7:AK24 AM7:AM24 AP7:AP24 AR7:AR24 AT7:AT24 AV7:AV24 AX7:AX24 AZ7:AZ24 BB7:BB24 BK7:BK24 BM7:BM24 BO7:BO24 BQ7:BQ24 P8:P24 AY8:AY24 BE8:BE24 BG8:BG24 BI8:BI24 AJ9 BN9 BA14 BN19 J22:J24 M22:M24 O22:O24 Q22:Q24 S22:S24 Y22:Y24 AB22:AB24 AD22:AD24 AF22:AF24 AH22:AH24 AN22:AN24 AQ22:AQ24 AS22:AS24 AU22:AU24 AW22:AW24 BF22:BF24 BH22:BH24 BJ22:BJ24 BL22:BL24 G26:G40 I26:I40 L26:L35 N26:N40 P26:P40 R26:R40 T26:T40 V26:V40 X26:X40 AA26:AA40 AC26:AC40 AE26:AE40 AG26:AG40 AI26:AI40 AK26:AK40 AM26:AM40 AP26:AP40 AR26:AR40 AT26:AT40 AV26:AV40 AX26:AX40 AZ26:AZ40 BB26:BB40 BE26:BE40 BG26:BG40 BI26:BI40 BK26:BK40 BM26:BM40 BO26:BO40 BQ26:BQ40 E27:E40 L39:L40 A84:A85">
    <cfRule type="expression" dxfId="19" priority="167">
      <formula>E7="S1"</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0" priority="168">
      <formula>E7="C6"</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1" priority="169">
      <formula>E7="TC6"</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1" priority="170">
      <formula>E7="TC5"</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1" priority="171">
      <formula>E7="TC4"</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1" priority="172">
      <formula>E7="TC3"</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1" priority="173">
      <formula>E7="TC2"</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1" priority="174">
      <formula>E7="TC1"</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8" priority="175">
      <formula>E7="Full"</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9" priority="176">
      <formula>E7="OFF"</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10" priority="177">
      <formula>E7="Gãy 2"</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10" priority="178">
      <formula>E7="Gãy 1"</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2" priority="179">
      <formula>E7="HC4"</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2" priority="180">
      <formula>E7="HC3"</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2" priority="181">
      <formula>E7="HC2"</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2" priority="182">
      <formula>E7="HC1"</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3" priority="183">
      <formula>E7="C5"</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4" priority="184">
      <formula>E7="C4"</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5" priority="185">
      <formula>E7="C3"</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0" priority="186">
      <formula>E7="C2"</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26" priority="187">
      <formula>E7="C1"</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16" priority="188">
      <formula>E7="S4"</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17" priority="189">
      <formula>E7="S3"</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18" priority="190">
      <formula>E7="S2"</formula>
    </cfRule>
  </conditionalFormatting>
  <conditionalFormatting sqref="E7 G7 I7 L7 N7 R7 T7 V7 X7 AA7 AC7 AE7 AG7 AI7 AK7 AM7 AP7:AP9 AR7 AT7 AV7 AX7 AZ7 BB7 BK7 BM7 BO7 BQ7 BE8:BE24 BG10:BG24 BI10:BI24 BK10:BK24 BM10:BM24 BO10:BO24 L11 AP11 AR12:AR13 G14 V14 AE14 AK14 AT14:AT15 AZ14 AR16 AP18:AP19 AR19 AT19 AV19 AX19 AZ19 BB19 BQ19 G26:G40 I26:I40 L26:L35 N26:N40 P26:P40 R26:R40 T26:T40 V26:V40 X26:X40 AA26:AA40 AC26:AC40 AE26:AE40 AG26:AG40 AI26:AI40 AK26:AK40 AM26:AM40 AP26:AP40 AR26:AR40 AT26:AT40 AV26:AV40 AX26:AX40 AZ26:AZ40 BB26:BB40 BE26:BE40 BG26:BG40 BI26:BI40 BK26:BK40 BM26:BM40 BO26:BO40 BQ26:BQ40 E33:E39 L39:L40 F40 H40 J40 M40 O40 Q40 S40 U40 W40 Y40 AB40 AD40 AF40 AH40 AJ40 AL40 AN40 AQ40 AS40 AU40 AW40 AY40 BA40 BC40 BF40 BH40 BJ40 BL40 BN40 BP40 BR40 A84:A85">
    <cfRule type="expression" dxfId="19" priority="191">
      <formula>E7="S1"</formula>
    </cfRule>
  </conditionalFormatting>
  <conditionalFormatting sqref="H7:H24 W7:W24 AL7:AL24 BA7:BA24 BP7:BP24 U8:U24 AF8:AF24 AH8:AH24 AJ8:AJ24 AN8:AN11 AS8:AS9 AU8:AU24 AW8:AW24 AY8:AY24 BC8:BC24 BF8:BF24 BH8:BH24 BJ8:BJ24 BL8:BL24 BN8:BN24 F9 J9 M9 O9 Q9:Q24 S9 Y9:Y11 AB9:AB16 AD9 AQ9:AQ24 S11:S13 AD11:AD13 AS11:AS24 BR11 O12:O13 BI12 F13 J13:J14 M13 Y13 AN13:AN24 BK14:BK15 BM14 M15 Y15:Y24 AD15:AD16 V17:V24 X17:X24 AK17:AK24 AM17:AM24 AP17:AP24 AR17:AR24 AT17:AT24 AV17:AV24 AZ17:AZ24 BB17:BB24 BG17:BG24 BI17:BI24 BK17:BK24 BM17:BM24 BO17:BO24 BQ17:BQ24 AB18 AD18 AX19 BE19 G22:G24 I22:J24 L22:P24 R22:T24 AA22:AE24 AG22:AG24 AI22:AI24 AX22:AX24 BE22:BE24 H26:H40 W26:W40 AL26:AL40 BA26:BA40 L27:L35 S27 Y27 AF27:AF39 AH27:AH39 AJ27 AN27 AQ27:AQ39 AS27 AY27 BC27 BF27 BJ27:BJ30 BL27 BN27 AB28:AB29 BH28:BH30 O29 S29 Y29 AD29:AD31 AJ29:AJ30 AN29:AN39 AS29:AS30 AU29:AU30 AW29:AW30 AY29:AY30 BF29 BL29:BL30 BN29:BN30 BP29:BP30 M30 U30 J31 O31 BF31:BF39 Y32:Y39 AJ32:AJ39 AS32:AS39 AU32:AU39 AW32:AW39 AY32:AY39 BC32:BC39 BL32:BL39 BN32:BN39 F33:F39 J33:J39 M33:M39 O33:O39 Q33:Q39 S33:S39 U33:U39 AB33:AB39 AD33:AD39 BH33:BH39 BJ33:BJ39 BP33:BP39 BR36 L39">
    <cfRule type="expression" dxfId="1" priority="192">
      <formula>H7="BigNB"</formula>
    </cfRule>
  </conditionalFormatting>
  <conditionalFormatting sqref="H7:H24 W7:W24 AL7:AL24 BA7:BA24 BP7:BP24 U8:U24 AF8:AF24 AH8:AH24 AJ8:AJ24 AN8:AN11 AS8:AS9 AU8:AU24 AW8:AW24 AY8:AY24 BC8:BC24 BF8:BF24 BH8:BH24 BJ8:BJ24 BL8:BL24 BN8:BN24 F9 J9 M9 O9 Q9:Q24 S9 Y9:Y11 AB9:AB16 AD9 AQ9:AQ24 S11:S13 AD11:AD13 AS11:AS24 BR11 O12:O13 BI12 F13 J13:J14 M13 Y13 AN13:AN24 BK14:BK15 BM14 M15 Y15:Y24 AD15:AD16 V17:V24 X17:X24 AK17:AK24 AM17:AM24 AP17:AP24 AR17:AR24 AT17:AT24 AV17:AV24 AZ17:AZ24 BB17:BB24 BG17:BG24 BI17:BI24 BK17:BK24 BM17:BM24 BO17:BO24 BQ17:BQ24 AB18 AD18 AX19 BE19 G22:G24 I22:J24 L22:P24 R22:T24 AA22:AE24 AG22:AG24 AI22:AI24 AX22:AX24 BE22:BE24 H26:H40 W26:W40 AL26:AL40 BA26:BA40 L27:L35 S27 Y27 AF27:AF39 AH27:AH39 AJ27 AN27 AQ27:AQ39 AS27 AY27 BC27 BF27 BJ27:BJ30 BL27 BN27 AB28:AB29 BH28:BH30 O29 S29 Y29 AD29:AD31 AJ29:AJ30 AN29:AN39 AS29:AS30 AU29:AU30 AW29:AW30 AY29:AY30 BF29 BL29:BL30 BN29:BN30 BP29:BP30 M30 U30 J31 O31 BF31:BF39 Y32:Y39 AJ32:AJ39 AS32:AS39 AU32:AU39 AW32:AW39 AY32:AY39 BC32:BC39 BL32:BL39 BN32:BN39 F33:F39 J33:J39 M33:M39 O33:O39 Q33:Q39 S33:S39 U33:U39 AB33:AB39 AD33:AD39 BH33:BH39 BJ33:BJ39 BP33:BP39 BR36 L39">
    <cfRule type="expression" dxfId="1" priority="193">
      <formula>H7="GaNB"</formula>
    </cfRule>
  </conditionalFormatting>
  <conditionalFormatting sqref="H7:H24 W7:W24 AL7:AL24 BA7:BA24 BP7:BP24 U8:U24 AF8:AF24 AH8:AH24 AJ8:AJ24 AN8:AN11 AS8:AS9 AU8:AU24 AW8:AW24 AY8:AY24 BC8:BC24 BF8:BF24 BH8:BH24 BJ8:BJ24 BL8:BL24 BN8:BN24 F9 J9 M9 O9 Q9:Q24 S9 Y9:Y11 AB9:AB16 AD9 AQ9:AQ24 S11:S13 AD11:AD13 AS11:AS24 BR11 O12:O13 BI12 F13 J13:J14 M13 Y13 AN13:AN24 BK14:BK15 BM14 M15 Y15:Y24 AD15:AD16 V17:V24 X17:X24 AK17:AK24 AM17:AM24 AP17:AP24 AR17:AR24 AT17:AT24 AV17:AV24 AZ17:AZ24 BB17:BB24 BG17:BG24 BI17:BI24 BK17:BK24 BM17:BM24 BO17:BO24 BQ17:BQ24 AB18 AD18 AX19 BE19 G22:G24 I22:J24 L22:P24 R22:T24 AA22:AE24 AG22:AG24 AI22:AI24 AX22:AX24 BE22:BE24 H26:H40 W26:W40 AL26:AL40 BA26:BA40 L27:L35 S27 Y27 AF27:AF39 AH27:AH39 AJ27 AN27 AQ27:AQ39 AS27 AY27 BC27 BF27 BJ27:BJ30 BL27 BN27 AB28:AB29 BH28:BH30 O29 S29 Y29 AD29:AD31 AJ29:AJ30 AN29:AN39 AS29:AS30 AU29:AU30 AW29:AW30 AY29:AY30 BF29 BL29:BL30 BN29:BN30 BP29:BP30 M30 U30 J31 O31 BF31:BF39 Y32:Y39 AJ32:AJ39 AS32:AS39 AU32:AU39 AW32:AW39 AY32:AY39 BC32:BC39 BL32:BL39 BN32:BN39 F33:F39 J33:J39 M33:M39 O33:O39 Q33:Q39 S33:S39 U33:U39 AB33:AB39 AD33:AD39 BH33:BH39 BJ33:BJ39 BP33:BP39 BR36 L39">
    <cfRule type="expression" dxfId="2" priority="194">
      <formula>H7="BigNĐ"</formula>
    </cfRule>
  </conditionalFormatting>
  <conditionalFormatting sqref="H7:H24 W7:W24 AL7:AL24 BA7:BA24 BP7:BP24 U8:U24 AF8:AF24 AH8:AH24 AJ8:AJ24 AN8:AN11 AS8:AS9 AU8:AU24 AW8:AW24 AY8:AY24 BC8:BC24 BF8:BF24 BH8:BH24 BJ8:BJ24 BL8:BL24 BN8:BN24 F9 J9 M9 O9 Q9:Q24 S9 Y9:Y11 AB9:AB16 AD9 AQ9:AQ24 S11:S13 AD11:AD13 AS11:AS24 BR11 O12:O13 BI12 F13 J13:J14 M13 Y13 AN13:AN24 BK14:BK15 BM14 M15 Y15:Y24 AD15:AD16 V17:V24 X17:X24 AK17:AK24 AM17:AM24 AP17:AP24 AR17:AR24 AT17:AT24 AV17:AV24 AZ17:AZ24 BB17:BB24 BG17:BG24 BI17:BI24 BK17:BK24 BM17:BM24 BO17:BO24 BQ17:BQ24 AB18 AD18 AX19 BE19 G22:G24 I22:J24 L22:P24 R22:T24 AA22:AE24 AG22:AG24 AI22:AI24 AX22:AX24 BE22:BE24 H26:H40 W26:W40 AL26:AL40 BA26:BA40 L27:L35 S27 Y27 AF27:AF39 AH27:AH39 AJ27 AN27 AQ27:AQ39 AS27 AY27 BC27 BF27 BJ27:BJ30 BL27 BN27 AB28:AB29 BH28:BH30 O29 S29 Y29 AD29:AD31 AJ29:AJ30 AN29:AN39 AS29:AS30 AU29:AU30 AW29:AW30 AY29:AY30 BF29 BL29:BL30 BN29:BN30 BP29:BP30 M30 U30 J31 O31 BF31:BF39 Y32:Y39 AJ32:AJ39 AS32:AS39 AU32:AU39 AW32:AW39 AY32:AY39 BC32:BC39 BL32:BL39 BN32:BN39 F33:F39 J33:J39 M33:M39 O33:O39 Q33:Q39 S33:S39 U33:U39 AB33:AB39 AD33:AD39 BH33:BH39 BJ33:BJ39 BP33:BP39 BR36 L39">
    <cfRule type="expression" dxfId="2" priority="195">
      <formula>H7="GaNĐ"</formula>
    </cfRule>
  </conditionalFormatting>
  <conditionalFormatting sqref="AJ8:AJ24 AS8:AS9 AU8:AU16 AY8:AY24 BH8:BH9 BJ8:BJ24 BN8:BN24 BP8:BP24 AW9 AF10:AF11 AL10:AL11 AQ10:AQ11 BA10:BA11 BC10 BL10:BL17 S11 AH11:AH14 AW11:AW17 O12 U12 AD12:AD13 AS12:AS14 BC12 BF12:BF13 BH12:BH14 AB13 AF13:AF14 AQ13 F14 H14 J14 Q14 U14 W14:W15 Y14 AL14 AN14:AN16 BA14:BA24 BC14:BC24 AF16 AQ16 AS16 BH16 U17:U24 AH17 AL17:AL18 BF17:BF24 AF18 AU18 BL20:BL21 AS22 H26:H40 W26:W40 AL26:AL40 BA26:BA40 S27 U27 Y27 AH27:AH40 AJ27 AN27 AQ27:AQ40 AS27 AY27 BC27 BF27 BJ27 AB28:AB29 AF28:AF40 BH28:BH30 O29 S29 Y29 AD29:AD31 AJ29:AJ30 AN29:AN40 AS29 AU29 AW29:AW30 AY29 BC29:BC30 BF29:BF30 BJ29 BN29:BN30 BP29:BP30 M30 U30 BL30 J31 O31 Y32:Y40 AB32:AB40 AJ32:AJ40 AS32:AS40 AU32:AU40 AW32:AW40 AY32:AY40 BN32:BN40 F33:F40 J33:J40 M33:M40 O33:O40 Q33:Q40 S33:S40 U33:U40 AD33:AD40 BC33:BC40 BF33:BF40 BH33:BH40 BJ33:BJ40 BL33:BL40 BP33:BP40 BR36 BR40">
    <cfRule type="expression" dxfId="1" priority="196">
      <formula>AJ8="BigNB"</formula>
    </cfRule>
  </conditionalFormatting>
  <conditionalFormatting sqref="AJ8:AJ24 AS8:AS9 AU8:AU16 AY8:AY24 BH8:BH9 BJ8:BJ24 BN8:BN24 BP8:BP24 AW9 AF10:AF11 AL10:AL11 AQ10:AQ11 BA10:BA11 BC10 BL10:BL17 S11 AH11:AH14 AW11:AW17 O12 U12 AD12:AD13 AS12:AS14 BC12 BF12:BF13 BH12:BH14 AB13 AF13:AF14 AQ13 F14 H14 J14 Q14 U14 W14:W15 Y14 AL14 AN14:AN16 BA14:BA24 BC14:BC24 AF16 AQ16 AS16 BH16 U17:U24 AH17 AL17:AL18 BF17:BF24 AF18 AU18 BL20:BL21 AS22 H26:H40 W26:W40 AL26:AL40 BA26:BA40 S27 U27 Y27 AH27:AH40 AJ27 AN27 AQ27:AQ40 AS27 AY27 BC27 BF27 BJ27 AB28:AB29 AF28:AF40 BH28:BH30 O29 S29 Y29 AD29:AD31 AJ29:AJ30 AN29:AN40 AS29 AU29 AW29:AW30 AY29 BC29:BC30 BF29:BF30 BJ29 BN29:BN30 BP29:BP30 M30 U30 BL30 J31 O31 Y32:Y40 AB32:AB40 AJ32:AJ40 AS32:AS40 AU32:AU40 AW32:AW40 AY32:AY40 BN32:BN40 F33:F40 J33:J40 M33:M40 O33:O40 Q33:Q40 S33:S40 U33:U40 AD33:AD40 BC33:BC40 BF33:BF40 BH33:BH40 BJ33:BJ40 BL33:BL40 BP33:BP40 BR36 BR40">
    <cfRule type="expression" dxfId="1" priority="197">
      <formula>AJ8="GaNB"</formula>
    </cfRule>
  </conditionalFormatting>
  <conditionalFormatting sqref="AJ8:AJ24 AS8:AS9 AU8:AU16 AY8:AY24 BH8:BH9 BJ8:BJ24 BN8:BN24 BP8:BP24 AW9 AF10:AF11 AL10:AL11 AQ10:AQ11 BA10:BA11 BC10 BL10:BL17 S11 AH11:AH14 AW11:AW17 O12 U12 AD12:AD13 AS12:AS14 BC12 BF12:BF13 BH12:BH14 AB13 AF13:AF14 AQ13 F14 H14 J14 Q14 U14 W14:W15 Y14 AL14 AN14:AN16 BA14:BA24 BC14:BC24 AF16 AQ16 AS16 BH16 U17:U24 AH17 AL17:AL18 BF17:BF24 AF18 AU18 BL20:BL21 AS22 H26:H40 W26:W40 AL26:AL40 BA26:BA40 S27 U27 Y27 AH27:AH40 AJ27 AN27 AQ27:AQ40 AS27 AY27 BC27 BF27 BJ27 AB28:AB29 AF28:AF40 BH28:BH30 O29 S29 Y29 AD29:AD31 AJ29:AJ30 AN29:AN40 AS29 AU29 AW29:AW30 AY29 BC29:BC30 BF29:BF30 BJ29 BN29:BN30 BP29:BP30 M30 U30 BL30 J31 O31 Y32:Y40 AB32:AB40 AJ32:AJ40 AS32:AS40 AU32:AU40 AW32:AW40 AY32:AY40 BN32:BN40 F33:F40 J33:J40 M33:M40 O33:O40 Q33:Q40 S33:S40 U33:U40 AD33:AD40 BC33:BC40 BF33:BF40 BH33:BH40 BJ33:BJ40 BL33:BL40 BP33:BP40 BR36 BR40">
    <cfRule type="expression" dxfId="2" priority="198">
      <formula>AJ8="BigNĐ"</formula>
    </cfRule>
  </conditionalFormatting>
  <conditionalFormatting sqref="AJ8:AJ24 AS8:AS9 AU8:AU16 AY8:AY24 BH8:BH9 BJ8:BJ24 BN8:BN24 BP8:BP24 AW9 AF10:AF11 AL10:AL11 AQ10:AQ11 BA10:BA11 BC10 BL10:BL17 S11 AH11:AH14 AW11:AW17 O12 U12 AD12:AD13 AS12:AS14 BC12 BF12:BF13 BH12:BH14 AB13 AF13:AF14 AQ13 F14 H14 J14 Q14 U14 W14:W15 Y14 AL14 AN14:AN16 BA14:BA24 BC14:BC24 AF16 AQ16 AS16 BH16 U17:U24 AH17 AL17:AL18 BF17:BF24 AF18 AU18 BL20:BL21 AS22 H26:H40 W26:W40 AL26:AL40 BA26:BA40 S27 U27 Y27 AH27:AH40 AJ27 AN27 AQ27:AQ40 AS27 AY27 BC27 BF27 BJ27 AB28:AB29 AF28:AF40 BH28:BH30 O29 S29 Y29 AD29:AD31 AJ29:AJ30 AN29:AN40 AS29 AU29 AW29:AW30 AY29 BC29:BC30 BF29:BF30 BJ29 BN29:BN30 BP29:BP30 M30 U30 BL30 J31 O31 Y32:Y40 AB32:AB40 AJ32:AJ40 AS32:AS40 AU32:AU40 AW32:AW40 AY32:AY40 BN32:BN40 F33:F40 J33:J40 M33:M40 O33:O40 Q33:Q40 S33:S40 U33:U40 AD33:AD40 BC33:BC40 BF33:BF40 BH33:BH40 BJ33:BJ40 BL33:BL40 BP33:BP40 BR36 BR40">
    <cfRule type="expression" dxfId="2" priority="199">
      <formula>AJ8="GaNĐ"</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0" priority="200">
      <formula>E7="C6"</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1" priority="201">
      <formula>E7="TC6"</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1" priority="202">
      <formula>E7="TC5"</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1" priority="203">
      <formula>E7="TC4"</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1" priority="204">
      <formula>E7="TC3"</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1" priority="205">
      <formula>E7="TC2"</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1" priority="206">
      <formula>E7="TC1"</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8" priority="207">
      <formula>E7="Full"</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9" priority="208">
      <formula>E7="OFF"</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10" priority="209">
      <formula>E7="Gãy 2"</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10" priority="210">
      <formula>E7="Gãy 1"</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2" priority="211">
      <formula>E7="HC4"</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2" priority="212">
      <formula>E7="HC3"</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2" priority="213">
      <formula>E7="HC2"</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2" priority="214">
      <formula>E7="HC1"</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3" priority="215">
      <formula>E7="C5"</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4" priority="216">
      <formula>E7="C4"</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5" priority="217">
      <formula>E7="C3"</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0" priority="218">
      <formula>E7="C2"</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26" priority="219">
      <formula>E7="C1"</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16" priority="220">
      <formula>E7="S4"</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17" priority="221">
      <formula>E7="S3"</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18" priority="222">
      <formula>E7="S2"</formula>
    </cfRule>
  </conditionalFormatting>
  <conditionalFormatting sqref="E7 I7:I24 R7 X7:X24 AG7 AM7:AM24 AP7:AP24 AR7 AV7 BB7:BB24 BK7 BQ7:BQ24 V8:V24 AA8:AA24 AK8:AK24 AT8 AX8:AX24 AZ8:AZ24 BE8:BE24 BO8:BO24 AI9 BM9:BM24 BG10:BG24 BI10:BI24 BK10:BK24 G11 L11 AR12:AR13 AE14 AT14:AT15 AR15:AR24 AC17:AC24 AT19 AV19 G22:G24 J22:J24 L22:T24 Y22:Y24 AB22:AB24 AD22:AI24 AN22:AN24 AQ22:AQ24 AS22:AW24 BF22:BF24 BH22:BH24 BJ22:BJ24 BL22:BL24 G26 I26:I40 L26:L35 N26:N39 P26:P39 R26:R39 T26:T39 V26:V39 X26:X40 AA26:AA39 AC26:AC40 AE26:AE40 AG26:AG40 AI26:AI40 AK26:AK40 AM26:AM40 AP26:AP39 AR26:AR39 AT26:AT39 AV26:AV39 AX26:AX39 AZ26:AZ39 BB26:BB40 BE26:BE40 BG26:BG39 BI26:BI39 BK26:BK39 BM26:BM39 BO26:BO39 BQ26:BQ39 G28 L39">
    <cfRule type="expression" dxfId="19" priority="223">
      <formula>E7="S1"</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0" priority="224">
      <formula>E7="C6"</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1" priority="225">
      <formula>E7="TC6"</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1" priority="226">
      <formula>E7="TC5"</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1" priority="227">
      <formula>E7="TC4"</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1" priority="228">
      <formula>E7="TC3"</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1" priority="229">
      <formula>E7="TC2"</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1" priority="230">
      <formula>E7="TC1"</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8" priority="231">
      <formula>E7="Full"</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9" priority="232">
      <formula>E7="OFF"</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10" priority="233">
      <formula>E7="Gãy 2"</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10" priority="234">
      <formula>E7="Gãy 1"</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2" priority="235">
      <formula>E7="HC4"</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2" priority="236">
      <formula>E7="HC3"</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2" priority="237">
      <formula>E7="HC2"</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2" priority="238">
      <formula>E7="HC1"</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3" priority="239">
      <formula>E7="C5"</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4" priority="240">
      <formula>E7="C4"</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5" priority="241">
      <formula>E7="C3"</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0" priority="242">
      <formula>E7="C2"</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26" priority="243">
      <formula>E7="C1"</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16" priority="244">
      <formula>E7="S4"</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17" priority="245">
      <formula>E7="S3"</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18" priority="246">
      <formula>E7="S2"</formula>
    </cfRule>
  </conditionalFormatting>
  <conditionalFormatting sqref="E7 R7 AG7 AM7 AR7 AV7 BK7 AP8:AP9 BE8:BE24 BG10:BG24 BI10:BI24 BK10:BK24 BM10:BM24 BO10:BO24 L11 AP11 AR12:AR13 I14 X14 AE14 AM14 AP14 AT14:AT15 BB14 BQ14 AR16 AP18:AP19 AR19 AT19 AV19 AX19 AZ19 BB19 BQ19 G26 I26:I40 L26:L35 N26:N40 P26:P40 R26:R40 T26:T40 V26:V40 X26:X40 AA26:AA40 AC26:AC40 AE26:AE40 AG26:AG40 AI26:AI40 AK26:AK40 AM26:AM40 AP26:AP40 AR26:AR40 AT26:AT40 AV26:AV40 AX26:AX40 AZ26:AZ40 BB26:BB40 BE26:BE40 BG26:BG40 BI26:BI40 BK26:BK40 BM26:BM40 BO26:BO40 BQ26:BQ40 L39:L40">
    <cfRule type="expression" dxfId="19" priority="247">
      <formula>E7="S1"</formula>
    </cfRule>
  </conditionalFormatting>
  <conditionalFormatting sqref="J7:J24 Y7:Y24 AN7:AN24 BC7:BC24 BR7:BR24 M8:M24 O8:O24 Q8:Q24 S8:S24 U8:U24 W8:W24 AB8:AB24 AD8:AD24 AF8:AF24 AH8:AH24 AJ8:AJ24 AL8:AL24 AQ8:AQ24 AS8:AS24 AU8:AU24 AW8:AW24 AY8:AY24 BA8:BA24 BF8:BF24 BH8:BH24 BJ8:BJ24 BL8:BL24 BN8:BN24 BP8:BP24 H10:H11 F11 BI12 H13 AG14 AV14 BK14:BK15 BM14 H15:H24 E17:G24 I17:I24 L17:L24 N17:N24 P17:P24 R17:R24 T17:T24 V17:V24 X17:X24 AA17:AA24 AC17:AC24 AE17:AE24 AG17:AG24 AI17:AI24 AK17:AK24 AM17:AM24 AP17:AP24 AR17:AR24 AT17:AT24 AV17:AV24 AX17:AX24 AZ17:AZ24 BB17:BB24 BE17:BE24 BG17:BG24 BI17:BI24 BK17:BK24 BM17:BM24 BO17:BO24 BQ17:BQ24 J26:J40 Y26:Y40 AN26:AN40 BC26:BC40 H27:H30 L27:L35 M27:M28 O27:O29 Q27:Q28 S27:S30 U27:U31 W27:W40 AB27:AB30 AD27:AD31 AF27:AF40 AH27:AH39 AJ27:AJ30 AL27:AL33 AQ27:AQ40 AS27:AS30 AW27:AW30 AY27:AY30 BA27:BA30 BF27:BF31 BH27:BH30 BJ27:BJ30 BL27:BL30 BN27:BN28 BP27:BP31 BR27 F28 AU28:AU30 M30 O31 H32 AJ32:AJ34 AS32:AS40 AU32:AU34 AW32:AW33 AY32 BA32 BL32:BL39 BN32:BN40 M33:M40 O33:O40 Q33:Q40 U33:U40 AB33:AB40 AD33:AD40 BF33:BF40 BH33:BH40 BJ33:BJ40 BP33:BP34 H34:H39 S34:S40 AY36:AY40 BR36 AU37:AU40 AW37:AW40 BA37:BA38 L39 AJ39 BA40">
    <cfRule type="expression" dxfId="1" priority="248">
      <formula>J7="BigNB"</formula>
    </cfRule>
  </conditionalFormatting>
  <conditionalFormatting sqref="J7:J24 Y7:Y24 AN7:AN24 BC7:BC24 BR7:BR24 M8:M24 O8:O24 Q8:Q24 S8:S24 U8:U24 W8:W24 AB8:AB24 AD8:AD24 AF8:AF24 AH8:AH24 AJ8:AJ24 AL8:AL24 AQ8:AQ24 AS8:AS24 AU8:AU24 AW8:AW24 AY8:AY24 BA8:BA24 BF8:BF24 BH8:BH24 BJ8:BJ24 BL8:BL24 BN8:BN24 BP8:BP24 H10:H11 F11 BI12 H13 AG14 AV14 BK14:BK15 BM14 H15:H24 E17:G24 I17:I24 L17:L24 N17:N24 P17:P24 R17:R24 T17:T24 V17:V24 X17:X24 AA17:AA24 AC17:AC24 AE17:AE24 AG17:AG24 AI17:AI24 AK17:AK24 AM17:AM24 AP17:AP24 AR17:AR24 AT17:AT24 AV17:AV24 AX17:AX24 AZ17:AZ24 BB17:BB24 BE17:BE24 BG17:BG24 BI17:BI24 BK17:BK24 BM17:BM24 BO17:BO24 BQ17:BQ24 J26:J40 Y26:Y40 AN26:AN40 BC26:BC40 H27:H30 L27:L35 M27:M28 O27:O29 Q27:Q28 S27:S30 U27:U31 W27:W40 AB27:AB30 AD27:AD31 AF27:AF40 AH27:AH39 AJ27:AJ30 AL27:AL33 AQ27:AQ40 AS27:AS30 AW27:AW30 AY27:AY30 BA27:BA30 BF27:BF31 BH27:BH30 BJ27:BJ30 BL27:BL30 BN27:BN28 BP27:BP31 BR27 F28 AU28:AU30 M30 O31 H32 AJ32:AJ34 AS32:AS40 AU32:AU34 AW32:AW33 AY32 BA32 BL32:BL39 BN32:BN40 M33:M40 O33:O40 Q33:Q40 U33:U40 AB33:AB40 AD33:AD40 BF33:BF40 BH33:BH40 BJ33:BJ40 BP33:BP34 H34:H39 S34:S40 AY36:AY40 BR36 AU37:AU40 AW37:AW40 BA37:BA38 L39 AJ39 BA40">
    <cfRule type="expression" dxfId="1" priority="249">
      <formula>J7="GaNB"</formula>
    </cfRule>
  </conditionalFormatting>
  <conditionalFormatting sqref="J7:J24 Y7:Y24 AN7:AN24 BC7:BC24 BR7:BR24 M8:M24 O8:O24 Q8:Q24 S8:S24 U8:U24 W8:W24 AB8:AB24 AD8:AD24 AF8:AF24 AH8:AH24 AJ8:AJ24 AL8:AL24 AQ8:AQ24 AS8:AS24 AU8:AU24 AW8:AW24 AY8:AY24 BA8:BA24 BF8:BF24 BH8:BH24 BJ8:BJ24 BL8:BL24 BN8:BN24 BP8:BP24 H10:H11 F11 BI12 H13 AG14 AV14 BK14:BK15 BM14 H15:H24 E17:G24 I17:I24 L17:L24 N17:N24 P17:P24 R17:R24 T17:T24 V17:V24 X17:X24 AA17:AA24 AC17:AC24 AE17:AE24 AG17:AG24 AI17:AI24 AK17:AK24 AM17:AM24 AP17:AP24 AR17:AR24 AT17:AT24 AV17:AV24 AX17:AX24 AZ17:AZ24 BB17:BB24 BE17:BE24 BG17:BG24 BI17:BI24 BK17:BK24 BM17:BM24 BO17:BO24 BQ17:BQ24 J26:J40 Y26:Y40 AN26:AN40 BC26:BC40 H27:H30 L27:L35 M27:M28 O27:O29 Q27:Q28 S27:S30 U27:U31 W27:W40 AB27:AB30 AD27:AD31 AF27:AF40 AH27:AH39 AJ27:AJ30 AL27:AL33 AQ27:AQ40 AS27:AS30 AW27:AW30 AY27:AY30 BA27:BA30 BF27:BF31 BH27:BH30 BJ27:BJ30 BL27:BL30 BN27:BN28 BP27:BP31 BR27 F28 AU28:AU30 M30 O31 H32 AJ32:AJ34 AS32:AS40 AU32:AU34 AW32:AW33 AY32 BA32 BL32:BL39 BN32:BN40 M33:M40 O33:O40 Q33:Q40 U33:U40 AB33:AB40 AD33:AD40 BF33:BF40 BH33:BH40 BJ33:BJ40 BP33:BP34 H34:H39 S34:S40 AY36:AY40 BR36 AU37:AU40 AW37:AW40 BA37:BA38 L39 AJ39 BA40">
    <cfRule type="expression" dxfId="2" priority="250">
      <formula>J7="BigNĐ"</formula>
    </cfRule>
  </conditionalFormatting>
  <conditionalFormatting sqref="J7:J24 Y7:Y24 AN7:AN24 BC7:BC24 BR7:BR24 M8:M24 O8:O24 Q8:Q24 S8:S24 U8:U24 W8:W24 AB8:AB24 AD8:AD24 AF8:AF24 AH8:AH24 AJ8:AJ24 AL8:AL24 AQ8:AQ24 AS8:AS24 AU8:AU24 AW8:AW24 AY8:AY24 BA8:BA24 BF8:BF24 BH8:BH24 BJ8:BJ24 BL8:BL24 BN8:BN24 BP8:BP24 H10:H11 F11 BI12 H13 AG14 AV14 BK14:BK15 BM14 H15:H24 E17:G24 I17:I24 L17:L24 N17:N24 P17:P24 R17:R24 T17:T24 V17:V24 X17:X24 AA17:AA24 AC17:AC24 AE17:AE24 AG17:AG24 AI17:AI24 AK17:AK24 AM17:AM24 AP17:AP24 AR17:AR24 AT17:AT24 AV17:AV24 AX17:AX24 AZ17:AZ24 BB17:BB24 BE17:BE24 BG17:BG24 BI17:BI24 BK17:BK24 BM17:BM24 BO17:BO24 BQ17:BQ24 J26:J40 Y26:Y40 AN26:AN40 BC26:BC40 H27:H30 L27:L35 M27:M28 O27:O29 Q27:Q28 S27:S30 U27:U31 W27:W40 AB27:AB30 AD27:AD31 AF27:AF40 AH27:AH39 AJ27:AJ30 AL27:AL33 AQ27:AQ40 AS27:AS30 AW27:AW30 AY27:AY30 BA27:BA30 BF27:BF31 BH27:BH30 BJ27:BJ30 BL27:BL30 BN27:BN28 BP27:BP31 BR27 F28 AU28:AU30 M30 O31 H32 AJ32:AJ34 AS32:AS40 AU32:AU34 AW32:AW33 AY32 BA32 BL32:BL39 BN32:BN40 M33:M40 O33:O40 Q33:Q40 U33:U40 AB33:AB40 AD33:AD40 BF33:BF40 BH33:BH40 BJ33:BJ40 BP33:BP34 H34:H39 S34:S40 AY36:AY40 BR36 AU37:AU40 AW37:AW40 BA37:BA38 L39 AJ39 BA40">
    <cfRule type="expression" dxfId="2" priority="251">
      <formula>J7="GaNĐ"</formula>
    </cfRule>
  </conditionalFormatting>
  <conditionalFormatting sqref="M8:M24 O8:O24 Q8:Q24 S8:S24 U8:U24 W8:W24 Y8:Y24 AB8:AB24 AD8:AD24 AF8:AF24 AH8:AH24 AJ8:AJ24 AL8:AL24 AN8:AN24 AQ8:AQ24 AS8:AS24 AU8:AU24 AW8:AW24 AY8:AY24 BA8:BA24 BC8:BC24 BF8:BF24 BH8:BH24 BJ8:BJ24 BL8:BL24 BN8:BN24 BP8:BP24 H10:H11 F11 J11 BR11:BR12 BI12 H13 J14 AG14 AV14 BK14:BK15 BM14 H15 E17:J24 L17:L24 N17:N24 P17:P24 R17:R24 T17:T24 V17:V24 X17:X24 AA17:AA24 AC17:AC24 AE17:AE24 AG17:AG24 AI17:AI24 AK17:AK24 AM17:AM24 AP17:AP24 AR17:AR24 AT17:AT24 AV17:AV24 AX17:AX24 AZ17:AZ24 BB17:BB24 BE17:BE24 BG17:BG24 BI17:BI24 BK17:BK24 BM17:BM24 BO17:BO24 BQ17:BQ24 J26:J40 Y26:Y40 AN26:AN40 BC26:BC40 H27:H30 L27:L35 M27:M28 O27:O29 Q27:Q28 S27:S30 U27:U31 W27:W39 AB27:AB30 AD27:AD31 AF27:AF39 AH27:AH39 AJ27:AJ30 AL27:AL33 AQ27:AQ39 AS27:AS30 AW27:AW30 AY27:AY30 BA27:BA30 BF27:BF31 BH27:BH30 BJ27:BJ30 BL27:BL30 BP27:BP31 BR27 F28 AU28:AU30 BN28 M30 O31 H32 AJ32:AJ34 AS32:AS39 AU32:AU34 AW32:AW33 AY32 BA32 BN32:BN39 M33:M39 O33:O39 Q33:Q39 U33:U39 AB33:AB39 AD33:AD39 BF33:BF39 BH33:BH39 BJ33:BJ39 BL33:BL39 BP33:BP34 H34:H39 S34:S39 AY36:AY39 BR36 AU37:AU39 AW37:AW39 BA37:BA38 L39 AJ39">
    <cfRule type="expression" dxfId="1" priority="252">
      <formula>M8="BigNB"</formula>
    </cfRule>
  </conditionalFormatting>
  <conditionalFormatting sqref="M8:M24 O8:O24 Q8:Q24 S8:S24 U8:U24 W8:W24 Y8:Y24 AB8:AB24 AD8:AD24 AF8:AF24 AH8:AH24 AJ8:AJ24 AL8:AL24 AN8:AN24 AQ8:AQ24 AS8:AS24 AU8:AU24 AW8:AW24 AY8:AY24 BA8:BA24 BC8:BC24 BF8:BF24 BH8:BH24 BJ8:BJ24 BL8:BL24 BN8:BN24 BP8:BP24 H10:H11 F11 J11 BR11:BR12 BI12 H13 J14 AG14 AV14 BK14:BK15 BM14 H15 E17:J24 L17:L24 N17:N24 P17:P24 R17:R24 T17:T24 V17:V24 X17:X24 AA17:AA24 AC17:AC24 AE17:AE24 AG17:AG24 AI17:AI24 AK17:AK24 AM17:AM24 AP17:AP24 AR17:AR24 AT17:AT24 AV17:AV24 AX17:AX24 AZ17:AZ24 BB17:BB24 BE17:BE24 BG17:BG24 BI17:BI24 BK17:BK24 BM17:BM24 BO17:BO24 BQ17:BQ24 J26:J40 Y26:Y40 AN26:AN40 BC26:BC40 H27:H30 L27:L35 M27:M28 O27:O29 Q27:Q28 S27:S30 U27:U31 W27:W39 AB27:AB30 AD27:AD31 AF27:AF39 AH27:AH39 AJ27:AJ30 AL27:AL33 AQ27:AQ39 AS27:AS30 AW27:AW30 AY27:AY30 BA27:BA30 BF27:BF31 BH27:BH30 BJ27:BJ30 BL27:BL30 BP27:BP31 BR27 F28 AU28:AU30 BN28 M30 O31 H32 AJ32:AJ34 AS32:AS39 AU32:AU34 AW32:AW33 AY32 BA32 BN32:BN39 M33:M39 O33:O39 Q33:Q39 U33:U39 AB33:AB39 AD33:AD39 BF33:BF39 BH33:BH39 BJ33:BJ39 BL33:BL39 BP33:BP34 H34:H39 S34:S39 AY36:AY39 BR36 AU37:AU39 AW37:AW39 BA37:BA38 L39 AJ39">
    <cfRule type="expression" dxfId="1" priority="253">
      <formula>M8="GaNB"</formula>
    </cfRule>
  </conditionalFormatting>
  <conditionalFormatting sqref="M8:M24 O8:O24 Q8:Q24 S8:S24 U8:U24 W8:W24 Y8:Y24 AB8:AB24 AD8:AD24 AF8:AF24 AH8:AH24 AJ8:AJ24 AL8:AL24 AN8:AN24 AQ8:AQ24 AS8:AS24 AU8:AU24 AW8:AW24 AY8:AY24 BA8:BA24 BC8:BC24 BF8:BF24 BH8:BH24 BJ8:BJ24 BL8:BL24 BN8:BN24 BP8:BP24 H10:H11 F11 J11 BR11:BR12 BI12 H13 J14 AG14 AV14 BK14:BK15 BM14 H15 E17:J24 L17:L24 N17:N24 P17:P24 R17:R24 T17:T24 V17:V24 X17:X24 AA17:AA24 AC17:AC24 AE17:AE24 AG17:AG24 AI17:AI24 AK17:AK24 AM17:AM24 AP17:AP24 AR17:AR24 AT17:AT24 AV17:AV24 AX17:AX24 AZ17:AZ24 BB17:BB24 BE17:BE24 BG17:BG24 BI17:BI24 BK17:BK24 BM17:BM24 BO17:BO24 BQ17:BQ24 J26:J40 Y26:Y40 AN26:AN40 BC26:BC40 H27:H30 L27:L35 M27:M28 O27:O29 Q27:Q28 S27:S30 U27:U31 W27:W39 AB27:AB30 AD27:AD31 AF27:AF39 AH27:AH39 AJ27:AJ30 AL27:AL33 AQ27:AQ39 AS27:AS30 AW27:AW30 AY27:AY30 BA27:BA30 BF27:BF31 BH27:BH30 BJ27:BJ30 BL27:BL30 BP27:BP31 BR27 F28 AU28:AU30 BN28 M30 O31 H32 AJ32:AJ34 AS32:AS39 AU32:AU34 AW32:AW33 AY32 BA32 BN32:BN39 M33:M39 O33:O39 Q33:Q39 U33:U39 AB33:AB39 AD33:AD39 BF33:BF39 BH33:BH39 BJ33:BJ39 BL33:BL39 BP33:BP34 H34:H39 S34:S39 AY36:AY39 BR36 AU37:AU39 AW37:AW39 BA37:BA38 L39 AJ39">
    <cfRule type="expression" dxfId="2" priority="254">
      <formula>M8="BigNĐ"</formula>
    </cfRule>
  </conditionalFormatting>
  <conditionalFormatting sqref="M8:M24 O8:O24 Q8:Q24 S8:S24 U8:U24 W8:W24 Y8:Y24 AB8:AB24 AD8:AD24 AF8:AF24 AH8:AH24 AJ8:AJ24 AL8:AL24 AN8:AN24 AQ8:AQ24 AS8:AS24 AU8:AU24 AW8:AW24 AY8:AY24 BA8:BA24 BC8:BC24 BF8:BF24 BH8:BH24 BJ8:BJ24 BL8:BL24 BN8:BN24 BP8:BP24 H10:H11 F11 J11 BR11:BR12 BI12 H13 J14 AG14 AV14 BK14:BK15 BM14 H15 E17:J24 L17:L24 N17:N24 P17:P24 R17:R24 T17:T24 V17:V24 X17:X24 AA17:AA24 AC17:AC24 AE17:AE24 AG17:AG24 AI17:AI24 AK17:AK24 AM17:AM24 AP17:AP24 AR17:AR24 AT17:AT24 AV17:AV24 AX17:AX24 AZ17:AZ24 BB17:BB24 BE17:BE24 BG17:BG24 BI17:BI24 BK17:BK24 BM17:BM24 BO17:BO24 BQ17:BQ24 J26:J40 Y26:Y40 AN26:AN40 BC26:BC40 H27:H30 L27:L35 M27:M28 O27:O29 Q27:Q28 S27:S30 U27:U31 W27:W39 AB27:AB30 AD27:AD31 AF27:AF39 AH27:AH39 AJ27:AJ30 AL27:AL33 AQ27:AQ39 AS27:AS30 AW27:AW30 AY27:AY30 BA27:BA30 BF27:BF31 BH27:BH30 BJ27:BJ30 BL27:BL30 BP27:BP31 BR27 F28 AU28:AU30 BN28 M30 O31 H32 AJ32:AJ34 AS32:AS39 AU32:AU34 AW32:AW33 AY32 BA32 BN32:BN39 M33:M39 O33:O39 Q33:Q39 U33:U39 AB33:AB39 AD33:AD39 BF33:BF39 BH33:BH39 BJ33:BJ39 BL33:BL39 BP33:BP34 H34:H39 S34:S39 AY36:AY39 BR36 AU37:AU39 AW37:AW39 BA37:BA38 L39 AJ39">
    <cfRule type="expression" dxfId="2" priority="255">
      <formula>M8="GaNĐ"</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0" priority="256">
      <formula>E7="C6"</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1" priority="257">
      <formula>E7="TC6"</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1" priority="258">
      <formula>E7="TC5"</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1" priority="259">
      <formula>E7="TC4"</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1" priority="260">
      <formula>E7="TC3"</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1" priority="261">
      <formula>E7="TC2"</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1" priority="262">
      <formula>E7="TC1"</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8" priority="263">
      <formula>E7="Full"</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9" priority="264">
      <formula>E7="OFF"</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10" priority="265">
      <formula>E7="Gãy 2"</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10" priority="266">
      <formula>E7="Gãy 1"</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2" priority="267">
      <formula>E7="HC4"</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2" priority="268">
      <formula>E7="HC3"</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2" priority="269">
      <formula>E7="HC2"</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2" priority="270">
      <formula>E7="HC1"</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3" priority="271">
      <formula>E7="C5"</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4" priority="272">
      <formula>E7="C4"</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5" priority="273">
      <formula>E7="C3"</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0" priority="274">
      <formula>E7="C2"</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26" priority="275">
      <formula>E7="C1"</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16" priority="276">
      <formula>E7="S4"</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17" priority="277">
      <formula>E7="S3"</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18" priority="278">
      <formula>E7="S2"</formula>
    </cfRule>
  </conditionalFormatting>
  <conditionalFormatting sqref="E7 L7:L24 R7 AA7:AA24 AG7 AM7:AM24 AP7:AP24 AR7 AV7 BE7:BE24 BK7 X8:X24 AT8 BB8:BB24 BQ8:BQ24 BG10:BG24 BI10:BI24 BK10:BK24 BM10:BM24 BO10:BO24 I12 R12 AG12 AR12:AR13 AV12 AE14 AT14:AT15 AR15:AR24 AC17:AC24 AT19 AV19 AX19 AZ19 I22:I24 N22:N24 G26 I26 L26:L35 N26:N40 P26:P40 R26:R40 T26:T40 V26:V40 X26:X40 AA26:AA40 AC26:AC40 AE26:AE40 AG26:AG40 AI26:AI40 AK26:AK40 AM26:AM40 AP26:AP40 AR26:AR40 AT26:AT40 AV26:AV40 AX26:AX40 AZ26:AZ40 BB26:BB40 BE26:BE40 BG26:BG40 BI26:BI39 BK26:BK39 BM26:BM39 BO26:BO39 BQ26:BQ39 I31 L39:L40">
    <cfRule type="expression" dxfId="19" priority="279">
      <formula>E7="S1"</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0" priority="280">
      <formula>E7="C6"</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1" priority="281">
      <formula>E7="TC6"</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1" priority="282">
      <formula>E7="TC5"</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1" priority="283">
      <formula>E7="TC4"</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1" priority="284">
      <formula>E7="TC3"</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1" priority="285">
      <formula>E7="TC2"</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1" priority="286">
      <formula>E7="TC1"</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8" priority="287">
      <formula>E7="Full"</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9" priority="288">
      <formula>E7="OFF"</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10" priority="289">
      <formula>E7="Gãy 2"</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10" priority="290">
      <formula>E7="Gãy 1"</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2" priority="291">
      <formula>E7="HC4"</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2" priority="292">
      <formula>E7="HC3"</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2" priority="293">
      <formula>E7="HC2"</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2" priority="294">
      <formula>E7="HC1"</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3" priority="295">
      <formula>E7="C5"</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4" priority="296">
      <formula>E7="C4"</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5" priority="297">
      <formula>E7="C3"</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0" priority="298">
      <formula>E7="C2"</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26" priority="299">
      <formula>E7="C1"</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16" priority="300">
      <formula>E7="S4"</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17" priority="301">
      <formula>E7="S3"</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18" priority="302">
      <formula>E7="S2"</formula>
    </cfRule>
  </conditionalFormatting>
  <conditionalFormatting sqref="E7 R7 AG7 AM7 AR7 AV7 BK7 AP8:AP9 BE8:BE24 BG10:BG24 BI10:BI24 BK10:BK24 BM10:BM24 BO10:BO24 L11 AP11 AR12:AR13 AE14 AT14:AT15 AR16 AP18:AP19 AR19 AT19 AV19 AX19 AZ19 BB19 BQ19 G26 I26 L26:L35 N26:N40 P26:P40 R26:R40 T26:T40 V26:V40 X26:X40 AA26:AA40 AC26:AC40 AE26:AE40 AG26:AG40 AI26:AI40 AK26:AK40 AM26:AM40 AP26:AP40 AR26:AR40 AT26:AT40 AV26:AV40 AX26:AX40 AZ26:AZ40 BB26:BB40 BE26:BE40 BG26:BG40 BI26:BI40 BK26:BK40 BM26:BM40 BO26:BO40 BQ26:BQ39 L39:L40 I40">
    <cfRule type="expression" dxfId="19" priority="303">
      <formula>E7="S1"</formula>
    </cfRule>
  </conditionalFormatting>
  <conditionalFormatting sqref="M7:M24 AB7:AB24 AQ7:AQ24 BF7:BF24 Q8:Q24 S8:S24 Y8:Y24 AD8:AD24 AF8:AF24 AH8:AH24 AL8:AL24 AN8:AN24 AS8:AS24 AU8:AU24 AW8:AW24 AY8:AY24 BA8:BA24 BC8:BC24 BH8:BH24 BJ8:BJ24 BL8:BL24 BN8:BN24 BP8:BP24 W9 AJ9:AJ17 U10 BR11 O12 U12 W12:W15 BI12 BR13 U14:U15 BK14:BK15 BM14 O15 V17:X24 AK17:AK24 AM17:AM24 AP17:AP24 AR17:AR24 AT17:AT24 AV17:AV24 AZ17:AZ24 BB17:BB24 BG17:BG24 BI17:BI24 BK17:BK24 BM17:BM24 BO17:BO24 BQ17:BQ24 AX19 BE19 G22:J24 L22:L24 N22:P24 R22:R24 T22:T24 AA22:AA24 AC22:AC24 AE22:AE24 AG22:AG24 AI22:AJ24 AX22:AX24 BE22:BE24 M26:M40 AB26:AB40 AQ26:AQ40 BF26:BF40 H27 L27:L35 U27 W27 AH27 AJ27 BA27 BC27 BJ27:BJ28 BL27 AF28:AF39 Y29 AD29:AD31 AH29:AH39 AJ29:AJ30 AL29:AL30 AN29:AN30 AY29:AY30 BA29:BA30 BH29:BH30 BN29:BN30 BP29:BP30 U30 W30 AS30 AW30 BC30 BL30 Y32:Y40 AJ32:AJ34 AY32 BA32 BC32 U33:U40 W33:W40 AD33:AD39 AL33 AU33 AW33 BH33:BH39 BJ33:BJ39 BL33:BL39 AS34:AS40 BN34:BN39 AU37:AU40 AW37:AW40 AY37:AY40 L39 AJ39 AN39 O40 Q40 S40 BA40 BC40">
    <cfRule type="expression" dxfId="1" priority="304">
      <formula>M7="BigNB"</formula>
    </cfRule>
  </conditionalFormatting>
  <conditionalFormatting sqref="M7:M24 AB7:AB24 AQ7:AQ24 BF7:BF24 Q8:Q24 S8:S24 Y8:Y24 AD8:AD24 AF8:AF24 AH8:AH24 AL8:AL24 AN8:AN24 AS8:AS24 AU8:AU24 AW8:AW24 AY8:AY24 BA8:BA24 BC8:BC24 BH8:BH24 BJ8:BJ24 BL8:BL24 BN8:BN24 BP8:BP24 W9 AJ9:AJ17 U10 BR11 O12 U12 W12:W15 BI12 BR13 U14:U15 BK14:BK15 BM14 O15 V17:X24 AK17:AK24 AM17:AM24 AP17:AP24 AR17:AR24 AT17:AT24 AV17:AV24 AZ17:AZ24 BB17:BB24 BG17:BG24 BI17:BI24 BK17:BK24 BM17:BM24 BO17:BO24 BQ17:BQ24 AX19 BE19 G22:J24 L22:L24 N22:P24 R22:R24 T22:T24 AA22:AA24 AC22:AC24 AE22:AE24 AG22:AG24 AI22:AJ24 AX22:AX24 BE22:BE24 M26:M40 AB26:AB40 AQ26:AQ40 BF26:BF40 H27 L27:L35 U27 W27 AH27 AJ27 BA27 BC27 BJ27:BJ28 BL27 AF28:AF39 Y29 AD29:AD31 AH29:AH39 AJ29:AJ30 AL29:AL30 AN29:AN30 AY29:AY30 BA29:BA30 BH29:BH30 BN29:BN30 BP29:BP30 U30 W30 AS30 AW30 BC30 BL30 Y32:Y40 AJ32:AJ34 AY32 BA32 BC32 U33:U40 W33:W40 AD33:AD39 AL33 AU33 AW33 BH33:BH39 BJ33:BJ39 BL33:BL39 AS34:AS40 BN34:BN39 AU37:AU40 AW37:AW40 AY37:AY40 L39 AJ39 AN39 O40 Q40 S40 BA40 BC40">
    <cfRule type="expression" dxfId="1" priority="305">
      <formula>M7="GaNB"</formula>
    </cfRule>
  </conditionalFormatting>
  <conditionalFormatting sqref="M7:M24 AB7:AB24 AQ7:AQ24 BF7:BF24 Q8:Q24 S8:S24 Y8:Y24 AD8:AD24 AF8:AF24 AH8:AH24 AL8:AL24 AN8:AN24 AS8:AS24 AU8:AU24 AW8:AW24 AY8:AY24 BA8:BA24 BC8:BC24 BH8:BH24 BJ8:BJ24 BL8:BL24 BN8:BN24 BP8:BP24 W9 AJ9:AJ17 U10 BR11 O12 U12 W12:W15 BI12 BR13 U14:U15 BK14:BK15 BM14 O15 V17:X24 AK17:AK24 AM17:AM24 AP17:AP24 AR17:AR24 AT17:AT24 AV17:AV24 AZ17:AZ24 BB17:BB24 BG17:BG24 BI17:BI24 BK17:BK24 BM17:BM24 BO17:BO24 BQ17:BQ24 AX19 BE19 G22:J24 L22:L24 N22:P24 R22:R24 T22:T24 AA22:AA24 AC22:AC24 AE22:AE24 AG22:AG24 AI22:AJ24 AX22:AX24 BE22:BE24 M26:M40 AB26:AB40 AQ26:AQ40 BF26:BF40 H27 L27:L35 U27 W27 AH27 AJ27 BA27 BC27 BJ27:BJ28 BL27 AF28:AF39 Y29 AD29:AD31 AH29:AH39 AJ29:AJ30 AL29:AL30 AN29:AN30 AY29:AY30 BA29:BA30 BH29:BH30 BN29:BN30 BP29:BP30 U30 W30 AS30 AW30 BC30 BL30 Y32:Y40 AJ32:AJ34 AY32 BA32 BC32 U33:U40 W33:W40 AD33:AD39 AL33 AU33 AW33 BH33:BH39 BJ33:BJ39 BL33:BL39 AS34:AS40 BN34:BN39 AU37:AU40 AW37:AW40 AY37:AY40 L39 AJ39 AN39 O40 Q40 S40 BA40 BC40">
    <cfRule type="expression" dxfId="2" priority="306">
      <formula>M7="BigNĐ"</formula>
    </cfRule>
  </conditionalFormatting>
  <conditionalFormatting sqref="M7:M24 AB7:AB24 AQ7:AQ24 BF7:BF24 Q8:Q24 S8:S24 Y8:Y24 AD8:AD24 AF8:AF24 AH8:AH24 AL8:AL24 AN8:AN24 AS8:AS24 AU8:AU24 AW8:AW24 AY8:AY24 BA8:BA24 BC8:BC24 BH8:BH24 BJ8:BJ24 BL8:BL24 BN8:BN24 BP8:BP24 W9 AJ9:AJ17 U10 BR11 O12 U12 W12:W15 BI12 BR13 U14:U15 BK14:BK15 BM14 O15 V17:X24 AK17:AK24 AM17:AM24 AP17:AP24 AR17:AR24 AT17:AT24 AV17:AV24 AZ17:AZ24 BB17:BB24 BG17:BG24 BI17:BI24 BK17:BK24 BM17:BM24 BO17:BO24 BQ17:BQ24 AX19 BE19 G22:J24 L22:L24 N22:P24 R22:R24 T22:T24 AA22:AA24 AC22:AC24 AE22:AE24 AG22:AG24 AI22:AJ24 AX22:AX24 BE22:BE24 M26:M40 AB26:AB40 AQ26:AQ40 BF26:BF40 H27 L27:L35 U27 W27 AH27 AJ27 BA27 BC27 BJ27:BJ28 BL27 AF28:AF39 Y29 AD29:AD31 AH29:AH39 AJ29:AJ30 AL29:AL30 AN29:AN30 AY29:AY30 BA29:BA30 BH29:BH30 BN29:BN30 BP29:BP30 U30 W30 AS30 AW30 BC30 BL30 Y32:Y40 AJ32:AJ34 AY32 BA32 BC32 U33:U40 W33:W40 AD33:AD39 AL33 AU33 AW33 BH33:BH39 BJ33:BJ39 BL33:BL39 AS34:AS40 BN34:BN39 AU37:AU40 AW37:AW40 AY37:AY40 L39 AJ39 AN39 O40 Q40 S40 BA40 BC40">
    <cfRule type="expression" dxfId="2" priority="307">
      <formula>M7="GaNĐ"</formula>
    </cfRule>
  </conditionalFormatting>
  <conditionalFormatting sqref="AU8 BC8:BC24 BF8:BF24 BH8:BH9 BN8:BN24 BP8:BP24 Y9 AN9 AS9 AW9 AY9 BL9:BL15 AF10:AF11 AQ10:AQ11 AU10:AU13 BJ10:BJ16 AH11 AL11 AW11 AY11 BA11 BH11:BH12 AS12 W13 Y13:Y14 AB13 AF13 AH13:AH15 AL13 AN13:AN15 AQ13 AW13:AW17 BA13:BA15 AJ14 AY14 O15 AD15 AF15 AL15 AS15 AU15:AU16 BH15 AJ16:AJ17 AY16:AY17 AH17 AL17:AL18 BA17:BA18 BL17 AF18 AU18 BJ18 AS22 M26:M40 AB26:AB40 AQ26:AQ40 BF26:BF40 H27 U27 W27 AH27 AJ27 BC27 AF28:AF39 Y29 AD29:AD31 AH29:AH39 AJ29:AJ30 AL29:AL30 AN29:AN30 BH29:BH30 BN29:BN30 BP29:BP30 U30 W30 AW30 BC30 BL30 Y32:Y40 AJ32:AJ34 AY32 BA32 BC32 U33:U40 W33:W40 AD33:AD39 AL33 AU33 AW33 BH33:BH39 BJ33:BJ39 BL33:BL39 AS34:AS40 BN34:BN39 AU37:AU40 AW37:AW40 AY37:AY40 AJ39 AN39 O40 Q40 S40 BA40 BC40">
    <cfRule type="expression" dxfId="1" priority="308">
      <formula>AU8="BigNB"</formula>
    </cfRule>
  </conditionalFormatting>
  <conditionalFormatting sqref="AU8 BC8:BC24 BF8:BF24 BH8:BH9 BN8:BN24 BP8:BP24 Y9 AN9 AS9 AW9 AY9 BL9:BL15 AF10:AF11 AQ10:AQ11 AU10:AU13 BJ10:BJ16 AH11 AL11 AW11 AY11 BA11 BH11:BH12 AS12 W13 Y13:Y14 AB13 AF13 AH13:AH15 AL13 AN13:AN15 AQ13 AW13:AW17 BA13:BA15 AJ14 AY14 O15 AD15 AF15 AL15 AS15 AU15:AU16 BH15 AJ16:AJ17 AY16:AY17 AH17 AL17:AL18 BA17:BA18 BL17 AF18 AU18 BJ18 AS22 M26:M40 AB26:AB40 AQ26:AQ40 BF26:BF40 H27 U27 W27 AH27 AJ27 BC27 AF28:AF39 Y29 AD29:AD31 AH29:AH39 AJ29:AJ30 AL29:AL30 AN29:AN30 BH29:BH30 BN29:BN30 BP29:BP30 U30 W30 AW30 BC30 BL30 Y32:Y40 AJ32:AJ34 AY32 BA32 BC32 U33:U40 W33:W40 AD33:AD39 AL33 AU33 AW33 BH33:BH39 BJ33:BJ39 BL33:BL39 AS34:AS40 BN34:BN39 AU37:AU40 AW37:AW40 AY37:AY40 AJ39 AN39 O40 Q40 S40 BA40 BC40">
    <cfRule type="expression" dxfId="1" priority="309">
      <formula>AU8="GaNB"</formula>
    </cfRule>
  </conditionalFormatting>
  <conditionalFormatting sqref="AU8 BC8:BC24 BF8:BF24 BH8:BH9 BN8:BN24 BP8:BP24 Y9 AN9 AS9 AW9 AY9 BL9:BL15 AF10:AF11 AQ10:AQ11 AU10:AU13 BJ10:BJ16 AH11 AL11 AW11 AY11 BA11 BH11:BH12 AS12 W13 Y13:Y14 AB13 AF13 AH13:AH15 AL13 AN13:AN15 AQ13 AW13:AW17 BA13:BA15 AJ14 AY14 O15 AD15 AF15 AL15 AS15 AU15:AU16 BH15 AJ16:AJ17 AY16:AY17 AH17 AL17:AL18 BA17:BA18 BL17 AF18 AU18 BJ18 AS22 M26:M40 AB26:AB40 AQ26:AQ40 BF26:BF40 H27 U27 W27 AH27 AJ27 BC27 AF28:AF39 Y29 AD29:AD31 AH29:AH39 AJ29:AJ30 AL29:AL30 AN29:AN30 BH29:BH30 BN29:BN30 BP29:BP30 U30 W30 AW30 BC30 BL30 Y32:Y40 AJ32:AJ34 AY32 BA32 BC32 U33:U40 W33:W40 AD33:AD39 AL33 AU33 AW33 BH33:BH39 BJ33:BJ39 BL33:BL39 AS34:AS40 BN34:BN39 AU37:AU40 AW37:AW40 AY37:AY40 AJ39 AN39 O40 Q40 S40 BA40 BC40">
    <cfRule type="expression" dxfId="2" priority="310">
      <formula>AU8="BigNĐ"</formula>
    </cfRule>
  </conditionalFormatting>
  <conditionalFormatting sqref="AU8 BC8:BC24 BF8:BF24 BH8:BH9 BN8:BN24 BP8:BP24 Y9 AN9 AS9 AW9 AY9 BL9:BL15 AF10:AF11 AQ10:AQ11 AU10:AU13 BJ10:BJ16 AH11 AL11 AW11 AY11 BA11 BH11:BH12 AS12 W13 Y13:Y14 AB13 AF13 AH13:AH15 AL13 AN13:AN15 AQ13 AW13:AW17 BA13:BA15 AJ14 AY14 O15 AD15 AF15 AL15 AS15 AU15:AU16 BH15 AJ16:AJ17 AY16:AY17 AH17 AL17:AL18 BA17:BA18 BL17 AF18 AU18 BJ18 AS22 M26:M40 AB26:AB40 AQ26:AQ40 BF26:BF40 H27 U27 W27 AH27 AJ27 BC27 AF28:AF39 Y29 AD29:AD31 AH29:AH39 AJ29:AJ30 AL29:AL30 AN29:AN30 BH29:BH30 BN29:BN30 BP29:BP30 U30 W30 AW30 BC30 BL30 Y32:Y40 AJ32:AJ34 AY32 BA32 BC32 U33:U40 W33:W40 AD33:AD39 AL33 AU33 AW33 BH33:BH39 BJ33:BJ39 BL33:BL39 AS34:AS40 BN34:BN39 AU37:AU40 AW37:AW40 AY37:AY40 AJ39 AN39 O40 Q40 S40 BA40 BC40">
    <cfRule type="expression" dxfId="2" priority="311">
      <formula>AU8="GaNĐ"</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0" priority="312">
      <formula>E7="C6"</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1" priority="313">
      <formula>E7="TC6"</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1" priority="314">
      <formula>E7="TC5"</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1" priority="315">
      <formula>E7="TC4"</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1" priority="316">
      <formula>E7="TC3"</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1" priority="317">
      <formula>E7="TC2"</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1" priority="318">
      <formula>E7="TC1"</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8" priority="319">
      <formula>E7="Full"</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9" priority="320">
      <formula>E7="OFF"</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10" priority="321">
      <formula>E7="Gãy 2"</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10" priority="322">
      <formula>E7="Gãy 1"</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2" priority="323">
      <formula>E7="HC4"</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2" priority="324">
      <formula>E7="HC3"</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2" priority="325">
      <formula>E7="HC2"</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2" priority="326">
      <formula>E7="HC1"</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3" priority="327">
      <formula>E7="C5"</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4" priority="328">
      <formula>E7="C4"</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5" priority="329">
      <formula>E7="C3"</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0" priority="330">
      <formula>E7="C2"</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26" priority="331">
      <formula>E7="C1"</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16" priority="332">
      <formula>E7="S4"</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17" priority="333">
      <formula>E7="S3"</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18" priority="334">
      <formula>E7="S2"</formula>
    </cfRule>
  </conditionalFormatting>
  <conditionalFormatting sqref="E7 N7:N24 R7 AC7:AC24 AG7 AM7 AR7:AR24 AV7 BG7:BG24 BI7:BI24 BK7:BK24 BM7:BM24 BO7:BO24 AA8:AA24 AP8:AP24 AT8 BE8:BE24 R12:R13 AG12:AG13 AK12 AV12:AV13 AZ12 BQ12 AE14:AE16 AT14:AT16 P15:P16 R15 AG15 AV15 BQ15:BQ24 R17 AG17 AV17 P18:P19 AE18:AE19 AT18:AT19 AV19 AX19 AZ19 BB19 L22:L24 N26:N40 P26:P39 R26:R40 T26:T39 V26:V39 X26:X39 AA26:AA39 AC26:AC40 AE26:AE40 AG26:AG40 AI26:AI40 AK26:AK40 AM26:AM40 AP26:AP39 AR26:AR40 AT26:AT39 AV26:AV40 AX26:AX39 AZ26:AZ39 BB26:BB39 BE26:BE40 BG26:BG40 BI26:BI39 BK26:BK40 BM26:BM39 BO26:BO40 BQ26:BQ39 L27:L35 L39">
    <cfRule type="expression" dxfId="19" priority="335">
      <formula>E7="S1"</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0" priority="336">
      <formula>E7="C6"</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1" priority="337">
      <formula>E7="TC6"</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1" priority="338">
      <formula>E7="TC5"</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1" priority="339">
      <formula>E7="TC4"</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1" priority="340">
      <formula>E7="TC3"</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1" priority="341">
      <formula>E7="TC2"</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1" priority="342">
      <formula>E7="TC1"</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8" priority="343">
      <formula>E7="Full"</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9" priority="344">
      <formula>E7="OFF"</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10" priority="345">
      <formula>E7="Gãy 2"</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10" priority="346">
      <formula>E7="Gãy 1"</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2" priority="347">
      <formula>E7="HC4"</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2" priority="348">
      <formula>E7="HC3"</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2" priority="349">
      <formula>E7="HC2"</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2" priority="350">
      <formula>E7="HC1"</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3" priority="351">
      <formula>E7="C5"</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4" priority="352">
      <formula>E7="C4"</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5" priority="353">
      <formula>E7="C3"</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0" priority="354">
      <formula>E7="C2"</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26" priority="355">
      <formula>E7="C1"</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16" priority="356">
      <formula>E7="S4"</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17" priority="357">
      <formula>E7="S3"</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18" priority="358">
      <formula>E7="S2"</formula>
    </cfRule>
  </conditionalFormatting>
  <conditionalFormatting sqref="E7 R7 AG7 AM7 AR7 AV7 BK7 AP8:AP9 BE8:BE24 BG10:BG24 BI10:BI24 BK10:BK24 BM10:BM24 BO10:BO24 AP11 AR12:AR13 AE14 AT14:AT15 AR16 AP18:AP19 AR19 AT19 AV19 AX19 AZ19 BB19 BQ19 N26:N40 P26:P40 R26:R40 T26:T40 V26:V40 X26:X40 AA26:AA40 AC26:AC40 AE26:AE40 AG26:AG40 AI26:AI40 AK26:AK40 AM26:AM40 AP26:AP40 AR26:AR40 AT26:AT40 AV26:AV40 AX26:AX40 AZ26:AZ40 BB26:BB40 BE26:BE40 BG26:BG40 BI26:BI40 BK26:BK40 BM26:BM40 BO26:BO40 BQ26:BQ40 E40 G40 I40 L40">
    <cfRule type="expression" dxfId="19" priority="359">
      <formula>E7="S1"</formula>
    </cfRule>
  </conditionalFormatting>
  <conditionalFormatting sqref="O7:O24 AD7:AD24 AS7:AS24 BH7:BH24 AB8:AB24 AF8:AF24 AH8:AH24 AJ8:AJ24 AL8:AL24 AN8:AN24 AQ8:AQ24 AU8:AU24 AW8:AW24 AY8:AY24 BA8:BA24 BC8:BC24 BF8:BF24 BJ8:BJ24 BL8:BL24 BN8:BN24 BP8:BP24 W9 Y9 H10 M11 Q11 S11:S12 W11:W24 Y11:Y16 U12 H13 M13 BR13 J14 Q14 S14 U14:U17 Q16:Q24 S16:S24 AM17:AM24 AP17:AP24 AR17:AR24 AT17:AT24 AV17:AV24 BB17:BB24 BG17:BG24 BI17:BI24 BK17:BK24 BM17:BM24 BO17:BO24 BQ17:BQ24 Y18 AX19 AZ19 BE19 H22:H24 M22:M24 Y22:Y24 O26:O40 AD26:AD40 AS26:AS40 BH26:BH40 H27 S27 U27 W27 AH27:AH32 AJ27 AY27 BC27 BJ27 M28 AB28:AB29 AF28:AF30 AQ28 BF28 H29 S29:S30 Y29 AU29:AU30 AW29:AW30 AY29 BL29:BL30 BP29:BP30 M30 U30 AQ30 BF30 BJ30 W32:W34 Y32:Y39 AB32:AB33 AF32 AJ32 AU32:AU33 AW32:AW33 AY32:AY33 BA32 BC32 BF32 BJ32 M33:M39 Q33:Q39 U33:U39 AL33 AN33 H34:H39 J34:J39 S34:S39 AQ34:AQ39 AN39">
    <cfRule type="expression" dxfId="1" priority="360">
      <formula>O7="BigNB"</formula>
    </cfRule>
  </conditionalFormatting>
  <conditionalFormatting sqref="O7:O24 AD7:AD24 AS7:AS24 BH7:BH24 AB8:AB24 AF8:AF24 AH8:AH24 AJ8:AJ24 AL8:AL24 AN8:AN24 AQ8:AQ24 AU8:AU24 AW8:AW24 AY8:AY24 BA8:BA24 BC8:BC24 BF8:BF24 BJ8:BJ24 BL8:BL24 BN8:BN24 BP8:BP24 W9 Y9 H10 M11 Q11 S11:S12 W11:W24 Y11:Y16 U12 H13 M13 BR13 J14 Q14 S14 U14:U17 Q16:Q24 S16:S24 AM17:AM24 AP17:AP24 AR17:AR24 AT17:AT24 AV17:AV24 BB17:BB24 BG17:BG24 BI17:BI24 BK17:BK24 BM17:BM24 BO17:BO24 BQ17:BQ24 Y18 AX19 AZ19 BE19 H22:H24 M22:M24 Y22:Y24 O26:O40 AD26:AD40 AS26:AS40 BH26:BH40 H27 S27 U27 W27 AH27:AH32 AJ27 AY27 BC27 BJ27 M28 AB28:AB29 AF28:AF30 AQ28 BF28 H29 S29:S30 Y29 AU29:AU30 AW29:AW30 AY29 BL29:BL30 BP29:BP30 M30 U30 AQ30 BF30 BJ30 W32:W34 Y32:Y39 AB32:AB33 AF32 AJ32 AU32:AU33 AW32:AW33 AY32:AY33 BA32 BC32 BF32 BJ32 M33:M39 Q33:Q39 U33:U39 AL33 AN33 H34:H39 J34:J39 S34:S39 AQ34:AQ39 AN39">
    <cfRule type="expression" dxfId="1" priority="361">
      <formula>O7="GaNB"</formula>
    </cfRule>
  </conditionalFormatting>
  <conditionalFormatting sqref="O7:O24 AD7:AD24 AS7:AS24 BH7:BH24 AB8:AB24 AF8:AF24 AH8:AH24 AJ8:AJ24 AL8:AL24 AN8:AN24 AQ8:AQ24 AU8:AU24 AW8:AW24 AY8:AY24 BA8:BA24 BC8:BC24 BF8:BF24 BJ8:BJ24 BL8:BL24 BN8:BN24 BP8:BP24 W9 Y9 H10 M11 Q11 S11:S12 W11:W24 Y11:Y16 U12 H13 M13 BR13 J14 Q14 S14 U14:U17 Q16:Q24 S16:S24 AM17:AM24 AP17:AP24 AR17:AR24 AT17:AT24 AV17:AV24 BB17:BB24 BG17:BG24 BI17:BI24 BK17:BK24 BM17:BM24 BO17:BO24 BQ17:BQ24 Y18 AX19 AZ19 BE19 H22:H24 M22:M24 Y22:Y24 O26:O40 AD26:AD40 AS26:AS40 BH26:BH40 H27 S27 U27 W27 AH27:AH32 AJ27 AY27 BC27 BJ27 M28 AB28:AB29 AF28:AF30 AQ28 BF28 H29 S29:S30 Y29 AU29:AU30 AW29:AW30 AY29 BL29:BL30 BP29:BP30 M30 U30 AQ30 BF30 BJ30 W32:W34 Y32:Y39 AB32:AB33 AF32 AJ32 AU32:AU33 AW32:AW33 AY32:AY33 BA32 BC32 BF32 BJ32 M33:M39 Q33:Q39 U33:U39 AL33 AN33 H34:H39 J34:J39 S34:S39 AQ34:AQ39 AN39">
    <cfRule type="expression" dxfId="2" priority="362">
      <formula>O7="BigNĐ"</formula>
    </cfRule>
  </conditionalFormatting>
  <conditionalFormatting sqref="O7:O24 AD7:AD24 AS7:AS24 BH7:BH24 AB8:AB24 AF8:AF24 AH8:AH24 AJ8:AJ24 AL8:AL24 AN8:AN24 AQ8:AQ24 AU8:AU24 AW8:AW24 AY8:AY24 BA8:BA24 BC8:BC24 BF8:BF24 BJ8:BJ24 BL8:BL24 BN8:BN24 BP8:BP24 W9 Y9 H10 M11 Q11 S11:S12 W11:W24 Y11:Y16 U12 H13 M13 BR13 J14 Q14 S14 U14:U17 Q16:Q24 S16:S24 AM17:AM24 AP17:AP24 AR17:AR24 AT17:AT24 AV17:AV24 BB17:BB24 BG17:BG24 BI17:BI24 BK17:BK24 BM17:BM24 BO17:BO24 BQ17:BQ24 Y18 AX19 AZ19 BE19 H22:H24 M22:M24 Y22:Y24 O26:O40 AD26:AD40 AS26:AS40 BH26:BH40 H27 S27 U27 W27 AH27:AH32 AJ27 AY27 BC27 BJ27 M28 AB28:AB29 AF28:AF30 AQ28 BF28 H29 S29:S30 Y29 AU29:AU30 AW29:AW30 AY29 BL29:BL30 BP29:BP30 M30 U30 AQ30 BF30 BJ30 W32:W34 Y32:Y39 AB32:AB33 AF32 AJ32 AU32:AU33 AW32:AW33 AY32:AY33 BA32 BC32 BF32 BJ32 M33:M39 Q33:Q39 U33:U39 AL33 AN33 H34:H39 J34:J39 S34:S39 AQ34:AQ39 AN39">
    <cfRule type="expression" dxfId="2" priority="363">
      <formula>O7="GaNĐ"</formula>
    </cfRule>
  </conditionalFormatting>
  <conditionalFormatting sqref="O8:O24 AD8:AD24 AF8:AF24 AH8:AH24 AJ8:AJ24 AN8:AN10 AS8:AS24 AU8:AU24 AW8:AW24 AY8:AY24 BA8:BA24 BC8:BC24 BF8:BF24 BH8:BH24 BJ8:BJ24 BL8:BL24 BN8:BN24 BP8:BP24 Y9 AB9 AL9:AL11 AQ9:AQ11 Q11 S11 AB11 U12 W13:W17 Y13 AB13 AL13:AL24 AN13 AQ13:AQ24 BR13 Q14 Y15:Y16 AN15:AN24 Q16:Q18 S16 U16:U17 AB16 AM17:AM24 AP17:AP24 AR17:AR24 AT17:AT24 AV17:AV24 BB17:BB24 BG17:BG24 BI17:BI24 BK17:BK24 BM17:BM24 BO17:BO24 BQ17:BQ24 Y18 AB18 AX19 AZ19 BE19 S22:S24 Y22:Y24 O26:O40 AD26:AD40 AS26:AS40 BH26:BH40 S27 W27 AH27:AH32 AJ27 AY27 BC27 BJ27 AB28:AB29 AF28:AF30 H29 Y29 AU29:AU30 AW29 AY29 M30 U30 AQ30 BF30 BJ30 W32:W34 Y32:Y39 AB32:AB33 AF32 AJ32 AU32:AU33 AW32:AW33 AY32:AY33 BA32 BC32 BF32 BJ32 Q33:Q39 U33:U39 AL33 AN33 H34:H39 J34:J39 M34:M39 S34:S39 AQ34:AQ39 AN39">
    <cfRule type="expression" dxfId="1" priority="364">
      <formula>O8="BigNB"</formula>
    </cfRule>
  </conditionalFormatting>
  <conditionalFormatting sqref="O8:O24 AD8:AD24 AF8:AF24 AH8:AH24 AJ8:AJ24 AN8:AN10 AS8:AS24 AU8:AU24 AW8:AW24 AY8:AY24 BA8:BA24 BC8:BC24 BF8:BF24 BH8:BH24 BJ8:BJ24 BL8:BL24 BN8:BN24 BP8:BP24 Y9 AB9 AL9:AL11 AQ9:AQ11 Q11 S11 AB11 U12 W13:W17 Y13 AB13 AL13:AL24 AN13 AQ13:AQ24 BR13 Q14 Y15:Y16 AN15:AN24 Q16:Q18 S16 U16:U17 AB16 AM17:AM24 AP17:AP24 AR17:AR24 AT17:AT24 AV17:AV24 BB17:BB24 BG17:BG24 BI17:BI24 BK17:BK24 BM17:BM24 BO17:BO24 BQ17:BQ24 Y18 AB18 AX19 AZ19 BE19 S22:S24 Y22:Y24 O26:O40 AD26:AD40 AS26:AS40 BH26:BH40 S27 W27 AH27:AH32 AJ27 AY27 BC27 BJ27 AB28:AB29 AF28:AF30 H29 Y29 AU29:AU30 AW29 AY29 M30 U30 AQ30 BF30 BJ30 W32:W34 Y32:Y39 AB32:AB33 AF32 AJ32 AU32:AU33 AW32:AW33 AY32:AY33 BA32 BC32 BF32 BJ32 Q33:Q39 U33:U39 AL33 AN33 H34:H39 J34:J39 M34:M39 S34:S39 AQ34:AQ39 AN39">
    <cfRule type="expression" dxfId="1" priority="365">
      <formula>O8="GaNB"</formula>
    </cfRule>
  </conditionalFormatting>
  <conditionalFormatting sqref="O8:O24 AD8:AD24 AF8:AF24 AH8:AH24 AJ8:AJ24 AN8:AN10 AS8:AS24 AU8:AU24 AW8:AW24 AY8:AY24 BA8:BA24 BC8:BC24 BF8:BF24 BH8:BH24 BJ8:BJ24 BL8:BL24 BN8:BN24 BP8:BP24 Y9 AB9 AL9:AL11 AQ9:AQ11 Q11 S11 AB11 U12 W13:W17 Y13 AB13 AL13:AL24 AN13 AQ13:AQ24 BR13 Q14 Y15:Y16 AN15:AN24 Q16:Q18 S16 U16:U17 AB16 AM17:AM24 AP17:AP24 AR17:AR24 AT17:AT24 AV17:AV24 BB17:BB24 BG17:BG24 BI17:BI24 BK17:BK24 BM17:BM24 BO17:BO24 BQ17:BQ24 Y18 AB18 AX19 AZ19 BE19 S22:S24 Y22:Y24 O26:O40 AD26:AD40 AS26:AS40 BH26:BH40 S27 W27 AH27:AH32 AJ27 AY27 BC27 BJ27 AB28:AB29 AF28:AF30 H29 Y29 AU29:AU30 AW29 AY29 M30 U30 AQ30 BF30 BJ30 W32:W34 Y32:Y39 AB32:AB33 AF32 AJ32 AU32:AU33 AW32:AW33 AY32:AY33 BA32 BC32 BF32 BJ32 Q33:Q39 U33:U39 AL33 AN33 H34:H39 J34:J39 M34:M39 S34:S39 AQ34:AQ39 AN39">
    <cfRule type="expression" dxfId="2" priority="366">
      <formula>O8="BigNĐ"</formula>
    </cfRule>
  </conditionalFormatting>
  <conditionalFormatting sqref="O8:O24 AD8:AD24 AF8:AF24 AH8:AH24 AJ8:AJ24 AN8:AN10 AS8:AS24 AU8:AU24 AW8:AW24 AY8:AY24 BA8:BA24 BC8:BC24 BF8:BF24 BH8:BH24 BJ8:BJ24 BL8:BL24 BN8:BN24 BP8:BP24 Y9 AB9 AL9:AL11 AQ9:AQ11 Q11 S11 AB11 U12 W13:W17 Y13 AB13 AL13:AL24 AN13 AQ13:AQ24 BR13 Q14 Y15:Y16 AN15:AN24 Q16:Q18 S16 U16:U17 AB16 AM17:AM24 AP17:AP24 AR17:AR24 AT17:AT24 AV17:AV24 BB17:BB24 BG17:BG24 BI17:BI24 BK17:BK24 BM17:BM24 BO17:BO24 BQ17:BQ24 Y18 AB18 AX19 AZ19 BE19 S22:S24 Y22:Y24 O26:O40 AD26:AD40 AS26:AS40 BH26:BH40 S27 W27 AH27:AH32 AJ27 AY27 BC27 BJ27 AB28:AB29 AF28:AF30 H29 Y29 AU29:AU30 AW29 AY29 M30 U30 AQ30 BF30 BJ30 W32:W34 Y32:Y39 AB32:AB33 AF32 AJ32 AU32:AU33 AW32:AW33 AY32:AY33 BA32 BC32 BF32 BJ32 Q33:Q39 U33:U39 AL33 AN33 H34:H39 J34:J39 M34:M39 S34:S39 AQ34:AQ39 AN39">
    <cfRule type="expression" dxfId="2" priority="367">
      <formula>O8="GaNĐ"</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0" priority="368">
      <formula>P7="C6"</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1" priority="369">
      <formula>P7="TC6"</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1" priority="370">
      <formula>P7="TC5"</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1" priority="371">
      <formula>P7="TC4"</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1" priority="372">
      <formula>P7="TC3"</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1" priority="373">
      <formula>P7="TC2"</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1" priority="374">
      <formula>P7="TC1"</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8" priority="375">
      <formula>P7="Full"</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9" priority="376">
      <formula>P7="OFF"</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10" priority="377">
      <formula>P7="Gãy 2"</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10" priority="378">
      <formula>P7="Gãy 1"</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2" priority="379">
      <formula>P7="HC4"</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2" priority="380">
      <formula>P7="HC3"</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2" priority="381">
      <formula>P7="HC2"</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2" priority="382">
      <formula>P7="HC1"</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3" priority="383">
      <formula>P7="C5"</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4" priority="384">
      <formula>P7="C4"</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5" priority="385">
      <formula>P7="C3"</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0" priority="386">
      <formula>P7="C2"</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26" priority="387">
      <formula>P7="C1"</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16" priority="388">
      <formula>P7="S4"</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17" priority="389">
      <formula>P7="S3"</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18" priority="390">
      <formula>P7="S2"</formula>
    </cfRule>
  </conditionalFormatting>
  <conditionalFormatting sqref="P7:P24 R7 AC7:AC24 AE7:AE24 AG7 AM7 AR7:AR24 AT7:AT24 AV7:AV24 BI7:BI24 BK7:BK24 BM7:BM24 AA8:AA24 AP8:AP24 BE8:BE24 BG8:BG24 BO8:BO24 BQ8:BQ24 AK12 AZ12 AX19 AZ19 BB19 L22:L24 N22:N24 P26:P40 R26:R40 T26:T39 V26:V39 X26:X39 AA26:AA39 AC26:AC40 AE26:AE40 AG26:AG40 AI26:AI40 AK26:AK40 AM26:AM40 AP26:AP39 AR26:AR39 AT26:AT40 AV26:AV40 AX26:AX39 AZ26:AZ39 BB26:BB39 BE26:BE40 BG26:BG39 BI26:BI40 BK26:BK40 BM26:BM40 BO26:BO40 BQ26:BQ39 L27:L35 L39">
    <cfRule type="expression" dxfId="19" priority="391">
      <formula>P7="S1"</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0" priority="392">
      <formula>R7="C6"</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1" priority="393">
      <formula>R7="TC6"</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1" priority="394">
      <formula>R7="TC5"</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1" priority="395">
      <formula>R7="TC4"</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1" priority="396">
      <formula>R7="TC3"</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1" priority="397">
      <formula>R7="TC2"</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1" priority="398">
      <formula>R7="TC1"</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8" priority="399">
      <formula>R7="Full"</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9" priority="400">
      <formula>R7="OFF"</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10" priority="401">
      <formula>R7="Gãy 2"</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10" priority="402">
      <formula>R7="Gãy 1"</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2" priority="403">
      <formula>R7="HC4"</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2" priority="404">
      <formula>R7="HC3"</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2" priority="405">
      <formula>R7="HC2"</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2" priority="406">
      <formula>R7="HC1"</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3" priority="407">
      <formula>R7="C5"</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4" priority="408">
      <formula>R7="C4"</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5" priority="409">
      <formula>R7="C3"</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0" priority="410">
      <formula>R7="C2"</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26" priority="411">
      <formula>R7="C1"</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16" priority="412">
      <formula>R7="S4"</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17" priority="413">
      <formula>R7="S3"</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18" priority="414">
      <formula>R7="S2"</formula>
    </cfRule>
  </conditionalFormatting>
  <conditionalFormatting sqref="R7 AG7 AM7 AR7 AV7 BK7 AP8:AP9 BE8:BE24 BG10:BG24 BI10:BI24 BK10:BK24 BM10:BM24 BO10:BO24 AP11 AR12:AR13 AE14 AT14:AT15 AR16 AP18:AP19 AR19 AT19 AV19 AX19 AZ19 BB19 BQ19 P26:P40 R26:R40 T26:T40 V26:V40 X26:X40 AA26:AA40 AC26:AC40 AE26:AE40 AG26:AG40 AI26:AI40 AK26:AK40 AM26:AM40 AP26:AP40 AR26:AR40 AT26:AT40 AV26:AV40 AX26:AX40 AZ26:AZ40 BB26:BB40 BE26:BE40 BG26:BG40 BI26:BI40 BK26:BK40 BM26:BM40 BO26:BO40 BQ26:BQ40 E40 G40 I40 L40 N40">
    <cfRule type="expression" dxfId="19" priority="415">
      <formula>R7="S1"</formula>
    </cfRule>
  </conditionalFormatting>
  <conditionalFormatting sqref="Q7:Q24 AF7:AF24 AU7:AU24 BJ7:BJ24 BN7:BN24 J8:J24 S8:S24 W8:W24 Y8:Y24 AB8:AB24 AD8:AD24 AH8:AH24 AJ8:AJ24 AL8:AL24 AN8:AN24 AQ8:AQ24 AS8:AS24 AW8:AW24 AY8:AY24 BA8:BA24 BC8:BC24 BF8:BF24 BH8:BH24 BL8:BL24 BP8:BP24 F9 H9:H10 M9 O9:O24 U9:U10 BR11:BR12 U12:U24 F13 H13:H14 M13 AM17:AM24 AP17:AP24 AR17:AR24 AT17:AT24 AV17:AV24 BB17:BB24 BG17:BG24 BI17:BI24 BK17:BK24 BM17:BM24 BO17:BO24 BQ17:BQ24 M19 AX19 AZ19 BE19 H22:H24 M22:M24 Q26:Q40 AF26:AF40 AU26:AU40 BJ26:BJ40 BN26:BN40 J27 S27:S40 U27 W27 Y27 AH27:AH40 AJ27 AL27 AN27 AQ27:AQ40 AS27 AW27:AW40 AY27 BA27 BC27 BF27 BL27:BL40 BP27:BP40 BR27 AB28:AB30 BH28:BH30 H29 J29:J30 O29 U29:U40 W29:W40 Y29:Y40 AD29:AD31 AS29:AS30 AY29:AY30 BA29:BA30 BC29:BC30 BF29:BF40 M30 AN30:AN31 O31 AL31 M32:M40 AB32:AB40 AJ32:AJ40 AY32:AY40 BA32:BA40 BC32:BC40 F33:F40 H33:H40 J33:J40 O33:O40 AD33:AD40 AL33:AL40 AN33:AN40 AS33:AS40 BH33:BH40 BR34:BR40">
    <cfRule type="expression" dxfId="1" priority="416">
      <formula>Q7="BigNB"</formula>
    </cfRule>
  </conditionalFormatting>
  <conditionalFormatting sqref="Q7:Q24 AF7:AF24 AU7:AU24 BJ7:BJ24 BN7:BN24 J8:J24 S8:S24 W8:W24 Y8:Y24 AB8:AB24 AD8:AD24 AH8:AH24 AJ8:AJ24 AL8:AL24 AN8:AN24 AQ8:AQ24 AS8:AS24 AW8:AW24 AY8:AY24 BA8:BA24 BC8:BC24 BF8:BF24 BH8:BH24 BL8:BL24 BP8:BP24 F9 H9:H10 M9 O9:O24 U9:U10 BR11:BR12 U12:U24 F13 H13:H14 M13 AM17:AM24 AP17:AP24 AR17:AR24 AT17:AT24 AV17:AV24 BB17:BB24 BG17:BG24 BI17:BI24 BK17:BK24 BM17:BM24 BO17:BO24 BQ17:BQ24 M19 AX19 AZ19 BE19 H22:H24 M22:M24 Q26:Q40 AF26:AF40 AU26:AU40 BJ26:BJ40 BN26:BN40 J27 S27:S40 U27 W27 Y27 AH27:AH40 AJ27 AL27 AN27 AQ27:AQ40 AS27 AW27:AW40 AY27 BA27 BC27 BF27 BL27:BL40 BP27:BP40 BR27 AB28:AB30 BH28:BH30 H29 J29:J30 O29 U29:U40 W29:W40 Y29:Y40 AD29:AD31 AS29:AS30 AY29:AY30 BA29:BA30 BC29:BC30 BF29:BF40 M30 AN30:AN31 O31 AL31 M32:M40 AB32:AB40 AJ32:AJ40 AY32:AY40 BA32:BA40 BC32:BC40 F33:F40 H33:H40 J33:J40 O33:O40 AD33:AD40 AL33:AL40 AN33:AN40 AS33:AS40 BH33:BH40 BR34:BR40">
    <cfRule type="expression" dxfId="1" priority="417">
      <formula>Q7="GaNB"</formula>
    </cfRule>
  </conditionalFormatting>
  <conditionalFormatting sqref="Q7:Q24 AF7:AF24 AU7:AU24 BJ7:BJ24 BN7:BN24 J8:J24 S8:S24 W8:W24 Y8:Y24 AB8:AB24 AD8:AD24 AH8:AH24 AJ8:AJ24 AL8:AL24 AN8:AN24 AQ8:AQ24 AS8:AS24 AW8:AW24 AY8:AY24 BA8:BA24 BC8:BC24 BF8:BF24 BH8:BH24 BL8:BL24 BP8:BP24 F9 H9:H10 M9 O9:O24 U9:U10 BR11:BR12 U12:U24 F13 H13:H14 M13 AM17:AM24 AP17:AP24 AR17:AR24 AT17:AT24 AV17:AV24 BB17:BB24 BG17:BG24 BI17:BI24 BK17:BK24 BM17:BM24 BO17:BO24 BQ17:BQ24 M19 AX19 AZ19 BE19 H22:H24 M22:M24 Q26:Q40 AF26:AF40 AU26:AU40 BJ26:BJ40 BN26:BN40 J27 S27:S40 U27 W27 Y27 AH27:AH40 AJ27 AL27 AN27 AQ27:AQ40 AS27 AW27:AW40 AY27 BA27 BC27 BF27 BL27:BL40 BP27:BP40 BR27 AB28:AB30 BH28:BH30 H29 J29:J30 O29 U29:U40 W29:W40 Y29:Y40 AD29:AD31 AS29:AS30 AY29:AY30 BA29:BA30 BC29:BC30 BF29:BF40 M30 AN30:AN31 O31 AL31 M32:M40 AB32:AB40 AJ32:AJ40 AY32:AY40 BA32:BA40 BC32:BC40 F33:F40 H33:H40 J33:J40 O33:O40 AD33:AD40 AL33:AL40 AN33:AN40 AS33:AS40 BH33:BH40 BR34:BR40">
    <cfRule type="expression" dxfId="2" priority="418">
      <formula>Q7="BigNĐ"</formula>
    </cfRule>
  </conditionalFormatting>
  <conditionalFormatting sqref="Q7:Q24 AF7:AF24 AU7:AU24 BJ7:BJ24 BN7:BN24 J8:J24 S8:S24 W8:W24 Y8:Y24 AB8:AB24 AD8:AD24 AH8:AH24 AJ8:AJ24 AL8:AL24 AN8:AN24 AQ8:AQ24 AS8:AS24 AW8:AW24 AY8:AY24 BA8:BA24 BC8:BC24 BF8:BF24 BH8:BH24 BL8:BL24 BP8:BP24 F9 H9:H10 M9 O9:O24 U9:U10 BR11:BR12 U12:U24 F13 H13:H14 M13 AM17:AM24 AP17:AP24 AR17:AR24 AT17:AT24 AV17:AV24 BB17:BB24 BG17:BG24 BI17:BI24 BK17:BK24 BM17:BM24 BO17:BO24 BQ17:BQ24 M19 AX19 AZ19 BE19 H22:H24 M22:M24 Q26:Q40 AF26:AF40 AU26:AU40 BJ26:BJ40 BN26:BN40 J27 S27:S40 U27 W27 Y27 AH27:AH40 AJ27 AL27 AN27 AQ27:AQ40 AS27 AW27:AW40 AY27 BA27 BC27 BF27 BL27:BL40 BP27:BP40 BR27 AB28:AB30 BH28:BH30 H29 J29:J30 O29 U29:U40 W29:W40 Y29:Y40 AD29:AD31 AS29:AS30 AY29:AY30 BA29:BA30 BC29:BC30 BF29:BF40 M30 AN30:AN31 O31 AL31 M32:M40 AB32:AB40 AJ32:AJ40 AY32:AY40 BA32:BA40 BC32:BC40 F33:F40 H33:H40 J33:J40 O33:O40 AD33:AD40 AL33:AL40 AN33:AN40 AS33:AS40 BH33:BH40 BR34:BR40">
    <cfRule type="expression" dxfId="2" priority="419">
      <formula>Q7="GaNĐ"</formula>
    </cfRule>
  </conditionalFormatting>
  <conditionalFormatting sqref="AU9:AU11 AY9 BJ9:BJ11 BN9:BN12 AF10:AF11 AH11 AL11 AW11 BA11 BL11 BP11 AY12 AF13:AF14 AU13:AU14 BJ13:BJ14 AH14 AJ14 AW14 AY14:AY18 BL14 BN14:BN17 AF16 AJ16:AJ17 AU16 BJ16 AH17 AL17:AL18 AW17 BA17:BA18 BL17 BP17:BP24 AF18 AU18 BJ18 Q26:Q40 AF26:AF40 AU26:AU40 BJ26:BJ40 BN26:BN40 S27 U27 W27 AH27:AH28 AJ27 AL27 AN27 AQ27 AS27 AY27 BP27 BR27 AB28 H29 S29 Y29 AS29:AS30 AW29 AY29 BL29:BL30 BP29:BP33 M30 U30 BH30 AD31 AH31:AH32 AL31 AN31 AQ31 W32:W33 Y32 AJ32:AJ33 AW32:AW33 BL32 U33:U39 AL33 H34:H39 J34:J39 M34:M39 O34:O39 S34:S39 AQ34 AS34:AS39 AQ37:AQ39 AN39">
    <cfRule type="expression" dxfId="1" priority="420">
      <formula>AU9="BigNB"</formula>
    </cfRule>
  </conditionalFormatting>
  <conditionalFormatting sqref="AU9:AU11 AY9 BJ9:BJ11 BN9:BN12 AF10:AF11 AH11 AL11 AW11 BA11 BL11 BP11 AY12 AF13:AF14 AU13:AU14 BJ13:BJ14 AH14 AJ14 AW14 AY14:AY18 BL14 BN14:BN17 AF16 AJ16:AJ17 AU16 BJ16 AH17 AL17:AL18 AW17 BA17:BA18 BL17 BP17:BP24 AF18 AU18 BJ18 Q26:Q40 AF26:AF40 AU26:AU40 BJ26:BJ40 BN26:BN40 S27 U27 W27 AH27:AH28 AJ27 AL27 AN27 AQ27 AS27 AY27 BP27 BR27 AB28 H29 S29 Y29 AS29:AS30 AW29 AY29 BL29:BL30 BP29:BP33 M30 U30 BH30 AD31 AH31:AH32 AL31 AN31 AQ31 W32:W33 Y32 AJ32:AJ33 AW32:AW33 BL32 U33:U39 AL33 H34:H39 J34:J39 M34:M39 O34:O39 S34:S39 AQ34 AS34:AS39 AQ37:AQ39 AN39">
    <cfRule type="expression" dxfId="1" priority="421">
      <formula>AU9="GaNB"</formula>
    </cfRule>
  </conditionalFormatting>
  <conditionalFormatting sqref="AU9:AU11 AY9 BJ9:BJ11 BN9:BN12 AF10:AF11 AH11 AL11 AW11 BA11 BL11 BP11 AY12 AF13:AF14 AU13:AU14 BJ13:BJ14 AH14 AJ14 AW14 AY14:AY18 BL14 BN14:BN17 AF16 AJ16:AJ17 AU16 BJ16 AH17 AL17:AL18 AW17 BA17:BA18 BL17 BP17:BP24 AF18 AU18 BJ18 Q26:Q40 AF26:AF40 AU26:AU40 BJ26:BJ40 BN26:BN40 S27 U27 W27 AH27:AH28 AJ27 AL27 AN27 AQ27 AS27 AY27 BP27 BR27 AB28 H29 S29 Y29 AS29:AS30 AW29 AY29 BL29:BL30 BP29:BP33 M30 U30 BH30 AD31 AH31:AH32 AL31 AN31 AQ31 W32:W33 Y32 AJ32:AJ33 AW32:AW33 BL32 U33:U39 AL33 H34:H39 J34:J39 M34:M39 O34:O39 S34:S39 AQ34 AS34:AS39 AQ37:AQ39 AN39">
    <cfRule type="expression" dxfId="2" priority="422">
      <formula>AU9="BigNĐ"</formula>
    </cfRule>
  </conditionalFormatting>
  <conditionalFormatting sqref="AU9:AU11 AY9 BJ9:BJ11 BN9:BN12 AF10:AF11 AH11 AL11 AW11 BA11 BL11 BP11 AY12 AF13:AF14 AU13:AU14 BJ13:BJ14 AH14 AJ14 AW14 AY14:AY18 BL14 BN14:BN17 AF16 AJ16:AJ17 AU16 BJ16 AH17 AL17:AL18 AW17 BA17:BA18 BL17 BP17:BP24 AF18 AU18 BJ18 Q26:Q40 AF26:AF40 AU26:AU40 BJ26:BJ40 BN26:BN40 S27 U27 W27 AH27:AH28 AJ27 AL27 AN27 AQ27 AS27 AY27 BP27 BR27 AB28 H29 S29 Y29 AS29:AS30 AW29 AY29 BL29:BL30 BP29:BP33 M30 U30 BH30 AD31 AH31:AH32 AL31 AN31 AQ31 W32:W33 Y32 AJ32:AJ33 AW32:AW33 BL32 U33:U39 AL33 H34:H39 J34:J39 M34:M39 O34:O39 S34:S39 AQ34 AS34:AS39 AQ37:AQ39 AN39">
    <cfRule type="expression" dxfId="2" priority="423">
      <formula>AU9="GaNĐ"</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0" priority="424">
      <formula>R7="C6"</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1" priority="425">
      <formula>R7="TC6"</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1" priority="426">
      <formula>R7="TC5"</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1" priority="427">
      <formula>R7="TC4"</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1" priority="428">
      <formula>R7="TC3"</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1" priority="429">
      <formula>R7="TC2"</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1" priority="430">
      <formula>R7="TC1"</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8" priority="431">
      <formula>R7="Full"</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9" priority="432">
      <formula>R7="OFF"</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10" priority="433">
      <formula>R7="Gãy 2"</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10" priority="434">
      <formula>R7="Gãy 1"</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2" priority="435">
      <formula>R7="HC4"</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2" priority="436">
      <formula>R7="HC3"</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2" priority="437">
      <formula>R7="HC2"</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2" priority="438">
      <formula>R7="HC1"</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3" priority="439">
      <formula>R7="C5"</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4" priority="440">
      <formula>R7="C4"</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5" priority="441">
      <formula>R7="C3"</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0" priority="442">
      <formula>R7="C2"</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26" priority="443">
      <formula>R7="C1"</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16" priority="444">
      <formula>R7="S4"</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17" priority="445">
      <formula>R7="S3"</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18" priority="446">
      <formula>R7="S2"</formula>
    </cfRule>
  </conditionalFormatting>
  <conditionalFormatting sqref="R7:R24 T7:T24 V7:V24 X7:X24 AA7:AA24 AC7:AC24 AE7:AE24 AG7:AG24 AI7:AI24 AK7:AK24 AM7:AM24 AP7:AP24 AR7:AR24 AT7:AT24 AV7:AV24 AX7:AX24 AZ7:AZ24 BB7:BB24 BE7:BE24 BG7:BG24 BI7:BI24 BK7:BK24 BM7:BM24 BO7:BO24 BQ7:BQ24 P8:P24 AY8:AY24 AJ9 BN9 BA14 BN19 G22:G24 I22:J24 L22:O24 Q22:Q24 S22:S24 Y22:Y24 AB22:AB24 AD22:AD24 AF22:AF24 AH22:AH24 AN22:AN24 AQ22:AQ24 AS22:AS24 AU22:AU24 AW22:AW24 BF22:BF24 BH22:BH24 BJ22:BJ24 BL22:BL24 R26:R40 AG26:AG40 AI26:AI40 AK26:AK40 AM26:AM40 AP26:AP39 AR26:AR39 AT26:AT40 AV26:AV40 AX26:AX39 AZ26:AZ39 BB26:BB39 BE26:BE40 BG26:BG39 BI26:BI40 BK26:BK40 BM26:BM40 BO26:BO40 BQ26:BQ39 L27:L35 P27:P40 T27:T39 V27:V39 X27:X39 AA27:AA39 AC27:AC40 AE27:AE40 L39">
    <cfRule type="expression" dxfId="19" priority="447">
      <formula>R7="S1"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0" priority="448">
      <formula>AM7="C6"</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1" priority="449">
      <formula>AM7="TC6"</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1" priority="450">
      <formula>AM7="TC5"</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1" priority="451">
      <formula>AM7="TC4"</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1" priority="452">
      <formula>AM7="TC3"</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1" priority="453">
      <formula>AM7="TC2"</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1" priority="454">
      <formula>AM7="TC1"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8" priority="455">
      <formula>AM7="Full"</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9" priority="456">
      <formula>AM7="OFF"</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10" priority="457">
      <formula>AM7="Gãy 2"</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10" priority="458">
      <formula>AM7="Gãy 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2" priority="459">
      <formula>AM7="HC4"</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2" priority="460">
      <formula>AM7="HC3"</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2" priority="461">
      <formula>AM7="HC2"</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2" priority="462">
      <formula>AM7="HC1"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3" priority="463">
      <formula>AM7="C5"</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4" priority="464">
      <formula>AM7="C4"</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5" priority="465">
      <formula>AM7="C3"</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0" priority="466">
      <formula>AM7="C2"</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26" priority="467">
      <formula>AM7="C1"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16" priority="468">
      <formula>AM7="S4"</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17" priority="469">
      <formula>AM7="S3"</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18" priority="470">
      <formula>AM7="S2"</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S40 T26:T39 U26:U40 V26:V39 W26:W40 X26:X39 Y26:Y40 AA26:AA39 AB26:AN40 AP26:AP39 AQ26:AQ40 AR26:AR39 AS26:AS40 AT26:AT39 AU26:AW40 AX26:AX39 AY26:AY40 AZ26:AZ39 BA26:BA40 BB26:BB39 BC26:BC40 BE26:BF40 BG26:BG39 BH26:BH40 BI26:BI39 BJ26:BL40 BM26:BM39 BN26:BP40 BQ26:BQ39 L27:L35 BR27 BR34:BR40 L39">
    <cfRule type="expression" dxfId="19" priority="471">
      <formula>AM7="S1"</formula>
    </cfRule>
  </conditionalFormatting>
  <conditionalFormatting sqref="S7:S24 AH7:AH24 AW7:AW24 BL7:BL24 BP7:BP24 W8:W24 Y8:Y24 AD8:AD24 AF8:AF24 AJ8:AJ24 AL8:AL24 AN8:AN24 AS8:AS24 AU8:AU24 AY8:AY24 BA8:BA24 BC8:BC24 BF8:BF24 BH8:BH24 BJ8:BJ24 BN8:BN24 M9 O9 U9:U10 AB9:AB14 AQ9:AQ24 H10 Q11 BR11:BR12 O12:O13 U12 H13 M13 Q13:Q14 J14 U14:U16 AB16:AB24 Q17:Q24 AM17:AM24 AP17:AP24 AR17:AR24 AT17:AT24 AV17:AV24 BB17:BB24 BG17:BG24 BI17:BI24 BK17:BK24 BM17:BM24 BO17:BO24 BQ17:BQ24 U19:U24 AX19 AZ19 BE19 H22:H24 J22:J24 M22:M24 O22:O24 S26:S40 AH26:AH40 AW26:AW40 BL26:BL40 BP26:BP40 U27 W27 AF27:AF30 AJ27 AL27 AN27 AQ27 AS27 AU27 AY27 BA27 BC27 BJ27:BJ28 BN27:BN28 BR27 AB28:AB30 H29 O29 U29:U30 W29:W30 Y29:Y30 AD29:AD31 AS29:AS30 AU29:AU30 AY29:AY30 BA29:BA30 BC29:BC30 M30 AN30:AN31 AQ30:AQ31 BF30:BF31 BH30 BJ30 O31 AL31 U32:U39 W32 Y32 AF32 AJ32 AY32 BA32 M33:M39 O33:O39 Q33:Q39 AB33:AB39 AD33:AD39 AL33 AQ33:AQ39 AS33:AS39 AU33 BF33:BF39 BH33:BH39 BJ33:BJ39 BN33:BN39 H34:H39 J34:J39 AJ34 BR34:BR39 AY37:AY39 AJ39 AN39">
    <cfRule type="expression" dxfId="1" priority="472">
      <formula>S7="BigNB"</formula>
    </cfRule>
  </conditionalFormatting>
  <conditionalFormatting sqref="S7:S24 AH7:AH24 AW7:AW24 BL7:BL24 BP7:BP24 W8:W24 Y8:Y24 AD8:AD24 AF8:AF24 AJ8:AJ24 AL8:AL24 AN8:AN24 AS8:AS24 AU8:AU24 AY8:AY24 BA8:BA24 BC8:BC24 BF8:BF24 BH8:BH24 BJ8:BJ24 BN8:BN24 M9 O9 U9:U10 AB9:AB14 AQ9:AQ24 H10 Q11 BR11:BR12 O12:O13 U12 H13 M13 Q13:Q14 J14 U14:U16 AB16:AB24 Q17:Q24 AM17:AM24 AP17:AP24 AR17:AR24 AT17:AT24 AV17:AV24 BB17:BB24 BG17:BG24 BI17:BI24 BK17:BK24 BM17:BM24 BO17:BO24 BQ17:BQ24 U19:U24 AX19 AZ19 BE19 H22:H24 J22:J24 M22:M24 O22:O24 S26:S40 AH26:AH40 AW26:AW40 BL26:BL40 BP26:BP40 U27 W27 AF27:AF30 AJ27 AL27 AN27 AQ27 AS27 AU27 AY27 BA27 BC27 BJ27:BJ28 BN27:BN28 BR27 AB28:AB30 H29 O29 U29:U30 W29:W30 Y29:Y30 AD29:AD31 AS29:AS30 AU29:AU30 AY29:AY30 BA29:BA30 BC29:BC30 M30 AN30:AN31 AQ30:AQ31 BF30:BF31 BH30 BJ30 O31 AL31 U32:U39 W32 Y32 AF32 AJ32 AY32 BA32 M33:M39 O33:O39 Q33:Q39 AB33:AB39 AD33:AD39 AL33 AQ33:AQ39 AS33:AS39 AU33 BF33:BF39 BH33:BH39 BJ33:BJ39 BN33:BN39 H34:H39 J34:J39 AJ34 BR34:BR39 AY37:AY39 AJ39 AN39">
    <cfRule type="expression" dxfId="1" priority="473">
      <formula>S7="GaNB"</formula>
    </cfRule>
  </conditionalFormatting>
  <conditionalFormatting sqref="S7:S24 AH7:AH24 AW7:AW24 BL7:BL24 BP7:BP24 W8:W24 Y8:Y24 AD8:AD24 AF8:AF24 AJ8:AJ24 AL8:AL24 AN8:AN24 AS8:AS24 AU8:AU24 AY8:AY24 BA8:BA24 BC8:BC24 BF8:BF24 BH8:BH24 BJ8:BJ24 BN8:BN24 M9 O9 U9:U10 AB9:AB14 AQ9:AQ24 H10 Q11 BR11:BR12 O12:O13 U12 H13 M13 Q13:Q14 J14 U14:U16 AB16:AB24 Q17:Q24 AM17:AM24 AP17:AP24 AR17:AR24 AT17:AT24 AV17:AV24 BB17:BB24 BG17:BG24 BI17:BI24 BK17:BK24 BM17:BM24 BO17:BO24 BQ17:BQ24 U19:U24 AX19 AZ19 BE19 H22:H24 J22:J24 M22:M24 O22:O24 S26:S40 AH26:AH40 AW26:AW40 BL26:BL40 BP26:BP40 U27 W27 AF27:AF30 AJ27 AL27 AN27 AQ27 AS27 AU27 AY27 BA27 BC27 BJ27:BJ28 BN27:BN28 BR27 AB28:AB30 H29 O29 U29:U30 W29:W30 Y29:Y30 AD29:AD31 AS29:AS30 AU29:AU30 AY29:AY30 BA29:BA30 BC29:BC30 M30 AN30:AN31 AQ30:AQ31 BF30:BF31 BH30 BJ30 O31 AL31 U32:U39 W32 Y32 AF32 AJ32 AY32 BA32 M33:M39 O33:O39 Q33:Q39 AB33:AB39 AD33:AD39 AL33 AQ33:AQ39 AS33:AS39 AU33 BF33:BF39 BH33:BH39 BJ33:BJ39 BN33:BN39 H34:H39 J34:J39 AJ34 BR34:BR39 AY37:AY39 AJ39 AN39">
    <cfRule type="expression" dxfId="2" priority="474">
      <formula>S7="BigNĐ"</formula>
    </cfRule>
  </conditionalFormatting>
  <conditionalFormatting sqref="S7:S24 AH7:AH24 AW7:AW24 BL7:BL24 BP7:BP24 W8:W24 Y8:Y24 AD8:AD24 AF8:AF24 AJ8:AJ24 AL8:AL24 AN8:AN24 AS8:AS24 AU8:AU24 AY8:AY24 BA8:BA24 BC8:BC24 BF8:BF24 BH8:BH24 BJ8:BJ24 BN8:BN24 M9 O9 U9:U10 AB9:AB14 AQ9:AQ24 H10 Q11 BR11:BR12 O12:O13 U12 H13 M13 Q13:Q14 J14 U14:U16 AB16:AB24 Q17:Q24 AM17:AM24 AP17:AP24 AR17:AR24 AT17:AT24 AV17:AV24 BB17:BB24 BG17:BG24 BI17:BI24 BK17:BK24 BM17:BM24 BO17:BO24 BQ17:BQ24 U19:U24 AX19 AZ19 BE19 H22:H24 J22:J24 M22:M24 O22:O24 S26:S40 AH26:AH40 AW26:AW40 BL26:BL40 BP26:BP40 U27 W27 AF27:AF30 AJ27 AL27 AN27 AQ27 AS27 AU27 AY27 BA27 BC27 BJ27:BJ28 BN27:BN28 BR27 AB28:AB30 H29 O29 U29:U30 W29:W30 Y29:Y30 AD29:AD31 AS29:AS30 AU29:AU30 AY29:AY30 BA29:BA30 BC29:BC30 M30 AN30:AN31 AQ30:AQ31 BF30:BF31 BH30 BJ30 O31 AL31 U32:U39 W32 Y32 AF32 AJ32 AY32 BA32 M33:M39 O33:O39 Q33:Q39 AB33:AB39 AD33:AD39 AL33 AQ33:AQ39 AS33:AS39 AU33 BF33:BF39 BH33:BH39 BJ33:BJ39 BN33:BN39 H34:H39 J34:J39 AJ34 BR34:BR39 AY37:AY39 AJ39 AN39">
    <cfRule type="expression" dxfId="2" priority="475">
      <formula>S7="GaNĐ"</formula>
    </cfRule>
  </conditionalFormatting>
  <conditionalFormatting sqref="E7 G7 I7 L7 N7 R7 T7 V7 X7 AA7 AC7 AE7 AG7 AI7 AK7 AM7 AP7:AP9 AR7 AT7 AV7 AX7 AZ7 BB7 BK7 BM7 BO7 BQ7 W8:W24 AD8:AD24 AF8:AF24 AH8:AH24 AJ8:AJ24 AL8:AL24 AN8:AN11 AS8:AS24 AU8:AU24 AW8:AW24 AY8:AY24 BA8:BA24 BC8:BC24 BE8:BE24 BF8:BF14 BH8:BH24 BJ8:BJ24 BL8:BL24 BN8:BN24 BP8:BP24 S9 U9 Y9:Y10 AB9:AB11 AQ9:AQ14 BG10:BG24 BI10:BI24 BK10:BK24 BM10:BM24 BO10:BO24 L11 Q11 S11 AP11 AR12:AR13 BR12 O13 U13 Y13 AB13:AB14 AN13 E14 G14 I14 T14 V14 X14 AE14 AI14 AK14 AM14 AP14 AT14:AT15 AX14 AZ14 BB14 BQ14 U15:U16 AN15:AN24 Y16 AB16 AQ16:AR24 BF16:BF24 Q17:Q24 AM17:AM24 AP17:AP24 AT17:AT24 AV17:AV24 BB17:BB24 BQ17:BQ24 Y18 AB18 U19:U24 AX19 AZ19 H22:H24 O22:O24 S22:S24 Y22:Y24 E26:E40 G26:G40 I26:I40 L26:L35 N26:N40 P26:T40 V26:V40 X26:X40 AA26:AA40 AC26:AC40 AE26:AI40 AK26:AK40 AM26:AM40 AP26:AP40 AR26:AR40 AT26:AX40 AZ26:AZ40 BB26:BB40 BE26:BE40 BG26:BG40 BI26:BQ40 U27:U30 W27:W30 AJ27:AJ28 AL27 AN27 AQ27 AS27 AY27:AY29 BA27 BC27 BR27 Y28:Y30 AB28:AB30 H29 AD29:AD31 AS29:AS30 BC29:BC30 M30 AN30:AN31 AQ30:AQ31 BF30 BH30 AL31 U32:U39 W32:W33 Y32 AJ32:AJ34 AY32 BA32 AL33 H34:H39 J34:J39 M34:M39 O34:O39 AQ34 AS34:AS39 BR34:BR39 AQ37:AQ39 AY37:AY39 L39:L40 AJ39 AN39 A84:A85">
    <cfRule type="expression" dxfId="1" priority="476">
      <formula>E7="BigNB"</formula>
    </cfRule>
  </conditionalFormatting>
  <conditionalFormatting sqref="E7 G7 I7 L7 N7 R7 T7 V7 X7 AA7 AC7 AE7 AG7 AI7 AK7 AM7 AP7:AP9 AR7 AT7 AV7 AX7 AZ7 BB7 BK7 BM7 BO7 BQ7 W8:W24 AD8:AD24 AF8:AF24 AH8:AH24 AJ8:AJ24 AL8:AL24 AN8:AN11 AS8:AS24 AU8:AU24 AW8:AW24 AY8:AY24 BA8:BA24 BC8:BC24 BE8:BE24 BF8:BF14 BH8:BH24 BJ8:BJ24 BL8:BL24 BN8:BN24 BP8:BP24 S9 U9 Y9:Y10 AB9:AB11 AQ9:AQ14 BG10:BG24 BI10:BI24 BK10:BK24 BM10:BM24 BO10:BO24 L11 Q11 S11 AP11 AR12:AR13 BR12 O13 U13 Y13 AB13:AB14 AN13 E14 G14 I14 T14 V14 X14 AE14 AI14 AK14 AM14 AP14 AT14:AT15 AX14 AZ14 BB14 BQ14 U15:U16 AN15:AN24 Y16 AB16 AQ16:AR24 BF16:BF24 Q17:Q24 AM17:AM24 AP17:AP24 AT17:AT24 AV17:AV24 BB17:BB24 BQ17:BQ24 Y18 AB18 U19:U24 AX19 AZ19 H22:H24 O22:O24 S22:S24 Y22:Y24 E26:E40 G26:G40 I26:I40 L26:L35 N26:N40 P26:T40 V26:V40 X26:X40 AA26:AA40 AC26:AC40 AE26:AI40 AK26:AK40 AM26:AM40 AP26:AP40 AR26:AR40 AT26:AX40 AZ26:AZ40 BB26:BB40 BE26:BE40 BG26:BG40 BI26:BQ40 U27:U30 W27:W30 AJ27:AJ28 AL27 AN27 AQ27 AS27 AY27:AY29 BA27 BC27 BR27 Y28:Y30 AB28:AB30 H29 AD29:AD31 AS29:AS30 BC29:BC30 M30 AN30:AN31 AQ30:AQ31 BF30 BH30 AL31 U32:U39 W32:W33 Y32 AJ32:AJ34 AY32 BA32 AL33 H34:H39 J34:J39 M34:M39 O34:O39 AQ34 AS34:AS39 BR34:BR39 AQ37:AQ39 AY37:AY39 L39:L40 AJ39 AN39 A84:A85">
    <cfRule type="expression" dxfId="1" priority="477">
      <formula>E7="GaNB"</formula>
    </cfRule>
  </conditionalFormatting>
  <conditionalFormatting sqref="E7 G7 I7 L7 N7 R7 T7 V7 X7 AA7 AC7 AE7 AG7 AI7 AK7 AM7 AP7:AP9 AR7 AT7 AV7 AX7 AZ7 BB7 BK7 BM7 BO7 BQ7 W8:W24 AD8:AD24 AF8:AF24 AH8:AH24 AJ8:AJ24 AL8:AL24 AN8:AN11 AS8:AS24 AU8:AU24 AW8:AW24 AY8:AY24 BA8:BA24 BC8:BC24 BE8:BE24 BF8:BF14 BH8:BH24 BJ8:BJ24 BL8:BL24 BN8:BN24 BP8:BP24 S9 U9 Y9:Y10 AB9:AB11 AQ9:AQ14 BG10:BG24 BI10:BI24 BK10:BK24 BM10:BM24 BO10:BO24 L11 Q11 S11 AP11 AR12:AR13 BR12 O13 U13 Y13 AB13:AB14 AN13 E14 G14 I14 T14 V14 X14 AE14 AI14 AK14 AM14 AP14 AT14:AT15 AX14 AZ14 BB14 BQ14 U15:U16 AN15:AN24 Y16 AB16 AQ16:AR24 BF16:BF24 Q17:Q24 AM17:AM24 AP17:AP24 AT17:AT24 AV17:AV24 BB17:BB24 BQ17:BQ24 Y18 AB18 U19:U24 AX19 AZ19 H22:H24 O22:O24 S22:S24 Y22:Y24 E26:E40 G26:G40 I26:I40 L26:L35 N26:N40 P26:T40 V26:V40 X26:X40 AA26:AA40 AC26:AC40 AE26:AI40 AK26:AK40 AM26:AM40 AP26:AP40 AR26:AR40 AT26:AX40 AZ26:AZ40 BB26:BB40 BE26:BE40 BG26:BG40 BI26:BQ40 U27:U30 W27:W30 AJ27:AJ28 AL27 AN27 AQ27 AS27 AY27:AY29 BA27 BC27 BR27 Y28:Y30 AB28:AB30 H29 AD29:AD31 AS29:AS30 BC29:BC30 M30 AN30:AN31 AQ30:AQ31 BF30 BH30 AL31 U32:U39 W32:W33 Y32 AJ32:AJ34 AY32 BA32 AL33 H34:H39 J34:J39 M34:M39 O34:O39 AQ34 AS34:AS39 BR34:BR39 AQ37:AQ39 AY37:AY39 L39:L40 AJ39 AN39 A84:A85">
    <cfRule type="expression" dxfId="2" priority="478">
      <formula>E7="BigNĐ"</formula>
    </cfRule>
  </conditionalFormatting>
  <conditionalFormatting sqref="E7 G7 I7 L7 N7 R7 T7 V7 X7 AA7 AC7 AE7 AG7 AI7 AK7 AM7 AP7:AP9 AR7 AT7 AV7 AX7 AZ7 BB7 BK7 BM7 BO7 BQ7 W8:W24 AD8:AD24 AF8:AF24 AH8:AH24 AJ8:AJ24 AL8:AL24 AN8:AN11 AS8:AS24 AU8:AU24 AW8:AW24 AY8:AY24 BA8:BA24 BC8:BC24 BE8:BE24 BF8:BF14 BH8:BH24 BJ8:BJ24 BL8:BL24 BN8:BN24 BP8:BP24 S9 U9 Y9:Y10 AB9:AB11 AQ9:AQ14 BG10:BG24 BI10:BI24 BK10:BK24 BM10:BM24 BO10:BO24 L11 Q11 S11 AP11 AR12:AR13 BR12 O13 U13 Y13 AB13:AB14 AN13 E14 G14 I14 T14 V14 X14 AE14 AI14 AK14 AM14 AP14 AT14:AT15 AX14 AZ14 BB14 BQ14 U15:U16 AN15:AN24 Y16 AB16 AQ16:AR24 BF16:BF24 Q17:Q24 AM17:AM24 AP17:AP24 AT17:AT24 AV17:AV24 BB17:BB24 BQ17:BQ24 Y18 AB18 U19:U24 AX19 AZ19 H22:H24 O22:O24 S22:S24 Y22:Y24 E26:E40 G26:G40 I26:I40 L26:L35 N26:N40 P26:T40 V26:V40 X26:X40 AA26:AA40 AC26:AC40 AE26:AI40 AK26:AK40 AM26:AM40 AP26:AP40 AR26:AR40 AT26:AX40 AZ26:AZ40 BB26:BB40 BE26:BE40 BG26:BG40 BI26:BQ40 U27:U30 W27:W30 AJ27:AJ28 AL27 AN27 AQ27 AS27 AY27:AY29 BA27 BC27 BR27 Y28:Y30 AB28:AB30 H29 AD29:AD31 AS29:AS30 BC29:BC30 M30 AN30:AN31 AQ30:AQ31 BF30 BH30 AL31 U32:U39 W32:W33 Y32 AJ32:AJ34 AY32 BA32 AL33 H34:H39 J34:J39 M34:M39 O34:O39 AQ34 AS34:AS39 BR34:BR39 AQ37:AQ39 AY37:AY39 L39:L40 AJ39 AN39 A84:A85">
    <cfRule type="expression" dxfId="2" priority="479">
      <formula>E7="GaNĐ"</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0" priority="480">
      <formula>T7="C6"</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1" priority="481">
      <formula>T7="TC6"</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1" priority="482">
      <formula>T7="TC5"</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1" priority="483">
      <formula>T7="TC4"</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1" priority="484">
      <formula>T7="TC3"</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1" priority="485">
      <formula>T7="TC2"</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1" priority="486">
      <formula>T7="TC1"</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8" priority="487">
      <formula>T7="Full"</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9" priority="488">
      <formula>T7="OFF"</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10" priority="489">
      <formula>T7="Gãy 2"</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10" priority="490">
      <formula>T7="Gãy 1"</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2" priority="491">
      <formula>T7="HC4"</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2" priority="492">
      <formula>T7="HC3"</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2" priority="493">
      <formula>T7="HC2"</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2" priority="494">
      <formula>T7="HC1"</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3" priority="495">
      <formula>T7="C5"</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4" priority="496">
      <formula>T7="C4"</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5" priority="497">
      <formula>T7="C3"</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0" priority="498">
      <formula>T7="C2"</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26" priority="499">
      <formula>T7="C1"</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16" priority="500">
      <formula>T7="S4"</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17" priority="501">
      <formula>T7="S3"</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18" priority="502">
      <formula>T7="S2"</formula>
    </cfRule>
  </conditionalFormatting>
  <conditionalFormatting sqref="T7:T24 AI7:AI24 AP7:AP9 AR7 AT7 AV7:AV24 AX7:AX24 AZ7:AZ24 BB7:BB24 BE7:BE24 BG7:BG24 BI7:BI24 BK7:BK24 BM7:BM24 BO7:BO24 BQ7:BQ24 AY8:AY24 R9 AB9 AG9 AJ9 AQ9 BF9 BN9 P10:P24 V10 AE10:AE24 AK10 AT10:AT24 R11 AG11:AG12 AP11 V12:V13 AK12:AK13 AR12:AR13 R14 X14 AG14 AM14 AP14 BA14 AK16 AR16 AP18:AP19 AR18:AR19 BN19 AG27:AG28 AI27:AI28 AK27:AK28 AM27:AM28 AP27:AP39 AR27:AR39 AT27:AT39 AV27:AV39 AX27:AX39 AY27 AZ27:AZ39 BB27:BB39 BE27:BE28 BG27:BG28 BI27:BI28 BJ27 BK27:BK28 BM27:BM28 BO27:BO28 BQ27:BQ39 O28 R28 T28 V28 X28 AA28 AC28:AF28 AH28 AS28 BH28 AY29 AA30:AA31 AC30:AC31 AE30:AE39 AG30:AG39 AI30:AI39 AK30:AK39 AM30:AM39 BE30:BE40 BG30:BG39 BI30:BI39 BK30:BK39 BM30:BM39 BO30:BO39 T31 V31 X31 R33:R39 T33:T34 V33:V34 X33:X34 AA33:AA34 AC33:AC39">
    <cfRule type="expression" dxfId="19" priority="503">
      <formula>T7="S1"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0" priority="504">
      <formula>AM7="C6"</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1" priority="505">
      <formula>AM7="TC6"</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1" priority="506">
      <formula>AM7="TC5"</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1" priority="507">
      <formula>AM7="TC4"</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1" priority="508">
      <formula>AM7="TC3"</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1" priority="509">
      <formula>AM7="TC2"</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1" priority="510">
      <formula>AM7="TC1"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8" priority="511">
      <formula>AM7="Full"</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9" priority="512">
      <formula>AM7="OFF"</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10" priority="513">
      <formula>AM7="Gãy 2"</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10" priority="514">
      <formula>AM7="Gãy 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2" priority="515">
      <formula>AM7="HC4"</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2" priority="516">
      <formula>AM7="HC3"</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2" priority="517">
      <formula>AM7="HC2"</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2" priority="518">
      <formula>AM7="HC1"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3" priority="519">
      <formula>AM7="C5"</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4" priority="520">
      <formula>AM7="C4"</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5" priority="521">
      <formula>AM7="C3"</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0" priority="522">
      <formula>AM7="C2"</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26" priority="523">
      <formula>AM7="C1"</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16" priority="524">
      <formula>AM7="S4"</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17" priority="525">
      <formula>AM7="S3"</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18" priority="526">
      <formula>AM7="S2"</formula>
    </cfRule>
  </conditionalFormatting>
  <conditionalFormatting sqref="AM7 AR7 M8:M24 O8:O24 Q8:Q24 S8:S24 U8:U24 W8:W24 Y8:Y24 AB8:AB24 AD8:AD24 AF8:AF24 AH8:AH24 AJ8:AJ24 AL8:AL24 AN8:AN24 AP8:AP9 AQ8:AQ24 AS8:AS24 AU8:AU24 AW8:AW24 AY8:AY24 BA8:BA24 BC8:BC24 BE8:BF24 BH8:BH24 BJ8:BJ24 BL8:BL24 BN8:BN24 BP8:BP24 H10:H11 BG10:BG24 BI10:BI24 BK10:BK24 BM10:BM24 BO10:BO24 F11 J11 AP11 BR11:BR13 AR12:AR13 H13:H15 F14 J14 AE14 AG14 AT14:AT15 AV14 AR16:AR24 E17:J24 L17:L24 N17:N24 P17:P24 R17:R24 T17:T24 V17:V24 X17:X24 AA17:AA24 AC17:AC24 AE17:AE24 AG17:AG24 AI17:AI24 AK17:AK24 AM17:AM24 AP17:AP24 AT17:AT24 AV17:AV24 AX17:AX24 AZ17:AZ24 BB17:BB24 BQ17:BQ24 F26:F40 H26:H40 J26:J40 M26:M40 O26:O40 Q26:Q40 S26:U40 V26:V39 W26:W40 X26:X39 Y26:Y40 AA26:AA39 AB26:AF40 AG26:AG39 AH26:AN40 AP26:AP39 AQ26:AQ40 AR26:AR39 AS26:AS40 AT26:AT39 AU26:AU40 AV26:AV39 AW26:AY40 AZ26:AZ39 BA26:BA40 BB26:BB39 BC26:BC40 BE26:BF40 BG26:BG39 BH26:BH40 BI26:BI39 BJ26:BJ40 BK26:BK39 BL26:BP40 BQ26:BQ39 L27:L35 BR27 BR34:BR40 L39 R39">
    <cfRule type="expression" dxfId="19" priority="527">
      <formula>AM7="S1"</formula>
    </cfRule>
  </conditionalFormatting>
  <conditionalFormatting sqref="U7:U24 AJ7:AJ24 AY7:AY24 BA7:BA24 BC7:BC24 BF7:BF24 BH7:BH24 BJ7:BJ24 BL7:BL24 BN7:BN24 BP7:BP24 AH8:AH24 AN8 AU8:AU24 AW8:AW24 AD9 AF9:AF15 AS9 AB10:AB11 AQ10:AQ12 S11 AD11 AL11:AL12 AN11 AS11:AS12 BR11 BI12 AN13 W14:W15 AL14:AL24 AQ14 BK14:BK15 BM14 AD15 AN15:AN24 AS15 Y16:Y24 AB16 AQ16:AQ24 V17:X24 AK17:AK24 AM17:AM24 AP17:AP24 AR17:AT24 AV17:AV24 AZ17:AZ24 BB17:BB24 BG17:BG24 BI17:BI24 BK17:BK24 BM17:BM24 BO17:BO24 BQ17:BQ24 AB18 AD18 AF18:AF19 AX19 BE19 G22:J24 L22:T24 AA22:AG24 AI22:AI24 AX22:AX24 BE22:BE24 L27:L35 BA27 BC27 BJ27:BJ28 BL27 AY29:AY30 BA29:BA30 BF31 AY32 L39">
    <cfRule type="expression" dxfId="1" priority="528">
      <formula>U7="BigNB"</formula>
    </cfRule>
  </conditionalFormatting>
  <conditionalFormatting sqref="U7:U24 AJ7:AJ24 AY7:AY24 BA7:BA24 BC7:BC24 BF7:BF24 BH7:BH24 BJ7:BJ24 BL7:BL24 BN7:BN24 BP7:BP24 AH8:AH24 AN8 AU8:AU24 AW8:AW24 AD9 AF9:AF15 AS9 AB10:AB11 AQ10:AQ12 S11 AD11 AL11:AL12 AN11 AS11:AS12 BR11 BI12 AN13 W14:W15 AL14:AL24 AQ14 BK14:BK15 BM14 AD15 AN15:AN24 AS15 Y16:Y24 AB16 AQ16:AQ24 V17:X24 AK17:AK24 AM17:AM24 AP17:AP24 AR17:AT24 AV17:AV24 AZ17:AZ24 BB17:BB24 BG17:BG24 BI17:BI24 BK17:BK24 BM17:BM24 BO17:BO24 BQ17:BQ24 AB18 AD18 AF18:AF19 AX19 BE19 G22:J24 L22:T24 AA22:AG24 AI22:AI24 AX22:AX24 BE22:BE24 L27:L35 BA27 BC27 BJ27:BJ28 BL27 AY29:AY30 BA29:BA30 BF31 AY32 L39">
    <cfRule type="expression" dxfId="1" priority="529">
      <formula>U7="GaNB"</formula>
    </cfRule>
  </conditionalFormatting>
  <conditionalFormatting sqref="U7:U24 AJ7:AJ24 AY7:AY24 BA7:BA24 BC7:BC24 BF7:BF24 BH7:BH24 BJ7:BJ24 BL7:BL24 BN7:BN24 BP7:BP24 AH8:AH24 AN8 AU8:AU24 AW8:AW24 AD9 AF9:AF15 AS9 AB10:AB11 AQ10:AQ12 S11 AD11 AL11:AL12 AN11 AS11:AS12 BR11 BI12 AN13 W14:W15 AL14:AL24 AQ14 BK14:BK15 BM14 AD15 AN15:AN24 AS15 Y16:Y24 AB16 AQ16:AQ24 V17:X24 AK17:AK24 AM17:AM24 AP17:AP24 AR17:AT24 AV17:AV24 AZ17:AZ24 BB17:BB24 BG17:BG24 BI17:BI24 BK17:BK24 BM17:BM24 BO17:BO24 BQ17:BQ24 AB18 AD18 AF18:AF19 AX19 BE19 G22:J24 L22:T24 AA22:AG24 AI22:AI24 AX22:AX24 BE22:BE24 L27:L35 BA27 BC27 BJ27:BJ28 BL27 AY29:AY30 BA29:BA30 BF31 AY32 L39">
    <cfRule type="expression" dxfId="2" priority="530">
      <formula>U7="BigNĐ"</formula>
    </cfRule>
  </conditionalFormatting>
  <conditionalFormatting sqref="U7:U24 AJ7:AJ24 AY7:AY24 BA7:BA24 BC7:BC24 BF7:BF24 BH7:BH24 BJ7:BJ24 BL7:BL24 BN7:BN24 BP7:BP24 AH8:AH24 AN8 AU8:AU24 AW8:AW24 AD9 AF9:AF15 AS9 AB10:AB11 AQ10:AQ12 S11 AD11 AL11:AL12 AN11 AS11:AS12 BR11 BI12 AN13 W14:W15 AL14:AL24 AQ14 BK14:BK15 BM14 AD15 AN15:AN24 AS15 Y16:Y24 AB16 AQ16:AQ24 V17:X24 AK17:AK24 AM17:AM24 AP17:AP24 AR17:AT24 AV17:AV24 AZ17:AZ24 BB17:BB24 BG17:BG24 BI17:BI24 BK17:BK24 BM17:BM24 BO17:BO24 BQ17:BQ24 AB18 AD18 AF18:AF19 AX19 BE19 G22:J24 L22:T24 AA22:AG24 AI22:AI24 AX22:AX24 BE22:BE24 L27:L35 BA27 BC27 BJ27:BJ28 BL27 AY29:AY30 BA29:BA30 BF31 AY32 L39">
    <cfRule type="expression" dxfId="2" priority="531">
      <formula>U7="GaNĐ"</formula>
    </cfRule>
  </conditionalFormatting>
  <conditionalFormatting sqref="W8:W24 AD8:AD24 AF8:AF24 AH8:AH24 AL8:AL24 AN8:AN11 AS8:AS24 AU8:AU24 AW8:AW24 AY8:AY24 BA8:BA24 BC8:BC24 BF8:BF24 BH8:BH24 BJ8:BJ24 BL8:BL24 BP8:BP24 S9 U9 Y9:Y10 AB9:AB11 AJ9:AJ17 AQ9:AQ14 BN9:BN24 Q11 S11 BR12 O13 U13 Y13 AB13:AB14 AN13 U15:U16 AN15:AN24 Y16 AB16 AQ16:AQ24 Q17:Q24 AM17:AM24 AP17:AP24 AR17:AR24 AT17:AT24 AV17:AV24 BB17:BB24 BG17:BG24 BI17:BI24 BK17:BK24 BM17:BM24 BO17:BO24 BQ17:BQ24 Y18 AB18 AX19 AZ19 BE19 H22:H24 O22:O24 S22:S24 Y22:Y24 AJ22:AJ24 U26:U39 AJ26:AJ39 AY26:AY39 BN26:BN39 BP26:BP39 W27 BA27 BC27 BF27 BJ27 BR27 AF28:AF29 AH28:AH39 AW28 BH28:BH30 W29:W30 Y29:Y30 AB29:AB30 AD29:AD30 AL29:AL30 AN29:AN30 AQ29:AQ30 AU29:AU30 BA29:BA30 BC29:BC30 BJ29 AW30 BF30 BL30 AF31:AF39 Y32 BA32:BA39 BC32:BC39 BF32:BF39 W33:W39 AB33:AB39 AD33:AD39 AL33 AU33 AW33 BH33:BH39 BJ33:BJ39 BL33:BL39 AQ34:AQ39 AS34:AS39 BR36 AU37:AU39 AW37:AW39 AN39">
    <cfRule type="expression" dxfId="1" priority="532">
      <formula>W8="BigNB"</formula>
    </cfRule>
  </conditionalFormatting>
  <conditionalFormatting sqref="W8:W24 AD8:AD24 AF8:AF24 AH8:AH24 AL8:AL24 AN8:AN11 AS8:AS24 AU8:AU24 AW8:AW24 AY8:AY24 BA8:BA24 BC8:BC24 BF8:BF24 BH8:BH24 BJ8:BJ24 BL8:BL24 BP8:BP24 S9 U9 Y9:Y10 AB9:AB11 AJ9:AJ17 AQ9:AQ14 BN9:BN24 Q11 S11 BR12 O13 U13 Y13 AB13:AB14 AN13 U15:U16 AN15:AN24 Y16 AB16 AQ16:AQ24 Q17:Q24 AM17:AM24 AP17:AP24 AR17:AR24 AT17:AT24 AV17:AV24 BB17:BB24 BG17:BG24 BI17:BI24 BK17:BK24 BM17:BM24 BO17:BO24 BQ17:BQ24 Y18 AB18 AX19 AZ19 BE19 H22:H24 O22:O24 S22:S24 Y22:Y24 AJ22:AJ24 U26:U39 AJ26:AJ39 AY26:AY39 BN26:BN39 BP26:BP39 W27 BA27 BC27 BF27 BJ27 BR27 AF28:AF29 AH28:AH39 AW28 BH28:BH30 W29:W30 Y29:Y30 AB29:AB30 AD29:AD30 AL29:AL30 AN29:AN30 AQ29:AQ30 AU29:AU30 BA29:BA30 BC29:BC30 BJ29 AW30 BF30 BL30 AF31:AF39 Y32 BA32:BA39 BC32:BC39 BF32:BF39 W33:W39 AB33:AB39 AD33:AD39 AL33 AU33 AW33 BH33:BH39 BJ33:BJ39 BL33:BL39 AQ34:AQ39 AS34:AS39 BR36 AU37:AU39 AW37:AW39 AN39">
    <cfRule type="expression" dxfId="1" priority="533">
      <formula>W8="GaNB"</formula>
    </cfRule>
  </conditionalFormatting>
  <conditionalFormatting sqref="W8:W24 AD8:AD24 AF8:AF24 AH8:AH24 AL8:AL24 AN8:AN11 AS8:AS24 AU8:AU24 AW8:AW24 AY8:AY24 BA8:BA24 BC8:BC24 BF8:BF24 BH8:BH24 BJ8:BJ24 BL8:BL24 BP8:BP24 S9 U9 Y9:Y10 AB9:AB11 AJ9:AJ17 AQ9:AQ14 BN9:BN24 Q11 S11 BR12 O13 U13 Y13 AB13:AB14 AN13 U15:U16 AN15:AN24 Y16 AB16 AQ16:AQ24 Q17:Q24 AM17:AM24 AP17:AP24 AR17:AR24 AT17:AT24 AV17:AV24 BB17:BB24 BG17:BG24 BI17:BI24 BK17:BK24 BM17:BM24 BO17:BO24 BQ17:BQ24 Y18 AB18 AX19 AZ19 BE19 H22:H24 O22:O24 S22:S24 Y22:Y24 AJ22:AJ24 U26:U39 AJ26:AJ39 AY26:AY39 BN26:BN39 BP26:BP39 W27 BA27 BC27 BF27 BJ27 BR27 AF28:AF29 AH28:AH39 AW28 BH28:BH30 W29:W30 Y29:Y30 AB29:AB30 AD29:AD30 AL29:AL30 AN29:AN30 AQ29:AQ30 AU29:AU30 BA29:BA30 BC29:BC30 BJ29 AW30 BF30 BL30 AF31:AF39 Y32 BA32:BA39 BC32:BC39 BF32:BF39 W33:W39 AB33:AB39 AD33:AD39 AL33 AU33 AW33 BH33:BH39 BJ33:BJ39 BL33:BL39 AQ34:AQ39 AS34:AS39 BR36 AU37:AU39 AW37:AW39 AN39">
    <cfRule type="expression" dxfId="2" priority="534">
      <formula>W8="BigNĐ"</formula>
    </cfRule>
  </conditionalFormatting>
  <conditionalFormatting sqref="W8:W24 AD8:AD24 AF8:AF24 AH8:AH24 AL8:AL24 AN8:AN11 AS8:AS24 AU8:AU24 AW8:AW24 AY8:AY24 BA8:BA24 BC8:BC24 BF8:BF24 BH8:BH24 BJ8:BJ24 BL8:BL24 BP8:BP24 S9 U9 Y9:Y10 AB9:AB11 AJ9:AJ17 AQ9:AQ14 BN9:BN24 Q11 S11 BR12 O13 U13 Y13 AB13:AB14 AN13 U15:U16 AN15:AN24 Y16 AB16 AQ16:AQ24 Q17:Q24 AM17:AM24 AP17:AP24 AR17:AR24 AT17:AT24 AV17:AV24 BB17:BB24 BG17:BG24 BI17:BI24 BK17:BK24 BM17:BM24 BO17:BO24 BQ17:BQ24 Y18 AB18 AX19 AZ19 BE19 H22:H24 O22:O24 S22:S24 Y22:Y24 AJ22:AJ24 U26:U39 AJ26:AJ39 AY26:AY39 BN26:BN39 BP26:BP39 W27 BA27 BC27 BF27 BJ27 BR27 AF28:AF29 AH28:AH39 AW28 BH28:BH30 W29:W30 Y29:Y30 AB29:AB30 AD29:AD30 AL29:AL30 AN29:AN30 AQ29:AQ30 AU29:AU30 BA29:BA30 BC29:BC30 BJ29 AW30 BF30 BL30 AF31:AF39 Y32 BA32:BA39 BC32:BC39 BF32:BF39 W33:W39 AB33:AB39 AD33:AD39 AL33 AU33 AW33 BH33:BH39 BJ33:BJ39 BL33:BL39 AQ34:AQ39 AS34:AS39 BR36 AU37:AU39 AW37:AW39 AN39">
    <cfRule type="expression" dxfId="2" priority="535">
      <formula>W8="GaNĐ"</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0" priority="536">
      <formula>V7="C6"</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1" priority="537">
      <formula>V7="TC6"</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1" priority="538">
      <formula>V7="TC5"</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1" priority="539">
      <formula>V7="TC4"</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1" priority="540">
      <formula>V7="TC3"</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1" priority="541">
      <formula>V7="TC2"</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1" priority="542">
      <formula>V7="TC1"</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8" priority="543">
      <formula>V7="Full"</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9" priority="544">
      <formula>V7="OFF"</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10" priority="545">
      <formula>V7="Gãy 2"</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10" priority="546">
      <formula>V7="Gãy 1"</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2" priority="547">
      <formula>V7="HC4"</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2" priority="548">
      <formula>V7="HC3"</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2" priority="549">
      <formula>V7="HC2"</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2" priority="550">
      <formula>V7="HC1"</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3" priority="551">
      <formula>V7="C5"</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4" priority="552">
      <formula>V7="C4"</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5" priority="553">
      <formula>V7="C3"</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0" priority="554">
      <formula>V7="C2"</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26" priority="555">
      <formula>V7="C1"</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16" priority="556">
      <formula>V7="S4"</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17" priority="557">
      <formula>V7="S3"</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18" priority="558">
      <formula>V7="S2"</formula>
    </cfRule>
  </conditionalFormatting>
  <conditionalFormatting sqref="V7:V24 AC7:AC24 AE7:AE24 AK7:AK24 AT7:AT24 AZ7:AZ24 BB7:BB24 BI7:BI24 BO7:BO24 BQ7:BQ24 T8:T24 X8:X24 AA8:AA24 AI8:AI24 AM8:AM24 AP8:AP24 AR8:AR24 AV8:AV24 AX8:AY24 BE8:BE24 BG8:BG24 BK8:BK24 BM8:BM24 R9 AG9 AJ9 BN9 P10:P24 R11 AG11:AG12 R14 AG14 BA14 AG17:AG24 BN19 G22:G24 I22:J24 L22:O24 Q22:S24 Y22:Y24 AB22:AB24 AD22:AD24 AF22:AF24 AH22:AH24 AN22:AN24 AQ22:AQ24 AS22:AS24 AU22:AU24 AW22:AW24 BF22:BF24 BH22:BH24 BJ22:BJ24 BL22:BL24 L27:L35 AG27:AG28 AI27:AI28 AK27:AK28 AM27:AM28 AP27:AP39 AR27:AR39 AT27:AT39 AV27:AV39 AX27:AX39 AZ27:AZ39 BB27:BB39 BE27:BE28 BG27:BG28 BI27:BI28 BK27:BK28 BM27:BM28 BO27:BO28 BQ27:BQ39 R28 T28 V28 X28 AA28 AC28 AE28 AA30:AA31 AC30:AC31 AE30:AE39 AG30:AG39 AI30:AI39 AK30:AK39 AM30:AM39 BE30:BE40 BG30:BG39 BI30:BI39 BK30:BK39 BM30:BM39 BO30:BO39 T31 V31 X31 R33:R39 T33:T34 V33:V34 X33:X34 AA33:AA34 AC33:AC39 L39">
    <cfRule type="expression" dxfId="19" priority="559">
      <formula>V7="S1"</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0" priority="560">
      <formula>AR7="C6"</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1" priority="561">
      <formula>AR7="TC6"</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1" priority="562">
      <formula>AR7="TC5"</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1" priority="563">
      <formula>AR7="TC4"</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1" priority="564">
      <formula>AR7="TC3"</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1" priority="565">
      <formula>AR7="TC2"</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1" priority="566">
      <formula>AR7="TC1"</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8" priority="567">
      <formula>AR7="Full"</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9" priority="568">
      <formula>AR7="OFF"</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10" priority="569">
      <formula>AR7="Gãy 2"</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10" priority="570">
      <formula>AR7="Gãy 1"</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2" priority="571">
      <formula>AR7="HC4"</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2" priority="572">
      <formula>AR7="HC3"</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2" priority="573">
      <formula>AR7="HC2"</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2" priority="574">
      <formula>AR7="HC1"</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3" priority="575">
      <formula>AR7="C5"</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4" priority="576">
      <formula>AR7="C4"</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5" priority="577">
      <formula>AR7="C3"</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0" priority="578">
      <formula>AR7="C2"</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26" priority="579">
      <formula>AR7="C1"</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16" priority="580">
      <formula>AR7="S4"</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17" priority="581">
      <formula>AR7="S3"</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18" priority="582">
      <formula>AR7="S2"</formula>
    </cfRule>
  </conditionalFormatting>
  <conditionalFormatting sqref="AR7 AR13 AT14:AT15 AR16 V26:V40 AE26:AE39 AG26:AG39 AI26:AI39 AK26:AK39 AM26:AM39 AP26:AP39 AR26:AR39 AT26:AT39 AV26:AV39 AX26:AX39 AZ26:AZ39 BB26:BB39 BE26:BE40 BG26:BG39 BI26:BI39 BK26:BK39 BM26:BM39 BO26:BO39 BQ26:BQ39 X27:X32 AA27:AA32 AC27:AC32">
    <cfRule type="expression" dxfId="19" priority="583">
      <formula>AR7="S1"</formula>
    </cfRule>
  </conditionalFormatting>
  <conditionalFormatting sqref="W7:W24 AL7:AL24 BA7:BA24 BP7:BP24 AN8:AN11 AU8:AU24 AW8:AW24 BC8:BC24 BF8:BF14 BJ8:BJ24 BL8:BL16 S9 Y9:Y11 AB9:AB11 AD9 AF9:AF24 AH9:AH15 AQ9:AQ14 AS9 BH9:BH13 BN9 Q11 S11 AD11 AJ11:AJ12 AS11:AS13 AY11:AY12 BN11:BN12 O13 Y13 AB13:AB14 AD13 AN13 U14:U16 AJ14:AJ16 AY14:AY16 BN14:BN16 AD15:AD16 AN15:AN18 AS15:AS24 BH15:BH24 Y16 AB16 AQ16:AQ18 BF16:BF18 Q17:Q24 Y18 AB18 AD18 BL19 BF20 AH21 H22:H24 AD22:AD24 AH27 AF29:AF30 AS30 BH30 AD31 AH31">
    <cfRule type="expression" dxfId="1" priority="584">
      <formula>W7="BigNB"</formula>
    </cfRule>
  </conditionalFormatting>
  <conditionalFormatting sqref="W7:W24 AL7:AL24 BA7:BA24 BP7:BP24 AN8:AN11 AU8:AU24 AW8:AW24 BC8:BC24 BF8:BF14 BJ8:BJ24 BL8:BL16 S9 Y9:Y11 AB9:AB11 AD9 AF9:AF24 AH9:AH15 AQ9:AQ14 AS9 BH9:BH13 BN9 Q11 S11 AD11 AJ11:AJ12 AS11:AS13 AY11:AY12 BN11:BN12 O13 Y13 AB13:AB14 AD13 AN13 U14:U16 AJ14:AJ16 AY14:AY16 BN14:BN16 AD15:AD16 AN15:AN18 AS15:AS24 BH15:BH24 Y16 AB16 AQ16:AQ18 BF16:BF18 Q17:Q24 Y18 AB18 AD18 BL19 BF20 AH21 H22:H24 AD22:AD24 AH27 AF29:AF30 AS30 BH30 AD31 AH31">
    <cfRule type="expression" dxfId="1" priority="585">
      <formula>W7="GaNB"</formula>
    </cfRule>
  </conditionalFormatting>
  <conditionalFormatting sqref="W7:W24 AL7:AL24 BA7:BA24 BP7:BP24 AN8:AN11 AU8:AU24 AW8:AW24 BC8:BC24 BF8:BF14 BJ8:BJ24 BL8:BL16 S9 Y9:Y11 AB9:AB11 AD9 AF9:AF24 AH9:AH15 AQ9:AQ14 AS9 BH9:BH13 BN9 Q11 S11 AD11 AJ11:AJ12 AS11:AS13 AY11:AY12 BN11:BN12 O13 Y13 AB13:AB14 AD13 AN13 U14:U16 AJ14:AJ16 AY14:AY16 BN14:BN16 AD15:AD16 AN15:AN18 AS15:AS24 BH15:BH24 Y16 AB16 AQ16:AQ18 BF16:BF18 Q17:Q24 Y18 AB18 AD18 BL19 BF20 AH21 H22:H24 AD22:AD24 AH27 AF29:AF30 AS30 BH30 AD31 AH31">
    <cfRule type="expression" dxfId="2" priority="586">
      <formula>W7="BigNĐ"</formula>
    </cfRule>
  </conditionalFormatting>
  <conditionalFormatting sqref="W7:W24 AL7:AL24 BA7:BA24 BP7:BP24 AN8:AN11 AU8:AU24 AW8:AW24 BC8:BC24 BF8:BF14 BJ8:BJ24 BL8:BL16 S9 Y9:Y11 AB9:AB11 AD9 AF9:AF24 AH9:AH15 AQ9:AQ14 AS9 BH9:BH13 BN9 Q11 S11 AD11 AJ11:AJ12 AS11:AS13 AY11:AY12 BN11:BN12 O13 Y13 AB13:AB14 AD13 AN13 U14:U16 AJ14:AJ16 AY14:AY16 BN14:BN16 AD15:AD16 AN15:AN18 AS15:AS24 BH15:BH24 Y16 AB16 AQ16:AQ18 BF16:BF18 Q17:Q24 Y18 AB18 AD18 BL19 BF20 AH21 H22:H24 AD22:AD24 AH27 AF29:AF30 AS30 BH30 AD31 AH31">
    <cfRule type="expression" dxfId="2" priority="587">
      <formula>W7="GaNĐ"</formula>
    </cfRule>
  </conditionalFormatting>
  <conditionalFormatting sqref="AJ8:AJ24 AS8:AS9 AU8 AY8:AY24 BH8:BH9 BJ8 BN8:BN24 AF10:AF11 AL10:AL11 AQ10:AQ11 AU10:AU11 BA10:BA11 BJ10:BJ12 BL10:BL16 BP10:BP11 S11 AH11:AH14 AW11:AW16 BC12 BF12:BF13 BH12:BH13 AB13 AD13 AQ13 AS13 BP13:BP18 BA14 AN15:AN16 AU15 BJ15 AQ16 AS16 BH16 U17:U24 AL17:AL18 BA17:BA18 BF17 BJ17:BJ18 AF18 AU18 BF20 BJ20 BL20:BL21 BP20:BP21 W26:W39 S27 Y27:Y30 AH27 AJ27 AB28:AB30 H29 AD29 AF29:AF30 M30 U30 AN30 BC30 BF30 BH30 AD31 AH31:AH32 Y32 AF32 AJ32 Q33:Q39 U33:U39 H34:H39 J34:J39 M34:M39 O34:O39 S34:S39 AS34:AS39 AQ37:AQ39 AN39">
    <cfRule type="expression" dxfId="1" priority="588">
      <formula>AJ8="BigNB"</formula>
    </cfRule>
  </conditionalFormatting>
  <conditionalFormatting sqref="AJ8:AJ24 AS8:AS9 AU8 AY8:AY24 BH8:BH9 BJ8 BN8:BN24 AF10:AF11 AL10:AL11 AQ10:AQ11 AU10:AU11 BA10:BA11 BJ10:BJ12 BL10:BL16 BP10:BP11 S11 AH11:AH14 AW11:AW16 BC12 BF12:BF13 BH12:BH13 AB13 AD13 AQ13 AS13 BP13:BP18 BA14 AN15:AN16 AU15 BJ15 AQ16 AS16 BH16 U17:U24 AL17:AL18 BA17:BA18 BF17 BJ17:BJ18 AF18 AU18 BF20 BJ20 BL20:BL21 BP20:BP21 W26:W39 S27 Y27:Y30 AH27 AJ27 AB28:AB30 H29 AD29 AF29:AF30 M30 U30 AN30 BC30 BF30 BH30 AD31 AH31:AH32 Y32 AF32 AJ32 Q33:Q39 U33:U39 H34:H39 J34:J39 M34:M39 O34:O39 S34:S39 AS34:AS39 AQ37:AQ39 AN39">
    <cfRule type="expression" dxfId="1" priority="589">
      <formula>AJ8="GaNB"</formula>
    </cfRule>
  </conditionalFormatting>
  <conditionalFormatting sqref="AJ8:AJ24 AS8:AS9 AU8 AY8:AY24 BH8:BH9 BJ8 BN8:BN24 AF10:AF11 AL10:AL11 AQ10:AQ11 AU10:AU11 BA10:BA11 BJ10:BJ12 BL10:BL16 BP10:BP11 S11 AH11:AH14 AW11:AW16 BC12 BF12:BF13 BH12:BH13 AB13 AD13 AQ13 AS13 BP13:BP18 BA14 AN15:AN16 AU15 BJ15 AQ16 AS16 BH16 U17:U24 AL17:AL18 BA17:BA18 BF17 BJ17:BJ18 AF18 AU18 BF20 BJ20 BL20:BL21 BP20:BP21 W26:W39 S27 Y27:Y30 AH27 AJ27 AB28:AB30 H29 AD29 AF29:AF30 M30 U30 AN30 BC30 BF30 BH30 AD31 AH31:AH32 Y32 AF32 AJ32 Q33:Q39 U33:U39 H34:H39 J34:J39 M34:M39 O34:O39 S34:S39 AS34:AS39 AQ37:AQ39 AN39">
    <cfRule type="expression" dxfId="2" priority="590">
      <formula>AJ8="BigNĐ"</formula>
    </cfRule>
  </conditionalFormatting>
  <conditionalFormatting sqref="AJ8:AJ24 AS8:AS9 AU8 AY8:AY24 BH8:BH9 BJ8 BN8:BN24 AF10:AF11 AL10:AL11 AQ10:AQ11 AU10:AU11 BA10:BA11 BJ10:BJ12 BL10:BL16 BP10:BP11 S11 AH11:AH14 AW11:AW16 BC12 BF12:BF13 BH12:BH13 AB13 AD13 AQ13 AS13 BP13:BP18 BA14 AN15:AN16 AU15 BJ15 AQ16 AS16 BH16 U17:U24 AL17:AL18 BA17:BA18 BF17 BJ17:BJ18 AF18 AU18 BF20 BJ20 BL20:BL21 BP20:BP21 W26:W39 S27 Y27:Y30 AH27 AJ27 AB28:AB30 H29 AD29 AF29:AF30 M30 U30 AN30 BC30 BF30 BH30 AD31 AH31:AH32 Y32 AF32 AJ32 Q33:Q39 U33:U39 H34:H39 J34:J39 M34:M39 O34:O39 S34:S39 AS34:AS39 AQ37:AQ39 AN39">
    <cfRule type="expression" dxfId="2" priority="591">
      <formula>AJ8="GaNĐ"</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0" priority="592">
      <formula>X7="C6"</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1" priority="593">
      <formula>X7="TC6"</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1" priority="594">
      <formula>X7="TC5"</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1" priority="595">
      <formula>X7="TC4"</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1" priority="596">
      <formula>X7="TC3"</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1" priority="597">
      <formula>X7="TC2"</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1" priority="598">
      <formula>X7="TC1"</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8" priority="599">
      <formula>X7="Full"</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9" priority="600">
      <formula>X7="OFF"</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10" priority="601">
      <formula>X7="Gãy 2"</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10" priority="602">
      <formula>X7="Gãy 1"</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2" priority="603">
      <formula>X7="HC4"</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2" priority="604">
      <formula>X7="HC3"</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2" priority="605">
      <formula>X7="HC2"</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2" priority="606">
      <formula>X7="HC1"</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3" priority="607">
      <formula>X7="C5"</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4" priority="608">
      <formula>X7="C4"</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5" priority="609">
      <formula>X7="C3"</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0" priority="610">
      <formula>X7="C2"</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26" priority="611">
      <formula>X7="C1"</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16" priority="612">
      <formula>X7="S4"</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17" priority="613">
      <formula>X7="S3"</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18" priority="614">
      <formula>X7="S2"</formula>
    </cfRule>
  </conditionalFormatting>
  <conditionalFormatting sqref="X7:X24 AA7:AA24 AC7:AC24 AE7:AE24 AM7:AM24 AP7:AP24 AR7:AR24 AT7:AT24 BB7:BB24 BE7:BE24 BG7:BG24 BI7:BI24 BK7:BK24 BM7:BM24 BO7:BO24 BQ7:BQ24 AV8:AV24 AK12 AZ12 V14 AG14 AK14 AZ14:AZ24 AG17:AG24 AX19 I22:I24 L22:L24 N22:N24 P22:P24 R22:R24 L27:L35 AR32 L39">
    <cfRule type="expression" dxfId="19" priority="615">
      <formula>X7="S1"</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0" priority="616">
      <formula>AR7="C6"</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1" priority="617">
      <formula>AR7="TC6"</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1" priority="618">
      <formula>AR7="TC5"</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1" priority="619">
      <formula>AR7="TC4"</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1" priority="620">
      <formula>AR7="TC3"</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1" priority="621">
      <formula>AR7="TC2"</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1" priority="622">
      <formula>AR7="TC1"</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8" priority="623">
      <formula>AR7="Full"</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9" priority="624">
      <formula>AR7="OFF"</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10" priority="625">
      <formula>AR7="Gãy 2"</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10" priority="626">
      <formula>AR7="Gãy 1"</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2" priority="627">
      <formula>AR7="HC4"</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2" priority="628">
      <formula>AR7="HC3"</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2" priority="629">
      <formula>AR7="HC2"</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2" priority="630">
      <formula>AR7="HC1"</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3" priority="631">
      <formula>AR7="C5"</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4" priority="632">
      <formula>AR7="C4"</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5" priority="633">
      <formula>AR7="C3"</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0" priority="634">
      <formula>AR7="C2"</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26" priority="635">
      <formula>AR7="C1"</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16" priority="636">
      <formula>AR7="S4"</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17" priority="637">
      <formula>AR7="S3"</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18" priority="638">
      <formula>AR7="S2"</formula>
    </cfRule>
  </conditionalFormatting>
  <conditionalFormatting sqref="AR7 AP8:AP9 BE8:BE24 BG10:BG24 BI10:BI24 BK10:BK24 BM10:BM24 BO10:BO24 AP11 AR12:AR13 AE14 AT14:AT15 AR16 AP18:AP19 AR19 AT19 AV19 AX19 AZ19 BB19 BQ19 X26:X40 AA26:AA39 AC26:AC40 AE26:AE40 AG26:AG40 AI26:AI40 AK26:AK40 AM26:AM40 AP26:AP39 AR26:AR39 AT26:AT39 AV26:AV39 AX26:AX39 AZ26:AZ39 BB26:BB39 BE26:BE40 BG26:BG39 BI26:BI39 BK26:BK39 BM26:BM39 BO26:BO39 BQ26:BQ39">
    <cfRule type="expression" dxfId="19" priority="639">
      <formula>AR7="S1"</formula>
    </cfRule>
  </conditionalFormatting>
  <conditionalFormatting sqref="Y7:Y24 AN7:AN24 BC7:BC24 AD8:AD24 AF8:AF24 AH8:AH24 AL8:AL24 AS8:AS24 AU8:AU24 AW8:AW24 AY8:AY24 BA8:BA24 BF8:BF10 BH8:BH24 BJ8:BJ24 BL8:BL24 BP8:BP24 W9 AB9:AB10 AJ9 AQ9:AQ14 BN9:BN24 AJ11:AJ16 BR11 W12 AB12 BF12 U14:U15 W14:W15 AB14 BF14:BF24 AB16 AQ16:AQ24 Q17:Q24 W17:W24 AM17:AM24 AP17:AP24 AR17:AR24 AT17:AT24 AV17:AV24 BB17:BB24 BG17:BG24 BI17:BI24 BK17:BK24 BM17:BM24 BO17:BO24 BQ17:BQ24 AB18 AX19 AZ19 BE19 H22:H24 J22:J24 O22:O24 AJ22:AJ24 AH27 BA27 BC27 BJ27:BJ28 BL27 AF29:AF30 AY29:AY30 BA29:BA30 AS30 BH30 AD31 AH31 BF31 AY32">
    <cfRule type="expression" dxfId="1" priority="640">
      <formula>Y7="BigNB"</formula>
    </cfRule>
  </conditionalFormatting>
  <conditionalFormatting sqref="Y7:Y24 AN7:AN24 BC7:BC24 AD8:AD24 AF8:AF24 AH8:AH24 AL8:AL24 AS8:AS24 AU8:AU24 AW8:AW24 AY8:AY24 BA8:BA24 BF8:BF10 BH8:BH24 BJ8:BJ24 BL8:BL24 BP8:BP24 W9 AB9:AB10 AJ9 AQ9:AQ14 BN9:BN24 AJ11:AJ16 BR11 W12 AB12 BF12 U14:U15 W14:W15 AB14 BF14:BF24 AB16 AQ16:AQ24 Q17:Q24 W17:W24 AM17:AM24 AP17:AP24 AR17:AR24 AT17:AT24 AV17:AV24 BB17:BB24 BG17:BG24 BI17:BI24 BK17:BK24 BM17:BM24 BO17:BO24 BQ17:BQ24 AB18 AX19 AZ19 BE19 H22:H24 J22:J24 O22:O24 AJ22:AJ24 AH27 BA27 BC27 BJ27:BJ28 BL27 AF29:AF30 AY29:AY30 BA29:BA30 AS30 BH30 AD31 AH31 BF31 AY32">
    <cfRule type="expression" dxfId="1" priority="641">
      <formula>Y7="GaNB"</formula>
    </cfRule>
  </conditionalFormatting>
  <conditionalFormatting sqref="Y7:Y24 AN7:AN24 BC7:BC24 AD8:AD24 AF8:AF24 AH8:AH24 AL8:AL24 AS8:AS24 AU8:AU24 AW8:AW24 AY8:AY24 BA8:BA24 BF8:BF10 BH8:BH24 BJ8:BJ24 BL8:BL24 BP8:BP24 W9 AB9:AB10 AJ9 AQ9:AQ14 BN9:BN24 AJ11:AJ16 BR11 W12 AB12 BF12 U14:U15 W14:W15 AB14 BF14:BF24 AB16 AQ16:AQ24 Q17:Q24 W17:W24 AM17:AM24 AP17:AP24 AR17:AR24 AT17:AT24 AV17:AV24 BB17:BB24 BG17:BG24 BI17:BI24 BK17:BK24 BM17:BM24 BO17:BO24 BQ17:BQ24 AB18 AX19 AZ19 BE19 H22:H24 J22:J24 O22:O24 AJ22:AJ24 AH27 BA27 BC27 BJ27:BJ28 BL27 AF29:AF30 AY29:AY30 BA29:BA30 AS30 BH30 AD31 AH31 BF31 AY32">
    <cfRule type="expression" dxfId="2" priority="642">
      <formula>Y7="BigNĐ"</formula>
    </cfRule>
  </conditionalFormatting>
  <conditionalFormatting sqref="Y7:Y24 AN7:AN24 BC7:BC24 AD8:AD24 AF8:AF24 AH8:AH24 AL8:AL24 AS8:AS24 AU8:AU24 AW8:AW24 AY8:AY24 BA8:BA24 BF8:BF10 BH8:BH24 BJ8:BJ24 BL8:BL24 BP8:BP24 W9 AB9:AB10 AJ9 AQ9:AQ14 BN9:BN24 AJ11:AJ16 BR11 W12 AB12 BF12 U14:U15 W14:W15 AB14 BF14:BF24 AB16 AQ16:AQ24 Q17:Q24 W17:W24 AM17:AM24 AP17:AP24 AR17:AR24 AT17:AT24 AV17:AV24 BB17:BB24 BG17:BG24 BI17:BI24 BK17:BK24 BM17:BM24 BO17:BO24 BQ17:BQ24 AB18 AX19 AZ19 BE19 H22:H24 J22:J24 O22:O24 AJ22:AJ24 AH27 BA27 BC27 BJ27:BJ28 BL27 AF29:AF30 AY29:AY30 BA29:BA30 AS30 BH30 AD31 AH31 BF31 AY32">
    <cfRule type="expression" dxfId="2" priority="643">
      <formula>Y7="GaNĐ"</formula>
    </cfRule>
  </conditionalFormatting>
  <conditionalFormatting sqref="AF8:AF24 AJ8:AJ24 AN8:AN9 AS8:AS9 AU8:AU24 AW8 AY8:AY24 BA8:BA24 BC8:BC24 BH8:BH13 BJ8:BJ24 BL8 BN8:BN24 BP8:BP24 W9 Y9 AB9:AB11 AD9 AL9:AL11 AQ9:AQ11 BF9:BF14 BL10:BL24 S11 W11 Y11 AD11 AH11:AH15 AN11 AS11:AS13 AW11:AW24 AB13:AB14 AD13 AQ13:AQ14 U14 W14:W15 AL14:AL24 Y15:Y24 AD15 AN15:AN24 AS15:AS24 BH15:BH24 AB16:AB24 AQ16:AQ24 Q17:Q24 U17:U24 W17:W24 AD17:AD24 AH17:AH24 BF17:BF24 H22:H24 J22:J24 M22:M24 O22:O24 S22:S24 Y26:Y39 U27 W27 AH27 AJ27 AB28:AB29 AF28:AF39 AD29:AD31 AH29:AH39 U30 W30 AS30 BH30 AJ32:AJ34 U33:U39 W33:W39 AB33:AB39 AD33:AD39 AL33 AU33 AW33 AQ34:AQ39 AS34:AS39 AU37:AU39 AW37:AW39 AY37:AY39 AJ39 AN39">
    <cfRule type="expression" dxfId="1" priority="644">
      <formula>AF8="BigNB"</formula>
    </cfRule>
  </conditionalFormatting>
  <conditionalFormatting sqref="AF8:AF24 AJ8:AJ24 AN8:AN9 AS8:AS9 AU8:AU24 AW8 AY8:AY24 BA8:BA24 BC8:BC24 BH8:BH13 BJ8:BJ24 BL8 BN8:BN24 BP8:BP24 W9 Y9 AB9:AB11 AD9 AL9:AL11 AQ9:AQ11 BF9:BF14 BL10:BL24 S11 W11 Y11 AD11 AH11:AH15 AN11 AS11:AS13 AW11:AW24 AB13:AB14 AD13 AQ13:AQ14 U14 W14:W15 AL14:AL24 Y15:Y24 AD15 AN15:AN24 AS15:AS24 BH15:BH24 AB16:AB24 AQ16:AQ24 Q17:Q24 U17:U24 W17:W24 AD17:AD24 AH17:AH24 BF17:BF24 H22:H24 J22:J24 M22:M24 O22:O24 S22:S24 Y26:Y39 U27 W27 AH27 AJ27 AB28:AB29 AF28:AF39 AD29:AD31 AH29:AH39 U30 W30 AS30 BH30 AJ32:AJ34 U33:U39 W33:W39 AB33:AB39 AD33:AD39 AL33 AU33 AW33 AQ34:AQ39 AS34:AS39 AU37:AU39 AW37:AW39 AY37:AY39 AJ39 AN39">
    <cfRule type="expression" dxfId="1" priority="645">
      <formula>AF8="GaNB"</formula>
    </cfRule>
  </conditionalFormatting>
  <conditionalFormatting sqref="AF8:AF24 AJ8:AJ24 AN8:AN9 AS8:AS9 AU8:AU24 AW8 AY8:AY24 BA8:BA24 BC8:BC24 BH8:BH13 BJ8:BJ24 BL8 BN8:BN24 BP8:BP24 W9 Y9 AB9:AB11 AD9 AL9:AL11 AQ9:AQ11 BF9:BF14 BL10:BL24 S11 W11 Y11 AD11 AH11:AH15 AN11 AS11:AS13 AW11:AW24 AB13:AB14 AD13 AQ13:AQ14 U14 W14:W15 AL14:AL24 Y15:Y24 AD15 AN15:AN24 AS15:AS24 BH15:BH24 AB16:AB24 AQ16:AQ24 Q17:Q24 U17:U24 W17:W24 AD17:AD24 AH17:AH24 BF17:BF24 H22:H24 J22:J24 M22:M24 O22:O24 S22:S24 Y26:Y39 U27 W27 AH27 AJ27 AB28:AB29 AF28:AF39 AD29:AD31 AH29:AH39 U30 W30 AS30 BH30 AJ32:AJ34 U33:U39 W33:W39 AB33:AB39 AD33:AD39 AL33 AU33 AW33 AQ34:AQ39 AS34:AS39 AU37:AU39 AW37:AW39 AY37:AY39 AJ39 AN39">
    <cfRule type="expression" dxfId="2" priority="646">
      <formula>AF8="BigNĐ"</formula>
    </cfRule>
  </conditionalFormatting>
  <conditionalFormatting sqref="AF8:AF24 AJ8:AJ24 AN8:AN9 AS8:AS9 AU8:AU24 AW8 AY8:AY24 BA8:BA24 BC8:BC24 BH8:BH13 BJ8:BJ24 BL8 BN8:BN24 BP8:BP24 W9 Y9 AB9:AB11 AD9 AL9:AL11 AQ9:AQ11 BF9:BF14 BL10:BL24 S11 W11 Y11 AD11 AH11:AH15 AN11 AS11:AS13 AW11:AW24 AB13:AB14 AD13 AQ13:AQ14 U14 W14:W15 AL14:AL24 Y15:Y24 AD15 AN15:AN24 AS15:AS24 BH15:BH24 AB16:AB24 AQ16:AQ24 Q17:Q24 U17:U24 W17:W24 AD17:AD24 AH17:AH24 BF17:BF24 H22:H24 J22:J24 M22:M24 O22:O24 S22:S24 Y26:Y39 U27 W27 AH27 AJ27 AB28:AB29 AF28:AF39 AD29:AD31 AH29:AH39 U30 W30 AS30 BH30 AJ32:AJ34 U33:U39 W33:W39 AB33:AB39 AD33:AD39 AL33 AU33 AW33 AQ34:AQ39 AS34:AS39 AU37:AU39 AW37:AW39 AY37:AY39 AJ39 AN39">
    <cfRule type="expression" dxfId="2" priority="647">
      <formula>AF8="GaNĐ"</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0" priority="648">
      <formula>AA7="C6"</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1" priority="649">
      <formula>AA7="TC6"</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1" priority="650">
      <formula>AA7="TC5"</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1" priority="651">
      <formula>AA7="TC4"</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1" priority="652">
      <formula>AA7="TC3"</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1" priority="653">
      <formula>AA7="TC2"</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1" priority="654">
      <formula>AA7="TC1"</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8" priority="655">
      <formula>AA7="Full"</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9" priority="656">
      <formula>AA7="OFF"</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10" priority="657">
      <formula>AA7="Gãy 2"</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10" priority="658">
      <formula>AA7="Gãy 1"</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2" priority="659">
      <formula>AA7="HC4"</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2" priority="660">
      <formula>AA7="HC3"</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2" priority="661">
      <formula>AA7="HC2"</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2" priority="662">
      <formula>AA7="HC1"</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3" priority="663">
      <formula>AA7="C5"</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4" priority="664">
      <formula>AA7="C4"</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5" priority="665">
      <formula>AA7="C3"</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0" priority="666">
      <formula>AA7="C2"</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26" priority="667">
      <formula>AA7="C1"</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16" priority="668">
      <formula>AA7="S4"</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17" priority="669">
      <formula>AA7="S3"</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18" priority="670">
      <formula>AA7="S2"</formula>
    </cfRule>
  </conditionalFormatting>
  <conditionalFormatting sqref="AA7:AA24 AP7:AP24 BE7:BE24 AT8 BG10:BG24 BI10:BI24 BK10:BK24 BM10:BM24 BO10:BO24 AR12 AT13 AG14 AV14 AE15:AE24 AR15 AT15:AT24 BQ15:BQ24 AG17:AG24 AV17:AV24 AR18:AR19 AX19 AZ19 BB19 L22:L24 P22:P24 R22:R24 L27:L35 L39">
    <cfRule type="expression" dxfId="19" priority="671">
      <formula>AA7="S1"</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0" priority="672">
      <formula>AR7="C6"</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1" priority="673">
      <formula>AR7="TC6"</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1" priority="674">
      <formula>AR7="TC5"</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1" priority="675">
      <formula>AR7="TC4"</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1" priority="676">
      <formula>AR7="TC3"</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1" priority="677">
      <formula>AR7="TC2"</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1" priority="678">
      <formula>AR7="TC1"</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8" priority="679">
      <formula>AR7="Full"</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9" priority="680">
      <formula>AR7="OFF"</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10" priority="681">
      <formula>AR7="Gãy 2"</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10" priority="682">
      <formula>AR7="Gãy 1"</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2" priority="683">
      <formula>AR7="HC4"</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2" priority="684">
      <formula>AR7="HC3"</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2" priority="685">
      <formula>AR7="HC2"</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2" priority="686">
      <formula>AR7="HC1"</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3" priority="687">
      <formula>AR7="C5"</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4" priority="688">
      <formula>AR7="C4"</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5" priority="689">
      <formula>AR7="C3"</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0" priority="690">
      <formula>AR7="C2"</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26" priority="691">
      <formula>AR7="C1"</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16" priority="692">
      <formula>AR7="S4"</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17" priority="693">
      <formula>AR7="S3"</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18" priority="694">
      <formula>AR7="S2"</formula>
    </cfRule>
  </conditionalFormatting>
  <conditionalFormatting sqref="AR7 AP8:AP9 BE8:BE24 BG10:BG24 BI10:BI24 BK10:BK24 BM10:BM24 BO10:BO24 AP11 AR12:AR13 AE14 AT14:AT15 AR16 AP18:AP19 AR19 AT19 AV19 AX19 AZ19 BB19 BQ19 AA26:AA40 AC26:AC39 AE26:AE39 AG26:AG39 AI26:AI39 AK26:AK39 AM26:AM39 AP26:AP39 AR26:AR39 AT26:AT39 AV26:AV39 AX26:AX39 AZ26:AZ39 BB26:BB39 BE26:BE40 BG26:BG39 BI26:BI39 BK26:BK39 BM26:BM39 BO26:BO39 BQ26:BQ39">
    <cfRule type="expression" dxfId="19" priority="695">
      <formula>AR7="S1"</formula>
    </cfRule>
  </conditionalFormatting>
  <conditionalFormatting sqref="AB7:AB24 AQ7:AQ24 BF7:BF24 AN8 AU8 AW8 BJ8 BL8:BL10 BP8:BP10 BH9 BN9:BN10 AF10:AF11 AL10 AU10:AU11 BA10 BJ10:BJ21 AW11 BH11:BH13 BC12 BL12:BL16 BP12:BP16 AD13 AH13 AS13 AU13 AW13 BR13 BC14 AD15 AF15 AH15 AN15:AN16 AS15:AS24 AU15 AW15:AW16 BH15:BH24 AJ16 AY16 BN16 AD17:AD24 AF17 AU17 AF19:AF21 AU19:AU21 M22:M24 O22:O24 BC27 AY32">
    <cfRule type="expression" dxfId="1" priority="696">
      <formula>AB7="BigNB"</formula>
    </cfRule>
  </conditionalFormatting>
  <conditionalFormatting sqref="AB7:AB24 AQ7:AQ24 BF7:BF24 AN8 AU8 AW8 BJ8 BL8:BL10 BP8:BP10 BH9 BN9:BN10 AF10:AF11 AL10 AU10:AU11 BA10 BJ10:BJ21 AW11 BH11:BH13 BC12 BL12:BL16 BP12:BP16 AD13 AH13 AS13 AU13 AW13 BR13 BC14 AD15 AF15 AH15 AN15:AN16 AS15:AS24 AU15 AW15:AW16 BH15:BH24 AJ16 AY16 BN16 AD17:AD24 AF17 AU17 AF19:AF21 AU19:AU21 M22:M24 O22:O24 BC27 AY32">
    <cfRule type="expression" dxfId="1" priority="697">
      <formula>AB7="GaNB"</formula>
    </cfRule>
  </conditionalFormatting>
  <conditionalFormatting sqref="AB7:AB24 AQ7:AQ24 BF7:BF24 AN8 AU8 AW8 BJ8 BL8:BL10 BP8:BP10 BH9 BN9:BN10 AF10:AF11 AL10 AU10:AU11 BA10 BJ10:BJ21 AW11 BH11:BH13 BC12 BL12:BL16 BP12:BP16 AD13 AH13 AS13 AU13 AW13 BR13 BC14 AD15 AF15 AH15 AN15:AN16 AS15:AS24 AU15 AW15:AW16 BH15:BH24 AJ16 AY16 BN16 AD17:AD24 AF17 AU17 AF19:AF21 AU19:AU21 M22:M24 O22:O24 BC27 AY32">
    <cfRule type="expression" dxfId="2" priority="698">
      <formula>AB7="BigNĐ"</formula>
    </cfRule>
  </conditionalFormatting>
  <conditionalFormatting sqref="AB7:AB24 AQ7:AQ24 BF7:BF24 AN8 AU8 AW8 BJ8 BL8:BL10 BP8:BP10 BH9 BN9:BN10 AF10:AF11 AL10 AU10:AU11 BA10 BJ10:BJ21 AW11 BH11:BH13 BC12 BL12:BL16 BP12:BP16 AD13 AH13 AS13 AU13 AW13 BR13 BC14 AD15 AF15 AH15 AN15:AN16 AS15:AS24 AU15 AW15:AW16 BH15:BH24 AJ16 AY16 BN16 AD17:AD24 AF17 AU17 AF19:AF21 AU19:AU21 M22:M24 O22:O24 BC27 AY32">
    <cfRule type="expression" dxfId="2" priority="699">
      <formula>AB7="GaNĐ"</formula>
    </cfRule>
  </conditionalFormatting>
  <conditionalFormatting sqref="BC8:BC24 Y9 AN9 AF10 AQ10 AU10:AU11 BJ10 BL10 BP10 BF12:BF13 BH12 BJ12:BJ13 W13 Y13 AB13 AF13 AH13:AH14 AL13 AN13 AQ13 AU13 AW13:AW17 BA13 BL13:BL15 BP13 AJ14 AY14 BN14 AN15 AU15 BJ15 BP15 AH17 AJ17 AL17:AL18 AY17 BA17:BA18 BL17 BN17 BP17:BP18 AF18 AU18 BJ18 AB26:AB39 U27 W27 AJ27 AF28:AF29 Y29 AD29:AD30 AH29:AH39 U30 AN30 BC30 BF30 BH30 AF31:AF39 Y32:Y39 AJ32:AJ34 U33:U39 W33:W39 AD33:AD39 AL33 AU33 AW33 AQ34:AQ39 AS34:AS39 AU37:AU39 AW37:AW39 AY37:AY39 AJ39 AN39">
    <cfRule type="expression" dxfId="1" priority="700">
      <formula>BC8="BigNB"</formula>
    </cfRule>
  </conditionalFormatting>
  <conditionalFormatting sqref="BC8:BC24 Y9 AN9 AF10 AQ10 AU10:AU11 BJ10 BL10 BP10 BF12:BF13 BH12 BJ12:BJ13 W13 Y13 AB13 AF13 AH13:AH14 AL13 AN13 AQ13 AU13 AW13:AW17 BA13 BL13:BL15 BP13 AJ14 AY14 BN14 AN15 AU15 BJ15 BP15 AH17 AJ17 AL17:AL18 AY17 BA17:BA18 BL17 BN17 BP17:BP18 AF18 AU18 BJ18 AB26:AB39 U27 W27 AJ27 AF28:AF29 Y29 AD29:AD30 AH29:AH39 U30 AN30 BC30 BF30 BH30 AF31:AF39 Y32:Y39 AJ32:AJ34 U33:U39 W33:W39 AD33:AD39 AL33 AU33 AW33 AQ34:AQ39 AS34:AS39 AU37:AU39 AW37:AW39 AY37:AY39 AJ39 AN39">
    <cfRule type="expression" dxfId="1" priority="701">
      <formula>BC8="GaNB"</formula>
    </cfRule>
  </conditionalFormatting>
  <conditionalFormatting sqref="BC8:BC24 Y9 AN9 AF10 AQ10 AU10:AU11 BJ10 BL10 BP10 BF12:BF13 BH12 BJ12:BJ13 W13 Y13 AB13 AF13 AH13:AH14 AL13 AN13 AQ13 AU13 AW13:AW17 BA13 BL13:BL15 BP13 AJ14 AY14 BN14 AN15 AU15 BJ15 BP15 AH17 AJ17 AL17:AL18 AY17 BA17:BA18 BL17 BN17 BP17:BP18 AF18 AU18 BJ18 AB26:AB39 U27 W27 AJ27 AF28:AF29 Y29 AD29:AD30 AH29:AH39 U30 AN30 BC30 BF30 BH30 AF31:AF39 Y32:Y39 AJ32:AJ34 U33:U39 W33:W39 AD33:AD39 AL33 AU33 AW33 AQ34:AQ39 AS34:AS39 AU37:AU39 AW37:AW39 AY37:AY39 AJ39 AN39">
    <cfRule type="expression" dxfId="2" priority="702">
      <formula>BC8="BigNĐ"</formula>
    </cfRule>
  </conditionalFormatting>
  <conditionalFormatting sqref="BC8:BC24 Y9 AN9 AF10 AQ10 AU10:AU11 BJ10 BL10 BP10 BF12:BF13 BH12 BJ12:BJ13 W13 Y13 AB13 AF13 AH13:AH14 AL13 AN13 AQ13 AU13 AW13:AW17 BA13 BL13:BL15 BP13 AJ14 AY14 BN14 AN15 AU15 BJ15 BP15 AH17 AJ17 AL17:AL18 AY17 BA17:BA18 BL17 BN17 BP17:BP18 AF18 AU18 BJ18 AB26:AB39 U27 W27 AJ27 AF28:AF29 Y29 AD29:AD30 AH29:AH39 U30 AN30 BC30 BF30 BH30 AF31:AF39 Y32:Y39 AJ32:AJ34 U33:U39 W33:W39 AD33:AD39 AL33 AU33 AW33 AQ34:AQ39 AS34:AS39 AU37:AU39 AW37:AW39 AY37:AY39 AJ39 AN39">
    <cfRule type="expression" dxfId="2" priority="703">
      <formula>BC8="GaNĐ"</formula>
    </cfRule>
  </conditionalFormatting>
  <conditionalFormatting sqref="AC7:AC24 AR7:AR24 BG7:BG24 BI7:BI24 BK7:BK24 BM7:BM24 BO7:BO24 AA8:AA24 AP8:AP24 AT8 BE8:BE24 AK12 AZ12 BQ12 AT14:AT15 AT19 AV19 AX19 AZ19 BB19 BQ19 L22:L24 N22:N24 L27:L35 AR32 L39">
    <cfRule type="expression" dxfId="20" priority="704">
      <formula>AC7="C6"</formula>
    </cfRule>
  </conditionalFormatting>
  <conditionalFormatting sqref="AC7:AC24 AR7:AR24 BG7:BG24 BI7:BI24 BK7:BK24 BM7:BM24 BO7:BO24 AA8:AA24 AP8:AP24 AT8 BE8:BE24 AK12 AZ12 BQ12 AT14:AT15 AT19 AV19 AX19 AZ19 BB19 BQ19 L22:L24 N22:N24 L27:L35 AR32 L39">
    <cfRule type="expression" dxfId="21" priority="705">
      <formula>AC7="TC6"</formula>
    </cfRule>
  </conditionalFormatting>
  <conditionalFormatting sqref="AC7:AC24 AR7:AR24 BG7:BG24 BI7:BI24 BK7:BK24 BM7:BM24 BO7:BO24 AA8:AA24 AP8:AP24 AT8 BE8:BE24 AK12 AZ12 BQ12 AT14:AT15 AT19 AV19 AX19 AZ19 BB19 BQ19 L22:L24 N22:N24 L27:L35 AR32 L39">
    <cfRule type="expression" dxfId="21" priority="706">
      <formula>AC7="TC5"</formula>
    </cfRule>
  </conditionalFormatting>
  <conditionalFormatting sqref="AC7:AC24 AR7:AR24 BG7:BG24 BI7:BI24 BK7:BK24 BM7:BM24 BO7:BO24 AA8:AA24 AP8:AP24 AT8 BE8:BE24 AK12 AZ12 BQ12 AT14:AT15 AT19 AV19 AX19 AZ19 BB19 BQ19 L22:L24 N22:N24 L27:L35 AR32 L39">
    <cfRule type="expression" dxfId="21" priority="707">
      <formula>AC7="TC4"</formula>
    </cfRule>
  </conditionalFormatting>
  <conditionalFormatting sqref="AC7:AC24 AR7:AR24 BG7:BG24 BI7:BI24 BK7:BK24 BM7:BM24 BO7:BO24 AA8:AA24 AP8:AP24 AT8 BE8:BE24 AK12 AZ12 BQ12 AT14:AT15 AT19 AV19 AX19 AZ19 BB19 BQ19 L22:L24 N22:N24 L27:L35 AR32 L39">
    <cfRule type="expression" dxfId="21" priority="708">
      <formula>AC7="TC3"</formula>
    </cfRule>
  </conditionalFormatting>
  <conditionalFormatting sqref="AC7:AC24 AR7:AR24 BG7:BG24 BI7:BI24 BK7:BK24 BM7:BM24 BO7:BO24 AA8:AA24 AP8:AP24 AT8 BE8:BE24 AK12 AZ12 BQ12 AT14:AT15 AT19 AV19 AX19 AZ19 BB19 BQ19 L22:L24 N22:N24 L27:L35 AR32 L39">
    <cfRule type="expression" dxfId="21" priority="709">
      <formula>AC7="TC2"</formula>
    </cfRule>
  </conditionalFormatting>
  <conditionalFormatting sqref="AC7:AC24 AR7:AR24 BG7:BG24 BI7:BI24 BK7:BK24 BM7:BM24 BO7:BO24 AA8:AA24 AP8:AP24 AT8 BE8:BE24 AK12 AZ12 BQ12 AT14:AT15 AT19 AV19 AX19 AZ19 BB19 BQ19 L22:L24 N22:N24 L27:L35 AR32 L39">
    <cfRule type="expression" dxfId="21" priority="710">
      <formula>AC7="TC1"</formula>
    </cfRule>
  </conditionalFormatting>
  <conditionalFormatting sqref="AC7:AC24 AR7:AR24 BG7:BG24 BI7:BI24 BK7:BK24 BM7:BM24 BO7:BO24 AA8:AA24 AP8:AP24 AT8 BE8:BE24 AK12 AZ12 BQ12 AT14:AT15 AT19 AV19 AX19 AZ19 BB19 BQ19 L22:L24 N22:N24 L27:L35 AR32 L39">
    <cfRule type="expression" dxfId="8" priority="711">
      <formula>AC7="Full"</formula>
    </cfRule>
  </conditionalFormatting>
  <conditionalFormatting sqref="AC7:AC24 AR7:AR24 BG7:BG24 BI7:BI24 BK7:BK24 BM7:BM24 BO7:BO24 AA8:AA24 AP8:AP24 AT8 BE8:BE24 AK12 AZ12 BQ12 AT14:AT15 AT19 AV19 AX19 AZ19 BB19 BQ19 L22:L24 N22:N24 L27:L35 AR32 L39">
    <cfRule type="expression" dxfId="9" priority="712">
      <formula>AC7="OFF"</formula>
    </cfRule>
  </conditionalFormatting>
  <conditionalFormatting sqref="AC7:AC24 AR7:AR24 BG7:BG24 BI7:BI24 BK7:BK24 BM7:BM24 BO7:BO24 AA8:AA24 AP8:AP24 AT8 BE8:BE24 AK12 AZ12 BQ12 AT14:AT15 AT19 AV19 AX19 AZ19 BB19 BQ19 L22:L24 N22:N24 L27:L35 AR32 L39">
    <cfRule type="expression" dxfId="10" priority="713">
      <formula>AC7="Gãy 2"</formula>
    </cfRule>
  </conditionalFormatting>
  <conditionalFormatting sqref="AC7:AC24 AR7:AR24 BG7:BG24 BI7:BI24 BK7:BK24 BM7:BM24 BO7:BO24 AA8:AA24 AP8:AP24 AT8 BE8:BE24 AK12 AZ12 BQ12 AT14:AT15 AT19 AV19 AX19 AZ19 BB19 BQ19 L22:L24 N22:N24 L27:L35 AR32 L39">
    <cfRule type="expression" dxfId="10" priority="714">
      <formula>AC7="Gãy 1"</formula>
    </cfRule>
  </conditionalFormatting>
  <conditionalFormatting sqref="AC7:AC24 AR7:AR24 BG7:BG24 BI7:BI24 BK7:BK24 BM7:BM24 BO7:BO24 AA8:AA24 AP8:AP24 AT8 BE8:BE24 AK12 AZ12 BQ12 AT14:AT15 AT19 AV19 AX19 AZ19 BB19 BQ19 L22:L24 N22:N24 L27:L35 AR32 L39">
    <cfRule type="expression" dxfId="22" priority="715">
      <formula>AC7="HC4"</formula>
    </cfRule>
  </conditionalFormatting>
  <conditionalFormatting sqref="AC7:AC24 AR7:AR24 BG7:BG24 BI7:BI24 BK7:BK24 BM7:BM24 BO7:BO24 AA8:AA24 AP8:AP24 AT8 BE8:BE24 AK12 AZ12 BQ12 AT14:AT15 AT19 AV19 AX19 AZ19 BB19 BQ19 L22:L24 N22:N24 L27:L35 AR32 L39">
    <cfRule type="expression" dxfId="22" priority="716">
      <formula>AC7="HC3"</formula>
    </cfRule>
  </conditionalFormatting>
  <conditionalFormatting sqref="AC7:AC24 AR7:AR24 BG7:BG24 BI7:BI24 BK7:BK24 BM7:BM24 BO7:BO24 AA8:AA24 AP8:AP24 AT8 BE8:BE24 AK12 AZ12 BQ12 AT14:AT15 AT19 AV19 AX19 AZ19 BB19 BQ19 L22:L24 N22:N24 L27:L35 AR32 L39">
    <cfRule type="expression" dxfId="22" priority="717">
      <formula>AC7="HC2"</formula>
    </cfRule>
  </conditionalFormatting>
  <conditionalFormatting sqref="AC7:AC24 AR7:AR24 BG7:BG24 BI7:BI24 BK7:BK24 BM7:BM24 BO7:BO24 AA8:AA24 AP8:AP24 AT8 BE8:BE24 AK12 AZ12 BQ12 AT14:AT15 AT19 AV19 AX19 AZ19 BB19 BQ19 L22:L24 N22:N24 L27:L35 AR32 L39">
    <cfRule type="expression" dxfId="22" priority="718">
      <formula>AC7="HC1"</formula>
    </cfRule>
  </conditionalFormatting>
  <conditionalFormatting sqref="AC7:AC24 AR7:AR24 BG7:BG24 BI7:BI24 BK7:BK24 BM7:BM24 BO7:BO24 AA8:AA24 AP8:AP24 AT8 BE8:BE24 AK12 AZ12 BQ12 AT14:AT15 AT19 AV19 AX19 AZ19 BB19 BQ19 L22:L24 N22:N24 L27:L35 AR32 L39">
    <cfRule type="expression" dxfId="23" priority="719">
      <formula>AC7="C5"</formula>
    </cfRule>
  </conditionalFormatting>
  <conditionalFormatting sqref="AC7:AC24 AR7:AR24 BG7:BG24 BI7:BI24 BK7:BK24 BM7:BM24 BO7:BO24 AA8:AA24 AP8:AP24 AT8 BE8:BE24 AK12 AZ12 BQ12 AT14:AT15 AT19 AV19 AX19 AZ19 BB19 BQ19 L22:L24 N22:N24 L27:L35 AR32 L39">
    <cfRule type="expression" dxfId="24" priority="720">
      <formula>AC7="C4"</formula>
    </cfRule>
  </conditionalFormatting>
  <conditionalFormatting sqref="AC7:AC24 AR7:AR24 BG7:BG24 BI7:BI24 BK7:BK24 BM7:BM24 BO7:BO24 AA8:AA24 AP8:AP24 AT8 BE8:BE24 AK12 AZ12 BQ12 AT14:AT15 AT19 AV19 AX19 AZ19 BB19 BQ19 L22:L24 N22:N24 L27:L35 AR32 L39">
    <cfRule type="expression" dxfId="25" priority="721">
      <formula>AC7="C3"</formula>
    </cfRule>
  </conditionalFormatting>
  <conditionalFormatting sqref="AC7:AC24 AR7:AR24 BG7:BG24 BI7:BI24 BK7:BK24 BM7:BM24 BO7:BO24 AA8:AA24 AP8:AP24 AT8 BE8:BE24 AK12 AZ12 BQ12 AT14:AT15 AT19 AV19 AX19 AZ19 BB19 BQ19 L22:L24 N22:N24 L27:L35 AR32 L39">
    <cfRule type="expression" dxfId="20" priority="722">
      <formula>AC7="C2"</formula>
    </cfRule>
  </conditionalFormatting>
  <conditionalFormatting sqref="AC7:AC24 AR7:AR24 BG7:BG24 BI7:BI24 BK7:BK24 BM7:BM24 BO7:BO24 AA8:AA24 AP8:AP24 AT8 BE8:BE24 AK12 AZ12 BQ12 AT14:AT15 AT19 AV19 AX19 AZ19 BB19 BQ19 L22:L24 N22:N24 L27:L35 AR32 L39">
    <cfRule type="expression" dxfId="26" priority="723">
      <formula>AC7="C1"</formula>
    </cfRule>
  </conditionalFormatting>
  <conditionalFormatting sqref="AC7:AC24 AR7:AR24 BG7:BG24 BI7:BI24 BK7:BK24 BM7:BM24 BO7:BO24 AA8:AA24 AP8:AP24 AT8 BE8:BE24 AK12 AZ12 BQ12 AT14:AT15 AT19 AV19 AX19 AZ19 BB19 BQ19 L22:L24 N22:N24 L27:L35 AR32 L39">
    <cfRule type="expression" dxfId="16" priority="724">
      <formula>AC7="S4"</formula>
    </cfRule>
  </conditionalFormatting>
  <conditionalFormatting sqref="AC7:AC24 AR7:AR24 BG7:BG24 BI7:BI24 BK7:BK24 BM7:BM24 BO7:BO24 AA8:AA24 AP8:AP24 AT8 BE8:BE24 AK12 AZ12 BQ12 AT14:AT15 AT19 AV19 AX19 AZ19 BB19 BQ19 L22:L24 N22:N24 L27:L35 AR32 L39">
    <cfRule type="expression" dxfId="17" priority="725">
      <formula>AC7="S3"</formula>
    </cfRule>
  </conditionalFormatting>
  <conditionalFormatting sqref="AC7:AC24 AR7:AR24 BG7:BG24 BI7:BI24 BK7:BK24 BM7:BM24 BO7:BO24 AA8:AA24 AP8:AP24 AT8 BE8:BE24 AK12 AZ12 BQ12 AT14:AT15 AT19 AV19 AX19 AZ19 BB19 BQ19 L22:L24 N22:N24 L27:L35 AR32 L39">
    <cfRule type="expression" dxfId="18" priority="726">
      <formula>AC7="S2"</formula>
    </cfRule>
  </conditionalFormatting>
  <conditionalFormatting sqref="AC7:AC24 AR7:AR24 BG7:BG24 BI7:BI24 BK7:BK24 BM7:BM24 BO7:BO24 AA8:AA24 AP8:AP24 AT8 BE8:BE24 AK12 AZ12 BQ12 AT14:AT15 AT19 AV19 AX19 AZ19 BB19 BQ19 L22:L24 N22:N24 L27:L35 AR32 L39">
    <cfRule type="expression" dxfId="19" priority="727">
      <formula>AC7="S1"</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0" priority="728">
      <formula>AR7="C6"</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1" priority="729">
      <formula>AR7="TC6"</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1" priority="730">
      <formula>AR7="TC5"</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1" priority="731">
      <formula>AR7="TC4"</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1" priority="732">
      <formula>AR7="TC3"</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1" priority="733">
      <formula>AR7="TC2"</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1" priority="734">
      <formula>AR7="TC1"</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8" priority="735">
      <formula>AR7="Full"</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9" priority="736">
      <formula>AR7="OFF"</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10" priority="737">
      <formula>AR7="Gãy 2"</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10" priority="738">
      <formula>AR7="Gãy 1"</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2" priority="739">
      <formula>AR7="HC4"</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2" priority="740">
      <formula>AR7="HC3"</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2" priority="741">
      <formula>AR7="HC2"</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2" priority="742">
      <formula>AR7="HC1"</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3" priority="743">
      <formula>AR7="C5"</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4" priority="744">
      <formula>AR7="C4"</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5" priority="745">
      <formula>AR7="C3"</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0" priority="746">
      <formula>AR7="C2"</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26" priority="747">
      <formula>AR7="C1"</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16" priority="748">
      <formula>AR7="S4"</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17" priority="749">
      <formula>AR7="S3"</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18" priority="750">
      <formula>AR7="S2"</formula>
    </cfRule>
  </conditionalFormatting>
  <conditionalFormatting sqref="AR7 AP8:AP9 BE8:BE24 BG10:BG24 BI10:BI24 BK10:BK24 BM10:BM24 BO10:BO24 AP11 AR12:AR13 AE14 AT14:AT15 AR16 AP18:AP19 AR19 AT19 AV19 AX19 AZ19 BB19 BQ19 AC26:AC40 AE26:AE32 AG26:AG39 AI26:AI40 AK26:AK40 AM26:AM40 AP26:AP39 AR26:AR39 AT26:AT39 AV26:AV39 AX26:AX39 AZ26:AZ39 BB26:BB39 BE26:BE40 BG26:BG39 BI26:BI39 BK26:BK39 BM26:BM39 BO26:BO39 BQ26:BQ39 AE34:AE40">
    <cfRule type="expression" dxfId="19" priority="751">
      <formula>AR7="S1"</formula>
    </cfRule>
  </conditionalFormatting>
  <conditionalFormatting sqref="AD7:AD24 AS7:AS24 BH7:BH24 AF8:AF24 AH8:AH24 AJ8:AJ24 AL8:AL24 AN8:AN9 AU8:AU24 AW8:AW24 AY8:AY24 BA8:BA24 BC8:BC24 BF8:BF20 BJ8:BJ24 BL8:BL24 BN8:BN24 BP8:BP24 W9 Y9 AB9:AB11 AQ9:AQ14 Q11 S11 W11:W12 Y11:Y12 AN11:AN13 AB13:AB14 BR13 U14:U15 W14:W15 AN15:AN24 Y16 AB16 AQ16:AQ24 Q17:Q24 W17:W24 AM17:AM24 AP17:AP24 AR17:AR24 AT17:AT24 AV17:AV24 BB17:BB24 BG17:BG24 BI17:BI24 BK17:BK24 BM17:BM24 BO17:BO24 BQ17:BQ24 Y18 AB18 AX19 AZ19 BE19 H22:H24 O22:O24 Y22:Y24 AH27 AF29:AF30 AS30 BH30 AD31 AH31">
    <cfRule type="expression" dxfId="1" priority="752">
      <formula>AD7="BigNB"</formula>
    </cfRule>
  </conditionalFormatting>
  <conditionalFormatting sqref="AD7:AD24 AS7:AS24 BH7:BH24 AF8:AF24 AH8:AH24 AJ8:AJ24 AL8:AL24 AN8:AN9 AU8:AU24 AW8:AW24 AY8:AY24 BA8:BA24 BC8:BC24 BF8:BF20 BJ8:BJ24 BL8:BL24 BN8:BN24 BP8:BP24 W9 Y9 AB9:AB11 AQ9:AQ14 Q11 S11 W11:W12 Y11:Y12 AN11:AN13 AB13:AB14 BR13 U14:U15 W14:W15 AN15:AN24 Y16 AB16 AQ16:AQ24 Q17:Q24 W17:W24 AM17:AM24 AP17:AP24 AR17:AR24 AT17:AT24 AV17:AV24 BB17:BB24 BG17:BG24 BI17:BI24 BK17:BK24 BM17:BM24 BO17:BO24 BQ17:BQ24 Y18 AB18 AX19 AZ19 BE19 H22:H24 O22:O24 Y22:Y24 AH27 AF29:AF30 AS30 BH30 AD31 AH31">
    <cfRule type="expression" dxfId="1" priority="753">
      <formula>AD7="GaNB"</formula>
    </cfRule>
  </conditionalFormatting>
  <conditionalFormatting sqref="AD7:AD24 AS7:AS24 BH7:BH24 AF8:AF24 AH8:AH24 AJ8:AJ24 AL8:AL24 AN8:AN9 AU8:AU24 AW8:AW24 AY8:AY24 BA8:BA24 BC8:BC24 BF8:BF20 BJ8:BJ24 BL8:BL24 BN8:BN24 BP8:BP24 W9 Y9 AB9:AB11 AQ9:AQ14 Q11 S11 W11:W12 Y11:Y12 AN11:AN13 AB13:AB14 BR13 U14:U15 W14:W15 AN15:AN24 Y16 AB16 AQ16:AQ24 Q17:Q24 W17:W24 AM17:AM24 AP17:AP24 AR17:AR24 AT17:AT24 AV17:AV24 BB17:BB24 BG17:BG24 BI17:BI24 BK17:BK24 BM17:BM24 BO17:BO24 BQ17:BQ24 Y18 AB18 AX19 AZ19 BE19 H22:H24 O22:O24 Y22:Y24 AH27 AF29:AF30 AS30 BH30 AD31 AH31">
    <cfRule type="expression" dxfId="2" priority="754">
      <formula>AD7="BigNĐ"</formula>
    </cfRule>
  </conditionalFormatting>
  <conditionalFormatting sqref="AD7:AD24 AS7:AS24 BH7:BH24 AF8:AF24 AH8:AH24 AJ8:AJ24 AL8:AL24 AN8:AN9 AU8:AU24 AW8:AW24 AY8:AY24 BA8:BA24 BC8:BC24 BF8:BF20 BJ8:BJ24 BL8:BL24 BN8:BN24 BP8:BP24 W9 Y9 AB9:AB11 AQ9:AQ14 Q11 S11 W11:W12 Y11:Y12 AN11:AN13 AB13:AB14 BR13 U14:U15 W14:W15 AN15:AN24 Y16 AB16 AQ16:AQ24 Q17:Q24 W17:W24 AM17:AM24 AP17:AP24 AR17:AR24 AT17:AT24 AV17:AV24 BB17:BB24 BG17:BG24 BI17:BI24 BK17:BK24 BM17:BM24 BO17:BO24 BQ17:BQ24 Y18 AB18 AX19 AZ19 BE19 H22:H24 O22:O24 Y22:Y24 AH27 AF29:AF30 AS30 BH30 AD31 AH31">
    <cfRule type="expression" dxfId="2" priority="755">
      <formula>AD7="GaNĐ"</formula>
    </cfRule>
  </conditionalFormatting>
  <conditionalFormatting sqref="AF8:AF24 AH8:AH24 AN8:AN10 AU8:AU24 AW8:AW24 AY8:AY24 BA8:BA24 BC8:BC24 BF8 BJ8:BJ24 BL8:BL24 BP8:BP24 Y9 AJ9:AJ10 AL9:AL11 AQ9:AQ11 BH9:BH12 BN9:BN12 AS10 AB11 BF11:BF12 AJ12 AS12 AN13 AJ14:AJ17 AQ14:AQ15 BN14:BN17 Y15 AL15:AL24 AN15 AS15 BH15 AM17:AN24 AP17:AT24 AV17:AV24 BB17:BB24 BG17:BI24 BK17:BK24 BM17:BM24 BO17:BO24 BQ17:BQ24 AX19 AZ19 BE19:BF19 BN19 S22:S24 AD26:AD39 AH27:AH32 AJ27 AY27 BJ27 AF28:AF30 AB29 AY29 AQ30 AS30 AU30 BF30 BH30 BJ30 AB32:AB33 AF32 AJ32 W33:W34 Y33:Y39 AL33 AN33 AS33:AS39 AU33 AW33 AQ34:AQ39 AN39">
    <cfRule type="expression" dxfId="1" priority="756">
      <formula>AF8="BigNB"</formula>
    </cfRule>
  </conditionalFormatting>
  <conditionalFormatting sqref="AF8:AF24 AH8:AH24 AN8:AN10 AU8:AU24 AW8:AW24 AY8:AY24 BA8:BA24 BC8:BC24 BF8 BJ8:BJ24 BL8:BL24 BP8:BP24 Y9 AJ9:AJ10 AL9:AL11 AQ9:AQ11 BH9:BH12 BN9:BN12 AS10 AB11 BF11:BF12 AJ12 AS12 AN13 AJ14:AJ17 AQ14:AQ15 BN14:BN17 Y15 AL15:AL24 AN15 AS15 BH15 AM17:AN24 AP17:AT24 AV17:AV24 BB17:BB24 BG17:BI24 BK17:BK24 BM17:BM24 BO17:BO24 BQ17:BQ24 AX19 AZ19 BE19:BF19 BN19 S22:S24 AD26:AD39 AH27:AH32 AJ27 AY27 BJ27 AF28:AF30 AB29 AY29 AQ30 AS30 AU30 BF30 BH30 BJ30 AB32:AB33 AF32 AJ32 W33:W34 Y33:Y39 AL33 AN33 AS33:AS39 AU33 AW33 AQ34:AQ39 AN39">
    <cfRule type="expression" dxfId="1" priority="757">
      <formula>AF8="GaNB"</formula>
    </cfRule>
  </conditionalFormatting>
  <conditionalFormatting sqref="AF8:AF24 AH8:AH24 AN8:AN10 AU8:AU24 AW8:AW24 AY8:AY24 BA8:BA24 BC8:BC24 BF8 BJ8:BJ24 BL8:BL24 BP8:BP24 Y9 AJ9:AJ10 AL9:AL11 AQ9:AQ11 BH9:BH12 BN9:BN12 AS10 AB11 BF11:BF12 AJ12 AS12 AN13 AJ14:AJ17 AQ14:AQ15 BN14:BN17 Y15 AL15:AL24 AN15 AS15 BH15 AM17:AN24 AP17:AT24 AV17:AV24 BB17:BB24 BG17:BI24 BK17:BK24 BM17:BM24 BO17:BO24 BQ17:BQ24 AX19 AZ19 BE19:BF19 BN19 S22:S24 AD26:AD39 AH27:AH32 AJ27 AY27 BJ27 AF28:AF30 AB29 AY29 AQ30 AS30 AU30 BF30 BH30 BJ30 AB32:AB33 AF32 AJ32 W33:W34 Y33:Y39 AL33 AN33 AS33:AS39 AU33 AW33 AQ34:AQ39 AN39">
    <cfRule type="expression" dxfId="2" priority="758">
      <formula>AF8="BigNĐ"</formula>
    </cfRule>
  </conditionalFormatting>
  <conditionalFormatting sqref="AF8:AF24 AH8:AH24 AN8:AN10 AU8:AU24 AW8:AW24 AY8:AY24 BA8:BA24 BC8:BC24 BF8 BJ8:BJ24 BL8:BL24 BP8:BP24 Y9 AJ9:AJ10 AL9:AL11 AQ9:AQ11 BH9:BH12 BN9:BN12 AS10 AB11 BF11:BF12 AJ12 AS12 AN13 AJ14:AJ17 AQ14:AQ15 BN14:BN17 Y15 AL15:AL24 AN15 AS15 BH15 AM17:AN24 AP17:AT24 AV17:AV24 BB17:BB24 BG17:BI24 BK17:BK24 BM17:BM24 BO17:BO24 BQ17:BQ24 AX19 AZ19 BE19:BF19 BN19 S22:S24 AD26:AD39 AH27:AH32 AJ27 AY27 BJ27 AF28:AF30 AB29 AY29 AQ30 AS30 AU30 BF30 BH30 BJ30 AB32:AB33 AF32 AJ32 W33:W34 Y33:Y39 AL33 AN33 AS33:AS39 AU33 AW33 AQ34:AQ39 AN39">
    <cfRule type="expression" dxfId="2" priority="759">
      <formula>AF8="GaNĐ"</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0" priority="760">
      <formula>AC7="C6"</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1" priority="761">
      <formula>AC7="TC6"</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1" priority="762">
      <formula>AC7="TC5"</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1" priority="763">
      <formula>AC7="TC4"</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1" priority="764">
      <formula>AC7="TC3"</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1" priority="765">
      <formula>AC7="TC2"</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1" priority="766">
      <formula>AC7="TC1"</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8" priority="767">
      <formula>AC7="Full"</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9" priority="768">
      <formula>AC7="OFF"</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10" priority="769">
      <formula>AC7="Gãy 2"</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10" priority="770">
      <formula>AC7="Gãy 1"</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2" priority="771">
      <formula>AC7="HC4"</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2" priority="772">
      <formula>AC7="HC3"</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2" priority="773">
      <formula>AC7="HC2"</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2" priority="774">
      <formula>AC7="HC1"</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3" priority="775">
      <formula>AC7="C5"</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4" priority="776">
      <formula>AC7="C4"</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5" priority="777">
      <formula>AC7="C3"</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0" priority="778">
      <formula>AC7="C2"</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26" priority="779">
      <formula>AC7="C1"</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16" priority="780">
      <formula>AC7="S4"</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17" priority="781">
      <formula>AC7="S3"</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18" priority="782">
      <formula>AC7="S2"</formula>
    </cfRule>
  </conditionalFormatting>
  <conditionalFormatting sqref="AC7 AE7:AE24 AT7:AT24 BI7:BI24 BM7:BM24 AV8:AV24 BK8:BK24 BO8:BO24 BQ8:BQ24 AG14 AP14 AG17:AG24 AR18 P22:P24 R22:R24 AE32 AG32 AI32 AK32 AM32 AP32 AR32 AT32 AV32 AX32 AZ32 BB32 BE32 BG32 BI32 BK32 BM32 BO32 BQ32">
    <cfRule type="expression" dxfId="19" priority="783">
      <formula>AC7="S1"</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0" priority="784">
      <formula>AR7="C6"</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1" priority="785">
      <formula>AR7="TC6"</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1" priority="786">
      <formula>AR7="TC5"</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1" priority="787">
      <formula>AR7="TC4"</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1" priority="788">
      <formula>AR7="TC3"</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1" priority="789">
      <formula>AR7="TC2"</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1" priority="790">
      <formula>AR7="TC1"</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8" priority="791">
      <formula>AR7="Full"</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9" priority="792">
      <formula>AR7="OFF"</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10" priority="793">
      <formula>AR7="Gãy 2"</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10" priority="794">
      <formula>AR7="Gãy 1"</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2" priority="795">
      <formula>AR7="HC4"</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2" priority="796">
      <formula>AR7="HC3"</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2" priority="797">
      <formula>AR7="HC2"</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2" priority="798">
      <formula>AR7="HC1"</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3" priority="799">
      <formula>AR7="C5"</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4" priority="800">
      <formula>AR7="C4"</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5" priority="801">
      <formula>AR7="C3"</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0" priority="802">
      <formula>AR7="C2"</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26" priority="803">
      <formula>AR7="C1"</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16" priority="804">
      <formula>AR7="S4"</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17" priority="805">
      <formula>AR7="S3"</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18" priority="806">
      <formula>AR7="S2"</formula>
    </cfRule>
  </conditionalFormatting>
  <conditionalFormatting sqref="AR7 AP8:AP9 BE8:BE24 BG10:BG24 BI10:BI24 BK10:BK24 BM10:BM24 BO10:BO24 AP11 AR12:AR13 AE14 AT14:AT15 AR16 AP18:AP19 AR19 AT19 AV19 AX19 AZ19 BB19 BQ19 AE26:AE40 AG26:AG39 AI26:AI40 AK26:AK39 AM26:AM39 AP26:AP39 AR26:AR39 AT26:AT39 AV26:AV39 AX26:AX39 AZ26:AZ39 BB26:BB39 BE26:BE40 BG26:BG39 BI26:BI39 BK26:BK39 BM26:BM39 BO26:BO39 BQ26:BQ39 AC34:AC39">
    <cfRule type="expression" dxfId="19" priority="807">
      <formula>AR7="S1"</formula>
    </cfRule>
  </conditionalFormatting>
  <conditionalFormatting sqref="AF7:AF24 AU7:AU24 BJ7:BJ24 BN7:BN24 AN8:AN9 AW8 AY8:AY24 BA8:BA24 BC8:BC24 BL8 BP8:BP24 AB9 AD9 AJ9 AL9 AQ9:AQ10 AS9 BF9 BH9:BH13 BL10:BL11 AD11 AH11 AJ11:AJ12 AL11 AS11:AS13 AW11 BF12 AH14:AH15 AJ14:AJ15 AW14:AW16 BL14:BL16 AB15:AB16 AL15:AL24 AN15 AQ15 AS15 BF15 BH15 W17:W24 AM17:AN24 AP17:AT24 AV17:AV24 BB17:BB24 BF17:BF20 BG17:BI24 BK17:BK24 BM17:BM24 BO17:BO24 BQ17:BQ24 Y18 AB18 AD18 AX19 AZ19 BE19 AH21 H22:H24 Q22:Q24">
    <cfRule type="expression" dxfId="1" priority="808">
      <formula>AF7="BigNB"</formula>
    </cfRule>
  </conditionalFormatting>
  <conditionalFormatting sqref="AF7:AF24 AU7:AU24 BJ7:BJ24 BN7:BN24 AN8:AN9 AW8 AY8:AY24 BA8:BA24 BC8:BC24 BL8 BP8:BP24 AB9 AD9 AJ9 AL9 AQ9:AQ10 AS9 BF9 BH9:BH13 BL10:BL11 AD11 AH11 AJ11:AJ12 AL11 AS11:AS13 AW11 BF12 AH14:AH15 AJ14:AJ15 AW14:AW16 BL14:BL16 AB15:AB16 AL15:AL24 AN15 AQ15 AS15 BF15 BH15 W17:W24 AM17:AN24 AP17:AT24 AV17:AV24 BB17:BB24 BF17:BF20 BG17:BI24 BK17:BK24 BM17:BM24 BO17:BO24 BQ17:BQ24 Y18 AB18 AD18 AX19 AZ19 BE19 AH21 H22:H24 Q22:Q24">
    <cfRule type="expression" dxfId="1" priority="809">
      <formula>AF7="GaNB"</formula>
    </cfRule>
  </conditionalFormatting>
  <conditionalFormatting sqref="AF7:AF24 AU7:AU24 BJ7:BJ24 BN7:BN24 AN8:AN9 AW8 AY8:AY24 BA8:BA24 BC8:BC24 BL8 BP8:BP24 AB9 AD9 AJ9 AL9 AQ9:AQ10 AS9 BF9 BH9:BH13 BL10:BL11 AD11 AH11 AJ11:AJ12 AL11 AS11:AS13 AW11 BF12 AH14:AH15 AJ14:AJ15 AW14:AW16 BL14:BL16 AB15:AB16 AL15:AL24 AN15 AQ15 AS15 BF15 BH15 W17:W24 AM17:AN24 AP17:AT24 AV17:AV24 BB17:BB24 BF17:BF20 BG17:BI24 BK17:BK24 BM17:BM24 BO17:BO24 BQ17:BQ24 Y18 AB18 AD18 AX19 AZ19 BE19 AH21 H22:H24 Q22:Q24">
    <cfRule type="expression" dxfId="2" priority="810">
      <formula>AF7="BigNĐ"</formula>
    </cfRule>
  </conditionalFormatting>
  <conditionalFormatting sqref="AF7:AF24 AU7:AU24 BJ7:BJ24 BN7:BN24 AN8:AN9 AW8 AY8:AY24 BA8:BA24 BC8:BC24 BL8 BP8:BP24 AB9 AD9 AJ9 AL9 AQ9:AQ10 AS9 BF9 BH9:BH13 BL10:BL11 AD11 AH11 AJ11:AJ12 AL11 AS11:AS13 AW11 BF12 AH14:AH15 AJ14:AJ15 AW14:AW16 BL14:BL16 AB15:AB16 AL15:AL24 AN15 AQ15 AS15 BF15 BH15 W17:W24 AM17:AN24 AP17:AT24 AV17:AV24 BB17:BB24 BF17:BF20 BG17:BI24 BK17:BK24 BM17:BM24 BO17:BO24 BQ17:BQ24 Y18 AB18 AD18 AX19 AZ19 BE19 AH21 H22:H24 Q22:Q24">
    <cfRule type="expression" dxfId="2" priority="811">
      <formula>AF7="GaNĐ"</formula>
    </cfRule>
  </conditionalFormatting>
  <conditionalFormatting sqref="AU9:AU11 BJ9:BJ11 AF10:AF11 BN10 AH11 AL11 AW11 BA11 BL11 BP11 AY12 BN12 AF13:AF14 AU13:AU14 BJ13:BJ14 AH14 AJ14 AW14 AY14:AY18 BL14 BN14:BN17 AF16 AJ16:AJ17 AU16 BJ16 AH17 AL17:AL18 AW17 BA17:BA18 BL17 BP17:BP18 AF18 AU18 BJ18 AF26:AF39 S27 W27 AH27:AH28 AJ27 AL27 AN27 AQ27 AS27 AB28 H29 Y29 AS29:AS30 AU29 AW29 M30 U30 BH30 AD31 AH31:AH32 AL31 AN31 AQ31 W32 Y32 AJ32:AJ33 Q33:Q39 U33:U39 AL33 H34:H39 J34:J39 M34:M39 O34:O39 S34:S39 AS34:AS39 AQ37:AQ39 AU37:AU39 AN39">
    <cfRule type="expression" dxfId="1" priority="812">
      <formula>AU9="BigNB"</formula>
    </cfRule>
  </conditionalFormatting>
  <conditionalFormatting sqref="AU9:AU11 BJ9:BJ11 AF10:AF11 BN10 AH11 AL11 AW11 BA11 BL11 BP11 AY12 BN12 AF13:AF14 AU13:AU14 BJ13:BJ14 AH14 AJ14 AW14 AY14:AY18 BL14 BN14:BN17 AF16 AJ16:AJ17 AU16 BJ16 AH17 AL17:AL18 AW17 BA17:BA18 BL17 BP17:BP18 AF18 AU18 BJ18 AF26:AF39 S27 W27 AH27:AH28 AJ27 AL27 AN27 AQ27 AS27 AB28 H29 Y29 AS29:AS30 AU29 AW29 M30 U30 BH30 AD31 AH31:AH32 AL31 AN31 AQ31 W32 Y32 AJ32:AJ33 Q33:Q39 U33:U39 AL33 H34:H39 J34:J39 M34:M39 O34:O39 S34:S39 AS34:AS39 AQ37:AQ39 AU37:AU39 AN39">
    <cfRule type="expression" dxfId="1" priority="813">
      <formula>AU9="GaNB"</formula>
    </cfRule>
  </conditionalFormatting>
  <conditionalFormatting sqref="AU9:AU11 BJ9:BJ11 AF10:AF11 BN10 AH11 AL11 AW11 BA11 BL11 BP11 AY12 BN12 AF13:AF14 AU13:AU14 BJ13:BJ14 AH14 AJ14 AW14 AY14:AY18 BL14 BN14:BN17 AF16 AJ16:AJ17 AU16 BJ16 AH17 AL17:AL18 AW17 BA17:BA18 BL17 BP17:BP18 AF18 AU18 BJ18 AF26:AF39 S27 W27 AH27:AH28 AJ27 AL27 AN27 AQ27 AS27 AB28 H29 Y29 AS29:AS30 AU29 AW29 M30 U30 BH30 AD31 AH31:AH32 AL31 AN31 AQ31 W32 Y32 AJ32:AJ33 Q33:Q39 U33:U39 AL33 H34:H39 J34:J39 M34:M39 O34:O39 S34:S39 AS34:AS39 AQ37:AQ39 AU37:AU39 AN39">
    <cfRule type="expression" dxfId="2" priority="814">
      <formula>AU9="BigNĐ"</formula>
    </cfRule>
  </conditionalFormatting>
  <conditionalFormatting sqref="AU9:AU11 BJ9:BJ11 AF10:AF11 BN10 AH11 AL11 AW11 BA11 BL11 BP11 AY12 BN12 AF13:AF14 AU13:AU14 BJ13:BJ14 AH14 AJ14 AW14 AY14:AY18 BL14 BN14:BN17 AF16 AJ16:AJ17 AU16 BJ16 AH17 AL17:AL18 AW17 BA17:BA18 BL17 BP17:BP18 AF18 AU18 BJ18 AF26:AF39 S27 W27 AH27:AH28 AJ27 AL27 AN27 AQ27 AS27 AB28 H29 Y29 AS29:AS30 AU29 AW29 M30 U30 BH30 AD31 AH31:AH32 AL31 AN31 AQ31 W32 Y32 AJ32:AJ33 Q33:Q39 U33:U39 AL33 H34:H39 J34:J39 M34:M39 O34:O39 S34:S39 AS34:AS39 AQ37:AQ39 AU37:AU39 AN39">
    <cfRule type="expression" dxfId="2" priority="815">
      <formula>AU9="GaNĐ"</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0" priority="816">
      <formula>AG7="C6"</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1" priority="817">
      <formula>AG7="TC6"</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1" priority="818">
      <formula>AG7="TC5"</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1" priority="819">
      <formula>AG7="TC4"</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1" priority="820">
      <formula>AG7="TC3"</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1" priority="821">
      <formula>AG7="TC2"</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1" priority="822">
      <formula>AG7="TC1"</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8" priority="823">
      <formula>AG7="Full"</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9" priority="824">
      <formula>AG7="OFF"</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10" priority="825">
      <formula>AG7="Gãy 2"</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10" priority="826">
      <formula>AG7="Gãy 1"</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2" priority="827">
      <formula>AG7="HC4"</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2" priority="828">
      <formula>AG7="HC3"</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2" priority="829">
      <formula>AG7="HC2"</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2" priority="830">
      <formula>AG7="HC1"</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3" priority="831">
      <formula>AG7="C5"</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4" priority="832">
      <formula>AG7="C4"</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5" priority="833">
      <formula>AG7="C3"</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0" priority="834">
      <formula>AG7="C2"</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26" priority="835">
      <formula>AG7="C1"</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16" priority="836">
      <formula>AG7="S4"</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17" priority="837">
      <formula>AG7="S3"</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18" priority="838">
      <formula>AG7="S2"</formula>
    </cfRule>
  </conditionalFormatting>
  <conditionalFormatting sqref="AG7:AG24 AV7:AV24 BK7:BK24 BO7:BO24 AI8:AI24 AK8:AK24 AX8:AZ24 BB8:BB24 BE8:BE24 BG8:BG24 BI8:BI24 BM8:BM24 BQ8:BQ24 AJ9 AM9 BN9 AM12:AM14 AP12:AP14 BA14 BN19 R22:R24 T22:T24 AR32 AX32 AZ32 BB32 BE32 BG32 BI32 BK32 BM32 BO32 BQ32">
    <cfRule type="expression" dxfId="19" priority="839">
      <formula>AG7="S1"</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0" priority="840">
      <formula>AR7="C6"</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1" priority="841">
      <formula>AR7="TC6"</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1" priority="842">
      <formula>AR7="TC5"</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1" priority="843">
      <formula>AR7="TC4"</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1" priority="844">
      <formula>AR7="TC3"</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1" priority="845">
      <formula>AR7="TC2"</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1" priority="846">
      <formula>AR7="TC1"</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8" priority="847">
      <formula>AR7="Full"</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9" priority="848">
      <formula>AR7="OFF"</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10" priority="849">
      <formula>AR7="Gãy 2"</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10" priority="850">
      <formula>AR7="Gãy 1"</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2" priority="851">
      <formula>AR7="HC4"</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2" priority="852">
      <formula>AR7="HC3"</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2" priority="853">
      <formula>AR7="HC2"</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2" priority="854">
      <formula>AR7="HC1"</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3" priority="855">
      <formula>AR7="C5"</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4" priority="856">
      <formula>AR7="C4"</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5" priority="857">
      <formula>AR7="C3"</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0" priority="858">
      <formula>AR7="C2"</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26" priority="859">
      <formula>AR7="C1"</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16" priority="860">
      <formula>AR7="S4"</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17" priority="861">
      <formula>AR7="S3"</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18" priority="862">
      <formula>AR7="S2"</formula>
    </cfRule>
  </conditionalFormatting>
  <conditionalFormatting sqref="AR7 AR13 AE14 AT14:AT15 BI14 AR16 AG26:AG40 AI26:AI40 AK26:AK40 AM26:AM40 AP26:AP40 AR26:AR40 AT26:AT40 AV26:AV40 AX26:AX40 AZ26:AZ40 BB26:BB40 BE26:BE40 BG26:BG40 BI26:BI39 BK26:BK40 BM26:BM40 BO26:BO40 BQ26:BQ40">
    <cfRule type="expression" dxfId="19" priority="863">
      <formula>AR7="S1"</formula>
    </cfRule>
  </conditionalFormatting>
  <conditionalFormatting sqref="AH7:AH24 AW7:AW24 BL7:BL24 BP7:BP24 AN8:AN9 AU8:AU24 AY8:AY24 BA8:BA24 BC8:BC24 BF8:BF24 BJ8:BJ24 BN8:BN24 AF9:AF13 AJ9 AL9:AL11 AQ9:AQ24 BH9:BH13 BR11 AJ12:AJ16 AS12:AS13 AB13 AD13 AN13 AF15 AL15:AL24 AN15:AN24 AS15:AS24 BH15:BH24 AB17:AB24 AD17:AD24 AM17:AM24 AP17:AP24 AR17:AR24 AT17:AT24 AV17:AV24 BB17:BB24 BG17:BG24 BI17:BI24 BK17:BK24 BM17:BM24 BO17:BO24 BQ17:BQ24 AF18:AF21 AX19 AZ19 BE19 M22:M24 O22:O24 S22:S24 BA27 BC27 BJ27:BJ28 BL27 AY29:AY30 BA29:BA30 BF31 AY32">
    <cfRule type="expression" dxfId="1" priority="864">
      <formula>AH7="BigNB"</formula>
    </cfRule>
  </conditionalFormatting>
  <conditionalFormatting sqref="AH7:AH24 AW7:AW24 BL7:BL24 BP7:BP24 AN8:AN9 AU8:AU24 AY8:AY24 BA8:BA24 BC8:BC24 BF8:BF24 BJ8:BJ24 BN8:BN24 AF9:AF13 AJ9 AL9:AL11 AQ9:AQ24 BH9:BH13 BR11 AJ12:AJ16 AS12:AS13 AB13 AD13 AN13 AF15 AL15:AL24 AN15:AN24 AS15:AS24 BH15:BH24 AB17:AB24 AD17:AD24 AM17:AM24 AP17:AP24 AR17:AR24 AT17:AT24 AV17:AV24 BB17:BB24 BG17:BG24 BI17:BI24 BK17:BK24 BM17:BM24 BO17:BO24 BQ17:BQ24 AF18:AF21 AX19 AZ19 BE19 M22:M24 O22:O24 S22:S24 BA27 BC27 BJ27:BJ28 BL27 AY29:AY30 BA29:BA30 BF31 AY32">
    <cfRule type="expression" dxfId="1" priority="865">
      <formula>AH7="GaNB"</formula>
    </cfRule>
  </conditionalFormatting>
  <conditionalFormatting sqref="AH7:AH24 AW7:AW24 BL7:BL24 BP7:BP24 AN8:AN9 AU8:AU24 AY8:AY24 BA8:BA24 BC8:BC24 BF8:BF24 BJ8:BJ24 BN8:BN24 AF9:AF13 AJ9 AL9:AL11 AQ9:AQ24 BH9:BH13 BR11 AJ12:AJ16 AS12:AS13 AB13 AD13 AN13 AF15 AL15:AL24 AN15:AN24 AS15:AS24 BH15:BH24 AB17:AB24 AD17:AD24 AM17:AM24 AP17:AP24 AR17:AR24 AT17:AT24 AV17:AV24 BB17:BB24 BG17:BG24 BI17:BI24 BK17:BK24 BM17:BM24 BO17:BO24 BQ17:BQ24 AF18:AF21 AX19 AZ19 BE19 M22:M24 O22:O24 S22:S24 BA27 BC27 BJ27:BJ28 BL27 AY29:AY30 BA29:BA30 BF31 AY32">
    <cfRule type="expression" dxfId="2" priority="866">
      <formula>AH7="BigNĐ"</formula>
    </cfRule>
  </conditionalFormatting>
  <conditionalFormatting sqref="AH7:AH24 AW7:AW24 BL7:BL24 BP7:BP24 AN8:AN9 AU8:AU24 AY8:AY24 BA8:BA24 BC8:BC24 BF8:BF24 BJ8:BJ24 BN8:BN24 AF9:AF13 AJ9 AL9:AL11 AQ9:AQ24 BH9:BH13 BR11 AJ12:AJ16 AS12:AS13 AB13 AD13 AN13 AF15 AL15:AL24 AN15:AN24 AS15:AS24 BH15:BH24 AB17:AB24 AD17:AD24 AM17:AM24 AP17:AP24 AR17:AR24 AT17:AT24 AV17:AV24 BB17:BB24 BG17:BG24 BI17:BI24 BK17:BK24 BM17:BM24 BO17:BO24 BQ17:BQ24 AF18:AF21 AX19 AZ19 BE19 M22:M24 O22:O24 S22:S24 BA27 BC27 BJ27:BJ28 BL27 AY29:AY30 BA29:BA30 BF31 AY32">
    <cfRule type="expression" dxfId="2" priority="867">
      <formula>AH7="GaNĐ"</formula>
    </cfRule>
  </conditionalFormatting>
  <conditionalFormatting sqref="W8:W24 AD8:AD24 AF8:AF24 AH8:AH24 AJ8:AJ24 AL8:AL24 AN8:AN11 AS8:AS24 AU8:AU24 AW8:AW24 AY8:AY24 BA8:BA24 BC8:BC24 BF8:BF14 BH8:BH24 BJ8:BJ24 BL8:BL24 BN8:BN24 BP8:BP24 S9 U9 Y9:Y10 AB9:AB11 AQ9:AQ14 Q11 S11 O13 Y13 AB13:AB14 AN13 U15:U16 AN15:AN24 Y16 AB16 AQ16:AQ24 BF16:BF20 Q17:Q24 AM17:AM24 AP17:AP24 AR17:AR24 AT17:AT24 AV17:AV24 BB17:BB24 BG17:BG24 BI17:BI24 BK17:BK24 BM17:BM24 BO17:BO24 BQ17:BQ24 Y18 AB18 AX19 AZ19 BE19 H22:H24 O22:O24 S22:S24 Y22:Y24 AH26:AH39 S27 W27 AF27 AJ27 AL27 AN27 AQ27 AS27 AB28:AB30 H29 U29:U30 W29:W30 Y29:Y30 AD29:AD31 AF29:AF30 AS29 AU29:AU30 AW29 M30 AN30:AN31 AQ30:AQ31 BC30 BF30 BH30 BJ30 AL31 W32 Y32 AF32 AJ32 Q33:Q39 U33:U39 AU33 AW33 H34:H39 J34:J39 M34:M39 O34:O39 S34:S39 AJ34 AS34:AS39 AQ37:AQ39 AW37:AW39 AY37:AY39 AJ39 AN39">
    <cfRule type="expression" dxfId="1" priority="868">
      <formula>W8="BigNB"</formula>
    </cfRule>
  </conditionalFormatting>
  <conditionalFormatting sqref="W8:W24 AD8:AD24 AF8:AF24 AH8:AH24 AJ8:AJ24 AL8:AL24 AN8:AN11 AS8:AS24 AU8:AU24 AW8:AW24 AY8:AY24 BA8:BA24 BC8:BC24 BF8:BF14 BH8:BH24 BJ8:BJ24 BL8:BL24 BN8:BN24 BP8:BP24 S9 U9 Y9:Y10 AB9:AB11 AQ9:AQ14 Q11 S11 O13 Y13 AB13:AB14 AN13 U15:U16 AN15:AN24 Y16 AB16 AQ16:AQ24 BF16:BF20 Q17:Q24 AM17:AM24 AP17:AP24 AR17:AR24 AT17:AT24 AV17:AV24 BB17:BB24 BG17:BG24 BI17:BI24 BK17:BK24 BM17:BM24 BO17:BO24 BQ17:BQ24 Y18 AB18 AX19 AZ19 BE19 H22:H24 O22:O24 S22:S24 Y22:Y24 AH26:AH39 S27 W27 AF27 AJ27 AL27 AN27 AQ27 AS27 AB28:AB30 H29 U29:U30 W29:W30 Y29:Y30 AD29:AD31 AF29:AF30 AS29 AU29:AU30 AW29 M30 AN30:AN31 AQ30:AQ31 BC30 BF30 BH30 BJ30 AL31 W32 Y32 AF32 AJ32 Q33:Q39 U33:U39 AU33 AW33 H34:H39 J34:J39 M34:M39 O34:O39 S34:S39 AJ34 AS34:AS39 AQ37:AQ39 AW37:AW39 AY37:AY39 AJ39 AN39">
    <cfRule type="expression" dxfId="1" priority="869">
      <formula>W8="GaNB"</formula>
    </cfRule>
  </conditionalFormatting>
  <conditionalFormatting sqref="W8:W24 AD8:AD24 AF8:AF24 AH8:AH24 AJ8:AJ24 AL8:AL24 AN8:AN11 AS8:AS24 AU8:AU24 AW8:AW24 AY8:AY24 BA8:BA24 BC8:BC24 BF8:BF14 BH8:BH24 BJ8:BJ24 BL8:BL24 BN8:BN24 BP8:BP24 S9 U9 Y9:Y10 AB9:AB11 AQ9:AQ14 Q11 S11 O13 Y13 AB13:AB14 AN13 U15:U16 AN15:AN24 Y16 AB16 AQ16:AQ24 BF16:BF20 Q17:Q24 AM17:AM24 AP17:AP24 AR17:AR24 AT17:AT24 AV17:AV24 BB17:BB24 BG17:BG24 BI17:BI24 BK17:BK24 BM17:BM24 BO17:BO24 BQ17:BQ24 Y18 AB18 AX19 AZ19 BE19 H22:H24 O22:O24 S22:S24 Y22:Y24 AH26:AH39 S27 W27 AF27 AJ27 AL27 AN27 AQ27 AS27 AB28:AB30 H29 U29:U30 W29:W30 Y29:Y30 AD29:AD31 AF29:AF30 AS29 AU29:AU30 AW29 M30 AN30:AN31 AQ30:AQ31 BC30 BF30 BH30 BJ30 AL31 W32 Y32 AF32 AJ32 Q33:Q39 U33:U39 AU33 AW33 H34:H39 J34:J39 M34:M39 O34:O39 S34:S39 AJ34 AS34:AS39 AQ37:AQ39 AW37:AW39 AY37:AY39 AJ39 AN39">
    <cfRule type="expression" dxfId="2" priority="870">
      <formula>W8="BigNĐ"</formula>
    </cfRule>
  </conditionalFormatting>
  <conditionalFormatting sqref="W8:W24 AD8:AD24 AF8:AF24 AH8:AH24 AJ8:AJ24 AL8:AL24 AN8:AN11 AS8:AS24 AU8:AU24 AW8:AW24 AY8:AY24 BA8:BA24 BC8:BC24 BF8:BF14 BH8:BH24 BJ8:BJ24 BL8:BL24 BN8:BN24 BP8:BP24 S9 U9 Y9:Y10 AB9:AB11 AQ9:AQ14 Q11 S11 O13 Y13 AB13:AB14 AN13 U15:U16 AN15:AN24 Y16 AB16 AQ16:AQ24 BF16:BF20 Q17:Q24 AM17:AM24 AP17:AP24 AR17:AR24 AT17:AT24 AV17:AV24 BB17:BB24 BG17:BG24 BI17:BI24 BK17:BK24 BM17:BM24 BO17:BO24 BQ17:BQ24 Y18 AB18 AX19 AZ19 BE19 H22:H24 O22:O24 S22:S24 Y22:Y24 AH26:AH39 S27 W27 AF27 AJ27 AL27 AN27 AQ27 AS27 AB28:AB30 H29 U29:U30 W29:W30 Y29:Y30 AD29:AD31 AF29:AF30 AS29 AU29:AU30 AW29 M30 AN30:AN31 AQ30:AQ31 BC30 BF30 BH30 BJ30 AL31 W32 Y32 AF32 AJ32 Q33:Q39 U33:U39 AU33 AW33 H34:H39 J34:J39 M34:M39 O34:O39 S34:S39 AJ34 AS34:AS39 AQ37:AQ39 AW37:AW39 AY37:AY39 AJ39 AN39">
    <cfRule type="expression" dxfId="2" priority="871">
      <formula>W8="GaNĐ"</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0" priority="872">
      <formula>AI7="C6"</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1" priority="873">
      <formula>AI7="TC6"</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1" priority="874">
      <formula>AI7="TC5"</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1" priority="875">
      <formula>AI7="TC4"</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1" priority="876">
      <formula>AI7="TC3"</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1" priority="877">
      <formula>AI7="TC2"</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1" priority="878">
      <formula>AI7="TC1"</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8" priority="879">
      <formula>AI7="Full"</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9" priority="880">
      <formula>AI7="OFF"</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10" priority="881">
      <formula>AI7="Gãy 2"</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10" priority="882">
      <formula>AI7="Gãy 1"</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2" priority="883">
      <formula>AI7="HC4"</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2" priority="884">
      <formula>AI7="HC3"</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2" priority="885">
      <formula>AI7="HC2"</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2" priority="886">
      <formula>AI7="HC1"</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3" priority="887">
      <formula>AI7="C5"</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4" priority="888">
      <formula>AI7="C4"</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5" priority="889">
      <formula>AI7="C3"</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0" priority="890">
      <formula>AI7="C2"</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26" priority="891">
      <formula>AI7="C1"</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16" priority="892">
      <formula>AI7="S4"</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17" priority="893">
      <formula>AI7="S3"</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18" priority="894">
      <formula>AI7="S2"</formula>
    </cfRule>
  </conditionalFormatting>
  <conditionalFormatting sqref="AI7:AI24 AP7 AR7 AT7 AV7 AX7:AX24 AZ7:AZ24 BB7:BB24 BE7:BE24 BG7:BG24 BI7:BI24 BK7:BK24 BM7:BM24 BO7:BO24 BQ7:BQ24 AY8:AY24 AJ9 BN9 AG10 AK10:AK12 AV10 AG12 AM12 AP12:AP13 AV12 BA14 AK15:AK16 BN19 T22:T24 AX32 AZ32 BB32 BE32 BG32 BI32 BK32 BM32 BO32 BQ32">
    <cfRule type="expression" dxfId="19" priority="895">
      <formula>AI7="S1"</formula>
    </cfRule>
  </conditionalFormatting>
  <conditionalFormatting sqref="AR7 AR13 AT14:AT15 AR16 AI26:AI40 AK26:AK39 AM26:AM39 AP26:AP39 AR26:AR39 AT26:AT39 AV26:AV39 AX26:AX40 AZ26:AZ39 BB26:BB39 BE26:BE40 BG26:BG39 BI26:BI39 BK26:BK39 BM26:BM39 BO26:BO39 BQ26:BQ39">
    <cfRule type="expression" dxfId="20" priority="896">
      <formula>AR7="C6"</formula>
    </cfRule>
  </conditionalFormatting>
  <conditionalFormatting sqref="AR7 AR13 AT14:AT15 AR16 AI26:AI40 AK26:AK39 AM26:AM39 AP26:AP39 AR26:AR39 AT26:AT39 AV26:AV39 AX26:AX40 AZ26:AZ39 BB26:BB39 BE26:BE40 BG26:BG39 BI26:BI39 BK26:BK39 BM26:BM39 BO26:BO39 BQ26:BQ39">
    <cfRule type="expression" dxfId="21" priority="897">
      <formula>AR7="TC6"</formula>
    </cfRule>
  </conditionalFormatting>
  <conditionalFormatting sqref="AR7 AR13 AT14:AT15 AR16 AI26:AI40 AK26:AK39 AM26:AM39 AP26:AP39 AR26:AR39 AT26:AT39 AV26:AV39 AX26:AX40 AZ26:AZ39 BB26:BB39 BE26:BE40 BG26:BG39 BI26:BI39 BK26:BK39 BM26:BM39 BO26:BO39 BQ26:BQ39">
    <cfRule type="expression" dxfId="21" priority="898">
      <formula>AR7="TC5"</formula>
    </cfRule>
  </conditionalFormatting>
  <conditionalFormatting sqref="AR7 AR13 AT14:AT15 AR16 AI26:AI40 AK26:AK39 AM26:AM39 AP26:AP39 AR26:AR39 AT26:AT39 AV26:AV39 AX26:AX40 AZ26:AZ39 BB26:BB39 BE26:BE40 BG26:BG39 BI26:BI39 BK26:BK39 BM26:BM39 BO26:BO39 BQ26:BQ39">
    <cfRule type="expression" dxfId="21" priority="899">
      <formula>AR7="TC4"</formula>
    </cfRule>
  </conditionalFormatting>
  <conditionalFormatting sqref="AR7 AR13 AT14:AT15 AR16 AI26:AI40 AK26:AK39 AM26:AM39 AP26:AP39 AR26:AR39 AT26:AT39 AV26:AV39 AX26:AX40 AZ26:AZ39 BB26:BB39 BE26:BE40 BG26:BG39 BI26:BI39 BK26:BK39 BM26:BM39 BO26:BO39 BQ26:BQ39">
    <cfRule type="expression" dxfId="21" priority="900">
      <formula>AR7="TC3"</formula>
    </cfRule>
  </conditionalFormatting>
  <conditionalFormatting sqref="AR7 AR13 AT14:AT15 AR16 AI26:AI40 AK26:AK39 AM26:AM39 AP26:AP39 AR26:AR39 AT26:AT39 AV26:AV39 AX26:AX40 AZ26:AZ39 BB26:BB39 BE26:BE40 BG26:BG39 BI26:BI39 BK26:BK39 BM26:BM39 BO26:BO39 BQ26:BQ39">
    <cfRule type="expression" dxfId="21" priority="901">
      <formula>AR7="TC2"</formula>
    </cfRule>
  </conditionalFormatting>
  <conditionalFormatting sqref="AR7 AR13 AT14:AT15 AR16 AI26:AI40 AK26:AK39 AM26:AM39 AP26:AP39 AR26:AR39 AT26:AT39 AV26:AV39 AX26:AX40 AZ26:AZ39 BB26:BB39 BE26:BE40 BG26:BG39 BI26:BI39 BK26:BK39 BM26:BM39 BO26:BO39 BQ26:BQ39">
    <cfRule type="expression" dxfId="21" priority="902">
      <formula>AR7="TC1"</formula>
    </cfRule>
  </conditionalFormatting>
  <conditionalFormatting sqref="AR7 AR13 AT14:AT15 AR16 AI26:AI40 AK26:AK39 AM26:AM39 AP26:AP39 AR26:AR39 AT26:AT39 AV26:AV39 AX26:AX40 AZ26:AZ39 BB26:BB39 BE26:BE40 BG26:BG39 BI26:BI39 BK26:BK39 BM26:BM39 BO26:BO39 BQ26:BQ39">
    <cfRule type="expression" dxfId="8" priority="903">
      <formula>AR7="Full"</formula>
    </cfRule>
  </conditionalFormatting>
  <conditionalFormatting sqref="AR7 AR13 AT14:AT15 AR16 AI26:AI40 AK26:AK39 AM26:AM39 AP26:AP39 AR26:AR39 AT26:AT39 AV26:AV39 AX26:AX40 AZ26:AZ39 BB26:BB39 BE26:BE40 BG26:BG39 BI26:BI39 BK26:BK39 BM26:BM39 BO26:BO39 BQ26:BQ39">
    <cfRule type="expression" dxfId="9" priority="904">
      <formula>AR7="OFF"</formula>
    </cfRule>
  </conditionalFormatting>
  <conditionalFormatting sqref="AR7 AR13 AT14:AT15 AR16 AI26:AI40 AK26:AK39 AM26:AM39 AP26:AP39 AR26:AR39 AT26:AT39 AV26:AV39 AX26:AX40 AZ26:AZ39 BB26:BB39 BE26:BE40 BG26:BG39 BI26:BI39 BK26:BK39 BM26:BM39 BO26:BO39 BQ26:BQ39">
    <cfRule type="expression" dxfId="10" priority="905">
      <formula>AR7="Gãy 2"</formula>
    </cfRule>
  </conditionalFormatting>
  <conditionalFormatting sqref="AR7 AR13 AT14:AT15 AR16 AI26:AI40 AK26:AK39 AM26:AM39 AP26:AP39 AR26:AR39 AT26:AT39 AV26:AV39 AX26:AX40 AZ26:AZ39 BB26:BB39 BE26:BE40 BG26:BG39 BI26:BI39 BK26:BK39 BM26:BM39 BO26:BO39 BQ26:BQ39">
    <cfRule type="expression" dxfId="10" priority="906">
      <formula>AR7="Gãy 1"</formula>
    </cfRule>
  </conditionalFormatting>
  <conditionalFormatting sqref="AR7 AR13 AT14:AT15 AR16 AI26:AI40 AK26:AK39 AM26:AM39 AP26:AP39 AR26:AR39 AT26:AT39 AV26:AV39 AX26:AX40 AZ26:AZ39 BB26:BB39 BE26:BE40 BG26:BG39 BI26:BI39 BK26:BK39 BM26:BM39 BO26:BO39 BQ26:BQ39">
    <cfRule type="expression" dxfId="22" priority="907">
      <formula>AR7="HC4"</formula>
    </cfRule>
  </conditionalFormatting>
  <conditionalFormatting sqref="AR7 AR13 AT14:AT15 AR16 AI26:AI40 AK26:AK39 AM26:AM39 AP26:AP39 AR26:AR39 AT26:AT39 AV26:AV39 AX26:AX40 AZ26:AZ39 BB26:BB39 BE26:BE40 BG26:BG39 BI26:BI39 BK26:BK39 BM26:BM39 BO26:BO39 BQ26:BQ39">
    <cfRule type="expression" dxfId="22" priority="908">
      <formula>AR7="HC3"</formula>
    </cfRule>
  </conditionalFormatting>
  <conditionalFormatting sqref="AR7 AR13 AT14:AT15 AR16 AI26:AI40 AK26:AK39 AM26:AM39 AP26:AP39 AR26:AR39 AT26:AT39 AV26:AV39 AX26:AX40 AZ26:AZ39 BB26:BB39 BE26:BE40 BG26:BG39 BI26:BI39 BK26:BK39 BM26:BM39 BO26:BO39 BQ26:BQ39">
    <cfRule type="expression" dxfId="22" priority="909">
      <formula>AR7="HC2"</formula>
    </cfRule>
  </conditionalFormatting>
  <conditionalFormatting sqref="AR7 AR13 AT14:AT15 AR16 AI26:AI40 AK26:AK39 AM26:AM39 AP26:AP39 AR26:AR39 AT26:AT39 AV26:AV39 AX26:AX40 AZ26:AZ39 BB26:BB39 BE26:BE40 BG26:BG39 BI26:BI39 BK26:BK39 BM26:BM39 BO26:BO39 BQ26:BQ39">
    <cfRule type="expression" dxfId="22" priority="910">
      <formula>AR7="HC1"</formula>
    </cfRule>
  </conditionalFormatting>
  <conditionalFormatting sqref="AR7 AR13 AT14:AT15 AR16 AI26:AI40 AK26:AK39 AM26:AM39 AP26:AP39 AR26:AR39 AT26:AT39 AV26:AV39 AX26:AX40 AZ26:AZ39 BB26:BB39 BE26:BE40 BG26:BG39 BI26:BI39 BK26:BK39 BM26:BM39 BO26:BO39 BQ26:BQ39">
    <cfRule type="expression" dxfId="23" priority="911">
      <formula>AR7="C5"</formula>
    </cfRule>
  </conditionalFormatting>
  <conditionalFormatting sqref="AR7 AR13 AT14:AT15 AR16 AI26:AI40 AK26:AK39 AM26:AM39 AP26:AP39 AR26:AR39 AT26:AT39 AV26:AV39 AX26:AX40 AZ26:AZ39 BB26:BB39 BE26:BE40 BG26:BG39 BI26:BI39 BK26:BK39 BM26:BM39 BO26:BO39 BQ26:BQ39">
    <cfRule type="expression" dxfId="24" priority="912">
      <formula>AR7="C4"</formula>
    </cfRule>
  </conditionalFormatting>
  <conditionalFormatting sqref="AR7 AR13 AT14:AT15 AR16 AI26:AI40 AK26:AK39 AM26:AM39 AP26:AP39 AR26:AR39 AT26:AT39 AV26:AV39 AX26:AX40 AZ26:AZ39 BB26:BB39 BE26:BE40 BG26:BG39 BI26:BI39 BK26:BK39 BM26:BM39 BO26:BO39 BQ26:BQ39">
    <cfRule type="expression" dxfId="25" priority="913">
      <formula>AR7="C3"</formula>
    </cfRule>
  </conditionalFormatting>
  <conditionalFormatting sqref="AR7 AR13 AT14:AT15 AR16 AI26:AI40 AK26:AK39 AM26:AM39 AP26:AP39 AR26:AR39 AT26:AT39 AV26:AV39 AX26:AX40 AZ26:AZ39 BB26:BB39 BE26:BE40 BG26:BG39 BI26:BI39 BK26:BK39 BM26:BM39 BO26:BO39 BQ26:BQ39">
    <cfRule type="expression" dxfId="20" priority="914">
      <formula>AR7="C2"</formula>
    </cfRule>
  </conditionalFormatting>
  <conditionalFormatting sqref="AR7 AR13 AT14:AT15 AR16 AI26:AI40 AK26:AK39 AM26:AM39 AP26:AP39 AR26:AR39 AT26:AT39 AV26:AV39 AX26:AX40 AZ26:AZ39 BB26:BB39 BE26:BE40 BG26:BG39 BI26:BI39 BK26:BK39 BM26:BM39 BO26:BO39 BQ26:BQ39">
    <cfRule type="expression" dxfId="26" priority="915">
      <formula>AR7="C1"</formula>
    </cfRule>
  </conditionalFormatting>
  <conditionalFormatting sqref="AR7 AR13 AT14:AT15 AR16 AI26:AI40 AK26:AK39 AM26:AM39 AP26:AP39 AR26:AR39 AT26:AT39 AV26:AV39 AX26:AX40 AZ26:AZ39 BB26:BB39 BE26:BE40 BG26:BG39 BI26:BI39 BK26:BK39 BM26:BM39 BO26:BO39 BQ26:BQ39">
    <cfRule type="expression" dxfId="16" priority="916">
      <formula>AR7="S4"</formula>
    </cfRule>
  </conditionalFormatting>
  <conditionalFormatting sqref="AR7 AR13 AT14:AT15 AR16 AI26:AI40 AK26:AK39 AM26:AM39 AP26:AP39 AR26:AR39 AT26:AT39 AV26:AV39 AX26:AX40 AZ26:AZ39 BB26:BB39 BE26:BE40 BG26:BG39 BI26:BI39 BK26:BK39 BM26:BM39 BO26:BO39 BQ26:BQ39">
    <cfRule type="expression" dxfId="17" priority="917">
      <formula>AR7="S3"</formula>
    </cfRule>
  </conditionalFormatting>
  <conditionalFormatting sqref="AR7 AR13 AT14:AT15 AR16 AI26:AI40 AK26:AK39 AM26:AM39 AP26:AP39 AR26:AR39 AT26:AT39 AV26:AV39 AX26:AX40 AZ26:AZ39 BB26:BB39 BE26:BE40 BG26:BG39 BI26:BI39 BK26:BK39 BM26:BM39 BO26:BO39 BQ26:BQ39">
    <cfRule type="expression" dxfId="18" priority="918">
      <formula>AR7="S2"</formula>
    </cfRule>
  </conditionalFormatting>
  <conditionalFormatting sqref="AR7 AR13 AT14:AT15 AR16 AI26:AI40 AK26:AK39 AM26:AM39 AP26:AP39 AR26:AR39 AT26:AT39 AV26:AV39 AX26:AX40 AZ26:AZ39 BB26:BB39 BE26:BE40 BG26:BG39 BI26:BI39 BK26:BK39 BM26:BM39 BO26:BO39 BQ26:BQ39">
    <cfRule type="expression" dxfId="19" priority="919">
      <formula>AR7="S1"</formula>
    </cfRule>
  </conditionalFormatting>
  <conditionalFormatting sqref="AJ7:AJ24 AY7:AY24 BA7:BA24 BC7:BC24 BF7:BF24 BH7:BH24 BJ7:BJ24 BL7:BL24 BN7:BN24 BP7:BP24 AH8:AH24 AN8 AU8:AU24 AW8:AW24 AD9 AF9:AF15 AS9 AL11:AL12 AQ11:AQ12 BR11 AS12 AN13 AQ14 AL15:AL24 AB16 AN16:AN24 AQ16:AQ24 AM17:AM24 AP17:AP24 AR17:AT24 AV17:AV24 BB17:BB24 BG17:BG24 BI17:BI24 BK17:BK24 BM17:BM24 BO17:BO24 BQ17:BQ24 Y18 AB18 AD18 AF18:AF19 AX19 AZ19 BE19 S22:S24 BA27 BC27 BJ27:BJ28 BL27 AY29:AY30 BA29:BA30 BF31 AY32">
    <cfRule type="expression" dxfId="1" priority="920">
      <formula>AJ7="BigNB"</formula>
    </cfRule>
  </conditionalFormatting>
  <conditionalFormatting sqref="AJ7:AJ24 AY7:AY24 BA7:BA24 BC7:BC24 BF7:BF24 BH7:BH24 BJ7:BJ24 BL7:BL24 BN7:BN24 BP7:BP24 AH8:AH24 AN8 AU8:AU24 AW8:AW24 AD9 AF9:AF15 AS9 AL11:AL12 AQ11:AQ12 BR11 AS12 AN13 AQ14 AL15:AL24 AB16 AN16:AN24 AQ16:AQ24 AM17:AM24 AP17:AP24 AR17:AT24 AV17:AV24 BB17:BB24 BG17:BG24 BI17:BI24 BK17:BK24 BM17:BM24 BO17:BO24 BQ17:BQ24 Y18 AB18 AD18 AF18:AF19 AX19 AZ19 BE19 S22:S24 BA27 BC27 BJ27:BJ28 BL27 AY29:AY30 BA29:BA30 BF31 AY32">
    <cfRule type="expression" dxfId="1" priority="921">
      <formula>AJ7="GaNB"</formula>
    </cfRule>
  </conditionalFormatting>
  <conditionalFormatting sqref="AJ7:AJ24 AY7:AY24 BA7:BA24 BC7:BC24 BF7:BF24 BH7:BH24 BJ7:BJ24 BL7:BL24 BN7:BN24 BP7:BP24 AH8:AH24 AN8 AU8:AU24 AW8:AW24 AD9 AF9:AF15 AS9 AL11:AL12 AQ11:AQ12 BR11 AS12 AN13 AQ14 AL15:AL24 AB16 AN16:AN24 AQ16:AQ24 AM17:AM24 AP17:AP24 AR17:AT24 AV17:AV24 BB17:BB24 BG17:BG24 BI17:BI24 BK17:BK24 BM17:BM24 BO17:BO24 BQ17:BQ24 Y18 AB18 AD18 AF18:AF19 AX19 AZ19 BE19 S22:S24 BA27 BC27 BJ27:BJ28 BL27 AY29:AY30 BA29:BA30 BF31 AY32">
    <cfRule type="expression" dxfId="2" priority="922">
      <formula>AJ7="BigNĐ"</formula>
    </cfRule>
  </conditionalFormatting>
  <conditionalFormatting sqref="AJ7:AJ24 AY7:AY24 BA7:BA24 BC7:BC24 BF7:BF24 BH7:BH24 BJ7:BJ24 BL7:BL24 BN7:BN24 BP7:BP24 AH8:AH24 AN8 AU8:AU24 AW8:AW24 AD9 AF9:AF15 AS9 AL11:AL12 AQ11:AQ12 BR11 AS12 AN13 AQ14 AL15:AL24 AB16 AN16:AN24 AQ16:AQ24 AM17:AM24 AP17:AP24 AR17:AT24 AV17:AV24 BB17:BB24 BG17:BG24 BI17:BI24 BK17:BK24 BM17:BM24 BO17:BO24 BQ17:BQ24 Y18 AB18 AD18 AF18:AF19 AX19 AZ19 BE19 S22:S24 BA27 BC27 BJ27:BJ28 BL27 AY29:AY30 BA29:BA30 BF31 AY32">
    <cfRule type="expression" dxfId="2" priority="923">
      <formula>AJ7="GaNĐ"</formula>
    </cfRule>
  </conditionalFormatting>
  <conditionalFormatting sqref="BC8:BC24 BF8:BF24 BH8:BH9 BL9:BL12 BN9:BN10 BP9:BP24 BJ10:BJ14 AF11 AH11:AH12 AL11 AU11 AW11:AW12 BA11 BH11:BH12 BA13:BA24 AY14:AY24 BL14 BN14:BN24 AJ16:AJ17 BJ16:BJ24 AH17 AL17 AW17 BL17 BL20:BL21 AJ26:AJ39 AY26:AY39 BA27 BC27 BF27 BJ27 AH28 AW28 BH28:BH30 AL29:AL30 AN29:AN30 AQ29:AQ30 AU29:AU30 BA29:BA30 BJ29 AW30 BL30 BA32:BA39 BC32:BC39 BF32:BF39 BN32 AL33 AU33 AW33 BH33:BH39 BJ33:BJ39 BL33:BL39 BN34:BN39 BP34 BR36">
    <cfRule type="expression" dxfId="1" priority="924">
      <formula>BC8="BigNB"</formula>
    </cfRule>
  </conditionalFormatting>
  <conditionalFormatting sqref="BC8:BC24 BF8:BF24 BH8:BH9 BL9:BL12 BN9:BN10 BP9:BP24 BJ10:BJ14 AF11 AH11:AH12 AL11 AU11 AW11:AW12 BA11 BH11:BH12 BA13:BA24 AY14:AY24 BL14 BN14:BN24 AJ16:AJ17 BJ16:BJ24 AH17 AL17 AW17 BL17 BL20:BL21 AJ26:AJ39 AY26:AY39 BA27 BC27 BF27 BJ27 AH28 AW28 BH28:BH30 AL29:AL30 AN29:AN30 AQ29:AQ30 AU29:AU30 BA29:BA30 BJ29 AW30 BL30 BA32:BA39 BC32:BC39 BF32:BF39 BN32 AL33 AU33 AW33 BH33:BH39 BJ33:BJ39 BL33:BL39 BN34:BN39 BP34 BR36">
    <cfRule type="expression" dxfId="1" priority="925">
      <formula>BC8="GaNB"</formula>
    </cfRule>
  </conditionalFormatting>
  <conditionalFormatting sqref="BC8:BC24 BF8:BF24 BH8:BH9 BL9:BL12 BN9:BN10 BP9:BP24 BJ10:BJ14 AF11 AH11:AH12 AL11 AU11 AW11:AW12 BA11 BH11:BH12 BA13:BA24 AY14:AY24 BL14 BN14:BN24 AJ16:AJ17 BJ16:BJ24 AH17 AL17 AW17 BL17 BL20:BL21 AJ26:AJ39 AY26:AY39 BA27 BC27 BF27 BJ27 AH28 AW28 BH28:BH30 AL29:AL30 AN29:AN30 AQ29:AQ30 AU29:AU30 BA29:BA30 BJ29 AW30 BL30 BA32:BA39 BC32:BC39 BF32:BF39 BN32 AL33 AU33 AW33 BH33:BH39 BJ33:BJ39 BL33:BL39 BN34:BN39 BP34 BR36">
    <cfRule type="expression" dxfId="2" priority="926">
      <formula>BC8="BigNĐ"</formula>
    </cfRule>
  </conditionalFormatting>
  <conditionalFormatting sqref="BC8:BC24 BF8:BF24 BH8:BH9 BL9:BL12 BN9:BN10 BP9:BP24 BJ10:BJ14 AF11 AH11:AH12 AL11 AU11 AW11:AW12 BA11 BH11:BH12 BA13:BA24 AY14:AY24 BL14 BN14:BN24 AJ16:AJ17 BJ16:BJ24 AH17 AL17 AW17 BL17 BL20:BL21 AJ26:AJ39 AY26:AY39 BA27 BC27 BF27 BJ27 AH28 AW28 BH28:BH30 AL29:AL30 AN29:AN30 AQ29:AQ30 AU29:AU30 BA29:BA30 BJ29 AW30 BL30 BA32:BA39 BC32:BC39 BF32:BF39 BN32 AL33 AU33 AW33 BH33:BH39 BJ33:BJ39 BL33:BL39 BN34:BN39 BP34 BR36">
    <cfRule type="expression" dxfId="2" priority="927">
      <formula>BC8="GaNĐ"</formula>
    </cfRule>
  </conditionalFormatting>
  <conditionalFormatting sqref="AK7:AK24 AZ7:AZ24 BB7:BB24 BO7:BO24 BQ7:BQ24 AX8:AX24 AI9 BM9 BM19 AR32">
    <cfRule type="expression" dxfId="20" priority="928">
      <formula>AK7="C6"</formula>
    </cfRule>
  </conditionalFormatting>
  <conditionalFormatting sqref="AK7:AK24 AZ7:AZ24 BB7:BB24 BO7:BO24 BQ7:BQ24 AX8:AX24 AI9 BM9 BM19 AR32">
    <cfRule type="expression" dxfId="21" priority="929">
      <formula>AK7="TC6"</formula>
    </cfRule>
  </conditionalFormatting>
  <conditionalFormatting sqref="AK7:AK24 AZ7:AZ24 BB7:BB24 BO7:BO24 BQ7:BQ24 AX8:AX24 AI9 BM9 BM19 AR32">
    <cfRule type="expression" dxfId="21" priority="930">
      <formula>AK7="TC5"</formula>
    </cfRule>
  </conditionalFormatting>
  <conditionalFormatting sqref="AK7:AK24 AZ7:AZ24 BB7:BB24 BO7:BO24 BQ7:BQ24 AX8:AX24 AI9 BM9 BM19 AR32">
    <cfRule type="expression" dxfId="21" priority="931">
      <formula>AK7="TC4"</formula>
    </cfRule>
  </conditionalFormatting>
  <conditionalFormatting sqref="AK7:AK24 AZ7:AZ24 BB7:BB24 BO7:BO24 BQ7:BQ24 AX8:AX24 AI9 BM9 BM19 AR32">
    <cfRule type="expression" dxfId="21" priority="932">
      <formula>AK7="TC3"</formula>
    </cfRule>
  </conditionalFormatting>
  <conditionalFormatting sqref="AK7:AK24 AZ7:AZ24 BB7:BB24 BO7:BO24 BQ7:BQ24 AX8:AX24 AI9 BM9 BM19 AR32">
    <cfRule type="expression" dxfId="21" priority="933">
      <formula>AK7="TC2"</formula>
    </cfRule>
  </conditionalFormatting>
  <conditionalFormatting sqref="AK7:AK24 AZ7:AZ24 BB7:BB24 BO7:BO24 BQ7:BQ24 AX8:AX24 AI9 BM9 BM19 AR32">
    <cfRule type="expression" dxfId="21" priority="934">
      <formula>AK7="TC1"</formula>
    </cfRule>
  </conditionalFormatting>
  <conditionalFormatting sqref="AK7:AK24 AZ7:AZ24 BB7:BB24 BO7:BO24 BQ7:BQ24 AX8:AX24 AI9 BM9 BM19 AR32">
    <cfRule type="expression" dxfId="8" priority="935">
      <formula>AK7="Full"</formula>
    </cfRule>
  </conditionalFormatting>
  <conditionalFormatting sqref="AK7:AK24 AZ7:AZ24 BB7:BB24 BO7:BO24 BQ7:BQ24 AX8:AX24 AI9 BM9 BM19 AR32">
    <cfRule type="expression" dxfId="9" priority="936">
      <formula>AK7="OFF"</formula>
    </cfRule>
  </conditionalFormatting>
  <conditionalFormatting sqref="AK7:AK24 AZ7:AZ24 BB7:BB24 BO7:BO24 BQ7:BQ24 AX8:AX24 AI9 BM9 BM19 AR32">
    <cfRule type="expression" dxfId="10" priority="937">
      <formula>AK7="Gãy 2"</formula>
    </cfRule>
  </conditionalFormatting>
  <conditionalFormatting sqref="AK7:AK24 AZ7:AZ24 BB7:BB24 BO7:BO24 BQ7:BQ24 AX8:AX24 AI9 BM9 BM19 AR32">
    <cfRule type="expression" dxfId="10" priority="938">
      <formula>AK7="Gãy 1"</formula>
    </cfRule>
  </conditionalFormatting>
  <conditionalFormatting sqref="AK7:AK24 AZ7:AZ24 BB7:BB24 BO7:BO24 BQ7:BQ24 AX8:AX24 AI9 BM9 BM19 AR32">
    <cfRule type="expression" dxfId="22" priority="939">
      <formula>AK7="HC4"</formula>
    </cfRule>
  </conditionalFormatting>
  <conditionalFormatting sqref="AK7:AK24 AZ7:AZ24 BB7:BB24 BO7:BO24 BQ7:BQ24 AX8:AX24 AI9 BM9 BM19 AR32">
    <cfRule type="expression" dxfId="22" priority="940">
      <formula>AK7="HC3"</formula>
    </cfRule>
  </conditionalFormatting>
  <conditionalFormatting sqref="AK7:AK24 AZ7:AZ24 BB7:BB24 BO7:BO24 BQ7:BQ24 AX8:AX24 AI9 BM9 BM19 AR32">
    <cfRule type="expression" dxfId="22" priority="941">
      <formula>AK7="HC2"</formula>
    </cfRule>
  </conditionalFormatting>
  <conditionalFormatting sqref="AK7:AK24 AZ7:AZ24 BB7:BB24 BO7:BO24 BQ7:BQ24 AX8:AX24 AI9 BM9 BM19 AR32">
    <cfRule type="expression" dxfId="22" priority="942">
      <formula>AK7="HC1"</formula>
    </cfRule>
  </conditionalFormatting>
  <conditionalFormatting sqref="AK7:AK24 AZ7:AZ24 BB7:BB24 BO7:BO24 BQ7:BQ24 AX8:AX24 AI9 BM9 BM19 AR32">
    <cfRule type="expression" dxfId="23" priority="943">
      <formula>AK7="C5"</formula>
    </cfRule>
  </conditionalFormatting>
  <conditionalFormatting sqref="AK7:AK24 AZ7:AZ24 BB7:BB24 BO7:BO24 BQ7:BQ24 AX8:AX24 AI9 BM9 BM19 AR32">
    <cfRule type="expression" dxfId="24" priority="944">
      <formula>AK7="C4"</formula>
    </cfRule>
  </conditionalFormatting>
  <conditionalFormatting sqref="AK7:AK24 AZ7:AZ24 BB7:BB24 BO7:BO24 BQ7:BQ24 AX8:AX24 AI9 BM9 BM19 AR32">
    <cfRule type="expression" dxfId="25" priority="945">
      <formula>AK7="C3"</formula>
    </cfRule>
  </conditionalFormatting>
  <conditionalFormatting sqref="AK7:AK24 AZ7:AZ24 BB7:BB24 BO7:BO24 BQ7:BQ24 AX8:AX24 AI9 BM9 BM19 AR32">
    <cfRule type="expression" dxfId="20" priority="946">
      <formula>AK7="C2"</formula>
    </cfRule>
  </conditionalFormatting>
  <conditionalFormatting sqref="AK7:AK24 AZ7:AZ24 BB7:BB24 BO7:BO24 BQ7:BQ24 AX8:AX24 AI9 BM9 BM19 AR32">
    <cfRule type="expression" dxfId="26" priority="947">
      <formula>AK7="C1"</formula>
    </cfRule>
  </conditionalFormatting>
  <conditionalFormatting sqref="AK7:AK24 AZ7:AZ24 BB7:BB24 BO7:BO24 BQ7:BQ24 AX8:AX24 AI9 BM9 BM19 AR32">
    <cfRule type="expression" dxfId="16" priority="948">
      <formula>AK7="S4"</formula>
    </cfRule>
  </conditionalFormatting>
  <conditionalFormatting sqref="AK7:AK24 AZ7:AZ24 BB7:BB24 BO7:BO24 BQ7:BQ24 AX8:AX24 AI9 BM9 BM19 AR32">
    <cfRule type="expression" dxfId="17" priority="949">
      <formula>AK7="S3"</formula>
    </cfRule>
  </conditionalFormatting>
  <conditionalFormatting sqref="AK7:AK24 AZ7:AZ24 BB7:BB24 BO7:BO24 BQ7:BQ24 AX8:AX24 AI9 BM9 BM19 AR32">
    <cfRule type="expression" dxfId="18" priority="950">
      <formula>AK7="S2"</formula>
    </cfRule>
  </conditionalFormatting>
  <conditionalFormatting sqref="AK7:AK24 AZ7:AZ24 BB7:BB24 BO7:BO24 BQ7:BQ24 AX8:AX24 AI9 BM9 BM19 AR32">
    <cfRule type="expression" dxfId="19" priority="951">
      <formula>AK7="S1"</formula>
    </cfRule>
  </conditionalFormatting>
  <conditionalFormatting sqref="AR7 AR13 AT14:AT15 AR16 AK26:AK40 AM26:AM39 AP26:AP39 AR26:AR39 AT26:AT39 AV26:AV39 AX26:AX39 AZ26:AZ40 BB26:BB39 BE26:BE40 BG26:BG39 BI26:BI39 BK26:BK39 BM26:BM39 BO26:BO39 BQ26:BQ39">
    <cfRule type="expression" dxfId="20" priority="952">
      <formula>AR7="C6"</formula>
    </cfRule>
  </conditionalFormatting>
  <conditionalFormatting sqref="AR7 AR13 AT14:AT15 AR16 AK26:AK40 AM26:AM39 AP26:AP39 AR26:AR39 AT26:AT39 AV26:AV39 AX26:AX39 AZ26:AZ40 BB26:BB39 BE26:BE40 BG26:BG39 BI26:BI39 BK26:BK39 BM26:BM39 BO26:BO39 BQ26:BQ39">
    <cfRule type="expression" dxfId="21" priority="953">
      <formula>AR7="TC6"</formula>
    </cfRule>
  </conditionalFormatting>
  <conditionalFormatting sqref="AR7 AR13 AT14:AT15 AR16 AK26:AK40 AM26:AM39 AP26:AP39 AR26:AR39 AT26:AT39 AV26:AV39 AX26:AX39 AZ26:AZ40 BB26:BB39 BE26:BE40 BG26:BG39 BI26:BI39 BK26:BK39 BM26:BM39 BO26:BO39 BQ26:BQ39">
    <cfRule type="expression" dxfId="21" priority="954">
      <formula>AR7="TC5"</formula>
    </cfRule>
  </conditionalFormatting>
  <conditionalFormatting sqref="AR7 AR13 AT14:AT15 AR16 AK26:AK40 AM26:AM39 AP26:AP39 AR26:AR39 AT26:AT39 AV26:AV39 AX26:AX39 AZ26:AZ40 BB26:BB39 BE26:BE40 BG26:BG39 BI26:BI39 BK26:BK39 BM26:BM39 BO26:BO39 BQ26:BQ39">
    <cfRule type="expression" dxfId="21" priority="955">
      <formula>AR7="TC4"</formula>
    </cfRule>
  </conditionalFormatting>
  <conditionalFormatting sqref="AR7 AR13 AT14:AT15 AR16 AK26:AK40 AM26:AM39 AP26:AP39 AR26:AR39 AT26:AT39 AV26:AV39 AX26:AX39 AZ26:AZ40 BB26:BB39 BE26:BE40 BG26:BG39 BI26:BI39 BK26:BK39 BM26:BM39 BO26:BO39 BQ26:BQ39">
    <cfRule type="expression" dxfId="21" priority="956">
      <formula>AR7="TC3"</formula>
    </cfRule>
  </conditionalFormatting>
  <conditionalFormatting sqref="AR7 AR13 AT14:AT15 AR16 AK26:AK40 AM26:AM39 AP26:AP39 AR26:AR39 AT26:AT39 AV26:AV39 AX26:AX39 AZ26:AZ40 BB26:BB39 BE26:BE40 BG26:BG39 BI26:BI39 BK26:BK39 BM26:BM39 BO26:BO39 BQ26:BQ39">
    <cfRule type="expression" dxfId="21" priority="957">
      <formula>AR7="TC2"</formula>
    </cfRule>
  </conditionalFormatting>
  <conditionalFormatting sqref="AR7 AR13 AT14:AT15 AR16 AK26:AK40 AM26:AM39 AP26:AP39 AR26:AR39 AT26:AT39 AV26:AV39 AX26:AX39 AZ26:AZ40 BB26:BB39 BE26:BE40 BG26:BG39 BI26:BI39 BK26:BK39 BM26:BM39 BO26:BO39 BQ26:BQ39">
    <cfRule type="expression" dxfId="21" priority="958">
      <formula>AR7="TC1"</formula>
    </cfRule>
  </conditionalFormatting>
  <conditionalFormatting sqref="AR7 AR13 AT14:AT15 AR16 AK26:AK40 AM26:AM39 AP26:AP39 AR26:AR39 AT26:AT39 AV26:AV39 AX26:AX39 AZ26:AZ40 BB26:BB39 BE26:BE40 BG26:BG39 BI26:BI39 BK26:BK39 BM26:BM39 BO26:BO39 BQ26:BQ39">
    <cfRule type="expression" dxfId="8" priority="959">
      <formula>AR7="Full"</formula>
    </cfRule>
  </conditionalFormatting>
  <conditionalFormatting sqref="AR7 AR13 AT14:AT15 AR16 AK26:AK40 AM26:AM39 AP26:AP39 AR26:AR39 AT26:AT39 AV26:AV39 AX26:AX39 AZ26:AZ40 BB26:BB39 BE26:BE40 BG26:BG39 BI26:BI39 BK26:BK39 BM26:BM39 BO26:BO39 BQ26:BQ39">
    <cfRule type="expression" dxfId="9" priority="960">
      <formula>AR7="OFF"</formula>
    </cfRule>
  </conditionalFormatting>
  <conditionalFormatting sqref="AR7 AR13 AT14:AT15 AR16 AK26:AK40 AM26:AM39 AP26:AP39 AR26:AR39 AT26:AT39 AV26:AV39 AX26:AX39 AZ26:AZ40 BB26:BB39 BE26:BE40 BG26:BG39 BI26:BI39 BK26:BK39 BM26:BM39 BO26:BO39 BQ26:BQ39">
    <cfRule type="expression" dxfId="10" priority="961">
      <formula>AR7="Gãy 2"</formula>
    </cfRule>
  </conditionalFormatting>
  <conditionalFormatting sqref="AR7 AR13 AT14:AT15 AR16 AK26:AK40 AM26:AM39 AP26:AP39 AR26:AR39 AT26:AT39 AV26:AV39 AX26:AX39 AZ26:AZ40 BB26:BB39 BE26:BE40 BG26:BG39 BI26:BI39 BK26:BK39 BM26:BM39 BO26:BO39 BQ26:BQ39">
    <cfRule type="expression" dxfId="10" priority="962">
      <formula>AR7="Gãy 1"</formula>
    </cfRule>
  </conditionalFormatting>
  <conditionalFormatting sqref="AR7 AR13 AT14:AT15 AR16 AK26:AK40 AM26:AM39 AP26:AP39 AR26:AR39 AT26:AT39 AV26:AV39 AX26:AX39 AZ26:AZ40 BB26:BB39 BE26:BE40 BG26:BG39 BI26:BI39 BK26:BK39 BM26:BM39 BO26:BO39 BQ26:BQ39">
    <cfRule type="expression" dxfId="22" priority="963">
      <formula>AR7="HC4"</formula>
    </cfRule>
  </conditionalFormatting>
  <conditionalFormatting sqref="AR7 AR13 AT14:AT15 AR16 AK26:AK40 AM26:AM39 AP26:AP39 AR26:AR39 AT26:AT39 AV26:AV39 AX26:AX39 AZ26:AZ40 BB26:BB39 BE26:BE40 BG26:BG39 BI26:BI39 BK26:BK39 BM26:BM39 BO26:BO39 BQ26:BQ39">
    <cfRule type="expression" dxfId="22" priority="964">
      <formula>AR7="HC3"</formula>
    </cfRule>
  </conditionalFormatting>
  <conditionalFormatting sqref="AR7 AR13 AT14:AT15 AR16 AK26:AK40 AM26:AM39 AP26:AP39 AR26:AR39 AT26:AT39 AV26:AV39 AX26:AX39 AZ26:AZ40 BB26:BB39 BE26:BE40 BG26:BG39 BI26:BI39 BK26:BK39 BM26:BM39 BO26:BO39 BQ26:BQ39">
    <cfRule type="expression" dxfId="22" priority="965">
      <formula>AR7="HC2"</formula>
    </cfRule>
  </conditionalFormatting>
  <conditionalFormatting sqref="AR7 AR13 AT14:AT15 AR16 AK26:AK40 AM26:AM39 AP26:AP39 AR26:AR39 AT26:AT39 AV26:AV39 AX26:AX39 AZ26:AZ40 BB26:BB39 BE26:BE40 BG26:BG39 BI26:BI39 BK26:BK39 BM26:BM39 BO26:BO39 BQ26:BQ39">
    <cfRule type="expression" dxfId="22" priority="966">
      <formula>AR7="HC1"</formula>
    </cfRule>
  </conditionalFormatting>
  <conditionalFormatting sqref="AR7 AR13 AT14:AT15 AR16 AK26:AK40 AM26:AM39 AP26:AP39 AR26:AR39 AT26:AT39 AV26:AV39 AX26:AX39 AZ26:AZ40 BB26:BB39 BE26:BE40 BG26:BG39 BI26:BI39 BK26:BK39 BM26:BM39 BO26:BO39 BQ26:BQ39">
    <cfRule type="expression" dxfId="23" priority="967">
      <formula>AR7="C5"</formula>
    </cfRule>
  </conditionalFormatting>
  <conditionalFormatting sqref="AR7 AR13 AT14:AT15 AR16 AK26:AK40 AM26:AM39 AP26:AP39 AR26:AR39 AT26:AT39 AV26:AV39 AX26:AX39 AZ26:AZ40 BB26:BB39 BE26:BE40 BG26:BG39 BI26:BI39 BK26:BK39 BM26:BM39 BO26:BO39 BQ26:BQ39">
    <cfRule type="expression" dxfId="24" priority="968">
      <formula>AR7="C4"</formula>
    </cfRule>
  </conditionalFormatting>
  <conditionalFormatting sqref="AR7 AR13 AT14:AT15 AR16 AK26:AK40 AM26:AM39 AP26:AP39 AR26:AR39 AT26:AT39 AV26:AV39 AX26:AX39 AZ26:AZ40 BB26:BB39 BE26:BE40 BG26:BG39 BI26:BI39 BK26:BK39 BM26:BM39 BO26:BO39 BQ26:BQ39">
    <cfRule type="expression" dxfId="25" priority="969">
      <formula>AR7="C3"</formula>
    </cfRule>
  </conditionalFormatting>
  <conditionalFormatting sqref="AR7 AR13 AT14:AT15 AR16 AK26:AK40 AM26:AM39 AP26:AP39 AR26:AR39 AT26:AT39 AV26:AV39 AX26:AX39 AZ26:AZ40 BB26:BB39 BE26:BE40 BG26:BG39 BI26:BI39 BK26:BK39 BM26:BM39 BO26:BO39 BQ26:BQ39">
    <cfRule type="expression" dxfId="20" priority="970">
      <formula>AR7="C2"</formula>
    </cfRule>
  </conditionalFormatting>
  <conditionalFormatting sqref="AR7 AR13 AT14:AT15 AR16 AK26:AK40 AM26:AM39 AP26:AP39 AR26:AR39 AT26:AT39 AV26:AV39 AX26:AX39 AZ26:AZ40 BB26:BB39 BE26:BE40 BG26:BG39 BI26:BI39 BK26:BK39 BM26:BM39 BO26:BO39 BQ26:BQ39">
    <cfRule type="expression" dxfId="26" priority="971">
      <formula>AR7="C1"</formula>
    </cfRule>
  </conditionalFormatting>
  <conditionalFormatting sqref="AR7 AR13 AT14:AT15 AR16 AK26:AK40 AM26:AM39 AP26:AP39 AR26:AR39 AT26:AT39 AV26:AV39 AX26:AX39 AZ26:AZ40 BB26:BB39 BE26:BE40 BG26:BG39 BI26:BI39 BK26:BK39 BM26:BM39 BO26:BO39 BQ26:BQ39">
    <cfRule type="expression" dxfId="16" priority="972">
      <formula>AR7="S4"</formula>
    </cfRule>
  </conditionalFormatting>
  <conditionalFormatting sqref="AR7 AR13 AT14:AT15 AR16 AK26:AK40 AM26:AM39 AP26:AP39 AR26:AR39 AT26:AT39 AV26:AV39 AX26:AX39 AZ26:AZ40 BB26:BB39 BE26:BE40 BG26:BG39 BI26:BI39 BK26:BK39 BM26:BM39 BO26:BO39 BQ26:BQ39">
    <cfRule type="expression" dxfId="17" priority="973">
      <formula>AR7="S3"</formula>
    </cfRule>
  </conditionalFormatting>
  <conditionalFormatting sqref="AR7 AR13 AT14:AT15 AR16 AK26:AK40 AM26:AM39 AP26:AP39 AR26:AR39 AT26:AT39 AV26:AV39 AX26:AX39 AZ26:AZ40 BB26:BB39 BE26:BE40 BG26:BG39 BI26:BI39 BK26:BK39 BM26:BM39 BO26:BO39 BQ26:BQ39">
    <cfRule type="expression" dxfId="18" priority="974">
      <formula>AR7="S2"</formula>
    </cfRule>
  </conditionalFormatting>
  <conditionalFormatting sqref="AR7 AR13 AT14:AT15 AR16 AK26:AK40 AM26:AM39 AP26:AP39 AR26:AR39 AT26:AT39 AV26:AV39 AX26:AX39 AZ26:AZ40 BB26:BB39 BE26:BE40 BG26:BG39 BI26:BI39 BK26:BK39 BM26:BM39 BO26:BO39 BQ26:BQ39">
    <cfRule type="expression" dxfId="19" priority="975">
      <formula>AR7="S1"</formula>
    </cfRule>
  </conditionalFormatting>
  <conditionalFormatting sqref="AL7:AL24 BA7:BA24 BP7:BP24 BC8 BF8:BF9 BH9:BH12 BL9:BL12 BJ10:BJ15 AN11 AQ11 AU11 AW11 BC11:BC12 BF12 BC14 BL14 BL16 BN16 AN17 BF17 BJ17:BJ18 BF20 BJ20">
    <cfRule type="expression" dxfId="1" priority="976">
      <formula>AL7="BigNB"</formula>
    </cfRule>
  </conditionalFormatting>
  <conditionalFormatting sqref="AL7:AL24 BA7:BA24 BP7:BP24 BC8 BF8:BF9 BH9:BH12 BL9:BL12 BJ10:BJ15 AN11 AQ11 AU11 AW11 BC11:BC12 BF12 BC14 BL14 BL16 BN16 AN17 BF17 BJ17:BJ18 BF20 BJ20">
    <cfRule type="expression" dxfId="1" priority="977">
      <formula>AL7="GaNB"</formula>
    </cfRule>
  </conditionalFormatting>
  <conditionalFormatting sqref="AL7:AL24 BA7:BA24 BP7:BP24 BC8 BF8:BF9 BH9:BH12 BL9:BL12 BJ10:BJ15 AN11 AQ11 AU11 AW11 BC11:BC12 BF12 BC14 BL14 BL16 BN16 AN17 BF17 BJ17:BJ18 BF20 BJ20">
    <cfRule type="expression" dxfId="2" priority="978">
      <formula>AL7="BigNĐ"</formula>
    </cfRule>
  </conditionalFormatting>
  <conditionalFormatting sqref="AL7:AL24 BA7:BA24 BP7:BP24 BC8 BF8:BF9 BH9:BH12 BL9:BL12 BJ10:BJ15 AN11 AQ11 AU11 AW11 BC11:BC12 BF12 BC14 BL14 BL16 BN16 AN17 BF17 BJ17:BJ18 BF20 BJ20">
    <cfRule type="expression" dxfId="2" priority="979">
      <formula>AL7="GaNĐ"</formula>
    </cfRule>
  </conditionalFormatting>
  <conditionalFormatting sqref="BN8:BN24 BP8:BP24 AY9 BJ10:BJ13 BL10:BL14 AF11 AH11 AL11 AU11 AW11 BA11 AY12 BC12 BF12 BH12 AH14 AJ14 AW14 AY14:AY24 BA14:BA24 BC14:BC24 AJ16:AJ17 BJ16:BJ18 AH17 AL17:AL18 AW17 BF17:BF24 BL17 AF18 AU18 BJ20 BL20:BL21 AL26:AL39 BA26:BA39 S27 W27 AH27:AH28 AJ27 AN27 AQ27 AS27 AY27 BC27 BJ27 AB28 H29 Y29 AD29 AF29:AF30 AJ29:AJ30 AN29:AN32 AQ29:AQ32 AS29 AU29 AW29:AW30 AY29 BF29 BH29:BH30 BN29:BN30 BP29:BP30 M30 U30 BL30 AD31 AH31 W32:W33 Y32 AJ32 AS32 AU32 AW32 AY32 Q33:Q39 U33:U39 AB33 H34:H39 J34:J39 M34:M39 O34:O39 S34:S39 AS34:AS39 AQ37:AQ39 AN39">
    <cfRule type="expression" dxfId="1" priority="980">
      <formula>BN8="BigNB"</formula>
    </cfRule>
  </conditionalFormatting>
  <conditionalFormatting sqref="BN8:BN24 BP8:BP24 AY9 BJ10:BJ13 BL10:BL14 AF11 AH11 AL11 AU11 AW11 BA11 AY12 BC12 BF12 BH12 AH14 AJ14 AW14 AY14:AY24 BA14:BA24 BC14:BC24 AJ16:AJ17 BJ16:BJ18 AH17 AL17:AL18 AW17 BF17:BF24 BL17 AF18 AU18 BJ20 BL20:BL21 AL26:AL39 BA26:BA39 S27 W27 AH27:AH28 AJ27 AN27 AQ27 AS27 AY27 BC27 BJ27 AB28 H29 Y29 AD29 AF29:AF30 AJ29:AJ30 AN29:AN32 AQ29:AQ32 AS29 AU29 AW29:AW30 AY29 BF29 BH29:BH30 BN29:BN30 BP29:BP30 M30 U30 BL30 AD31 AH31 W32:W33 Y32 AJ32 AS32 AU32 AW32 AY32 Q33:Q39 U33:U39 AB33 H34:H39 J34:J39 M34:M39 O34:O39 S34:S39 AS34:AS39 AQ37:AQ39 AN39">
    <cfRule type="expression" dxfId="1" priority="981">
      <formula>BN8="GaNB"</formula>
    </cfRule>
  </conditionalFormatting>
  <conditionalFormatting sqref="BN8:BN24 BP8:BP24 AY9 BJ10:BJ13 BL10:BL14 AF11 AH11 AL11 AU11 AW11 BA11 AY12 BC12 BF12 BH12 AH14 AJ14 AW14 AY14:AY24 BA14:BA24 BC14:BC24 AJ16:AJ17 BJ16:BJ18 AH17 AL17:AL18 AW17 BF17:BF24 BL17 AF18 AU18 BJ20 BL20:BL21 AL26:AL39 BA26:BA39 S27 W27 AH27:AH28 AJ27 AN27 AQ27 AS27 AY27 BC27 BJ27 AB28 H29 Y29 AD29 AF29:AF30 AJ29:AJ30 AN29:AN32 AQ29:AQ32 AS29 AU29 AW29:AW30 AY29 BF29 BH29:BH30 BN29:BN30 BP29:BP30 M30 U30 BL30 AD31 AH31 W32:W33 Y32 AJ32 AS32 AU32 AW32 AY32 Q33:Q39 U33:U39 AB33 H34:H39 J34:J39 M34:M39 O34:O39 S34:S39 AS34:AS39 AQ37:AQ39 AN39">
    <cfRule type="expression" dxfId="2" priority="982">
      <formula>BN8="BigNĐ"</formula>
    </cfRule>
  </conditionalFormatting>
  <conditionalFormatting sqref="BN8:BN24 BP8:BP24 AY9 BJ10:BJ13 BL10:BL14 AF11 AH11 AL11 AU11 AW11 BA11 AY12 BC12 BF12 BH12 AH14 AJ14 AW14 AY14:AY24 BA14:BA24 BC14:BC24 AJ16:AJ17 BJ16:BJ18 AH17 AL17:AL18 AW17 BF17:BF24 BL17 AF18 AU18 BJ20 BL20:BL21 AL26:AL39 BA26:BA39 S27 W27 AH27:AH28 AJ27 AN27 AQ27 AS27 AY27 BC27 BJ27 AB28 H29 Y29 AD29 AF29:AF30 AJ29:AJ30 AN29:AN32 AQ29:AQ32 AS29 AU29 AW29:AW30 AY29 BF29 BH29:BH30 BN29:BN30 BP29:BP30 M30 U30 BL30 AD31 AH31 W32:W33 Y32 AJ32 AS32 AU32 AW32 AY32 Q33:Q39 U33:U39 AB33 H34:H39 J34:J39 M34:M39 O34:O39 S34:S39 AS34:AS39 AQ37:AQ39 AN39">
    <cfRule type="expression" dxfId="2" priority="983">
      <formula>BN8="GaNĐ"</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0" priority="984">
      <formula>AM7="C6"</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1" priority="985">
      <formula>AM7="TC6"</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1" priority="986">
      <formula>AM7="TC5"</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1" priority="987">
      <formula>AM7="TC4"</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1" priority="988">
      <formula>AM7="TC3"</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1" priority="989">
      <formula>AM7="TC2"</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1" priority="990">
      <formula>AM7="TC1"</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8" priority="991">
      <formula>AM7="Full"</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9" priority="992">
      <formula>AM7="OFF"</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10" priority="993">
      <formula>AM7="Gãy 2"</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10" priority="994">
      <formula>AM7="Gãy 1"</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2" priority="995">
      <formula>AM7="HC4"</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2" priority="996">
      <formula>AM7="HC3"</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2" priority="997">
      <formula>AM7="HC2"</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2" priority="998">
      <formula>AM7="HC1"</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3" priority="999">
      <formula>AM7="C5"</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4" priority="1000">
      <formula>AM7="C4"</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5" priority="1001">
      <formula>AM7="C3"</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0" priority="1002">
      <formula>AM7="C2"</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26" priority="1003">
      <formula>AM7="C1"</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16" priority="1004">
      <formula>AM7="S4"</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17" priority="1005">
      <formula>AM7="S3"</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18" priority="1006">
      <formula>AM7="S2"</formula>
    </cfRule>
  </conditionalFormatting>
  <conditionalFormatting sqref="AM7:AM24 AP7:AP24 BB7:BB24 BQ7:BQ24 AT8 BE8:BE24 BG10:BG24 BI10:BI24 BK10:BK24 BM10:BM24 BO10:BO24 AR12 AI14:AI15 AX14:AX24 AZ14:AZ24 AK15 AR15:AR16 AR18:AR19 AT19 AV19 AR32 AX32 AZ32 BB32 BE32 BG32 BI32 BK32 BM32 BO32 BQ32">
    <cfRule type="expression" dxfId="19" priority="1007">
      <formula>AM7="S1"</formula>
    </cfRule>
  </conditionalFormatting>
  <conditionalFormatting sqref="AR7 AR13 AT14:AT15 AR16 AM26:AM40 AP26:AP39 AR26:AR39 AT26:AT39 AV26:AV39 AX26:AX39 AZ26:AZ39 BB26:BB40 BE26:BE40 BG26:BG39 BI26:BI39 BK26:BK39 BM26:BM39 BO26:BO39 BQ26:BQ39 AK27:AK39">
    <cfRule type="expression" dxfId="20" priority="1008">
      <formula>AR7="C6"</formula>
    </cfRule>
  </conditionalFormatting>
  <conditionalFormatting sqref="AR7 AR13 AT14:AT15 AR16 AM26:AM40 AP26:AP39 AR26:AR39 AT26:AT39 AV26:AV39 AX26:AX39 AZ26:AZ39 BB26:BB40 BE26:BE40 BG26:BG39 BI26:BI39 BK26:BK39 BM26:BM39 BO26:BO39 BQ26:BQ39 AK27:AK39">
    <cfRule type="expression" dxfId="21" priority="1009">
      <formula>AR7="TC6"</formula>
    </cfRule>
  </conditionalFormatting>
  <conditionalFormatting sqref="AR7 AR13 AT14:AT15 AR16 AM26:AM40 AP26:AP39 AR26:AR39 AT26:AT39 AV26:AV39 AX26:AX39 AZ26:AZ39 BB26:BB40 BE26:BE40 BG26:BG39 BI26:BI39 BK26:BK39 BM26:BM39 BO26:BO39 BQ26:BQ39 AK27:AK39">
    <cfRule type="expression" dxfId="21" priority="1010">
      <formula>AR7="TC5"</formula>
    </cfRule>
  </conditionalFormatting>
  <conditionalFormatting sqref="AR7 AR13 AT14:AT15 AR16 AM26:AM40 AP26:AP39 AR26:AR39 AT26:AT39 AV26:AV39 AX26:AX39 AZ26:AZ39 BB26:BB40 BE26:BE40 BG26:BG39 BI26:BI39 BK26:BK39 BM26:BM39 BO26:BO39 BQ26:BQ39 AK27:AK39">
    <cfRule type="expression" dxfId="21" priority="1011">
      <formula>AR7="TC4"</formula>
    </cfRule>
  </conditionalFormatting>
  <conditionalFormatting sqref="AR7 AR13 AT14:AT15 AR16 AM26:AM40 AP26:AP39 AR26:AR39 AT26:AT39 AV26:AV39 AX26:AX39 AZ26:AZ39 BB26:BB40 BE26:BE40 BG26:BG39 BI26:BI39 BK26:BK39 BM26:BM39 BO26:BO39 BQ26:BQ39 AK27:AK39">
    <cfRule type="expression" dxfId="21" priority="1012">
      <formula>AR7="TC3"</formula>
    </cfRule>
  </conditionalFormatting>
  <conditionalFormatting sqref="AR7 AR13 AT14:AT15 AR16 AM26:AM40 AP26:AP39 AR26:AR39 AT26:AT39 AV26:AV39 AX26:AX39 AZ26:AZ39 BB26:BB40 BE26:BE40 BG26:BG39 BI26:BI39 BK26:BK39 BM26:BM39 BO26:BO39 BQ26:BQ39 AK27:AK39">
    <cfRule type="expression" dxfId="21" priority="1013">
      <formula>AR7="TC2"</formula>
    </cfRule>
  </conditionalFormatting>
  <conditionalFormatting sqref="AR7 AR13 AT14:AT15 AR16 AM26:AM40 AP26:AP39 AR26:AR39 AT26:AT39 AV26:AV39 AX26:AX39 AZ26:AZ39 BB26:BB40 BE26:BE40 BG26:BG39 BI26:BI39 BK26:BK39 BM26:BM39 BO26:BO39 BQ26:BQ39 AK27:AK39">
    <cfRule type="expression" dxfId="21" priority="1014">
      <formula>AR7="TC1"</formula>
    </cfRule>
  </conditionalFormatting>
  <conditionalFormatting sqref="AR7 AR13 AT14:AT15 AR16 AM26:AM40 AP26:AP39 AR26:AR39 AT26:AT39 AV26:AV39 AX26:AX39 AZ26:AZ39 BB26:BB40 BE26:BE40 BG26:BG39 BI26:BI39 BK26:BK39 BM26:BM39 BO26:BO39 BQ26:BQ39 AK27:AK39">
    <cfRule type="expression" dxfId="8" priority="1015">
      <formula>AR7="Full"</formula>
    </cfRule>
  </conditionalFormatting>
  <conditionalFormatting sqref="AR7 AR13 AT14:AT15 AR16 AM26:AM40 AP26:AP39 AR26:AR39 AT26:AT39 AV26:AV39 AX26:AX39 AZ26:AZ39 BB26:BB40 BE26:BE40 BG26:BG39 BI26:BI39 BK26:BK39 BM26:BM39 BO26:BO39 BQ26:BQ39 AK27:AK39">
    <cfRule type="expression" dxfId="9" priority="1016">
      <formula>AR7="OFF"</formula>
    </cfRule>
  </conditionalFormatting>
  <conditionalFormatting sqref="AR7 AR13 AT14:AT15 AR16 AM26:AM40 AP26:AP39 AR26:AR39 AT26:AT39 AV26:AV39 AX26:AX39 AZ26:AZ39 BB26:BB40 BE26:BE40 BG26:BG39 BI26:BI39 BK26:BK39 BM26:BM39 BO26:BO39 BQ26:BQ39 AK27:AK39">
    <cfRule type="expression" dxfId="10" priority="1017">
      <formula>AR7="Gãy 2"</formula>
    </cfRule>
  </conditionalFormatting>
  <conditionalFormatting sqref="AR7 AR13 AT14:AT15 AR16 AM26:AM40 AP26:AP39 AR26:AR39 AT26:AT39 AV26:AV39 AX26:AX39 AZ26:AZ39 BB26:BB40 BE26:BE40 BG26:BG39 BI26:BI39 BK26:BK39 BM26:BM39 BO26:BO39 BQ26:BQ39 AK27:AK39">
    <cfRule type="expression" dxfId="10" priority="1018">
      <formula>AR7="Gãy 1"</formula>
    </cfRule>
  </conditionalFormatting>
  <conditionalFormatting sqref="AR7 AR13 AT14:AT15 AR16 AM26:AM40 AP26:AP39 AR26:AR39 AT26:AT39 AV26:AV39 AX26:AX39 AZ26:AZ39 BB26:BB40 BE26:BE40 BG26:BG39 BI26:BI39 BK26:BK39 BM26:BM39 BO26:BO39 BQ26:BQ39 AK27:AK39">
    <cfRule type="expression" dxfId="22" priority="1019">
      <formula>AR7="HC4"</formula>
    </cfRule>
  </conditionalFormatting>
  <conditionalFormatting sqref="AR7 AR13 AT14:AT15 AR16 AM26:AM40 AP26:AP39 AR26:AR39 AT26:AT39 AV26:AV39 AX26:AX39 AZ26:AZ39 BB26:BB40 BE26:BE40 BG26:BG39 BI26:BI39 BK26:BK39 BM26:BM39 BO26:BO39 BQ26:BQ39 AK27:AK39">
    <cfRule type="expression" dxfId="22" priority="1020">
      <formula>AR7="HC3"</formula>
    </cfRule>
  </conditionalFormatting>
  <conditionalFormatting sqref="AR7 AR13 AT14:AT15 AR16 AM26:AM40 AP26:AP39 AR26:AR39 AT26:AT39 AV26:AV39 AX26:AX39 AZ26:AZ39 BB26:BB40 BE26:BE40 BG26:BG39 BI26:BI39 BK26:BK39 BM26:BM39 BO26:BO39 BQ26:BQ39 AK27:AK39">
    <cfRule type="expression" dxfId="22" priority="1021">
      <formula>AR7="HC2"</formula>
    </cfRule>
  </conditionalFormatting>
  <conditionalFormatting sqref="AR7 AR13 AT14:AT15 AR16 AM26:AM40 AP26:AP39 AR26:AR39 AT26:AT39 AV26:AV39 AX26:AX39 AZ26:AZ39 BB26:BB40 BE26:BE40 BG26:BG39 BI26:BI39 BK26:BK39 BM26:BM39 BO26:BO39 BQ26:BQ39 AK27:AK39">
    <cfRule type="expression" dxfId="22" priority="1022">
      <formula>AR7="HC1"</formula>
    </cfRule>
  </conditionalFormatting>
  <conditionalFormatting sqref="AR7 AR13 AT14:AT15 AR16 AM26:AM40 AP26:AP39 AR26:AR39 AT26:AT39 AV26:AV39 AX26:AX39 AZ26:AZ39 BB26:BB40 BE26:BE40 BG26:BG39 BI26:BI39 BK26:BK39 BM26:BM39 BO26:BO39 BQ26:BQ39 AK27:AK39">
    <cfRule type="expression" dxfId="23" priority="1023">
      <formula>AR7="C5"</formula>
    </cfRule>
  </conditionalFormatting>
  <conditionalFormatting sqref="AR7 AR13 AT14:AT15 AR16 AM26:AM40 AP26:AP39 AR26:AR39 AT26:AT39 AV26:AV39 AX26:AX39 AZ26:AZ39 BB26:BB40 BE26:BE40 BG26:BG39 BI26:BI39 BK26:BK39 BM26:BM39 BO26:BO39 BQ26:BQ39 AK27:AK39">
    <cfRule type="expression" dxfId="24" priority="1024">
      <formula>AR7="C4"</formula>
    </cfRule>
  </conditionalFormatting>
  <conditionalFormatting sqref="AR7 AR13 AT14:AT15 AR16 AM26:AM40 AP26:AP39 AR26:AR39 AT26:AT39 AV26:AV39 AX26:AX39 AZ26:AZ39 BB26:BB40 BE26:BE40 BG26:BG39 BI26:BI39 BK26:BK39 BM26:BM39 BO26:BO39 BQ26:BQ39 AK27:AK39">
    <cfRule type="expression" dxfId="25" priority="1025">
      <formula>AR7="C3"</formula>
    </cfRule>
  </conditionalFormatting>
  <conditionalFormatting sqref="AR7 AR13 AT14:AT15 AR16 AM26:AM40 AP26:AP39 AR26:AR39 AT26:AT39 AV26:AV39 AX26:AX39 AZ26:AZ39 BB26:BB40 BE26:BE40 BG26:BG39 BI26:BI39 BK26:BK39 BM26:BM39 BO26:BO39 BQ26:BQ39 AK27:AK39">
    <cfRule type="expression" dxfId="20" priority="1026">
      <formula>AR7="C2"</formula>
    </cfRule>
  </conditionalFormatting>
  <conditionalFormatting sqref="AR7 AR13 AT14:AT15 AR16 AM26:AM40 AP26:AP39 AR26:AR39 AT26:AT39 AV26:AV39 AX26:AX39 AZ26:AZ39 BB26:BB40 BE26:BE40 BG26:BG39 BI26:BI39 BK26:BK39 BM26:BM39 BO26:BO39 BQ26:BQ39 AK27:AK39">
    <cfRule type="expression" dxfId="26" priority="1027">
      <formula>AR7="C1"</formula>
    </cfRule>
  </conditionalFormatting>
  <conditionalFormatting sqref="AR7 AR13 AT14:AT15 AR16 AM26:AM40 AP26:AP39 AR26:AR39 AT26:AT39 AV26:AV39 AX26:AX39 AZ26:AZ39 BB26:BB40 BE26:BE40 BG26:BG39 BI26:BI39 BK26:BK39 BM26:BM39 BO26:BO39 BQ26:BQ39 AK27:AK39">
    <cfRule type="expression" dxfId="16" priority="1028">
      <formula>AR7="S4"</formula>
    </cfRule>
  </conditionalFormatting>
  <conditionalFormatting sqref="AR7 AR13 AT14:AT15 AR16 AM26:AM40 AP26:AP39 AR26:AR39 AT26:AT39 AV26:AV39 AX26:AX39 AZ26:AZ39 BB26:BB40 BE26:BE40 BG26:BG39 BI26:BI39 BK26:BK39 BM26:BM39 BO26:BO39 BQ26:BQ39 AK27:AK39">
    <cfRule type="expression" dxfId="17" priority="1029">
      <formula>AR7="S3"</formula>
    </cfRule>
  </conditionalFormatting>
  <conditionalFormatting sqref="AR7 AR13 AT14:AT15 AR16 AM26:AM40 AP26:AP39 AR26:AR39 AT26:AT39 AV26:AV39 AX26:AX39 AZ26:AZ39 BB26:BB40 BE26:BE40 BG26:BG39 BI26:BI39 BK26:BK39 BM26:BM39 BO26:BO39 BQ26:BQ39 AK27:AK39">
    <cfRule type="expression" dxfId="18" priority="1030">
      <formula>AR7="S2"</formula>
    </cfRule>
  </conditionalFormatting>
  <conditionalFormatting sqref="AR7 AR13 AT14:AT15 AR16 AM26:AM40 AP26:AP39 AR26:AR39 AT26:AT39 AV26:AV39 AX26:AX39 AZ26:AZ39 BB26:BB40 BE26:BE40 BG26:BG39 BI26:BI39 BK26:BK39 BM26:BM39 BO26:BO39 BQ26:BQ39 AK27:AK39">
    <cfRule type="expression" dxfId="19" priority="1031">
      <formula>AR7="S1"</formula>
    </cfRule>
  </conditionalFormatting>
  <conditionalFormatting sqref="AN7:AN24 BC7:BC24 AS8:AS9 AU8 AW8 BH8:BH9 BJ8 BL8 BP8 AQ9 BN9:BN10 AL10 BA10 BJ10:BJ11 BP10 AU11 AL13 AU13 BA13 BJ13:BJ14 BP13:BP14 AS14 AW14 BH14 BL14 AU15 AL16 AW16 BA16 BJ16:BJ24 BP16 AQ17:AQ24 AS17:AS24 AU17:AU24 BF17:BF24 BH17:BH24 BN17:BN24">
    <cfRule type="expression" dxfId="1" priority="1032">
      <formula>AN7="BigNB"</formula>
    </cfRule>
  </conditionalFormatting>
  <conditionalFormatting sqref="AN7:AN24 BC7:BC24 AS8:AS9 AU8 AW8 BH8:BH9 BJ8 BL8 BP8 AQ9 BN9:BN10 AL10 BA10 BJ10:BJ11 BP10 AU11 AL13 AU13 BA13 BJ13:BJ14 BP13:BP14 AS14 AW14 BH14 BL14 AU15 AL16 AW16 BA16 BJ16:BJ24 BP16 AQ17:AQ24 AS17:AS24 AU17:AU24 BF17:BF24 BH17:BH24 BN17:BN24">
    <cfRule type="expression" dxfId="1" priority="1033">
      <formula>AN7="GaNB"</formula>
    </cfRule>
  </conditionalFormatting>
  <conditionalFormatting sqref="AN7:AN24 BC7:BC24 AS8:AS9 AU8 AW8 BH8:BH9 BJ8 BL8 BP8 AQ9 BN9:BN10 AL10 BA10 BJ10:BJ11 BP10 AU11 AL13 AU13 BA13 BJ13:BJ14 BP13:BP14 AS14 AW14 BH14 BL14 AU15 AL16 AW16 BA16 BJ16:BJ24 BP16 AQ17:AQ24 AS17:AS24 AU17:AU24 BF17:BF24 BH17:BH24 BN17:BN24">
    <cfRule type="expression" dxfId="2" priority="1034">
      <formula>AN7="BigNĐ"</formula>
    </cfRule>
  </conditionalFormatting>
  <conditionalFormatting sqref="AN7:AN24 BC7:BC24 AS8:AS9 AU8 AW8 BH8:BH9 BJ8 BL8 BP8 AQ9 BN9:BN10 AL10 BA10 BJ10:BJ11 BP10 AU11 AL13 AU13 BA13 BJ13:BJ14 BP13:BP14 AS14 AW14 BH14 BL14 AU15 AL16 AW16 BA16 BJ16:BJ24 BP16 AQ17:AQ24 AS17:AS24 AU17:AU24 BF17:BF24 BH17:BH24 BN17:BN24">
    <cfRule type="expression" dxfId="2" priority="1035">
      <formula>AN7="GaNĐ"</formula>
    </cfRule>
  </conditionalFormatting>
  <conditionalFormatting sqref="BC8:BC24 BF8:BF24 BH8:BH9 AW9 BL9 BN9:BN10 BP9 BJ10:BJ11 AF11 AH11 AL11 AQ11 AU11 AW11 BA11 BH11 BL11:BL12 BP11:BP13 BA13:BA14 BJ13:BJ14 BN13:BN14 AH14 AJ14 AW14 AY14 BL14 BP15 AJ16:AJ17 AU16 AY16:AY18 BJ16 BN16:BN17 AH17 AL17:AL18 AW17 BA17:BA18 BL17 BP17:BP18 AF18 AU18 BJ18 AS22 AN26:AN39 BC26:BC39 S27 W27 AH27 AJ27 AQ27:AQ29 AS27 AY27 BF27 BJ27 AB28 BH28:BH30 H29 Y29 AF29:AF30 AS29 AU29 AW29:AW30 AY29 BF29:BF30 BJ29 M30 U30 BL30 AD31 AH31 W32 Y32 AY32 BA32 BN32 Q33:Q39 U33:U39 AL33 AS33:AS39 AU33:AU34 AW33 H34:H39 J34:J39 M34:M39 O34:O39 S34:S39 BP34 AY36 BR36 AQ37:AQ39 BA37:BA38">
    <cfRule type="expression" dxfId="1" priority="1036">
      <formula>BC8="BigNB"</formula>
    </cfRule>
  </conditionalFormatting>
  <conditionalFormatting sqref="BC8:BC24 BF8:BF24 BH8:BH9 AW9 BL9 BN9:BN10 BP9 BJ10:BJ11 AF11 AH11 AL11 AQ11 AU11 AW11 BA11 BH11 BL11:BL12 BP11:BP13 BA13:BA14 BJ13:BJ14 BN13:BN14 AH14 AJ14 AW14 AY14 BL14 BP15 AJ16:AJ17 AU16 AY16:AY18 BJ16 BN16:BN17 AH17 AL17:AL18 AW17 BA17:BA18 BL17 BP17:BP18 AF18 AU18 BJ18 AS22 AN26:AN39 BC26:BC39 S27 W27 AH27 AJ27 AQ27:AQ29 AS27 AY27 BF27 BJ27 AB28 BH28:BH30 H29 Y29 AF29:AF30 AS29 AU29 AW29:AW30 AY29 BF29:BF30 BJ29 M30 U30 BL30 AD31 AH31 W32 Y32 AY32 BA32 BN32 Q33:Q39 U33:U39 AL33 AS33:AS39 AU33:AU34 AW33 H34:H39 J34:J39 M34:M39 O34:O39 S34:S39 BP34 AY36 BR36 AQ37:AQ39 BA37:BA38">
    <cfRule type="expression" dxfId="1" priority="1037">
      <formula>BC8="GaNB"</formula>
    </cfRule>
  </conditionalFormatting>
  <conditionalFormatting sqref="BC8:BC24 BF8:BF24 BH8:BH9 AW9 BL9 BN9:BN10 BP9 BJ10:BJ11 AF11 AH11 AL11 AQ11 AU11 AW11 BA11 BH11 BL11:BL12 BP11:BP13 BA13:BA14 BJ13:BJ14 BN13:BN14 AH14 AJ14 AW14 AY14 BL14 BP15 AJ16:AJ17 AU16 AY16:AY18 BJ16 BN16:BN17 AH17 AL17:AL18 AW17 BA17:BA18 BL17 BP17:BP18 AF18 AU18 BJ18 AS22 AN26:AN39 BC26:BC39 S27 W27 AH27 AJ27 AQ27:AQ29 AS27 AY27 BF27 BJ27 AB28 BH28:BH30 H29 Y29 AF29:AF30 AS29 AU29 AW29:AW30 AY29 BF29:BF30 BJ29 M30 U30 BL30 AD31 AH31 W32 Y32 AY32 BA32 BN32 Q33:Q39 U33:U39 AL33 AS33:AS39 AU33:AU34 AW33 H34:H39 J34:J39 M34:M39 O34:O39 S34:S39 BP34 AY36 BR36 AQ37:AQ39 BA37:BA38">
    <cfRule type="expression" dxfId="2" priority="1038">
      <formula>BC8="BigNĐ"</formula>
    </cfRule>
  </conditionalFormatting>
  <conditionalFormatting sqref="BC8:BC24 BF8:BF24 BH8:BH9 AW9 BL9 BN9:BN10 BP9 BJ10:BJ11 AF11 AH11 AL11 AQ11 AU11 AW11 BA11 BH11 BL11:BL12 BP11:BP13 BA13:BA14 BJ13:BJ14 BN13:BN14 AH14 AJ14 AW14 AY14 BL14 BP15 AJ16:AJ17 AU16 AY16:AY18 BJ16 BN16:BN17 AH17 AL17:AL18 AW17 BA17:BA18 BL17 BP17:BP18 AF18 AU18 BJ18 AS22 AN26:AN39 BC26:BC39 S27 W27 AH27 AJ27 AQ27:AQ29 AS27 AY27 BF27 BJ27 AB28 BH28:BH30 H29 Y29 AF29:AF30 AS29 AU29 AW29:AW30 AY29 BF29:BF30 BJ29 M30 U30 BL30 AD31 AH31 W32 Y32 AY32 BA32 BN32 Q33:Q39 U33:U39 AL33 AS33:AS39 AU33:AU34 AW33 H34:H39 J34:J39 M34:M39 O34:O39 S34:S39 BP34 AY36 BR36 AQ37:AQ39 BA37:BA38">
    <cfRule type="expression" dxfId="2" priority="1039">
      <formula>BC8="GaNĐ"</formula>
    </cfRule>
  </conditionalFormatting>
  <conditionalFormatting sqref="AP7:AP24 BE7:BE24 AT8 BG10:BG24 BI10:BI24 BK10:BK24 BM10:BM24 BO10:BO24 AR12 AR15 AR18:AR19 AT19 AV19 AX19 AZ19 BB19 BQ19">
    <cfRule type="expression" dxfId="20" priority="1040">
      <formula>AP7="C6"</formula>
    </cfRule>
  </conditionalFormatting>
  <conditionalFormatting sqref="AP7:AP24 BE7:BE24 AT8 BG10:BG24 BI10:BI24 BK10:BK24 BM10:BM24 BO10:BO24 AR12 AR15 AR18:AR19 AT19 AV19 AX19 AZ19 BB19 BQ19">
    <cfRule type="expression" dxfId="21" priority="1041">
      <formula>AP7="TC6"</formula>
    </cfRule>
  </conditionalFormatting>
  <conditionalFormatting sqref="AP7:AP24 BE7:BE24 AT8 BG10:BG24 BI10:BI24 BK10:BK24 BM10:BM24 BO10:BO24 AR12 AR15 AR18:AR19 AT19 AV19 AX19 AZ19 BB19 BQ19">
    <cfRule type="expression" dxfId="21" priority="1042">
      <formula>AP7="TC5"</formula>
    </cfRule>
  </conditionalFormatting>
  <conditionalFormatting sqref="AP7:AP24 BE7:BE24 AT8 BG10:BG24 BI10:BI24 BK10:BK24 BM10:BM24 BO10:BO24 AR12 AR15 AR18:AR19 AT19 AV19 AX19 AZ19 BB19 BQ19">
    <cfRule type="expression" dxfId="21" priority="1043">
      <formula>AP7="TC4"</formula>
    </cfRule>
  </conditionalFormatting>
  <conditionalFormatting sqref="AP7:AP24 BE7:BE24 AT8 BG10:BG24 BI10:BI24 BK10:BK24 BM10:BM24 BO10:BO24 AR12 AR15 AR18:AR19 AT19 AV19 AX19 AZ19 BB19 BQ19">
    <cfRule type="expression" dxfId="21" priority="1044">
      <formula>AP7="TC3"</formula>
    </cfRule>
  </conditionalFormatting>
  <conditionalFormatting sqref="AP7:AP24 BE7:BE24 AT8 BG10:BG24 BI10:BI24 BK10:BK24 BM10:BM24 BO10:BO24 AR12 AR15 AR18:AR19 AT19 AV19 AX19 AZ19 BB19 BQ19">
    <cfRule type="expression" dxfId="21" priority="1045">
      <formula>AP7="TC2"</formula>
    </cfRule>
  </conditionalFormatting>
  <conditionalFormatting sqref="AP7:AP24 BE7:BE24 AT8 BG10:BG24 BI10:BI24 BK10:BK24 BM10:BM24 BO10:BO24 AR12 AR15 AR18:AR19 AT19 AV19 AX19 AZ19 BB19 BQ19">
    <cfRule type="expression" dxfId="21" priority="1046">
      <formula>AP7="TC1"</formula>
    </cfRule>
  </conditionalFormatting>
  <conditionalFormatting sqref="AP7:AP24 BE7:BE24 AT8 BG10:BG24 BI10:BI24 BK10:BK24 BM10:BM24 BO10:BO24 AR12 AR15 AR18:AR19 AT19 AV19 AX19 AZ19 BB19 BQ19">
    <cfRule type="expression" dxfId="8" priority="1047">
      <formula>AP7="Full"</formula>
    </cfRule>
  </conditionalFormatting>
  <conditionalFormatting sqref="AP7:AP24 BE7:BE24 AT8 BG10:BG24 BI10:BI24 BK10:BK24 BM10:BM24 BO10:BO24 AR12 AR15 AR18:AR19 AT19 AV19 AX19 AZ19 BB19 BQ19">
    <cfRule type="expression" dxfId="9" priority="1048">
      <formula>AP7="OFF"</formula>
    </cfRule>
  </conditionalFormatting>
  <conditionalFormatting sqref="AP7:AP24 BE7:BE24 AT8 BG10:BG24 BI10:BI24 BK10:BK24 BM10:BM24 BO10:BO24 AR12 AR15 AR18:AR19 AT19 AV19 AX19 AZ19 BB19 BQ19">
    <cfRule type="expression" dxfId="10" priority="1049">
      <formula>AP7="Gãy 2"</formula>
    </cfRule>
  </conditionalFormatting>
  <conditionalFormatting sqref="AP7:AP24 BE7:BE24 AT8 BG10:BG24 BI10:BI24 BK10:BK24 BM10:BM24 BO10:BO24 AR12 AR15 AR18:AR19 AT19 AV19 AX19 AZ19 BB19 BQ19">
    <cfRule type="expression" dxfId="10" priority="1050">
      <formula>AP7="Gãy 1"</formula>
    </cfRule>
  </conditionalFormatting>
  <conditionalFormatting sqref="AP7:AP24 BE7:BE24 AT8 BG10:BG24 BI10:BI24 BK10:BK24 BM10:BM24 BO10:BO24 AR12 AR15 AR18:AR19 AT19 AV19 AX19 AZ19 BB19 BQ19">
    <cfRule type="expression" dxfId="22" priority="1051">
      <formula>AP7="HC4"</formula>
    </cfRule>
  </conditionalFormatting>
  <conditionalFormatting sqref="AP7:AP24 BE7:BE24 AT8 BG10:BG24 BI10:BI24 BK10:BK24 BM10:BM24 BO10:BO24 AR12 AR15 AR18:AR19 AT19 AV19 AX19 AZ19 BB19 BQ19">
    <cfRule type="expression" dxfId="22" priority="1052">
      <formula>AP7="HC3"</formula>
    </cfRule>
  </conditionalFormatting>
  <conditionalFormatting sqref="AP7:AP24 BE7:BE24 AT8 BG10:BG24 BI10:BI24 BK10:BK24 BM10:BM24 BO10:BO24 AR12 AR15 AR18:AR19 AT19 AV19 AX19 AZ19 BB19 BQ19">
    <cfRule type="expression" dxfId="22" priority="1053">
      <formula>AP7="HC2"</formula>
    </cfRule>
  </conditionalFormatting>
  <conditionalFormatting sqref="AP7:AP24 BE7:BE24 AT8 BG10:BG24 BI10:BI24 BK10:BK24 BM10:BM24 BO10:BO24 AR12 AR15 AR18:AR19 AT19 AV19 AX19 AZ19 BB19 BQ19">
    <cfRule type="expression" dxfId="22" priority="1054">
      <formula>AP7="HC1"</formula>
    </cfRule>
  </conditionalFormatting>
  <conditionalFormatting sqref="AP7:AP24 BE7:BE24 AT8 BG10:BG24 BI10:BI24 BK10:BK24 BM10:BM24 BO10:BO24 AR12 AR15 AR18:AR19 AT19 AV19 AX19 AZ19 BB19 BQ19">
    <cfRule type="expression" dxfId="23" priority="1055">
      <formula>AP7="C5"</formula>
    </cfRule>
  </conditionalFormatting>
  <conditionalFormatting sqref="AP7:AP24 BE7:BE24 AT8 BG10:BG24 BI10:BI24 BK10:BK24 BM10:BM24 BO10:BO24 AR12 AR15 AR18:AR19 AT19 AV19 AX19 AZ19 BB19 BQ19">
    <cfRule type="expression" dxfId="24" priority="1056">
      <formula>AP7="C4"</formula>
    </cfRule>
  </conditionalFormatting>
  <conditionalFormatting sqref="AP7:AP24 BE7:BE24 AT8 BG10:BG24 BI10:BI24 BK10:BK24 BM10:BM24 BO10:BO24 AR12 AR15 AR18:AR19 AT19 AV19 AX19 AZ19 BB19 BQ19">
    <cfRule type="expression" dxfId="25" priority="1057">
      <formula>AP7="C3"</formula>
    </cfRule>
  </conditionalFormatting>
  <conditionalFormatting sqref="AP7:AP24 BE7:BE24 AT8 BG10:BG24 BI10:BI24 BK10:BK24 BM10:BM24 BO10:BO24 AR12 AR15 AR18:AR19 AT19 AV19 AX19 AZ19 BB19 BQ19">
    <cfRule type="expression" dxfId="20" priority="1058">
      <formula>AP7="C2"</formula>
    </cfRule>
  </conditionalFormatting>
  <conditionalFormatting sqref="AP7:AP24 BE7:BE24 AT8 BG10:BG24 BI10:BI24 BK10:BK24 BM10:BM24 BO10:BO24 AR12 AR15 AR18:AR19 AT19 AV19 AX19 AZ19 BB19 BQ19">
    <cfRule type="expression" dxfId="26" priority="1059">
      <formula>AP7="C1"</formula>
    </cfRule>
  </conditionalFormatting>
  <conditionalFormatting sqref="AP7:AP24 BE7:BE24 AT8 BG10:BG24 BI10:BI24 BK10:BK24 BM10:BM24 BO10:BO24 AR12 AR15 AR18:AR19 AT19 AV19 AX19 AZ19 BB19 BQ19">
    <cfRule type="expression" dxfId="16" priority="1060">
      <formula>AP7="S4"</formula>
    </cfRule>
  </conditionalFormatting>
  <conditionalFormatting sqref="AP7:AP24 BE7:BE24 AT8 BG10:BG24 BI10:BI24 BK10:BK24 BM10:BM24 BO10:BO24 AR12 AR15 AR18:AR19 AT19 AV19 AX19 AZ19 BB19 BQ19">
    <cfRule type="expression" dxfId="17" priority="1061">
      <formula>AP7="S3"</formula>
    </cfRule>
  </conditionalFormatting>
  <conditionalFormatting sqref="AP7:AP24 BE7:BE24 AT8 BG10:BG24 BI10:BI24 BK10:BK24 BM10:BM24 BO10:BO24 AR12 AR15 AR18:AR19 AT19 AV19 AX19 AZ19 BB19 BQ19">
    <cfRule type="expression" dxfId="18" priority="1062">
      <formula>AP7="S2"</formula>
    </cfRule>
  </conditionalFormatting>
  <conditionalFormatting sqref="AP7:AP24 BE7:BE24 AT8 BG10:BG24 BI10:BI24 BK10:BK24 BM10:BM24 BO10:BO24 AR12 AR15 AR18:AR19 AT19 AV19 AX19 AZ19 BB19 BQ19">
    <cfRule type="expression" dxfId="19" priority="1063">
      <formula>AP7="S1"</formula>
    </cfRule>
  </conditionalFormatting>
  <conditionalFormatting sqref="AP26:AP40 AR26:AR38 AT26:AT40 AV26:AV40 AX26:AX40 AZ26:AZ40 BB26:BB40 BE26:BE40 BG26:BG39 BI26:BI39 BK26:BK39 BM26:BM39 BO26:BO39 BQ26:BQ27 BQ29 BQ31:BQ39 AR40">
    <cfRule type="expression" dxfId="20" priority="1064">
      <formula>AP26="C6"</formula>
    </cfRule>
  </conditionalFormatting>
  <conditionalFormatting sqref="AP26:AP40 AR26:AR38 AT26:AT40 AV26:AV40 AX26:AX40 AZ26:AZ40 BB26:BB40 BE26:BE40 BG26:BG39 BI26:BI39 BK26:BK39 BM26:BM39 BO26:BO39 BQ26:BQ27 BQ29 BQ31:BQ39 AR40">
    <cfRule type="expression" dxfId="21" priority="1065">
      <formula>AP26="TC6"</formula>
    </cfRule>
  </conditionalFormatting>
  <conditionalFormatting sqref="AP26:AP40 AR26:AR38 AT26:AT40 AV26:AV40 AX26:AX40 AZ26:AZ40 BB26:BB40 BE26:BE40 BG26:BG39 BI26:BI39 BK26:BK39 BM26:BM39 BO26:BO39 BQ26:BQ27 BQ29 BQ31:BQ39 AR40">
    <cfRule type="expression" dxfId="21" priority="1066">
      <formula>AP26="TC5"</formula>
    </cfRule>
  </conditionalFormatting>
  <conditionalFormatting sqref="AP26:AP40 AR26:AR38 AT26:AT40 AV26:AV40 AX26:AX40 AZ26:AZ40 BB26:BB40 BE26:BE40 BG26:BG39 BI26:BI39 BK26:BK39 BM26:BM39 BO26:BO39 BQ26:BQ27 BQ29 BQ31:BQ39 AR40">
    <cfRule type="expression" dxfId="21" priority="1067">
      <formula>AP26="TC4"</formula>
    </cfRule>
  </conditionalFormatting>
  <conditionalFormatting sqref="AP26:AP40 AR26:AR38 AT26:AT40 AV26:AV40 AX26:AX40 AZ26:AZ40 BB26:BB40 BE26:BE40 BG26:BG39 BI26:BI39 BK26:BK39 BM26:BM39 BO26:BO39 BQ26:BQ27 BQ29 BQ31:BQ39 AR40">
    <cfRule type="expression" dxfId="21" priority="1068">
      <formula>AP26="TC3"</formula>
    </cfRule>
  </conditionalFormatting>
  <conditionalFormatting sqref="AP26:AP40 AR26:AR38 AT26:AT40 AV26:AV40 AX26:AX40 AZ26:AZ40 BB26:BB40 BE26:BE40 BG26:BG39 BI26:BI39 BK26:BK39 BM26:BM39 BO26:BO39 BQ26:BQ27 BQ29 BQ31:BQ39 AR40">
    <cfRule type="expression" dxfId="21" priority="1069">
      <formula>AP26="TC2"</formula>
    </cfRule>
  </conditionalFormatting>
  <conditionalFormatting sqref="AP26:AP40 AR26:AR38 AT26:AT40 AV26:AV40 AX26:AX40 AZ26:AZ40 BB26:BB40 BE26:BE40 BG26:BG39 BI26:BI39 BK26:BK39 BM26:BM39 BO26:BO39 BQ26:BQ27 BQ29 BQ31:BQ39 AR40">
    <cfRule type="expression" dxfId="21" priority="1070">
      <formula>AP26="TC1"</formula>
    </cfRule>
  </conditionalFormatting>
  <conditionalFormatting sqref="AP26:AP40 AR26:AR38 AT26:AT40 AV26:AV40 AX26:AX40 AZ26:AZ40 BB26:BB40 BE26:BE40 BG26:BG39 BI26:BI39 BK26:BK39 BM26:BM39 BO26:BO39 BQ26:BQ27 BQ29 BQ31:BQ39 AR40">
    <cfRule type="expression" dxfId="8" priority="1071">
      <formula>AP26="Full"</formula>
    </cfRule>
  </conditionalFormatting>
  <conditionalFormatting sqref="AP26:AP40 AR26:AR38 AT26:AT40 AV26:AV40 AX26:AX40 AZ26:AZ40 BB26:BB40 BE26:BE40 BG26:BG39 BI26:BI39 BK26:BK39 BM26:BM39 BO26:BO39 BQ26:BQ27 BQ29 BQ31:BQ39 AR40">
    <cfRule type="expression" dxfId="9" priority="1072">
      <formula>AP26="OFF"</formula>
    </cfRule>
  </conditionalFormatting>
  <conditionalFormatting sqref="AP26:AP40 AR26:AR38 AT26:AT40 AV26:AV40 AX26:AX40 AZ26:AZ40 BB26:BB40 BE26:BE40 BG26:BG39 BI26:BI39 BK26:BK39 BM26:BM39 BO26:BO39 BQ26:BQ27 BQ29 BQ31:BQ39 AR40">
    <cfRule type="expression" dxfId="10" priority="1073">
      <formula>AP26="Gãy 2"</formula>
    </cfRule>
  </conditionalFormatting>
  <conditionalFormatting sqref="AP26:AP40 AR26:AR38 AT26:AT40 AV26:AV40 AX26:AX40 AZ26:AZ40 BB26:BB40 BE26:BE40 BG26:BG39 BI26:BI39 BK26:BK39 BM26:BM39 BO26:BO39 BQ26:BQ27 BQ29 BQ31:BQ39 AR40">
    <cfRule type="expression" dxfId="10" priority="1074">
      <formula>AP26="Gãy 1"</formula>
    </cfRule>
  </conditionalFormatting>
  <conditionalFormatting sqref="AP26:AP40 AR26:AR38 AT26:AT40 AV26:AV40 AX26:AX40 AZ26:AZ40 BB26:BB40 BE26:BE40 BG26:BG39 BI26:BI39 BK26:BK39 BM26:BM39 BO26:BO39 BQ26:BQ27 BQ29 BQ31:BQ39 AR40">
    <cfRule type="expression" dxfId="22" priority="1075">
      <formula>AP26="HC4"</formula>
    </cfRule>
  </conditionalFormatting>
  <conditionalFormatting sqref="AP26:AP40 AR26:AR38 AT26:AT40 AV26:AV40 AX26:AX40 AZ26:AZ40 BB26:BB40 BE26:BE40 BG26:BG39 BI26:BI39 BK26:BK39 BM26:BM39 BO26:BO39 BQ26:BQ27 BQ29 BQ31:BQ39 AR40">
    <cfRule type="expression" dxfId="22" priority="1076">
      <formula>AP26="HC3"</formula>
    </cfRule>
  </conditionalFormatting>
  <conditionalFormatting sqref="AP26:AP40 AR26:AR38 AT26:AT40 AV26:AV40 AX26:AX40 AZ26:AZ40 BB26:BB40 BE26:BE40 BG26:BG39 BI26:BI39 BK26:BK39 BM26:BM39 BO26:BO39 BQ26:BQ27 BQ29 BQ31:BQ39 AR40">
    <cfRule type="expression" dxfId="22" priority="1077">
      <formula>AP26="HC2"</formula>
    </cfRule>
  </conditionalFormatting>
  <conditionalFormatting sqref="AP26:AP40 AR26:AR38 AT26:AT40 AV26:AV40 AX26:AX40 AZ26:AZ40 BB26:BB40 BE26:BE40 BG26:BG39 BI26:BI39 BK26:BK39 BM26:BM39 BO26:BO39 BQ26:BQ27 BQ29 BQ31:BQ39 AR40">
    <cfRule type="expression" dxfId="22" priority="1078">
      <formula>AP26="HC1"</formula>
    </cfRule>
  </conditionalFormatting>
  <conditionalFormatting sqref="AP26:AP40 AR26:AR38 AT26:AT40 AV26:AV40 AX26:AX40 AZ26:AZ40 BB26:BB40 BE26:BE40 BG26:BG39 BI26:BI39 BK26:BK39 BM26:BM39 BO26:BO39 BQ26:BQ27 BQ29 BQ31:BQ39 AR40">
    <cfRule type="expression" dxfId="23" priority="1079">
      <formula>AP26="C5"</formula>
    </cfRule>
  </conditionalFormatting>
  <conditionalFormatting sqref="AP26:AP40 AR26:AR38 AT26:AT40 AV26:AV40 AX26:AX40 AZ26:AZ40 BB26:BB40 BE26:BE40 BG26:BG39 BI26:BI39 BK26:BK39 BM26:BM39 BO26:BO39 BQ26:BQ27 BQ29 BQ31:BQ39 AR40">
    <cfRule type="expression" dxfId="24" priority="1080">
      <formula>AP26="C4"</formula>
    </cfRule>
  </conditionalFormatting>
  <conditionalFormatting sqref="AP26:AP40 AR26:AR38 AT26:AT40 AV26:AV40 AX26:AX40 AZ26:AZ40 BB26:BB40 BE26:BE40 BG26:BG39 BI26:BI39 BK26:BK39 BM26:BM39 BO26:BO39 BQ26:BQ27 BQ29 BQ31:BQ39 AR40">
    <cfRule type="expression" dxfId="25" priority="1081">
      <formula>AP26="C3"</formula>
    </cfRule>
  </conditionalFormatting>
  <conditionalFormatting sqref="AP26:AP40 AR26:AR38 AT26:AT40 AV26:AV40 AX26:AX40 AZ26:AZ40 BB26:BB40 BE26:BE40 BG26:BG39 BI26:BI39 BK26:BK39 BM26:BM39 BO26:BO39 BQ26:BQ27 BQ29 BQ31:BQ39 AR40">
    <cfRule type="expression" dxfId="20" priority="1082">
      <formula>AP26="C2"</formula>
    </cfRule>
  </conditionalFormatting>
  <conditionalFormatting sqref="AP26:AP40 AR26:AR38 AT26:AT40 AV26:AV40 AX26:AX40 AZ26:AZ40 BB26:BB40 BE26:BE40 BG26:BG39 BI26:BI39 BK26:BK39 BM26:BM39 BO26:BO39 BQ26:BQ27 BQ29 BQ31:BQ39 AR40">
    <cfRule type="expression" dxfId="26" priority="1083">
      <formula>AP26="C1"</formula>
    </cfRule>
  </conditionalFormatting>
  <conditionalFormatting sqref="AP26:AP40 AR26:AR38 AT26:AT40 AV26:AV40 AX26:AX40 AZ26:AZ40 BB26:BB40 BE26:BE40 BG26:BG39 BI26:BI39 BK26:BK39 BM26:BM39 BO26:BO39 BQ26:BQ27 BQ29 BQ31:BQ39 AR40">
    <cfRule type="expression" dxfId="16" priority="1084">
      <formula>AP26="S4"</formula>
    </cfRule>
  </conditionalFormatting>
  <conditionalFormatting sqref="AP26:AP40 AR26:AR38 AT26:AT40 AV26:AV40 AX26:AX40 AZ26:AZ40 BB26:BB40 BE26:BE40 BG26:BG39 BI26:BI39 BK26:BK39 BM26:BM39 BO26:BO39 BQ26:BQ27 BQ29 BQ31:BQ39 AR40">
    <cfRule type="expression" dxfId="17" priority="1085">
      <formula>AP26="S3"</formula>
    </cfRule>
  </conditionalFormatting>
  <conditionalFormatting sqref="AP26:AP40 AR26:AR38 AT26:AT40 AV26:AV40 AX26:AX40 AZ26:AZ40 BB26:BB40 BE26:BE40 BG26:BG39 BI26:BI39 BK26:BK39 BM26:BM39 BO26:BO39 BQ26:BQ27 BQ29 BQ31:BQ39 AR40">
    <cfRule type="expression" dxfId="18" priority="1086">
      <formula>AP26="S2"</formula>
    </cfRule>
  </conditionalFormatting>
  <conditionalFormatting sqref="AP26:AP40 AR26:AR38 AT26:AT40 AV26:AV40 AX26:AX40 AZ26:AZ40 BB26:BB40 BE26:BE40 BG26:BG39 BI26:BI39 BK26:BK39 BM26:BM39 BO26:BO39 BQ26:BQ27 BQ29 BQ31:BQ39 AR40">
    <cfRule type="expression" dxfId="19" priority="1087">
      <formula>AP26="S1"</formula>
    </cfRule>
  </conditionalFormatting>
  <conditionalFormatting sqref="AQ7:AQ24 BF7:BF24 AN8 BH9 BL9 BP9 BJ10 BN10 AW11 BH11 BL12:BL14 BP12:BP16 BH13 BJ13:BJ14 BR13 BC14 BH15 BL16 BN16 BJ18 BC27 AY32">
    <cfRule type="expression" dxfId="1" priority="1088">
      <formula>AQ7="BigNB"</formula>
    </cfRule>
  </conditionalFormatting>
  <conditionalFormatting sqref="AQ7:AQ24 BF7:BF24 AN8 BH9 BL9 BP9 BJ10 BN10 AW11 BH11 BL12:BL14 BP12:BP16 BH13 BJ13:BJ14 BR13 BC14 BH15 BL16 BN16 BJ18 BC27 AY32">
    <cfRule type="expression" dxfId="1" priority="1089">
      <formula>AQ7="GaNB"</formula>
    </cfRule>
  </conditionalFormatting>
  <conditionalFormatting sqref="AQ7:AQ24 BF7:BF24 AN8 BH9 BL9 BP9 BJ10 BN10 AW11 BH11 BL12:BL14 BP12:BP16 BH13 BJ13:BJ14 BR13 BC14 BH15 BL16 BN16 BJ18 BC27 AY32">
    <cfRule type="expression" dxfId="2" priority="1090">
      <formula>AQ7="BigNĐ"</formula>
    </cfRule>
  </conditionalFormatting>
  <conditionalFormatting sqref="AQ7:AQ24 BF7:BF24 AN8 BH9 BL9 BP9 BJ10 BN10 AW11 BH11 BL12:BL14 BP12:BP16 BH13 BJ13:BJ14 BR13 BC14 BH15 BL16 BN16 BJ18 BC27 AY32">
    <cfRule type="expression" dxfId="2" priority="1091">
      <formula>AQ7="GaNĐ"</formula>
    </cfRule>
  </conditionalFormatting>
  <conditionalFormatting sqref="BC8:BC24 BF8:BF24 BH8:BH9 BN8:BN24 BP8:BP24 AW9 AY9 BL9 BJ10 AQ11 BH11 BL12 BA13:BA14 BJ13:BJ14 AU16 BJ16 AY17 BJ18 AS22 AQ26:AQ39 BF26:BF39 BC27 AJ29:AJ30 AL29:AL30 AN29:AN30 BH29:BH30 BN29:BN30 BP29:BP30 AW30 BL30 AS32 AY32 BA32 BC32 BH32:BH39 BJ32:BJ39 BL33:BL39 AS34:AS39 BN34:BN39">
    <cfRule type="expression" dxfId="1" priority="1092">
      <formula>BC8="BigNB"</formula>
    </cfRule>
  </conditionalFormatting>
  <conditionalFormatting sqref="BC8:BC24 BF8:BF24 BH8:BH9 BN8:BN24 BP8:BP24 AW9 AY9 BL9 BJ10 AQ11 BH11 BL12 BA13:BA14 BJ13:BJ14 AU16 BJ16 AY17 BJ18 AS22 AQ26:AQ39 BF26:BF39 BC27 AJ29:AJ30 AL29:AL30 AN29:AN30 BH29:BH30 BN29:BN30 BP29:BP30 AW30 BL30 AS32 AY32 BA32 BC32 BH32:BH39 BJ32:BJ39 BL33:BL39 AS34:AS39 BN34:BN39">
    <cfRule type="expression" dxfId="1" priority="1093">
      <formula>BC8="GaNB"</formula>
    </cfRule>
  </conditionalFormatting>
  <conditionalFormatting sqref="BC8:BC24 BF8:BF24 BH8:BH9 BN8:BN24 BP8:BP24 AW9 AY9 BL9 BJ10 AQ11 BH11 BL12 BA13:BA14 BJ13:BJ14 AU16 BJ16 AY17 BJ18 AS22 AQ26:AQ39 BF26:BF39 BC27 AJ29:AJ30 AL29:AL30 AN29:AN30 BH29:BH30 BN29:BN30 BP29:BP30 AW30 BL30 AS32 AY32 BA32 BC32 BH32:BH39 BJ32:BJ39 BL33:BL39 AS34:AS39 BN34:BN39">
    <cfRule type="expression" dxfId="2" priority="1094">
      <formula>BC8="BigNĐ"</formula>
    </cfRule>
  </conditionalFormatting>
  <conditionalFormatting sqref="BC8:BC24 BF8:BF24 BH8:BH9 BN8:BN24 BP8:BP24 AW9 AY9 BL9 BJ10 AQ11 BH11 BL12 BA13:BA14 BJ13:BJ14 AU16 BJ16 AY17 BJ18 AS22 AQ26:AQ39 BF26:BF39 BC27 AJ29:AJ30 AL29:AL30 AN29:AN30 BH29:BH30 BN29:BN30 BP29:BP30 AW30 BL30 AS32 AY32 BA32 BC32 BH32:BH39 BJ32:BJ39 BL33:BL39 AS34:AS39 BN34:BN39">
    <cfRule type="expression" dxfId="2" priority="1095">
      <formula>BC8="GaNĐ"</formula>
    </cfRule>
  </conditionalFormatting>
  <conditionalFormatting sqref="AR7:AR24 BG7:BG24 BI7:BI24 BK7:BK24 BM7:BM24 BO7:BO24 AT8 BQ12 AT14:AT15 AP17:AP24 AT19 AV19 AX19 AZ19 BB19 BE19 BQ19">
    <cfRule type="expression" dxfId="20" priority="1096">
      <formula>AR7="C6"</formula>
    </cfRule>
  </conditionalFormatting>
  <conditionalFormatting sqref="AR7:AR24 BG7:BG24 BI7:BI24 BK7:BK24 BM7:BM24 BO7:BO24 AT8 BQ12 AT14:AT15 AP17:AP24 AT19 AV19 AX19 AZ19 BB19 BE19 BQ19">
    <cfRule type="expression" dxfId="21" priority="1097">
      <formula>AR7="TC6"</formula>
    </cfRule>
  </conditionalFormatting>
  <conditionalFormatting sqref="AR7:AR24 BG7:BG24 BI7:BI24 BK7:BK24 BM7:BM24 BO7:BO24 AT8 BQ12 AT14:AT15 AP17:AP24 AT19 AV19 AX19 AZ19 BB19 BE19 BQ19">
    <cfRule type="expression" dxfId="21" priority="1098">
      <formula>AR7="TC5"</formula>
    </cfRule>
  </conditionalFormatting>
  <conditionalFormatting sqref="AR7:AR24 BG7:BG24 BI7:BI24 BK7:BK24 BM7:BM24 BO7:BO24 AT8 BQ12 AT14:AT15 AP17:AP24 AT19 AV19 AX19 AZ19 BB19 BE19 BQ19">
    <cfRule type="expression" dxfId="21" priority="1099">
      <formula>AR7="TC4"</formula>
    </cfRule>
  </conditionalFormatting>
  <conditionalFormatting sqref="AR7:AR24 BG7:BG24 BI7:BI24 BK7:BK24 BM7:BM24 BO7:BO24 AT8 BQ12 AT14:AT15 AP17:AP24 AT19 AV19 AX19 AZ19 BB19 BE19 BQ19">
    <cfRule type="expression" dxfId="21" priority="1100">
      <formula>AR7="TC3"</formula>
    </cfRule>
  </conditionalFormatting>
  <conditionalFormatting sqref="AR7:AR24 BG7:BG24 BI7:BI24 BK7:BK24 BM7:BM24 BO7:BO24 AT8 BQ12 AT14:AT15 AP17:AP24 AT19 AV19 AX19 AZ19 BB19 BE19 BQ19">
    <cfRule type="expression" dxfId="21" priority="1101">
      <formula>AR7="TC2"</formula>
    </cfRule>
  </conditionalFormatting>
  <conditionalFormatting sqref="AR7:AR24 BG7:BG24 BI7:BI24 BK7:BK24 BM7:BM24 BO7:BO24 AT8 BQ12 AT14:AT15 AP17:AP24 AT19 AV19 AX19 AZ19 BB19 BE19 BQ19">
    <cfRule type="expression" dxfId="21" priority="1102">
      <formula>AR7="TC1"</formula>
    </cfRule>
  </conditionalFormatting>
  <conditionalFormatting sqref="AR7:AR24 BG7:BG24 BI7:BI24 BK7:BK24 BM7:BM24 BO7:BO24 AT8 BQ12 AT14:AT15 AP17:AP24 AT19 AV19 AX19 AZ19 BB19 BE19 BQ19">
    <cfRule type="expression" dxfId="8" priority="1103">
      <formula>AR7="Full"</formula>
    </cfRule>
  </conditionalFormatting>
  <conditionalFormatting sqref="AR7:AR24 BG7:BG24 BI7:BI24 BK7:BK24 BM7:BM24 BO7:BO24 AT8 BQ12 AT14:AT15 AP17:AP24 AT19 AV19 AX19 AZ19 BB19 BE19 BQ19">
    <cfRule type="expression" dxfId="9" priority="1104">
      <formula>AR7="OFF"</formula>
    </cfRule>
  </conditionalFormatting>
  <conditionalFormatting sqref="AR7:AR24 BG7:BG24 BI7:BI24 BK7:BK24 BM7:BM24 BO7:BO24 AT8 BQ12 AT14:AT15 AP17:AP24 AT19 AV19 AX19 AZ19 BB19 BE19 BQ19">
    <cfRule type="expression" dxfId="10" priority="1105">
      <formula>AR7="Gãy 2"</formula>
    </cfRule>
  </conditionalFormatting>
  <conditionalFormatting sqref="AR7:AR24 BG7:BG24 BI7:BI24 BK7:BK24 BM7:BM24 BO7:BO24 AT8 BQ12 AT14:AT15 AP17:AP24 AT19 AV19 AX19 AZ19 BB19 BE19 BQ19">
    <cfRule type="expression" dxfId="10" priority="1106">
      <formula>AR7="Gãy 1"</formula>
    </cfRule>
  </conditionalFormatting>
  <conditionalFormatting sqref="AR7:AR24 BG7:BG24 BI7:BI24 BK7:BK24 BM7:BM24 BO7:BO24 AT8 BQ12 AT14:AT15 AP17:AP24 AT19 AV19 AX19 AZ19 BB19 BE19 BQ19">
    <cfRule type="expression" dxfId="22" priority="1107">
      <formula>AR7="HC4"</formula>
    </cfRule>
  </conditionalFormatting>
  <conditionalFormatting sqref="AR7:AR24 BG7:BG24 BI7:BI24 BK7:BK24 BM7:BM24 BO7:BO24 AT8 BQ12 AT14:AT15 AP17:AP24 AT19 AV19 AX19 AZ19 BB19 BE19 BQ19">
    <cfRule type="expression" dxfId="22" priority="1108">
      <formula>AR7="HC3"</formula>
    </cfRule>
  </conditionalFormatting>
  <conditionalFormatting sqref="AR7:AR24 BG7:BG24 BI7:BI24 BK7:BK24 BM7:BM24 BO7:BO24 AT8 BQ12 AT14:AT15 AP17:AP24 AT19 AV19 AX19 AZ19 BB19 BE19 BQ19">
    <cfRule type="expression" dxfId="22" priority="1109">
      <formula>AR7="HC2"</formula>
    </cfRule>
  </conditionalFormatting>
  <conditionalFormatting sqref="AR7:AR24 BG7:BG24 BI7:BI24 BK7:BK24 BM7:BM24 BO7:BO24 AT8 BQ12 AT14:AT15 AP17:AP24 AT19 AV19 AX19 AZ19 BB19 BE19 BQ19">
    <cfRule type="expression" dxfId="22" priority="1110">
      <formula>AR7="HC1"</formula>
    </cfRule>
  </conditionalFormatting>
  <conditionalFormatting sqref="AR7:AR24 BG7:BG24 BI7:BI24 BK7:BK24 BM7:BM24 BO7:BO24 AT8 BQ12 AT14:AT15 AP17:AP24 AT19 AV19 AX19 AZ19 BB19 BE19 BQ19">
    <cfRule type="expression" dxfId="23" priority="1111">
      <formula>AR7="C5"</formula>
    </cfRule>
  </conditionalFormatting>
  <conditionalFormatting sqref="AR7:AR24 BG7:BG24 BI7:BI24 BK7:BK24 BM7:BM24 BO7:BO24 AT8 BQ12 AT14:AT15 AP17:AP24 AT19 AV19 AX19 AZ19 BB19 BE19 BQ19">
    <cfRule type="expression" dxfId="24" priority="1112">
      <formula>AR7="C4"</formula>
    </cfRule>
  </conditionalFormatting>
  <conditionalFormatting sqref="AR7:AR24 BG7:BG24 BI7:BI24 BK7:BK24 BM7:BM24 BO7:BO24 AT8 BQ12 AT14:AT15 AP17:AP24 AT19 AV19 AX19 AZ19 BB19 BE19 BQ19">
    <cfRule type="expression" dxfId="25" priority="1113">
      <formula>AR7="C3"</formula>
    </cfRule>
  </conditionalFormatting>
  <conditionalFormatting sqref="AR7:AR24 BG7:BG24 BI7:BI24 BK7:BK24 BM7:BM24 BO7:BO24 AT8 BQ12 AT14:AT15 AP17:AP24 AT19 AV19 AX19 AZ19 BB19 BE19 BQ19">
    <cfRule type="expression" dxfId="20" priority="1114">
      <formula>AR7="C2"</formula>
    </cfRule>
  </conditionalFormatting>
  <conditionalFormatting sqref="AR7:AR24 BG7:BG24 BI7:BI24 BK7:BK24 BM7:BM24 BO7:BO24 AT8 BQ12 AT14:AT15 AP17:AP24 AT19 AV19 AX19 AZ19 BB19 BE19 BQ19">
    <cfRule type="expression" dxfId="26" priority="1115">
      <formula>AR7="C1"</formula>
    </cfRule>
  </conditionalFormatting>
  <conditionalFormatting sqref="AR7:AR24 BG7:BG24 BI7:BI24 BK7:BK24 BM7:BM24 BO7:BO24 AT8 BQ12 AT14:AT15 AP17:AP24 AT19 AV19 AX19 AZ19 BB19 BE19 BQ19">
    <cfRule type="expression" dxfId="16" priority="1116">
      <formula>AR7="S4"</formula>
    </cfRule>
  </conditionalFormatting>
  <conditionalFormatting sqref="AR7:AR24 BG7:BG24 BI7:BI24 BK7:BK24 BM7:BM24 BO7:BO24 AT8 BQ12 AT14:AT15 AP17:AP24 AT19 AV19 AX19 AZ19 BB19 BE19 BQ19">
    <cfRule type="expression" dxfId="17" priority="1117">
      <formula>AR7="S3"</formula>
    </cfRule>
  </conditionalFormatting>
  <conditionalFormatting sqref="AR7:AR24 BG7:BG24 BI7:BI24 BK7:BK24 BM7:BM24 BO7:BO24 AT8 BQ12 AT14:AT15 AP17:AP24 AT19 AV19 AX19 AZ19 BB19 BE19 BQ19">
    <cfRule type="expression" dxfId="18" priority="1118">
      <formula>AR7="S2"</formula>
    </cfRule>
  </conditionalFormatting>
  <conditionalFormatting sqref="AR7:AR24 BG7:BG24 BI7:BI24 BK7:BK24 BM7:BM24 BO7:BO24 AT8 BQ12 AT14:AT15 AP17:AP24 AT19 AV19 AX19 AZ19 BB19 BE19 BQ19">
    <cfRule type="expression" dxfId="19" priority="1119">
      <formula>AR7="S1"</formula>
    </cfRule>
  </conditionalFormatting>
  <conditionalFormatting sqref="AR7 AR13 AT14:AT15 AR16 AR26:AR40 AT26:AT39 AV26:AV39 AX26:AX39 AZ26:AZ39 BB26:BB39 BE26:BE40 BG26:BG40 BI26:BI39 BK26:BK39 BM26:BM39 BO26:BO39 BQ26:BQ39">
    <cfRule type="expression" dxfId="20" priority="1120">
      <formula>AR7="C6"</formula>
    </cfRule>
  </conditionalFormatting>
  <conditionalFormatting sqref="AR7 AR13 AT14:AT15 AR16 AR26:AR40 AT26:AT39 AV26:AV39 AX26:AX39 AZ26:AZ39 BB26:BB39 BE26:BE40 BG26:BG40 BI26:BI39 BK26:BK39 BM26:BM39 BO26:BO39 BQ26:BQ39">
    <cfRule type="expression" dxfId="21" priority="1121">
      <formula>AR7="TC6"</formula>
    </cfRule>
  </conditionalFormatting>
  <conditionalFormatting sqref="AR7 AR13 AT14:AT15 AR16 AR26:AR40 AT26:AT39 AV26:AV39 AX26:AX39 AZ26:AZ39 BB26:BB39 BE26:BE40 BG26:BG40 BI26:BI39 BK26:BK39 BM26:BM39 BO26:BO39 BQ26:BQ39">
    <cfRule type="expression" dxfId="21" priority="1122">
      <formula>AR7="TC5"</formula>
    </cfRule>
  </conditionalFormatting>
  <conditionalFormatting sqref="AR7 AR13 AT14:AT15 AR16 AR26:AR40 AT26:AT39 AV26:AV39 AX26:AX39 AZ26:AZ39 BB26:BB39 BE26:BE40 BG26:BG40 BI26:BI39 BK26:BK39 BM26:BM39 BO26:BO39 BQ26:BQ39">
    <cfRule type="expression" dxfId="21" priority="1123">
      <formula>AR7="TC4"</formula>
    </cfRule>
  </conditionalFormatting>
  <conditionalFormatting sqref="AR7 AR13 AT14:AT15 AR16 AR26:AR40 AT26:AT39 AV26:AV39 AX26:AX39 AZ26:AZ39 BB26:BB39 BE26:BE40 BG26:BG40 BI26:BI39 BK26:BK39 BM26:BM39 BO26:BO39 BQ26:BQ39">
    <cfRule type="expression" dxfId="21" priority="1124">
      <formula>AR7="TC3"</formula>
    </cfRule>
  </conditionalFormatting>
  <conditionalFormatting sqref="AR7 AR13 AT14:AT15 AR16 AR26:AR40 AT26:AT39 AV26:AV39 AX26:AX39 AZ26:AZ39 BB26:BB39 BE26:BE40 BG26:BG40 BI26:BI39 BK26:BK39 BM26:BM39 BO26:BO39 BQ26:BQ39">
    <cfRule type="expression" dxfId="21" priority="1125">
      <formula>AR7="TC2"</formula>
    </cfRule>
  </conditionalFormatting>
  <conditionalFormatting sqref="AR7 AR13 AT14:AT15 AR16 AR26:AR40 AT26:AT39 AV26:AV39 AX26:AX39 AZ26:AZ39 BB26:BB39 BE26:BE40 BG26:BG40 BI26:BI39 BK26:BK39 BM26:BM39 BO26:BO39 BQ26:BQ39">
    <cfRule type="expression" dxfId="21" priority="1126">
      <formula>AR7="TC1"</formula>
    </cfRule>
  </conditionalFormatting>
  <conditionalFormatting sqref="AR7 AR13 AT14:AT15 AR16 AR26:AR40 AT26:AT39 AV26:AV39 AX26:AX39 AZ26:AZ39 BB26:BB39 BE26:BE40 BG26:BG40 BI26:BI39 BK26:BK39 BM26:BM39 BO26:BO39 BQ26:BQ39">
    <cfRule type="expression" dxfId="8" priority="1127">
      <formula>AR7="Full"</formula>
    </cfRule>
  </conditionalFormatting>
  <conditionalFormatting sqref="AR7 AR13 AT14:AT15 AR16 AR26:AR40 AT26:AT39 AV26:AV39 AX26:AX39 AZ26:AZ39 BB26:BB39 BE26:BE40 BG26:BG40 BI26:BI39 BK26:BK39 BM26:BM39 BO26:BO39 BQ26:BQ39">
    <cfRule type="expression" dxfId="9" priority="1128">
      <formula>AR7="OFF"</formula>
    </cfRule>
  </conditionalFormatting>
  <conditionalFormatting sqref="AR7 AR13 AT14:AT15 AR16 AR26:AR40 AT26:AT39 AV26:AV39 AX26:AX39 AZ26:AZ39 BB26:BB39 BE26:BE40 BG26:BG40 BI26:BI39 BK26:BK39 BM26:BM39 BO26:BO39 BQ26:BQ39">
    <cfRule type="expression" dxfId="10" priority="1129">
      <formula>AR7="Gãy 2"</formula>
    </cfRule>
  </conditionalFormatting>
  <conditionalFormatting sqref="AR7 AR13 AT14:AT15 AR16 AR26:AR40 AT26:AT39 AV26:AV39 AX26:AX39 AZ26:AZ39 BB26:BB39 BE26:BE40 BG26:BG40 BI26:BI39 BK26:BK39 BM26:BM39 BO26:BO39 BQ26:BQ39">
    <cfRule type="expression" dxfId="10" priority="1130">
      <formula>AR7="Gãy 1"</formula>
    </cfRule>
  </conditionalFormatting>
  <conditionalFormatting sqref="AR7 AR13 AT14:AT15 AR16 AR26:AR40 AT26:AT39 AV26:AV39 AX26:AX39 AZ26:AZ39 BB26:BB39 BE26:BE40 BG26:BG40 BI26:BI39 BK26:BK39 BM26:BM39 BO26:BO39 BQ26:BQ39">
    <cfRule type="expression" dxfId="22" priority="1131">
      <formula>AR7="HC4"</formula>
    </cfRule>
  </conditionalFormatting>
  <conditionalFormatting sqref="AR7 AR13 AT14:AT15 AR16 AR26:AR40 AT26:AT39 AV26:AV39 AX26:AX39 AZ26:AZ39 BB26:BB39 BE26:BE40 BG26:BG40 BI26:BI39 BK26:BK39 BM26:BM39 BO26:BO39 BQ26:BQ39">
    <cfRule type="expression" dxfId="22" priority="1132">
      <formula>AR7="HC3"</formula>
    </cfRule>
  </conditionalFormatting>
  <conditionalFormatting sqref="AR7 AR13 AT14:AT15 AR16 AR26:AR40 AT26:AT39 AV26:AV39 AX26:AX39 AZ26:AZ39 BB26:BB39 BE26:BE40 BG26:BG40 BI26:BI39 BK26:BK39 BM26:BM39 BO26:BO39 BQ26:BQ39">
    <cfRule type="expression" dxfId="22" priority="1133">
      <formula>AR7="HC2"</formula>
    </cfRule>
  </conditionalFormatting>
  <conditionalFormatting sqref="AR7 AR13 AT14:AT15 AR16 AR26:AR40 AT26:AT39 AV26:AV39 AX26:AX39 AZ26:AZ39 BB26:BB39 BE26:BE40 BG26:BG40 BI26:BI39 BK26:BK39 BM26:BM39 BO26:BO39 BQ26:BQ39">
    <cfRule type="expression" dxfId="22" priority="1134">
      <formula>AR7="HC1"</formula>
    </cfRule>
  </conditionalFormatting>
  <conditionalFormatting sqref="AR7 AR13 AT14:AT15 AR16 AR26:AR40 AT26:AT39 AV26:AV39 AX26:AX39 AZ26:AZ39 BB26:BB39 BE26:BE40 BG26:BG40 BI26:BI39 BK26:BK39 BM26:BM39 BO26:BO39 BQ26:BQ39">
    <cfRule type="expression" dxfId="23" priority="1135">
      <formula>AR7="C5"</formula>
    </cfRule>
  </conditionalFormatting>
  <conditionalFormatting sqref="AR7 AR13 AT14:AT15 AR16 AR26:AR40 AT26:AT39 AV26:AV39 AX26:AX39 AZ26:AZ39 BB26:BB39 BE26:BE40 BG26:BG40 BI26:BI39 BK26:BK39 BM26:BM39 BO26:BO39 BQ26:BQ39">
    <cfRule type="expression" dxfId="24" priority="1136">
      <formula>AR7="C4"</formula>
    </cfRule>
  </conditionalFormatting>
  <conditionalFormatting sqref="AR7 AR13 AT14:AT15 AR16 AR26:AR40 AT26:AT39 AV26:AV39 AX26:AX39 AZ26:AZ39 BB26:BB39 BE26:BE40 BG26:BG40 BI26:BI39 BK26:BK39 BM26:BM39 BO26:BO39 BQ26:BQ39">
    <cfRule type="expression" dxfId="25" priority="1137">
      <formula>AR7="C3"</formula>
    </cfRule>
  </conditionalFormatting>
  <conditionalFormatting sqref="AR7 AR13 AT14:AT15 AR16 AR26:AR40 AT26:AT39 AV26:AV39 AX26:AX39 AZ26:AZ39 BB26:BB39 BE26:BE40 BG26:BG40 BI26:BI39 BK26:BK39 BM26:BM39 BO26:BO39 BQ26:BQ39">
    <cfRule type="expression" dxfId="20" priority="1138">
      <formula>AR7="C2"</formula>
    </cfRule>
  </conditionalFormatting>
  <conditionalFormatting sqref="AR7 AR13 AT14:AT15 AR16 AR26:AR40 AT26:AT39 AV26:AV39 AX26:AX39 AZ26:AZ39 BB26:BB39 BE26:BE40 BG26:BG40 BI26:BI39 BK26:BK39 BM26:BM39 BO26:BO39 BQ26:BQ39">
    <cfRule type="expression" dxfId="26" priority="1139">
      <formula>AR7="C1"</formula>
    </cfRule>
  </conditionalFormatting>
  <conditionalFormatting sqref="AR7 AR13 AT14:AT15 AR16 AR26:AR40 AT26:AT39 AV26:AV39 AX26:AX39 AZ26:AZ39 BB26:BB39 BE26:BE40 BG26:BG40 BI26:BI39 BK26:BK39 BM26:BM39 BO26:BO39 BQ26:BQ39">
    <cfRule type="expression" dxfId="16" priority="1140">
      <formula>AR7="S4"</formula>
    </cfRule>
  </conditionalFormatting>
  <conditionalFormatting sqref="AR7 AR13 AT14:AT15 AR16 AR26:AR40 AT26:AT39 AV26:AV39 AX26:AX39 AZ26:AZ39 BB26:BB39 BE26:BE40 BG26:BG40 BI26:BI39 BK26:BK39 BM26:BM39 BO26:BO39 BQ26:BQ39">
    <cfRule type="expression" dxfId="17" priority="1141">
      <formula>AR7="S3"</formula>
    </cfRule>
  </conditionalFormatting>
  <conditionalFormatting sqref="AR7 AR13 AT14:AT15 AR16 AR26:AR40 AT26:AT39 AV26:AV39 AX26:AX39 AZ26:AZ39 BB26:BB39 BE26:BE40 BG26:BG40 BI26:BI39 BK26:BK39 BM26:BM39 BO26:BO39 BQ26:BQ39">
    <cfRule type="expression" dxfId="18" priority="1142">
      <formula>AR7="S2"</formula>
    </cfRule>
  </conditionalFormatting>
  <conditionalFormatting sqref="AR7 AR13 AT14:AT15 AR16 AR26:AR40 AT26:AT39 AV26:AV39 AX26:AX39 AZ26:AZ39 BB26:BB39 BE26:BE40 BG26:BG40 BI26:BI39 BK26:BK39 BM26:BM39 BO26:BO39 BQ26:BQ39">
    <cfRule type="expression" dxfId="19" priority="1143">
      <formula>AR7="S1"</formula>
    </cfRule>
  </conditionalFormatting>
  <conditionalFormatting sqref="AS7:AS24 BH7:BH24 AU8 AW8 BC8 BF8 BJ8 BL8:BL9 BP8:BP9 BN9 AQ10 BJ10:BJ11 AU11:AU13 AW11 AY11 BA11 BC11 BL11:BL14 BN11 BP11:BP15 BJ13:BJ14 BR13 BC14 AU15 AW16 BJ16 BN16 BJ18:BJ21 AU19:AU21">
    <cfRule type="expression" dxfId="1" priority="1144">
      <formula>AS7="BigNB"</formula>
    </cfRule>
  </conditionalFormatting>
  <conditionalFormatting sqref="AS7:AS24 BH7:BH24 AU8 AW8 BC8 BF8 BJ8 BL8:BL9 BP8:BP9 BN9 AQ10 BJ10:BJ11 AU11:AU13 AW11 AY11 BA11 BC11 BL11:BL14 BN11 BP11:BP15 BJ13:BJ14 BR13 BC14 AU15 AW16 BJ16 BN16 BJ18:BJ21 AU19:AU21">
    <cfRule type="expression" dxfId="1" priority="1145">
      <formula>AS7="GaNB"</formula>
    </cfRule>
  </conditionalFormatting>
  <conditionalFormatting sqref="AS7:AS24 BH7:BH24 AU8 AW8 BC8 BF8 BJ8 BL8:BL9 BP8:BP9 BN9 AQ10 BJ10:BJ11 AU11:AU13 AW11 AY11 BA11 BC11 BL11:BL14 BN11 BP11:BP15 BJ13:BJ14 BR13 BC14 AU15 AW16 BJ16 BN16 BJ18:BJ21 AU19:AU21">
    <cfRule type="expression" dxfId="2" priority="1146">
      <formula>AS7="BigNĐ"</formula>
    </cfRule>
  </conditionalFormatting>
  <conditionalFormatting sqref="AS7:AS24 BH7:BH24 AU8 AW8 BC8 BF8 BJ8 BL8:BL9 BP8:BP9 BN9 AQ10 BJ10:BJ11 AU11:AU13 AW11 AY11 BA11 BC11 BL11:BL14 BN11 BP11:BP15 BJ13:BJ14 BR13 BC14 AU15 AW16 BJ16 BN16 BJ18:BJ21 AU19:AU21">
    <cfRule type="expression" dxfId="2" priority="1147">
      <formula>AS7="GaNĐ"</formula>
    </cfRule>
  </conditionalFormatting>
  <conditionalFormatting sqref="BC8:BC24 BF8:BF24 BH8:BH9 BL9 BN9:BN10 BP9 BJ10:BJ11 AF11 AH11 AL11 AU11 AW11 BA11 BH11 BL11:BL12 BP11:BP13 BA13 BJ13:BJ14 BP15 AJ16 AY16 BJ16 BN16 AY18 BJ18 BL20:BL21 BP20:BP21 AS26:AS39 BH26:BH39 S27 W27 AH27 AY27 BC27 BJ27 AB28 H29 Y29 AF29:AF30 AU29 AW29 AY29 M30 U30 AD31 AH31 W32:W33 Y32 AU32:AU33 AW32:AW33 AY32:AY33 BA32 BC32 BF32 BJ32 Q33:Q39 U33:U39 H34:H39 J34:J39 M34:M39 O34:O39 S34:S39">
    <cfRule type="expression" dxfId="1" priority="1148">
      <formula>BC8="BigNB"</formula>
    </cfRule>
  </conditionalFormatting>
  <conditionalFormatting sqref="BC8:BC24 BF8:BF24 BH8:BH9 BL9 BN9:BN10 BP9 BJ10:BJ11 AF11 AH11 AL11 AU11 AW11 BA11 BH11 BL11:BL12 BP11:BP13 BA13 BJ13:BJ14 BP15 AJ16 AY16 BJ16 BN16 AY18 BJ18 BL20:BL21 BP20:BP21 AS26:AS39 BH26:BH39 S27 W27 AH27 AY27 BC27 BJ27 AB28 H29 Y29 AF29:AF30 AU29 AW29 AY29 M30 U30 AD31 AH31 W32:W33 Y32 AU32:AU33 AW32:AW33 AY32:AY33 BA32 BC32 BF32 BJ32 Q33:Q39 U33:U39 H34:H39 J34:J39 M34:M39 O34:O39 S34:S39">
    <cfRule type="expression" dxfId="1" priority="1149">
      <formula>BC8="GaNB"</formula>
    </cfRule>
  </conditionalFormatting>
  <conditionalFormatting sqref="BC8:BC24 BF8:BF24 BH8:BH9 BL9 BN9:BN10 BP9 BJ10:BJ11 AF11 AH11 AL11 AU11 AW11 BA11 BH11 BL11:BL12 BP11:BP13 BA13 BJ13:BJ14 BP15 AJ16 AY16 BJ16 BN16 AY18 BJ18 BL20:BL21 BP20:BP21 AS26:AS39 BH26:BH39 S27 W27 AH27 AY27 BC27 BJ27 AB28 H29 Y29 AF29:AF30 AU29 AW29 AY29 M30 U30 AD31 AH31 W32:W33 Y32 AU32:AU33 AW32:AW33 AY32:AY33 BA32 BC32 BF32 BJ32 Q33:Q39 U33:U39 H34:H39 J34:J39 M34:M39 O34:O39 S34:S39">
    <cfRule type="expression" dxfId="2" priority="1150">
      <formula>BC8="BigNĐ"</formula>
    </cfRule>
  </conditionalFormatting>
  <conditionalFormatting sqref="BC8:BC24 BF8:BF24 BH8:BH9 BL9 BN9:BN10 BP9 BJ10:BJ11 AF11 AH11 AL11 AU11 AW11 BA11 BH11 BL11:BL12 BP11:BP13 BA13 BJ13:BJ14 BP15 AJ16 AY16 BJ16 BN16 AY18 BJ18 BL20:BL21 BP20:BP21 AS26:AS39 BH26:BH39 S27 W27 AH27 AY27 BC27 BJ27 AB28 H29 Y29 AF29:AF30 AU29 AW29 AY29 M30 U30 AD31 AH31 W32:W33 Y32 AU32:AU33 AW32:AW33 AY32:AY33 BA32 BC32 BF32 BJ32 Q33:Q39 U33:U39 H34:H39 J34:J39 M34:M39 O34:O39 S34:S39">
    <cfRule type="expression" dxfId="2" priority="1151">
      <formula>BC8="GaNĐ"</formula>
    </cfRule>
  </conditionalFormatting>
  <conditionalFormatting sqref="AT7:AT24 BI7:BI24 BM7:BM24 AV8:AV24 BK8:BK24 BO8:BO24 BQ8:BQ24 AP14 AX16 AZ16 BB16 BE16 BG16 AR18">
    <cfRule type="expression" dxfId="20" priority="1152">
      <formula>AT7="C6"</formula>
    </cfRule>
  </conditionalFormatting>
  <conditionalFormatting sqref="AT7:AT24 BI7:BI24 BM7:BM24 AV8:AV24 BK8:BK24 BO8:BO24 BQ8:BQ24 AP14 AX16 AZ16 BB16 BE16 BG16 AR18">
    <cfRule type="expression" dxfId="21" priority="1153">
      <formula>AT7="TC6"</formula>
    </cfRule>
  </conditionalFormatting>
  <conditionalFormatting sqref="AT7:AT24 BI7:BI24 BM7:BM24 AV8:AV24 BK8:BK24 BO8:BO24 BQ8:BQ24 AP14 AX16 AZ16 BB16 BE16 BG16 AR18">
    <cfRule type="expression" dxfId="21" priority="1154">
      <formula>AT7="TC5"</formula>
    </cfRule>
  </conditionalFormatting>
  <conditionalFormatting sqref="AT7:AT24 BI7:BI24 BM7:BM24 AV8:AV24 BK8:BK24 BO8:BO24 BQ8:BQ24 AP14 AX16 AZ16 BB16 BE16 BG16 AR18">
    <cfRule type="expression" dxfId="21" priority="1155">
      <formula>AT7="TC4"</formula>
    </cfRule>
  </conditionalFormatting>
  <conditionalFormatting sqref="AT7:AT24 BI7:BI24 BM7:BM24 AV8:AV24 BK8:BK24 BO8:BO24 BQ8:BQ24 AP14 AX16 AZ16 BB16 BE16 BG16 AR18">
    <cfRule type="expression" dxfId="21" priority="1156">
      <formula>AT7="TC3"</formula>
    </cfRule>
  </conditionalFormatting>
  <conditionalFormatting sqref="AT7:AT24 BI7:BI24 BM7:BM24 AV8:AV24 BK8:BK24 BO8:BO24 BQ8:BQ24 AP14 AX16 AZ16 BB16 BE16 BG16 AR18">
    <cfRule type="expression" dxfId="21" priority="1157">
      <formula>AT7="TC2"</formula>
    </cfRule>
  </conditionalFormatting>
  <conditionalFormatting sqref="AT7:AT24 BI7:BI24 BM7:BM24 AV8:AV24 BK8:BK24 BO8:BO24 BQ8:BQ24 AP14 AX16 AZ16 BB16 BE16 BG16 AR18">
    <cfRule type="expression" dxfId="21" priority="1158">
      <formula>AT7="TC1"</formula>
    </cfRule>
  </conditionalFormatting>
  <conditionalFormatting sqref="AT7:AT24 BI7:BI24 BM7:BM24 AV8:AV24 BK8:BK24 BO8:BO24 BQ8:BQ24 AP14 AX16 AZ16 BB16 BE16 BG16 AR18">
    <cfRule type="expression" dxfId="8" priority="1159">
      <formula>AT7="Full"</formula>
    </cfRule>
  </conditionalFormatting>
  <conditionalFormatting sqref="AT7:AT24 BI7:BI24 BM7:BM24 AV8:AV24 BK8:BK24 BO8:BO24 BQ8:BQ24 AP14 AX16 AZ16 BB16 BE16 BG16 AR18">
    <cfRule type="expression" dxfId="9" priority="1160">
      <formula>AT7="OFF"</formula>
    </cfRule>
  </conditionalFormatting>
  <conditionalFormatting sqref="AT7:AT24 BI7:BI24 BM7:BM24 AV8:AV24 BK8:BK24 BO8:BO24 BQ8:BQ24 AP14 AX16 AZ16 BB16 BE16 BG16 AR18">
    <cfRule type="expression" dxfId="10" priority="1161">
      <formula>AT7="Gãy 2"</formula>
    </cfRule>
  </conditionalFormatting>
  <conditionalFormatting sqref="AT7:AT24 BI7:BI24 BM7:BM24 AV8:AV24 BK8:BK24 BO8:BO24 BQ8:BQ24 AP14 AX16 AZ16 BB16 BE16 BG16 AR18">
    <cfRule type="expression" dxfId="10" priority="1162">
      <formula>AT7="Gãy 1"</formula>
    </cfRule>
  </conditionalFormatting>
  <conditionalFormatting sqref="AT7:AT24 BI7:BI24 BM7:BM24 AV8:AV24 BK8:BK24 BO8:BO24 BQ8:BQ24 AP14 AX16 AZ16 BB16 BE16 BG16 AR18">
    <cfRule type="expression" dxfId="22" priority="1163">
      <formula>AT7="HC4"</formula>
    </cfRule>
  </conditionalFormatting>
  <conditionalFormatting sqref="AT7:AT24 BI7:BI24 BM7:BM24 AV8:AV24 BK8:BK24 BO8:BO24 BQ8:BQ24 AP14 AX16 AZ16 BB16 BE16 BG16 AR18">
    <cfRule type="expression" dxfId="22" priority="1164">
      <formula>AT7="HC3"</formula>
    </cfRule>
  </conditionalFormatting>
  <conditionalFormatting sqref="AT7:AT24 BI7:BI24 BM7:BM24 AV8:AV24 BK8:BK24 BO8:BO24 BQ8:BQ24 AP14 AX16 AZ16 BB16 BE16 BG16 AR18">
    <cfRule type="expression" dxfId="22" priority="1165">
      <formula>AT7="HC2"</formula>
    </cfRule>
  </conditionalFormatting>
  <conditionalFormatting sqref="AT7:AT24 BI7:BI24 BM7:BM24 AV8:AV24 BK8:BK24 BO8:BO24 BQ8:BQ24 AP14 AX16 AZ16 BB16 BE16 BG16 AR18">
    <cfRule type="expression" dxfId="22" priority="1166">
      <formula>AT7="HC1"</formula>
    </cfRule>
  </conditionalFormatting>
  <conditionalFormatting sqref="AT7:AT24 BI7:BI24 BM7:BM24 AV8:AV24 BK8:BK24 BO8:BO24 BQ8:BQ24 AP14 AX16 AZ16 BB16 BE16 BG16 AR18">
    <cfRule type="expression" dxfId="23" priority="1167">
      <formula>AT7="C5"</formula>
    </cfRule>
  </conditionalFormatting>
  <conditionalFormatting sqref="AT7:AT24 BI7:BI24 BM7:BM24 AV8:AV24 BK8:BK24 BO8:BO24 BQ8:BQ24 AP14 AX16 AZ16 BB16 BE16 BG16 AR18">
    <cfRule type="expression" dxfId="24" priority="1168">
      <formula>AT7="C4"</formula>
    </cfRule>
  </conditionalFormatting>
  <conditionalFormatting sqref="AT7:AT24 BI7:BI24 BM7:BM24 AV8:AV24 BK8:BK24 BO8:BO24 BQ8:BQ24 AP14 AX16 AZ16 BB16 BE16 BG16 AR18">
    <cfRule type="expression" dxfId="25" priority="1169">
      <formula>AT7="C3"</formula>
    </cfRule>
  </conditionalFormatting>
  <conditionalFormatting sqref="AT7:AT24 BI7:BI24 BM7:BM24 AV8:AV24 BK8:BK24 BO8:BO24 BQ8:BQ24 AP14 AX16 AZ16 BB16 BE16 BG16 AR18">
    <cfRule type="expression" dxfId="20" priority="1170">
      <formula>AT7="C2"</formula>
    </cfRule>
  </conditionalFormatting>
  <conditionalFormatting sqref="AT7:AT24 BI7:BI24 BM7:BM24 AV8:AV24 BK8:BK24 BO8:BO24 BQ8:BQ24 AP14 AX16 AZ16 BB16 BE16 BG16 AR18">
    <cfRule type="expression" dxfId="26" priority="1171">
      <formula>AT7="C1"</formula>
    </cfRule>
  </conditionalFormatting>
  <conditionalFormatting sqref="AT7:AT24 BI7:BI24 BM7:BM24 AV8:AV24 BK8:BK24 BO8:BO24 BQ8:BQ24 AP14 AX16 AZ16 BB16 BE16 BG16 AR18">
    <cfRule type="expression" dxfId="16" priority="1172">
      <formula>AT7="S4"</formula>
    </cfRule>
  </conditionalFormatting>
  <conditionalFormatting sqref="AT7:AT24 BI7:BI24 BM7:BM24 AV8:AV24 BK8:BK24 BO8:BO24 BQ8:BQ24 AP14 AX16 AZ16 BB16 BE16 BG16 AR18">
    <cfRule type="expression" dxfId="17" priority="1173">
      <formula>AT7="S3"</formula>
    </cfRule>
  </conditionalFormatting>
  <conditionalFormatting sqref="AT7:AT24 BI7:BI24 BM7:BM24 AV8:AV24 BK8:BK24 BO8:BO24 BQ8:BQ24 AP14 AX16 AZ16 BB16 BE16 BG16 AR18">
    <cfRule type="expression" dxfId="18" priority="1174">
      <formula>AT7="S2"</formula>
    </cfRule>
  </conditionalFormatting>
  <conditionalFormatting sqref="AT7:AT24 BI7:BI24 BM7:BM24 AV8:AV24 BK8:BK24 BO8:BO24 BQ8:BQ24 AP14 AX16 AZ16 BB16 BE16 BG16 AR18">
    <cfRule type="expression" dxfId="19" priority="1175">
      <formula>AT7="S1"</formula>
    </cfRule>
  </conditionalFormatting>
  <conditionalFormatting sqref="AR7 AT26:AT40 AV26:AV39 AX26:AX39 AZ26:AZ39 BB26:BB39 BE26:BE40 BG26:BG39 BI26:BI40 BK26:BK39 BM26:BM40 BO26:BO39 BQ26:BQ39">
    <cfRule type="expression" dxfId="20" priority="1176">
      <formula>AR7="C6"</formula>
    </cfRule>
  </conditionalFormatting>
  <conditionalFormatting sqref="AR7 AT26:AT40 AV26:AV39 AX26:AX39 AZ26:AZ39 BB26:BB39 BE26:BE40 BG26:BG39 BI26:BI40 BK26:BK39 BM26:BM40 BO26:BO39 BQ26:BQ39">
    <cfRule type="expression" dxfId="21" priority="1177">
      <formula>AR7="TC6"</formula>
    </cfRule>
  </conditionalFormatting>
  <conditionalFormatting sqref="AR7 AT26:AT40 AV26:AV39 AX26:AX39 AZ26:AZ39 BB26:BB39 BE26:BE40 BG26:BG39 BI26:BI40 BK26:BK39 BM26:BM40 BO26:BO39 BQ26:BQ39">
    <cfRule type="expression" dxfId="21" priority="1178">
      <formula>AR7="TC5"</formula>
    </cfRule>
  </conditionalFormatting>
  <conditionalFormatting sqref="AR7 AT26:AT40 AV26:AV39 AX26:AX39 AZ26:AZ39 BB26:BB39 BE26:BE40 BG26:BG39 BI26:BI40 BK26:BK39 BM26:BM40 BO26:BO39 BQ26:BQ39">
    <cfRule type="expression" dxfId="21" priority="1179">
      <formula>AR7="TC4"</formula>
    </cfRule>
  </conditionalFormatting>
  <conditionalFormatting sqref="AR7 AT26:AT40 AV26:AV39 AX26:AX39 AZ26:AZ39 BB26:BB39 BE26:BE40 BG26:BG39 BI26:BI40 BK26:BK39 BM26:BM40 BO26:BO39 BQ26:BQ39">
    <cfRule type="expression" dxfId="21" priority="1180">
      <formula>AR7="TC3"</formula>
    </cfRule>
  </conditionalFormatting>
  <conditionalFormatting sqref="AR7 AT26:AT40 AV26:AV39 AX26:AX39 AZ26:AZ39 BB26:BB39 BE26:BE40 BG26:BG39 BI26:BI40 BK26:BK39 BM26:BM40 BO26:BO39 BQ26:BQ39">
    <cfRule type="expression" dxfId="21" priority="1181">
      <formula>AR7="TC2"</formula>
    </cfRule>
  </conditionalFormatting>
  <conditionalFormatting sqref="AR7 AT26:AT40 AV26:AV39 AX26:AX39 AZ26:AZ39 BB26:BB39 BE26:BE40 BG26:BG39 BI26:BI40 BK26:BK39 BM26:BM40 BO26:BO39 BQ26:BQ39">
    <cfRule type="expression" dxfId="21" priority="1182">
      <formula>AR7="TC1"</formula>
    </cfRule>
  </conditionalFormatting>
  <conditionalFormatting sqref="AR7 AT26:AT40 AV26:AV39 AX26:AX39 AZ26:AZ39 BB26:BB39 BE26:BE40 BG26:BG39 BI26:BI40 BK26:BK39 BM26:BM40 BO26:BO39 BQ26:BQ39">
    <cfRule type="expression" dxfId="8" priority="1183">
      <formula>AR7="Full"</formula>
    </cfRule>
  </conditionalFormatting>
  <conditionalFormatting sqref="AR7 AT26:AT40 AV26:AV39 AX26:AX39 AZ26:AZ39 BB26:BB39 BE26:BE40 BG26:BG39 BI26:BI40 BK26:BK39 BM26:BM40 BO26:BO39 BQ26:BQ39">
    <cfRule type="expression" dxfId="9" priority="1184">
      <formula>AR7="OFF"</formula>
    </cfRule>
  </conditionalFormatting>
  <conditionalFormatting sqref="AR7 AT26:AT40 AV26:AV39 AX26:AX39 AZ26:AZ39 BB26:BB39 BE26:BE40 BG26:BG39 BI26:BI40 BK26:BK39 BM26:BM40 BO26:BO39 BQ26:BQ39">
    <cfRule type="expression" dxfId="10" priority="1185">
      <formula>AR7="Gãy 2"</formula>
    </cfRule>
  </conditionalFormatting>
  <conditionalFormatting sqref="AR7 AT26:AT40 AV26:AV39 AX26:AX39 AZ26:AZ39 BB26:BB39 BE26:BE40 BG26:BG39 BI26:BI40 BK26:BK39 BM26:BM40 BO26:BO39 BQ26:BQ39">
    <cfRule type="expression" dxfId="10" priority="1186">
      <formula>AR7="Gãy 1"</formula>
    </cfRule>
  </conditionalFormatting>
  <conditionalFormatting sqref="AR7 AT26:AT40 AV26:AV39 AX26:AX39 AZ26:AZ39 BB26:BB39 BE26:BE40 BG26:BG39 BI26:BI40 BK26:BK39 BM26:BM40 BO26:BO39 BQ26:BQ39">
    <cfRule type="expression" dxfId="22" priority="1187">
      <formula>AR7="HC4"</formula>
    </cfRule>
  </conditionalFormatting>
  <conditionalFormatting sqref="AR7 AT26:AT40 AV26:AV39 AX26:AX39 AZ26:AZ39 BB26:BB39 BE26:BE40 BG26:BG39 BI26:BI40 BK26:BK39 BM26:BM40 BO26:BO39 BQ26:BQ39">
    <cfRule type="expression" dxfId="22" priority="1188">
      <formula>AR7="HC3"</formula>
    </cfRule>
  </conditionalFormatting>
  <conditionalFormatting sqref="AR7 AT26:AT40 AV26:AV39 AX26:AX39 AZ26:AZ39 BB26:BB39 BE26:BE40 BG26:BG39 BI26:BI40 BK26:BK39 BM26:BM40 BO26:BO39 BQ26:BQ39">
    <cfRule type="expression" dxfId="22" priority="1189">
      <formula>AR7="HC2"</formula>
    </cfRule>
  </conditionalFormatting>
  <conditionalFormatting sqref="AR7 AT26:AT40 AV26:AV39 AX26:AX39 AZ26:AZ39 BB26:BB39 BE26:BE40 BG26:BG39 BI26:BI40 BK26:BK39 BM26:BM40 BO26:BO39 BQ26:BQ39">
    <cfRule type="expression" dxfId="22" priority="1190">
      <formula>AR7="HC1"</formula>
    </cfRule>
  </conditionalFormatting>
  <conditionalFormatting sqref="AR7 AT26:AT40 AV26:AV39 AX26:AX39 AZ26:AZ39 BB26:BB39 BE26:BE40 BG26:BG39 BI26:BI40 BK26:BK39 BM26:BM40 BO26:BO39 BQ26:BQ39">
    <cfRule type="expression" dxfId="23" priority="1191">
      <formula>AR7="C5"</formula>
    </cfRule>
  </conditionalFormatting>
  <conditionalFormatting sqref="AR7 AT26:AT40 AV26:AV39 AX26:AX39 AZ26:AZ39 BB26:BB39 BE26:BE40 BG26:BG39 BI26:BI40 BK26:BK39 BM26:BM40 BO26:BO39 BQ26:BQ39">
    <cfRule type="expression" dxfId="24" priority="1192">
      <formula>AR7="C4"</formula>
    </cfRule>
  </conditionalFormatting>
  <conditionalFormatting sqref="AR7 AT26:AT40 AV26:AV39 AX26:AX39 AZ26:AZ39 BB26:BB39 BE26:BE40 BG26:BG39 BI26:BI40 BK26:BK39 BM26:BM40 BO26:BO39 BQ26:BQ39">
    <cfRule type="expression" dxfId="25" priority="1193">
      <formula>AR7="C3"</formula>
    </cfRule>
  </conditionalFormatting>
  <conditionalFormatting sqref="AR7 AT26:AT40 AV26:AV39 AX26:AX39 AZ26:AZ39 BB26:BB39 BE26:BE40 BG26:BG39 BI26:BI40 BK26:BK39 BM26:BM40 BO26:BO39 BQ26:BQ39">
    <cfRule type="expression" dxfId="20" priority="1194">
      <formula>AR7="C2"</formula>
    </cfRule>
  </conditionalFormatting>
  <conditionalFormatting sqref="AR7 AT26:AT40 AV26:AV39 AX26:AX39 AZ26:AZ39 BB26:BB39 BE26:BE40 BG26:BG39 BI26:BI40 BK26:BK39 BM26:BM40 BO26:BO39 BQ26:BQ39">
    <cfRule type="expression" dxfId="26" priority="1195">
      <formula>AR7="C1"</formula>
    </cfRule>
  </conditionalFormatting>
  <conditionalFormatting sqref="AR7 AT26:AT40 AV26:AV39 AX26:AX39 AZ26:AZ39 BB26:BB39 BE26:BE40 BG26:BG39 BI26:BI40 BK26:BK39 BM26:BM40 BO26:BO39 BQ26:BQ39">
    <cfRule type="expression" dxfId="16" priority="1196">
      <formula>AR7="S4"</formula>
    </cfRule>
  </conditionalFormatting>
  <conditionalFormatting sqref="AR7 AT26:AT40 AV26:AV39 AX26:AX39 AZ26:AZ39 BB26:BB39 BE26:BE40 BG26:BG39 BI26:BI40 BK26:BK39 BM26:BM40 BO26:BO39 BQ26:BQ39">
    <cfRule type="expression" dxfId="17" priority="1197">
      <formula>AR7="S3"</formula>
    </cfRule>
  </conditionalFormatting>
  <conditionalFormatting sqref="AR7 AT26:AT40 AV26:AV39 AX26:AX39 AZ26:AZ39 BB26:BB39 BE26:BE40 BG26:BG39 BI26:BI40 BK26:BK39 BM26:BM40 BO26:BO39 BQ26:BQ39">
    <cfRule type="expression" dxfId="18" priority="1198">
      <formula>AR7="S2"</formula>
    </cfRule>
  </conditionalFormatting>
  <conditionalFormatting sqref="AR7 AT26:AT40 AV26:AV39 AX26:AX39 AZ26:AZ39 BB26:BB39 BE26:BE40 BG26:BG39 BI26:BI40 BK26:BK39 BM26:BM40 BO26:BO39 BQ26:BQ39">
    <cfRule type="expression" dxfId="19" priority="1199">
      <formula>AR7="S1"</formula>
    </cfRule>
  </conditionalFormatting>
  <conditionalFormatting sqref="AU7:AU24 BJ7:BJ24 BN7:BN24 AY9 AQ10 BL10 BP10 BC12 BF12 BH12:BH13 AS13 BL14 BP14 AW16 BF17 BF20">
    <cfRule type="expression" dxfId="1" priority="1200">
      <formula>AU7="BigNB"</formula>
    </cfRule>
  </conditionalFormatting>
  <conditionalFormatting sqref="AU7:AU24 BJ7:BJ24 BN7:BN24 AY9 AQ10 BL10 BP10 BC12 BF12 BH12:BH13 AS13 BL14 BP14 AW16 BF17 BF20">
    <cfRule type="expression" dxfId="1" priority="1201">
      <formula>AU7="GaNB"</formula>
    </cfRule>
  </conditionalFormatting>
  <conditionalFormatting sqref="AU7:AU24 BJ7:BJ24 BN7:BN24 AY9 AQ10 BL10 BP10 BC12 BF12 BH12:BH13 AS13 BL14 BP14 AW16 BF17 BF20">
    <cfRule type="expression" dxfId="2" priority="1202">
      <formula>AU7="BigNĐ"</formula>
    </cfRule>
  </conditionalFormatting>
  <conditionalFormatting sqref="AU7:AU24 BJ7:BJ24 BN7:BN24 AY9 AQ10 BL10 BP10 BC12 BF12 BH12:BH13 AS13 BL14 BP14 AW16 BF17 BF20">
    <cfRule type="expression" dxfId="2" priority="1203">
      <formula>AU7="GaNĐ"</formula>
    </cfRule>
  </conditionalFormatting>
  <conditionalFormatting sqref="AY9 BN9 BN11 BN16 BP17:BP24 AY18 AU26:AU39 BJ26:BJ39 BN26:BN39 AY27 BP27 BR27 AS29:AS30 AY29 BL29:BL30 BP29:BP33 AW32:AW33 BF32 BL32 W33 AQ34 AS34 AQ38 AS38">
    <cfRule type="expression" dxfId="1" priority="1204">
      <formula>AY9="BigNB"</formula>
    </cfRule>
  </conditionalFormatting>
  <conditionalFormatting sqref="AY9 BN9 BN11 BN16 BP17:BP24 AY18 AU26:AU39 BJ26:BJ39 BN26:BN39 AY27 BP27 BR27 AS29:AS30 AY29 BL29:BL30 BP29:BP33 AW32:AW33 BF32 BL32 W33 AQ34 AS34 AQ38 AS38">
    <cfRule type="expression" dxfId="1" priority="1205">
      <formula>AY9="GaNB"</formula>
    </cfRule>
  </conditionalFormatting>
  <conditionalFormatting sqref="AY9 BN9 BN11 BN16 BP17:BP24 AY18 AU26:AU39 BJ26:BJ39 BN26:BN39 AY27 BP27 BR27 AS29:AS30 AY29 BL29:BL30 BP29:BP33 AW32:AW33 BF32 BL32 W33 AQ34 AS34 AQ38 AS38">
    <cfRule type="expression" dxfId="2" priority="1206">
      <formula>AY9="BigNĐ"</formula>
    </cfRule>
  </conditionalFormatting>
  <conditionalFormatting sqref="AY9 BN9 BN11 BN16 BP17:BP24 AY18 AU26:AU39 BJ26:BJ39 BN26:BN39 AY27 BP27 BR27 AS29:AS30 AY29 BL29:BL30 BP29:BP33 AW32:AW33 BF32 BL32 W33 AQ34 AS34 AQ38 AS38">
    <cfRule type="expression" dxfId="2" priority="1207">
      <formula>AY9="GaNĐ"</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0" priority="1208">
      <formula>AM7="C6"</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1" priority="1209">
      <formula>AM7="TC6"</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1" priority="1210">
      <formula>AM7="TC5"</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1" priority="1211">
      <formula>AM7="TC4"</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1" priority="1212">
      <formula>AM7="TC3"</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1" priority="1213">
      <formula>AM7="TC2"</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1" priority="1214">
      <formula>AM7="TC1"</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8" priority="1215">
      <formula>AM7="Full"</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9" priority="1216">
      <formula>AM7="OFF"</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10" priority="1217">
      <formula>AM7="Gãy 2"</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10" priority="1218">
      <formula>AM7="Gãy 1"</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2" priority="1219">
      <formula>AM7="HC4"</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2" priority="1220">
      <formula>AM7="HC3"</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2" priority="1221">
      <formula>AM7="HC2"</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2" priority="1222">
      <formula>AM7="HC1"</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3" priority="1223">
      <formula>AM7="C5"</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4" priority="1224">
      <formula>AM7="C4"</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5" priority="1225">
      <formula>AM7="C3"</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0" priority="1226">
      <formula>AM7="C2"</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26" priority="1227">
      <formula>AM7="C1"</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16" priority="1228">
      <formula>AM7="S4"</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17" priority="1229">
      <formula>AM7="S3"</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18" priority="1230">
      <formula>AM7="S2"</formula>
    </cfRule>
  </conditionalFormatting>
  <conditionalFormatting sqref="AM7:AM24 AP7:AP24 AV7:AV24 BB7:BB24 BK7:BK24 BO7:BO24 BQ7:BQ24 AT8 AX8:AX24 AZ8:AZ24 BE8:BE24 BG8:BG24 BI8:BI24 BM8:BM24 AR12 AR15 AR18:AR19 AT19 AX28 AZ28 BB28 BE28 BG28 BI28 BK28 BM28 BO28 BQ28 AX32 AZ32 BB32 BE32 BG32 BI32 BK32 BM32 BO32 BQ32">
    <cfRule type="expression" dxfId="19" priority="1231">
      <formula>AM7="S1"</formula>
    </cfRule>
  </conditionalFormatting>
  <conditionalFormatting sqref="AR7 AV26:AV40 AX26:AX40 AZ26:AZ40 BB26:BB40 BE26:BE40 BG26:BG40 BI26:BI40 BK26:BK40 BM26:BM40 BO26:BO40 BQ26:BQ39">
    <cfRule type="expression" dxfId="20" priority="1232">
      <formula>AR7="C6"</formula>
    </cfRule>
  </conditionalFormatting>
  <conditionalFormatting sqref="AR7 AV26:AV40 AX26:AX40 AZ26:AZ40 BB26:BB40 BE26:BE40 BG26:BG40 BI26:BI40 BK26:BK40 BM26:BM40 BO26:BO40 BQ26:BQ39">
    <cfRule type="expression" dxfId="21" priority="1233">
      <formula>AR7="TC6"</formula>
    </cfRule>
  </conditionalFormatting>
  <conditionalFormatting sqref="AR7 AV26:AV40 AX26:AX40 AZ26:AZ40 BB26:BB40 BE26:BE40 BG26:BG40 BI26:BI40 BK26:BK40 BM26:BM40 BO26:BO40 BQ26:BQ39">
    <cfRule type="expression" dxfId="21" priority="1234">
      <formula>AR7="TC5"</formula>
    </cfRule>
  </conditionalFormatting>
  <conditionalFormatting sqref="AR7 AV26:AV40 AX26:AX40 AZ26:AZ40 BB26:BB40 BE26:BE40 BG26:BG40 BI26:BI40 BK26:BK40 BM26:BM40 BO26:BO40 BQ26:BQ39">
    <cfRule type="expression" dxfId="21" priority="1235">
      <formula>AR7="TC4"</formula>
    </cfRule>
  </conditionalFormatting>
  <conditionalFormatting sqref="AR7 AV26:AV40 AX26:AX40 AZ26:AZ40 BB26:BB40 BE26:BE40 BG26:BG40 BI26:BI40 BK26:BK40 BM26:BM40 BO26:BO40 BQ26:BQ39">
    <cfRule type="expression" dxfId="21" priority="1236">
      <formula>AR7="TC3"</formula>
    </cfRule>
  </conditionalFormatting>
  <conditionalFormatting sqref="AR7 AV26:AV40 AX26:AX40 AZ26:AZ40 BB26:BB40 BE26:BE40 BG26:BG40 BI26:BI40 BK26:BK40 BM26:BM40 BO26:BO40 BQ26:BQ39">
    <cfRule type="expression" dxfId="21" priority="1237">
      <formula>AR7="TC2"</formula>
    </cfRule>
  </conditionalFormatting>
  <conditionalFormatting sqref="AR7 AV26:AV40 AX26:AX40 AZ26:AZ40 BB26:BB40 BE26:BE40 BG26:BG40 BI26:BI40 BK26:BK40 BM26:BM40 BO26:BO40 BQ26:BQ39">
    <cfRule type="expression" dxfId="21" priority="1238">
      <formula>AR7="TC1"</formula>
    </cfRule>
  </conditionalFormatting>
  <conditionalFormatting sqref="AR7 AV26:AV40 AX26:AX40 AZ26:AZ40 BB26:BB40 BE26:BE40 BG26:BG40 BI26:BI40 BK26:BK40 BM26:BM40 BO26:BO40 BQ26:BQ39">
    <cfRule type="expression" dxfId="8" priority="1239">
      <formula>AR7="Full"</formula>
    </cfRule>
  </conditionalFormatting>
  <conditionalFormatting sqref="AR7 AV26:AV40 AX26:AX40 AZ26:AZ40 BB26:BB40 BE26:BE40 BG26:BG40 BI26:BI40 BK26:BK40 BM26:BM40 BO26:BO40 BQ26:BQ39">
    <cfRule type="expression" dxfId="9" priority="1240">
      <formula>AR7="OFF"</formula>
    </cfRule>
  </conditionalFormatting>
  <conditionalFormatting sqref="AR7 AV26:AV40 AX26:AX40 AZ26:AZ40 BB26:BB40 BE26:BE40 BG26:BG40 BI26:BI40 BK26:BK40 BM26:BM40 BO26:BO40 BQ26:BQ39">
    <cfRule type="expression" dxfId="10" priority="1241">
      <formula>AR7="Gãy 2"</formula>
    </cfRule>
  </conditionalFormatting>
  <conditionalFormatting sqref="AR7 AV26:AV40 AX26:AX40 AZ26:AZ40 BB26:BB40 BE26:BE40 BG26:BG40 BI26:BI40 BK26:BK40 BM26:BM40 BO26:BO40 BQ26:BQ39">
    <cfRule type="expression" dxfId="10" priority="1242">
      <formula>AR7="Gãy 1"</formula>
    </cfRule>
  </conditionalFormatting>
  <conditionalFormatting sqref="AR7 AV26:AV40 AX26:AX40 AZ26:AZ40 BB26:BB40 BE26:BE40 BG26:BG40 BI26:BI40 BK26:BK40 BM26:BM40 BO26:BO40 BQ26:BQ39">
    <cfRule type="expression" dxfId="22" priority="1243">
      <formula>AR7="HC4"</formula>
    </cfRule>
  </conditionalFormatting>
  <conditionalFormatting sqref="AR7 AV26:AV40 AX26:AX40 AZ26:AZ40 BB26:BB40 BE26:BE40 BG26:BG40 BI26:BI40 BK26:BK40 BM26:BM40 BO26:BO40 BQ26:BQ39">
    <cfRule type="expression" dxfId="22" priority="1244">
      <formula>AR7="HC3"</formula>
    </cfRule>
  </conditionalFormatting>
  <conditionalFormatting sqref="AR7 AV26:AV40 AX26:AX40 AZ26:AZ40 BB26:BB40 BE26:BE40 BG26:BG40 BI26:BI40 BK26:BK40 BM26:BM40 BO26:BO40 BQ26:BQ39">
    <cfRule type="expression" dxfId="22" priority="1245">
      <formula>AR7="HC2"</formula>
    </cfRule>
  </conditionalFormatting>
  <conditionalFormatting sqref="AR7 AV26:AV40 AX26:AX40 AZ26:AZ40 BB26:BB40 BE26:BE40 BG26:BG40 BI26:BI40 BK26:BK40 BM26:BM40 BO26:BO40 BQ26:BQ39">
    <cfRule type="expression" dxfId="22" priority="1246">
      <formula>AR7="HC1"</formula>
    </cfRule>
  </conditionalFormatting>
  <conditionalFormatting sqref="AR7 AV26:AV40 AX26:AX40 AZ26:AZ40 BB26:BB40 BE26:BE40 BG26:BG40 BI26:BI40 BK26:BK40 BM26:BM40 BO26:BO40 BQ26:BQ39">
    <cfRule type="expression" dxfId="23" priority="1247">
      <formula>AR7="C5"</formula>
    </cfRule>
  </conditionalFormatting>
  <conditionalFormatting sqref="AR7 AV26:AV40 AX26:AX40 AZ26:AZ40 BB26:BB40 BE26:BE40 BG26:BG40 BI26:BI40 BK26:BK40 BM26:BM40 BO26:BO40 BQ26:BQ39">
    <cfRule type="expression" dxfId="24" priority="1248">
      <formula>AR7="C4"</formula>
    </cfRule>
  </conditionalFormatting>
  <conditionalFormatting sqref="AR7 AV26:AV40 AX26:AX40 AZ26:AZ40 BB26:BB40 BE26:BE40 BG26:BG40 BI26:BI40 BK26:BK40 BM26:BM40 BO26:BO40 BQ26:BQ39">
    <cfRule type="expression" dxfId="25" priority="1249">
      <formula>AR7="C3"</formula>
    </cfRule>
  </conditionalFormatting>
  <conditionalFormatting sqref="AR7 AV26:AV40 AX26:AX40 AZ26:AZ40 BB26:BB40 BE26:BE40 BG26:BG40 BI26:BI40 BK26:BK40 BM26:BM40 BO26:BO40 BQ26:BQ39">
    <cfRule type="expression" dxfId="20" priority="1250">
      <formula>AR7="C2"</formula>
    </cfRule>
  </conditionalFormatting>
  <conditionalFormatting sqref="AR7 AV26:AV40 AX26:AX40 AZ26:AZ40 BB26:BB40 BE26:BE40 BG26:BG40 BI26:BI40 BK26:BK40 BM26:BM40 BO26:BO40 BQ26:BQ39">
    <cfRule type="expression" dxfId="26" priority="1251">
      <formula>AR7="C1"</formula>
    </cfRule>
  </conditionalFormatting>
  <conditionalFormatting sqref="AR7 AV26:AV40 AX26:AX40 AZ26:AZ40 BB26:BB40 BE26:BE40 BG26:BG40 BI26:BI40 BK26:BK40 BM26:BM40 BO26:BO40 BQ26:BQ39">
    <cfRule type="expression" dxfId="16" priority="1252">
      <formula>AR7="S4"</formula>
    </cfRule>
  </conditionalFormatting>
  <conditionalFormatting sqref="AR7 AV26:AV40 AX26:AX40 AZ26:AZ40 BB26:BB40 BE26:BE40 BG26:BG40 BI26:BI40 BK26:BK40 BM26:BM40 BO26:BO40 BQ26:BQ39">
    <cfRule type="expression" dxfId="17" priority="1253">
      <formula>AR7="S3"</formula>
    </cfRule>
  </conditionalFormatting>
  <conditionalFormatting sqref="AR7 AV26:AV40 AX26:AX40 AZ26:AZ40 BB26:BB40 BE26:BE40 BG26:BG40 BI26:BI40 BK26:BK40 BM26:BM40 BO26:BO40 BQ26:BQ39">
    <cfRule type="expression" dxfId="18" priority="1254">
      <formula>AR7="S2"</formula>
    </cfRule>
  </conditionalFormatting>
  <conditionalFormatting sqref="AR7 AV26:AV40 AX26:AX40 AZ26:AZ40 BB26:BB40 BE26:BE40 BG26:BG40 BI26:BI40 BK26:BK40 BM26:BM40 BO26:BO40 BQ26:BQ39">
    <cfRule type="expression" dxfId="19" priority="1255">
      <formula>AR7="S1"</formula>
    </cfRule>
  </conditionalFormatting>
  <conditionalFormatting sqref="AW7:AW24 BL7:BL24 BP7:BP24 AN8 AY8:AY24 BC8 BF8:BF15 BN8:BN24 AQ9 BH9:BH11 BJ9:BJ11 BA10:BA11 AU11:AU12 BC11 BR11 BH13 AQ14 BA14:BA15 BC14:BC16 BJ14:BJ24 BH15 AU16 BC22:BC24 BA27 BC27 BJ27:BJ28 BL27 AY29:AY30 BA29:BA30 BF31 AY32">
    <cfRule type="expression" dxfId="1" priority="1256">
      <formula>AW7="BigNB"</formula>
    </cfRule>
  </conditionalFormatting>
  <conditionalFormatting sqref="AW7:AW24 BL7:BL24 BP7:BP24 AN8 AY8:AY24 BC8 BF8:BF15 BN8:BN24 AQ9 BH9:BH11 BJ9:BJ11 BA10:BA11 AU11:AU12 BC11 BR11 BH13 AQ14 BA14:BA15 BC14:BC16 BJ14:BJ24 BH15 AU16 BC22:BC24 BA27 BC27 BJ27:BJ28 BL27 AY29:AY30 BA29:BA30 BF31 AY32">
    <cfRule type="expression" dxfId="1" priority="1257">
      <formula>AW7="GaNB"</formula>
    </cfRule>
  </conditionalFormatting>
  <conditionalFormatting sqref="AW7:AW24 BL7:BL24 BP7:BP24 AN8 AY8:AY24 BC8 BF8:BF15 BN8:BN24 AQ9 BH9:BH11 BJ9:BJ11 BA10:BA11 AU11:AU12 BC11 BR11 BH13 AQ14 BA14:BA15 BC14:BC16 BJ14:BJ24 BH15 AU16 BC22:BC24 BA27 BC27 BJ27:BJ28 BL27 AY29:AY30 BA29:BA30 BF31 AY32">
    <cfRule type="expression" dxfId="2" priority="1258">
      <formula>AW7="BigNĐ"</formula>
    </cfRule>
  </conditionalFormatting>
  <conditionalFormatting sqref="AW7:AW24 BL7:BL24 BP7:BP24 AN8 AY8:AY24 BC8 BF8:BF15 BN8:BN24 AQ9 BH9:BH11 BJ9:BJ11 BA10:BA11 AU11:AU12 BC11 BR11 BH13 AQ14 BA14:BA15 BC14:BC16 BJ14:BJ24 BH15 AU16 BC22:BC24 BA27 BC27 BJ27:BJ28 BL27 AY29:AY30 BA29:BA30 BF31 AY32">
    <cfRule type="expression" dxfId="2" priority="1259">
      <formula>AW7="GaNĐ"</formula>
    </cfRule>
  </conditionalFormatting>
  <conditionalFormatting sqref="BN11 BR12 BN13 BP17:BP24 AY18 AW26:AW39 BL26:BL39 BP26:BP39 AU27 AY27 BA27 BC27 BJ27 BN27:BN28 BR27 AY29 BC29:BC30 BF30 BH30 AL31 AN31 AY32 BA32 AU33 BN33:BN39 BR34:BR39">
    <cfRule type="expression" dxfId="1" priority="1260">
      <formula>BN11="BigNB"</formula>
    </cfRule>
  </conditionalFormatting>
  <conditionalFormatting sqref="BN11 BR12 BN13 BP17:BP24 AY18 AW26:AW39 BL26:BL39 BP26:BP39 AU27 AY27 BA27 BC27 BJ27 BN27:BN28 BR27 AY29 BC29:BC30 BF30 BH30 AL31 AN31 AY32 BA32 AU33 BN33:BN39 BR34:BR39">
    <cfRule type="expression" dxfId="1" priority="1261">
      <formula>BN11="GaNB"</formula>
    </cfRule>
  </conditionalFormatting>
  <conditionalFormatting sqref="BN11 BR12 BN13 BP17:BP24 AY18 AW26:AW39 BL26:BL39 BP26:BP39 AU27 AY27 BA27 BC27 BJ27 BN27:BN28 BR27 AY29 BC29:BC30 BF30 BH30 AL31 AN31 AY32 BA32 AU33 BN33:BN39 BR34:BR39">
    <cfRule type="expression" dxfId="2" priority="1262">
      <formula>BN11="BigNĐ"</formula>
    </cfRule>
  </conditionalFormatting>
  <conditionalFormatting sqref="BN11 BR12 BN13 BP17:BP24 AY18 AW26:AW39 BL26:BL39 BP26:BP39 AU27 AY27 BA27 BC27 BJ27 BN27:BN28 BR27 AY29 BC29:BC30 BF30 BH30 AL31 AN31 AY32 BA32 AU33 BN33:BN39 BR34:BR39">
    <cfRule type="expression" dxfId="2" priority="1263">
      <formula>BN11="GaNĐ"</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0" priority="1264">
      <formula>AX7="C6"</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1" priority="1265">
      <formula>AX7="TC6"</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1" priority="1266">
      <formula>AX7="TC5"</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1" priority="1267">
      <formula>AX7="TC4"</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1" priority="1268">
      <formula>AX7="TC3"</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1" priority="1269">
      <formula>AX7="TC2"</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1" priority="1270">
      <formula>AX7="TC1"</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8" priority="1271">
      <formula>AX7="Full"</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9" priority="1272">
      <formula>AX7="OFF"</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10" priority="1273">
      <formula>AX7="Gãy 2"</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10" priority="1274">
      <formula>AX7="Gãy 1"</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2" priority="1275">
      <formula>AX7="HC4"</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2" priority="1276">
      <formula>AX7="HC3"</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2" priority="1277">
      <formula>AX7="HC2"</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2" priority="1278">
      <formula>AX7="HC1"</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3" priority="1279">
      <formula>AX7="C5"</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4" priority="1280">
      <formula>AX7="C4"</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5" priority="1281">
      <formula>AX7="C3"</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0" priority="1282">
      <formula>AX7="C2"</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26" priority="1283">
      <formula>AX7="C1"</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16" priority="1284">
      <formula>AX7="S4"</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17" priority="1285">
      <formula>AX7="S3"</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18" priority="1286">
      <formula>AX7="S2"</formula>
    </cfRule>
  </conditionalFormatting>
  <conditionalFormatting sqref="AX7:AX24 AZ7:AZ24 BB7:BB24 BE7:BE24 BG7:BG24 BI7:BI24 BK7:BK24 BM7:BM24 BO7:BO24 BQ7:BQ24 AX28 AZ28 BB28 BE28 BG28 BI28 BK28 BM28 BO28 BQ28 AX31:AX32 AZ31:AZ32 BB31:BB32 BE31:BE32 BG31:BG32 BI31:BI32 BK31:BK32 BM31:BM32 BO31:BO32 BQ31:BQ32">
    <cfRule type="expression" dxfId="19" priority="1287">
      <formula>AX7="S1"</formula>
    </cfRule>
  </conditionalFormatting>
  <conditionalFormatting sqref="AX26:AX40 AZ26:AZ39 BB26:BB39 BE26:BE40 BG26:BG39 BI26:BI39 BK26:BK39 BM26:BM39 BO26:BO39 BQ26:BQ39">
    <cfRule type="expression" dxfId="20" priority="1288">
      <formula>AX26="C6"</formula>
    </cfRule>
  </conditionalFormatting>
  <conditionalFormatting sqref="AX26:AX40 AZ26:AZ39 BB26:BB39 BE26:BE40 BG26:BG39 BI26:BI39 BK26:BK39 BM26:BM39 BO26:BO39 BQ26:BQ39">
    <cfRule type="expression" dxfId="21" priority="1289">
      <formula>AX26="TC6"</formula>
    </cfRule>
  </conditionalFormatting>
  <conditionalFormatting sqref="AX26:AX40 AZ26:AZ39 BB26:BB39 BE26:BE40 BG26:BG39 BI26:BI39 BK26:BK39 BM26:BM39 BO26:BO39 BQ26:BQ39">
    <cfRule type="expression" dxfId="21" priority="1290">
      <formula>AX26="TC5"</formula>
    </cfRule>
  </conditionalFormatting>
  <conditionalFormatting sqref="AX26:AX40 AZ26:AZ39 BB26:BB39 BE26:BE40 BG26:BG39 BI26:BI39 BK26:BK39 BM26:BM39 BO26:BO39 BQ26:BQ39">
    <cfRule type="expression" dxfId="21" priority="1291">
      <formula>AX26="TC4"</formula>
    </cfRule>
  </conditionalFormatting>
  <conditionalFormatting sqref="AX26:AX40 AZ26:AZ39 BB26:BB39 BE26:BE40 BG26:BG39 BI26:BI39 BK26:BK39 BM26:BM39 BO26:BO39 BQ26:BQ39">
    <cfRule type="expression" dxfId="21" priority="1292">
      <formula>AX26="TC3"</formula>
    </cfRule>
  </conditionalFormatting>
  <conditionalFormatting sqref="AX26:AX40 AZ26:AZ39 BB26:BB39 BE26:BE40 BG26:BG39 BI26:BI39 BK26:BK39 BM26:BM39 BO26:BO39 BQ26:BQ39">
    <cfRule type="expression" dxfId="21" priority="1293">
      <formula>AX26="TC2"</formula>
    </cfRule>
  </conditionalFormatting>
  <conditionalFormatting sqref="AX26:AX40 AZ26:AZ39 BB26:BB39 BE26:BE40 BG26:BG39 BI26:BI39 BK26:BK39 BM26:BM39 BO26:BO39 BQ26:BQ39">
    <cfRule type="expression" dxfId="21" priority="1294">
      <formula>AX26="TC1"</formula>
    </cfRule>
  </conditionalFormatting>
  <conditionalFormatting sqref="AX26:AX40 AZ26:AZ39 BB26:BB39 BE26:BE40 BG26:BG39 BI26:BI39 BK26:BK39 BM26:BM39 BO26:BO39 BQ26:BQ39">
    <cfRule type="expression" dxfId="8" priority="1295">
      <formula>AX26="Full"</formula>
    </cfRule>
  </conditionalFormatting>
  <conditionalFormatting sqref="AX26:AX40 AZ26:AZ39 BB26:BB39 BE26:BE40 BG26:BG39 BI26:BI39 BK26:BK39 BM26:BM39 BO26:BO39 BQ26:BQ39">
    <cfRule type="expression" dxfId="9" priority="1296">
      <formula>AX26="OFF"</formula>
    </cfRule>
  </conditionalFormatting>
  <conditionalFormatting sqref="AX26:AX40 AZ26:AZ39 BB26:BB39 BE26:BE40 BG26:BG39 BI26:BI39 BK26:BK39 BM26:BM39 BO26:BO39 BQ26:BQ39">
    <cfRule type="expression" dxfId="10" priority="1297">
      <formula>AX26="Gãy 2"</formula>
    </cfRule>
  </conditionalFormatting>
  <conditionalFormatting sqref="AX26:AX40 AZ26:AZ39 BB26:BB39 BE26:BE40 BG26:BG39 BI26:BI39 BK26:BK39 BM26:BM39 BO26:BO39 BQ26:BQ39">
    <cfRule type="expression" dxfId="10" priority="1298">
      <formula>AX26="Gãy 1"</formula>
    </cfRule>
  </conditionalFormatting>
  <conditionalFormatting sqref="AX26:AX40 AZ26:AZ39 BB26:BB39 BE26:BE40 BG26:BG39 BI26:BI39 BK26:BK39 BM26:BM39 BO26:BO39 BQ26:BQ39">
    <cfRule type="expression" dxfId="22" priority="1299">
      <formula>AX26="HC4"</formula>
    </cfRule>
  </conditionalFormatting>
  <conditionalFormatting sqref="AX26:AX40 AZ26:AZ39 BB26:BB39 BE26:BE40 BG26:BG39 BI26:BI39 BK26:BK39 BM26:BM39 BO26:BO39 BQ26:BQ39">
    <cfRule type="expression" dxfId="22" priority="1300">
      <formula>AX26="HC3"</formula>
    </cfRule>
  </conditionalFormatting>
  <conditionalFormatting sqref="AX26:AX40 AZ26:AZ39 BB26:BB39 BE26:BE40 BG26:BG39 BI26:BI39 BK26:BK39 BM26:BM39 BO26:BO39 BQ26:BQ39">
    <cfRule type="expression" dxfId="22" priority="1301">
      <formula>AX26="HC2"</formula>
    </cfRule>
  </conditionalFormatting>
  <conditionalFormatting sqref="AX26:AX40 AZ26:AZ39 BB26:BB39 BE26:BE40 BG26:BG39 BI26:BI39 BK26:BK39 BM26:BM39 BO26:BO39 BQ26:BQ39">
    <cfRule type="expression" dxfId="22" priority="1302">
      <formula>AX26="HC1"</formula>
    </cfRule>
  </conditionalFormatting>
  <conditionalFormatting sqref="AX26:AX40 AZ26:AZ39 BB26:BB39 BE26:BE40 BG26:BG39 BI26:BI39 BK26:BK39 BM26:BM39 BO26:BO39 BQ26:BQ39">
    <cfRule type="expression" dxfId="23" priority="1303">
      <formula>AX26="C5"</formula>
    </cfRule>
  </conditionalFormatting>
  <conditionalFormatting sqref="AX26:AX40 AZ26:AZ39 BB26:BB39 BE26:BE40 BG26:BG39 BI26:BI39 BK26:BK39 BM26:BM39 BO26:BO39 BQ26:BQ39">
    <cfRule type="expression" dxfId="24" priority="1304">
      <formula>AX26="C4"</formula>
    </cfRule>
  </conditionalFormatting>
  <conditionalFormatting sqref="AX26:AX40 AZ26:AZ39 BB26:BB39 BE26:BE40 BG26:BG39 BI26:BI39 BK26:BK39 BM26:BM39 BO26:BO39 BQ26:BQ39">
    <cfRule type="expression" dxfId="25" priority="1305">
      <formula>AX26="C3"</formula>
    </cfRule>
  </conditionalFormatting>
  <conditionalFormatting sqref="AX26:AX40 AZ26:AZ39 BB26:BB39 BE26:BE40 BG26:BG39 BI26:BI39 BK26:BK39 BM26:BM39 BO26:BO39 BQ26:BQ39">
    <cfRule type="expression" dxfId="20" priority="1306">
      <formula>AX26="C2"</formula>
    </cfRule>
  </conditionalFormatting>
  <conditionalFormatting sqref="AX26:AX40 AZ26:AZ39 BB26:BB39 BE26:BE40 BG26:BG39 BI26:BI39 BK26:BK39 BM26:BM39 BO26:BO39 BQ26:BQ39">
    <cfRule type="expression" dxfId="26" priority="1307">
      <formula>AX26="C1"</formula>
    </cfRule>
  </conditionalFormatting>
  <conditionalFormatting sqref="AX26:AX40 AZ26:AZ39 BB26:BB39 BE26:BE40 BG26:BG39 BI26:BI39 BK26:BK39 BM26:BM39 BO26:BO39 BQ26:BQ39">
    <cfRule type="expression" dxfId="16" priority="1308">
      <formula>AX26="S4"</formula>
    </cfRule>
  </conditionalFormatting>
  <conditionalFormatting sqref="AX26:AX40 AZ26:AZ39 BB26:BB39 BE26:BE40 BG26:BG39 BI26:BI39 BK26:BK39 BM26:BM39 BO26:BO39 BQ26:BQ39">
    <cfRule type="expression" dxfId="17" priority="1309">
      <formula>AX26="S3"</formula>
    </cfRule>
  </conditionalFormatting>
  <conditionalFormatting sqref="AX26:AX40 AZ26:AZ39 BB26:BB39 BE26:BE40 BG26:BG39 BI26:BI39 BK26:BK39 BM26:BM39 BO26:BO39 BQ26:BQ39">
    <cfRule type="expression" dxfId="18" priority="1310">
      <formula>AX26="S2"</formula>
    </cfRule>
  </conditionalFormatting>
  <conditionalFormatting sqref="AX26:AX40 AZ26:AZ39 BB26:BB39 BE26:BE40 BG26:BG39 BI26:BI39 BK26:BK39 BM26:BM39 BO26:BO39 BQ26:BQ39">
    <cfRule type="expression" dxfId="19" priority="1311">
      <formula>AX26="S1"</formula>
    </cfRule>
  </conditionalFormatting>
  <conditionalFormatting sqref="AY7:AY24 BA7:BA24 BC7:BC24 BF7:BF24 BH7:BH24 BJ7:BJ24 BL7:BL24 BN7:BN24 BP7:BP24 AW11 BR11 AU16 BA27 BC27 BJ27:BJ28 BL27 AY29:AY30 BA29:BA30 BF31 AY32">
    <cfRule type="expression" dxfId="1" priority="1312">
      <formula>AY7="BigNB"</formula>
    </cfRule>
  </conditionalFormatting>
  <conditionalFormatting sqref="AY7:AY24 BA7:BA24 BC7:BC24 BF7:BF24 BH7:BH24 BJ7:BJ24 BL7:BL24 BN7:BN24 BP7:BP24 AW11 BR11 AU16 BA27 BC27 BJ27:BJ28 BL27 AY29:AY30 BA29:BA30 BF31 AY32">
    <cfRule type="expression" dxfId="1" priority="1313">
      <formula>AY7="GaNB"</formula>
    </cfRule>
  </conditionalFormatting>
  <conditionalFormatting sqref="AY7:AY24 BA7:BA24 BC7:BC24 BF7:BF24 BH7:BH24 BJ7:BJ24 BL7:BL24 BN7:BN24 BP7:BP24 AW11 BR11 AU16 BA27 BC27 BJ27:BJ28 BL27 AY29:AY30 BA29:BA30 BF31 AY32">
    <cfRule type="expression" dxfId="2" priority="1314">
      <formula>AY7="BigNĐ"</formula>
    </cfRule>
  </conditionalFormatting>
  <conditionalFormatting sqref="AY7:AY24 BA7:BA24 BC7:BC24 BF7:BF24 BH7:BH24 BJ7:BJ24 BL7:BL24 BN7:BN24 BP7:BP24 AW11 BR11 AU16 BA27 BC27 BJ27:BJ28 BL27 AY29:AY30 BA29:BA30 BF31 AY32">
    <cfRule type="expression" dxfId="2" priority="1315">
      <formula>AY7="GaNĐ"</formula>
    </cfRule>
  </conditionalFormatting>
  <conditionalFormatting sqref="BC8:BC24 BF8:BF24 BH8:BH9 BN8:BN24 BP8:BP24 AY9 BL9:BL10 BJ10 BH11:BH12 BJ12:BJ14 BL12:BL14 BA13:BA24 AY14:AY24 BJ16:BJ24 BL20:BL21 AY26:AY39 BA27:BA30 BC27 BF27 BJ27 AW28 BH28:BH30 AU29:AU30 BF29 BJ29 BN29:BN30 BP29:BP30 BL30 BA32:BA39 BC32:BC39 BF32:BF39 BN32 BH33:BH39 BJ33:BJ39 BL33:BL39 BN34:BN39 BP34 BR36">
    <cfRule type="expression" dxfId="1" priority="1316">
      <formula>BC8="BigNB"</formula>
    </cfRule>
  </conditionalFormatting>
  <conditionalFormatting sqref="BC8:BC24 BF8:BF24 BH8:BH9 BN8:BN24 BP8:BP24 AY9 BL9:BL10 BJ10 BH11:BH12 BJ12:BJ14 BL12:BL14 BA13:BA24 AY14:AY24 BJ16:BJ24 BL20:BL21 AY26:AY39 BA27:BA30 BC27 BF27 BJ27 AW28 BH28:BH30 AU29:AU30 BF29 BJ29 BN29:BN30 BP29:BP30 BL30 BA32:BA39 BC32:BC39 BF32:BF39 BN32 BH33:BH39 BJ33:BJ39 BL33:BL39 BN34:BN39 BP34 BR36">
    <cfRule type="expression" dxfId="1" priority="1317">
      <formula>BC8="GaNB"</formula>
    </cfRule>
  </conditionalFormatting>
  <conditionalFormatting sqref="BC8:BC24 BF8:BF24 BH8:BH9 BN8:BN24 BP8:BP24 AY9 BL9:BL10 BJ10 BH11:BH12 BJ12:BJ14 BL12:BL14 BA13:BA24 AY14:AY24 BJ16:BJ24 BL20:BL21 AY26:AY39 BA27:BA30 BC27 BF27 BJ27 AW28 BH28:BH30 AU29:AU30 BF29 BJ29 BN29:BN30 BP29:BP30 BL30 BA32:BA39 BC32:BC39 BF32:BF39 BN32 BH33:BH39 BJ33:BJ39 BL33:BL39 BN34:BN39 BP34 BR36">
    <cfRule type="expression" dxfId="2" priority="1318">
      <formula>BC8="BigNĐ"</formula>
    </cfRule>
  </conditionalFormatting>
  <conditionalFormatting sqref="BC8:BC24 BF8:BF24 BH8:BH9 BN8:BN24 BP8:BP24 AY9 BL9:BL10 BJ10 BH11:BH12 BJ12:BJ14 BL12:BL14 BA13:BA24 AY14:AY24 BJ16:BJ24 BL20:BL21 AY26:AY39 BA27:BA30 BC27 BF27 BJ27 AW28 BH28:BH30 AU29:AU30 BF29 BJ29 BN29:BN30 BP29:BP30 BL30 BA32:BA39 BC32:BC39 BF32:BF39 BN32 BH33:BH39 BJ33:BJ39 BL33:BL39 BN34:BN39 BP34 BR36">
    <cfRule type="expression" dxfId="2" priority="1319">
      <formula>BC8="GaNĐ"</formula>
    </cfRule>
  </conditionalFormatting>
  <conditionalFormatting sqref="AZ7:AZ24 BB7:BB24 BO7:BO24 BQ7:BQ24 BK10">
    <cfRule type="expression" dxfId="20" priority="1320">
      <formula>AZ7="C6"</formula>
    </cfRule>
  </conditionalFormatting>
  <conditionalFormatting sqref="AZ7:AZ24 BB7:BB24 BO7:BO24 BQ7:BQ24 BK10">
    <cfRule type="expression" dxfId="21" priority="1321">
      <formula>AZ7="TC6"</formula>
    </cfRule>
  </conditionalFormatting>
  <conditionalFormatting sqref="AZ7:AZ24 BB7:BB24 BO7:BO24 BQ7:BQ24 BK10">
    <cfRule type="expression" dxfId="21" priority="1322">
      <formula>AZ7="TC5"</formula>
    </cfRule>
  </conditionalFormatting>
  <conditionalFormatting sqref="AZ7:AZ24 BB7:BB24 BO7:BO24 BQ7:BQ24 BK10">
    <cfRule type="expression" dxfId="21" priority="1323">
      <formula>AZ7="TC4"</formula>
    </cfRule>
  </conditionalFormatting>
  <conditionalFormatting sqref="AZ7:AZ24 BB7:BB24 BO7:BO24 BQ7:BQ24 BK10">
    <cfRule type="expression" dxfId="21" priority="1324">
      <formula>AZ7="TC3"</formula>
    </cfRule>
  </conditionalFormatting>
  <conditionalFormatting sqref="AZ7:AZ24 BB7:BB24 BO7:BO24 BQ7:BQ24 BK10">
    <cfRule type="expression" dxfId="21" priority="1325">
      <formula>AZ7="TC2"</formula>
    </cfRule>
  </conditionalFormatting>
  <conditionalFormatting sqref="AZ7:AZ24 BB7:BB24 BO7:BO24 BQ7:BQ24 BK10">
    <cfRule type="expression" dxfId="21" priority="1326">
      <formula>AZ7="TC1"</formula>
    </cfRule>
  </conditionalFormatting>
  <conditionalFormatting sqref="AZ7:AZ24 BB7:BB24 BO7:BO24 BQ7:BQ24 BK10">
    <cfRule type="expression" dxfId="8" priority="1327">
      <formula>AZ7="Full"</formula>
    </cfRule>
  </conditionalFormatting>
  <conditionalFormatting sqref="AZ7:AZ24 BB7:BB24 BO7:BO24 BQ7:BQ24 BK10">
    <cfRule type="expression" dxfId="9" priority="1328">
      <formula>AZ7="OFF"</formula>
    </cfRule>
  </conditionalFormatting>
  <conditionalFormatting sqref="AZ7:AZ24 BB7:BB24 BO7:BO24 BQ7:BQ24 BK10">
    <cfRule type="expression" dxfId="10" priority="1329">
      <formula>AZ7="Gãy 2"</formula>
    </cfRule>
  </conditionalFormatting>
  <conditionalFormatting sqref="AZ7:AZ24 BB7:BB24 BO7:BO24 BQ7:BQ24 BK10">
    <cfRule type="expression" dxfId="10" priority="1330">
      <formula>AZ7="Gãy 1"</formula>
    </cfRule>
  </conditionalFormatting>
  <conditionalFormatting sqref="AZ7:AZ24 BB7:BB24 BO7:BO24 BQ7:BQ24 BK10">
    <cfRule type="expression" dxfId="22" priority="1331">
      <formula>AZ7="HC4"</formula>
    </cfRule>
  </conditionalFormatting>
  <conditionalFormatting sqref="AZ7:AZ24 BB7:BB24 BO7:BO24 BQ7:BQ24 BK10">
    <cfRule type="expression" dxfId="22" priority="1332">
      <formula>AZ7="HC3"</formula>
    </cfRule>
  </conditionalFormatting>
  <conditionalFormatting sqref="AZ7:AZ24 BB7:BB24 BO7:BO24 BQ7:BQ24 BK10">
    <cfRule type="expression" dxfId="22" priority="1333">
      <formula>AZ7="HC2"</formula>
    </cfRule>
  </conditionalFormatting>
  <conditionalFormatting sqref="AZ7:AZ24 BB7:BB24 BO7:BO24 BQ7:BQ24 BK10">
    <cfRule type="expression" dxfId="22" priority="1334">
      <formula>AZ7="HC1"</formula>
    </cfRule>
  </conditionalFormatting>
  <conditionalFormatting sqref="AZ7:AZ24 BB7:BB24 BO7:BO24 BQ7:BQ24 BK10">
    <cfRule type="expression" dxfId="23" priority="1335">
      <formula>AZ7="C5"</formula>
    </cfRule>
  </conditionalFormatting>
  <conditionalFormatting sqref="AZ7:AZ24 BB7:BB24 BO7:BO24 BQ7:BQ24 BK10">
    <cfRule type="expression" dxfId="24" priority="1336">
      <formula>AZ7="C4"</formula>
    </cfRule>
  </conditionalFormatting>
  <conditionalFormatting sqref="AZ7:AZ24 BB7:BB24 BO7:BO24 BQ7:BQ24 BK10">
    <cfRule type="expression" dxfId="25" priority="1337">
      <formula>AZ7="C3"</formula>
    </cfRule>
  </conditionalFormatting>
  <conditionalFormatting sqref="AZ7:AZ24 BB7:BB24 BO7:BO24 BQ7:BQ24 BK10">
    <cfRule type="expression" dxfId="20" priority="1338">
      <formula>AZ7="C2"</formula>
    </cfRule>
  </conditionalFormatting>
  <conditionalFormatting sqref="AZ7:AZ24 BB7:BB24 BO7:BO24 BQ7:BQ24 BK10">
    <cfRule type="expression" dxfId="26" priority="1339">
      <formula>AZ7="C1"</formula>
    </cfRule>
  </conditionalFormatting>
  <conditionalFormatting sqref="AZ7:AZ24 BB7:BB24 BO7:BO24 BQ7:BQ24 BK10">
    <cfRule type="expression" dxfId="16" priority="1340">
      <formula>AZ7="S4"</formula>
    </cfRule>
  </conditionalFormatting>
  <conditionalFormatting sqref="AZ7:AZ24 BB7:BB24 BO7:BO24 BQ7:BQ24 BK10">
    <cfRule type="expression" dxfId="17" priority="1341">
      <formula>AZ7="S3"</formula>
    </cfRule>
  </conditionalFormatting>
  <conditionalFormatting sqref="AZ7:AZ24 BB7:BB24 BO7:BO24 BQ7:BQ24 BK10">
    <cfRule type="expression" dxfId="18" priority="1342">
      <formula>AZ7="S2"</formula>
    </cfRule>
  </conditionalFormatting>
  <conditionalFormatting sqref="AZ7:AZ24 BB7:BB24 BO7:BO24 BQ7:BQ24 BK10">
    <cfRule type="expression" dxfId="19" priority="1343">
      <formula>AZ7="S1"</formula>
    </cfRule>
  </conditionalFormatting>
  <conditionalFormatting sqref="AZ26:AZ40 AX31 BB31 BE31 BG31:BG32 BI31:BI39 BK31:BK39 BM31:BM39 BO31:BO39 BQ31:BQ39">
    <cfRule type="expression" dxfId="20" priority="1344">
      <formula>AZ26="C6"</formula>
    </cfRule>
  </conditionalFormatting>
  <conditionalFormatting sqref="AZ26:AZ40 AX31 BB31 BE31 BG31:BG32 BI31:BI39 BK31:BK39 BM31:BM39 BO31:BO39 BQ31:BQ39">
    <cfRule type="expression" dxfId="21" priority="1345">
      <formula>AZ26="TC6"</formula>
    </cfRule>
  </conditionalFormatting>
  <conditionalFormatting sqref="AZ26:AZ40 AX31 BB31 BE31 BG31:BG32 BI31:BI39 BK31:BK39 BM31:BM39 BO31:BO39 BQ31:BQ39">
    <cfRule type="expression" dxfId="21" priority="1346">
      <formula>AZ26="TC5"</formula>
    </cfRule>
  </conditionalFormatting>
  <conditionalFormatting sqref="AZ26:AZ40 AX31 BB31 BE31 BG31:BG32 BI31:BI39 BK31:BK39 BM31:BM39 BO31:BO39 BQ31:BQ39">
    <cfRule type="expression" dxfId="21" priority="1347">
      <formula>AZ26="TC4"</formula>
    </cfRule>
  </conditionalFormatting>
  <conditionalFormatting sqref="AZ26:AZ40 AX31 BB31 BE31 BG31:BG32 BI31:BI39 BK31:BK39 BM31:BM39 BO31:BO39 BQ31:BQ39">
    <cfRule type="expression" dxfId="21" priority="1348">
      <formula>AZ26="TC3"</formula>
    </cfRule>
  </conditionalFormatting>
  <conditionalFormatting sqref="AZ26:AZ40 AX31 BB31 BE31 BG31:BG32 BI31:BI39 BK31:BK39 BM31:BM39 BO31:BO39 BQ31:BQ39">
    <cfRule type="expression" dxfId="21" priority="1349">
      <formula>AZ26="TC2"</formula>
    </cfRule>
  </conditionalFormatting>
  <conditionalFormatting sqref="AZ26:AZ40 AX31 BB31 BE31 BG31:BG32 BI31:BI39 BK31:BK39 BM31:BM39 BO31:BO39 BQ31:BQ39">
    <cfRule type="expression" dxfId="21" priority="1350">
      <formula>AZ26="TC1"</formula>
    </cfRule>
  </conditionalFormatting>
  <conditionalFormatting sqref="AZ26:AZ40 AX31 BB31 BE31 BG31:BG32 BI31:BI39 BK31:BK39 BM31:BM39 BO31:BO39 BQ31:BQ39">
    <cfRule type="expression" dxfId="8" priority="1351">
      <formula>AZ26="Full"</formula>
    </cfRule>
  </conditionalFormatting>
  <conditionalFormatting sqref="AZ26:AZ40 AX31 BB31 BE31 BG31:BG32 BI31:BI39 BK31:BK39 BM31:BM39 BO31:BO39 BQ31:BQ39">
    <cfRule type="expression" dxfId="9" priority="1352">
      <formula>AZ26="OFF"</formula>
    </cfRule>
  </conditionalFormatting>
  <conditionalFormatting sqref="AZ26:AZ40 AX31 BB31 BE31 BG31:BG32 BI31:BI39 BK31:BK39 BM31:BM39 BO31:BO39 BQ31:BQ39">
    <cfRule type="expression" dxfId="10" priority="1353">
      <formula>AZ26="Gãy 2"</formula>
    </cfRule>
  </conditionalFormatting>
  <conditionalFormatting sqref="AZ26:AZ40 AX31 BB31 BE31 BG31:BG32 BI31:BI39 BK31:BK39 BM31:BM39 BO31:BO39 BQ31:BQ39">
    <cfRule type="expression" dxfId="10" priority="1354">
      <formula>AZ26="Gãy 1"</formula>
    </cfRule>
  </conditionalFormatting>
  <conditionalFormatting sqref="AZ26:AZ40 AX31 BB31 BE31 BG31:BG32 BI31:BI39 BK31:BK39 BM31:BM39 BO31:BO39 BQ31:BQ39">
    <cfRule type="expression" dxfId="22" priority="1355">
      <formula>AZ26="HC4"</formula>
    </cfRule>
  </conditionalFormatting>
  <conditionalFormatting sqref="AZ26:AZ40 AX31 BB31 BE31 BG31:BG32 BI31:BI39 BK31:BK39 BM31:BM39 BO31:BO39 BQ31:BQ39">
    <cfRule type="expression" dxfId="22" priority="1356">
      <formula>AZ26="HC3"</formula>
    </cfRule>
  </conditionalFormatting>
  <conditionalFormatting sqref="AZ26:AZ40 AX31 BB31 BE31 BG31:BG32 BI31:BI39 BK31:BK39 BM31:BM39 BO31:BO39 BQ31:BQ39">
    <cfRule type="expression" dxfId="22" priority="1357">
      <formula>AZ26="HC2"</formula>
    </cfRule>
  </conditionalFormatting>
  <conditionalFormatting sqref="AZ26:AZ40 AX31 BB31 BE31 BG31:BG32 BI31:BI39 BK31:BK39 BM31:BM39 BO31:BO39 BQ31:BQ39">
    <cfRule type="expression" dxfId="22" priority="1358">
      <formula>AZ26="HC1"</formula>
    </cfRule>
  </conditionalFormatting>
  <conditionalFormatting sqref="AZ26:AZ40 AX31 BB31 BE31 BG31:BG32 BI31:BI39 BK31:BK39 BM31:BM39 BO31:BO39 BQ31:BQ39">
    <cfRule type="expression" dxfId="23" priority="1359">
      <formula>AZ26="C5"</formula>
    </cfRule>
  </conditionalFormatting>
  <conditionalFormatting sqref="AZ26:AZ40 AX31 BB31 BE31 BG31:BG32 BI31:BI39 BK31:BK39 BM31:BM39 BO31:BO39 BQ31:BQ39">
    <cfRule type="expression" dxfId="24" priority="1360">
      <formula>AZ26="C4"</formula>
    </cfRule>
  </conditionalFormatting>
  <conditionalFormatting sqref="AZ26:AZ40 AX31 BB31 BE31 BG31:BG32 BI31:BI39 BK31:BK39 BM31:BM39 BO31:BO39 BQ31:BQ39">
    <cfRule type="expression" dxfId="25" priority="1361">
      <formula>AZ26="C3"</formula>
    </cfRule>
  </conditionalFormatting>
  <conditionalFormatting sqref="AZ26:AZ40 AX31 BB31 BE31 BG31:BG32 BI31:BI39 BK31:BK39 BM31:BM39 BO31:BO39 BQ31:BQ39">
    <cfRule type="expression" dxfId="20" priority="1362">
      <formula>AZ26="C2"</formula>
    </cfRule>
  </conditionalFormatting>
  <conditionalFormatting sqref="AZ26:AZ40 AX31 BB31 BE31 BG31:BG32 BI31:BI39 BK31:BK39 BM31:BM39 BO31:BO39 BQ31:BQ39">
    <cfRule type="expression" dxfId="26" priority="1363">
      <formula>AZ26="C1"</formula>
    </cfRule>
  </conditionalFormatting>
  <conditionalFormatting sqref="AZ26:AZ40 AX31 BB31 BE31 BG31:BG32 BI31:BI39 BK31:BK39 BM31:BM39 BO31:BO39 BQ31:BQ39">
    <cfRule type="expression" dxfId="16" priority="1364">
      <formula>AZ26="S4"</formula>
    </cfRule>
  </conditionalFormatting>
  <conditionalFormatting sqref="AZ26:AZ40 AX31 BB31 BE31 BG31:BG32 BI31:BI39 BK31:BK39 BM31:BM39 BO31:BO39 BQ31:BQ39">
    <cfRule type="expression" dxfId="17" priority="1365">
      <formula>AZ26="S3"</formula>
    </cfRule>
  </conditionalFormatting>
  <conditionalFormatting sqref="AZ26:AZ40 AX31 BB31 BE31 BG31:BG32 BI31:BI39 BK31:BK39 BM31:BM39 BO31:BO39 BQ31:BQ39">
    <cfRule type="expression" dxfId="18" priority="1366">
      <formula>AZ26="S2"</formula>
    </cfRule>
  </conditionalFormatting>
  <conditionalFormatting sqref="AZ26:AZ40 AX31 BB31 BE31 BG31:BG32 BI31:BI39 BK31:BK39 BM31:BM39 BO31:BO39 BQ31:BQ39">
    <cfRule type="expression" dxfId="19" priority="1367">
      <formula>AZ26="S1"</formula>
    </cfRule>
  </conditionalFormatting>
  <conditionalFormatting sqref="BA7:BA24 BP7:BP24 BC8 BF8:BF9 BH9:BH12 BL9:BL10 BJ10 BC11:BC12 BF12 BJ12:BJ15 BL12 BC14 BL14 BL16 BN16 BF17 BJ17:BJ18 BF20 BJ20">
    <cfRule type="expression" dxfId="1" priority="1368">
      <formula>BA7="BigNB"</formula>
    </cfRule>
  </conditionalFormatting>
  <conditionalFormatting sqref="BA7:BA24 BP7:BP24 BC8 BF8:BF9 BH9:BH12 BL9:BL10 BJ10 BC11:BC12 BF12 BJ12:BJ15 BL12 BC14 BL14 BL16 BN16 BF17 BJ17:BJ18 BF20 BJ20">
    <cfRule type="expression" dxfId="1" priority="1369">
      <formula>BA7="GaNB"</formula>
    </cfRule>
  </conditionalFormatting>
  <conditionalFormatting sqref="BA7:BA24 BP7:BP24 BC8 BF8:BF9 BH9:BH12 BL9:BL10 BJ10 BC11:BC12 BF12 BJ12:BJ15 BL12 BC14 BL14 BL16 BN16 BF17 BJ17:BJ18 BF20 BJ20">
    <cfRule type="expression" dxfId="2" priority="1370">
      <formula>BA7="BigNĐ"</formula>
    </cfRule>
  </conditionalFormatting>
  <conditionalFormatting sqref="BA7:BA24 BP7:BP24 BC8 BF8:BF9 BH9:BH12 BL9:BL10 BJ10 BC11:BC12 BF12 BJ12:BJ15 BL12 BC14 BL14 BL16 BN16 BF17 BJ17:BJ18 BF20 BJ20">
    <cfRule type="expression" dxfId="2" priority="1371">
      <formula>BA7="GaNĐ"</formula>
    </cfRule>
  </conditionalFormatting>
  <conditionalFormatting sqref="BN8:BN24 BP8:BP24 AY9 BJ10 BL10 BC12 BF12 BH12 BJ12:BJ13 BL12:BL14 AY14:AY24 BA14:BA24 BC14:BC24 BJ16:BJ17 BF17:BF24 BJ20 BL20:BL21 BA26:BA39 AY27 BC27 BJ27 AY29 BF29 BH29:BH30 BN29:BN30 BP29:BP30 AY32">
    <cfRule type="expression" dxfId="1" priority="1372">
      <formula>BN8="BigNB"</formula>
    </cfRule>
  </conditionalFormatting>
  <conditionalFormatting sqref="BN8:BN24 BP8:BP24 AY9 BJ10 BL10 BC12 BF12 BH12 BJ12:BJ13 BL12:BL14 AY14:AY24 BA14:BA24 BC14:BC24 BJ16:BJ17 BF17:BF24 BJ20 BL20:BL21 BA26:BA39 AY27 BC27 BJ27 AY29 BF29 BH29:BH30 BN29:BN30 BP29:BP30 AY32">
    <cfRule type="expression" dxfId="1" priority="1373">
      <formula>BN8="GaNB"</formula>
    </cfRule>
  </conditionalFormatting>
  <conditionalFormatting sqref="BN8:BN24 BP8:BP24 AY9 BJ10 BL10 BC12 BF12 BH12 BJ12:BJ13 BL12:BL14 AY14:AY24 BA14:BA24 BC14:BC24 BJ16:BJ17 BF17:BF24 BJ20 BL20:BL21 BA26:BA39 AY27 BC27 BJ27 AY29 BF29 BH29:BH30 BN29:BN30 BP29:BP30 AY32">
    <cfRule type="expression" dxfId="2" priority="1374">
      <formula>BN8="BigNĐ"</formula>
    </cfRule>
  </conditionalFormatting>
  <conditionalFormatting sqref="BN8:BN24 BP8:BP24 AY9 BJ10 BL10 BC12 BF12 BH12 BJ12:BJ13 BL12:BL14 AY14:AY24 BA14:BA24 BC14:BC24 BJ16:BJ17 BF17:BF24 BJ20 BL20:BL21 BA26:BA39 AY27 BC27 BJ27 AY29 BF29 BH29:BH30 BN29:BN30 BP29:BP30 AY32">
    <cfRule type="expression" dxfId="2" priority="1375">
      <formula>BN8="GaNĐ"</formula>
    </cfRule>
  </conditionalFormatting>
  <conditionalFormatting sqref="BB7:BB24 BQ7:BQ24 BK10 BO10 BO15:BO24 BQ32">
    <cfRule type="expression" dxfId="20" priority="1376">
      <formula>BB7="C6"</formula>
    </cfRule>
  </conditionalFormatting>
  <conditionalFormatting sqref="BB7:BB24 BQ7:BQ24 BK10 BO10 BO15:BO24 BQ32">
    <cfRule type="expression" dxfId="21" priority="1377">
      <formula>BB7="TC6"</formula>
    </cfRule>
  </conditionalFormatting>
  <conditionalFormatting sqref="BB7:BB24 BQ7:BQ24 BK10 BO10 BO15:BO24 BQ32">
    <cfRule type="expression" dxfId="21" priority="1378">
      <formula>BB7="TC5"</formula>
    </cfRule>
  </conditionalFormatting>
  <conditionalFormatting sqref="BB7:BB24 BQ7:BQ24 BK10 BO10 BO15:BO24 BQ32">
    <cfRule type="expression" dxfId="21" priority="1379">
      <formula>BB7="TC4"</formula>
    </cfRule>
  </conditionalFormatting>
  <conditionalFormatting sqref="BB7:BB24 BQ7:BQ24 BK10 BO10 BO15:BO24 BQ32">
    <cfRule type="expression" dxfId="21" priority="1380">
      <formula>BB7="TC3"</formula>
    </cfRule>
  </conditionalFormatting>
  <conditionalFormatting sqref="BB7:BB24 BQ7:BQ24 BK10 BO10 BO15:BO24 BQ32">
    <cfRule type="expression" dxfId="21" priority="1381">
      <formula>BB7="TC2"</formula>
    </cfRule>
  </conditionalFormatting>
  <conditionalFormatting sqref="BB7:BB24 BQ7:BQ24 BK10 BO10 BO15:BO24 BQ32">
    <cfRule type="expression" dxfId="21" priority="1382">
      <formula>BB7="TC1"</formula>
    </cfRule>
  </conditionalFormatting>
  <conditionalFormatting sqref="BB7:BB24 BQ7:BQ24 BK10 BO10 BO15:BO24 BQ32">
    <cfRule type="expression" dxfId="8" priority="1383">
      <formula>BB7="Full"</formula>
    </cfRule>
  </conditionalFormatting>
  <conditionalFormatting sqref="BB7:BB24 BQ7:BQ24 BK10 BO10 BO15:BO24 BQ32">
    <cfRule type="expression" dxfId="9" priority="1384">
      <formula>BB7="OFF"</formula>
    </cfRule>
  </conditionalFormatting>
  <conditionalFormatting sqref="BB7:BB24 BQ7:BQ24 BK10 BO10 BO15:BO24 BQ32">
    <cfRule type="expression" dxfId="10" priority="1385">
      <formula>BB7="Gãy 2"</formula>
    </cfRule>
  </conditionalFormatting>
  <conditionalFormatting sqref="BB7:BB24 BQ7:BQ24 BK10 BO10 BO15:BO24 BQ32">
    <cfRule type="expression" dxfId="10" priority="1386">
      <formula>BB7="Gãy 1"</formula>
    </cfRule>
  </conditionalFormatting>
  <conditionalFormatting sqref="BB7:BB24 BQ7:BQ24 BK10 BO10 BO15:BO24 BQ32">
    <cfRule type="expression" dxfId="22" priority="1387">
      <formula>BB7="HC4"</formula>
    </cfRule>
  </conditionalFormatting>
  <conditionalFormatting sqref="BB7:BB24 BQ7:BQ24 BK10 BO10 BO15:BO24 BQ32">
    <cfRule type="expression" dxfId="22" priority="1388">
      <formula>BB7="HC3"</formula>
    </cfRule>
  </conditionalFormatting>
  <conditionalFormatting sqref="BB7:BB24 BQ7:BQ24 BK10 BO10 BO15:BO24 BQ32">
    <cfRule type="expression" dxfId="22" priority="1389">
      <formula>BB7="HC2"</formula>
    </cfRule>
  </conditionalFormatting>
  <conditionalFormatting sqref="BB7:BB24 BQ7:BQ24 BK10 BO10 BO15:BO24 BQ32">
    <cfRule type="expression" dxfId="22" priority="1390">
      <formula>BB7="HC1"</formula>
    </cfRule>
  </conditionalFormatting>
  <conditionalFormatting sqref="BB7:BB24 BQ7:BQ24 BK10 BO10 BO15:BO24 BQ32">
    <cfRule type="expression" dxfId="23" priority="1391">
      <formula>BB7="C5"</formula>
    </cfRule>
  </conditionalFormatting>
  <conditionalFormatting sqref="BB7:BB24 BQ7:BQ24 BK10 BO10 BO15:BO24 BQ32">
    <cfRule type="expression" dxfId="24" priority="1392">
      <formula>BB7="C4"</formula>
    </cfRule>
  </conditionalFormatting>
  <conditionalFormatting sqref="BB7:BB24 BQ7:BQ24 BK10 BO10 BO15:BO24 BQ32">
    <cfRule type="expression" dxfId="25" priority="1393">
      <formula>BB7="C3"</formula>
    </cfRule>
  </conditionalFormatting>
  <conditionalFormatting sqref="BB7:BB24 BQ7:BQ24 BK10 BO10 BO15:BO24 BQ32">
    <cfRule type="expression" dxfId="20" priority="1394">
      <formula>BB7="C2"</formula>
    </cfRule>
  </conditionalFormatting>
  <conditionalFormatting sqref="BB7:BB24 BQ7:BQ24 BK10 BO10 BO15:BO24 BQ32">
    <cfRule type="expression" dxfId="26" priority="1395">
      <formula>BB7="C1"</formula>
    </cfRule>
  </conditionalFormatting>
  <conditionalFormatting sqref="BB7:BB24 BQ7:BQ24 BK10 BO10 BO15:BO24 BQ32">
    <cfRule type="expression" dxfId="16" priority="1396">
      <formula>BB7="S4"</formula>
    </cfRule>
  </conditionalFormatting>
  <conditionalFormatting sqref="BB7:BB24 BQ7:BQ24 BK10 BO10 BO15:BO24 BQ32">
    <cfRule type="expression" dxfId="17" priority="1397">
      <formula>BB7="S3"</formula>
    </cfRule>
  </conditionalFormatting>
  <conditionalFormatting sqref="BB7:BB24 BQ7:BQ24 BK10 BO10 BO15:BO24 BQ32">
    <cfRule type="expression" dxfId="18" priority="1398">
      <formula>BB7="S2"</formula>
    </cfRule>
  </conditionalFormatting>
  <conditionalFormatting sqref="BB7:BB24 BQ7:BQ24 BK10 BO10 BO15:BO24 BQ32">
    <cfRule type="expression" dxfId="19" priority="1399">
      <formula>BB7="S1"</formula>
    </cfRule>
  </conditionalFormatting>
  <conditionalFormatting sqref="AR7 AV26:AV32 AX26:AX32 AZ26:AZ32 BB26:BB40 BE26:BE40 BG26:BG39 BI26:BI39 BK26:BK39 BM26:BM39 BO26:BO39 BQ26:BQ39">
    <cfRule type="expression" dxfId="20" priority="1400">
      <formula>AR7="C6"</formula>
    </cfRule>
  </conditionalFormatting>
  <conditionalFormatting sqref="AR7 AV26:AV32 AX26:AX32 AZ26:AZ32 BB26:BB40 BE26:BE40 BG26:BG39 BI26:BI39 BK26:BK39 BM26:BM39 BO26:BO39 BQ26:BQ39">
    <cfRule type="expression" dxfId="21" priority="1401">
      <formula>AR7="TC6"</formula>
    </cfRule>
  </conditionalFormatting>
  <conditionalFormatting sqref="AR7 AV26:AV32 AX26:AX32 AZ26:AZ32 BB26:BB40 BE26:BE40 BG26:BG39 BI26:BI39 BK26:BK39 BM26:BM39 BO26:BO39 BQ26:BQ39">
    <cfRule type="expression" dxfId="21" priority="1402">
      <formula>AR7="TC5"</formula>
    </cfRule>
  </conditionalFormatting>
  <conditionalFormatting sqref="AR7 AV26:AV32 AX26:AX32 AZ26:AZ32 BB26:BB40 BE26:BE40 BG26:BG39 BI26:BI39 BK26:BK39 BM26:BM39 BO26:BO39 BQ26:BQ39">
    <cfRule type="expression" dxfId="21" priority="1403">
      <formula>AR7="TC4"</formula>
    </cfRule>
  </conditionalFormatting>
  <conditionalFormatting sqref="AR7 AV26:AV32 AX26:AX32 AZ26:AZ32 BB26:BB40 BE26:BE40 BG26:BG39 BI26:BI39 BK26:BK39 BM26:BM39 BO26:BO39 BQ26:BQ39">
    <cfRule type="expression" dxfId="21" priority="1404">
      <formula>AR7="TC3"</formula>
    </cfRule>
  </conditionalFormatting>
  <conditionalFormatting sqref="AR7 AV26:AV32 AX26:AX32 AZ26:AZ32 BB26:BB40 BE26:BE40 BG26:BG39 BI26:BI39 BK26:BK39 BM26:BM39 BO26:BO39 BQ26:BQ39">
    <cfRule type="expression" dxfId="21" priority="1405">
      <formula>AR7="TC2"</formula>
    </cfRule>
  </conditionalFormatting>
  <conditionalFormatting sqref="AR7 AV26:AV32 AX26:AX32 AZ26:AZ32 BB26:BB40 BE26:BE40 BG26:BG39 BI26:BI39 BK26:BK39 BM26:BM39 BO26:BO39 BQ26:BQ39">
    <cfRule type="expression" dxfId="21" priority="1406">
      <formula>AR7="TC1"</formula>
    </cfRule>
  </conditionalFormatting>
  <conditionalFormatting sqref="AR7 AV26:AV32 AX26:AX32 AZ26:AZ32 BB26:BB40 BE26:BE40 BG26:BG39 BI26:BI39 BK26:BK39 BM26:BM39 BO26:BO39 BQ26:BQ39">
    <cfRule type="expression" dxfId="8" priority="1407">
      <formula>AR7="Full"</formula>
    </cfRule>
  </conditionalFormatting>
  <conditionalFormatting sqref="AR7 AV26:AV32 AX26:AX32 AZ26:AZ32 BB26:BB40 BE26:BE40 BG26:BG39 BI26:BI39 BK26:BK39 BM26:BM39 BO26:BO39 BQ26:BQ39">
    <cfRule type="expression" dxfId="9" priority="1408">
      <formula>AR7="OFF"</formula>
    </cfRule>
  </conditionalFormatting>
  <conditionalFormatting sqref="AR7 AV26:AV32 AX26:AX32 AZ26:AZ32 BB26:BB40 BE26:BE40 BG26:BG39 BI26:BI39 BK26:BK39 BM26:BM39 BO26:BO39 BQ26:BQ39">
    <cfRule type="expression" dxfId="10" priority="1409">
      <formula>AR7="Gãy 2"</formula>
    </cfRule>
  </conditionalFormatting>
  <conditionalFormatting sqref="AR7 AV26:AV32 AX26:AX32 AZ26:AZ32 BB26:BB40 BE26:BE40 BG26:BG39 BI26:BI39 BK26:BK39 BM26:BM39 BO26:BO39 BQ26:BQ39">
    <cfRule type="expression" dxfId="10" priority="1410">
      <formula>AR7="Gãy 1"</formula>
    </cfRule>
  </conditionalFormatting>
  <conditionalFormatting sqref="AR7 AV26:AV32 AX26:AX32 AZ26:AZ32 BB26:BB40 BE26:BE40 BG26:BG39 BI26:BI39 BK26:BK39 BM26:BM39 BO26:BO39 BQ26:BQ39">
    <cfRule type="expression" dxfId="22" priority="1411">
      <formula>AR7="HC4"</formula>
    </cfRule>
  </conditionalFormatting>
  <conditionalFormatting sqref="AR7 AV26:AV32 AX26:AX32 AZ26:AZ32 BB26:BB40 BE26:BE40 BG26:BG39 BI26:BI39 BK26:BK39 BM26:BM39 BO26:BO39 BQ26:BQ39">
    <cfRule type="expression" dxfId="22" priority="1412">
      <formula>AR7="HC3"</formula>
    </cfRule>
  </conditionalFormatting>
  <conditionalFormatting sqref="AR7 AV26:AV32 AX26:AX32 AZ26:AZ32 BB26:BB40 BE26:BE40 BG26:BG39 BI26:BI39 BK26:BK39 BM26:BM39 BO26:BO39 BQ26:BQ39">
    <cfRule type="expression" dxfId="22" priority="1413">
      <formula>AR7="HC2"</formula>
    </cfRule>
  </conditionalFormatting>
  <conditionalFormatting sqref="AR7 AV26:AV32 AX26:AX32 AZ26:AZ32 BB26:BB40 BE26:BE40 BG26:BG39 BI26:BI39 BK26:BK39 BM26:BM39 BO26:BO39 BQ26:BQ39">
    <cfRule type="expression" dxfId="22" priority="1414">
      <formula>AR7="HC1"</formula>
    </cfRule>
  </conditionalFormatting>
  <conditionalFormatting sqref="AR7 AV26:AV32 AX26:AX32 AZ26:AZ32 BB26:BB40 BE26:BE40 BG26:BG39 BI26:BI39 BK26:BK39 BM26:BM39 BO26:BO39 BQ26:BQ39">
    <cfRule type="expression" dxfId="23" priority="1415">
      <formula>AR7="C5"</formula>
    </cfRule>
  </conditionalFormatting>
  <conditionalFormatting sqref="AR7 AV26:AV32 AX26:AX32 AZ26:AZ32 BB26:BB40 BE26:BE40 BG26:BG39 BI26:BI39 BK26:BK39 BM26:BM39 BO26:BO39 BQ26:BQ39">
    <cfRule type="expression" dxfId="24" priority="1416">
      <formula>AR7="C4"</formula>
    </cfRule>
  </conditionalFormatting>
  <conditionalFormatting sqref="AR7 AV26:AV32 AX26:AX32 AZ26:AZ32 BB26:BB40 BE26:BE40 BG26:BG39 BI26:BI39 BK26:BK39 BM26:BM39 BO26:BO39 BQ26:BQ39">
    <cfRule type="expression" dxfId="25" priority="1417">
      <formula>AR7="C3"</formula>
    </cfRule>
  </conditionalFormatting>
  <conditionalFormatting sqref="AR7 AV26:AV32 AX26:AX32 AZ26:AZ32 BB26:BB40 BE26:BE40 BG26:BG39 BI26:BI39 BK26:BK39 BM26:BM39 BO26:BO39 BQ26:BQ39">
    <cfRule type="expression" dxfId="20" priority="1418">
      <formula>AR7="C2"</formula>
    </cfRule>
  </conditionalFormatting>
  <conditionalFormatting sqref="AR7 AV26:AV32 AX26:AX32 AZ26:AZ32 BB26:BB40 BE26:BE40 BG26:BG39 BI26:BI39 BK26:BK39 BM26:BM39 BO26:BO39 BQ26:BQ39">
    <cfRule type="expression" dxfId="26" priority="1419">
      <formula>AR7="C1"</formula>
    </cfRule>
  </conditionalFormatting>
  <conditionalFormatting sqref="AR7 AV26:AV32 AX26:AX32 AZ26:AZ32 BB26:BB40 BE26:BE40 BG26:BG39 BI26:BI39 BK26:BK39 BM26:BM39 BO26:BO39 BQ26:BQ39">
    <cfRule type="expression" dxfId="16" priority="1420">
      <formula>AR7="S4"</formula>
    </cfRule>
  </conditionalFormatting>
  <conditionalFormatting sqref="AR7 AV26:AV32 AX26:AX32 AZ26:AZ32 BB26:BB40 BE26:BE40 BG26:BG39 BI26:BI39 BK26:BK39 BM26:BM39 BO26:BO39 BQ26:BQ39">
    <cfRule type="expression" dxfId="17" priority="1421">
      <formula>AR7="S3"</formula>
    </cfRule>
  </conditionalFormatting>
  <conditionalFormatting sqref="AR7 AV26:AV32 AX26:AX32 AZ26:AZ32 BB26:BB40 BE26:BE40 BG26:BG39 BI26:BI39 BK26:BK39 BM26:BM39 BO26:BO39 BQ26:BQ39">
    <cfRule type="expression" dxfId="18" priority="1422">
      <formula>AR7="S2"</formula>
    </cfRule>
  </conditionalFormatting>
  <conditionalFormatting sqref="AR7 AV26:AV32 AX26:AX32 AZ26:AZ32 BB26:BB40 BE26:BE40 BG26:BG39 BI26:BI39 BK26:BK39 BM26:BM39 BO26:BO39 BQ26:BQ39">
    <cfRule type="expression" dxfId="19" priority="1423">
      <formula>AR7="S1"</formula>
    </cfRule>
  </conditionalFormatting>
  <conditionalFormatting sqref="BC7:BC24 BR7:BR24 BN9:BN10 BF10 BH10 BJ10 BL10 BP10 BF12 BJ12:BJ13 BL12:BL14 BN12:BN24 BP12:BP15 BJ15:BJ24 BH16 BF17:BF24 BC27 AY32">
    <cfRule type="expression" dxfId="1" priority="1424">
      <formula>BC7="BigNB"</formula>
    </cfRule>
  </conditionalFormatting>
  <conditionalFormatting sqref="BC7:BC24 BR7:BR24 BN9:BN10 BF10 BH10 BJ10 BL10 BP10 BF12 BJ12:BJ13 BL12:BL14 BN12:BN24 BP12:BP15 BJ15:BJ24 BH16 BF17:BF24 BC27 AY32">
    <cfRule type="expression" dxfId="1" priority="1425">
      <formula>BC7="GaNB"</formula>
    </cfRule>
  </conditionalFormatting>
  <conditionalFormatting sqref="BC7:BC24 BR7:BR24 BN9:BN10 BF10 BH10 BJ10 BL10 BP10 BF12 BJ12:BJ13 BL12:BL14 BN12:BN24 BP12:BP15 BJ15:BJ24 BH16 BF17:BF24 BC27 AY32">
    <cfRule type="expression" dxfId="2" priority="1426">
      <formula>BC7="BigNĐ"</formula>
    </cfRule>
  </conditionalFormatting>
  <conditionalFormatting sqref="BC7:BC24 BR7:BR24 BN9:BN10 BF10 BH10 BJ10 BL10 BP10 BF12 BJ12:BJ13 BL12:BL14 BN12:BN24 BP12:BP15 BJ15:BJ24 BH16 BF17:BF24 BC27 AY32">
    <cfRule type="expression" dxfId="2" priority="1427">
      <formula>BC7="GaNĐ"</formula>
    </cfRule>
  </conditionalFormatting>
  <conditionalFormatting sqref="BC8:BC24 BF8:BF24 BH8:BH9 BL9 BN9:BN10 BP9 BJ10 BH11 BL12 BP12:BP13 BA13 BJ13:BJ14 BP15 BJ16 BN16 BJ18 BC26:BC39 BF27 BF29:BF30 BH29:BH30 AY32 BA32">
    <cfRule type="expression" dxfId="1" priority="1428">
      <formula>BC8="BigNB"</formula>
    </cfRule>
  </conditionalFormatting>
  <conditionalFormatting sqref="BC8:BC24 BF8:BF24 BH8:BH9 BL9 BN9:BN10 BP9 BJ10 BH11 BL12 BP12:BP13 BA13 BJ13:BJ14 BP15 BJ16 BN16 BJ18 BC26:BC39 BF27 BF29:BF30 BH29:BH30 AY32 BA32">
    <cfRule type="expression" dxfId="1" priority="1429">
      <formula>BC8="GaNB"</formula>
    </cfRule>
  </conditionalFormatting>
  <conditionalFormatting sqref="BC8:BC24 BF8:BF24 BH8:BH9 BL9 BN9:BN10 BP9 BJ10 BH11 BL12 BP12:BP13 BA13 BJ13:BJ14 BP15 BJ16 BN16 BJ18 BC26:BC39 BF27 BF29:BF30 BH29:BH30 AY32 BA32">
    <cfRule type="expression" dxfId="2" priority="1430">
      <formula>BC8="BigNĐ"</formula>
    </cfRule>
  </conditionalFormatting>
  <conditionalFormatting sqref="BC8:BC24 BF8:BF24 BH8:BH9 BL9 BN9:BN10 BP9 BJ10 BH11 BL12 BP12:BP13 BA13 BJ13:BJ14 BP15 BJ16 BN16 BJ18 BC26:BC39 BF27 BF29:BF30 BH29:BH30 AY32 BA32">
    <cfRule type="expression" dxfId="2" priority="1431">
      <formula>BC8="GaNĐ"</formula>
    </cfRule>
  </conditionalFormatting>
  <conditionalFormatting sqref="BE7:BE24 BG10:BG24 BI10:BI24 BK10:BK24 BM10:BM24 BO10:BO24 BQ14">
    <cfRule type="expression" dxfId="20" priority="1432">
      <formula>BE7="C6"</formula>
    </cfRule>
  </conditionalFormatting>
  <conditionalFormatting sqref="BE7:BE24 BG10:BG24 BI10:BI24 BK10:BK24 BM10:BM24 BO10:BO24 BQ14">
    <cfRule type="expression" dxfId="21" priority="1433">
      <formula>BE7="TC6"</formula>
    </cfRule>
  </conditionalFormatting>
  <conditionalFormatting sqref="BE7:BE24 BG10:BG24 BI10:BI24 BK10:BK24 BM10:BM24 BO10:BO24 BQ14">
    <cfRule type="expression" dxfId="21" priority="1434">
      <formula>BE7="TC5"</formula>
    </cfRule>
  </conditionalFormatting>
  <conditionalFormatting sqref="BE7:BE24 BG10:BG24 BI10:BI24 BK10:BK24 BM10:BM24 BO10:BO24 BQ14">
    <cfRule type="expression" dxfId="21" priority="1435">
      <formula>BE7="TC4"</formula>
    </cfRule>
  </conditionalFormatting>
  <conditionalFormatting sqref="BE7:BE24 BG10:BG24 BI10:BI24 BK10:BK24 BM10:BM24 BO10:BO24 BQ14">
    <cfRule type="expression" dxfId="21" priority="1436">
      <formula>BE7="TC3"</formula>
    </cfRule>
  </conditionalFormatting>
  <conditionalFormatting sqref="BE7:BE24 BG10:BG24 BI10:BI24 BK10:BK24 BM10:BM24 BO10:BO24 BQ14">
    <cfRule type="expression" dxfId="21" priority="1437">
      <formula>BE7="TC2"</formula>
    </cfRule>
  </conditionalFormatting>
  <conditionalFormatting sqref="BE7:BE24 BG10:BG24 BI10:BI24 BK10:BK24 BM10:BM24 BO10:BO24 BQ14">
    <cfRule type="expression" dxfId="21" priority="1438">
      <formula>BE7="TC1"</formula>
    </cfRule>
  </conditionalFormatting>
  <conditionalFormatting sqref="BE7:BE24 BG10:BG24 BI10:BI24 BK10:BK24 BM10:BM24 BO10:BO24 BQ14">
    <cfRule type="expression" dxfId="8" priority="1439">
      <formula>BE7="Full"</formula>
    </cfRule>
  </conditionalFormatting>
  <conditionalFormatting sqref="BE7:BE24 BG10:BG24 BI10:BI24 BK10:BK24 BM10:BM24 BO10:BO24 BQ14">
    <cfRule type="expression" dxfId="9" priority="1440">
      <formula>BE7="OFF"</formula>
    </cfRule>
  </conditionalFormatting>
  <conditionalFormatting sqref="BE7:BE24 BG10:BG24 BI10:BI24 BK10:BK24 BM10:BM24 BO10:BO24 BQ14">
    <cfRule type="expression" dxfId="10" priority="1441">
      <formula>BE7="Gãy 2"</formula>
    </cfRule>
  </conditionalFormatting>
  <conditionalFormatting sqref="BE7:BE24 BG10:BG24 BI10:BI24 BK10:BK24 BM10:BM24 BO10:BO24 BQ14">
    <cfRule type="expression" dxfId="10" priority="1442">
      <formula>BE7="Gãy 1"</formula>
    </cfRule>
  </conditionalFormatting>
  <conditionalFormatting sqref="BE7:BE24 BG10:BG24 BI10:BI24 BK10:BK24 BM10:BM24 BO10:BO24 BQ14">
    <cfRule type="expression" dxfId="22" priority="1443">
      <formula>BE7="HC4"</formula>
    </cfRule>
  </conditionalFormatting>
  <conditionalFormatting sqref="BE7:BE24 BG10:BG24 BI10:BI24 BK10:BK24 BM10:BM24 BO10:BO24 BQ14">
    <cfRule type="expression" dxfId="22" priority="1444">
      <formula>BE7="HC3"</formula>
    </cfRule>
  </conditionalFormatting>
  <conditionalFormatting sqref="BE7:BE24 BG10:BG24 BI10:BI24 BK10:BK24 BM10:BM24 BO10:BO24 BQ14">
    <cfRule type="expression" dxfId="22" priority="1445">
      <formula>BE7="HC2"</formula>
    </cfRule>
  </conditionalFormatting>
  <conditionalFormatting sqref="BE7:BE24 BG10:BG24 BI10:BI24 BK10:BK24 BM10:BM24 BO10:BO24 BQ14">
    <cfRule type="expression" dxfId="22" priority="1446">
      <formula>BE7="HC1"</formula>
    </cfRule>
  </conditionalFormatting>
  <conditionalFormatting sqref="BE7:BE24 BG10:BG24 BI10:BI24 BK10:BK24 BM10:BM24 BO10:BO24 BQ14">
    <cfRule type="expression" dxfId="23" priority="1447">
      <formula>BE7="C5"</formula>
    </cfRule>
  </conditionalFormatting>
  <conditionalFormatting sqref="BE7:BE24 BG10:BG24 BI10:BI24 BK10:BK24 BM10:BM24 BO10:BO24 BQ14">
    <cfRule type="expression" dxfId="24" priority="1448">
      <formula>BE7="C4"</formula>
    </cfRule>
  </conditionalFormatting>
  <conditionalFormatting sqref="BE7:BE24 BG10:BG24 BI10:BI24 BK10:BK24 BM10:BM24 BO10:BO24 BQ14">
    <cfRule type="expression" dxfId="25" priority="1449">
      <formula>BE7="C3"</formula>
    </cfRule>
  </conditionalFormatting>
  <conditionalFormatting sqref="BE7:BE24 BG10:BG24 BI10:BI24 BK10:BK24 BM10:BM24 BO10:BO24 BQ14">
    <cfRule type="expression" dxfId="20" priority="1450">
      <formula>BE7="C2"</formula>
    </cfRule>
  </conditionalFormatting>
  <conditionalFormatting sqref="BE7:BE24 BG10:BG24 BI10:BI24 BK10:BK24 BM10:BM24 BO10:BO24 BQ14">
    <cfRule type="expression" dxfId="26" priority="1451">
      <formula>BE7="C1"</formula>
    </cfRule>
  </conditionalFormatting>
  <conditionalFormatting sqref="BE7:BE24 BG10:BG24 BI10:BI24 BK10:BK24 BM10:BM24 BO10:BO24 BQ14">
    <cfRule type="expression" dxfId="16" priority="1452">
      <formula>BE7="S4"</formula>
    </cfRule>
  </conditionalFormatting>
  <conditionalFormatting sqref="BE7:BE24 BG10:BG24 BI10:BI24 BK10:BK24 BM10:BM24 BO10:BO24 BQ14">
    <cfRule type="expression" dxfId="17" priority="1453">
      <formula>BE7="S3"</formula>
    </cfRule>
  </conditionalFormatting>
  <conditionalFormatting sqref="BE7:BE24 BG10:BG24 BI10:BI24 BK10:BK24 BM10:BM24 BO10:BO24 BQ14">
    <cfRule type="expression" dxfId="18" priority="1454">
      <formula>BE7="S2"</formula>
    </cfRule>
  </conditionalFormatting>
  <conditionalFormatting sqref="BE7:BE24 BG10:BG24 BI10:BI24 BK10:BK24 BM10:BM24 BO10:BO24 BQ14">
    <cfRule type="expression" dxfId="19" priority="1455">
      <formula>BE7="S1"</formula>
    </cfRule>
  </conditionalFormatting>
  <conditionalFormatting sqref="BE26:BE40 BG26:BG39 BI26:BI39 BK26:BK39 BM26:BM39 BO26:BO39 BQ26:BQ39">
    <cfRule type="expression" dxfId="20" priority="1456">
      <formula>BE26="C6"</formula>
    </cfRule>
  </conditionalFormatting>
  <conditionalFormatting sqref="BE26:BE40 BG26:BG39 BI26:BI39 BK26:BK39 BM26:BM39 BO26:BO39 BQ26:BQ39">
    <cfRule type="expression" dxfId="21" priority="1457">
      <formula>BE26="TC6"</formula>
    </cfRule>
  </conditionalFormatting>
  <conditionalFormatting sqref="BE26:BE40 BG26:BG39 BI26:BI39 BK26:BK39 BM26:BM39 BO26:BO39 BQ26:BQ39">
    <cfRule type="expression" dxfId="21" priority="1458">
      <formula>BE26="TC5"</formula>
    </cfRule>
  </conditionalFormatting>
  <conditionalFormatting sqref="BE26:BE40 BG26:BG39 BI26:BI39 BK26:BK39 BM26:BM39 BO26:BO39 BQ26:BQ39">
    <cfRule type="expression" dxfId="21" priority="1459">
      <formula>BE26="TC4"</formula>
    </cfRule>
  </conditionalFormatting>
  <conditionalFormatting sqref="BE26:BE40 BG26:BG39 BI26:BI39 BK26:BK39 BM26:BM39 BO26:BO39 BQ26:BQ39">
    <cfRule type="expression" dxfId="21" priority="1460">
      <formula>BE26="TC3"</formula>
    </cfRule>
  </conditionalFormatting>
  <conditionalFormatting sqref="BE26:BE40 BG26:BG39 BI26:BI39 BK26:BK39 BM26:BM39 BO26:BO39 BQ26:BQ39">
    <cfRule type="expression" dxfId="21" priority="1461">
      <formula>BE26="TC2"</formula>
    </cfRule>
  </conditionalFormatting>
  <conditionalFormatting sqref="BE26:BE40 BG26:BG39 BI26:BI39 BK26:BK39 BM26:BM39 BO26:BO39 BQ26:BQ39">
    <cfRule type="expression" dxfId="21" priority="1462">
      <formula>BE26="TC1"</formula>
    </cfRule>
  </conditionalFormatting>
  <conditionalFormatting sqref="BE26:BE40 BG26:BG39 BI26:BI39 BK26:BK39 BM26:BM39 BO26:BO39 BQ26:BQ39">
    <cfRule type="expression" dxfId="8" priority="1463">
      <formula>BE26="Full"</formula>
    </cfRule>
  </conditionalFormatting>
  <conditionalFormatting sqref="BE26:BE40 BG26:BG39 BI26:BI39 BK26:BK39 BM26:BM39 BO26:BO39 BQ26:BQ39">
    <cfRule type="expression" dxfId="9" priority="1464">
      <formula>BE26="OFF"</formula>
    </cfRule>
  </conditionalFormatting>
  <conditionalFormatting sqref="BE26:BE40 BG26:BG39 BI26:BI39 BK26:BK39 BM26:BM39 BO26:BO39 BQ26:BQ39">
    <cfRule type="expression" dxfId="10" priority="1465">
      <formula>BE26="Gãy 2"</formula>
    </cfRule>
  </conditionalFormatting>
  <conditionalFormatting sqref="BE26:BE40 BG26:BG39 BI26:BI39 BK26:BK39 BM26:BM39 BO26:BO39 BQ26:BQ39">
    <cfRule type="expression" dxfId="10" priority="1466">
      <formula>BE26="Gãy 1"</formula>
    </cfRule>
  </conditionalFormatting>
  <conditionalFormatting sqref="BE26:BE40 BG26:BG39 BI26:BI39 BK26:BK39 BM26:BM39 BO26:BO39 BQ26:BQ39">
    <cfRule type="expression" dxfId="22" priority="1467">
      <formula>BE26="HC4"</formula>
    </cfRule>
  </conditionalFormatting>
  <conditionalFormatting sqref="BE26:BE40 BG26:BG39 BI26:BI39 BK26:BK39 BM26:BM39 BO26:BO39 BQ26:BQ39">
    <cfRule type="expression" dxfId="22" priority="1468">
      <formula>BE26="HC3"</formula>
    </cfRule>
  </conditionalFormatting>
  <conditionalFormatting sqref="BE26:BE40 BG26:BG39 BI26:BI39 BK26:BK39 BM26:BM39 BO26:BO39 BQ26:BQ39">
    <cfRule type="expression" dxfId="22" priority="1469">
      <formula>BE26="HC2"</formula>
    </cfRule>
  </conditionalFormatting>
  <conditionalFormatting sqref="BE26:BE40 BG26:BG39 BI26:BI39 BK26:BK39 BM26:BM39 BO26:BO39 BQ26:BQ39">
    <cfRule type="expression" dxfId="22" priority="1470">
      <formula>BE26="HC1"</formula>
    </cfRule>
  </conditionalFormatting>
  <conditionalFormatting sqref="BE26:BE40 BG26:BG39 BI26:BI39 BK26:BK39 BM26:BM39 BO26:BO39 BQ26:BQ39">
    <cfRule type="expression" dxfId="23" priority="1471">
      <formula>BE26="C5"</formula>
    </cfRule>
  </conditionalFormatting>
  <conditionalFormatting sqref="BE26:BE40 BG26:BG39 BI26:BI39 BK26:BK39 BM26:BM39 BO26:BO39 BQ26:BQ39">
    <cfRule type="expression" dxfId="24" priority="1472">
      <formula>BE26="C4"</formula>
    </cfRule>
  </conditionalFormatting>
  <conditionalFormatting sqref="BE26:BE40 BG26:BG39 BI26:BI39 BK26:BK39 BM26:BM39 BO26:BO39 BQ26:BQ39">
    <cfRule type="expression" dxfId="25" priority="1473">
      <formula>BE26="C3"</formula>
    </cfRule>
  </conditionalFormatting>
  <conditionalFormatting sqref="BE26:BE40 BG26:BG39 BI26:BI39 BK26:BK39 BM26:BM39 BO26:BO39 BQ26:BQ39">
    <cfRule type="expression" dxfId="20" priority="1474">
      <formula>BE26="C2"</formula>
    </cfRule>
  </conditionalFormatting>
  <conditionalFormatting sqref="BE26:BE40 BG26:BG39 BI26:BI39 BK26:BK39 BM26:BM39 BO26:BO39 BQ26:BQ39">
    <cfRule type="expression" dxfId="26" priority="1475">
      <formula>BE26="C1"</formula>
    </cfRule>
  </conditionalFormatting>
  <conditionalFormatting sqref="BE26:BE40 BG26:BG39 BI26:BI39 BK26:BK39 BM26:BM39 BO26:BO39 BQ26:BQ39">
    <cfRule type="expression" dxfId="16" priority="1476">
      <formula>BE26="S4"</formula>
    </cfRule>
  </conditionalFormatting>
  <conditionalFormatting sqref="BE26:BE40 BG26:BG39 BI26:BI39 BK26:BK39 BM26:BM39 BO26:BO39 BQ26:BQ39">
    <cfRule type="expression" dxfId="17" priority="1477">
      <formula>BE26="S3"</formula>
    </cfRule>
  </conditionalFormatting>
  <conditionalFormatting sqref="BE26:BE40 BG26:BG39 BI26:BI39 BK26:BK39 BM26:BM39 BO26:BO39 BQ26:BQ39">
    <cfRule type="expression" dxfId="18" priority="1478">
      <formula>BE26="S2"</formula>
    </cfRule>
  </conditionalFormatting>
  <conditionalFormatting sqref="BE26:BE40 BG26:BG39 BI26:BI39 BK26:BK39 BM26:BM39 BO26:BO39 BQ26:BQ39">
    <cfRule type="expression" dxfId="19" priority="1479">
      <formula>BE26="S1"</formula>
    </cfRule>
  </conditionalFormatting>
  <conditionalFormatting sqref="BF7:BF24 BH9 BL9 BP9 BJ10 BN10 BH11 BL12:BL14 BP12:BP16 BH13 BJ13:BJ14 BR13 BC14 BH15 BL16 BN16 BJ18 BC27 AY32">
    <cfRule type="expression" dxfId="1" priority="1480">
      <formula>BF7="BigNB"</formula>
    </cfRule>
  </conditionalFormatting>
  <conditionalFormatting sqref="BF7:BF24 BH9 BL9 BP9 BJ10 BN10 BH11 BL12:BL14 BP12:BP16 BH13 BJ13:BJ14 BR13 BC14 BH15 BL16 BN16 BJ18 BC27 AY32">
    <cfRule type="expression" dxfId="1" priority="1481">
      <formula>BF7="GaNB"</formula>
    </cfRule>
  </conditionalFormatting>
  <conditionalFormatting sqref="BF7:BF24 BH9 BL9 BP9 BJ10 BN10 BH11 BL12:BL14 BP12:BP16 BH13 BJ13:BJ14 BR13 BC14 BH15 BL16 BN16 BJ18 BC27 AY32">
    <cfRule type="expression" dxfId="2" priority="1482">
      <formula>BF7="BigNĐ"</formula>
    </cfRule>
  </conditionalFormatting>
  <conditionalFormatting sqref="BF7:BF24 BH9 BL9 BP9 BJ10 BN10 BH11 BL12:BL14 BP12:BP16 BH13 BJ13:BJ14 BR13 BC14 BH15 BL16 BN16 BJ18 BC27 AY32">
    <cfRule type="expression" dxfId="2" priority="1483">
      <formula>BF7="GaNĐ"</formula>
    </cfRule>
  </conditionalFormatting>
  <conditionalFormatting sqref="BC8:BC24 BF8:BF24 BH8:BH9 BN8:BN24 BP8:BP24 AY9 BL9 BJ10 BH11 BL12 BA13 BJ13:BJ14 BJ16 BJ18 BF26:BF39 BC27 BH29:BH30 BN29:BN30 BP29:BP30 AY32 BA32 BC32 BH33:BH39 BJ33:BJ39 BL33:BL39 BN34:BN39">
    <cfRule type="expression" dxfId="1" priority="1484">
      <formula>BC8="BigNB"</formula>
    </cfRule>
  </conditionalFormatting>
  <conditionalFormatting sqref="BC8:BC24 BF8:BF24 BH8:BH9 BN8:BN24 BP8:BP24 AY9 BL9 BJ10 BH11 BL12 BA13 BJ13:BJ14 BJ16 BJ18 BF26:BF39 BC27 BH29:BH30 BN29:BN30 BP29:BP30 AY32 BA32 BC32 BH33:BH39 BJ33:BJ39 BL33:BL39 BN34:BN39">
    <cfRule type="expression" dxfId="1" priority="1485">
      <formula>BC8="GaNB"</formula>
    </cfRule>
  </conditionalFormatting>
  <conditionalFormatting sqref="BC8:BC24 BF8:BF24 BH8:BH9 BN8:BN24 BP8:BP24 AY9 BL9 BJ10 BH11 BL12 BA13 BJ13:BJ14 BJ16 BJ18 BF26:BF39 BC27 BH29:BH30 BN29:BN30 BP29:BP30 AY32 BA32 BC32 BH33:BH39 BJ33:BJ39 BL33:BL39 BN34:BN39">
    <cfRule type="expression" dxfId="2" priority="1486">
      <formula>BC8="BigNĐ"</formula>
    </cfRule>
  </conditionalFormatting>
  <conditionalFormatting sqref="BC8:BC24 BF8:BF24 BH8:BH9 BN8:BN24 BP8:BP24 AY9 BL9 BJ10 BH11 BL12 BA13 BJ13:BJ14 BJ16 BJ18 BF26:BF39 BC27 BH29:BH30 BN29:BN30 BP29:BP30 AY32 BA32 BC32 BH33:BH39 BJ33:BJ39 BL33:BL39 BN34:BN39">
    <cfRule type="expression" dxfId="2" priority="1487">
      <formula>BC8="GaNĐ"</formula>
    </cfRule>
  </conditionalFormatting>
  <conditionalFormatting sqref="BG7:BG24 BI7:BI24 BK7:BK24 BM7:BM24 BO7:BO24 BE8:BE24 BQ12 BQ14">
    <cfRule type="expression" dxfId="20" priority="1488">
      <formula>BG7="C6"</formula>
    </cfRule>
  </conditionalFormatting>
  <conditionalFormatting sqref="BG7:BG24 BI7:BI24 BK7:BK24 BM7:BM24 BO7:BO24 BE8:BE24 BQ12 BQ14">
    <cfRule type="expression" dxfId="21" priority="1489">
      <formula>BG7="TC6"</formula>
    </cfRule>
  </conditionalFormatting>
  <conditionalFormatting sqref="BG7:BG24 BI7:BI24 BK7:BK24 BM7:BM24 BO7:BO24 BE8:BE24 BQ12 BQ14">
    <cfRule type="expression" dxfId="21" priority="1490">
      <formula>BG7="TC5"</formula>
    </cfRule>
  </conditionalFormatting>
  <conditionalFormatting sqref="BG7:BG24 BI7:BI24 BK7:BK24 BM7:BM24 BO7:BO24 BE8:BE24 BQ12 BQ14">
    <cfRule type="expression" dxfId="21" priority="1491">
      <formula>BG7="TC4"</formula>
    </cfRule>
  </conditionalFormatting>
  <conditionalFormatting sqref="BG7:BG24 BI7:BI24 BK7:BK24 BM7:BM24 BO7:BO24 BE8:BE24 BQ12 BQ14">
    <cfRule type="expression" dxfId="21" priority="1492">
      <formula>BG7="TC3"</formula>
    </cfRule>
  </conditionalFormatting>
  <conditionalFormatting sqref="BG7:BG24 BI7:BI24 BK7:BK24 BM7:BM24 BO7:BO24 BE8:BE24 BQ12 BQ14">
    <cfRule type="expression" dxfId="21" priority="1493">
      <formula>BG7="TC2"</formula>
    </cfRule>
  </conditionalFormatting>
  <conditionalFormatting sqref="BG7:BG24 BI7:BI24 BK7:BK24 BM7:BM24 BO7:BO24 BE8:BE24 BQ12 BQ14">
    <cfRule type="expression" dxfId="21" priority="1494">
      <formula>BG7="TC1"</formula>
    </cfRule>
  </conditionalFormatting>
  <conditionalFormatting sqref="BG7:BG24 BI7:BI24 BK7:BK24 BM7:BM24 BO7:BO24 BE8:BE24 BQ12 BQ14">
    <cfRule type="expression" dxfId="8" priority="1495">
      <formula>BG7="Full"</formula>
    </cfRule>
  </conditionalFormatting>
  <conditionalFormatting sqref="BG7:BG24 BI7:BI24 BK7:BK24 BM7:BM24 BO7:BO24 BE8:BE24 BQ12 BQ14">
    <cfRule type="expression" dxfId="9" priority="1496">
      <formula>BG7="OFF"</formula>
    </cfRule>
  </conditionalFormatting>
  <conditionalFormatting sqref="BG7:BG24 BI7:BI24 BK7:BK24 BM7:BM24 BO7:BO24 BE8:BE24 BQ12 BQ14">
    <cfRule type="expression" dxfId="10" priority="1497">
      <formula>BG7="Gãy 2"</formula>
    </cfRule>
  </conditionalFormatting>
  <conditionalFormatting sqref="BG7:BG24 BI7:BI24 BK7:BK24 BM7:BM24 BO7:BO24 BE8:BE24 BQ12 BQ14">
    <cfRule type="expression" dxfId="10" priority="1498">
      <formula>BG7="Gãy 1"</formula>
    </cfRule>
  </conditionalFormatting>
  <conditionalFormatting sqref="BG7:BG24 BI7:BI24 BK7:BK24 BM7:BM24 BO7:BO24 BE8:BE24 BQ12 BQ14">
    <cfRule type="expression" dxfId="22" priority="1499">
      <formula>BG7="HC4"</formula>
    </cfRule>
  </conditionalFormatting>
  <conditionalFormatting sqref="BG7:BG24 BI7:BI24 BK7:BK24 BM7:BM24 BO7:BO24 BE8:BE24 BQ12 BQ14">
    <cfRule type="expression" dxfId="22" priority="1500">
      <formula>BG7="HC3"</formula>
    </cfRule>
  </conditionalFormatting>
  <conditionalFormatting sqref="BG7:BG24 BI7:BI24 BK7:BK24 BM7:BM24 BO7:BO24 BE8:BE24 BQ12 BQ14">
    <cfRule type="expression" dxfId="22" priority="1501">
      <formula>BG7="HC2"</formula>
    </cfRule>
  </conditionalFormatting>
  <conditionalFormatting sqref="BG7:BG24 BI7:BI24 BK7:BK24 BM7:BM24 BO7:BO24 BE8:BE24 BQ12 BQ14">
    <cfRule type="expression" dxfId="22" priority="1502">
      <formula>BG7="HC1"</formula>
    </cfRule>
  </conditionalFormatting>
  <conditionalFormatting sqref="BG7:BG24 BI7:BI24 BK7:BK24 BM7:BM24 BO7:BO24 BE8:BE24 BQ12 BQ14">
    <cfRule type="expression" dxfId="23" priority="1503">
      <formula>BG7="C5"</formula>
    </cfRule>
  </conditionalFormatting>
  <conditionalFormatting sqref="BG7:BG24 BI7:BI24 BK7:BK24 BM7:BM24 BO7:BO24 BE8:BE24 BQ12 BQ14">
    <cfRule type="expression" dxfId="24" priority="1504">
      <formula>BG7="C4"</formula>
    </cfRule>
  </conditionalFormatting>
  <conditionalFormatting sqref="BG7:BG24 BI7:BI24 BK7:BK24 BM7:BM24 BO7:BO24 BE8:BE24 BQ12 BQ14">
    <cfRule type="expression" dxfId="25" priority="1505">
      <formula>BG7="C3"</formula>
    </cfRule>
  </conditionalFormatting>
  <conditionalFormatting sqref="BG7:BG24 BI7:BI24 BK7:BK24 BM7:BM24 BO7:BO24 BE8:BE24 BQ12 BQ14">
    <cfRule type="expression" dxfId="20" priority="1506">
      <formula>BG7="C2"</formula>
    </cfRule>
  </conditionalFormatting>
  <conditionalFormatting sqref="BG7:BG24 BI7:BI24 BK7:BK24 BM7:BM24 BO7:BO24 BE8:BE24 BQ12 BQ14">
    <cfRule type="expression" dxfId="26" priority="1507">
      <formula>BG7="C1"</formula>
    </cfRule>
  </conditionalFormatting>
  <conditionalFormatting sqref="BG7:BG24 BI7:BI24 BK7:BK24 BM7:BM24 BO7:BO24 BE8:BE24 BQ12 BQ14">
    <cfRule type="expression" dxfId="16" priority="1508">
      <formula>BG7="S4"</formula>
    </cfRule>
  </conditionalFormatting>
  <conditionalFormatting sqref="BG7:BG24 BI7:BI24 BK7:BK24 BM7:BM24 BO7:BO24 BE8:BE24 BQ12 BQ14">
    <cfRule type="expression" dxfId="17" priority="1509">
      <formula>BG7="S3"</formula>
    </cfRule>
  </conditionalFormatting>
  <conditionalFormatting sqref="BG7:BG24 BI7:BI24 BK7:BK24 BM7:BM24 BO7:BO24 BE8:BE24 BQ12 BQ14">
    <cfRule type="expression" dxfId="18" priority="1510">
      <formula>BG7="S2"</formula>
    </cfRule>
  </conditionalFormatting>
  <conditionalFormatting sqref="BG7:BG24 BI7:BI24 BK7:BK24 BM7:BM24 BO7:BO24 BE8:BE24 BQ12 BQ14">
    <cfRule type="expression" dxfId="19" priority="1511">
      <formula>BG7="S1"</formula>
    </cfRule>
  </conditionalFormatting>
  <conditionalFormatting sqref="BG26:BG40 BI26:BI39 BK26:BK39 BM26:BM39 BO26:BO39 BQ26:BQ27 BQ29 BQ31:BQ39">
    <cfRule type="expression" dxfId="20" priority="1512">
      <formula>BG26="C6"</formula>
    </cfRule>
  </conditionalFormatting>
  <conditionalFormatting sqref="BG26:BG40 BI26:BI39 BK26:BK39 BM26:BM39 BO26:BO39 BQ26:BQ27 BQ29 BQ31:BQ39">
    <cfRule type="expression" dxfId="21" priority="1513">
      <formula>BG26="TC6"</formula>
    </cfRule>
  </conditionalFormatting>
  <conditionalFormatting sqref="BG26:BG40 BI26:BI39 BK26:BK39 BM26:BM39 BO26:BO39 BQ26:BQ27 BQ29 BQ31:BQ39">
    <cfRule type="expression" dxfId="21" priority="1514">
      <formula>BG26="TC5"</formula>
    </cfRule>
  </conditionalFormatting>
  <conditionalFormatting sqref="BG26:BG40 BI26:BI39 BK26:BK39 BM26:BM39 BO26:BO39 BQ26:BQ27 BQ29 BQ31:BQ39">
    <cfRule type="expression" dxfId="21" priority="1515">
      <formula>BG26="TC4"</formula>
    </cfRule>
  </conditionalFormatting>
  <conditionalFormatting sqref="BG26:BG40 BI26:BI39 BK26:BK39 BM26:BM39 BO26:BO39 BQ26:BQ27 BQ29 BQ31:BQ39">
    <cfRule type="expression" dxfId="21" priority="1516">
      <formula>BG26="TC3"</formula>
    </cfRule>
  </conditionalFormatting>
  <conditionalFormatting sqref="BG26:BG40 BI26:BI39 BK26:BK39 BM26:BM39 BO26:BO39 BQ26:BQ27 BQ29 BQ31:BQ39">
    <cfRule type="expression" dxfId="21" priority="1517">
      <formula>BG26="TC2"</formula>
    </cfRule>
  </conditionalFormatting>
  <conditionalFormatting sqref="BG26:BG40 BI26:BI39 BK26:BK39 BM26:BM39 BO26:BO39 BQ26:BQ27 BQ29 BQ31:BQ39">
    <cfRule type="expression" dxfId="21" priority="1518">
      <formula>BG26="TC1"</formula>
    </cfRule>
  </conditionalFormatting>
  <conditionalFormatting sqref="BG26:BG40 BI26:BI39 BK26:BK39 BM26:BM39 BO26:BO39 BQ26:BQ27 BQ29 BQ31:BQ39">
    <cfRule type="expression" dxfId="8" priority="1519">
      <formula>BG26="Full"</formula>
    </cfRule>
  </conditionalFormatting>
  <conditionalFormatting sqref="BG26:BG40 BI26:BI39 BK26:BK39 BM26:BM39 BO26:BO39 BQ26:BQ27 BQ29 BQ31:BQ39">
    <cfRule type="expression" dxfId="9" priority="1520">
      <formula>BG26="OFF"</formula>
    </cfRule>
  </conditionalFormatting>
  <conditionalFormatting sqref="BG26:BG40 BI26:BI39 BK26:BK39 BM26:BM39 BO26:BO39 BQ26:BQ27 BQ29 BQ31:BQ39">
    <cfRule type="expression" dxfId="10" priority="1521">
      <formula>BG26="Gãy 2"</formula>
    </cfRule>
  </conditionalFormatting>
  <conditionalFormatting sqref="BG26:BG40 BI26:BI39 BK26:BK39 BM26:BM39 BO26:BO39 BQ26:BQ27 BQ29 BQ31:BQ39">
    <cfRule type="expression" dxfId="10" priority="1522">
      <formula>BG26="Gãy 1"</formula>
    </cfRule>
  </conditionalFormatting>
  <conditionalFormatting sqref="BG26:BG40 BI26:BI39 BK26:BK39 BM26:BM39 BO26:BO39 BQ26:BQ27 BQ29 BQ31:BQ39">
    <cfRule type="expression" dxfId="22" priority="1523">
      <formula>BG26="HC4"</formula>
    </cfRule>
  </conditionalFormatting>
  <conditionalFormatting sqref="BG26:BG40 BI26:BI39 BK26:BK39 BM26:BM39 BO26:BO39 BQ26:BQ27 BQ29 BQ31:BQ39">
    <cfRule type="expression" dxfId="22" priority="1524">
      <formula>BG26="HC3"</formula>
    </cfRule>
  </conditionalFormatting>
  <conditionalFormatting sqref="BG26:BG40 BI26:BI39 BK26:BK39 BM26:BM39 BO26:BO39 BQ26:BQ27 BQ29 BQ31:BQ39">
    <cfRule type="expression" dxfId="22" priority="1525">
      <formula>BG26="HC2"</formula>
    </cfRule>
  </conditionalFormatting>
  <conditionalFormatting sqref="BG26:BG40 BI26:BI39 BK26:BK39 BM26:BM39 BO26:BO39 BQ26:BQ27 BQ29 BQ31:BQ39">
    <cfRule type="expression" dxfId="22" priority="1526">
      <formula>BG26="HC1"</formula>
    </cfRule>
  </conditionalFormatting>
  <conditionalFormatting sqref="BG26:BG40 BI26:BI39 BK26:BK39 BM26:BM39 BO26:BO39 BQ26:BQ27 BQ29 BQ31:BQ39">
    <cfRule type="expression" dxfId="23" priority="1527">
      <formula>BG26="C5"</formula>
    </cfRule>
  </conditionalFormatting>
  <conditionalFormatting sqref="BG26:BG40 BI26:BI39 BK26:BK39 BM26:BM39 BO26:BO39 BQ26:BQ27 BQ29 BQ31:BQ39">
    <cfRule type="expression" dxfId="24" priority="1528">
      <formula>BG26="C4"</formula>
    </cfRule>
  </conditionalFormatting>
  <conditionalFormatting sqref="BG26:BG40 BI26:BI39 BK26:BK39 BM26:BM39 BO26:BO39 BQ26:BQ27 BQ29 BQ31:BQ39">
    <cfRule type="expression" dxfId="25" priority="1529">
      <formula>BG26="C3"</formula>
    </cfRule>
  </conditionalFormatting>
  <conditionalFormatting sqref="BG26:BG40 BI26:BI39 BK26:BK39 BM26:BM39 BO26:BO39 BQ26:BQ27 BQ29 BQ31:BQ39">
    <cfRule type="expression" dxfId="20" priority="1530">
      <formula>BG26="C2"</formula>
    </cfRule>
  </conditionalFormatting>
  <conditionalFormatting sqref="BG26:BG40 BI26:BI39 BK26:BK39 BM26:BM39 BO26:BO39 BQ26:BQ27 BQ29 BQ31:BQ39">
    <cfRule type="expression" dxfId="26" priority="1531">
      <formula>BG26="C1"</formula>
    </cfRule>
  </conditionalFormatting>
  <conditionalFormatting sqref="BG26:BG40 BI26:BI39 BK26:BK39 BM26:BM39 BO26:BO39 BQ26:BQ27 BQ29 BQ31:BQ39">
    <cfRule type="expression" dxfId="16" priority="1532">
      <formula>BG26="S4"</formula>
    </cfRule>
  </conditionalFormatting>
  <conditionalFormatting sqref="BG26:BG40 BI26:BI39 BK26:BK39 BM26:BM39 BO26:BO39 BQ26:BQ27 BQ29 BQ31:BQ39">
    <cfRule type="expression" dxfId="17" priority="1533">
      <formula>BG26="S3"</formula>
    </cfRule>
  </conditionalFormatting>
  <conditionalFormatting sqref="BG26:BG40 BI26:BI39 BK26:BK39 BM26:BM39 BO26:BO39 BQ26:BQ27 BQ29 BQ31:BQ39">
    <cfRule type="expression" dxfId="18" priority="1534">
      <formula>BG26="S2"</formula>
    </cfRule>
  </conditionalFormatting>
  <conditionalFormatting sqref="BG26:BG40 BI26:BI39 BK26:BK39 BM26:BM39 BO26:BO39 BQ26:BQ27 BQ29 BQ31:BQ39">
    <cfRule type="expression" dxfId="19" priority="1535">
      <formula>BG26="S1"</formula>
    </cfRule>
  </conditionalFormatting>
  <conditionalFormatting sqref="BH7:BH24 BN9 BJ10:BJ11 BL12:BL14 BP12:BP15 BR13 BJ14 BJ16 BJ18:BJ21">
    <cfRule type="expression" dxfId="1" priority="1536">
      <formula>BH7="BigNB"</formula>
    </cfRule>
  </conditionalFormatting>
  <conditionalFormatting sqref="BH7:BH24 BN9 BJ10:BJ11 BL12:BL14 BP12:BP15 BR13 BJ14 BJ16 BJ18:BJ21">
    <cfRule type="expression" dxfId="1" priority="1537">
      <formula>BH7="GaNB"</formula>
    </cfRule>
  </conditionalFormatting>
  <conditionalFormatting sqref="BH7:BH24 BN9 BJ10:BJ11 BL12:BL14 BP12:BP15 BR13 BJ14 BJ16 BJ18:BJ21">
    <cfRule type="expression" dxfId="2" priority="1538">
      <formula>BH7="BigNĐ"</formula>
    </cfRule>
  </conditionalFormatting>
  <conditionalFormatting sqref="BH7:BH24 BN9 BJ10:BJ11 BL12:BL14 BP12:BP15 BR13 BJ14 BJ16 BJ18:BJ21">
    <cfRule type="expression" dxfId="2" priority="1539">
      <formula>BH7="GaNĐ"</formula>
    </cfRule>
  </conditionalFormatting>
  <conditionalFormatting sqref="BC8:BC24 BF8:BF24 BH8:BH9 BL9 BN9:BN10 BP9 BJ10 BH11 BL12:BL14 BP12:BP15 BA13 BH13 BJ13:BJ14 BR13 BJ16 BN16 BJ18 BH26:BH39 BC27 AY32 BA32 BC32 BF32 BJ32">
    <cfRule type="expression" dxfId="1" priority="1540">
      <formula>BC8="BigNB"</formula>
    </cfRule>
  </conditionalFormatting>
  <conditionalFormatting sqref="BC8:BC24 BF8:BF24 BH8:BH9 BL9 BN9:BN10 BP9 BJ10 BH11 BL12:BL14 BP12:BP15 BA13 BH13 BJ13:BJ14 BR13 BJ16 BN16 BJ18 BH26:BH39 BC27 AY32 BA32 BC32 BF32 BJ32">
    <cfRule type="expression" dxfId="1" priority="1541">
      <formula>BC8="GaNB"</formula>
    </cfRule>
  </conditionalFormatting>
  <conditionalFormatting sqref="BC8:BC24 BF8:BF24 BH8:BH9 BL9 BN9:BN10 BP9 BJ10 BH11 BL12:BL14 BP12:BP15 BA13 BH13 BJ13:BJ14 BR13 BJ16 BN16 BJ18 BH26:BH39 BC27 AY32 BA32 BC32 BF32 BJ32">
    <cfRule type="expression" dxfId="2" priority="1542">
      <formula>BC8="BigNĐ"</formula>
    </cfRule>
  </conditionalFormatting>
  <conditionalFormatting sqref="BC8:BC24 BF8:BF24 BH8:BH9 BL9 BN9:BN10 BP9 BJ10 BH11 BL12:BL14 BP12:BP15 BA13 BH13 BJ13:BJ14 BR13 BJ16 BN16 BJ18 BH26:BH39 BC27 AY32 BA32 BC32 BF32 BJ32">
    <cfRule type="expression" dxfId="2" priority="1543">
      <formula>BC8="GaNĐ"</formula>
    </cfRule>
  </conditionalFormatting>
  <conditionalFormatting sqref="BI7:BI24 BM7:BM24 BQ8:BQ24 BO9 BO11 BI27:BI28 BM27:BM28 BO27:BO28 BQ27:BQ29">
    <cfRule type="expression" dxfId="20" priority="1544">
      <formula>BI7="C6"</formula>
    </cfRule>
  </conditionalFormatting>
  <conditionalFormatting sqref="BI7:BI24 BM7:BM24 BQ8:BQ24 BO9 BO11 BI27:BI28 BM27:BM28 BO27:BO28 BQ27:BQ29">
    <cfRule type="expression" dxfId="21" priority="1545">
      <formula>BI7="TC6"</formula>
    </cfRule>
  </conditionalFormatting>
  <conditionalFormatting sqref="BI7:BI24 BM7:BM24 BQ8:BQ24 BO9 BO11 BI27:BI28 BM27:BM28 BO27:BO28 BQ27:BQ29">
    <cfRule type="expression" dxfId="21" priority="1546">
      <formula>BI7="TC5"</formula>
    </cfRule>
  </conditionalFormatting>
  <conditionalFormatting sqref="BI7:BI24 BM7:BM24 BQ8:BQ24 BO9 BO11 BI27:BI28 BM27:BM28 BO27:BO28 BQ27:BQ29">
    <cfRule type="expression" dxfId="21" priority="1547">
      <formula>BI7="TC4"</formula>
    </cfRule>
  </conditionalFormatting>
  <conditionalFormatting sqref="BI7:BI24 BM7:BM24 BQ8:BQ24 BO9 BO11 BI27:BI28 BM27:BM28 BO27:BO28 BQ27:BQ29">
    <cfRule type="expression" dxfId="21" priority="1548">
      <formula>BI7="TC3"</formula>
    </cfRule>
  </conditionalFormatting>
  <conditionalFormatting sqref="BI7:BI24 BM7:BM24 BQ8:BQ24 BO9 BO11 BI27:BI28 BM27:BM28 BO27:BO28 BQ27:BQ29">
    <cfRule type="expression" dxfId="21" priority="1549">
      <formula>BI7="TC2"</formula>
    </cfRule>
  </conditionalFormatting>
  <conditionalFormatting sqref="BI7:BI24 BM7:BM24 BQ8:BQ24 BO9 BO11 BI27:BI28 BM27:BM28 BO27:BO28 BQ27:BQ29">
    <cfRule type="expression" dxfId="21" priority="1550">
      <formula>BI7="TC1"</formula>
    </cfRule>
  </conditionalFormatting>
  <conditionalFormatting sqref="BI7:BI24 BM7:BM24 BQ8:BQ24 BO9 BO11 BI27:BI28 BM27:BM28 BO27:BO28 BQ27:BQ29">
    <cfRule type="expression" dxfId="8" priority="1551">
      <formula>BI7="Full"</formula>
    </cfRule>
  </conditionalFormatting>
  <conditionalFormatting sqref="BI7:BI24 BM7:BM24 BQ8:BQ24 BO9 BO11 BI27:BI28 BM27:BM28 BO27:BO28 BQ27:BQ29">
    <cfRule type="expression" dxfId="9" priority="1552">
      <formula>BI7="OFF"</formula>
    </cfRule>
  </conditionalFormatting>
  <conditionalFormatting sqref="BI7:BI24 BM7:BM24 BQ8:BQ24 BO9 BO11 BI27:BI28 BM27:BM28 BO27:BO28 BQ27:BQ29">
    <cfRule type="expression" dxfId="10" priority="1553">
      <formula>BI7="Gãy 2"</formula>
    </cfRule>
  </conditionalFormatting>
  <conditionalFormatting sqref="BI7:BI24 BM7:BM24 BQ8:BQ24 BO9 BO11 BI27:BI28 BM27:BM28 BO27:BO28 BQ27:BQ29">
    <cfRule type="expression" dxfId="10" priority="1554">
      <formula>BI7="Gãy 1"</formula>
    </cfRule>
  </conditionalFormatting>
  <conditionalFormatting sqref="BI7:BI24 BM7:BM24 BQ8:BQ24 BO9 BO11 BI27:BI28 BM27:BM28 BO27:BO28 BQ27:BQ29">
    <cfRule type="expression" dxfId="22" priority="1555">
      <formula>BI7="HC4"</formula>
    </cfRule>
  </conditionalFormatting>
  <conditionalFormatting sqref="BI7:BI24 BM7:BM24 BQ8:BQ24 BO9 BO11 BI27:BI28 BM27:BM28 BO27:BO28 BQ27:BQ29">
    <cfRule type="expression" dxfId="22" priority="1556">
      <formula>BI7="HC3"</formula>
    </cfRule>
  </conditionalFormatting>
  <conditionalFormatting sqref="BI7:BI24 BM7:BM24 BQ8:BQ24 BO9 BO11 BI27:BI28 BM27:BM28 BO27:BO28 BQ27:BQ29">
    <cfRule type="expression" dxfId="22" priority="1557">
      <formula>BI7="HC2"</formula>
    </cfRule>
  </conditionalFormatting>
  <conditionalFormatting sqref="BI7:BI24 BM7:BM24 BQ8:BQ24 BO9 BO11 BI27:BI28 BM27:BM28 BO27:BO28 BQ27:BQ29">
    <cfRule type="expression" dxfId="22" priority="1558">
      <formula>BI7="HC1"</formula>
    </cfRule>
  </conditionalFormatting>
  <conditionalFormatting sqref="BI7:BI24 BM7:BM24 BQ8:BQ24 BO9 BO11 BI27:BI28 BM27:BM28 BO27:BO28 BQ27:BQ29">
    <cfRule type="expression" dxfId="23" priority="1559">
      <formula>BI7="C5"</formula>
    </cfRule>
  </conditionalFormatting>
  <conditionalFormatting sqref="BI7:BI24 BM7:BM24 BQ8:BQ24 BO9 BO11 BI27:BI28 BM27:BM28 BO27:BO28 BQ27:BQ29">
    <cfRule type="expression" dxfId="24" priority="1560">
      <formula>BI7="C4"</formula>
    </cfRule>
  </conditionalFormatting>
  <conditionalFormatting sqref="BI7:BI24 BM7:BM24 BQ8:BQ24 BO9 BO11 BI27:BI28 BM27:BM28 BO27:BO28 BQ27:BQ29">
    <cfRule type="expression" dxfId="25" priority="1561">
      <formula>BI7="C3"</formula>
    </cfRule>
  </conditionalFormatting>
  <conditionalFormatting sqref="BI7:BI24 BM7:BM24 BQ8:BQ24 BO9 BO11 BI27:BI28 BM27:BM28 BO27:BO28 BQ27:BQ29">
    <cfRule type="expression" dxfId="20" priority="1562">
      <formula>BI7="C2"</formula>
    </cfRule>
  </conditionalFormatting>
  <conditionalFormatting sqref="BI7:BI24 BM7:BM24 BQ8:BQ24 BO9 BO11 BI27:BI28 BM27:BM28 BO27:BO28 BQ27:BQ29">
    <cfRule type="expression" dxfId="26" priority="1563">
      <formula>BI7="C1"</formula>
    </cfRule>
  </conditionalFormatting>
  <conditionalFormatting sqref="BI7:BI24 BM7:BM24 BQ8:BQ24 BO9 BO11 BI27:BI28 BM27:BM28 BO27:BO28 BQ27:BQ29">
    <cfRule type="expression" dxfId="16" priority="1564">
      <formula>BI7="S4"</formula>
    </cfRule>
  </conditionalFormatting>
  <conditionalFormatting sqref="BI7:BI24 BM7:BM24 BQ8:BQ24 BO9 BO11 BI27:BI28 BM27:BM28 BO27:BO28 BQ27:BQ29">
    <cfRule type="expression" dxfId="17" priority="1565">
      <formula>BI7="S3"</formula>
    </cfRule>
  </conditionalFormatting>
  <conditionalFormatting sqref="BI7:BI24 BM7:BM24 BQ8:BQ24 BO9 BO11 BI27:BI28 BM27:BM28 BO27:BO28 BQ27:BQ29">
    <cfRule type="expression" dxfId="18" priority="1566">
      <formula>BI7="S2"</formula>
    </cfRule>
  </conditionalFormatting>
  <conditionalFormatting sqref="BI7:BI24 BM7:BM24 BQ8:BQ24 BO9 BO11 BI27:BI28 BM27:BM28 BO27:BO28 BQ27:BQ29">
    <cfRule type="expression" dxfId="19" priority="1567">
      <formula>BI7="S1"</formula>
    </cfRule>
  </conditionalFormatting>
  <conditionalFormatting sqref="BI26:BI40 BM26:BM40 BO26:BO39 BQ26:BQ39">
    <cfRule type="expression" dxfId="20" priority="1568">
      <formula>BI26="C6"</formula>
    </cfRule>
  </conditionalFormatting>
  <conditionalFormatting sqref="BI26:BI40 BM26:BM40 BO26:BO39 BQ26:BQ39">
    <cfRule type="expression" dxfId="21" priority="1569">
      <formula>BI26="TC6"</formula>
    </cfRule>
  </conditionalFormatting>
  <conditionalFormatting sqref="BI26:BI40 BM26:BM40 BO26:BO39 BQ26:BQ39">
    <cfRule type="expression" dxfId="21" priority="1570">
      <formula>BI26="TC5"</formula>
    </cfRule>
  </conditionalFormatting>
  <conditionalFormatting sqref="BI26:BI40 BM26:BM40 BO26:BO39 BQ26:BQ39">
    <cfRule type="expression" dxfId="21" priority="1571">
      <formula>BI26="TC4"</formula>
    </cfRule>
  </conditionalFormatting>
  <conditionalFormatting sqref="BI26:BI40 BM26:BM40 BO26:BO39 BQ26:BQ39">
    <cfRule type="expression" dxfId="21" priority="1572">
      <formula>BI26="TC3"</formula>
    </cfRule>
  </conditionalFormatting>
  <conditionalFormatting sqref="BI26:BI40 BM26:BM40 BO26:BO39 BQ26:BQ39">
    <cfRule type="expression" dxfId="21" priority="1573">
      <formula>BI26="TC2"</formula>
    </cfRule>
  </conditionalFormatting>
  <conditionalFormatting sqref="BI26:BI40 BM26:BM40 BO26:BO39 BQ26:BQ39">
    <cfRule type="expression" dxfId="21" priority="1574">
      <formula>BI26="TC1"</formula>
    </cfRule>
  </conditionalFormatting>
  <conditionalFormatting sqref="BI26:BI40 BM26:BM40 BO26:BO39 BQ26:BQ39">
    <cfRule type="expression" dxfId="8" priority="1575">
      <formula>BI26="Full"</formula>
    </cfRule>
  </conditionalFormatting>
  <conditionalFormatting sqref="BI26:BI40 BM26:BM40 BO26:BO39 BQ26:BQ39">
    <cfRule type="expression" dxfId="9" priority="1576">
      <formula>BI26="OFF"</formula>
    </cfRule>
  </conditionalFormatting>
  <conditionalFormatting sqref="BI26:BI40 BM26:BM40 BO26:BO39 BQ26:BQ39">
    <cfRule type="expression" dxfId="10" priority="1577">
      <formula>BI26="Gãy 2"</formula>
    </cfRule>
  </conditionalFormatting>
  <conditionalFormatting sqref="BI26:BI40 BM26:BM40 BO26:BO39 BQ26:BQ39">
    <cfRule type="expression" dxfId="10" priority="1578">
      <formula>BI26="Gãy 1"</formula>
    </cfRule>
  </conditionalFormatting>
  <conditionalFormatting sqref="BI26:BI40 BM26:BM40 BO26:BO39 BQ26:BQ39">
    <cfRule type="expression" dxfId="22" priority="1579">
      <formula>BI26="HC4"</formula>
    </cfRule>
  </conditionalFormatting>
  <conditionalFormatting sqref="BI26:BI40 BM26:BM40 BO26:BO39 BQ26:BQ39">
    <cfRule type="expression" dxfId="22" priority="1580">
      <formula>BI26="HC3"</formula>
    </cfRule>
  </conditionalFormatting>
  <conditionalFormatting sqref="BI26:BI40 BM26:BM40 BO26:BO39 BQ26:BQ39">
    <cfRule type="expression" dxfId="22" priority="1581">
      <formula>BI26="HC2"</formula>
    </cfRule>
  </conditionalFormatting>
  <conditionalFormatting sqref="BI26:BI40 BM26:BM40 BO26:BO39 BQ26:BQ39">
    <cfRule type="expression" dxfId="22" priority="1582">
      <formula>BI26="HC1"</formula>
    </cfRule>
  </conditionalFormatting>
  <conditionalFormatting sqref="BI26:BI40 BM26:BM40 BO26:BO39 BQ26:BQ39">
    <cfRule type="expression" dxfId="23" priority="1583">
      <formula>BI26="C5"</formula>
    </cfRule>
  </conditionalFormatting>
  <conditionalFormatting sqref="BI26:BI40 BM26:BM40 BO26:BO39 BQ26:BQ39">
    <cfRule type="expression" dxfId="24" priority="1584">
      <formula>BI26="C4"</formula>
    </cfRule>
  </conditionalFormatting>
  <conditionalFormatting sqref="BI26:BI40 BM26:BM40 BO26:BO39 BQ26:BQ39">
    <cfRule type="expression" dxfId="25" priority="1585">
      <formula>BI26="C3"</formula>
    </cfRule>
  </conditionalFormatting>
  <conditionalFormatting sqref="BI26:BI40 BM26:BM40 BO26:BO39 BQ26:BQ39">
    <cfRule type="expression" dxfId="20" priority="1586">
      <formula>BI26="C2"</formula>
    </cfRule>
  </conditionalFormatting>
  <conditionalFormatting sqref="BI26:BI40 BM26:BM40 BO26:BO39 BQ26:BQ39">
    <cfRule type="expression" dxfId="26" priority="1587">
      <formula>BI26="C1"</formula>
    </cfRule>
  </conditionalFormatting>
  <conditionalFormatting sqref="BI26:BI40 BM26:BM40 BO26:BO39 BQ26:BQ39">
    <cfRule type="expression" dxfId="16" priority="1588">
      <formula>BI26="S4"</formula>
    </cfRule>
  </conditionalFormatting>
  <conditionalFormatting sqref="BI26:BI40 BM26:BM40 BO26:BO39 BQ26:BQ39">
    <cfRule type="expression" dxfId="17" priority="1589">
      <formula>BI26="S3"</formula>
    </cfRule>
  </conditionalFormatting>
  <conditionalFormatting sqref="BI26:BI40 BM26:BM40 BO26:BO39 BQ26:BQ39">
    <cfRule type="expression" dxfId="18" priority="1590">
      <formula>BI26="S2"</formula>
    </cfRule>
  </conditionalFormatting>
  <conditionalFormatting sqref="BI26:BI40 BM26:BM40 BO26:BO39 BQ26:BQ39">
    <cfRule type="expression" dxfId="19" priority="1591">
      <formula>BI26="S1"</formula>
    </cfRule>
  </conditionalFormatting>
  <conditionalFormatting sqref="BK7:BK24 BO7:BO24 BM14">
    <cfRule type="expression" dxfId="20" priority="1592">
      <formula>BK7="C6"</formula>
    </cfRule>
  </conditionalFormatting>
  <conditionalFormatting sqref="BK7:BK24 BO7:BO24 BM14">
    <cfRule type="expression" dxfId="21" priority="1593">
      <formula>BK7="TC6"</formula>
    </cfRule>
  </conditionalFormatting>
  <conditionalFormatting sqref="BK7:BK24 BO7:BO24 BM14">
    <cfRule type="expression" dxfId="21" priority="1594">
      <formula>BK7="TC5"</formula>
    </cfRule>
  </conditionalFormatting>
  <conditionalFormatting sqref="BK7:BK24 BO7:BO24 BM14">
    <cfRule type="expression" dxfId="21" priority="1595">
      <formula>BK7="TC4"</formula>
    </cfRule>
  </conditionalFormatting>
  <conditionalFormatting sqref="BK7:BK24 BO7:BO24 BM14">
    <cfRule type="expression" dxfId="21" priority="1596">
      <formula>BK7="TC3"</formula>
    </cfRule>
  </conditionalFormatting>
  <conditionalFormatting sqref="BK7:BK24 BO7:BO24 BM14">
    <cfRule type="expression" dxfId="21" priority="1597">
      <formula>BK7="TC2"</formula>
    </cfRule>
  </conditionalFormatting>
  <conditionalFormatting sqref="BK7:BK24 BO7:BO24 BM14">
    <cfRule type="expression" dxfId="21" priority="1598">
      <formula>BK7="TC1"</formula>
    </cfRule>
  </conditionalFormatting>
  <conditionalFormatting sqref="BK7:BK24 BO7:BO24 BM14">
    <cfRule type="expression" dxfId="8" priority="1599">
      <formula>BK7="Full"</formula>
    </cfRule>
  </conditionalFormatting>
  <conditionalFormatting sqref="BK7:BK24 BO7:BO24 BM14">
    <cfRule type="expression" dxfId="9" priority="1600">
      <formula>BK7="OFF"</formula>
    </cfRule>
  </conditionalFormatting>
  <conditionalFormatting sqref="BK7:BK24 BO7:BO24 BM14">
    <cfRule type="expression" dxfId="10" priority="1601">
      <formula>BK7="Gãy 2"</formula>
    </cfRule>
  </conditionalFormatting>
  <conditionalFormatting sqref="BK7:BK24 BO7:BO24 BM14">
    <cfRule type="expression" dxfId="10" priority="1602">
      <formula>BK7="Gãy 1"</formula>
    </cfRule>
  </conditionalFormatting>
  <conditionalFormatting sqref="BK7:BK24 BO7:BO24 BM14">
    <cfRule type="expression" dxfId="22" priority="1603">
      <formula>BK7="HC4"</formula>
    </cfRule>
  </conditionalFormatting>
  <conditionalFormatting sqref="BK7:BK24 BO7:BO24 BM14">
    <cfRule type="expression" dxfId="22" priority="1604">
      <formula>BK7="HC3"</formula>
    </cfRule>
  </conditionalFormatting>
  <conditionalFormatting sqref="BK7:BK24 BO7:BO24 BM14">
    <cfRule type="expression" dxfId="22" priority="1605">
      <formula>BK7="HC2"</formula>
    </cfRule>
  </conditionalFormatting>
  <conditionalFormatting sqref="BK7:BK24 BO7:BO24 BM14">
    <cfRule type="expression" dxfId="22" priority="1606">
      <formula>BK7="HC1"</formula>
    </cfRule>
  </conditionalFormatting>
  <conditionalFormatting sqref="BK7:BK24 BO7:BO24 BM14">
    <cfRule type="expression" dxfId="23" priority="1607">
      <formula>BK7="C5"</formula>
    </cfRule>
  </conditionalFormatting>
  <conditionalFormatting sqref="BK7:BK24 BO7:BO24 BM14">
    <cfRule type="expression" dxfId="24" priority="1608">
      <formula>BK7="C4"</formula>
    </cfRule>
  </conditionalFormatting>
  <conditionalFormatting sqref="BK7:BK24 BO7:BO24 BM14">
    <cfRule type="expression" dxfId="25" priority="1609">
      <formula>BK7="C3"</formula>
    </cfRule>
  </conditionalFormatting>
  <conditionalFormatting sqref="BK7:BK24 BO7:BO24 BM14">
    <cfRule type="expression" dxfId="20" priority="1610">
      <formula>BK7="C2"</formula>
    </cfRule>
  </conditionalFormatting>
  <conditionalFormatting sqref="BK7:BK24 BO7:BO24 BM14">
    <cfRule type="expression" dxfId="26" priority="1611">
      <formula>BK7="C1"</formula>
    </cfRule>
  </conditionalFormatting>
  <conditionalFormatting sqref="BK7:BK24 BO7:BO24 BM14">
    <cfRule type="expression" dxfId="16" priority="1612">
      <formula>BK7="S4"</formula>
    </cfRule>
  </conditionalFormatting>
  <conditionalFormatting sqref="BK7:BK24 BO7:BO24 BM14">
    <cfRule type="expression" dxfId="17" priority="1613">
      <formula>BK7="S3"</formula>
    </cfRule>
  </conditionalFormatting>
  <conditionalFormatting sqref="BK7:BK24 BO7:BO24 BM14">
    <cfRule type="expression" dxfId="18" priority="1614">
      <formula>BK7="S2"</formula>
    </cfRule>
  </conditionalFormatting>
  <conditionalFormatting sqref="BK7:BK24 BO7:BO24 BM14">
    <cfRule type="expression" dxfId="19" priority="1615">
      <formula>BK7="S1"</formula>
    </cfRule>
  </conditionalFormatting>
  <conditionalFormatting sqref="BK26:BK40 BM26:BM39 BO26:BO40 BQ26:BQ39">
    <cfRule type="expression" dxfId="20" priority="1616">
      <formula>BK26="C6"</formula>
    </cfRule>
  </conditionalFormatting>
  <conditionalFormatting sqref="BK26:BK40 BM26:BM39 BO26:BO40 BQ26:BQ39">
    <cfRule type="expression" dxfId="21" priority="1617">
      <formula>BK26="TC6"</formula>
    </cfRule>
  </conditionalFormatting>
  <conditionalFormatting sqref="BK26:BK40 BM26:BM39 BO26:BO40 BQ26:BQ39">
    <cfRule type="expression" dxfId="21" priority="1618">
      <formula>BK26="TC5"</formula>
    </cfRule>
  </conditionalFormatting>
  <conditionalFormatting sqref="BK26:BK40 BM26:BM39 BO26:BO40 BQ26:BQ39">
    <cfRule type="expression" dxfId="21" priority="1619">
      <formula>BK26="TC4"</formula>
    </cfRule>
  </conditionalFormatting>
  <conditionalFormatting sqref="BK26:BK40 BM26:BM39 BO26:BO40 BQ26:BQ39">
    <cfRule type="expression" dxfId="21" priority="1620">
      <formula>BK26="TC3"</formula>
    </cfRule>
  </conditionalFormatting>
  <conditionalFormatting sqref="BK26:BK40 BM26:BM39 BO26:BO40 BQ26:BQ39">
    <cfRule type="expression" dxfId="21" priority="1621">
      <formula>BK26="TC2"</formula>
    </cfRule>
  </conditionalFormatting>
  <conditionalFormatting sqref="BK26:BK40 BM26:BM39 BO26:BO40 BQ26:BQ39">
    <cfRule type="expression" dxfId="21" priority="1622">
      <formula>BK26="TC1"</formula>
    </cfRule>
  </conditionalFormatting>
  <conditionalFormatting sqref="BK26:BK40 BM26:BM39 BO26:BO40 BQ26:BQ39">
    <cfRule type="expression" dxfId="8" priority="1623">
      <formula>BK26="Full"</formula>
    </cfRule>
  </conditionalFormatting>
  <conditionalFormatting sqref="BK26:BK40 BM26:BM39 BO26:BO40 BQ26:BQ39">
    <cfRule type="expression" dxfId="9" priority="1624">
      <formula>BK26="OFF"</formula>
    </cfRule>
  </conditionalFormatting>
  <conditionalFormatting sqref="BK26:BK40 BM26:BM39 BO26:BO40 BQ26:BQ39">
    <cfRule type="expression" dxfId="10" priority="1625">
      <formula>BK26="Gãy 2"</formula>
    </cfRule>
  </conditionalFormatting>
  <conditionalFormatting sqref="BK26:BK40 BM26:BM39 BO26:BO40 BQ26:BQ39">
    <cfRule type="expression" dxfId="10" priority="1626">
      <formula>BK26="Gãy 1"</formula>
    </cfRule>
  </conditionalFormatting>
  <conditionalFormatting sqref="BK26:BK40 BM26:BM39 BO26:BO40 BQ26:BQ39">
    <cfRule type="expression" dxfId="22" priority="1627">
      <formula>BK26="HC4"</formula>
    </cfRule>
  </conditionalFormatting>
  <conditionalFormatting sqref="BK26:BK40 BM26:BM39 BO26:BO40 BQ26:BQ39">
    <cfRule type="expression" dxfId="22" priority="1628">
      <formula>BK26="HC3"</formula>
    </cfRule>
  </conditionalFormatting>
  <conditionalFormatting sqref="BK26:BK40 BM26:BM39 BO26:BO40 BQ26:BQ39">
    <cfRule type="expression" dxfId="22" priority="1629">
      <formula>BK26="HC2"</formula>
    </cfRule>
  </conditionalFormatting>
  <conditionalFormatting sqref="BK26:BK40 BM26:BM39 BO26:BO40 BQ26:BQ39">
    <cfRule type="expression" dxfId="22" priority="1630">
      <formula>BK26="HC1"</formula>
    </cfRule>
  </conditionalFormatting>
  <conditionalFormatting sqref="BK26:BK40 BM26:BM39 BO26:BO40 BQ26:BQ39">
    <cfRule type="expression" dxfId="23" priority="1631">
      <formula>BK26="C5"</formula>
    </cfRule>
  </conditionalFormatting>
  <conditionalFormatting sqref="BK26:BK40 BM26:BM39 BO26:BO40 BQ26:BQ39">
    <cfRule type="expression" dxfId="24" priority="1632">
      <formula>BK26="C4"</formula>
    </cfRule>
  </conditionalFormatting>
  <conditionalFormatting sqref="BK26:BK40 BM26:BM39 BO26:BO40 BQ26:BQ39">
    <cfRule type="expression" dxfId="25" priority="1633">
      <formula>BK26="C3"</formula>
    </cfRule>
  </conditionalFormatting>
  <conditionalFormatting sqref="BK26:BK40 BM26:BM39 BO26:BO40 BQ26:BQ39">
    <cfRule type="expression" dxfId="20" priority="1634">
      <formula>BK26="C2"</formula>
    </cfRule>
  </conditionalFormatting>
  <conditionalFormatting sqref="BK26:BK40 BM26:BM39 BO26:BO40 BQ26:BQ39">
    <cfRule type="expression" dxfId="26" priority="1635">
      <formula>BK26="C1"</formula>
    </cfRule>
  </conditionalFormatting>
  <conditionalFormatting sqref="BK26:BK40 BM26:BM39 BO26:BO40 BQ26:BQ39">
    <cfRule type="expression" dxfId="16" priority="1636">
      <formula>BK26="S4"</formula>
    </cfRule>
  </conditionalFormatting>
  <conditionalFormatting sqref="BK26:BK40 BM26:BM39 BO26:BO40 BQ26:BQ39">
    <cfRule type="expression" dxfId="17" priority="1637">
      <formula>BK26="S3"</formula>
    </cfRule>
  </conditionalFormatting>
  <conditionalFormatting sqref="BK26:BK40 BM26:BM39 BO26:BO40 BQ26:BQ39">
    <cfRule type="expression" dxfId="18" priority="1638">
      <formula>BK26="S2"</formula>
    </cfRule>
  </conditionalFormatting>
  <conditionalFormatting sqref="BK26:BK40 BM26:BM39 BO26:BO40 BQ26:BQ39">
    <cfRule type="expression" dxfId="19" priority="1639">
      <formula>BK26="S1"</formula>
    </cfRule>
  </conditionalFormatting>
  <conditionalFormatting sqref="BL7:BL24 BP7:BP24 BN9 BR11 BN12 BA27 BC27 BJ27:BJ28 BL27 AY29:AY30 BA29:BA30 BF31 AY32">
    <cfRule type="expression" dxfId="1" priority="1640">
      <formula>BL7="BigNB"</formula>
    </cfRule>
  </conditionalFormatting>
  <conditionalFormatting sqref="BL7:BL24 BP7:BP24 BN9 BR11 BN12 BA27 BC27 BJ27:BJ28 BL27 AY29:AY30 BA29:BA30 BF31 AY32">
    <cfRule type="expression" dxfId="1" priority="1641">
      <formula>BL7="GaNB"</formula>
    </cfRule>
  </conditionalFormatting>
  <conditionalFormatting sqref="BL7:BL24 BP7:BP24 BN9 BR11 BN12 BA27 BC27 BJ27:BJ28 BL27 AY29:AY30 BA29:BA30 BF31 AY32">
    <cfRule type="expression" dxfId="2" priority="1642">
      <formula>BL7="BigNĐ"</formula>
    </cfRule>
  </conditionalFormatting>
  <conditionalFormatting sqref="BL7:BL24 BP7:BP24 BN9 BR11 BN12 BA27 BC27 BJ27:BJ28 BL27 AY29:AY30 BA29:BA30 BF31 AY32">
    <cfRule type="expression" dxfId="2" priority="1643">
      <formula>BL7="GaNĐ"</formula>
    </cfRule>
  </conditionalFormatting>
  <conditionalFormatting sqref="BN9 BN11 BR12 BN13 BN16 BP17:BP24 BL26:BL39 BP26:BP39 BN27:BN28 BR27 BC29:BC30 BF30 BH30 BN33:BN39 BR34:BR39">
    <cfRule type="expression" dxfId="1" priority="1644">
      <formula>BN9="BigNB"</formula>
    </cfRule>
  </conditionalFormatting>
  <conditionalFormatting sqref="BN9 BN11 BR12 BN13 BN16 BP17:BP24 BL26:BL39 BP26:BP39 BN27:BN28 BR27 BC29:BC30 BF30 BH30 BN33:BN39 BR34:BR39">
    <cfRule type="expression" dxfId="1" priority="1645">
      <formula>BN9="GaNB"</formula>
    </cfRule>
  </conditionalFormatting>
  <conditionalFormatting sqref="BN9 BN11 BR12 BN13 BN16 BP17:BP24 BL26:BL39 BP26:BP39 BN27:BN28 BR27 BC29:BC30 BF30 BH30 BN33:BN39 BR34:BR39">
    <cfRule type="expression" dxfId="2" priority="1646">
      <formula>BN9="BigNĐ"</formula>
    </cfRule>
  </conditionalFormatting>
  <conditionalFormatting sqref="BN9 BN11 BR12 BN13 BN16 BP17:BP24 BL26:BL39 BP26:BP39 BN27:BN28 BR27 BC29:BC30 BF30 BH30 BN33:BN39 BR34:BR39">
    <cfRule type="expression" dxfId="2" priority="1647">
      <formula>BN9="GaNĐ"</formula>
    </cfRule>
  </conditionalFormatting>
  <conditionalFormatting sqref="BM7:BM24 BO7:BO24 BQ8:BQ24">
    <cfRule type="expression" dxfId="20" priority="1648">
      <formula>BM7="C6"</formula>
    </cfRule>
  </conditionalFormatting>
  <conditionalFormatting sqref="BM7:BM24 BO7:BO24 BQ8:BQ24">
    <cfRule type="expression" dxfId="21" priority="1649">
      <formula>BM7="TC6"</formula>
    </cfRule>
  </conditionalFormatting>
  <conditionalFormatting sqref="BM7:BM24 BO7:BO24 BQ8:BQ24">
    <cfRule type="expression" dxfId="21" priority="1650">
      <formula>BM7="TC5"</formula>
    </cfRule>
  </conditionalFormatting>
  <conditionalFormatting sqref="BM7:BM24 BO7:BO24 BQ8:BQ24">
    <cfRule type="expression" dxfId="21" priority="1651">
      <formula>BM7="TC4"</formula>
    </cfRule>
  </conditionalFormatting>
  <conditionalFormatting sqref="BM7:BM24 BO7:BO24 BQ8:BQ24">
    <cfRule type="expression" dxfId="21" priority="1652">
      <formula>BM7="TC3"</formula>
    </cfRule>
  </conditionalFormatting>
  <conditionalFormatting sqref="BM7:BM24 BO7:BO24 BQ8:BQ24">
    <cfRule type="expression" dxfId="21" priority="1653">
      <formula>BM7="TC2"</formula>
    </cfRule>
  </conditionalFormatting>
  <conditionalFormatting sqref="BM7:BM24 BO7:BO24 BQ8:BQ24">
    <cfRule type="expression" dxfId="21" priority="1654">
      <formula>BM7="TC1"</formula>
    </cfRule>
  </conditionalFormatting>
  <conditionalFormatting sqref="BM7:BM24 BO7:BO24 BQ8:BQ24">
    <cfRule type="expression" dxfId="8" priority="1655">
      <formula>BM7="Full"</formula>
    </cfRule>
  </conditionalFormatting>
  <conditionalFormatting sqref="BM7:BM24 BO7:BO24 BQ8:BQ24">
    <cfRule type="expression" dxfId="9" priority="1656">
      <formula>BM7="OFF"</formula>
    </cfRule>
  </conditionalFormatting>
  <conditionalFormatting sqref="BM7:BM24 BO7:BO24 BQ8:BQ24">
    <cfRule type="expression" dxfId="10" priority="1657">
      <formula>BM7="Gãy 2"</formula>
    </cfRule>
  </conditionalFormatting>
  <conditionalFormatting sqref="BM7:BM24 BO7:BO24 BQ8:BQ24">
    <cfRule type="expression" dxfId="10" priority="1658">
      <formula>BM7="Gãy 1"</formula>
    </cfRule>
  </conditionalFormatting>
  <conditionalFormatting sqref="BM7:BM24 BO7:BO24 BQ8:BQ24">
    <cfRule type="expression" dxfId="22" priority="1659">
      <formula>BM7="HC4"</formula>
    </cfRule>
  </conditionalFormatting>
  <conditionalFormatting sqref="BM7:BM24 BO7:BO24 BQ8:BQ24">
    <cfRule type="expression" dxfId="22" priority="1660">
      <formula>BM7="HC3"</formula>
    </cfRule>
  </conditionalFormatting>
  <conditionalFormatting sqref="BM7:BM24 BO7:BO24 BQ8:BQ24">
    <cfRule type="expression" dxfId="22" priority="1661">
      <formula>BM7="HC2"</formula>
    </cfRule>
  </conditionalFormatting>
  <conditionalFormatting sqref="BM7:BM24 BO7:BO24 BQ8:BQ24">
    <cfRule type="expression" dxfId="22" priority="1662">
      <formula>BM7="HC1"</formula>
    </cfRule>
  </conditionalFormatting>
  <conditionalFormatting sqref="BM7:BM24 BO7:BO24 BQ8:BQ24">
    <cfRule type="expression" dxfId="23" priority="1663">
      <formula>BM7="C5"</formula>
    </cfRule>
  </conditionalFormatting>
  <conditionalFormatting sqref="BM7:BM24 BO7:BO24 BQ8:BQ24">
    <cfRule type="expression" dxfId="24" priority="1664">
      <formula>BM7="C4"</formula>
    </cfRule>
  </conditionalFormatting>
  <conditionalFormatting sqref="BM7:BM24 BO7:BO24 BQ8:BQ24">
    <cfRule type="expression" dxfId="25" priority="1665">
      <formula>BM7="C3"</formula>
    </cfRule>
  </conditionalFormatting>
  <conditionalFormatting sqref="BM7:BM24 BO7:BO24 BQ8:BQ24">
    <cfRule type="expression" dxfId="20" priority="1666">
      <formula>BM7="C2"</formula>
    </cfRule>
  </conditionalFormatting>
  <conditionalFormatting sqref="BM7:BM24 BO7:BO24 BQ8:BQ24">
    <cfRule type="expression" dxfId="26" priority="1667">
      <formula>BM7="C1"</formula>
    </cfRule>
  </conditionalFormatting>
  <conditionalFormatting sqref="BM7:BM24 BO7:BO24 BQ8:BQ24">
    <cfRule type="expression" dxfId="16" priority="1668">
      <formula>BM7="S4"</formula>
    </cfRule>
  </conditionalFormatting>
  <conditionalFormatting sqref="BM7:BM24 BO7:BO24 BQ8:BQ24">
    <cfRule type="expression" dxfId="17" priority="1669">
      <formula>BM7="S3"</formula>
    </cfRule>
  </conditionalFormatting>
  <conditionalFormatting sqref="BM7:BM24 BO7:BO24 BQ8:BQ24">
    <cfRule type="expression" dxfId="18" priority="1670">
      <formula>BM7="S2"</formula>
    </cfRule>
  </conditionalFormatting>
  <conditionalFormatting sqref="BM7:BM24 BO7:BO24 BQ8:BQ24">
    <cfRule type="expression" dxfId="19" priority="1671">
      <formula>BM7="S1"</formula>
    </cfRule>
  </conditionalFormatting>
  <conditionalFormatting sqref="BM26:BM40 BO26:BO40 BQ26:BQ39">
    <cfRule type="expression" dxfId="20" priority="1672">
      <formula>BM26="C6"</formula>
    </cfRule>
  </conditionalFormatting>
  <conditionalFormatting sqref="BM26:BM40 BO26:BO40 BQ26:BQ39">
    <cfRule type="expression" dxfId="21" priority="1673">
      <formula>BM26="TC6"</formula>
    </cfRule>
  </conditionalFormatting>
  <conditionalFormatting sqref="BM26:BM40 BO26:BO40 BQ26:BQ39">
    <cfRule type="expression" dxfId="21" priority="1674">
      <formula>BM26="TC5"</formula>
    </cfRule>
  </conditionalFormatting>
  <conditionalFormatting sqref="BM26:BM40 BO26:BO40 BQ26:BQ39">
    <cfRule type="expression" dxfId="21" priority="1675">
      <formula>BM26="TC4"</formula>
    </cfRule>
  </conditionalFormatting>
  <conditionalFormatting sqref="BM26:BM40 BO26:BO40 BQ26:BQ39">
    <cfRule type="expression" dxfId="21" priority="1676">
      <formula>BM26="TC3"</formula>
    </cfRule>
  </conditionalFormatting>
  <conditionalFormatting sqref="BM26:BM40 BO26:BO40 BQ26:BQ39">
    <cfRule type="expression" dxfId="21" priority="1677">
      <formula>BM26="TC2"</formula>
    </cfRule>
  </conditionalFormatting>
  <conditionalFormatting sqref="BM26:BM40 BO26:BO40 BQ26:BQ39">
    <cfRule type="expression" dxfId="21" priority="1678">
      <formula>BM26="TC1"</formula>
    </cfRule>
  </conditionalFormatting>
  <conditionalFormatting sqref="BM26:BM40 BO26:BO40 BQ26:BQ39">
    <cfRule type="expression" dxfId="8" priority="1679">
      <formula>BM26="Full"</formula>
    </cfRule>
  </conditionalFormatting>
  <conditionalFormatting sqref="BM26:BM40 BO26:BO40 BQ26:BQ39">
    <cfRule type="expression" dxfId="9" priority="1680">
      <formula>BM26="OFF"</formula>
    </cfRule>
  </conditionalFormatting>
  <conditionalFormatting sqref="BM26:BM40 BO26:BO40 BQ26:BQ39">
    <cfRule type="expression" dxfId="10" priority="1681">
      <formula>BM26="Gãy 2"</formula>
    </cfRule>
  </conditionalFormatting>
  <conditionalFormatting sqref="BM26:BM40 BO26:BO40 BQ26:BQ39">
    <cfRule type="expression" dxfId="10" priority="1682">
      <formula>BM26="Gãy 1"</formula>
    </cfRule>
  </conditionalFormatting>
  <conditionalFormatting sqref="BM26:BM40 BO26:BO40 BQ26:BQ39">
    <cfRule type="expression" dxfId="22" priority="1683">
      <formula>BM26="HC4"</formula>
    </cfRule>
  </conditionalFormatting>
  <conditionalFormatting sqref="BM26:BM40 BO26:BO40 BQ26:BQ39">
    <cfRule type="expression" dxfId="22" priority="1684">
      <formula>BM26="HC3"</formula>
    </cfRule>
  </conditionalFormatting>
  <conditionalFormatting sqref="BM26:BM40 BO26:BO40 BQ26:BQ39">
    <cfRule type="expression" dxfId="22" priority="1685">
      <formula>BM26="HC2"</formula>
    </cfRule>
  </conditionalFormatting>
  <conditionalFormatting sqref="BM26:BM40 BO26:BO40 BQ26:BQ39">
    <cfRule type="expression" dxfId="22" priority="1686">
      <formula>BM26="HC1"</formula>
    </cfRule>
  </conditionalFormatting>
  <conditionalFormatting sqref="BM26:BM40 BO26:BO40 BQ26:BQ39">
    <cfRule type="expression" dxfId="23" priority="1687">
      <formula>BM26="C5"</formula>
    </cfRule>
  </conditionalFormatting>
  <conditionalFormatting sqref="BM26:BM40 BO26:BO40 BQ26:BQ39">
    <cfRule type="expression" dxfId="24" priority="1688">
      <formula>BM26="C4"</formula>
    </cfRule>
  </conditionalFormatting>
  <conditionalFormatting sqref="BM26:BM40 BO26:BO40 BQ26:BQ39">
    <cfRule type="expression" dxfId="25" priority="1689">
      <formula>BM26="C3"</formula>
    </cfRule>
  </conditionalFormatting>
  <conditionalFormatting sqref="BM26:BM40 BO26:BO40 BQ26:BQ39">
    <cfRule type="expression" dxfId="20" priority="1690">
      <formula>BM26="C2"</formula>
    </cfRule>
  </conditionalFormatting>
  <conditionalFormatting sqref="BM26:BM40 BO26:BO40 BQ26:BQ39">
    <cfRule type="expression" dxfId="26" priority="1691">
      <formula>BM26="C1"</formula>
    </cfRule>
  </conditionalFormatting>
  <conditionalFormatting sqref="BM26:BM40 BO26:BO40 BQ26:BQ39">
    <cfRule type="expression" dxfId="16" priority="1692">
      <formula>BM26="S4"</formula>
    </cfRule>
  </conditionalFormatting>
  <conditionalFormatting sqref="BM26:BM40 BO26:BO40 BQ26:BQ39">
    <cfRule type="expression" dxfId="17" priority="1693">
      <formula>BM26="S3"</formula>
    </cfRule>
  </conditionalFormatting>
  <conditionalFormatting sqref="BM26:BM40 BO26:BO40 BQ26:BQ39">
    <cfRule type="expression" dxfId="18" priority="1694">
      <formula>BM26="S2"</formula>
    </cfRule>
  </conditionalFormatting>
  <conditionalFormatting sqref="BM26:BM40 BO26:BO40 BQ26:BQ39">
    <cfRule type="expression" dxfId="19" priority="1695">
      <formula>BM26="S1"</formula>
    </cfRule>
  </conditionalFormatting>
  <conditionalFormatting sqref="BN7:BN24 BP7:BP24 AY9">
    <cfRule type="expression" dxfId="1" priority="1696">
      <formula>BN7="BigNB"</formula>
    </cfRule>
  </conditionalFormatting>
  <conditionalFormatting sqref="BN7:BN24 BP7:BP24 AY9">
    <cfRule type="expression" dxfId="1" priority="1697">
      <formula>BN7="GaNB"</formula>
    </cfRule>
  </conditionalFormatting>
  <conditionalFormatting sqref="BN7:BN24 BP7:BP24 AY9">
    <cfRule type="expression" dxfId="2" priority="1698">
      <formula>BN7="BigNĐ"</formula>
    </cfRule>
  </conditionalFormatting>
  <conditionalFormatting sqref="BN7:BN24 BP7:BP24 AY9">
    <cfRule type="expression" dxfId="2" priority="1699">
      <formula>BN7="GaNĐ"</formula>
    </cfRule>
  </conditionalFormatting>
  <conditionalFormatting sqref="AY9 BN9 BN11 BR12 BN13 BN15:BN24 BP17:BP24 BN26:BN39 BP26:BP39 BR27 BC29:BC30 BF30 BH30">
    <cfRule type="expression" dxfId="1" priority="1700">
      <formula>AY9="BigNB"</formula>
    </cfRule>
  </conditionalFormatting>
  <conditionalFormatting sqref="AY9 BN9 BN11 BR12 BN13 BN15:BN24 BP17:BP24 BN26:BN39 BP26:BP39 BR27 BC29:BC30 BF30 BH30">
    <cfRule type="expression" dxfId="1" priority="1701">
      <formula>AY9="GaNB"</formula>
    </cfRule>
  </conditionalFormatting>
  <conditionalFormatting sqref="AY9 BN9 BN11 BR12 BN13 BN15:BN24 BP17:BP24 BN26:BN39 BP26:BP39 BR27 BC29:BC30 BF30 BH30">
    <cfRule type="expression" dxfId="2" priority="1702">
      <formula>AY9="BigNĐ"</formula>
    </cfRule>
  </conditionalFormatting>
  <conditionalFormatting sqref="AY9 BN9 BN11 BR12 BN13 BN15:BN24 BP17:BP24 BN26:BN39 BP26:BP39 BR27 BC29:BC30 BF30 BH30">
    <cfRule type="expression" dxfId="2" priority="1703">
      <formula>AY9="GaNĐ"</formula>
    </cfRule>
  </conditionalFormatting>
  <conditionalFormatting sqref="BO7:BO24">
    <cfRule type="expression" dxfId="20" priority="1704">
      <formula>BO7="C6"</formula>
    </cfRule>
  </conditionalFormatting>
  <conditionalFormatting sqref="BO7:BO24">
    <cfRule type="expression" dxfId="21" priority="1705">
      <formula>BO7="TC6"</formula>
    </cfRule>
  </conditionalFormatting>
  <conditionalFormatting sqref="BO7:BO24">
    <cfRule type="expression" dxfId="21" priority="1706">
      <formula>BO7="TC5"</formula>
    </cfRule>
  </conditionalFormatting>
  <conditionalFormatting sqref="BO7:BO24">
    <cfRule type="expression" dxfId="21" priority="1707">
      <formula>BO7="TC4"</formula>
    </cfRule>
  </conditionalFormatting>
  <conditionalFormatting sqref="BO7:BO24">
    <cfRule type="expression" dxfId="21" priority="1708">
      <formula>BO7="TC3"</formula>
    </cfRule>
  </conditionalFormatting>
  <conditionalFormatting sqref="BO7:BO24">
    <cfRule type="expression" dxfId="21" priority="1709">
      <formula>BO7="TC2"</formula>
    </cfRule>
  </conditionalFormatting>
  <conditionalFormatting sqref="BO7:BO24">
    <cfRule type="expression" dxfId="21" priority="1710">
      <formula>BO7="TC1"</formula>
    </cfRule>
  </conditionalFormatting>
  <conditionalFormatting sqref="BO7:BO24">
    <cfRule type="expression" dxfId="8" priority="1711">
      <formula>BO7="Full"</formula>
    </cfRule>
  </conditionalFormatting>
  <conditionalFormatting sqref="BO7:BO24">
    <cfRule type="expression" dxfId="9" priority="1712">
      <formula>BO7="OFF"</formula>
    </cfRule>
  </conditionalFormatting>
  <conditionalFormatting sqref="BO7:BO24">
    <cfRule type="expression" dxfId="10" priority="1713">
      <formula>BO7="Gãy 2"</formula>
    </cfRule>
  </conditionalFormatting>
  <conditionalFormatting sqref="BO7:BO24">
    <cfRule type="expression" dxfId="10" priority="1714">
      <formula>BO7="Gãy 1"</formula>
    </cfRule>
  </conditionalFormatting>
  <conditionalFormatting sqref="BO7:BO24">
    <cfRule type="expression" dxfId="22" priority="1715">
      <formula>BO7="HC4"</formula>
    </cfRule>
  </conditionalFormatting>
  <conditionalFormatting sqref="BO7:BO24">
    <cfRule type="expression" dxfId="22" priority="1716">
      <formula>BO7="HC3"</formula>
    </cfRule>
  </conditionalFormatting>
  <conditionalFormatting sqref="BO7:BO24">
    <cfRule type="expression" dxfId="22" priority="1717">
      <formula>BO7="HC2"</formula>
    </cfRule>
  </conditionalFormatting>
  <conditionalFormatting sqref="BO7:BO24">
    <cfRule type="expression" dxfId="22" priority="1718">
      <formula>BO7="HC1"</formula>
    </cfRule>
  </conditionalFormatting>
  <conditionalFormatting sqref="BO7:BO24">
    <cfRule type="expression" dxfId="23" priority="1719">
      <formula>BO7="C5"</formula>
    </cfRule>
  </conditionalFormatting>
  <conditionalFormatting sqref="BO7:BO24">
    <cfRule type="expression" dxfId="24" priority="1720">
      <formula>BO7="C4"</formula>
    </cfRule>
  </conditionalFormatting>
  <conditionalFormatting sqref="BO7:BO24">
    <cfRule type="expression" dxfId="25" priority="1721">
      <formula>BO7="C3"</formula>
    </cfRule>
  </conditionalFormatting>
  <conditionalFormatting sqref="BO7:BO24">
    <cfRule type="expression" dxfId="20" priority="1722">
      <formula>BO7="C2"</formula>
    </cfRule>
  </conditionalFormatting>
  <conditionalFormatting sqref="BO7:BO24">
    <cfRule type="expression" dxfId="26" priority="1723">
      <formula>BO7="C1"</formula>
    </cfRule>
  </conditionalFormatting>
  <conditionalFormatting sqref="BO7:BO24">
    <cfRule type="expression" dxfId="16" priority="1724">
      <formula>BO7="S4"</formula>
    </cfRule>
  </conditionalFormatting>
  <conditionalFormatting sqref="BO7:BO24">
    <cfRule type="expression" dxfId="17" priority="1725">
      <formula>BO7="S3"</formula>
    </cfRule>
  </conditionalFormatting>
  <conditionalFormatting sqref="BO7:BO24">
    <cfRule type="expression" dxfId="18" priority="1726">
      <formula>BO7="S2"</formula>
    </cfRule>
  </conditionalFormatting>
  <conditionalFormatting sqref="BO7:BO24">
    <cfRule type="expression" dxfId="19" priority="1727">
      <formula>BO7="S1"</formula>
    </cfRule>
  </conditionalFormatting>
  <conditionalFormatting sqref="BO26:BO40 BQ26:BQ32">
    <cfRule type="expression" dxfId="20" priority="1728">
      <formula>BO26="C6"</formula>
    </cfRule>
  </conditionalFormatting>
  <conditionalFormatting sqref="BO26:BO40 BQ26:BQ32">
    <cfRule type="expression" dxfId="21" priority="1729">
      <formula>BO26="TC6"</formula>
    </cfRule>
  </conditionalFormatting>
  <conditionalFormatting sqref="BO26:BO40 BQ26:BQ32">
    <cfRule type="expression" dxfId="21" priority="1730">
      <formula>BO26="TC5"</formula>
    </cfRule>
  </conditionalFormatting>
  <conditionalFormatting sqref="BO26:BO40 BQ26:BQ32">
    <cfRule type="expression" dxfId="21" priority="1731">
      <formula>BO26="TC4"</formula>
    </cfRule>
  </conditionalFormatting>
  <conditionalFormatting sqref="BO26:BO40 BQ26:BQ32">
    <cfRule type="expression" dxfId="21" priority="1732">
      <formula>BO26="TC3"</formula>
    </cfRule>
  </conditionalFormatting>
  <conditionalFormatting sqref="BO26:BO40 BQ26:BQ32">
    <cfRule type="expression" dxfId="21" priority="1733">
      <formula>BO26="TC2"</formula>
    </cfRule>
  </conditionalFormatting>
  <conditionalFormatting sqref="BO26:BO40 BQ26:BQ32">
    <cfRule type="expression" dxfId="21" priority="1734">
      <formula>BO26="TC1"</formula>
    </cfRule>
  </conditionalFormatting>
  <conditionalFormatting sqref="BO26:BO40 BQ26:BQ32">
    <cfRule type="expression" dxfId="8" priority="1735">
      <formula>BO26="Full"</formula>
    </cfRule>
  </conditionalFormatting>
  <conditionalFormatting sqref="BO26:BO40 BQ26:BQ32">
    <cfRule type="expression" dxfId="9" priority="1736">
      <formula>BO26="OFF"</formula>
    </cfRule>
  </conditionalFormatting>
  <conditionalFormatting sqref="BO26:BO40 BQ26:BQ32">
    <cfRule type="expression" dxfId="10" priority="1737">
      <formula>BO26="Gãy 2"</formula>
    </cfRule>
  </conditionalFormatting>
  <conditionalFormatting sqref="BO26:BO40 BQ26:BQ32">
    <cfRule type="expression" dxfId="10" priority="1738">
      <formula>BO26="Gãy 1"</formula>
    </cfRule>
  </conditionalFormatting>
  <conditionalFormatting sqref="BO26:BO40 BQ26:BQ32">
    <cfRule type="expression" dxfId="22" priority="1739">
      <formula>BO26="HC4"</formula>
    </cfRule>
  </conditionalFormatting>
  <conditionalFormatting sqref="BO26:BO40 BQ26:BQ32">
    <cfRule type="expression" dxfId="22" priority="1740">
      <formula>BO26="HC3"</formula>
    </cfRule>
  </conditionalFormatting>
  <conditionalFormatting sqref="BO26:BO40 BQ26:BQ32">
    <cfRule type="expression" dxfId="22" priority="1741">
      <formula>BO26="HC2"</formula>
    </cfRule>
  </conditionalFormatting>
  <conditionalFormatting sqref="BO26:BO40 BQ26:BQ32">
    <cfRule type="expression" dxfId="22" priority="1742">
      <formula>BO26="HC1"</formula>
    </cfRule>
  </conditionalFormatting>
  <conditionalFormatting sqref="BO26:BO40 BQ26:BQ32">
    <cfRule type="expression" dxfId="23" priority="1743">
      <formula>BO26="C5"</formula>
    </cfRule>
  </conditionalFormatting>
  <conditionalFormatting sqref="BO26:BO40 BQ26:BQ32">
    <cfRule type="expression" dxfId="24" priority="1744">
      <formula>BO26="C4"</formula>
    </cfRule>
  </conditionalFormatting>
  <conditionalFormatting sqref="BO26:BO40 BQ26:BQ32">
    <cfRule type="expression" dxfId="25" priority="1745">
      <formula>BO26="C3"</formula>
    </cfRule>
  </conditionalFormatting>
  <conditionalFormatting sqref="BO26:BO40 BQ26:BQ32">
    <cfRule type="expression" dxfId="20" priority="1746">
      <formula>BO26="C2"</formula>
    </cfRule>
  </conditionalFormatting>
  <conditionalFormatting sqref="BO26:BO40 BQ26:BQ32">
    <cfRule type="expression" dxfId="26" priority="1747">
      <formula>BO26="C1"</formula>
    </cfRule>
  </conditionalFormatting>
  <conditionalFormatting sqref="BO26:BO40 BQ26:BQ32">
    <cfRule type="expression" dxfId="16" priority="1748">
      <formula>BO26="S4"</formula>
    </cfRule>
  </conditionalFormatting>
  <conditionalFormatting sqref="BO26:BO40 BQ26:BQ32">
    <cfRule type="expression" dxfId="17" priority="1749">
      <formula>BO26="S3"</formula>
    </cfRule>
  </conditionalFormatting>
  <conditionalFormatting sqref="BO26:BO40 BQ26:BQ32">
    <cfRule type="expression" dxfId="18" priority="1750">
      <formula>BO26="S2"</formula>
    </cfRule>
  </conditionalFormatting>
  <conditionalFormatting sqref="BO26:BO40 BQ26:BQ32">
    <cfRule type="expression" dxfId="19" priority="1751">
      <formula>BO26="S1"</formula>
    </cfRule>
  </conditionalFormatting>
  <conditionalFormatting sqref="BP7:BP24">
    <cfRule type="expression" dxfId="1" priority="1752">
      <formula>BP7="BigNB"</formula>
    </cfRule>
  </conditionalFormatting>
  <conditionalFormatting sqref="BP7:BP24">
    <cfRule type="expression" dxfId="1" priority="1753">
      <formula>BP7="GaNB"</formula>
    </cfRule>
  </conditionalFormatting>
  <conditionalFormatting sqref="BP7:BP24">
    <cfRule type="expression" dxfId="2" priority="1754">
      <formula>BP7="BigNĐ"</formula>
    </cfRule>
  </conditionalFormatting>
  <conditionalFormatting sqref="BP7:BP24">
    <cfRule type="expression" dxfId="2" priority="1755">
      <formula>BP7="GaNĐ"</formula>
    </cfRule>
  </conditionalFormatting>
  <conditionalFormatting sqref="BN11 BR12 BN13 BN15:BN24 BP17:BP24 BP26:BP39 BR27 BC29:BC30 BF30 BH30 BN33">
    <cfRule type="expression" dxfId="1" priority="1756">
      <formula>BN11="BigNB"</formula>
    </cfRule>
  </conditionalFormatting>
  <conditionalFormatting sqref="BN11 BR12 BN13 BN15:BN24 BP17:BP24 BP26:BP39 BR27 BC29:BC30 BF30 BH30 BN33">
    <cfRule type="expression" dxfId="1" priority="1757">
      <formula>BN11="GaNB"</formula>
    </cfRule>
  </conditionalFormatting>
  <conditionalFormatting sqref="BN11 BR12 BN13 BN15:BN24 BP17:BP24 BP26:BP39 BR27 BC29:BC30 BF30 BH30 BN33">
    <cfRule type="expression" dxfId="2" priority="1758">
      <formula>BN11="BigNĐ"</formula>
    </cfRule>
  </conditionalFormatting>
  <conditionalFormatting sqref="BN11 BR12 BN13 BN15:BN24 BP17:BP24 BP26:BP39 BR27 BC29:BC30 BF30 BH30 BN33">
    <cfRule type="expression" dxfId="2" priority="1759">
      <formula>BN11="GaNĐ"</formula>
    </cfRule>
  </conditionalFormatting>
  <conditionalFormatting sqref="BQ7:BQ24 BK10 BO10 BO15:BO24 BQ32">
    <cfRule type="expression" dxfId="20" priority="1760">
      <formula>BQ7="C6"</formula>
    </cfRule>
  </conditionalFormatting>
  <conditionalFormatting sqref="BQ7:BQ24 BK10 BO10 BO15:BO24 BQ32">
    <cfRule type="expression" dxfId="21" priority="1761">
      <formula>BQ7="TC6"</formula>
    </cfRule>
  </conditionalFormatting>
  <conditionalFormatting sqref="BQ7:BQ24 BK10 BO10 BO15:BO24 BQ32">
    <cfRule type="expression" dxfId="21" priority="1762">
      <formula>BQ7="TC5"</formula>
    </cfRule>
  </conditionalFormatting>
  <conditionalFormatting sqref="BQ7:BQ24 BK10 BO10 BO15:BO24 BQ32">
    <cfRule type="expression" dxfId="21" priority="1763">
      <formula>BQ7="TC4"</formula>
    </cfRule>
  </conditionalFormatting>
  <conditionalFormatting sqref="BQ7:BQ24 BK10 BO10 BO15:BO24 BQ32">
    <cfRule type="expression" dxfId="21" priority="1764">
      <formula>BQ7="TC3"</formula>
    </cfRule>
  </conditionalFormatting>
  <conditionalFormatting sqref="BQ7:BQ24 BK10 BO10 BO15:BO24 BQ32">
    <cfRule type="expression" dxfId="21" priority="1765">
      <formula>BQ7="TC2"</formula>
    </cfRule>
  </conditionalFormatting>
  <conditionalFormatting sqref="BQ7:BQ24 BK10 BO10 BO15:BO24 BQ32">
    <cfRule type="expression" dxfId="21" priority="1766">
      <formula>BQ7="TC1"</formula>
    </cfRule>
  </conditionalFormatting>
  <conditionalFormatting sqref="BQ7:BQ24 BK10 BO10 BO15:BO24 BQ32">
    <cfRule type="expression" dxfId="8" priority="1767">
      <formula>BQ7="Full"</formula>
    </cfRule>
  </conditionalFormatting>
  <conditionalFormatting sqref="BQ7:BQ24 BK10 BO10 BO15:BO24 BQ32">
    <cfRule type="expression" dxfId="9" priority="1768">
      <formula>BQ7="OFF"</formula>
    </cfRule>
  </conditionalFormatting>
  <conditionalFormatting sqref="BQ7:BQ24 BK10 BO10 BO15:BO24 BQ32">
    <cfRule type="expression" dxfId="10" priority="1769">
      <formula>BQ7="Gãy 2"</formula>
    </cfRule>
  </conditionalFormatting>
  <conditionalFormatting sqref="BQ7:BQ24 BK10 BO10 BO15:BO24 BQ32">
    <cfRule type="expression" dxfId="10" priority="1770">
      <formula>BQ7="Gãy 1"</formula>
    </cfRule>
  </conditionalFormatting>
  <conditionalFormatting sqref="BQ7:BQ24 BK10 BO10 BO15:BO24 BQ32">
    <cfRule type="expression" dxfId="22" priority="1771">
      <formula>BQ7="HC4"</formula>
    </cfRule>
  </conditionalFormatting>
  <conditionalFormatting sqref="BQ7:BQ24 BK10 BO10 BO15:BO24 BQ32">
    <cfRule type="expression" dxfId="22" priority="1772">
      <formula>BQ7="HC3"</formula>
    </cfRule>
  </conditionalFormatting>
  <conditionalFormatting sqref="BQ7:BQ24 BK10 BO10 BO15:BO24 BQ32">
    <cfRule type="expression" dxfId="22" priority="1773">
      <formula>BQ7="HC2"</formula>
    </cfRule>
  </conditionalFormatting>
  <conditionalFormatting sqref="BQ7:BQ24 BK10 BO10 BO15:BO24 BQ32">
    <cfRule type="expression" dxfId="22" priority="1774">
      <formula>BQ7="HC1"</formula>
    </cfRule>
  </conditionalFormatting>
  <conditionalFormatting sqref="BQ7:BQ24 BK10 BO10 BO15:BO24 BQ32">
    <cfRule type="expression" dxfId="23" priority="1775">
      <formula>BQ7="C5"</formula>
    </cfRule>
  </conditionalFormatting>
  <conditionalFormatting sqref="BQ7:BQ24 BK10 BO10 BO15:BO24 BQ32">
    <cfRule type="expression" dxfId="24" priority="1776">
      <formula>BQ7="C4"</formula>
    </cfRule>
  </conditionalFormatting>
  <conditionalFormatting sqref="BQ7:BQ24 BK10 BO10 BO15:BO24 BQ32">
    <cfRule type="expression" dxfId="25" priority="1777">
      <formula>BQ7="C3"</formula>
    </cfRule>
  </conditionalFormatting>
  <conditionalFormatting sqref="BQ7:BQ24 BK10 BO10 BO15:BO24 BQ32">
    <cfRule type="expression" dxfId="20" priority="1778">
      <formula>BQ7="C2"</formula>
    </cfRule>
  </conditionalFormatting>
  <conditionalFormatting sqref="BQ7:BQ24 BK10 BO10 BO15:BO24 BQ32">
    <cfRule type="expression" dxfId="26" priority="1779">
      <formula>BQ7="C1"</formula>
    </cfRule>
  </conditionalFormatting>
  <conditionalFormatting sqref="BQ7:BQ24 BK10 BO10 BO15:BO24 BQ32">
    <cfRule type="expression" dxfId="16" priority="1780">
      <formula>BQ7="S4"</formula>
    </cfRule>
  </conditionalFormatting>
  <conditionalFormatting sqref="BQ7:BQ24 BK10 BO10 BO15:BO24 BQ32">
    <cfRule type="expression" dxfId="17" priority="1781">
      <formula>BQ7="S3"</formula>
    </cfRule>
  </conditionalFormatting>
  <conditionalFormatting sqref="BQ7:BQ24 BK10 BO10 BO15:BO24 BQ32">
    <cfRule type="expression" dxfId="18" priority="1782">
      <formula>BQ7="S2"</formula>
    </cfRule>
  </conditionalFormatting>
  <conditionalFormatting sqref="BQ7:BQ24 BK10 BO10 BO15:BO24 BQ32">
    <cfRule type="expression" dxfId="19" priority="1783">
      <formula>BQ7="S1"</formula>
    </cfRule>
  </conditionalFormatting>
  <conditionalFormatting sqref="BQ26:BQ40">
    <cfRule type="expression" dxfId="20" priority="1784">
      <formula>BQ26="C6"</formula>
    </cfRule>
  </conditionalFormatting>
  <conditionalFormatting sqref="BQ26:BQ40">
    <cfRule type="expression" dxfId="21" priority="1785">
      <formula>BQ26="TC6"</formula>
    </cfRule>
  </conditionalFormatting>
  <conditionalFormatting sqref="BQ26:BQ40">
    <cfRule type="expression" dxfId="21" priority="1786">
      <formula>BQ26="TC5"</formula>
    </cfRule>
  </conditionalFormatting>
  <conditionalFormatting sqref="BQ26:BQ40">
    <cfRule type="expression" dxfId="21" priority="1787">
      <formula>BQ26="TC4"</formula>
    </cfRule>
  </conditionalFormatting>
  <conditionalFormatting sqref="BQ26:BQ40">
    <cfRule type="expression" dxfId="21" priority="1788">
      <formula>BQ26="TC3"</formula>
    </cfRule>
  </conditionalFormatting>
  <conditionalFormatting sqref="BQ26:BQ40">
    <cfRule type="expression" dxfId="21" priority="1789">
      <formula>BQ26="TC2"</formula>
    </cfRule>
  </conditionalFormatting>
  <conditionalFormatting sqref="BQ26:BQ40">
    <cfRule type="expression" dxfId="21" priority="1790">
      <formula>BQ26="TC1"</formula>
    </cfRule>
  </conditionalFormatting>
  <conditionalFormatting sqref="BQ26:BQ40">
    <cfRule type="expression" dxfId="8" priority="1791">
      <formula>BQ26="Full"</formula>
    </cfRule>
  </conditionalFormatting>
  <conditionalFormatting sqref="BQ26:BQ40">
    <cfRule type="expression" dxfId="9" priority="1792">
      <formula>BQ26="OFF"</formula>
    </cfRule>
  </conditionalFormatting>
  <conditionalFormatting sqref="BQ26:BQ40">
    <cfRule type="expression" dxfId="10" priority="1793">
      <formula>BQ26="Gãy 2"</formula>
    </cfRule>
  </conditionalFormatting>
  <conditionalFormatting sqref="BQ26:BQ40">
    <cfRule type="expression" dxfId="10" priority="1794">
      <formula>BQ26="Gãy 1"</formula>
    </cfRule>
  </conditionalFormatting>
  <conditionalFormatting sqref="BQ26:BQ40">
    <cfRule type="expression" dxfId="22" priority="1795">
      <formula>BQ26="HC4"</formula>
    </cfRule>
  </conditionalFormatting>
  <conditionalFormatting sqref="BQ26:BQ40">
    <cfRule type="expression" dxfId="22" priority="1796">
      <formula>BQ26="HC3"</formula>
    </cfRule>
  </conditionalFormatting>
  <conditionalFormatting sqref="BQ26:BQ40">
    <cfRule type="expression" dxfId="22" priority="1797">
      <formula>BQ26="HC2"</formula>
    </cfRule>
  </conditionalFormatting>
  <conditionalFormatting sqref="BQ26:BQ40">
    <cfRule type="expression" dxfId="22" priority="1798">
      <formula>BQ26="HC1"</formula>
    </cfRule>
  </conditionalFormatting>
  <conditionalFormatting sqref="BQ26:BQ40">
    <cfRule type="expression" dxfId="23" priority="1799">
      <formula>BQ26="C5"</formula>
    </cfRule>
  </conditionalFormatting>
  <conditionalFormatting sqref="BQ26:BQ40">
    <cfRule type="expression" dxfId="24" priority="1800">
      <formula>BQ26="C4"</formula>
    </cfRule>
  </conditionalFormatting>
  <conditionalFormatting sqref="BQ26:BQ40">
    <cfRule type="expression" dxfId="25" priority="1801">
      <formula>BQ26="C3"</formula>
    </cfRule>
  </conditionalFormatting>
  <conditionalFormatting sqref="BQ26:BQ40">
    <cfRule type="expression" dxfId="20" priority="1802">
      <formula>BQ26="C2"</formula>
    </cfRule>
  </conditionalFormatting>
  <conditionalFormatting sqref="BQ26:BQ40">
    <cfRule type="expression" dxfId="26" priority="1803">
      <formula>BQ26="C1"</formula>
    </cfRule>
  </conditionalFormatting>
  <conditionalFormatting sqref="BQ26:BQ40">
    <cfRule type="expression" dxfId="16" priority="1804">
      <formula>BQ26="S4"</formula>
    </cfRule>
  </conditionalFormatting>
  <conditionalFormatting sqref="BQ26:BQ40">
    <cfRule type="expression" dxfId="17" priority="1805">
      <formula>BQ26="S3"</formula>
    </cfRule>
  </conditionalFormatting>
  <conditionalFormatting sqref="BQ26:BQ40">
    <cfRule type="expression" dxfId="18" priority="1806">
      <formula>BQ26="S2"</formula>
    </cfRule>
  </conditionalFormatting>
  <conditionalFormatting sqref="BQ26:BQ40">
    <cfRule type="expression" dxfId="19" priority="1807">
      <formula>BQ26="S1"</formula>
    </cfRule>
  </conditionalFormatting>
  <conditionalFormatting sqref="BR7:BR24 BN12:BN14">
    <cfRule type="expression" dxfId="1" priority="1808">
      <formula>BR7="BigNB"</formula>
    </cfRule>
  </conditionalFormatting>
  <conditionalFormatting sqref="BR7:BR24 BN12:BN14">
    <cfRule type="expression" dxfId="1" priority="1809">
      <formula>BR7="GaNB"</formula>
    </cfRule>
  </conditionalFormatting>
  <conditionalFormatting sqref="BR7:BR24 BN12:BN14">
    <cfRule type="expression" dxfId="2" priority="1810">
      <formula>BR7="BigNĐ"</formula>
    </cfRule>
  </conditionalFormatting>
  <conditionalFormatting sqref="BR7:BR24 BN12:BN14">
    <cfRule type="expression" dxfId="2" priority="1811">
      <formula>BR7="GaNĐ"</formula>
    </cfRule>
  </conditionalFormatting>
  <conditionalFormatting sqref="BR26:BR39">
    <cfRule type="expression" dxfId="1" priority="1812">
      <formula>BR26="BigNB"</formula>
    </cfRule>
  </conditionalFormatting>
  <conditionalFormatting sqref="BR26:BR39">
    <cfRule type="expression" dxfId="1" priority="1813">
      <formula>BR26="GaNB"</formula>
    </cfRule>
  </conditionalFormatting>
  <conditionalFormatting sqref="BR26:BR39">
    <cfRule type="expression" dxfId="2" priority="1814">
      <formula>BR26="BigNĐ"</formula>
    </cfRule>
  </conditionalFormatting>
  <conditionalFormatting sqref="BR26:BR39">
    <cfRule type="expression" dxfId="2" priority="1815">
      <formula>BR26="GaNĐ"</formula>
    </cfRule>
  </conditionalFormatting>
  <conditionalFormatting sqref="BQ14">
    <cfRule type="expression" dxfId="20" priority="1816">
      <formula>BQ14="C6"</formula>
    </cfRule>
  </conditionalFormatting>
  <conditionalFormatting sqref="BQ14">
    <cfRule type="expression" dxfId="21" priority="1817">
      <formula>BQ14="TC6"</formula>
    </cfRule>
  </conditionalFormatting>
  <conditionalFormatting sqref="BQ14">
    <cfRule type="expression" dxfId="21" priority="1818">
      <formula>BQ14="TC5"</formula>
    </cfRule>
  </conditionalFormatting>
  <conditionalFormatting sqref="BQ14">
    <cfRule type="expression" dxfId="21" priority="1819">
      <formula>BQ14="TC4"</formula>
    </cfRule>
  </conditionalFormatting>
  <conditionalFormatting sqref="BQ14">
    <cfRule type="expression" dxfId="21" priority="1820">
      <formula>BQ14="TC3"</formula>
    </cfRule>
  </conditionalFormatting>
  <conditionalFormatting sqref="BQ14">
    <cfRule type="expression" dxfId="21" priority="1821">
      <formula>BQ14="TC2"</formula>
    </cfRule>
  </conditionalFormatting>
  <conditionalFormatting sqref="BQ14">
    <cfRule type="expression" dxfId="21" priority="1822">
      <formula>BQ14="TC1"</formula>
    </cfRule>
  </conditionalFormatting>
  <conditionalFormatting sqref="BQ14">
    <cfRule type="expression" dxfId="8" priority="1823">
      <formula>BQ14="Full"</formula>
    </cfRule>
  </conditionalFormatting>
  <conditionalFormatting sqref="BQ14">
    <cfRule type="expression" dxfId="9" priority="1824">
      <formula>BQ14="OFF"</formula>
    </cfRule>
  </conditionalFormatting>
  <conditionalFormatting sqref="BQ14">
    <cfRule type="expression" dxfId="10" priority="1825">
      <formula>BQ14="Gãy 2"</formula>
    </cfRule>
  </conditionalFormatting>
  <conditionalFormatting sqref="BQ14">
    <cfRule type="expression" dxfId="10" priority="1826">
      <formula>BQ14="Gãy 1"</formula>
    </cfRule>
  </conditionalFormatting>
  <conditionalFormatting sqref="BQ14">
    <cfRule type="expression" dxfId="22" priority="1827">
      <formula>BQ14="HC4"</formula>
    </cfRule>
  </conditionalFormatting>
  <conditionalFormatting sqref="BQ14">
    <cfRule type="expression" dxfId="22" priority="1828">
      <formula>BQ14="HC3"</formula>
    </cfRule>
  </conditionalFormatting>
  <conditionalFormatting sqref="BQ14">
    <cfRule type="expression" dxfId="22" priority="1829">
      <formula>BQ14="HC2"</formula>
    </cfRule>
  </conditionalFormatting>
  <conditionalFormatting sqref="BQ14">
    <cfRule type="expression" dxfId="22" priority="1830">
      <formula>BQ14="HC1"</formula>
    </cfRule>
  </conditionalFormatting>
  <conditionalFormatting sqref="BQ14">
    <cfRule type="expression" dxfId="23" priority="1831">
      <formula>BQ14="C5"</formula>
    </cfRule>
  </conditionalFormatting>
  <conditionalFormatting sqref="BQ14">
    <cfRule type="expression" dxfId="24" priority="1832">
      <formula>BQ14="C4"</formula>
    </cfRule>
  </conditionalFormatting>
  <conditionalFormatting sqref="BQ14">
    <cfRule type="expression" dxfId="25" priority="1833">
      <formula>BQ14="C3"</formula>
    </cfRule>
  </conditionalFormatting>
  <conditionalFormatting sqref="BQ14">
    <cfRule type="expression" dxfId="20" priority="1834">
      <formula>BQ14="C2"</formula>
    </cfRule>
  </conditionalFormatting>
  <conditionalFormatting sqref="BQ14">
    <cfRule type="expression" dxfId="26" priority="1835">
      <formula>BQ14="C1"</formula>
    </cfRule>
  </conditionalFormatting>
  <conditionalFormatting sqref="BQ14">
    <cfRule type="expression" dxfId="16" priority="1836">
      <formula>BQ14="S4"</formula>
    </cfRule>
  </conditionalFormatting>
  <conditionalFormatting sqref="BQ14">
    <cfRule type="expression" dxfId="17" priority="1837">
      <formula>BQ14="S3"</formula>
    </cfRule>
  </conditionalFormatting>
  <conditionalFormatting sqref="BQ14">
    <cfRule type="expression" dxfId="18" priority="1838">
      <formula>BQ14="S2"</formula>
    </cfRule>
  </conditionalFormatting>
  <conditionalFormatting sqref="BQ14">
    <cfRule type="expression" dxfId="19" priority="1839">
      <formula>BQ14="S1"</formula>
    </cfRule>
  </conditionalFormatting>
  <conditionalFormatting sqref="BY6:CK6 CM6:CW6 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72:A77">
    <cfRule type="expression" dxfId="27" priority="1840">
      <formula>BY6="TC6"</formula>
    </cfRule>
  </conditionalFormatting>
  <conditionalFormatting sqref="BY6:CK6 CM6:CW6 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72:A77">
    <cfRule type="expression" dxfId="27" priority="1841">
      <formula>BY6="TC5"</formula>
    </cfRule>
  </conditionalFormatting>
  <conditionalFormatting sqref="BY6:CK6 CM6:CW6 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72:A77">
    <cfRule type="expression" dxfId="27" priority="1842">
      <formula>BY6="TC4"</formula>
    </cfRule>
  </conditionalFormatting>
  <conditionalFormatting sqref="BY6:CK6 CM6:CW6 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72:A77">
    <cfRule type="expression" dxfId="27" priority="1843">
      <formula>BY6="TC3"</formula>
    </cfRule>
  </conditionalFormatting>
  <conditionalFormatting sqref="BY6:CK6 CM6:CW6 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72:A77">
    <cfRule type="expression" dxfId="27" priority="1844">
      <formula>BY6="TC2"</formula>
    </cfRule>
  </conditionalFormatting>
  <conditionalFormatting sqref="BY6:CK6 CM6:CW6 AC7:AC24 AE7:AE24 AT7:AT24 BI7:BI24 P8:P24 AA8:AA24 AP8:AP24 AR8:AR24 AV8:AV24 BE8:BE24 BG8:BG24 BK8:BK24 BM8:BM24 BO8:BO24 BQ8:BQ24 AK12 AZ12 AX19 AZ19 BB19 L22:L24 N22:N24 L27:L35 P27:P40 Q27:Q28 R27:R39 S27 T27:T39 V27:V39 W27 X27:X39 AA27:AA39 AC27:AC40 AE27:AE40 AG27:AG39 AI27:AI40 AK27:AK40 AM27:AM40 AP27:AP39 AR27:AR39 AT27:AT40 AV27:AV39 AX27:AX39 AZ27:AZ39 BB27:BB39 BE27:BE40 BG27:BG39 BI27:BI40 BK27:BK39 BM27:BM40 BO27:BO39 BQ27:BQ39 AF28 Y29 U30 AH30 Y32 E33:E39 G33:G39 I33:I39 N33:N39 AL33 AQ34:AQ38 AS34 L39 AN39 A72:A77">
    <cfRule type="expression" dxfId="27" priority="1845">
      <formula>BY6="TC1"</formula>
    </cfRule>
  </conditionalFormatting>
  <conditionalFormatting sqref="BY6:CK6 CM6:CW6 A72:A77">
    <cfRule type="expression" dxfId="8" priority="1846">
      <formula>BY6="Full"</formula>
    </cfRule>
  </conditionalFormatting>
  <conditionalFormatting sqref="BY6:CK6 CM6:CW6 A72:A77">
    <cfRule type="expression" dxfId="9" priority="1847">
      <formula>BY6="OFF"</formula>
    </cfRule>
  </conditionalFormatting>
  <conditionalFormatting sqref="BY6:CK6 CM6:CW6 A72:A77">
    <cfRule type="expression" dxfId="10" priority="1848">
      <formula>BY6="Gãy 2"</formula>
    </cfRule>
  </conditionalFormatting>
  <conditionalFormatting sqref="BY6:CK6 CM6:CW6 A72:A77">
    <cfRule type="expression" dxfId="10" priority="1849">
      <formula>BY6="Gãy 1"</formula>
    </cfRule>
  </conditionalFormatting>
  <conditionalFormatting sqref="BY6:CK6 CM6:CW6 A72:A77">
    <cfRule type="expression" dxfId="22" priority="1850">
      <formula>BY6="HC4"</formula>
    </cfRule>
  </conditionalFormatting>
  <conditionalFormatting sqref="BY6:CK6 CM6:CW6 A72:A77">
    <cfRule type="expression" dxfId="22" priority="1851">
      <formula>BY6="HC3"</formula>
    </cfRule>
  </conditionalFormatting>
  <conditionalFormatting sqref="BY6:CK6 CM6:CW6 A72:A77">
    <cfRule type="expression" dxfId="22" priority="1852">
      <formula>BY6="HC2"</formula>
    </cfRule>
  </conditionalFormatting>
  <conditionalFormatting sqref="BY6:CK6 CM6:CW6 A72:A77">
    <cfRule type="expression" dxfId="22" priority="1853">
      <formula>BY6="HC1"</formula>
    </cfRule>
  </conditionalFormatting>
  <conditionalFormatting sqref="BY6:CK6 CM6:CW6 A72:A77">
    <cfRule type="expression" dxfId="23" priority="1854">
      <formula>BY6="C5"</formula>
    </cfRule>
  </conditionalFormatting>
  <conditionalFormatting sqref="BY6:CK6 CM6:CW6 A72:A77">
    <cfRule type="expression" dxfId="24" priority="1855">
      <formula>BY6="C4"</formula>
    </cfRule>
  </conditionalFormatting>
  <conditionalFormatting sqref="BY6:CK6 CM6:CW6 A72:A77">
    <cfRule type="expression" dxfId="25" priority="1856">
      <formula>BY6="C3"</formula>
    </cfRule>
  </conditionalFormatting>
  <conditionalFormatting sqref="BY6:CK6 CM6:CW6 A72:A77">
    <cfRule type="expression" dxfId="20" priority="1857">
      <formula>BY6="C2"</formula>
    </cfRule>
  </conditionalFormatting>
  <conditionalFormatting sqref="BY6:CK6 CM6:CW6 A72:A77">
    <cfRule type="expression" dxfId="26" priority="1858">
      <formula>BY6="C1"</formula>
    </cfRule>
  </conditionalFormatting>
  <conditionalFormatting sqref="BY6:CK6 CM6:CW6 A72:A77">
    <cfRule type="expression" dxfId="16" priority="1859">
      <formula>BY6="S4"</formula>
    </cfRule>
  </conditionalFormatting>
  <conditionalFormatting sqref="BY6:CK6 CM6:CW6 A72:A77">
    <cfRule type="expression" dxfId="17" priority="1860">
      <formula>BY6="S3"</formula>
    </cfRule>
  </conditionalFormatting>
  <conditionalFormatting sqref="BY6:CK6 CM6:CW6 A72:A77">
    <cfRule type="expression" dxfId="18" priority="1861">
      <formula>BY6="S2"</formula>
    </cfRule>
  </conditionalFormatting>
  <conditionalFormatting sqref="BY6:CK6 CM6:CW6 A72:A77">
    <cfRule type="expression" dxfId="19" priority="1862">
      <formula>BY6="S1"</formula>
    </cfRule>
  </conditionalFormatting>
  <conditionalFormatting sqref="CL6">
    <cfRule type="expression" dxfId="20" priority="1863">
      <formula>CL6="C6"</formula>
    </cfRule>
  </conditionalFormatting>
  <conditionalFormatting sqref="CL6">
    <cfRule type="expression" dxfId="21" priority="1864">
      <formula>CL6="TC6"</formula>
    </cfRule>
  </conditionalFormatting>
  <conditionalFormatting sqref="CL6">
    <cfRule type="expression" dxfId="21" priority="1865">
      <formula>CL6="TC5"</formula>
    </cfRule>
  </conditionalFormatting>
  <conditionalFormatting sqref="CL6">
    <cfRule type="expression" dxfId="21" priority="1866">
      <formula>CL6="TC4"</formula>
    </cfRule>
  </conditionalFormatting>
  <conditionalFormatting sqref="CL6">
    <cfRule type="expression" dxfId="21" priority="1867">
      <formula>CL6="TC3"</formula>
    </cfRule>
  </conditionalFormatting>
  <conditionalFormatting sqref="CL6">
    <cfRule type="expression" dxfId="21" priority="1868">
      <formula>CL6="TC2"</formula>
    </cfRule>
  </conditionalFormatting>
  <conditionalFormatting sqref="CL6">
    <cfRule type="expression" dxfId="21" priority="1869">
      <formula>CL6="TC1"</formula>
    </cfRule>
  </conditionalFormatting>
  <conditionalFormatting sqref="CL6">
    <cfRule type="expression" dxfId="8" priority="1870">
      <formula>CL6="Full"</formula>
    </cfRule>
  </conditionalFormatting>
  <conditionalFormatting sqref="CL6">
    <cfRule type="expression" dxfId="9" priority="1871">
      <formula>CL6="OFF"</formula>
    </cfRule>
  </conditionalFormatting>
  <conditionalFormatting sqref="CL6">
    <cfRule type="expression" dxfId="10" priority="1872">
      <formula>CL6="Gãy 2"</formula>
    </cfRule>
  </conditionalFormatting>
  <conditionalFormatting sqref="CL6">
    <cfRule type="expression" dxfId="10" priority="1873">
      <formula>CL6="Gãy 1"</formula>
    </cfRule>
  </conditionalFormatting>
  <conditionalFormatting sqref="CL6">
    <cfRule type="expression" dxfId="22" priority="1874">
      <formula>CL6="HC4"</formula>
    </cfRule>
  </conditionalFormatting>
  <conditionalFormatting sqref="CL6">
    <cfRule type="expression" dxfId="22" priority="1875">
      <formula>CL6="HC3"</formula>
    </cfRule>
  </conditionalFormatting>
  <conditionalFormatting sqref="CL6">
    <cfRule type="expression" dxfId="22" priority="1876">
      <formula>CL6="HC2"</formula>
    </cfRule>
  </conditionalFormatting>
  <conditionalFormatting sqref="CL6">
    <cfRule type="expression" dxfId="22" priority="1877">
      <formula>CL6="HC1"</formula>
    </cfRule>
  </conditionalFormatting>
  <conditionalFormatting sqref="CL6">
    <cfRule type="expression" dxfId="23" priority="1878">
      <formula>CL6="C5"</formula>
    </cfRule>
  </conditionalFormatting>
  <conditionalFormatting sqref="CL6">
    <cfRule type="expression" dxfId="24" priority="1879">
      <formula>CL6="C4"</formula>
    </cfRule>
  </conditionalFormatting>
  <conditionalFormatting sqref="CL6">
    <cfRule type="expression" dxfId="25" priority="1880">
      <formula>CL6="C3"</formula>
    </cfRule>
  </conditionalFormatting>
  <conditionalFormatting sqref="CL6">
    <cfRule type="expression" dxfId="20" priority="1881">
      <formula>CL6="C2"</formula>
    </cfRule>
  </conditionalFormatting>
  <conditionalFormatting sqref="CL6">
    <cfRule type="expression" dxfId="26" priority="1882">
      <formula>CL6="C1"</formula>
    </cfRule>
  </conditionalFormatting>
  <conditionalFormatting sqref="CL6">
    <cfRule type="expression" dxfId="16" priority="1883">
      <formula>CL6="S4"</formula>
    </cfRule>
  </conditionalFormatting>
  <conditionalFormatting sqref="CL6">
    <cfRule type="expression" dxfId="17" priority="1884">
      <formula>CL6="S3"</formula>
    </cfRule>
  </conditionalFormatting>
  <conditionalFormatting sqref="CL6">
    <cfRule type="expression" dxfId="18" priority="1885">
      <formula>CL6="S2"</formula>
    </cfRule>
  </conditionalFormatting>
  <conditionalFormatting sqref="CL6">
    <cfRule type="expression" dxfId="19" priority="1886">
      <formula>CL6="S1"</formula>
    </cfRule>
  </conditionalFormatting>
  <conditionalFormatting sqref="CY6:DE6">
    <cfRule type="expression" dxfId="1" priority="1887">
      <formula>CY6="BigNB"</formula>
    </cfRule>
  </conditionalFormatting>
  <conditionalFormatting sqref="CY6:DE6">
    <cfRule type="expression" dxfId="1" priority="1888">
      <formula>CY6="GaNB"</formula>
    </cfRule>
  </conditionalFormatting>
  <conditionalFormatting sqref="CY6:DE6">
    <cfRule type="expression" dxfId="2" priority="1889">
      <formula>CY6="BigNĐ"</formula>
    </cfRule>
  </conditionalFormatting>
  <conditionalFormatting sqref="CY6:DE6">
    <cfRule type="expression" dxfId="2" priority="1890">
      <formula>CY6="GaNĐ"</formula>
    </cfRule>
  </conditionalFormatting>
  <conditionalFormatting sqref="CY6:DE6 F8:F24 H8:H24 J8:J24 M8:M24 O8:O24 Q8:Q24 S8:S24 U8:U24 W8:W24 Y8:Y24 AB8:AB24 AD8:AD24 AF8:AF24 AH8:AH24 AJ8:AJ24 AL8:AL24 AN8:AN24 AQ8:AQ24 AS8:AS24 AU8:AU24 AW8:AW24 AY8:AY24 BA8:BA24 BC8:BC24 BF8:BF24 BH8:BH24 BJ8:BJ24 BL8:BL24 BN8:BN24 BP8:BP24 BR11:BR13 BI12 AG14 AV14 BK14:BK15 BM14 E17:E24 G17:G24 I17:I24 L17:L24 N17:N24 P17:P24 R17:R24 T17:T24 V17:V24 X17:X24 AA17:AA24 AC17:AC24 AE17:AE24 AG17:AG24 AI17:AI24 AK17:AK24 AM17:AM24 AP17:AP24 AR17:AR24 AT17:AT24 AV17:AV24 AX17:AX24 AZ17:AZ24 BB17:BB24 BE17:BE24 BG17:BG24 BI17:BI24 BK17:BK24 BM17:BM24 BO17:BO24 BQ17:BQ24 F27:F40 H27:H40 J27:J40 L27:L35 M27:M40 O27:O40 Q27:Q40 S27:S40 U27:U40 W27:W40 Y27:Y40 AB27:AB40 AD27:AD40 AF27:AF40 AH27:AH40 AJ27:AJ40 AL27:AL40 AN27:AN40 AQ27:AQ40 AS27:AS40 AU27:AU40 AW27:AW40 AY27:AY40 BA27:BA40 BC27:BC40 BF27:BF40 BH27:BH40 BJ27:BJ40 BL27:BL40 BN27:BN40 BP27:BP40 BR27 BR34:BR40 L39">
    <cfRule type="expression" dxfId="28" priority="1891">
      <formula>CY6="NBAI"</formula>
    </cfRule>
  </conditionalFormatting>
  <conditionalFormatting sqref="CY6:DE6">
    <cfRule type="expression" dxfId="4" priority="1892">
      <formula>CY6="PTYB"</formula>
    </cfRule>
  </conditionalFormatting>
  <conditionalFormatting sqref="CY6:DE6">
    <cfRule type="expression" dxfId="1" priority="1893">
      <formula>CY6="YB"</formula>
    </cfRule>
  </conditionalFormatting>
  <conditionalFormatting sqref="CY6:DE6">
    <cfRule type="expression" dxfId="5" priority="1894">
      <formula>CY6="PT"</formula>
    </cfRule>
  </conditionalFormatting>
  <conditionalFormatting sqref="CY6:DE6">
    <cfRule type="expression" dxfId="6" priority="1895">
      <formula>CY6="VT"</formula>
    </cfRule>
  </conditionalFormatting>
  <conditionalFormatting sqref="CY6:DE6">
    <cfRule type="expression" dxfId="1" priority="1896">
      <formula>CY6="NB"</formula>
    </cfRule>
  </conditionalFormatting>
  <conditionalFormatting sqref="CY6:DE6">
    <cfRule type="expression" dxfId="5" priority="1897">
      <formula>CY6="TB"</formula>
    </cfRule>
  </conditionalFormatting>
  <conditionalFormatting sqref="CY6:DE6">
    <cfRule type="expression" dxfId="6" priority="1898">
      <formula>CY6="NĐ"</formula>
    </cfRule>
  </conditionalFormatting>
  <conditionalFormatting sqref="BT7:BT24 BT26">
    <cfRule type="cellIs" dxfId="29" priority="1899" operator="greaterThan">
      <formula>208</formula>
    </cfRule>
  </conditionalFormatting>
  <conditionalFormatting sqref="BT27:BT39">
    <cfRule type="cellIs" dxfId="29" priority="1900" operator="greaterThan">
      <formula>234</formula>
    </cfRule>
  </conditionalFormatting>
  <conditionalFormatting sqref="BS7:BS24 BS26:BS40">
    <cfRule type="cellIs" dxfId="29" priority="1901" operator="greaterThan">
      <formula>26</formula>
    </cfRule>
  </conditionalFormatting>
  <dataValidations>
    <dataValidation type="list" allowBlank="1" showErrorMessage="1" sqref="L8:L10 E8:E24 G8:G24 I8:I24 L12:L24 N8:N24 P8:P24 R8:R24 T8:T24 V8:V24 X8:X24 AA8:AA24 AC8:AC24 AE8:AE24 AG8:AG24 AI8:AI24 AK8:AK24 AM8:AM24 AP8:AP24 AR8:AR24 AT8:AT24 AV8:AV24 AX8:AX24 AZ8:AZ24 BB8:BB24 BE8:BE24 BG8:BG24 BI8:BI24 BK8:BK24 BM8:BM24 BO8:BO24 BQ8:BQ24 L27:L35 L39">
      <formula1>"S1,S2,S3,S5,S4,C1,C2,C3,C4,C5,C6,TC1,TC2,TC3,TC4,TC5,TC6,HC1,HC2,HC3,HC4,Gãy 1,Gãy 2,Full,OFF,Full 1"</formula1>
    </dataValidation>
    <dataValidation type="list" allowBlank="1" showInputMessage="1" prompt="Click and enter a value from the list of items" sqref="U8 F11 O11 Q11 S11 AJ11 Q14 O15 AB16 H17 M16:M17 AN17 S18 J19 Y18:Y19 AF19 W21 AH21 AL22 F27 M27 S29 O30 AH30 Q31 S32 H33 U33 M34 W34 Y34 AQ35:AQ36 J39 AN39">
      <formula1>"VT,PT,YB,PTYB,NHỠ,GAYB,BigYB,GAVT,GAPT,BigVT,BigPT"</formula1>
    </dataValidation>
    <dataValidation type="list" allowBlank="1" showErrorMessage="1" sqref="F40 H40 J40 M40 O40 Q40 S40 U40 W40 Y40 AB40 AD40 AF40 AH40 AJ40 AL40 AN40 AQ40 AS40 AU40 AW40 AY40 BA40 BC40 BF40 BH40 BJ40 BL40 BN40 BP40 BR40">
      <formula1>"NĐ,TB,NB,VT,PT,YB,PTYB,NBAI"</formula1>
    </dataValidation>
    <dataValidation type="list" allowBlank="1" showErrorMessage="1" sqref="BY6:CW6 P7 BE7 BG7 BI7 L11 E27:E40 G27:G40 I27:I40 L40 N27:N40 P27:P40 R27:R40 T27:T40 V27:V40 X27:X40 AA27:AA40 AC27:AC40 AE27:AE40 AG27:AG40 AI27:AI40 AK27:AK40 AM27:AM40 AP27:AP40 AR27:AR40 AT27:AT40 AV27:AV40 AX27:AX40 AZ27:AZ40 BB27:BB40 BE27:BE40 BG27:BG40 BI27:BI40 BK27:BK40 BM27:BM40 BO27:BO40 BQ27:BQ40 A57:A83">
      <formula1>"S1,S2,S3,Onl S,C1,C2,C3,C4,C5,Onl C,TC1,TC2,TC3,Online,TC4,TC5,TC6,HC1,HC2,HC3,HC4,Gãy 1,Gãy 2,Full,OFF,TC F,S4"</formula1>
    </dataValidation>
    <dataValidation type="list" allowBlank="1" showErrorMessage="1" sqref="E7 G7 I7 L7 N7 R7 T7 V7 X7 AA7 AC7 AE7 AG7 AI7 AK7 AM7 AP7 AR7 AT7 AV7 AX7 AZ7 BB7 BK7 BM7 BO7 BQ7 E26 G26 I26 L26 N26 P26 R26 T26 V26 X26 AA26 AC26 AE26 AG26 AI26 AK26 AM26 AP26 AR26 AT26 AV26 AX26 AZ26 BB26 BE26 BG26 BI26 BK26 BM26 BO26 BQ26 A84:A85">
      <formula1>"S1,S2,S3,Onl S,C1,C2,C3,C4,C5,Onl C,TC1,TC2,TC3,Onl F,TC4,TC5,TC6,HC1,HC2,HC3,HC4,Gãy 1,Gãy 2,Full,OFF,TC F,C6,TCS,TCC"</formula1>
    </dataValidation>
    <dataValidation type="list" allowBlank="1" showErrorMessage="1" sqref="W27 AJ27 AN28 H29 Y29 AB28:AB29 AD29 AF29 M30 U30 AF32 AH32 AN32 W32:W33 Y32:Y33 AU32:AU33 AW32:AW33 AY33 AS35:AS36 J34:J38 F34:F39 H34:H39 M35:M39 O34:O39 Q33:Q39 S34:S39 U34:U39">
      <formula1>"NĐ,TB,NB,NBAI,GaNĐ,BigNĐ,GaNB,BigNB,BigTB,GaTB"</formula1>
    </dataValidation>
    <dataValidation type="list" allowBlank="1" showInputMessage="1" prompt="Click and enter a value from the list of items" sqref="AW9 BC10 AQ11 AU16 AY17 AH27 BF27 BH28 AQ28:AQ29 BJ29 AF30 AW30 BL30 AD31 AJ32 BN32 AB33 AS33 AU34 BP34 AY36 BR36 AJ35:AJ38 AN34:AN38 BC38 AL34:AL39 BA37:BA39">
      <formula1>"VT,PT,YB,PTYB,NHỠ,BigTB,GaTB"</formula1>
    </dataValidation>
    <dataValidation type="list" allowBlank="1" showErrorMessage="1" sqref="CY6:DE6 U7 AW7:AW8 BC7:BC9 F7:F10 O7:O10 Q7:Q10 S7:S10 AJ7:AJ10 AQ7:AQ10 Q12:Q13 O12:O14 M7:M15 AB7:AB15 AU7:AU15 H7:H16 AN7:AN16 AY7:AY16 S12:S17 Y7:Y17 J7:J18 AF7:AF18 W7:W20 AH7:AH20 AL7:AL21 F12:F24 H18:H24 J20:J24 M18:M24 O16:O24 Q15:Q24 S19:S24 U9:U24 W22:W24 Y20:Y24 AB17:AB24 AD7:AD24 AF20:AF24 AH22:AH24 AJ12:AJ24 AL23:AL24 AN18:AN24 AQ12:AQ24 AS7:AS24 AU17:AU24 AW10:AW24 AY18:AY24 BA7:BA24 BC11:BC24 BF7:BF24 BH7:BH24 BJ7:BJ24 BL7:BL24 BN7:BN24 BP7:BP24 BR7:BR24 F26 M26 W26 AH26 AJ26 BF26 AB26:AB27 AN26:AN27 AQ26:AQ27 BH26:BH27 H26:H28 S26:S28 Y26:Y28 AD26:AD28 AF26:AF28 BJ26:BJ28 M28:M29 O26:O29 U26:U29 AH28:AH29 AW26:AW29 BL26:BL29 Q26:Q30 AD30 S30:S31 W28:W31 Y30:Y31 AF31 AH31 AJ28:AJ31 AN29:AN31 AU26:AU31 AW31 BN26:BN31 H30:H32 Q32 U31:U32 AB30:AB32 AS26:AS32 AY26:AY32 F28:F33 J26:J33 M31:M33 O31:O33 S33 AL26:AL33 AN33 BP26:BP33 AJ33:AJ34 AQ30:AQ34 AS34 AY34:AY35 BR26:BR35 BA26:BA36 BC26:BC37 W35:W39 Y35:Y39 AB34:AB39 AD32:AD39 AF33:AF39 AH33:AH39 AJ39 AQ37:AQ39 AS37:AS39 AU35:AU39 AW34:AW39 AY37:AY39 BC39 BF28:BF39 BH29:BH39 BJ30:BJ39 BL31:BL39 BN33:BN39 BP35:BP39 BR37:BR39 A48:A55">
      <formula1>"NĐ,TB,NB,NBAI,GaNĐ,BigNĐ,GaNB,BigNB"</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cols>
    <col customWidth="1" min="1" max="1" width="9.5"/>
    <col customWidth="1" min="2" max="2" width="24.13"/>
    <col customWidth="1" min="3" max="3" width="12.75"/>
    <col customWidth="1" min="4" max="4" width="8.0"/>
    <col customWidth="1" min="5" max="5" width="6.38"/>
    <col customWidth="1" min="6" max="6" width="7.38"/>
    <col customWidth="1" min="7" max="7" width="6.25"/>
    <col customWidth="1" min="8" max="8" width="7.75"/>
    <col customWidth="1" min="9" max="9" width="6.25"/>
    <col customWidth="1" min="10" max="10" width="7.75"/>
    <col customWidth="1" min="11" max="11" width="10.13"/>
    <col customWidth="1" min="12" max="12" width="6.25"/>
    <col customWidth="1" min="13" max="13" width="7.88"/>
    <col customWidth="1" min="14" max="14" width="6.25"/>
    <col customWidth="1" min="15" max="15" width="7.75"/>
    <col customWidth="1" min="16" max="16" width="6.25"/>
    <col customWidth="1" min="17" max="17" width="7.75"/>
    <col customWidth="1" min="18" max="18" width="6.25"/>
    <col customWidth="1" min="19" max="19" width="7.38"/>
    <col customWidth="1" min="20" max="20" width="6.25"/>
    <col customWidth="1" min="21" max="21" width="7.38"/>
    <col customWidth="1" min="22" max="22" width="6.25"/>
    <col customWidth="1" min="23" max="23" width="7.75"/>
    <col customWidth="1" min="24" max="24" width="6.25"/>
    <col customWidth="1" min="25" max="25" width="7.75"/>
    <col customWidth="1" min="26" max="26" width="9.13"/>
    <col customWidth="1" min="27" max="27" width="7.25"/>
    <col customWidth="1" min="28" max="28" width="7.88"/>
    <col customWidth="1" min="29" max="29" width="6.25"/>
    <col customWidth="1" min="30" max="30" width="7.75"/>
    <col customWidth="1" min="31" max="31" width="6.25"/>
    <col customWidth="1" min="32" max="32" width="7.75"/>
    <col customWidth="1" min="33" max="33" width="6.25"/>
    <col customWidth="1" min="34" max="34" width="7.38"/>
    <col customWidth="1" min="35" max="35" width="7.25"/>
    <col customWidth="1" min="36" max="36" width="7.38"/>
    <col customWidth="1" min="37" max="37" width="6.25"/>
    <col customWidth="1" min="38" max="38" width="7.75"/>
    <col customWidth="1" min="39" max="39" width="6.25"/>
    <col customWidth="1" min="40" max="40" width="7.75"/>
    <col customWidth="1" min="41" max="41" width="9.0"/>
    <col customWidth="1" min="42" max="42" width="6.75"/>
    <col customWidth="1" min="43" max="43" width="7.88"/>
    <col customWidth="1" min="44" max="44" width="6.25"/>
    <col customWidth="1" min="45" max="45" width="7.75"/>
    <col customWidth="1" min="46" max="46" width="6.25"/>
    <col customWidth="1" min="47" max="47" width="7.75"/>
    <col customWidth="1" min="48" max="48" width="6.25"/>
    <col customWidth="1" min="49" max="49" width="7.38"/>
    <col customWidth="1" min="50" max="50" width="6.25"/>
    <col customWidth="1" min="51" max="51" width="7.38"/>
    <col customWidth="1" min="52" max="52" width="6.25"/>
    <col customWidth="1" min="53" max="53" width="7.75"/>
    <col customWidth="1" min="54" max="54" width="6.25"/>
    <col customWidth="1" min="55" max="55" width="7.75"/>
    <col customWidth="1" min="56" max="56" width="9.25"/>
    <col customWidth="1" min="57" max="57" width="6.25"/>
    <col customWidth="1" min="58" max="58" width="7.88"/>
    <col customWidth="1" min="59" max="59" width="6.25"/>
    <col customWidth="1" min="60" max="60" width="7.75"/>
    <col customWidth="1" min="61" max="61" width="6.25"/>
    <col customWidth="1" min="62" max="62" width="7.75"/>
    <col customWidth="1" min="63" max="63" width="6.25"/>
    <col customWidth="1" min="64" max="64" width="7.38"/>
    <col customWidth="1" min="65" max="65" width="6.25"/>
    <col customWidth="1" min="66" max="66" width="7.38"/>
    <col customWidth="1" min="67" max="67" width="6.25"/>
    <col customWidth="1" min="68" max="68" width="7.75"/>
    <col customWidth="1" min="69" max="69" width="6.25"/>
    <col customWidth="1" min="70" max="70" width="7.75"/>
    <col customWidth="1" min="71" max="74" width="9.13"/>
    <col customWidth="1" min="75" max="75" width="3.75"/>
    <col customWidth="1" min="76" max="96" width="6.0"/>
    <col customWidth="1" min="97" max="98" width="7.0"/>
    <col customWidth="1" min="99" max="101" width="6.0"/>
    <col customWidth="1" min="102" max="102" width="2.88"/>
    <col customWidth="1" min="103" max="108" width="7.0"/>
  </cols>
  <sheetData>
    <row r="1">
      <c r="A1" s="1" t="s">
        <v>154</v>
      </c>
      <c r="B1" s="203" t="str">
        <f>'NỘI BÀI'!B1</f>
        <v>#REF!</v>
      </c>
      <c r="C1" s="204" t="s">
        <v>0</v>
      </c>
      <c r="D1" s="205"/>
      <c r="E1" s="205"/>
      <c r="F1" s="205"/>
      <c r="G1" s="205"/>
      <c r="H1" s="205"/>
      <c r="I1" s="205"/>
      <c r="J1" s="205"/>
      <c r="K1" s="205"/>
      <c r="L1" s="205"/>
      <c r="M1" s="205"/>
      <c r="N1" s="205"/>
      <c r="O1" s="205"/>
      <c r="P1" s="205"/>
      <c r="Q1" s="205"/>
      <c r="R1" s="205"/>
      <c r="S1" s="205"/>
      <c r="T1" s="205"/>
      <c r="U1" s="205"/>
      <c r="V1" s="205"/>
      <c r="W1" s="206"/>
      <c r="X1" s="205"/>
      <c r="Y1" s="205"/>
      <c r="Z1" s="205"/>
      <c r="AA1" s="205"/>
      <c r="AB1" s="205"/>
      <c r="AC1" s="205"/>
      <c r="AD1" s="205"/>
      <c r="AE1" s="205"/>
      <c r="AF1" s="205"/>
      <c r="AG1" s="205"/>
      <c r="AH1" s="205"/>
      <c r="AI1" s="205"/>
      <c r="AJ1" s="205"/>
      <c r="AK1" s="205"/>
      <c r="AL1" s="205"/>
      <c r="AM1" s="205"/>
      <c r="AN1" s="205"/>
      <c r="AO1" s="205"/>
      <c r="AP1" s="205"/>
      <c r="AQ1" s="205"/>
      <c r="AR1" s="205"/>
      <c r="AS1" s="205"/>
      <c r="AT1" s="205"/>
      <c r="AU1" s="205"/>
      <c r="AV1" s="205"/>
      <c r="AW1" s="205"/>
      <c r="AX1" s="205"/>
      <c r="AY1" s="205"/>
      <c r="AZ1" s="205"/>
      <c r="BA1" s="205"/>
      <c r="BB1" s="205"/>
      <c r="BC1" s="205"/>
      <c r="BD1" s="205"/>
      <c r="BE1" s="205"/>
      <c r="BF1" s="205"/>
      <c r="BG1" s="205"/>
      <c r="BH1" s="205"/>
      <c r="BI1" s="205"/>
      <c r="BJ1" s="205"/>
      <c r="BK1" s="205"/>
      <c r="BL1" s="205"/>
      <c r="BM1" s="205"/>
      <c r="BN1" s="205"/>
      <c r="BO1" s="205"/>
      <c r="BP1" s="205"/>
      <c r="BQ1" s="205"/>
      <c r="BR1" s="205"/>
      <c r="BS1" s="205"/>
      <c r="BT1" s="205"/>
      <c r="BU1" s="205"/>
      <c r="BV1" s="205"/>
      <c r="BW1" s="205"/>
      <c r="BX1" s="207"/>
      <c r="BY1" s="207" t="s">
        <v>1</v>
      </c>
      <c r="BZ1" s="208"/>
      <c r="CA1" s="208"/>
      <c r="CB1" s="208"/>
      <c r="CC1" s="209" t="str">
        <f>$C$2*8</f>
        <v>#REF!</v>
      </c>
      <c r="CD1" s="208"/>
      <c r="CE1" s="208"/>
      <c r="CF1" s="208"/>
      <c r="CG1" s="208"/>
      <c r="CH1" s="208"/>
      <c r="CI1" s="208"/>
      <c r="CJ1" s="208"/>
      <c r="CK1" s="208"/>
      <c r="CL1" s="208"/>
      <c r="CM1" s="208"/>
      <c r="CN1" s="208"/>
      <c r="CO1" s="208"/>
      <c r="CP1" s="208"/>
      <c r="CQ1" s="208"/>
      <c r="CR1" s="208"/>
      <c r="CS1" s="208"/>
      <c r="CT1" s="208"/>
      <c r="CU1" s="208"/>
      <c r="CV1" s="208"/>
      <c r="CW1" s="208"/>
      <c r="CX1" s="205"/>
      <c r="CY1" s="208"/>
      <c r="CZ1" s="208"/>
      <c r="DA1" s="208"/>
      <c r="DB1" s="208"/>
      <c r="DC1" s="208"/>
      <c r="DD1" s="208"/>
    </row>
    <row r="2">
      <c r="A2" s="9" t="s">
        <v>155</v>
      </c>
      <c r="B2" s="210"/>
      <c r="C2" s="211" t="str">
        <f>DAY(EDATE(B1,1)-1)-4</f>
        <v>#REF!</v>
      </c>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12" t="s">
        <v>156</v>
      </c>
      <c r="AS2" s="205"/>
      <c r="AT2" s="205"/>
      <c r="AU2" s="205"/>
      <c r="AV2" s="205"/>
      <c r="AW2" s="205"/>
      <c r="AX2" s="205"/>
      <c r="AY2" s="205"/>
      <c r="AZ2" s="212" t="s">
        <v>157</v>
      </c>
      <c r="BA2" s="205"/>
      <c r="BB2" s="205"/>
      <c r="BC2" s="205"/>
      <c r="BD2" s="205"/>
      <c r="BE2" s="205"/>
      <c r="BF2" s="205"/>
      <c r="BG2" s="205"/>
      <c r="BH2" s="205"/>
      <c r="BI2" s="205"/>
      <c r="BJ2" s="205"/>
      <c r="BK2" s="205"/>
      <c r="BL2" s="205"/>
      <c r="BM2" s="205"/>
      <c r="BN2" s="205"/>
      <c r="BO2" s="205"/>
      <c r="BP2" s="205"/>
      <c r="BQ2" s="205"/>
      <c r="BR2" s="205"/>
      <c r="BS2" s="205"/>
      <c r="BT2" s="205"/>
      <c r="BU2" s="205"/>
      <c r="BV2" s="205"/>
      <c r="BW2" s="205"/>
      <c r="BX2" s="207"/>
      <c r="BY2" s="207" t="s">
        <v>3</v>
      </c>
      <c r="BZ2" s="208"/>
      <c r="CA2" s="208"/>
      <c r="CB2" s="208"/>
      <c r="CC2" s="209" t="str">
        <f>$C$2*9</f>
        <v>#REF!</v>
      </c>
      <c r="CD2" s="208"/>
      <c r="CE2" s="208"/>
      <c r="CF2" s="208"/>
      <c r="CG2" s="208"/>
      <c r="CH2" s="208"/>
      <c r="CI2" s="208"/>
      <c r="CJ2" s="208"/>
      <c r="CK2" s="208"/>
      <c r="CL2" s="208"/>
      <c r="CM2" s="208"/>
      <c r="CN2" s="208"/>
      <c r="CO2" s="208"/>
      <c r="CP2" s="208"/>
      <c r="CQ2" s="208"/>
      <c r="CR2" s="208"/>
      <c r="CS2" s="208"/>
      <c r="CT2" s="208"/>
      <c r="CU2" s="208"/>
      <c r="CV2" s="208"/>
      <c r="CW2" s="208"/>
      <c r="CX2" s="205"/>
      <c r="CY2" s="208"/>
      <c r="CZ2" s="208"/>
      <c r="DA2" s="208"/>
      <c r="DB2" s="208"/>
      <c r="DC2" s="208"/>
      <c r="DD2" s="208"/>
    </row>
    <row r="3" ht="15.0" customHeight="1">
      <c r="A3" s="213" t="s">
        <v>4</v>
      </c>
      <c r="B3" s="213" t="s">
        <v>5</v>
      </c>
      <c r="C3" s="213" t="s">
        <v>6</v>
      </c>
      <c r="D3" s="214" t="s">
        <v>7</v>
      </c>
      <c r="E3" s="215" t="str">
        <f>CHOOSE(WEEKDAY(E4),"C.Nhật","T.Hai","T.Ba","T.Tư","T.Năm","T.Sáu","T.Bảy")</f>
        <v>#REF!</v>
      </c>
      <c r="F3" s="17"/>
      <c r="G3" s="215" t="str">
        <f>CHOOSE(WEEKDAY(G4),"C.Nhật","T.Hai","T.Ba","T.Tư","T.Năm","T.Sáu","T.Bảy")</f>
        <v>#REF!</v>
      </c>
      <c r="H3" s="17"/>
      <c r="I3" s="215" t="str">
        <f>CHOOSE(WEEKDAY(I4),"C.Nhật","T.Hai","T.Ba","T.Tư","T.Năm","T.Sáu","T.Bảy")</f>
        <v>#REF!</v>
      </c>
      <c r="J3" s="17"/>
      <c r="K3" s="214" t="s">
        <v>7</v>
      </c>
      <c r="L3" s="215" t="str">
        <f>CHOOSE(WEEKDAY(L4),"C.Nhật","T.Hai","T.Ba","T.Tư","T.Năm","T.Sáu","T.Bảy")</f>
        <v>#REF!</v>
      </c>
      <c r="M3" s="17"/>
      <c r="N3" s="215" t="str">
        <f>CHOOSE(WEEKDAY(N4),"C.Nhật","T.Hai","T.Ba","T.Tư","T.Năm","T.Sáu","T.Bảy")</f>
        <v>#REF!</v>
      </c>
      <c r="O3" s="17"/>
      <c r="P3" s="215" t="str">
        <f>CHOOSE(WEEKDAY(P4),"C.Nhật","T.Hai","T.Ba","T.Tư","T.Năm","T.Sáu","T.Bảy")</f>
        <v>#REF!</v>
      </c>
      <c r="Q3" s="17"/>
      <c r="R3" s="215" t="str">
        <f>CHOOSE(WEEKDAY(R4),"C.Nhật","T.Hai","T.Ba","T.Tư","T.Năm","T.Sáu","T.Bảy")</f>
        <v>#REF!</v>
      </c>
      <c r="S3" s="17"/>
      <c r="T3" s="215" t="str">
        <f>CHOOSE(WEEKDAY(T4),"C.Nhật","T.Hai","T.Ba","T.Tư","T.Năm","T.Sáu","T.Bảy")</f>
        <v>#REF!</v>
      </c>
      <c r="U3" s="17"/>
      <c r="V3" s="215" t="str">
        <f>CHOOSE(WEEKDAY(V4),"C.Nhật","T.Hai","T.Ba","T.Tư","T.Năm","T.Sáu","T.Bảy")</f>
        <v>#REF!</v>
      </c>
      <c r="W3" s="17"/>
      <c r="X3" s="215" t="str">
        <f>CHOOSE(WEEKDAY(X4),"C.Nhật","T.Hai","T.Ba","T.Tư","T.Năm","T.Sáu","T.Bảy")</f>
        <v>#REF!</v>
      </c>
      <c r="Y3" s="17"/>
      <c r="Z3" s="214" t="s">
        <v>7</v>
      </c>
      <c r="AA3" s="215" t="str">
        <f>CHOOSE(WEEKDAY(AA4),"C.Nhật","T.Hai","T.Ba","T.Tư","T.Năm","T.Sáu","T.Bảy")</f>
        <v>#REF!</v>
      </c>
      <c r="AB3" s="17"/>
      <c r="AC3" s="215" t="str">
        <f>CHOOSE(WEEKDAY(AC4),"C.Nhật","T.Hai","T.Ba","T.Tư","T.Năm","T.Sáu","T.Bảy")</f>
        <v>#REF!</v>
      </c>
      <c r="AD3" s="17"/>
      <c r="AE3" s="215" t="str">
        <f>CHOOSE(WEEKDAY(AE4),"C.Nhật","T.Hai","T.Ba","T.Tư","T.Năm","T.Sáu","T.Bảy")</f>
        <v>#REF!</v>
      </c>
      <c r="AF3" s="17"/>
      <c r="AG3" s="215" t="str">
        <f>CHOOSE(WEEKDAY(AG4),"C.Nhật","T.Hai","T.Ba","T.Tư","T.Năm","T.Sáu","T.Bảy")</f>
        <v>#REF!</v>
      </c>
      <c r="AH3" s="17"/>
      <c r="AI3" s="215" t="str">
        <f>CHOOSE(WEEKDAY(AI4),"C.Nhật","T.Hai","T.Ba","T.Tư","T.Năm","T.Sáu","T.Bảy")</f>
        <v>#REF!</v>
      </c>
      <c r="AJ3" s="17"/>
      <c r="AK3" s="215" t="str">
        <f>CHOOSE(WEEKDAY(AK4),"C.Nhật","T.Hai","T.Ba","T.Tư","T.Năm","T.Sáu","T.Bảy")</f>
        <v>#REF!</v>
      </c>
      <c r="AL3" s="17"/>
      <c r="AM3" s="215" t="str">
        <f>CHOOSE(WEEKDAY(AM4),"C.Nhật","T.Hai","T.Ba","T.Tư","T.Năm","T.Sáu","T.Bảy")</f>
        <v>#REF!</v>
      </c>
      <c r="AN3" s="17"/>
      <c r="AO3" s="214" t="s">
        <v>7</v>
      </c>
      <c r="AP3" s="215" t="str">
        <f>CHOOSE(WEEKDAY(AP4),"C.Nhật","T.Hai","T.Ba","T.Tư","T.Năm","T.Sáu","T.Bảy")</f>
        <v>#REF!</v>
      </c>
      <c r="AQ3" s="17"/>
      <c r="AR3" s="215" t="str">
        <f>CHOOSE(WEEKDAY(AR4),"C.Nhật","T.Hai","T.Ba","T.Tư","T.Năm","T.Sáu","T.Bảy")</f>
        <v>#REF!</v>
      </c>
      <c r="AS3" s="17"/>
      <c r="AT3" s="215" t="str">
        <f>CHOOSE(WEEKDAY(AT4),"C.Nhật","T.Hai","T.Ba","T.Tư","T.Năm","T.Sáu","T.Bảy")</f>
        <v>#REF!</v>
      </c>
      <c r="AU3" s="17"/>
      <c r="AV3" s="215" t="str">
        <f>CHOOSE(WEEKDAY(AV4),"C.Nhật","T.Hai","T.Ba","T.Tư","T.Năm","T.Sáu","T.Bảy")</f>
        <v>#REF!</v>
      </c>
      <c r="AW3" s="17"/>
      <c r="AX3" s="215" t="str">
        <f>CHOOSE(WEEKDAY(AX4),"C.Nhật","T.Hai","T.Ba","T.Tư","T.Năm","T.Sáu","T.Bảy")</f>
        <v>#REF!</v>
      </c>
      <c r="AY3" s="17"/>
      <c r="AZ3" s="215" t="str">
        <f>CHOOSE(WEEKDAY(AZ4),"C.Nhật","T.Hai","T.Ba","T.Tư","T.Năm","T.Sáu","T.Bảy")</f>
        <v>#REF!</v>
      </c>
      <c r="BA3" s="17"/>
      <c r="BB3" s="215" t="str">
        <f>CHOOSE(WEEKDAY(BB4),"C.Nhật","T.Hai","T.Ba","T.Tư","T.Năm","T.Sáu","T.Bảy")</f>
        <v>#REF!</v>
      </c>
      <c r="BC3" s="17"/>
      <c r="BD3" s="214" t="s">
        <v>7</v>
      </c>
      <c r="BE3" s="215" t="str">
        <f>CHOOSE(WEEKDAY(BE4),"C.Nhật","T.Hai","T.Ba","T.Tư","T.Năm","T.Sáu","T.Bảy")</f>
        <v>#REF!</v>
      </c>
      <c r="BF3" s="17"/>
      <c r="BG3" s="215" t="str">
        <f>CHOOSE(WEEKDAY(BG4),"C.Nhật","T.Hai","T.Ba","T.Tư","T.Năm","T.Sáu","T.Bảy")</f>
        <v>#REF!</v>
      </c>
      <c r="BH3" s="17"/>
      <c r="BI3" s="215" t="str">
        <f>CHOOSE(WEEKDAY(BI4),"C.Nhật","T.Hai","T.Ba","T.Tư","T.Năm","T.Sáu","T.Bảy")</f>
        <v>#REF!</v>
      </c>
      <c r="BJ3" s="17"/>
      <c r="BK3" s="215" t="str">
        <f>CHOOSE(WEEKDAY(BK4),"C.Nhật","T.Hai","T.Ba","T.Tư","T.Năm","T.Sáu","T.Bảy")</f>
        <v>#REF!</v>
      </c>
      <c r="BL3" s="17"/>
      <c r="BM3" s="215" t="str">
        <f>CHOOSE(WEEKDAY(BM4),"C.Nhật","T.Hai","T.Ba","T.Tư","T.Năm","T.Sáu","T.Bảy")</f>
        <v>#REF!</v>
      </c>
      <c r="BN3" s="17"/>
      <c r="BO3" s="215" t="str">
        <f>CHOOSE(WEEKDAY(BO4),"C.Nhật","T.Hai","T.Ba","T.Tư","T.Năm","T.Sáu","T.Bảy")</f>
        <v>#REF!</v>
      </c>
      <c r="BP3" s="17"/>
      <c r="BQ3" s="215" t="str">
        <f>CHOOSE(WEEKDAY(BQ4),"C.Nhật","T.Hai","T.Ba","T.Tư","T.Năm","T.Sáu","T.Bảy")</f>
        <v>#REF!</v>
      </c>
      <c r="BR3" s="17"/>
      <c r="BS3" s="214" t="s">
        <v>8</v>
      </c>
      <c r="BT3" s="19" t="s">
        <v>9</v>
      </c>
      <c r="BU3" s="19" t="s">
        <v>10</v>
      </c>
      <c r="BV3" s="216" t="s">
        <v>11</v>
      </c>
      <c r="BW3" s="205"/>
      <c r="BX3" s="207"/>
      <c r="BY3" s="208"/>
      <c r="BZ3" s="208"/>
      <c r="CA3" s="208"/>
      <c r="CB3" s="208"/>
      <c r="CC3" s="208"/>
      <c r="CD3" s="208"/>
      <c r="CE3" s="208"/>
      <c r="CF3" s="208"/>
      <c r="CG3" s="208"/>
      <c r="CH3" s="208"/>
      <c r="CI3" s="208"/>
      <c r="CJ3" s="208"/>
      <c r="CK3" s="208"/>
      <c r="CL3" s="208"/>
      <c r="CM3" s="208"/>
      <c r="CN3" s="208"/>
      <c r="CO3" s="208"/>
      <c r="CP3" s="208"/>
      <c r="CQ3" s="208"/>
      <c r="CR3" s="208"/>
      <c r="CS3" s="208"/>
      <c r="CT3" s="208"/>
      <c r="CU3" s="208"/>
      <c r="CV3" s="208"/>
      <c r="CW3" s="208"/>
      <c r="CX3" s="205"/>
      <c r="CY3" s="208"/>
      <c r="CZ3" s="208"/>
      <c r="DA3" s="208"/>
      <c r="DB3" s="208"/>
      <c r="DC3" s="208"/>
      <c r="DD3" s="208"/>
    </row>
    <row r="4">
      <c r="A4" s="20"/>
      <c r="B4" s="20"/>
      <c r="C4" s="20"/>
      <c r="D4" s="22"/>
      <c r="E4" s="217" t="str">
        <f>B1</f>
        <v>#REF!</v>
      </c>
      <c r="F4" s="218"/>
      <c r="G4" s="217" t="str">
        <f>E4+1</f>
        <v>#REF!</v>
      </c>
      <c r="H4" s="218"/>
      <c r="I4" s="217" t="str">
        <f>G4+1</f>
        <v>#REF!</v>
      </c>
      <c r="J4" s="218"/>
      <c r="K4" s="22"/>
      <c r="L4" s="217" t="str">
        <f>I4+1</f>
        <v>#REF!</v>
      </c>
      <c r="M4" s="218"/>
      <c r="N4" s="217" t="str">
        <f>L4+1</f>
        <v>#REF!</v>
      </c>
      <c r="O4" s="218"/>
      <c r="P4" s="217" t="str">
        <f>N4+1</f>
        <v>#REF!</v>
      </c>
      <c r="Q4" s="218"/>
      <c r="R4" s="217" t="str">
        <f>P4+1</f>
        <v>#REF!</v>
      </c>
      <c r="S4" s="218"/>
      <c r="T4" s="217" t="str">
        <f>R4+1</f>
        <v>#REF!</v>
      </c>
      <c r="U4" s="218"/>
      <c r="V4" s="217" t="str">
        <f>T4+1</f>
        <v>#REF!</v>
      </c>
      <c r="W4" s="218"/>
      <c r="X4" s="217" t="str">
        <f>V4+1</f>
        <v>#REF!</v>
      </c>
      <c r="Y4" s="218"/>
      <c r="Z4" s="22"/>
      <c r="AA4" s="217" t="str">
        <f>X4+1</f>
        <v>#REF!</v>
      </c>
      <c r="AB4" s="218"/>
      <c r="AC4" s="217" t="str">
        <f>AA4+1</f>
        <v>#REF!</v>
      </c>
      <c r="AD4" s="218"/>
      <c r="AE4" s="217" t="str">
        <f>AC4+1</f>
        <v>#REF!</v>
      </c>
      <c r="AF4" s="218"/>
      <c r="AG4" s="217" t="str">
        <f>AE4+1</f>
        <v>#REF!</v>
      </c>
      <c r="AH4" s="218"/>
      <c r="AI4" s="217" t="str">
        <f>AG4+1</f>
        <v>#REF!</v>
      </c>
      <c r="AJ4" s="218"/>
      <c r="AK4" s="217" t="str">
        <f>AI4+1</f>
        <v>#REF!</v>
      </c>
      <c r="AL4" s="218"/>
      <c r="AM4" s="217" t="str">
        <f>AK4+1</f>
        <v>#REF!</v>
      </c>
      <c r="AN4" s="218"/>
      <c r="AO4" s="22"/>
      <c r="AP4" s="217" t="str">
        <f>AM4+1</f>
        <v>#REF!</v>
      </c>
      <c r="AQ4" s="218"/>
      <c r="AR4" s="217" t="str">
        <f>AP4+1</f>
        <v>#REF!</v>
      </c>
      <c r="AS4" s="218"/>
      <c r="AT4" s="217" t="str">
        <f>AR4+1</f>
        <v>#REF!</v>
      </c>
      <c r="AU4" s="218"/>
      <c r="AV4" s="217" t="str">
        <f>AT4+1</f>
        <v>#REF!</v>
      </c>
      <c r="AW4" s="218"/>
      <c r="AX4" s="217" t="str">
        <f>AV4+1</f>
        <v>#REF!</v>
      </c>
      <c r="AY4" s="218"/>
      <c r="AZ4" s="217" t="str">
        <f>AX4+1</f>
        <v>#REF!</v>
      </c>
      <c r="BA4" s="218"/>
      <c r="BB4" s="217" t="str">
        <f>AZ4+1</f>
        <v>#REF!</v>
      </c>
      <c r="BC4" s="218"/>
      <c r="BD4" s="22"/>
      <c r="BE4" s="217" t="str">
        <f>BB4+1</f>
        <v>#REF!</v>
      </c>
      <c r="BF4" s="218"/>
      <c r="BG4" s="217" t="str">
        <f>BE4+1</f>
        <v>#REF!</v>
      </c>
      <c r="BH4" s="218"/>
      <c r="BI4" s="217" t="str">
        <f>BG4+1</f>
        <v>#REF!</v>
      </c>
      <c r="BJ4" s="218"/>
      <c r="BK4" s="217" t="str">
        <f>BI4+1</f>
        <v>#REF!</v>
      </c>
      <c r="BL4" s="218"/>
      <c r="BM4" s="217" t="str">
        <f>BK4+1</f>
        <v>#REF!</v>
      </c>
      <c r="BN4" s="218"/>
      <c r="BO4" s="217" t="str">
        <f>BM4+1</f>
        <v>#REF!</v>
      </c>
      <c r="BP4" s="218"/>
      <c r="BQ4" s="217" t="str">
        <f>BO4+1</f>
        <v>#REF!</v>
      </c>
      <c r="BR4" s="218"/>
      <c r="BS4" s="22"/>
      <c r="BT4" s="22"/>
      <c r="BU4" s="22"/>
      <c r="BV4" s="20"/>
      <c r="BW4" s="205"/>
      <c r="BX4" s="207"/>
      <c r="BY4" s="219" t="s">
        <v>13</v>
      </c>
      <c r="BZ4" s="24"/>
      <c r="CA4" s="24"/>
      <c r="CB4" s="24"/>
      <c r="CC4" s="24"/>
      <c r="CD4" s="24"/>
      <c r="CE4" s="24"/>
      <c r="CF4" s="24"/>
      <c r="CG4" s="24"/>
      <c r="CH4" s="24"/>
      <c r="CI4" s="24"/>
      <c r="CJ4" s="24"/>
      <c r="CK4" s="24"/>
      <c r="CL4" s="24"/>
      <c r="CM4" s="24"/>
      <c r="CN4" s="24"/>
      <c r="CO4" s="24"/>
      <c r="CP4" s="24"/>
      <c r="CQ4" s="24"/>
      <c r="CR4" s="24"/>
      <c r="CS4" s="24"/>
      <c r="CT4" s="24"/>
      <c r="CU4" s="24"/>
      <c r="CV4" s="24"/>
      <c r="CW4" s="25"/>
      <c r="CX4" s="205"/>
      <c r="CY4" s="220" t="s">
        <v>14</v>
      </c>
      <c r="CZ4" s="24"/>
      <c r="DA4" s="24"/>
      <c r="DB4" s="25"/>
      <c r="DC4" s="221"/>
      <c r="DD4" s="221"/>
    </row>
    <row r="5">
      <c r="A5" s="26"/>
      <c r="B5" s="26"/>
      <c r="C5" s="26"/>
      <c r="D5" s="222"/>
      <c r="E5" s="223" t="s">
        <v>15</v>
      </c>
      <c r="F5" s="223" t="s">
        <v>16</v>
      </c>
      <c r="G5" s="223" t="s">
        <v>15</v>
      </c>
      <c r="H5" s="223" t="s">
        <v>16</v>
      </c>
      <c r="I5" s="223" t="s">
        <v>15</v>
      </c>
      <c r="J5" s="223" t="s">
        <v>16</v>
      </c>
      <c r="K5" s="222"/>
      <c r="L5" s="224" t="s">
        <v>15</v>
      </c>
      <c r="M5" s="224" t="s">
        <v>16</v>
      </c>
      <c r="N5" s="224" t="s">
        <v>15</v>
      </c>
      <c r="O5" s="224" t="s">
        <v>16</v>
      </c>
      <c r="P5" s="224" t="s">
        <v>15</v>
      </c>
      <c r="Q5" s="224" t="s">
        <v>16</v>
      </c>
      <c r="R5" s="224" t="s">
        <v>15</v>
      </c>
      <c r="S5" s="224" t="s">
        <v>16</v>
      </c>
      <c r="T5" s="224" t="s">
        <v>15</v>
      </c>
      <c r="U5" s="224" t="s">
        <v>16</v>
      </c>
      <c r="V5" s="224" t="s">
        <v>15</v>
      </c>
      <c r="W5" s="224" t="s">
        <v>16</v>
      </c>
      <c r="X5" s="224" t="s">
        <v>15</v>
      </c>
      <c r="Y5" s="224" t="s">
        <v>16</v>
      </c>
      <c r="Z5" s="222"/>
      <c r="AA5" s="224" t="s">
        <v>15</v>
      </c>
      <c r="AB5" s="224" t="s">
        <v>16</v>
      </c>
      <c r="AC5" s="224" t="s">
        <v>15</v>
      </c>
      <c r="AD5" s="224" t="s">
        <v>16</v>
      </c>
      <c r="AE5" s="224" t="s">
        <v>15</v>
      </c>
      <c r="AF5" s="224" t="s">
        <v>16</v>
      </c>
      <c r="AG5" s="224" t="s">
        <v>15</v>
      </c>
      <c r="AH5" s="224" t="s">
        <v>16</v>
      </c>
      <c r="AI5" s="224" t="s">
        <v>15</v>
      </c>
      <c r="AJ5" s="224" t="s">
        <v>16</v>
      </c>
      <c r="AK5" s="224" t="s">
        <v>15</v>
      </c>
      <c r="AL5" s="224" t="s">
        <v>16</v>
      </c>
      <c r="AM5" s="224" t="s">
        <v>15</v>
      </c>
      <c r="AN5" s="224" t="s">
        <v>16</v>
      </c>
      <c r="AO5" s="222"/>
      <c r="AP5" s="224" t="s">
        <v>15</v>
      </c>
      <c r="AQ5" s="224" t="s">
        <v>16</v>
      </c>
      <c r="AR5" s="224" t="s">
        <v>15</v>
      </c>
      <c r="AS5" s="224" t="s">
        <v>16</v>
      </c>
      <c r="AT5" s="224" t="s">
        <v>15</v>
      </c>
      <c r="AU5" s="224" t="s">
        <v>16</v>
      </c>
      <c r="AV5" s="224" t="s">
        <v>15</v>
      </c>
      <c r="AW5" s="224" t="s">
        <v>16</v>
      </c>
      <c r="AX5" s="224" t="s">
        <v>15</v>
      </c>
      <c r="AY5" s="224" t="s">
        <v>16</v>
      </c>
      <c r="AZ5" s="224" t="s">
        <v>15</v>
      </c>
      <c r="BA5" s="224" t="s">
        <v>16</v>
      </c>
      <c r="BB5" s="224" t="s">
        <v>15</v>
      </c>
      <c r="BC5" s="224" t="s">
        <v>16</v>
      </c>
      <c r="BD5" s="222"/>
      <c r="BE5" s="224" t="s">
        <v>15</v>
      </c>
      <c r="BF5" s="224" t="s">
        <v>16</v>
      </c>
      <c r="BG5" s="224" t="s">
        <v>15</v>
      </c>
      <c r="BH5" s="224" t="s">
        <v>16</v>
      </c>
      <c r="BI5" s="224" t="s">
        <v>15</v>
      </c>
      <c r="BJ5" s="224" t="s">
        <v>16</v>
      </c>
      <c r="BK5" s="224" t="s">
        <v>15</v>
      </c>
      <c r="BL5" s="224" t="s">
        <v>16</v>
      </c>
      <c r="BM5" s="224" t="s">
        <v>15</v>
      </c>
      <c r="BN5" s="224" t="s">
        <v>16</v>
      </c>
      <c r="BO5" s="224" t="s">
        <v>15</v>
      </c>
      <c r="BP5" s="224" t="s">
        <v>16</v>
      </c>
      <c r="BQ5" s="224" t="s">
        <v>15</v>
      </c>
      <c r="BR5" s="224" t="s">
        <v>16</v>
      </c>
      <c r="BS5" s="34"/>
      <c r="BT5" s="34"/>
      <c r="BU5" s="34"/>
      <c r="BV5" s="35"/>
      <c r="BW5" s="225"/>
      <c r="BX5" s="207"/>
      <c r="BY5" s="226">
        <v>8.0</v>
      </c>
      <c r="BZ5" s="226">
        <v>8.0</v>
      </c>
      <c r="CA5" s="226">
        <v>8.0</v>
      </c>
      <c r="CB5" s="226">
        <v>8.0</v>
      </c>
      <c r="CC5" s="226">
        <v>8.0</v>
      </c>
      <c r="CD5" s="226">
        <v>9.0</v>
      </c>
      <c r="CE5" s="226">
        <v>8.0</v>
      </c>
      <c r="CF5" s="226">
        <v>9.0</v>
      </c>
      <c r="CG5" s="226">
        <v>9.0</v>
      </c>
      <c r="CH5" s="226">
        <v>9.0</v>
      </c>
      <c r="CI5" s="226">
        <v>9.0</v>
      </c>
      <c r="CJ5" s="226">
        <v>5.0</v>
      </c>
      <c r="CK5" s="226">
        <v>8.0</v>
      </c>
      <c r="CL5" s="226">
        <v>8.0</v>
      </c>
      <c r="CM5" s="226">
        <v>12.0</v>
      </c>
      <c r="CN5" s="226">
        <v>12.0</v>
      </c>
      <c r="CO5" s="226">
        <v>12.0</v>
      </c>
      <c r="CP5" s="226">
        <v>12.0</v>
      </c>
      <c r="CQ5" s="226">
        <v>11.0</v>
      </c>
      <c r="CR5" s="226">
        <v>12.0</v>
      </c>
      <c r="CS5" s="226">
        <v>4.0</v>
      </c>
      <c r="CT5" s="226">
        <v>9.0</v>
      </c>
      <c r="CU5" s="226">
        <v>14.0</v>
      </c>
      <c r="CV5" s="226">
        <v>14.0</v>
      </c>
      <c r="CW5" s="226">
        <v>0.0</v>
      </c>
      <c r="CX5" s="225"/>
      <c r="CY5" s="225"/>
      <c r="CZ5" s="225"/>
      <c r="DA5" s="225"/>
      <c r="DB5" s="225"/>
      <c r="DC5" s="225"/>
      <c r="DD5" s="225"/>
    </row>
    <row r="6">
      <c r="A6" s="227" t="s">
        <v>17</v>
      </c>
      <c r="B6" s="39"/>
      <c r="C6" s="40"/>
      <c r="D6" s="228"/>
      <c r="E6" s="229">
        <f>COUNTIF(E7:E17,$A$41)+COUNTIF(E7:E17,$A$42)+COUNTIF(E7:E17,$A$43)+COUNTIF(E7:E17,$A$44)+COUNTIF(E7:E17,$A$46)+COUNTIF(E7:E17,$A$47)+COUNTIF(E7:E17,$A$48)+COUNTIF(E7:E17,$A$49)+COUNTIF(E7:E17,$A$56)+COUNTIF(E7:E17,$A$57)+COUNTIF(E7:E17,$A$58)+COUNTIF(E7:E17,$A$59)+COUNTIF(E7:E17,$A$60)+COUNTIF(E7:E17,$A$61)+COUNTIF(E7:E17,$A$62)+COUNTIF(E7:E17,$A$65)+COUNTIF(E19:E28,$A$41)+COUNTIF(E19:E28,$A$42)+COUNTIF(E19:E28,$A$43)+COUNTIF(E19:E28,$A$44)+COUNTIF(E19:E28,$A$46)+COUNTIF(E19:E28,$A$47)+COUNTIF(E19:E28,$A$48)+COUNTIF(E19:E28,$A$49)+COUNTIF(E19:E28,$A$56)+COUNTIF(E19:E28,$A$57)+COUNTIF(E19:E28,$A$58)+COUNTIF(E19:E28,$A$59)+COUNTIF(E19:E28,$A$60)+COUNTIF(E19:E28,$A$61)+COUNTIF(E19:E28,$A$62)+COUNTIF(E19:E28,$A$65)</f>
        <v>11</v>
      </c>
      <c r="F6" s="230" t="str">
        <f>if((countifs(E$7:E$11,$A$41,F$7:F$11,$A$37)+countifs(E$7:E$11,$A$41,F$7:F$11,$A$38)+countifs(E$7:E$11,$A$41,F$7:F$11,$A$39)+countifs(E$7:E$11,$A$42,F$7:F$11,$A$37)+countifs(E$7:E$11,$A$42,F$7:F$11,$A$38)+countifs(E$7:E$11,$A$42,F$7:F$11,$A$39))&gt;=3,"Đủ",if((countifs(E$7:E$11,$A$41,F$7:F$11,$A$37)+countifs(E$7:E$11,$A$41,F$7:F$11,#REF!)+countifs(E$7:E$11,$A$42,F$7:F$11,#REF!)+countifs(E$7:E$11,$A$42,F$7:F$11,$A$37))&gt;=2,"Đủ","Thiếu"))</f>
        <v>Thiếu</v>
      </c>
      <c r="G6" s="229">
        <f>COUNTIF(G7:G17,$A$41)+COUNTIF(G7:G17,$A$42)+COUNTIF(G7:G17,$A$43)+COUNTIF(G7:G17,$A$44)+COUNTIF(G7:G17,$A$46)+COUNTIF(G7:G17,$A$47)+COUNTIF(G7:G17,$A$48)+COUNTIF(G7:G17,$A$49)+COUNTIF(G7:G17,$A$56)+COUNTIF(G7:G17,$A$57)+COUNTIF(G7:G17,$A$58)+COUNTIF(G7:G17,$A$59)+COUNTIF(G7:G17,$A$60)+COUNTIF(G7:G17,$A$61)+COUNTIF(G7:G17,$A$62)+COUNTIF(G7:G17,$A$65)+COUNTIF(G19:G28,$A$41)+COUNTIF(G19:G28,$A$42)+COUNTIF(G19:G28,$A$43)+COUNTIF(G19:G28,$A$44)+COUNTIF(G19:G28,$A$46)+COUNTIF(G19:G28,$A$47)+COUNTIF(G19:G28,$A$48)+COUNTIF(G19:G28,$A$49)+COUNTIF(G19:G28,$A$56)+COUNTIF(G19:G28,$A$57)+COUNTIF(G19:G28,$A$58)+COUNTIF(G19:G28,$A$59)+COUNTIF(G19:G28,$A$60)+COUNTIF(G19:G28,$A$61)+COUNTIF(G19:G28,$A$62)+COUNTIF(G19:G28,$A$65)</f>
        <v>10</v>
      </c>
      <c r="H6" s="230" t="str">
        <f>if((countifs(G$7:G$11,$A$41,H$7:H$11,$A$37)+countifs(G$7:G$11,$A$41,H$7:H$11,$A$38)+countifs(G$7:G$11,$A$41,H$7:H$11,$A$39)+countifs(G$7:G$11,$A$42,H$7:H$11,$A$37)+countifs(G$7:G$11,$A$42,H$7:H$11,$A$38)+countifs(G$7:G$11,$A$42,H$7:H$11,$A$39))&gt;=3,"Đủ",if((countifs(G$7:G$11,$A$41,H$7:H$11,$A$37)+countifs(G$7:G$11,$A$41,H$7:H$11,#REF!)+countifs(G$7:G$11,$A$42,H$7:H$11,#REF!)+countifs(G$7:G$11,$A$42,H$7:H$11,$A$37))&gt;=2,"Đủ","Thiếu"))</f>
        <v>Thiếu</v>
      </c>
      <c r="I6" s="229">
        <f>COUNTIF(I7:I17,$A$41)+COUNTIF(I7:I17,$A$42)+COUNTIF(I7:I17,$A$43)+COUNTIF(I7:I17,$A$44)+COUNTIF(I7:I17,$A$46)+COUNTIF(I7:I17,$A$47)+COUNTIF(I7:I17,$A$48)+COUNTIF(I7:I17,$A$49)+COUNTIF(I7:I17,$A$56)+COUNTIF(I7:I17,$A$57)+COUNTIF(I7:I17,$A$58)+COUNTIF(I7:I17,$A$59)+COUNTIF(I7:I17,$A$60)+COUNTIF(I7:I17,$A$61)+COUNTIF(I7:I17,$A$62)+COUNTIF(I7:I17,$A$65)+COUNTIF(I19:I28,$A$41)+COUNTIF(I19:I28,$A$42)+COUNTIF(I19:I28,$A$43)+COUNTIF(I19:I28,$A$44)+COUNTIF(I19:I28,$A$46)+COUNTIF(I19:I28,$A$47)+COUNTIF(I19:I28,$A$48)+COUNTIF(I19:I28,$A$49)+COUNTIF(I19:I28,$A$56)+COUNTIF(I19:I28,$A$57)+COUNTIF(I19:I28,$A$58)+COUNTIF(I19:I28,$A$59)+COUNTIF(I19:I28,$A$60)+COUNTIF(I19:I28,$A$61)+COUNTIF(I19:I28,$A$62)+COUNTIF(I19:I28,$A$65)</f>
        <v>9</v>
      </c>
      <c r="J6" s="230" t="str">
        <f>if((countifs(I$7:I$11,$A$41,J$7:J$11,$A$37)+countifs(I$7:I$11,$A$41,J$7:J$11,$A$38)+countifs(I$7:I$11,$A$41,J$7:J$11,$A$39)+countifs(I$7:I$11,$A$42,J$7:J$11,$A$37)+countifs(I$7:I$11,$A$42,J$7:J$11,$A$38)+countifs(I$7:I$11,$A$42,J$7:J$11,$A$39))&gt;=3,"Đủ",if((countifs(I$7:I$11,$A$41,J$7:J$11,$A$37)+countifs(I$7:I$11,$A$41,J$7:J$11,#REF!)+countifs(I$7:I$11,$A$42,J$7:J$11,#REF!)+countifs(I$7:I$11,$A$42,J$7:J$11,$A$37))&gt;=2,"Đủ","Thiếu"))</f>
        <v>Đủ</v>
      </c>
      <c r="K6" s="228"/>
      <c r="L6" s="229">
        <f>COUNTIF(L7:L17,$A$41)+COUNTIF(L7:L17,$A$42)+COUNTIF(L7:L17,$A$43)+COUNTIF(L7:L17,$A$44)+COUNTIF(L7:L17,$A$46)+COUNTIF(L7:L17,$A$47)+COUNTIF(L7:L17,$A$48)+COUNTIF(L7:L17,$A$49)+COUNTIF(L7:L17,$A$56)+COUNTIF(L7:L17,$A$57)+COUNTIF(L7:L17,$A$58)+COUNTIF(L7:L17,$A$59)+COUNTIF(L7:L17,$A$60)+COUNTIF(L7:L17,$A$61)+COUNTIF(L7:L17,$A$62)+COUNTIF(L7:L17,$A$65)+COUNTIF(L19:L28,$A$41)+COUNTIF(L19:L28,$A$42)+COUNTIF(L19:L28,$A$43)+COUNTIF(L19:L28,$A$44)+COUNTIF(L19:L28,$A$46)+COUNTIF(L19:L28,$A$47)+COUNTIF(L19:L28,$A$48)+COUNTIF(L19:L28,$A$49)+COUNTIF(L19:L28,$A$56)+COUNTIF(L19:L28,$A$57)+COUNTIF(L19:L28,$A$58)+COUNTIF(L19:L28,$A$59)+COUNTIF(L19:L28,$A$60)+COUNTIF(L19:L28,$A$61)+COUNTIF(L19:L28,$A$62)+COUNTIF(L19:L28,$A$65)</f>
        <v>9</v>
      </c>
      <c r="M6" s="230" t="str">
        <f>if((countifs(L$7:L$11,$A$41,M$7:M$11,$A$37)+countifs(L$7:L$11,$A$41,M$7:M$11,$A$38)+countifs(L$7:L$11,$A$41,M$7:M$11,$A$39)+countifs(L$7:L$11,$A$42,M$7:M$11,$A$37)+countifs(L$7:L$11,$A$42,M$7:M$11,$A$38)+countifs(L$7:L$11,$A$42,M$7:M$11,$A$39))&gt;=3,"Đủ",if((countifs(L$7:L$11,$A$41,M$7:M$11,$A$37)+countifs(L$7:L$11,$A$41,M$7:M$11,#REF!)+countifs(L$7:L$11,$A$42,M$7:M$11,#REF!)+countifs(L$7:L$11,$A$42,M$7:M$11,$A$37))&gt;=2,"Đủ","Thiếu"))</f>
        <v>Thiếu</v>
      </c>
      <c r="N6" s="229">
        <f>COUNTIF(N7:N17,$A$41)+COUNTIF(N7:N17,$A$42)+COUNTIF(N7:N17,$A$43)+COUNTIF(N7:N17,$A$44)+COUNTIF(N7:N17,$A$46)+COUNTIF(N7:N17,$A$47)+COUNTIF(N7:N17,$A$48)+COUNTIF(N7:N17,$A$49)+COUNTIF(N7:N17,$A$56)+COUNTIF(N7:N17,$A$57)+COUNTIF(N7:N17,$A$58)+COUNTIF(N7:N17,$A$59)+COUNTIF(N7:N17,$A$60)+COUNTIF(N7:N17,$A$61)+COUNTIF(N7:N17,$A$62)+COUNTIF(N7:N17,$A$65)+COUNTIF(N19:N28,$A$41)+COUNTIF(N19:N28,$A$42)+COUNTIF(N19:N28,$A$43)+COUNTIF(N19:N28,$A$44)+COUNTIF(N19:N28,$A$46)+COUNTIF(N19:N28,$A$47)+COUNTIF(N19:N28,$A$48)+COUNTIF(N19:N28,$A$49)+COUNTIF(N19:N28,$A$56)+COUNTIF(N19:N28,$A$57)+COUNTIF(N19:N28,$A$58)+COUNTIF(N19:N28,$A$59)+COUNTIF(N19:N28,$A$60)+COUNTIF(N19:N28,$A$61)+COUNTIF(N19:N28,$A$62)+COUNTIF(N19:N28,$A$65)</f>
        <v>7</v>
      </c>
      <c r="O6" s="230" t="str">
        <f>if((countifs(N$7:N$11,$A$41,O$7:O$11,$A$37)+countifs(N$7:N$11,$A$41,O$7:O$11,$A$38)+countifs(N$7:N$11,$A$41,O$7:O$11,$A$39)+countifs(N$7:N$11,$A$42,O$7:O$11,$A$37)+countifs(N$7:N$11,$A$42,O$7:O$11,$A$38)+countifs(N$7:N$11,$A$42,O$7:O$11,$A$39))&gt;=3,"Đủ",if((countifs(N$7:N$11,$A$41,O$7:O$11,$A$37)+countifs(N$7:N$11,$A$41,O$7:O$11,#REF!)+countifs(N$7:N$11,$A$42,O$7:O$11,#REF!)+countifs(N$7:N$11,$A$42,O$7:O$11,$A$37))&gt;=2,"Đủ","Thiếu"))</f>
        <v>Thiếu</v>
      </c>
      <c r="P6" s="229">
        <f>COUNTIF(P7:P17,$A$41)+COUNTIF(P7:P17,$A$42)+COUNTIF(P7:P17,$A$43)+COUNTIF(P7:P17,$A$44)+COUNTIF(P7:P17,$A$46)+COUNTIF(P7:P17,$A$47)+COUNTIF(P7:P17,$A$48)+COUNTIF(P7:P17,$A$49)+COUNTIF(P7:P17,$A$56)+COUNTIF(P7:P17,$A$57)+COUNTIF(P7:P17,$A$58)+COUNTIF(P7:P17,$A$59)+COUNTIF(P7:P17,$A$60)+COUNTIF(P7:P17,$A$61)+COUNTIF(P7:P17,$A$62)+COUNTIF(P7:P17,$A$65)+COUNTIF(P19:P28,$A$41)+COUNTIF(P19:P28,$A$42)+COUNTIF(P19:P28,$A$43)+COUNTIF(P19:P28,$A$44)+COUNTIF(P19:P28,$A$46)+COUNTIF(P19:P28,$A$47)+COUNTIF(P19:P28,$A$48)+COUNTIF(P19:P28,$A$49)+COUNTIF(P19:P28,$A$56)+COUNTIF(P19:P28,$A$57)+COUNTIF(P19:P28,$A$58)+COUNTIF(P19:P28,$A$59)+COUNTIF(P19:P28,$A$60)+COUNTIF(P19:P28,$A$61)+COUNTIF(P19:P28,$A$62)+COUNTIF(P19:P28,$A$65)</f>
        <v>6</v>
      </c>
      <c r="Q6" s="230" t="str">
        <f>if((countifs(P$7:P$11,$A$41,Q$7:Q$11,$A$37)+countifs(P$7:P$11,$A$41,Q$7:Q$11,$A$38)+countifs(P$7:P$11,$A$41,Q$7:Q$11,$A$39)+countifs(P$7:P$11,$A$42,Q$7:Q$11,$A$37)+countifs(P$7:P$11,$A$42,Q$7:Q$11,$A$38)+countifs(P$7:P$11,$A$42,Q$7:Q$11,$A$39))&gt;=3,"Đủ",if((countifs(P$7:P$11,$A$41,Q$7:Q$11,$A$37)+countifs(P$7:P$11,$A$41,Q$7:Q$11,#REF!)+countifs(P$7:P$11,$A$42,Q$7:Q$11,#REF!)+countifs(P$7:P$11,$A$42,Q$7:Q$11,$A$37))&gt;=2,"Đủ","Thiếu"))</f>
        <v>Thiếu</v>
      </c>
      <c r="R6" s="229">
        <f>COUNTIF(R7:R17,$A$41)+COUNTIF(R7:R17,$A$42)+COUNTIF(R7:R17,$A$43)+COUNTIF(R7:R17,$A$44)+COUNTIF(R7:R17,$A$46)+COUNTIF(R7:R17,$A$47)+COUNTIF(R7:R17,$A$48)+COUNTIF(R7:R17,$A$49)+COUNTIF(R7:R17,$A$56)+COUNTIF(R7:R17,$A$57)+COUNTIF(R7:R17,$A$58)+COUNTIF(R7:R17,$A$59)+COUNTIF(R7:R17,$A$60)+COUNTIF(R7:R17,$A$61)+COUNTIF(R7:R17,$A$62)+COUNTIF(R7:R17,$A$65)+COUNTIF(R19:R28,$A$41)+COUNTIF(R19:R28,$A$42)+COUNTIF(R19:R28,$A$43)+COUNTIF(R19:R28,$A$44)+COUNTIF(R19:R28,$A$46)+COUNTIF(R19:R28,$A$47)+COUNTIF(R19:R28,$A$48)+COUNTIF(R19:R28,$A$49)+COUNTIF(R19:R28,$A$56)+COUNTIF(R19:R28,$A$57)+COUNTIF(R19:R28,$A$58)+COUNTIF(R19:R28,$A$59)+COUNTIF(R19:R28,$A$60)+COUNTIF(R19:R28,$A$61)+COUNTIF(R19:R28,$A$62)+COUNTIF(R19:R28,$A$65)</f>
        <v>7</v>
      </c>
      <c r="S6" s="230" t="str">
        <f>if((countifs(R$7:R$11,$A$41,S$7:S$11,$A$37)+countifs(R$7:R$11,$A$41,S$7:S$11,$A$38)+countifs(R$7:R$11,$A$41,S$7:S$11,$A$39)+countifs(R$7:R$11,$A$42,S$7:S$11,$A$37)+countifs(R$7:R$11,$A$42,S$7:S$11,$A$38)+countifs(R$7:R$11,$A$42,S$7:S$11,$A$39))&gt;=3,"Đủ",if((countifs(R$7:R$11,$A$41,S$7:S$11,$A$37)+countifs(R$7:R$11,$A$41,S$7:S$11,#REF!)+countifs(R$7:R$11,$A$42,S$7:S$11,#REF!)+countifs(R$7:R$11,$A$42,S$7:S$11,$A$37))&gt;=2,"Đủ","Thiếu"))</f>
        <v>Thiếu</v>
      </c>
      <c r="T6" s="229">
        <f>COUNTIF(T7:T17,$A$41)+COUNTIF(T7:T17,$A$42)+COUNTIF(T7:T17,$A$43)+COUNTIF(T7:T17,$A$44)+COUNTIF(T7:T17,$A$46)+COUNTIF(T7:T17,$A$47)+COUNTIF(T7:T17,$A$48)+COUNTIF(T7:T17,$A$49)+COUNTIF(T7:T17,$A$56)+COUNTIF(T7:T17,$A$57)+COUNTIF(T7:T17,$A$58)+COUNTIF(T7:T17,$A$59)+COUNTIF(T7:T17,$A$60)+COUNTIF(T7:T17,$A$61)+COUNTIF(T7:T17,$A$62)+COUNTIF(T7:T17,$A$65)+COUNTIF(T19:T28,$A$41)+COUNTIF(T19:T28,$A$42)+COUNTIF(T19:T28,$A$43)+COUNTIF(T19:T28,$A$44)+COUNTIF(T19:T28,$A$46)+COUNTIF(T19:T28,$A$47)+COUNTIF(T19:T28,$A$48)+COUNTIF(T19:T28,$A$49)+COUNTIF(T19:T28,$A$56)+COUNTIF(T19:T28,$A$57)+COUNTIF(T19:T28,$A$58)+COUNTIF(T19:T28,$A$59)+COUNTIF(T19:T28,$A$60)+COUNTIF(T19:T28,$A$61)+COUNTIF(T19:T28,$A$62)+COUNTIF(T19:T28,$A$65)</f>
        <v>9</v>
      </c>
      <c r="U6" s="230" t="str">
        <f>if((countifs(T$7:T$11,$A$41,U$7:U$11,$A$37)+countifs(T$7:T$11,$A$41,U$7:U$11,$A$38)+countifs(T$7:T$11,$A$41,U$7:U$11,$A$39)+countifs(T$7:T$11,$A$42,U$7:U$11,$A$37)+countifs(T$7:T$11,$A$42,U$7:U$11,$A$38)+countifs(T$7:T$11,$A$42,U$7:U$11,$A$39))&gt;=3,"Đủ",if((countifs(T$7:T$11,$A$41,U$7:U$11,$A$37)+countifs(T$7:T$11,$A$41,U$7:U$11,#REF!)+countifs(T$7:T$11,$A$42,U$7:U$11,#REF!)+countifs(T$7:T$11,$A$42,U$7:U$11,$A$37))&gt;=2,"Đủ","Thiếu"))</f>
        <v>Thiếu</v>
      </c>
      <c r="V6" s="229">
        <f>COUNTIF(V7:V17,$A$41)+COUNTIF(V7:V17,$A$42)+COUNTIF(V7:V17,$A$43)+COUNTIF(V7:V17,$A$44)+COUNTIF(V7:V17,$A$46)+COUNTIF(V7:V17,$A$47)+COUNTIF(V7:V17,$A$48)+COUNTIF(V7:V17,$A$49)+COUNTIF(V7:V17,$A$56)+COUNTIF(V7:V17,$A$57)+COUNTIF(V7:V17,$A$58)+COUNTIF(V7:V17,$A$59)+COUNTIF(V7:V17,$A$60)+COUNTIF(V7:V17,$A$61)+COUNTIF(V7:V17,$A$62)+COUNTIF(V7:V17,$A$65)+COUNTIF(V19:V28,$A$41)+COUNTIF(V19:V28,$A$42)+COUNTIF(V19:V28,$A$43)+COUNTIF(V19:V28,$A$44)+COUNTIF(V19:V28,$A$46)+COUNTIF(V19:V28,$A$47)+COUNTIF(V19:V28,$A$48)+COUNTIF(V19:V28,$A$49)+COUNTIF(V19:V28,$A$56)+COUNTIF(V19:V28,$A$57)+COUNTIF(V19:V28,$A$58)+COUNTIF(V19:V28,$A$59)+COUNTIF(V19:V28,$A$60)+COUNTIF(V19:V28,$A$61)+COUNTIF(V19:V28,$A$62)+COUNTIF(V19:V28,$A$65)</f>
        <v>10</v>
      </c>
      <c r="W6" s="230" t="str">
        <f>if((countifs(V$7:V$11,$A$41,W$7:W$11,$A$37)+countifs(V$7:V$11,$A$41,W$7:W$11,$A$38)+countifs(V$7:V$11,$A$41,W$7:W$11,$A$39)+countifs(V$7:V$11,$A$42,W$7:W$11,$A$37)+countifs(V$7:V$11,$A$42,W$7:W$11,$A$38)+countifs(V$7:V$11,$A$42,W$7:W$11,$A$39))&gt;=3,"Đủ",if((countifs(V$7:V$11,$A$41,W$7:W$11,$A$37)+countifs(V$7:V$11,$A$41,W$7:W$11,#REF!)+countifs(V$7:V$11,$A$42,W$7:W$11,#REF!)+countifs(V$7:V$11,$A$42,W$7:W$11,$A$37))&gt;=2,"Đủ","Thiếu"))</f>
        <v>Đủ</v>
      </c>
      <c r="X6" s="229">
        <f>COUNTIF(X7:X17,$A$41)+COUNTIF(X7:X17,$A$42)+COUNTIF(X7:X17,$A$43)+COUNTIF(X7:X17,$A$44)+COUNTIF(X7:X17,$A$46)+COUNTIF(X7:X17,$A$47)+COUNTIF(X7:X17,$A$48)+COUNTIF(X7:X17,$A$49)+COUNTIF(X7:X17,$A$56)+COUNTIF(X7:X17,$A$57)+COUNTIF(X7:X17,$A$58)+COUNTIF(X7:X17,$A$59)+COUNTIF(X7:X17,$A$60)+COUNTIF(X7:X17,$A$61)+COUNTIF(X7:X17,$A$62)+COUNTIF(X7:X17,$A$65)+COUNTIF(X19:X28,$A$41)+COUNTIF(X19:X28,$A$42)+COUNTIF(X19:X28,$A$43)+COUNTIF(X19:X28,$A$44)+COUNTIF(X19:X28,$A$46)+COUNTIF(X19:X28,$A$47)+COUNTIF(X19:X28,$A$48)+COUNTIF(X19:X28,$A$49)+COUNTIF(X19:X28,$A$56)+COUNTIF(X19:X28,$A$57)+COUNTIF(X19:X28,$A$58)+COUNTIF(X19:X28,$A$59)+COUNTIF(X19:X28,$A$60)+COUNTIF(X19:X28,$A$61)+COUNTIF(X19:X28,$A$62)+COUNTIF(X19:X28,$A$65)</f>
        <v>8</v>
      </c>
      <c r="Y6" s="230" t="str">
        <f>if((countifs(X$7:X$11,$A$41,Y$7:Y$11,$A$37)+countifs(X$7:X$11,$A$41,Y$7:Y$11,$A$38)+countifs(X$7:X$11,$A$41,Y$7:Y$11,$A$39)+countifs(X$7:X$11,$A$42,Y$7:Y$11,$A$37)+countifs(X$7:X$11,$A$42,Y$7:Y$11,$A$38)+countifs(X$7:X$11,$A$42,Y$7:Y$11,$A$39))&gt;=3,"Đủ",if((countifs(X$7:X$11,$A$41,Y$7:Y$11,$A$37)+countifs(X$7:X$11,$A$41,Y$7:Y$11,#REF!)+countifs(X$7:X$11,$A$42,Y$7:Y$11,#REF!)+countifs(X$7:X$11,$A$42,Y$7:Y$11,$A$37))&gt;=2,"Đủ","Thiếu"))</f>
        <v>Thiếu</v>
      </c>
      <c r="Z6" s="228"/>
      <c r="AA6" s="229">
        <f>COUNTIF(AA7:AA17,$A$41)+COUNTIF(AA7:AA17,$A$42)+COUNTIF(AA7:AA17,$A$43)+COUNTIF(AA7:AA17,$A$44)+COUNTIF(AA7:AA17,$A$46)+COUNTIF(AA7:AA17,$A$47)+COUNTIF(AA7:AA17,$A$48)+COUNTIF(AA7:AA17,$A$49)+COUNTIF(AA7:AA17,$A$56)+COUNTIF(AA7:AA17,$A$57)+COUNTIF(AA7:AA17,$A$58)+COUNTIF(AA7:AA17,$A$59)+COUNTIF(AA7:AA17,$A$60)+COUNTIF(AA7:AA17,$A$61)+COUNTIF(AA7:AA17,$A$62)+COUNTIF(AA7:AA17,$A$65)+COUNTIF(AA19:AA28,$A$41)+COUNTIF(AA19:AA28,$A$42)+COUNTIF(AA19:AA28,$A$43)+COUNTIF(AA19:AA28,$A$44)+COUNTIF(AA19:AA28,$A$46)+COUNTIF(AA19:AA28,$A$47)+COUNTIF(AA19:AA28,$A$48)+COUNTIF(AA19:AA28,$A$49)+COUNTIF(AA19:AA28,$A$56)+COUNTIF(AA19:AA28,$A$57)+COUNTIF(AA19:AA28,$A$58)+COUNTIF(AA19:AA28,$A$59)+COUNTIF(AA19:AA28,$A$60)+COUNTIF(AA19:AA28,$A$61)+COUNTIF(AA19:AA28,$A$62)+COUNTIF(AA19:AA28,$A$65)</f>
        <v>8</v>
      </c>
      <c r="AB6" s="230" t="str">
        <f>if((countifs(AA$7:AA$11,$A$41,AB$7:AB$11,$A$37)+countifs(AA$7:AA$11,$A$41,AB$7:AB$11,$A$38)+countifs(AA$7:AA$11,$A$41,AB$7:AB$11,$A$39)+countifs(AA$7:AA$11,$A$42,AB$7:AB$11,$A$37)+countifs(AA$7:AA$11,$A$42,AB$7:AB$11,$A$38)+countifs(AA$7:AA$11,$A$42,AB$7:AB$11,$A$39))&gt;=3,"Đủ",if((countifs(AA$7:AA$11,$A$41,AB$7:AB$11,$A$37)+countifs(AA$7:AA$11,$A$41,AB$7:AB$11,#REF!)+countifs(AA$7:AA$11,$A$42,AB$7:AB$11,#REF!)+countifs(AA$7:AA$11,$A$42,AB$7:AB$11,$A$37))&gt;=2,"Đủ","Thiếu"))</f>
        <v>Thiếu</v>
      </c>
      <c r="AC6" s="229">
        <f>COUNTIF(AC7:AC17,$A$41)+COUNTIF(AC7:AC17,$A$42)+COUNTIF(AC7:AC17,$A$43)+COUNTIF(AC7:AC17,$A$44)+COUNTIF(AC7:AC17,$A$46)+COUNTIF(AC7:AC17,$A$47)+COUNTIF(AC7:AC17,$A$48)+COUNTIF(AC7:AC17,$A$49)+COUNTIF(AC7:AC17,$A$56)+COUNTIF(AC7:AC17,$A$57)+COUNTIF(AC7:AC17,$A$58)+COUNTIF(AC7:AC17,$A$59)+COUNTIF(AC7:AC17,$A$60)+COUNTIF(AC7:AC17,$A$61)+COUNTIF(AC7:AC17,$A$62)+COUNTIF(AC7:AC17,$A$65)+COUNTIF(AC19:AC28,$A$41)+COUNTIF(AC19:AC28,$A$42)+COUNTIF(AC19:AC28,$A$43)+COUNTIF(AC19:AC28,$A$44)+COUNTIF(AC19:AC28,$A$46)+COUNTIF(AC19:AC28,$A$47)+COUNTIF(AC19:AC28,$A$48)+COUNTIF(AC19:AC28,$A$49)+COUNTIF(AC19:AC28,$A$56)+COUNTIF(AC19:AC28,$A$57)+COUNTIF(AC19:AC28,$A$58)+COUNTIF(AC19:AC28,$A$59)+COUNTIF(AC19:AC28,$A$60)+COUNTIF(AC19:AC28,$A$61)+COUNTIF(AC19:AC28,$A$62)+COUNTIF(AC19:AC28,$A$65)</f>
        <v>6</v>
      </c>
      <c r="AD6" s="230" t="str">
        <f>if((countifs(AC$7:AC$11,$A$41,AD$7:AD$11,$A$37)+countifs(AC$7:AC$11,$A$41,AD$7:AD$11,$A$38)+countifs(AC$7:AC$11,$A$41,AD$7:AD$11,$A$39)+countifs(AC$7:AC$11,$A$42,AD$7:AD$11,$A$37)+countifs(AC$7:AC$11,$A$42,AD$7:AD$11,$A$38)+countifs(AC$7:AC$11,$A$42,AD$7:AD$11,$A$39))&gt;=3,"Đủ",if((countifs(AC$7:AC$11,$A$41,AD$7:AD$11,$A$37)+countifs(AC$7:AC$11,$A$41,AD$7:AD$11,#REF!)+countifs(AC$7:AC$11,$A$42,AD$7:AD$11,#REF!)+countifs(AC$7:AC$11,$A$42,AD$7:AD$11,$A$37))&gt;=2,"Đủ","Thiếu"))</f>
        <v>Thiếu</v>
      </c>
      <c r="AE6" s="229">
        <f>COUNTIF(AE7:AE17,$A$41)+COUNTIF(AE7:AE17,$A$42)+COUNTIF(AE7:AE17,$A$43)+COUNTIF(AE7:AE17,$A$44)+COUNTIF(AE7:AE17,$A$46)+COUNTIF(AE7:AE17,$A$47)+COUNTIF(AE7:AE17,$A$48)+COUNTIF(AE7:AE17,$A$49)+COUNTIF(AE7:AE17,$A$56)+COUNTIF(AE7:AE17,$A$57)+COUNTIF(AE7:AE17,$A$58)+COUNTIF(AE7:AE17,$A$59)+COUNTIF(AE7:AE17,$A$60)+COUNTIF(AE7:AE17,$A$61)+COUNTIF(AE7:AE17,$A$62)+COUNTIF(AE7:AE17,$A$65)+COUNTIF(AE19:AE28,$A$41)+COUNTIF(AE19:AE28,$A$42)+COUNTIF(AE19:AE28,$A$43)+COUNTIF(AE19:AE28,$A$44)+COUNTIF(AE19:AE28,$A$46)+COUNTIF(AE19:AE28,$A$47)+COUNTIF(AE19:AE28,$A$48)+COUNTIF(AE19:AE28,$A$49)+COUNTIF(AE19:AE28,$A$56)+COUNTIF(AE19:AE28,$A$57)+COUNTIF(AE19:AE28,$A$58)+COUNTIF(AE19:AE28,$A$59)+COUNTIF(AE19:AE28,$A$60)+COUNTIF(AE19:AE28,$A$61)+COUNTIF(AE19:AE28,$A$62)+COUNTIF(AE19:AE28,$A$65)</f>
        <v>6</v>
      </c>
      <c r="AF6" s="230" t="str">
        <f>if((countifs(AE$7:AE$11,$A$41,AF$7:AF$11,$A$37)+countifs(AE$7:AE$11,$A$41,AF$7:AF$11,$A$38)+countifs(AE$7:AE$11,$A$41,AF$7:AF$11,$A$39)+countifs(AE$7:AE$11,$A$42,AF$7:AF$11,$A$37)+countifs(AE$7:AE$11,$A$42,AF$7:AF$11,$A$38)+countifs(AE$7:AE$11,$A$42,AF$7:AF$11,$A$39))&gt;=3,"Đủ",if((countifs(AE$7:AE$11,$A$41,AF$7:AF$11,$A$37)+countifs(AE$7:AE$11,$A$41,AF$7:AF$11,#REF!)+countifs(AE$7:AE$11,$A$42,AF$7:AF$11,#REF!)+countifs(AE$7:AE$11,$A$42,AF$7:AF$11,$A$37))&gt;=2,"Đủ","Thiếu"))</f>
        <v>Thiếu</v>
      </c>
      <c r="AG6" s="229">
        <f>COUNTIF(AG7:AG17,$A$41)+COUNTIF(AG7:AG17,$A$42)+COUNTIF(AG7:AG17,$A$43)+COUNTIF(AG7:AG17,$A$44)+COUNTIF(AG7:AG17,$A$46)+COUNTIF(AG7:AG17,$A$47)+COUNTIF(AG7:AG17,$A$48)+COUNTIF(AG7:AG17,$A$49)+COUNTIF(AG7:AG17,$A$56)+COUNTIF(AG7:AG17,$A$57)+COUNTIF(AG7:AG17,$A$58)+COUNTIF(AG7:AG17,$A$59)+COUNTIF(AG7:AG17,$A$60)+COUNTIF(AG7:AG17,$A$61)+COUNTIF(AG7:AG17,$A$62)+COUNTIF(AG7:AG17,$A$65)+COUNTIF(AG19:AG28,$A$41)+COUNTIF(AG19:AG28,$A$42)+COUNTIF(AG19:AG28,$A$43)+COUNTIF(AG19:AG28,$A$44)+COUNTIF(AG19:AG28,$A$46)+COUNTIF(AG19:AG28,$A$47)+COUNTIF(AG19:AG28,$A$48)+COUNTIF(AG19:AG28,$A$49)+COUNTIF(AG19:AG28,$A$56)+COUNTIF(AG19:AG28,$A$57)+COUNTIF(AG19:AG28,$A$58)+COUNTIF(AG19:AG28,$A$59)+COUNTIF(AG19:AG28,$A$60)+COUNTIF(AG19:AG28,$A$61)+COUNTIF(AG19:AG28,$A$62)+COUNTIF(AG19:AG28,$A$65)</f>
        <v>7</v>
      </c>
      <c r="AH6" s="230" t="str">
        <f>if((countifs(AG$7:AG$11,$A$41,AH$7:AH$11,$A$37)+countifs(AG$7:AG$11,$A$41,AH$7:AH$11,$A$38)+countifs(AG$7:AG$11,$A$41,AH$7:AH$11,$A$39)+countifs(AG$7:AG$11,$A$42,AH$7:AH$11,$A$37)+countifs(AG$7:AG$11,$A$42,AH$7:AH$11,$A$38)+countifs(AG$7:AG$11,$A$42,AH$7:AH$11,$A$39))&gt;=3,"Đủ",if((countifs(AG$7:AG$11,$A$41,AH$7:AH$11,$A$37)+countifs(AG$7:AG$11,$A$41,AH$7:AH$11,#REF!)+countifs(AG$7:AG$11,$A$42,AH$7:AH$11,#REF!)+countifs(AG$7:AG$11,$A$42,AH$7:AH$11,$A$37))&gt;=2,"Đủ","Thiếu"))</f>
        <v>Thiếu</v>
      </c>
      <c r="AI6" s="229">
        <f>COUNTIF(AI7:AI17,$A$41)+COUNTIF(AI7:AI17,$A$42)+COUNTIF(AI7:AI17,$A$43)+COUNTIF(AI7:AI17,$A$44)+COUNTIF(AI7:AI17,$A$46)+COUNTIF(AI7:AI17,$A$47)+COUNTIF(AI7:AI17,$A$48)+COUNTIF(AI7:AI17,$A$49)+COUNTIF(AI7:AI17,$A$56)+COUNTIF(AI7:AI17,$A$57)+COUNTIF(AI7:AI17,$A$58)+COUNTIF(AI7:AI17,$A$59)+COUNTIF(AI7:AI17,$A$60)+COUNTIF(AI7:AI17,$A$61)+COUNTIF(AI7:AI17,$A$62)+COUNTIF(AI7:AI17,$A$65)+COUNTIF(AI19:AI28,$A$41)+COUNTIF(AI19:AI28,$A$42)+COUNTIF(AI19:AI28,$A$43)+COUNTIF(AI19:AI28,$A$44)+COUNTIF(AI19:AI28,$A$46)+COUNTIF(AI19:AI28,$A$47)+COUNTIF(AI19:AI28,$A$48)+COUNTIF(AI19:AI28,$A$49)+COUNTIF(AI19:AI28,$A$56)+COUNTIF(AI19:AI28,$A$57)+COUNTIF(AI19:AI28,$A$58)+COUNTIF(AI19:AI28,$A$59)+COUNTIF(AI19:AI28,$A$60)+COUNTIF(AI19:AI28,$A$61)+COUNTIF(AI19:AI28,$A$62)+COUNTIF(AI19:AI28,$A$65)</f>
        <v>8</v>
      </c>
      <c r="AJ6" s="230" t="str">
        <f>if((countifs(AI$7:AI$11,$A$41,AJ$7:AJ$11,$A$37)+countifs(AI$7:AI$11,$A$41,AJ$7:AJ$11,$A$38)+countifs(AI$7:AI$11,$A$41,AJ$7:AJ$11,$A$39)+countifs(AI$7:AI$11,$A$42,AJ$7:AJ$11,$A$37)+countifs(AI$7:AI$11,$A$42,AJ$7:AJ$11,$A$38)+countifs(AI$7:AI$11,$A$42,AJ$7:AJ$11,$A$39))&gt;=3,"Đủ",if((countifs(AI$7:AI$11,$A$41,AJ$7:AJ$11,$A$37)+countifs(AI$7:AI$11,$A$41,AJ$7:AJ$11,#REF!)+countifs(AI$7:AI$11,$A$42,AJ$7:AJ$11,#REF!)+countifs(AI$7:AI$11,$A$42,AJ$7:AJ$11,$A$37))&gt;=2,"Đủ","Thiếu"))</f>
        <v>Thiếu</v>
      </c>
      <c r="AK6" s="229">
        <f>COUNTIF(AK7:AK17,$A$41)+COUNTIF(AK7:AK17,$A$42)+COUNTIF(AK7:AK17,$A$43)+COUNTIF(AK7:AK17,$A$44)+COUNTIF(AK7:AK17,$A$46)+COUNTIF(AK7:AK17,$A$47)+COUNTIF(AK7:AK17,$A$48)+COUNTIF(AK7:AK17,$A$49)+COUNTIF(AK7:AK17,$A$56)+COUNTIF(AK7:AK17,$A$57)+COUNTIF(AK7:AK17,$A$58)+COUNTIF(AK7:AK17,$A$59)+COUNTIF(AK7:AK17,$A$60)+COUNTIF(AK7:AK17,$A$61)+COUNTIF(AK7:AK17,$A$62)+COUNTIF(AK7:AK17,$A$65)+COUNTIF(AK19:AK28,$A$41)+COUNTIF(AK19:AK28,$A$42)+COUNTIF(AK19:AK28,$A$43)+COUNTIF(AK19:AK28,$A$44)+COUNTIF(AK19:AK28,$A$46)+COUNTIF(AK19:AK28,$A$47)+COUNTIF(AK19:AK28,$A$48)+COUNTIF(AK19:AK28,$A$49)+COUNTIF(AK19:AK28,$A$56)+COUNTIF(AK19:AK28,$A$57)+COUNTIF(AK19:AK28,$A$58)+COUNTIF(AK19:AK28,$A$59)+COUNTIF(AK19:AK28,$A$60)+COUNTIF(AK19:AK28,$A$61)+COUNTIF(AK19:AK28,$A$62)+COUNTIF(AK19:AK28,$A$65)</f>
        <v>9</v>
      </c>
      <c r="AL6" s="230" t="str">
        <f>if((countifs(AK$7:AK$11,$A$41,AL$7:AL$11,$A$37)+countifs(AK$7:AK$11,$A$41,AL$7:AL$11,$A$38)+countifs(AK$7:AK$11,$A$41,AL$7:AL$11,$A$39)+countifs(AK$7:AK$11,$A$42,AL$7:AL$11,$A$37)+countifs(AK$7:AK$11,$A$42,AL$7:AL$11,$A$38)+countifs(AK$7:AK$11,$A$42,AL$7:AL$11,$A$39))&gt;=3,"Đủ",if((countifs(AK$7:AK$11,$A$41,AL$7:AL$11,$A$37)+countifs(AK$7:AK$11,$A$41,AL$7:AL$11,#REF!)+countifs(AK$7:AK$11,$A$42,AL$7:AL$11,#REF!)+countifs(AK$7:AK$11,$A$42,AL$7:AL$11,$A$37))&gt;=2,"Đủ","Thiếu"))</f>
        <v>Thiếu</v>
      </c>
      <c r="AM6" s="229">
        <f>COUNTIF(AM7:AM17,$A$41)+COUNTIF(AM7:AM17,$A$42)+COUNTIF(AM7:AM17,$A$43)+COUNTIF(AM7:AM17,$A$44)+COUNTIF(AM7:AM17,$A$46)+COUNTIF(AM7:AM17,$A$47)+COUNTIF(AM7:AM17,$A$48)+COUNTIF(AM7:AM17,$A$49)+COUNTIF(AM7:AM17,$A$56)+COUNTIF(AM7:AM17,$A$57)+COUNTIF(AM7:AM17,$A$58)+COUNTIF(AM7:AM17,$A$59)+COUNTIF(AM7:AM17,$A$60)+COUNTIF(AM7:AM17,$A$61)+COUNTIF(AM7:AM17,$A$62)+COUNTIF(AM7:AM17,$A$65)+COUNTIF(AM19:AM28,$A$41)+COUNTIF(AM19:AM28,$A$42)+COUNTIF(AM19:AM28,$A$43)+COUNTIF(AM19:AM28,$A$44)+COUNTIF(AM19:AM28,$A$46)+COUNTIF(AM19:AM28,$A$47)+COUNTIF(AM19:AM28,$A$48)+COUNTIF(AM19:AM28,$A$49)+COUNTIF(AM19:AM28,$A$56)+COUNTIF(AM19:AM28,$A$57)+COUNTIF(AM19:AM28,$A$58)+COUNTIF(AM19:AM28,$A$59)+COUNTIF(AM19:AM28,$A$60)+COUNTIF(AM19:AM28,$A$61)+COUNTIF(AM19:AM28,$A$62)+COUNTIF(AM19:AM28,$A$65)</f>
        <v>9</v>
      </c>
      <c r="AN6" s="230" t="str">
        <f>if((countifs(AM$7:AM$11,$A$41,AN$7:AN$11,$A$37)+countifs(AM$7:AM$11,$A$41,AN$7:AN$11,$A$38)+countifs(AM$7:AM$11,$A$41,AN$7:AN$11,$A$39)+countifs(AM$7:AM$11,$A$42,AN$7:AN$11,$A$37)+countifs(AM$7:AM$11,$A$42,AN$7:AN$11,$A$38)+countifs(AM$7:AM$11,$A$42,AN$7:AN$11,$A$39))&gt;=3,"Đủ",if((countifs(AM$7:AM$11,$A$41,AN$7:AN$11,$A$37)+countifs(AM$7:AM$11,$A$41,AN$7:AN$11,#REF!)+countifs(AM$7:AM$11,$A$42,AN$7:AN$11,#REF!)+countifs(AM$7:AM$11,$A$42,AN$7:AN$11,$A$37))&gt;=2,"Đủ","Thiếu"))</f>
        <v>Thiếu</v>
      </c>
      <c r="AO6" s="228"/>
      <c r="AP6" s="229">
        <f>COUNTIF(AP7:AP17,$A$41)+COUNTIF(AP7:AP17,$A$42)+COUNTIF(AP7:AP17,$A$43)+COUNTIF(AP7:AP17,$A$44)+COUNTIF(AP7:AP17,$A$46)+COUNTIF(AP7:AP17,$A$47)+COUNTIF(AP7:AP17,$A$48)+COUNTIF(AP7:AP17,$A$49)+COUNTIF(AP7:AP17,$A$56)+COUNTIF(AP7:AP17,$A$57)+COUNTIF(AP7:AP17,$A$58)+COUNTIF(AP7:AP17,$A$59)+COUNTIF(AP7:AP17,$A$60)+COUNTIF(AP7:AP17,$A$61)+COUNTIF(AP7:AP17,$A$62)+COUNTIF(AP7:AP17,$A$63)+COUNTIF(AP7:AP17,$A$65)+COUNTIF(AP19:AP28,$A$41)+COUNTIF(AP19:AP28,$A$42)+COUNTIF(AP19:AP28,$A$43)+COUNTIF(AP19:AP28,$A$44)+COUNTIF(AP19:AP28,$A$46)+COUNTIF(AP19:AP28,$A$47)+COUNTIF(AP19:AP28,$A$48)+COUNTIF(AP19:AP28,$A$49)+COUNTIF(AP19:AP28,$A$56)+COUNTIF(AP19:AP28,$A$57)+COUNTIF(AP19:AP28,$A$58)+COUNTIF(AP19:AP28,$A$59)+COUNTIF(AP19:AP28,$A$60)+COUNTIF(AP19:AP28,$A$61)+COUNTIF(AP19:AP28,$A$62)+COUNTIF(AP19:AP28,$A$63)+COUNTIF(AP19:AP28,$A$65)</f>
        <v>8</v>
      </c>
      <c r="AQ6" s="230" t="str">
        <f>if((countifs(AP$7:AP$11,$A$41,AQ$7:AQ$11,$A$37)+countifs(AP$7:AP$11,$A$41,AQ$7:AQ$11,$A$38)+countifs(AP$7:AP$11,$A$41,AQ$7:AQ$11,$A$39)+countifs(AP$7:AP$11,$A$42,AQ$7:AQ$11,$A$37)+countifs(AP$7:AP$11,$A$42,AQ$7:AQ$11,$A$38)+countifs(AP$7:AP$11,$A$42,AQ$7:AQ$11,$A$39))&gt;=3,"Đủ",if((countifs(AP$7:AP$11,$A$41,AQ$7:AQ$11,$A$37)+countifs(AP$7:AP$11,$A$41,AQ$7:AQ$11,#REF!)+countifs(AP$7:AP$11,$A$42,AQ$7:AQ$11,#REF!)+countifs(AP$7:AP$11,$A$42,AQ$7:AQ$11,$A$37))&gt;=2,"Đủ","Thiếu"))</f>
        <v>Thiếu</v>
      </c>
      <c r="AR6" s="229">
        <f>COUNTIF(AR7:AR17,$A$41)+COUNTIF(AR7:AR17,$A$42)+COUNTIF(AR7:AR17,$A$43)+COUNTIF(AR7:AR17,$A$44)+COUNTIF(AR7:AR17,$A$46)+COUNTIF(AR7:AR17,$A$47)+COUNTIF(AR7:AR17,$A$48)+COUNTIF(AR7:AR17,$A$49)+COUNTIF(AR7:AR17,$A$56)+COUNTIF(AR7:AR17,$A$57)+COUNTIF(AR7:AR17,$A$58)+COUNTIF(AR7:AR17,$A$59)+COUNTIF(AR7:AR17,$A$60)+COUNTIF(AR7:AR17,$A$61)+COUNTIF(AR7:AR17,$A$62)+COUNTIF(AR7:AR17,$A$63)+COUNTIF(AR7:AR17,$A$65)+COUNTIF(AR19:AR28,$A$41)+COUNTIF(AR19:AR28,$A$42)+COUNTIF(AR19:AR28,$A$43)+COUNTIF(AR19:AR28,$A$44)+COUNTIF(AR19:AR28,$A$46)+COUNTIF(AR19:AR28,$A$47)+COUNTIF(AR19:AR28,$A$48)+COUNTIF(AR19:AR28,$A$49)+COUNTIF(AR19:AR28,$A$56)+COUNTIF(AR19:AR28,$A$57)+COUNTIF(AR19:AR28,$A$58)+COUNTIF(AR19:AR28,$A$59)+COUNTIF(AR19:AR28,$A$60)+COUNTIF(AR19:AR28,$A$61)+COUNTIF(AR19:AR28,$A$62)+COUNTIF(AR19:AR28,$A$63)+COUNTIF(AR19:AR28,$A$65)</f>
        <v>7</v>
      </c>
      <c r="AS6" s="230" t="str">
        <f>if((countifs(AR$7:AR$11,$A$41,AS$7:AS$11,$A$37)+countifs(AR$7:AR$11,$A$41,AS$7:AS$11,$A$38)+countifs(AR$7:AR$11,$A$41,AS$7:AS$11,$A$39)+countifs(AR$7:AR$11,$A$42,AS$7:AS$11,$A$37)+countifs(AR$7:AR$11,$A$42,AS$7:AS$11,$A$38)+countifs(AR$7:AR$11,$A$42,AS$7:AS$11,$A$39))&gt;=3,"Đủ",if((countifs(AR$7:AR$11,$A$41,AS$7:AS$11,$A$37)+countifs(AR$7:AR$11,$A$41,AS$7:AS$11,#REF!)+countifs(AR$7:AR$11,$A$42,AS$7:AS$11,#REF!)+countifs(AR$7:AR$11,$A$42,AS$7:AS$11,$A$37))&gt;=2,"Đủ","Thiếu"))</f>
        <v>Thiếu</v>
      </c>
      <c r="AT6" s="229">
        <f>COUNTIF(AT7:AT17,$A$41)+COUNTIF(AT7:AT17,$A$42)+COUNTIF(AT7:AT17,$A$43)+COUNTIF(AT7:AT17,$A$44)+COUNTIF(AT7:AT17,$A$46)+COUNTIF(AT7:AT17,$A$47)+COUNTIF(AT7:AT17,$A$48)+COUNTIF(AT7:AT17,$A$49)+COUNTIF(AT7:AT17,$A$56)+COUNTIF(AT7:AT17,$A$57)+COUNTIF(AT7:AT17,$A$58)+COUNTIF(AT7:AT17,$A$59)+COUNTIF(AT7:AT17,$A$60)+COUNTIF(AT7:AT17,$A$61)+COUNTIF(AT7:AT17,$A$62)+COUNTIF(AT7:AT17,$A$63)+COUNTIF(AT7:AT17,$A$65)+COUNTIF(AT19:AT28,$A$41)+COUNTIF(AT19:AT28,$A$42)+COUNTIF(AT19:AT28,$A$43)+COUNTIF(AT19:AT28,$A$44)+COUNTIF(AT19:AT28,$A$46)+COUNTIF(AT19:AT28,$A$47)+COUNTIF(AT19:AT28,$A$48)+COUNTIF(AT19:AT28,$A$49)+COUNTIF(AT19:AT28,$A$56)+COUNTIF(AT19:AT28,$A$57)+COUNTIF(AT19:AT28,$A$58)+COUNTIF(AT19:AT28,$A$59)+COUNTIF(AT19:AT28,$A$60)+COUNTIF(AT19:AT28,$A$61)+COUNTIF(AT19:AT28,$A$62)+COUNTIF(AT19:AT28,$A$63)+COUNTIF(AT19:AT28,$A$65)</f>
        <v>6</v>
      </c>
      <c r="AU6" s="230" t="str">
        <f>if((countifs(AT$7:AT$11,$A$41,AU$7:AU$11,$A$37)+countifs(AT$7:AT$11,$A$41,AU$7:AU$11,$A$38)+countifs(AT$7:AT$11,$A$41,AU$7:AU$11,$A$39)+countifs(AT$7:AT$11,$A$42,AU$7:AU$11,$A$37)+countifs(AT$7:AT$11,$A$42,AU$7:AU$11,$A$38)+countifs(AT$7:AT$11,$A$42,AU$7:AU$11,$A$39))&gt;=3,"Đủ",if((countifs(AT$7:AT$11,$A$41,AU$7:AU$11,$A$37)+countifs(AT$7:AT$11,$A$41,AU$7:AU$11,#REF!)+countifs(AT$7:AT$11,$A$42,AU$7:AU$11,#REF!)+countifs(AT$7:AT$11,$A$42,AU$7:AU$11,$A$37))&gt;=2,"Đủ","Thiếu"))</f>
        <v>Thiếu</v>
      </c>
      <c r="AV6" s="229">
        <f>COUNTIF(AV7:AV17,$A$41)+COUNTIF(AV7:AV17,$A$42)+COUNTIF(AV7:AV17,$A$43)+COUNTIF(AV7:AV17,$A$44)+COUNTIF(AV7:AV17,$A$46)+COUNTIF(AV7:AV17,$A$47)+COUNTIF(AV7:AV17,$A$48)+COUNTIF(AV7:AV17,$A$49)+COUNTIF(AV7:AV17,$A$56)+COUNTIF(AV7:AV17,$A$57)+COUNTIF(AV7:AV17,$A$58)+COUNTIF(AV7:AV17,$A$59)+COUNTIF(AV7:AV17,$A$60)+COUNTIF(AV7:AV17,$A$61)+COUNTIF(AV7:AV17,$A$62)+COUNTIF(AV7:AV17,$A$63)+COUNTIF(AV7:AV17,$A$65)+COUNTIF(AV19:AV28,$A$41)+COUNTIF(AV19:AV28,$A$42)+COUNTIF(AV19:AV28,$A$43)+COUNTIF(AV19:AV28,$A$44)+COUNTIF(AV19:AV28,$A$46)+COUNTIF(AV19:AV28,$A$47)+COUNTIF(AV19:AV28,$A$48)+COUNTIF(AV19:AV28,$A$49)+COUNTIF(AV19:AV28,$A$56)+COUNTIF(AV19:AV28,$A$57)+COUNTIF(AV19:AV28,$A$58)+COUNTIF(AV19:AV28,$A$59)+COUNTIF(AV19:AV28,$A$60)+COUNTIF(AV19:AV28,$A$61)+COUNTIF(AV19:AV28,$A$62)+COUNTIF(AV19:AV28,$A$63)+COUNTIF(AV19:AV28,$A$65)</f>
        <v>10</v>
      </c>
      <c r="AW6" s="230" t="str">
        <f>if((countifs(AV$7:AV$11,$A$41,AW$7:AW$11,$A$37)+countifs(AV$7:AV$11,$A$41,AW$7:AW$11,$A$38)+countifs(AV$7:AV$11,$A$41,AW$7:AW$11,$A$39)+countifs(AV$7:AV$11,$A$42,AW$7:AW$11,$A$37)+countifs(AV$7:AV$11,$A$42,AW$7:AW$11,$A$38)+countifs(AV$7:AV$11,$A$42,AW$7:AW$11,$A$39))&gt;=3,"Đủ",if((countifs(AV$7:AV$11,$A$41,AW$7:AW$11,$A$37)+countifs(AV$7:AV$11,$A$41,AW$7:AW$11,#REF!)+countifs(AV$7:AV$11,$A$42,AW$7:AW$11,#REF!)+countifs(AV$7:AV$11,$A$42,AW$7:AW$11,$A$37))&gt;=2,"Đủ","Thiếu"))</f>
        <v>Thiếu</v>
      </c>
      <c r="AX6" s="229">
        <f>COUNTIF(AX7:AX17,$A$41)+COUNTIF(AX7:AX17,$A$42)+COUNTIF(AX7:AX17,$A$43)+COUNTIF(AX7:AX17,$A$44)+COUNTIF(AX7:AX17,$A$46)+COUNTIF(AX7:AX17,$A$47)+COUNTIF(AX7:AX17,$A$48)+COUNTIF(AX7:AX17,$A$49)+COUNTIF(AX7:AX17,$A$56)+COUNTIF(AX7:AX17,$A$57)+COUNTIF(AX7:AX17,$A$58)+COUNTIF(AX7:AX17,$A$59)+COUNTIF(AX7:AX17,$A$60)+COUNTIF(AX7:AX17,$A$61)+COUNTIF(AX7:AX17,$A$62)+COUNTIF(AX7:AX17,$A$63)+COUNTIF(AX7:AX17,$A$65)+COUNTIF(AX19:AX28,$A$41)+COUNTIF(AX19:AX28,$A$42)+COUNTIF(AX19:AX28,$A$43)+COUNTIF(AX19:AX28,$A$44)+COUNTIF(AX19:AX28,$A$46)+COUNTIF(AX19:AX28,$A$47)+COUNTIF(AX19:AX28,$A$48)+COUNTIF(AX19:AX28,$A$49)+COUNTIF(AX19:AX28,$A$56)+COUNTIF(AX19:AX28,$A$57)+COUNTIF(AX19:AX28,$A$58)+COUNTIF(AX19:AX28,$A$59)+COUNTIF(AX19:AX28,$A$60)+COUNTIF(AX19:AX28,$A$61)+COUNTIF(AX19:AX28,$A$62)+COUNTIF(AX19:AX28,$A$63)+COUNTIF(AX19:AX28,$A$65)</f>
        <v>11</v>
      </c>
      <c r="AY6" s="230" t="str">
        <f>if((countifs(AX$7:AX$11,$A$41,AY$7:AY$11,$A$37)+countifs(AX$7:AX$11,$A$41,AY$7:AY$11,$A$38)+countifs(AX$7:AX$11,$A$41,AY$7:AY$11,$A$39)+countifs(AX$7:AX$11,$A$42,AY$7:AY$11,$A$37)+countifs(AX$7:AX$11,$A$42,AY$7:AY$11,$A$38)+countifs(AX$7:AX$11,$A$42,AY$7:AY$11,$A$39))&gt;=3,"Đủ",if((countifs(AX$7:AX$11,$A$41,AY$7:AY$11,$A$37)+countifs(AX$7:AX$11,$A$41,AY$7:AY$11,#REF!)+countifs(AX$7:AX$11,$A$42,AY$7:AY$11,#REF!)+countifs(AX$7:AX$11,$A$42,AY$7:AY$11,$A$37))&gt;=2,"Đủ","Thiếu"))</f>
        <v>Thiếu</v>
      </c>
      <c r="AZ6" s="229">
        <f>COUNTIF(AZ7:AZ17,$A$41)+COUNTIF(AZ7:AZ17,$A$42)+COUNTIF(AZ7:AZ17,$A$43)+COUNTIF(AZ7:AZ17,$A$44)+COUNTIF(AZ7:AZ17,$A$46)+COUNTIF(AZ7:AZ17,$A$47)+COUNTIF(AZ7:AZ17,$A$48)+COUNTIF(AZ7:AZ17,$A$49)+COUNTIF(AZ7:AZ17,$A$56)+COUNTIF(AZ7:AZ17,$A$57)+COUNTIF(AZ7:AZ17,$A$58)+COUNTIF(AZ7:AZ17,$A$59)+COUNTIF(AZ7:AZ17,$A$60)+COUNTIF(AZ7:AZ17,$A$61)+COUNTIF(AZ7:AZ17,$A$62)+COUNTIF(AZ7:AZ17,$A$65)+COUNTIF(AZ19:AZ28,$A$41)+COUNTIF(AZ19:AZ28,$A$42)+COUNTIF(AZ19:AZ28,$A$43)+COUNTIF(AZ19:AZ28,$A$44)+COUNTIF(AZ19:AZ28,$A$46)+COUNTIF(AZ19:AZ28,$A$47)+COUNTIF(AZ19:AZ28,$A$48)+COUNTIF(AZ19:AZ28,$A$49)+COUNTIF(AZ19:AZ28,$A$56)+COUNTIF(AZ19:AZ28,$A$57)+COUNTIF(AZ19:AZ28,$A$58)+COUNTIF(AZ19:AZ28,$A$59)+COUNTIF(AZ19:AZ28,$A$60)+COUNTIF(AZ19:AZ28,$A$61)+COUNTIF(AZ19:AZ28,$A$62)+COUNTIF(AZ19:AZ28,$A$65)</f>
        <v>12</v>
      </c>
      <c r="BA6" s="230" t="str">
        <f>if((countifs(AZ$7:AZ$11,$A$41,BA$7:BA$11,$A$37)+countifs(AZ$7:AZ$11,$A$41,BA$7:BA$11,$A$38)+countifs(AZ$7:AZ$11,$A$41,BA$7:BA$11,$A$39)+countifs(AZ$7:AZ$11,$A$42,BA$7:BA$11,$A$37)+countifs(AZ$7:AZ$11,$A$42,BA$7:BA$11,$A$38)+countifs(AZ$7:AZ$11,$A$42,BA$7:BA$11,$A$39))&gt;=3,"Đủ",if((countifs(AZ$7:AZ$11,$A$41,BA$7:BA$11,$A$37)+countifs(AZ$7:AZ$11,$A$41,BA$7:BA$11,#REF!)+countifs(AZ$7:AZ$11,$A$42,BA$7:BA$11,#REF!)+countifs(AZ$7:AZ$11,$A$42,BA$7:BA$11,$A$37))&gt;=2,"Đủ","Thiếu"))</f>
        <v>Thiếu</v>
      </c>
      <c r="BB6" s="229">
        <f>COUNTIF(BB7:BB17,$A$41)+COUNTIF(BB7:BB17,$A$42)+COUNTIF(BB7:BB17,$A$43)+COUNTIF(BB7:BB17,$A$44)+COUNTIF(BB7:BB17,$A$46)+COUNTIF(BB7:BB17,$A$47)+COUNTIF(BB7:BB17,$A$48)+COUNTIF(BB7:BB17,$A$49)+COUNTIF(BB7:BB17,$A$56)+COUNTIF(BB7:BB17,$A$57)+COUNTIF(BB7:BB17,$A$58)+COUNTIF(BB7:BB17,$A$59)+COUNTIF(BB7:BB17,$A$60)+COUNTIF(BB7:BB17,$A$61)+COUNTIF(BB7:BB17,$A$62)+COUNTIF(BB7:BB17,$A$65)+COUNTIF(BB19:BB28,$A$41)+COUNTIF(BB19:BB28,$A$42)+COUNTIF(BB19:BB28,$A$43)+COUNTIF(BB19:BB28,$A$44)+COUNTIF(BB19:BB28,$A$46)+COUNTIF(BB19:BB28,$A$47)+COUNTIF(BB19:BB28,$A$48)+COUNTIF(BB19:BB28,$A$49)+COUNTIF(BB19:BB28,$A$56)+COUNTIF(BB19:BB28,$A$57)+COUNTIF(BB19:BB28,$A$58)+COUNTIF(BB19:BB28,$A$59)+COUNTIF(BB19:BB28,$A$60)+COUNTIF(BB19:BB28,$A$61)+COUNTIF(BB19:BB28,$A$62)+COUNTIF(BB19:BB28,$A$65)</f>
        <v>11</v>
      </c>
      <c r="BC6" s="230" t="str">
        <f>if((countifs(BB$7:BB$11,$A$41,BC$7:BC$11,$A$37)+countifs(BB$7:BB$11,$A$41,BC$7:BC$11,$A$38)+countifs(BB$7:BB$11,$A$41,BC$7:BC$11,$A$39)+countifs(BB$7:BB$11,$A$42,BC$7:BC$11,$A$37)+countifs(BB$7:BB$11,$A$42,BC$7:BC$11,$A$38)+countifs(BB$7:BB$11,$A$42,BC$7:BC$11,$A$39))&gt;=3,"Đủ",if((countifs(BB$7:BB$11,$A$41,BC$7:BC$11,$A$37)+countifs(BB$7:BB$11,$A$41,BC$7:BC$11,#REF!)+countifs(BB$7:BB$11,$A$42,BC$7:BC$11,#REF!)+countifs(BB$7:BB$11,$A$42,BC$7:BC$11,$A$37))&gt;=2,"Đủ","Thiếu"))</f>
        <v>Đủ</v>
      </c>
      <c r="BD6" s="228"/>
      <c r="BE6" s="229">
        <f>COUNTIF(BE7:BE17,$A$41)+COUNTIF(BE7:BE17,$A$42)+COUNTIF(BE7:BE17,$A$43)+COUNTIF(BE7:BE17,$A$44)+COUNTIF(BE7:BE17,$A$46)+COUNTIF(BE7:BE17,$A$47)+COUNTIF(BE7:BE17,$A$48)+COUNTIF(BE7:BE17,$A$49)+COUNTIF(BE7:BE17,$A$56)+COUNTIF(BE7:BE17,$A$57)+COUNTIF(BE7:BE17,$A$58)+COUNTIF(BE7:BE17,$A$59)+COUNTIF(BE7:BE17,$A$60)+COUNTIF(BE7:BE17,$A$61)+COUNTIF(BE7:BE17,$A$62)+COUNTIF(BE7:BE17,$A$65)+COUNTIF(BE19:BE28,$A$41)+COUNTIF(BE19:BE28,$A$42)+COUNTIF(BE19:BE28,$A$43)+COUNTIF(BE19:BE28,$A$44)+COUNTIF(BE19:BE28,$A$46)+COUNTIF(BE19:BE28,$A$47)+COUNTIF(BE19:BE28,$A$48)+COUNTIF(BE19:BE28,$A$49)+COUNTIF(BE19:BE28,$A$56)+COUNTIF(BE19:BE28,$A$57)+COUNTIF(BE19:BE28,$A$58)+COUNTIF(BE19:BE28,$A$59)+COUNTIF(BE19:BE28,$A$60)+COUNTIF(BE19:BE28,$A$61)+COUNTIF(BE19:BE28,$A$62)+COUNTIF(BE19:BE28,$A$65)</f>
        <v>7</v>
      </c>
      <c r="BF6" s="230" t="str">
        <f>if((countifs(BE$7:BE$11,$A$41,BF$7:BF$11,$A$37)+countifs(BE$7:BE$11,$A$41,BF$7:BF$11,$A$38)+countifs(BE$7:BE$11,$A$41,BF$7:BF$11,$A$39)+countifs(BE$7:BE$11,$A$42,BF$7:BF$11,$A$37)+countifs(BE$7:BE$11,$A$42,BF$7:BF$11,$A$38)+countifs(BE$7:BE$11,$A$42,BF$7:BF$11,$A$39))&gt;=3,"Đủ",if((countifs(BE$7:BE$11,$A$41,BF$7:BF$11,$A$37)+countifs(BE$7:BE$11,$A$41,BF$7:BF$11,#REF!)+countifs(BE$7:BE$11,$A$42,BF$7:BF$11,#REF!)+countifs(BE$7:BE$11,$A$42,BF$7:BF$11,$A$37))&gt;=2,"Đủ","Thiếu"))</f>
        <v>Thiếu</v>
      </c>
      <c r="BG6" s="229">
        <f>COUNTIF(BG7:BG17,$A$41)+COUNTIF(BG7:BG17,$A$42)+COUNTIF(BG7:BG17,$A$43)+COUNTIF(BG7:BG17,$A$44)+COUNTIF(BG7:BG17,$A$46)+COUNTIF(BG7:BG17,$A$47)+COUNTIF(BG7:BG17,$A$48)+COUNTIF(BG7:BG17,$A$49)+COUNTIF(BG7:BG17,$A$56)+COUNTIF(BG7:BG17,$A$57)+COUNTIF(BG7:BG17,$A$58)+COUNTIF(BG7:BG17,$A$59)+COUNTIF(BG7:BG17,$A$60)+COUNTIF(BG7:BG17,$A$61)+COUNTIF(BG7:BG17,$A$62)+COUNTIF(BG7:BG17,$A$65)+COUNTIF(BG19:BG28,$A$41)+COUNTIF(BG19:BG28,$A$42)+COUNTIF(BG19:BG28,$A$43)+COUNTIF(BG19:BG28,$A$44)+COUNTIF(BG19:BG28,$A$46)+COUNTIF(BG19:BG28,$A$47)+COUNTIF(BG19:BG28,$A$48)+COUNTIF(BG19:BG28,$A$49)+COUNTIF(BG19:BG28,$A$56)+COUNTIF(BG19:BG28,$A$57)+COUNTIF(BG19:BG28,$A$58)+COUNTIF(BG19:BG28,$A$59)+COUNTIF(BG19:BG28,$A$60)+COUNTIF(BG19:BG28,$A$61)+COUNTIF(BG19:BG28,$A$62)+COUNTIF(BG19:BG28,$A$65)</f>
        <v>6</v>
      </c>
      <c r="BH6" s="230" t="str">
        <f>if((countifs(BG$7:BG$11,$A$41,BH$7:BH$11,$A$37)+countifs(BG$7:BG$11,$A$41,BH$7:BH$11,$A$38)+countifs(BG$7:BG$11,$A$41,BH$7:BH$11,$A$39)+countifs(BG$7:BG$11,$A$42,BH$7:BH$11,$A$37)+countifs(BG$7:BG$11,$A$42,BH$7:BH$11,$A$38)+countifs(BG$7:BG$11,$A$42,BH$7:BH$11,$A$39))&gt;=3,"Đủ",if((countifs(BG$7:BG$11,$A$41,BH$7:BH$11,$A$37)+countifs(BG$7:BG$11,$A$41,BH$7:BH$11,#REF!)+countifs(BG$7:BG$11,$A$42,BH$7:BH$11,#REF!)+countifs(BG$7:BG$11,$A$42,BH$7:BH$11,$A$37))&gt;=2,"Đủ","Thiếu"))</f>
        <v>Thiếu</v>
      </c>
      <c r="BI6" s="229">
        <f>COUNTIF(BI7:BI17,$A$41)+COUNTIF(BI7:BI17,$A$42)+COUNTIF(BI7:BI17,$A$43)+COUNTIF(BI7:BI17,$A$44)+COUNTIF(BI7:BI17,$A$46)+COUNTIF(BI7:BI17,$A$47)+COUNTIF(BI7:BI17,$A$48)+COUNTIF(BI7:BI17,$A$49)+COUNTIF(BI7:BI17,$A$56)+COUNTIF(BI7:BI17,$A$57)+COUNTIF(BI7:BI17,$A$58)+COUNTIF(BI7:BI17,$A$59)+COUNTIF(BI7:BI17,$A$60)+COUNTIF(BI7:BI17,$A$61)+COUNTIF(BI7:BI17,$A$62)+COUNTIF(BI7:BI17,$A$65)+COUNTIF(BI19:BI28,$A$41)+COUNTIF(BI19:BI28,$A$42)+COUNTIF(BI19:BI28,$A$43)+COUNTIF(BI19:BI28,$A$44)+COUNTIF(BI19:BI28,$A$46)+COUNTIF(BI19:BI28,$A$47)+COUNTIF(BI19:BI28,$A$48)+COUNTIF(BI19:BI28,$A$49)+COUNTIF(BI19:BI28,$A$56)+COUNTIF(BI19:BI28,$A$57)+COUNTIF(BI19:BI28,$A$58)+COUNTIF(BI19:BI28,$A$59)+COUNTIF(BI19:BI28,$A$60)+COUNTIF(BI19:BI28,$A$61)+COUNTIF(BI19:BI28,$A$62)+COUNTIF(BI19:BI28,$A$65)</f>
        <v>8</v>
      </c>
      <c r="BJ6" s="230" t="str">
        <f>if((countifs(BI$7:BI$11,$A$41,BJ$7:BJ$11,$A$37)+countifs(BI$7:BI$11,$A$41,BJ$7:BJ$11,$A$38)+countifs(BI$7:BI$11,$A$41,BJ$7:BJ$11,$A$39)+countifs(BI$7:BI$11,$A$42,BJ$7:BJ$11,$A$37)+countifs(BI$7:BI$11,$A$42,BJ$7:BJ$11,$A$38)+countifs(BI$7:BI$11,$A$42,BJ$7:BJ$11,$A$39))&gt;=3,"Đủ",if((countifs(BI$7:BI$11,$A$41,BJ$7:BJ$11,$A$37)+countifs(BI$7:BI$11,$A$41,BJ$7:BJ$11,#REF!)+countifs(BI$7:BI$11,$A$42,BJ$7:BJ$11,#REF!)+countifs(BI$7:BI$11,$A$42,BJ$7:BJ$11,$A$37))&gt;=2,"Đủ","Thiếu"))</f>
        <v>Thiếu</v>
      </c>
      <c r="BK6" s="229">
        <f>COUNTIF(BK7:BK17,$A$41)+COUNTIF(BK7:BK17,$A$42)+COUNTIF(BK7:BK17,$A$43)+COUNTIF(BK7:BK17,$A$44)+COUNTIF(BK7:BK17,$A$46)+COUNTIF(BK7:BK17,$A$47)+COUNTIF(BK7:BK17,$A$48)+COUNTIF(BK7:BK17,$A$49)+COUNTIF(BK7:BK17,$A$56)+COUNTIF(BK7:BK17,$A$57)+COUNTIF(BK7:BK17,$A$58)+COUNTIF(BK7:BK17,$A$59)+COUNTIF(BK7:BK17,$A$60)+COUNTIF(BK7:BK17,$A$61)+COUNTIF(BK7:BK17,$A$62)+COUNTIF(BK7:BK17,$A$65)+COUNTIF(BK19:BK28,$A$41)+COUNTIF(BK19:BK28,$A$42)+COUNTIF(BK19:BK28,$A$43)+COUNTIF(BK19:BK28,$A$44)+COUNTIF(BK19:BK28,$A$46)+COUNTIF(BK19:BK28,$A$47)+COUNTIF(BK19:BK28,$A$48)+COUNTIF(BK19:BK28,$A$49)+COUNTIF(BK19:BK28,$A$56)+COUNTIF(BK19:BK28,$A$57)+COUNTIF(BK19:BK28,$A$58)+COUNTIF(BK19:BK28,$A$59)+COUNTIF(BK19:BK28,$A$60)+COUNTIF(BK19:BK28,$A$61)+COUNTIF(BK19:BK28,$A$62)+COUNTIF(BK19:BK28,$A$65)</f>
        <v>8</v>
      </c>
      <c r="BL6" s="230" t="str">
        <f>if((countifs(BK$7:BK$11,$A$41,BL$7:BL$11,$A$37)+countifs(BK$7:BK$11,$A$41,BL$7:BL$11,$A$38)+countifs(BK$7:BK$11,$A$41,BL$7:BL$11,$A$39)+countifs(BK$7:BK$11,$A$42,BL$7:BL$11,$A$37)+countifs(BK$7:BK$11,$A$42,BL$7:BL$11,$A$38)+countifs(BK$7:BK$11,$A$42,BL$7:BL$11,$A$39))&gt;=3,"Đủ",if((countifs(BK$7:BK$11,$A$41,BL$7:BL$11,$A$37)+countifs(BK$7:BK$11,$A$41,BL$7:BL$11,#REF!)+countifs(BK$7:BK$11,$A$42,BL$7:BL$11,#REF!)+countifs(BK$7:BK$11,$A$42,BL$7:BL$11,$A$37))&gt;=2,"Đủ","Thiếu"))</f>
        <v>Thiếu</v>
      </c>
      <c r="BM6" s="229">
        <f>COUNTIF(BM7:BM17,$A$41)+COUNTIF(BM7:BM17,$A$42)+COUNTIF(BM7:BM17,$A$43)+COUNTIF(BM7:BM17,$A$44)+COUNTIF(BM7:BM17,$A$46)+COUNTIF(BM7:BM17,$A$47)+COUNTIF(BM7:BM17,$A$48)+COUNTIF(BM7:BM17,$A$49)+COUNTIF(BM7:BM17,$A$56)+COUNTIF(BM7:BM17,$A$57)+COUNTIF(BM7:BM17,$A$58)+COUNTIF(BM7:BM17,$A$59)+COUNTIF(BM7:BM17,$A$60)+COUNTIF(BM7:BM17,$A$61)+COUNTIF(BM7:BM17,$A$62)+COUNTIF(BM7:BM17,$A$65)+COUNTIF(BM19:BM28,$A$41)+COUNTIF(BM19:BM28,$A$42)+COUNTIF(BM19:BM28,$A$43)+COUNTIF(BM19:BM28,$A$44)+COUNTIF(BM19:BM28,$A$46)+COUNTIF(BM19:BM28,$A$47)+COUNTIF(BM19:BM28,$A$48)+COUNTIF(BM19:BM28,$A$49)+COUNTIF(BM19:BM28,$A$56)+COUNTIF(BM19:BM28,$A$57)+COUNTIF(BM19:BM28,$A$58)+COUNTIF(BM19:BM28,$A$59)+COUNTIF(BM19:BM28,$A$60)+COUNTIF(BM19:BM28,$A$61)+COUNTIF(BM19:BM28,$A$62)+COUNTIF(BM19:BM28,$A$65)</f>
        <v>10</v>
      </c>
      <c r="BN6" s="230" t="str">
        <f>if((countifs(BM$7:BM$11,$A$41,BN$7:BN$11,$A$37)+countifs(BM$7:BM$11,$A$41,BN$7:BN$11,$A$38)+countifs(BM$7:BM$11,$A$41,BN$7:BN$11,$A$39)+countifs(BM$7:BM$11,$A$42,BN$7:BN$11,$A$37)+countifs(BM$7:BM$11,$A$42,BN$7:BN$11,$A$38)+countifs(BM$7:BM$11,$A$42,BN$7:BN$11,$A$39))&gt;=3,"Đủ",if((countifs(BM$7:BM$11,$A$41,BN$7:BN$11,$A$37)+countifs(BM$7:BM$11,$A$41,BN$7:BN$11,#REF!)+countifs(BM$7:BM$11,$A$42,BN$7:BN$11,#REF!)+countifs(BM$7:BM$11,$A$42,BN$7:BN$11,$A$37))&gt;=2,"Đủ","Thiếu"))</f>
        <v>Thiếu</v>
      </c>
      <c r="BO6" s="229">
        <f>COUNTIF(BO7:BO17,$A$41)+COUNTIF(BO7:BO17,$A$42)+COUNTIF(BO7:BO17,$A$43)+COUNTIF(BO7:BO17,$A$44)+COUNTIF(BO7:BO17,$A$46)+COUNTIF(BO7:BO17,$A$47)+COUNTIF(BO7:BO17,$A$48)+COUNTIF(BO7:BO17,$A$49)+COUNTIF(BO7:BO17,$A$56)+COUNTIF(BO7:BO17,$A$57)+COUNTIF(BO7:BO17,$A$58)+COUNTIF(BO7:BO17,$A$59)+COUNTIF(BO7:BO17,$A$60)+COUNTIF(BO7:BO17,$A$61)+COUNTIF(BO7:BO17,$A$62)+COUNTIF(BO7:BO17,$A$65)+COUNTIF(BO19:BO28,$A$41)+COUNTIF(BO19:BO28,$A$42)+COUNTIF(BO19:BO28,$A$43)+COUNTIF(BO19:BO28,$A$44)+COUNTIF(BO19:BO28,$A$46)+COUNTIF(BO19:BO28,$A$47)+COUNTIF(BO19:BO28,$A$48)+COUNTIF(BO19:BO28,$A$49)+COUNTIF(BO19:BO28,$A$56)+COUNTIF(BO19:BO28,$A$57)+COUNTIF(BO19:BO28,$A$58)+COUNTIF(BO19:BO28,$A$59)+COUNTIF(BO19:BO28,$A$60)+COUNTIF(BO19:BO28,$A$61)+COUNTIF(BO19:BO28,$A$62)+COUNTIF(BO19:BO28,$A$65)</f>
        <v>9</v>
      </c>
      <c r="BP6" s="230" t="str">
        <f>if((countifs(BO$7:BO$11,$A$41,BP$7:BP$11,$A$37)+countifs(BO$7:BO$11,$A$41,BP$7:BP$11,$A$38)+countifs(BO$7:BO$11,$A$41,BP$7:BP$11,$A$39)+countifs(BO$7:BO$11,$A$42,BP$7:BP$11,$A$37)+countifs(BO$7:BO$11,$A$42,BP$7:BP$11,$A$38)+countifs(BO$7:BO$11,$A$42,BP$7:BP$11,$A$39))&gt;=3,"Đủ",if((countifs(BO$7:BO$11,$A$41,BP$7:BP$11,$A$37)+countifs(BO$7:BO$11,$A$41,BP$7:BP$11,#REF!)+countifs(BO$7:BO$11,$A$42,BP$7:BP$11,#REF!)+countifs(BO$7:BO$11,$A$42,BP$7:BP$11,$A$37))&gt;=2,"Đủ","Thiếu"))</f>
        <v>Thiếu</v>
      </c>
      <c r="BQ6" s="230">
        <f>COUNTIF(BQ7:BQ17,$A$41)+COUNTIF(BQ7:BQ17,$A$42)+COUNTIF(BQ7:BQ17,$A$43)+COUNTIF(BQ7:BQ17,$A$44)+COUNTIF(BQ7:BQ17,$A$46)+COUNTIF(BQ7:BQ17,$A$47)+COUNTIF(BQ7:BQ17,$A$48)+COUNTIF(BQ7:BQ17,$A$49)+COUNTIF(BQ7:BQ17,$A$56)+COUNTIF(BQ7:BQ11,$A$57)+COUNTIF(BQ7:BQ11,$A$58)+COUNTIF(BQ7:BQ11,$A$59)+COUNTIF(BQ7:BQ11,$A$60)+COUNTIF(BQ7:BQ11,$A$61)+COUNTIF(BQ7:BQ11,$A$62)+COUNTIF(BQ7:BQ11,$A$65)+COUNTIF(BQ19:BQ28,$A$41)+COUNTIF(BQ19:BQ28,$A$42)+COUNTIF(BQ19:BQ28,$A$43)+COUNTIF(BQ19:BQ28,$A$44)+COUNTIF(BQ19:BQ28,$A$46)+COUNTIF(BQ19:BQ28,$A$47)+COUNTIF(BQ19:BQ28,$A$48)+COUNTIF(BQ19:BQ28,$A$49)+COUNTIF(BQ19:BQ28,$A$56)+COUNTIF(BQ19:BQ28,$A$57)+COUNTIF(BQ19:BQ28,$A$58)+COUNTIF(BQ19:BQ28,$A$59)+COUNTIF(BQ19:BQ28,$A$60)+COUNTIF(BQ19:BQ28,$A$61)+COUNTIF(BQ19:BQ28,$A$62)+COUNTIF(BQ19:BQ28,$A$65)+COUNTIF(BQ19:BQ28,$A$45)</f>
        <v>8</v>
      </c>
      <c r="BR6" s="230" t="str">
        <f>if((countifs(BQ$7:BQ$19,$A$41,BR$7:BR$19,$A$37)+countifs(BQ$7:BQ$19,$A$41,BR$7:BR$19,$A$38)+countifs(BQ$7:BQ$19,$A$41,BR$7:BR$19,$A$39)+countifs(BQ$7:BQ$19,$A$42,BR$7:BR$19,$A$37)+countifs(BQ$7:BQ$19,$A$42,BR$7:BR$19,$A$38)+countifs(BQ$7:BQ$19,$A$42,BR$7:BR$19,$A$39))&gt;=3,"Đủ",if((countifs(BQ$7:BQ$19,$A$41,BR$7:BR$19,$A$37)+countifs(BQ$7:BQ$19,$A$41,BR$7:BR$19,#REF!)+countifs(BQ$7:BQ$19,$A$42,BR$7:BR$19,#REF!)+countifs(BQ$7:BQ$19,$A$42,BR$7:BR$19,$A$37))&gt;=2,"Đủ","Thiếu"))</f>
        <v>Thiếu</v>
      </c>
      <c r="BS6" s="231">
        <f t="shared" ref="BS6:BV6" si="1">SUM(BS7:BS12)</f>
        <v>142.5</v>
      </c>
      <c r="BT6" s="231">
        <f t="shared" si="1"/>
        <v>1140</v>
      </c>
      <c r="BU6" s="231">
        <f t="shared" si="1"/>
        <v>68</v>
      </c>
      <c r="BV6" s="232">
        <f t="shared" si="1"/>
        <v>50</v>
      </c>
      <c r="BW6" s="233"/>
      <c r="BX6" s="234"/>
      <c r="BY6" s="235" t="s">
        <v>18</v>
      </c>
      <c r="BZ6" s="235" t="s">
        <v>19</v>
      </c>
      <c r="CA6" s="235" t="s">
        <v>20</v>
      </c>
      <c r="CB6" s="235" t="s">
        <v>21</v>
      </c>
      <c r="CC6" s="235" t="s">
        <v>22</v>
      </c>
      <c r="CD6" s="235" t="s">
        <v>23</v>
      </c>
      <c r="CE6" s="235" t="s">
        <v>24</v>
      </c>
      <c r="CF6" s="235" t="s">
        <v>25</v>
      </c>
      <c r="CG6" s="235" t="s">
        <v>26</v>
      </c>
      <c r="CH6" s="235" t="s">
        <v>27</v>
      </c>
      <c r="CI6" s="235" t="s">
        <v>28</v>
      </c>
      <c r="CJ6" s="235" t="s">
        <v>29</v>
      </c>
      <c r="CK6" s="235" t="s">
        <v>30</v>
      </c>
      <c r="CL6" s="235" t="s">
        <v>31</v>
      </c>
      <c r="CM6" s="235" t="s">
        <v>32</v>
      </c>
      <c r="CN6" s="235" t="s">
        <v>33</v>
      </c>
      <c r="CO6" s="235" t="s">
        <v>34</v>
      </c>
      <c r="CP6" s="235" t="s">
        <v>35</v>
      </c>
      <c r="CQ6" s="235" t="s">
        <v>36</v>
      </c>
      <c r="CR6" s="235" t="s">
        <v>37</v>
      </c>
      <c r="CS6" s="235" t="s">
        <v>38</v>
      </c>
      <c r="CT6" s="235" t="s">
        <v>39</v>
      </c>
      <c r="CU6" s="235" t="s">
        <v>40</v>
      </c>
      <c r="CV6" s="236" t="s">
        <v>158</v>
      </c>
      <c r="CW6" s="235" t="s">
        <v>42</v>
      </c>
      <c r="CX6" s="36"/>
      <c r="CY6" s="48" t="s">
        <v>159</v>
      </c>
      <c r="CZ6" s="48" t="s">
        <v>160</v>
      </c>
      <c r="DA6" s="48" t="s">
        <v>161</v>
      </c>
      <c r="DB6" s="48" t="s">
        <v>162</v>
      </c>
      <c r="DC6" s="237" t="s">
        <v>163</v>
      </c>
      <c r="DD6" s="7"/>
    </row>
    <row r="7">
      <c r="A7" s="238">
        <f>IF(B7&lt;&gt;"",SUBTOTAL(3,$B$7:B7),"")</f>
        <v>1</v>
      </c>
      <c r="B7" s="239" t="s">
        <v>164</v>
      </c>
      <c r="C7" s="240">
        <v>3.38411795E8</v>
      </c>
      <c r="D7" s="241">
        <v>102.0</v>
      </c>
      <c r="E7" s="76" t="s">
        <v>33</v>
      </c>
      <c r="F7" s="242"/>
      <c r="G7" s="75" t="s">
        <v>19</v>
      </c>
      <c r="H7" s="243"/>
      <c r="I7" s="75" t="s">
        <v>32</v>
      </c>
      <c r="J7" s="243"/>
      <c r="K7" s="241">
        <v>102.0</v>
      </c>
      <c r="L7" s="75" t="s">
        <v>19</v>
      </c>
      <c r="M7" s="243" t="s">
        <v>161</v>
      </c>
      <c r="N7" s="75" t="s">
        <v>19</v>
      </c>
      <c r="O7" s="243" t="s">
        <v>161</v>
      </c>
      <c r="P7" s="73" t="s">
        <v>30</v>
      </c>
      <c r="Q7" s="243"/>
      <c r="R7" s="73" t="s">
        <v>24</v>
      </c>
      <c r="S7" s="243"/>
      <c r="T7" s="75" t="s">
        <v>33</v>
      </c>
      <c r="U7" s="244"/>
      <c r="V7" s="75" t="s">
        <v>19</v>
      </c>
      <c r="W7" s="243"/>
      <c r="X7" s="75" t="s">
        <v>42</v>
      </c>
      <c r="Y7" s="243"/>
      <c r="Z7" s="241">
        <v>102.0</v>
      </c>
      <c r="AA7" s="75" t="s">
        <v>42</v>
      </c>
      <c r="AB7" s="243"/>
      <c r="AC7" s="75" t="s">
        <v>30</v>
      </c>
      <c r="AD7" s="243"/>
      <c r="AE7" s="73" t="s">
        <v>19</v>
      </c>
      <c r="AF7" s="243" t="s">
        <v>160</v>
      </c>
      <c r="AG7" s="73" t="s">
        <v>30</v>
      </c>
      <c r="AH7" s="243"/>
      <c r="AI7" s="75" t="s">
        <v>19</v>
      </c>
      <c r="AJ7" s="244" t="s">
        <v>54</v>
      </c>
      <c r="AK7" s="75" t="s">
        <v>19</v>
      </c>
      <c r="AL7" s="243" t="s">
        <v>160</v>
      </c>
      <c r="AM7" s="75" t="s">
        <v>33</v>
      </c>
      <c r="AN7" s="243"/>
      <c r="AO7" s="241">
        <v>102.0</v>
      </c>
      <c r="AP7" s="75" t="s">
        <v>19</v>
      </c>
      <c r="AQ7" s="243" t="s">
        <v>160</v>
      </c>
      <c r="AR7" s="75" t="s">
        <v>19</v>
      </c>
      <c r="AS7" s="243" t="s">
        <v>160</v>
      </c>
      <c r="AT7" s="73" t="s">
        <v>42</v>
      </c>
      <c r="AU7" s="243"/>
      <c r="AV7" s="73" t="s">
        <v>19</v>
      </c>
      <c r="AW7" s="243" t="s">
        <v>159</v>
      </c>
      <c r="AX7" s="75" t="s">
        <v>25</v>
      </c>
      <c r="AY7" s="244"/>
      <c r="AZ7" s="75" t="s">
        <v>32</v>
      </c>
      <c r="BA7" s="243"/>
      <c r="BB7" s="75" t="s">
        <v>19</v>
      </c>
      <c r="BC7" s="87" t="s">
        <v>161</v>
      </c>
      <c r="BD7" s="241">
        <v>102.0</v>
      </c>
      <c r="BE7" s="75" t="s">
        <v>19</v>
      </c>
      <c r="BF7" s="243"/>
      <c r="BG7" s="75" t="s">
        <v>42</v>
      </c>
      <c r="BH7" s="243"/>
      <c r="BI7" s="73" t="s">
        <v>24</v>
      </c>
      <c r="BJ7" s="243" t="s">
        <v>163</v>
      </c>
      <c r="BK7" s="73" t="s">
        <v>19</v>
      </c>
      <c r="BL7" s="243" t="s">
        <v>161</v>
      </c>
      <c r="BM7" s="75" t="s">
        <v>20</v>
      </c>
      <c r="BN7" s="244"/>
      <c r="BO7" s="75" t="s">
        <v>32</v>
      </c>
      <c r="BP7" s="243"/>
      <c r="BQ7" s="75" t="s">
        <v>19</v>
      </c>
      <c r="BR7" s="243"/>
      <c r="BS7" s="245">
        <f t="shared" ref="BS7:BS17" si="4">BT7/8</f>
        <v>27.125</v>
      </c>
      <c r="BT7" s="246">
        <f t="shared" ref="BT7:BT17" si="5">sumproduct(BY7:CW7,$BY$5:$CW$5)-BU7</f>
        <v>217</v>
      </c>
      <c r="BU7" s="247">
        <f t="shared" ref="BU7:BU17" si="6">sumproduct(CM7:CR7,$CM$30:$CR$30)</f>
        <v>24</v>
      </c>
      <c r="BV7" s="228">
        <f t="shared" ref="BV7:BV17" si="7">+COUNTIF(E7:BR7,"VT")+COUNTIF(E7:BR7,"PT")+COUNTIF(E7:BR7,"YB")+COUNTIF(E7:BR7,"PTYB")*2</f>
        <v>9</v>
      </c>
      <c r="BW7" s="248"/>
      <c r="BX7" s="249"/>
      <c r="BY7" s="250">
        <f t="shared" ref="BY7:CW7" si="2">COUNTIF($E7:$BR7,BY$6)</f>
        <v>0</v>
      </c>
      <c r="BZ7" s="250">
        <f t="shared" si="2"/>
        <v>14</v>
      </c>
      <c r="CA7" s="250">
        <f t="shared" si="2"/>
        <v>1</v>
      </c>
      <c r="CB7" s="250">
        <f t="shared" si="2"/>
        <v>0</v>
      </c>
      <c r="CC7" s="250">
        <f t="shared" si="2"/>
        <v>0</v>
      </c>
      <c r="CD7" s="250">
        <f t="shared" si="2"/>
        <v>0</v>
      </c>
      <c r="CE7" s="250">
        <f t="shared" si="2"/>
        <v>2</v>
      </c>
      <c r="CF7" s="250">
        <f t="shared" si="2"/>
        <v>1</v>
      </c>
      <c r="CG7" s="250">
        <f t="shared" si="2"/>
        <v>0</v>
      </c>
      <c r="CH7" s="250">
        <f t="shared" si="2"/>
        <v>0</v>
      </c>
      <c r="CI7" s="250">
        <f t="shared" si="2"/>
        <v>0</v>
      </c>
      <c r="CJ7" s="250">
        <f t="shared" si="2"/>
        <v>0</v>
      </c>
      <c r="CK7" s="250">
        <f t="shared" si="2"/>
        <v>3</v>
      </c>
      <c r="CL7" s="250">
        <f t="shared" si="2"/>
        <v>0</v>
      </c>
      <c r="CM7" s="250">
        <f t="shared" si="2"/>
        <v>3</v>
      </c>
      <c r="CN7" s="250">
        <f t="shared" si="2"/>
        <v>3</v>
      </c>
      <c r="CO7" s="250">
        <f t="shared" si="2"/>
        <v>0</v>
      </c>
      <c r="CP7" s="250">
        <f t="shared" si="2"/>
        <v>0</v>
      </c>
      <c r="CQ7" s="250">
        <f t="shared" si="2"/>
        <v>0</v>
      </c>
      <c r="CR7" s="250">
        <f t="shared" si="2"/>
        <v>0</v>
      </c>
      <c r="CS7" s="250">
        <f t="shared" si="2"/>
        <v>0</v>
      </c>
      <c r="CT7" s="250">
        <f t="shared" si="2"/>
        <v>0</v>
      </c>
      <c r="CU7" s="250">
        <f t="shared" si="2"/>
        <v>0</v>
      </c>
      <c r="CV7" s="250">
        <f t="shared" si="2"/>
        <v>0</v>
      </c>
      <c r="CW7" s="250">
        <f t="shared" si="2"/>
        <v>4</v>
      </c>
      <c r="CX7" s="251"/>
      <c r="CY7" s="67">
        <f t="shared" ref="CY7:DC7" si="3">COUNTIF($E7:$BR7,CY$6)</f>
        <v>1</v>
      </c>
      <c r="CZ7" s="67">
        <f t="shared" si="3"/>
        <v>4</v>
      </c>
      <c r="DA7" s="67">
        <f t="shared" si="3"/>
        <v>4</v>
      </c>
      <c r="DB7" s="67">
        <f t="shared" si="3"/>
        <v>0</v>
      </c>
      <c r="DC7" s="67">
        <f t="shared" si="3"/>
        <v>2</v>
      </c>
      <c r="DD7" s="114">
        <f t="shared" ref="DD7:DD11" si="10">SUM(CY7:DB7)</f>
        <v>9</v>
      </c>
    </row>
    <row r="8">
      <c r="A8" s="252">
        <v>2.0</v>
      </c>
      <c r="B8" s="239" t="s">
        <v>165</v>
      </c>
      <c r="C8" s="240">
        <v>9.67163877E8</v>
      </c>
      <c r="D8" s="241">
        <v>107.0</v>
      </c>
      <c r="E8" s="253" t="s">
        <v>32</v>
      </c>
      <c r="F8" s="242"/>
      <c r="G8" s="75" t="s">
        <v>20</v>
      </c>
      <c r="H8" s="243" t="s">
        <v>159</v>
      </c>
      <c r="I8" s="75" t="s">
        <v>19</v>
      </c>
      <c r="J8" s="243" t="s">
        <v>161</v>
      </c>
      <c r="K8" s="241">
        <v>107.0</v>
      </c>
      <c r="L8" s="75" t="s">
        <v>19</v>
      </c>
      <c r="M8" s="243"/>
      <c r="N8" s="79" t="s">
        <v>42</v>
      </c>
      <c r="O8" s="243"/>
      <c r="P8" s="73" t="s">
        <v>42</v>
      </c>
      <c r="Q8" s="243"/>
      <c r="R8" s="73" t="s">
        <v>19</v>
      </c>
      <c r="S8" s="243" t="s">
        <v>163</v>
      </c>
      <c r="T8" s="75" t="s">
        <v>30</v>
      </c>
      <c r="U8" s="244"/>
      <c r="V8" s="75" t="s">
        <v>19</v>
      </c>
      <c r="W8" s="243" t="s">
        <v>161</v>
      </c>
      <c r="X8" s="75" t="s">
        <v>20</v>
      </c>
      <c r="Y8" s="243" t="s">
        <v>161</v>
      </c>
      <c r="Z8" s="241">
        <v>107.0</v>
      </c>
      <c r="AA8" s="75" t="s">
        <v>19</v>
      </c>
      <c r="AB8" s="243"/>
      <c r="AC8" s="75" t="s">
        <v>19</v>
      </c>
      <c r="AD8" s="243"/>
      <c r="AE8" s="73" t="s">
        <v>19</v>
      </c>
      <c r="AF8" s="243"/>
      <c r="AG8" s="73" t="s">
        <v>19</v>
      </c>
      <c r="AH8" s="243"/>
      <c r="AI8" s="75" t="s">
        <v>28</v>
      </c>
      <c r="AJ8" s="244"/>
      <c r="AK8" s="75" t="s">
        <v>20</v>
      </c>
      <c r="AL8" s="243"/>
      <c r="AM8" s="75" t="s">
        <v>19</v>
      </c>
      <c r="AN8" s="243"/>
      <c r="AO8" s="241">
        <v>107.0</v>
      </c>
      <c r="AP8" s="75" t="s">
        <v>19</v>
      </c>
      <c r="AQ8" s="243" t="s">
        <v>161</v>
      </c>
      <c r="AR8" s="75" t="s">
        <v>19</v>
      </c>
      <c r="AS8" s="243" t="s">
        <v>163</v>
      </c>
      <c r="AT8" s="73" t="s">
        <v>42</v>
      </c>
      <c r="AU8" s="243"/>
      <c r="AV8" s="73" t="s">
        <v>24</v>
      </c>
      <c r="AW8" s="243"/>
      <c r="AX8" s="75" t="s">
        <v>33</v>
      </c>
      <c r="AY8" s="244"/>
      <c r="AZ8" s="75" t="s">
        <v>19</v>
      </c>
      <c r="BA8" s="243" t="s">
        <v>159</v>
      </c>
      <c r="BB8" s="75" t="s">
        <v>18</v>
      </c>
      <c r="BC8" s="87" t="s">
        <v>159</v>
      </c>
      <c r="BD8" s="241">
        <v>107.0</v>
      </c>
      <c r="BE8" s="75" t="s">
        <v>19</v>
      </c>
      <c r="BF8" s="243" t="s">
        <v>161</v>
      </c>
      <c r="BG8" s="75" t="s">
        <v>24</v>
      </c>
      <c r="BH8" s="243"/>
      <c r="BI8" s="73" t="s">
        <v>42</v>
      </c>
      <c r="BJ8" s="243"/>
      <c r="BK8" s="73" t="s">
        <v>19</v>
      </c>
      <c r="BL8" s="243"/>
      <c r="BM8" s="79" t="s">
        <v>22</v>
      </c>
      <c r="BN8" s="244" t="s">
        <v>54</v>
      </c>
      <c r="BO8" s="75" t="s">
        <v>19</v>
      </c>
      <c r="BP8" s="243"/>
      <c r="BQ8" s="75" t="s">
        <v>19</v>
      </c>
      <c r="BR8" s="243" t="s">
        <v>160</v>
      </c>
      <c r="BS8" s="245">
        <f t="shared" si="4"/>
        <v>27.125</v>
      </c>
      <c r="BT8" s="246">
        <f t="shared" si="5"/>
        <v>217</v>
      </c>
      <c r="BU8" s="247">
        <f t="shared" si="6"/>
        <v>8</v>
      </c>
      <c r="BV8" s="228">
        <f t="shared" si="7"/>
        <v>9</v>
      </c>
      <c r="BW8" s="248"/>
      <c r="BX8" s="249"/>
      <c r="BY8" s="250">
        <f t="shared" ref="BY8:CW8" si="8">COUNTIF($E8:$BR8,BY$6)</f>
        <v>1</v>
      </c>
      <c r="BZ8" s="250">
        <f t="shared" si="8"/>
        <v>16</v>
      </c>
      <c r="CA8" s="250">
        <f t="shared" si="8"/>
        <v>3</v>
      </c>
      <c r="CB8" s="250">
        <f t="shared" si="8"/>
        <v>0</v>
      </c>
      <c r="CC8" s="250">
        <f t="shared" si="8"/>
        <v>1</v>
      </c>
      <c r="CD8" s="250">
        <f t="shared" si="8"/>
        <v>0</v>
      </c>
      <c r="CE8" s="250">
        <f t="shared" si="8"/>
        <v>2</v>
      </c>
      <c r="CF8" s="250">
        <f t="shared" si="8"/>
        <v>0</v>
      </c>
      <c r="CG8" s="250">
        <f t="shared" si="8"/>
        <v>0</v>
      </c>
      <c r="CH8" s="250">
        <f t="shared" si="8"/>
        <v>0</v>
      </c>
      <c r="CI8" s="250">
        <f t="shared" si="8"/>
        <v>1</v>
      </c>
      <c r="CJ8" s="250">
        <f t="shared" si="8"/>
        <v>0</v>
      </c>
      <c r="CK8" s="250">
        <f t="shared" si="8"/>
        <v>1</v>
      </c>
      <c r="CL8" s="250">
        <f t="shared" si="8"/>
        <v>0</v>
      </c>
      <c r="CM8" s="250">
        <f t="shared" si="8"/>
        <v>1</v>
      </c>
      <c r="CN8" s="250">
        <f t="shared" si="8"/>
        <v>1</v>
      </c>
      <c r="CO8" s="250">
        <f t="shared" si="8"/>
        <v>0</v>
      </c>
      <c r="CP8" s="250">
        <f t="shared" si="8"/>
        <v>0</v>
      </c>
      <c r="CQ8" s="250">
        <f t="shared" si="8"/>
        <v>0</v>
      </c>
      <c r="CR8" s="250">
        <f t="shared" si="8"/>
        <v>0</v>
      </c>
      <c r="CS8" s="250">
        <f t="shared" si="8"/>
        <v>0</v>
      </c>
      <c r="CT8" s="250">
        <f t="shared" si="8"/>
        <v>0</v>
      </c>
      <c r="CU8" s="250">
        <f t="shared" si="8"/>
        <v>0</v>
      </c>
      <c r="CV8" s="250">
        <f t="shared" si="8"/>
        <v>0</v>
      </c>
      <c r="CW8" s="250">
        <f t="shared" si="8"/>
        <v>4</v>
      </c>
      <c r="CX8" s="68"/>
      <c r="CY8" s="67">
        <f t="shared" ref="CY8:DC8" si="9">COUNTIF($E8:$BR8,CY$6)</f>
        <v>3</v>
      </c>
      <c r="CZ8" s="67">
        <f t="shared" si="9"/>
        <v>1</v>
      </c>
      <c r="DA8" s="67">
        <f t="shared" si="9"/>
        <v>5</v>
      </c>
      <c r="DB8" s="67">
        <f t="shared" si="9"/>
        <v>0</v>
      </c>
      <c r="DC8" s="67">
        <f t="shared" si="9"/>
        <v>3</v>
      </c>
      <c r="DD8" s="114">
        <f t="shared" si="10"/>
        <v>9</v>
      </c>
    </row>
    <row r="9">
      <c r="A9" s="252">
        <v>3.0</v>
      </c>
      <c r="B9" s="239" t="s">
        <v>166</v>
      </c>
      <c r="C9" s="240">
        <v>3.26307019E8</v>
      </c>
      <c r="D9" s="241">
        <v>113.0</v>
      </c>
      <c r="E9" s="253" t="s">
        <v>18</v>
      </c>
      <c r="F9" s="242"/>
      <c r="G9" s="75" t="s">
        <v>18</v>
      </c>
      <c r="H9" s="243" t="s">
        <v>160</v>
      </c>
      <c r="I9" s="75" t="s">
        <v>18</v>
      </c>
      <c r="J9" s="243" t="s">
        <v>159</v>
      </c>
      <c r="K9" s="241">
        <v>113.0</v>
      </c>
      <c r="L9" s="75" t="s">
        <v>18</v>
      </c>
      <c r="M9" s="243" t="s">
        <v>159</v>
      </c>
      <c r="N9" s="75" t="s">
        <v>42</v>
      </c>
      <c r="O9" s="243"/>
      <c r="P9" s="73" t="s">
        <v>19</v>
      </c>
      <c r="Q9" s="243" t="s">
        <v>163</v>
      </c>
      <c r="R9" s="73" t="s">
        <v>18</v>
      </c>
      <c r="S9" s="243"/>
      <c r="T9" s="75" t="s">
        <v>19</v>
      </c>
      <c r="U9" s="244"/>
      <c r="V9" s="75" t="s">
        <v>19</v>
      </c>
      <c r="W9" s="243"/>
      <c r="X9" s="75" t="s">
        <v>18</v>
      </c>
      <c r="Y9" s="243" t="s">
        <v>159</v>
      </c>
      <c r="Z9" s="241">
        <v>113.0</v>
      </c>
      <c r="AA9" s="75" t="s">
        <v>19</v>
      </c>
      <c r="AB9" s="243"/>
      <c r="AC9" s="75" t="s">
        <v>42</v>
      </c>
      <c r="AD9" s="243"/>
      <c r="AE9" s="73" t="s">
        <v>18</v>
      </c>
      <c r="AF9" s="243"/>
      <c r="AG9" s="73" t="s">
        <v>19</v>
      </c>
      <c r="AH9" s="243"/>
      <c r="AI9" s="75" t="s">
        <v>18</v>
      </c>
      <c r="AJ9" s="244"/>
      <c r="AK9" s="75" t="s">
        <v>19</v>
      </c>
      <c r="AL9" s="243" t="s">
        <v>163</v>
      </c>
      <c r="AM9" s="75" t="s">
        <v>18</v>
      </c>
      <c r="AN9" s="243" t="s">
        <v>160</v>
      </c>
      <c r="AO9" s="241">
        <v>113.0</v>
      </c>
      <c r="AP9" s="75" t="s">
        <v>18</v>
      </c>
      <c r="AQ9" s="243"/>
      <c r="AR9" s="75" t="s">
        <v>19</v>
      </c>
      <c r="AS9" s="243"/>
      <c r="AT9" s="73" t="s">
        <v>19</v>
      </c>
      <c r="AU9" s="243" t="s">
        <v>163</v>
      </c>
      <c r="AV9" s="73" t="s">
        <v>42</v>
      </c>
      <c r="AW9" s="243"/>
      <c r="AX9" s="75" t="s">
        <v>19</v>
      </c>
      <c r="AY9" s="244"/>
      <c r="AZ9" s="75" t="s">
        <v>19</v>
      </c>
      <c r="BA9" s="243" t="s">
        <v>160</v>
      </c>
      <c r="BB9" s="75" t="s">
        <v>18</v>
      </c>
      <c r="BC9" s="87" t="s">
        <v>160</v>
      </c>
      <c r="BD9" s="241">
        <v>113.0</v>
      </c>
      <c r="BE9" s="75" t="s">
        <v>18</v>
      </c>
      <c r="BF9" s="243" t="s">
        <v>160</v>
      </c>
      <c r="BG9" s="75" t="s">
        <v>42</v>
      </c>
      <c r="BH9" s="243"/>
      <c r="BI9" s="73" t="s">
        <v>19</v>
      </c>
      <c r="BJ9" s="243"/>
      <c r="BK9" s="73" t="s">
        <v>18</v>
      </c>
      <c r="BL9" s="243" t="s">
        <v>163</v>
      </c>
      <c r="BM9" s="75" t="s">
        <v>19</v>
      </c>
      <c r="BN9" s="244" t="s">
        <v>159</v>
      </c>
      <c r="BO9" s="75" t="s">
        <v>19</v>
      </c>
      <c r="BP9" s="243"/>
      <c r="BQ9" s="75" t="s">
        <v>18</v>
      </c>
      <c r="BR9" s="243"/>
      <c r="BS9" s="245">
        <f t="shared" si="4"/>
        <v>27</v>
      </c>
      <c r="BT9" s="246">
        <f t="shared" si="5"/>
        <v>216</v>
      </c>
      <c r="BU9" s="247">
        <f t="shared" si="6"/>
        <v>0</v>
      </c>
      <c r="BV9" s="228">
        <f t="shared" si="7"/>
        <v>9</v>
      </c>
      <c r="BW9" s="248"/>
      <c r="BX9" s="249"/>
      <c r="BY9" s="250">
        <f t="shared" ref="BY9:CW9" si="11">COUNTIF($E9:$BR9,BY$6)</f>
        <v>14</v>
      </c>
      <c r="BZ9" s="250">
        <f t="shared" si="11"/>
        <v>13</v>
      </c>
      <c r="CA9" s="250">
        <f t="shared" si="11"/>
        <v>0</v>
      </c>
      <c r="CB9" s="250">
        <f t="shared" si="11"/>
        <v>0</v>
      </c>
      <c r="CC9" s="250">
        <f t="shared" si="11"/>
        <v>0</v>
      </c>
      <c r="CD9" s="250">
        <f t="shared" si="11"/>
        <v>0</v>
      </c>
      <c r="CE9" s="250">
        <f t="shared" si="11"/>
        <v>0</v>
      </c>
      <c r="CF9" s="250">
        <f t="shared" si="11"/>
        <v>0</v>
      </c>
      <c r="CG9" s="250">
        <f t="shared" si="11"/>
        <v>0</v>
      </c>
      <c r="CH9" s="250">
        <f t="shared" si="11"/>
        <v>0</v>
      </c>
      <c r="CI9" s="250">
        <f t="shared" si="11"/>
        <v>0</v>
      </c>
      <c r="CJ9" s="250">
        <f t="shared" si="11"/>
        <v>0</v>
      </c>
      <c r="CK9" s="250">
        <f t="shared" si="11"/>
        <v>0</v>
      </c>
      <c r="CL9" s="250">
        <f t="shared" si="11"/>
        <v>0</v>
      </c>
      <c r="CM9" s="250">
        <f t="shared" si="11"/>
        <v>0</v>
      </c>
      <c r="CN9" s="250">
        <f t="shared" si="11"/>
        <v>0</v>
      </c>
      <c r="CO9" s="250">
        <f t="shared" si="11"/>
        <v>0</v>
      </c>
      <c r="CP9" s="250">
        <f t="shared" si="11"/>
        <v>0</v>
      </c>
      <c r="CQ9" s="250">
        <f t="shared" si="11"/>
        <v>0</v>
      </c>
      <c r="CR9" s="250">
        <f t="shared" si="11"/>
        <v>0</v>
      </c>
      <c r="CS9" s="250">
        <f t="shared" si="11"/>
        <v>0</v>
      </c>
      <c r="CT9" s="250">
        <f t="shared" si="11"/>
        <v>0</v>
      </c>
      <c r="CU9" s="250">
        <f t="shared" si="11"/>
        <v>0</v>
      </c>
      <c r="CV9" s="250">
        <f t="shared" si="11"/>
        <v>0</v>
      </c>
      <c r="CW9" s="250">
        <f t="shared" si="11"/>
        <v>4</v>
      </c>
      <c r="CX9" s="68"/>
      <c r="CY9" s="67">
        <f t="shared" ref="CY9:DC9" si="12">COUNTIF($E9:$BR9,CY$6)</f>
        <v>4</v>
      </c>
      <c r="CZ9" s="67">
        <f t="shared" si="12"/>
        <v>5</v>
      </c>
      <c r="DA9" s="67">
        <f t="shared" si="12"/>
        <v>0</v>
      </c>
      <c r="DB9" s="67">
        <f t="shared" si="12"/>
        <v>0</v>
      </c>
      <c r="DC9" s="67">
        <f t="shared" si="12"/>
        <v>4</v>
      </c>
      <c r="DD9" s="114">
        <f t="shared" si="10"/>
        <v>9</v>
      </c>
    </row>
    <row r="10">
      <c r="A10" s="252">
        <v>4.0</v>
      </c>
      <c r="B10" s="254" t="s">
        <v>167</v>
      </c>
      <c r="C10" s="255">
        <v>3.54253268E8</v>
      </c>
      <c r="D10" s="241">
        <v>103.0</v>
      </c>
      <c r="E10" s="253" t="s">
        <v>19</v>
      </c>
      <c r="F10" s="256" t="s">
        <v>160</v>
      </c>
      <c r="G10" s="75" t="s">
        <v>42</v>
      </c>
      <c r="H10" s="243"/>
      <c r="I10" s="75" t="s">
        <v>19</v>
      </c>
      <c r="J10" s="243" t="s">
        <v>160</v>
      </c>
      <c r="K10" s="241">
        <v>103.0</v>
      </c>
      <c r="L10" s="75" t="s">
        <v>19</v>
      </c>
      <c r="M10" s="243" t="s">
        <v>163</v>
      </c>
      <c r="N10" s="75" t="s">
        <v>19</v>
      </c>
      <c r="O10" s="243"/>
      <c r="P10" s="73" t="s">
        <v>19</v>
      </c>
      <c r="Q10" s="243"/>
      <c r="R10" s="73" t="s">
        <v>19</v>
      </c>
      <c r="S10" s="243"/>
      <c r="T10" s="75" t="s">
        <v>19</v>
      </c>
      <c r="U10" s="244" t="s">
        <v>161</v>
      </c>
      <c r="V10" s="75" t="s">
        <v>19</v>
      </c>
      <c r="W10" s="243" t="s">
        <v>159</v>
      </c>
      <c r="X10" s="75" t="s">
        <v>42</v>
      </c>
      <c r="Y10" s="243"/>
      <c r="Z10" s="241">
        <v>103.0</v>
      </c>
      <c r="AA10" s="75" t="s">
        <v>19</v>
      </c>
      <c r="AB10" s="243" t="s">
        <v>161</v>
      </c>
      <c r="AC10" s="75" t="s">
        <v>42</v>
      </c>
      <c r="AD10" s="243"/>
      <c r="AE10" s="73" t="s">
        <v>42</v>
      </c>
      <c r="AF10" s="243"/>
      <c r="AG10" s="73" t="s">
        <v>42</v>
      </c>
      <c r="AH10" s="243"/>
      <c r="AI10" s="75" t="s">
        <v>42</v>
      </c>
      <c r="AJ10" s="244"/>
      <c r="AK10" s="75" t="s">
        <v>42</v>
      </c>
      <c r="AL10" s="243"/>
      <c r="AM10" s="75" t="s">
        <v>42</v>
      </c>
      <c r="AN10" s="243" t="s">
        <v>163</v>
      </c>
      <c r="AO10" s="241">
        <v>103.0</v>
      </c>
      <c r="AP10" s="75" t="s">
        <v>42</v>
      </c>
      <c r="AQ10" s="243"/>
      <c r="AR10" s="75" t="s">
        <v>42</v>
      </c>
      <c r="AS10" s="243"/>
      <c r="AT10" s="73" t="s">
        <v>42</v>
      </c>
      <c r="AU10" s="243"/>
      <c r="AV10" s="73" t="s">
        <v>42</v>
      </c>
      <c r="AW10" s="243"/>
      <c r="AX10" s="75" t="s">
        <v>42</v>
      </c>
      <c r="AY10" s="244"/>
      <c r="AZ10" s="75" t="s">
        <v>42</v>
      </c>
      <c r="BA10" s="243"/>
      <c r="BB10" s="75" t="s">
        <v>42</v>
      </c>
      <c r="BC10" s="257"/>
      <c r="BD10" s="241">
        <v>103.0</v>
      </c>
      <c r="BE10" s="75" t="s">
        <v>42</v>
      </c>
      <c r="BF10" s="243"/>
      <c r="BG10" s="75" t="s">
        <v>42</v>
      </c>
      <c r="BH10" s="243"/>
      <c r="BI10" s="73" t="s">
        <v>42</v>
      </c>
      <c r="BJ10" s="243"/>
      <c r="BK10" s="73" t="s">
        <v>42</v>
      </c>
      <c r="BL10" s="243"/>
      <c r="BM10" s="75" t="s">
        <v>42</v>
      </c>
      <c r="BN10" s="244"/>
      <c r="BO10" s="75" t="s">
        <v>42</v>
      </c>
      <c r="BP10" s="243"/>
      <c r="BQ10" s="75" t="s">
        <v>42</v>
      </c>
      <c r="BR10" s="243"/>
      <c r="BS10" s="245">
        <f t="shared" si="4"/>
        <v>9</v>
      </c>
      <c r="BT10" s="246">
        <f t="shared" si="5"/>
        <v>72</v>
      </c>
      <c r="BU10" s="247">
        <f t="shared" si="6"/>
        <v>0</v>
      </c>
      <c r="BV10" s="228">
        <f t="shared" si="7"/>
        <v>5</v>
      </c>
      <c r="BW10" s="248"/>
      <c r="BX10" s="249"/>
      <c r="BY10" s="250">
        <f t="shared" ref="BY10:CW10" si="13">COUNTIF($E10:$BR10,BY$6)</f>
        <v>0</v>
      </c>
      <c r="BZ10" s="250">
        <f t="shared" si="13"/>
        <v>9</v>
      </c>
      <c r="CA10" s="250">
        <f t="shared" si="13"/>
        <v>0</v>
      </c>
      <c r="CB10" s="250">
        <f t="shared" si="13"/>
        <v>0</v>
      </c>
      <c r="CC10" s="250">
        <f t="shared" si="13"/>
        <v>0</v>
      </c>
      <c r="CD10" s="250">
        <f t="shared" si="13"/>
        <v>0</v>
      </c>
      <c r="CE10" s="250">
        <f t="shared" si="13"/>
        <v>0</v>
      </c>
      <c r="CF10" s="250">
        <f t="shared" si="13"/>
        <v>0</v>
      </c>
      <c r="CG10" s="250">
        <f t="shared" si="13"/>
        <v>0</v>
      </c>
      <c r="CH10" s="250">
        <f t="shared" si="13"/>
        <v>0</v>
      </c>
      <c r="CI10" s="250">
        <f t="shared" si="13"/>
        <v>0</v>
      </c>
      <c r="CJ10" s="250">
        <f t="shared" si="13"/>
        <v>0</v>
      </c>
      <c r="CK10" s="250">
        <f t="shared" si="13"/>
        <v>0</v>
      </c>
      <c r="CL10" s="250">
        <f t="shared" si="13"/>
        <v>0</v>
      </c>
      <c r="CM10" s="250">
        <f t="shared" si="13"/>
        <v>0</v>
      </c>
      <c r="CN10" s="250">
        <f t="shared" si="13"/>
        <v>0</v>
      </c>
      <c r="CO10" s="250">
        <f t="shared" si="13"/>
        <v>0</v>
      </c>
      <c r="CP10" s="250">
        <f t="shared" si="13"/>
        <v>0</v>
      </c>
      <c r="CQ10" s="250">
        <f t="shared" si="13"/>
        <v>0</v>
      </c>
      <c r="CR10" s="250">
        <f t="shared" si="13"/>
        <v>0</v>
      </c>
      <c r="CS10" s="250">
        <f t="shared" si="13"/>
        <v>0</v>
      </c>
      <c r="CT10" s="250">
        <f t="shared" si="13"/>
        <v>0</v>
      </c>
      <c r="CU10" s="250">
        <f t="shared" si="13"/>
        <v>0</v>
      </c>
      <c r="CV10" s="250">
        <f t="shared" si="13"/>
        <v>0</v>
      </c>
      <c r="CW10" s="250">
        <f t="shared" si="13"/>
        <v>22</v>
      </c>
      <c r="CX10" s="68"/>
      <c r="CY10" s="67">
        <f t="shared" ref="CY10:DC10" si="14">COUNTIF($E10:$BR10,CY$6)</f>
        <v>1</v>
      </c>
      <c r="CZ10" s="67">
        <f t="shared" si="14"/>
        <v>2</v>
      </c>
      <c r="DA10" s="67">
        <f t="shared" si="14"/>
        <v>2</v>
      </c>
      <c r="DB10" s="67">
        <f t="shared" si="14"/>
        <v>0</v>
      </c>
      <c r="DC10" s="67">
        <f t="shared" si="14"/>
        <v>2</v>
      </c>
      <c r="DD10" s="114">
        <f t="shared" si="10"/>
        <v>5</v>
      </c>
    </row>
    <row r="11">
      <c r="A11" s="252">
        <v>5.0</v>
      </c>
      <c r="B11" s="258" t="s">
        <v>168</v>
      </c>
      <c r="C11" s="259" t="s">
        <v>169</v>
      </c>
      <c r="D11" s="241">
        <v>104.0</v>
      </c>
      <c r="E11" s="253" t="s">
        <v>19</v>
      </c>
      <c r="F11" s="256" t="s">
        <v>163</v>
      </c>
      <c r="G11" s="75" t="s">
        <v>33</v>
      </c>
      <c r="H11" s="243"/>
      <c r="I11" s="75" t="s">
        <v>30</v>
      </c>
      <c r="J11" s="243"/>
      <c r="K11" s="241">
        <v>104.0</v>
      </c>
      <c r="L11" s="75" t="s">
        <v>42</v>
      </c>
      <c r="M11" s="243"/>
      <c r="N11" s="75" t="s">
        <v>20</v>
      </c>
      <c r="O11" s="243"/>
      <c r="P11" s="73" t="s">
        <v>18</v>
      </c>
      <c r="Q11" s="243" t="s">
        <v>161</v>
      </c>
      <c r="R11" s="73" t="s">
        <v>18</v>
      </c>
      <c r="S11" s="243" t="s">
        <v>161</v>
      </c>
      <c r="T11" s="75" t="s">
        <v>33</v>
      </c>
      <c r="U11" s="244"/>
      <c r="V11" s="75" t="s">
        <v>19</v>
      </c>
      <c r="W11" s="243" t="s">
        <v>160</v>
      </c>
      <c r="X11" s="75" t="s">
        <v>19</v>
      </c>
      <c r="Y11" s="243" t="s">
        <v>163</v>
      </c>
      <c r="Z11" s="241">
        <v>104.0</v>
      </c>
      <c r="AA11" s="75" t="s">
        <v>42</v>
      </c>
      <c r="AB11" s="243"/>
      <c r="AC11" s="75" t="s">
        <v>24</v>
      </c>
      <c r="AD11" s="243" t="s">
        <v>163</v>
      </c>
      <c r="AE11" s="73" t="s">
        <v>18</v>
      </c>
      <c r="AF11" s="243" t="s">
        <v>161</v>
      </c>
      <c r="AG11" s="73" t="s">
        <v>18</v>
      </c>
      <c r="AH11" s="243" t="s">
        <v>161</v>
      </c>
      <c r="AI11" s="75" t="s">
        <v>25</v>
      </c>
      <c r="AJ11" s="244"/>
      <c r="AK11" s="75" t="s">
        <v>18</v>
      </c>
      <c r="AL11" s="243" t="s">
        <v>159</v>
      </c>
      <c r="AM11" s="75" t="s">
        <v>32</v>
      </c>
      <c r="AN11" s="243"/>
      <c r="AO11" s="241">
        <v>104.0</v>
      </c>
      <c r="AP11" s="75" t="s">
        <v>42</v>
      </c>
      <c r="AQ11" s="243"/>
      <c r="AR11" s="75" t="s">
        <v>30</v>
      </c>
      <c r="AS11" s="243"/>
      <c r="AT11" s="73" t="s">
        <v>18</v>
      </c>
      <c r="AU11" s="243" t="s">
        <v>160</v>
      </c>
      <c r="AV11" s="55" t="s">
        <v>24</v>
      </c>
      <c r="AW11" s="243"/>
      <c r="AX11" s="75" t="s">
        <v>19</v>
      </c>
      <c r="AY11" s="244" t="s">
        <v>160</v>
      </c>
      <c r="AZ11" s="75" t="s">
        <v>32</v>
      </c>
      <c r="BA11" s="243"/>
      <c r="BB11" s="75" t="s">
        <v>25</v>
      </c>
      <c r="BC11" s="257"/>
      <c r="BD11" s="241">
        <v>104.0</v>
      </c>
      <c r="BE11" s="75" t="s">
        <v>42</v>
      </c>
      <c r="BF11" s="243"/>
      <c r="BG11" s="75" t="s">
        <v>42</v>
      </c>
      <c r="BH11" s="243"/>
      <c r="BI11" s="73" t="s">
        <v>30</v>
      </c>
      <c r="BJ11" s="243"/>
      <c r="BK11" s="73" t="s">
        <v>24</v>
      </c>
      <c r="BL11" s="243"/>
      <c r="BM11" s="75" t="s">
        <v>18</v>
      </c>
      <c r="BN11" s="244" t="s">
        <v>160</v>
      </c>
      <c r="BO11" s="75" t="s">
        <v>32</v>
      </c>
      <c r="BP11" s="243"/>
      <c r="BQ11" s="75" t="s">
        <v>25</v>
      </c>
      <c r="BR11" s="243" t="s">
        <v>163</v>
      </c>
      <c r="BS11" s="245">
        <f t="shared" si="4"/>
        <v>26.375</v>
      </c>
      <c r="BT11" s="246">
        <f t="shared" si="5"/>
        <v>211</v>
      </c>
      <c r="BU11" s="247">
        <f t="shared" si="6"/>
        <v>20</v>
      </c>
      <c r="BV11" s="228">
        <f t="shared" si="7"/>
        <v>9</v>
      </c>
      <c r="BW11" s="248"/>
      <c r="BX11" s="249"/>
      <c r="BY11" s="250">
        <f t="shared" ref="BY11:CW11" si="15">COUNTIF($E11:$BR11,BY$6)</f>
        <v>7</v>
      </c>
      <c r="BZ11" s="250">
        <f t="shared" si="15"/>
        <v>4</v>
      </c>
      <c r="CA11" s="250">
        <f t="shared" si="15"/>
        <v>1</v>
      </c>
      <c r="CB11" s="250">
        <f t="shared" si="15"/>
        <v>0</v>
      </c>
      <c r="CC11" s="250">
        <f t="shared" si="15"/>
        <v>0</v>
      </c>
      <c r="CD11" s="250">
        <f t="shared" si="15"/>
        <v>0</v>
      </c>
      <c r="CE11" s="250">
        <f t="shared" si="15"/>
        <v>3</v>
      </c>
      <c r="CF11" s="250">
        <f t="shared" si="15"/>
        <v>3</v>
      </c>
      <c r="CG11" s="250">
        <f t="shared" si="15"/>
        <v>0</v>
      </c>
      <c r="CH11" s="250">
        <f t="shared" si="15"/>
        <v>0</v>
      </c>
      <c r="CI11" s="250">
        <f t="shared" si="15"/>
        <v>0</v>
      </c>
      <c r="CJ11" s="250">
        <f t="shared" si="15"/>
        <v>0</v>
      </c>
      <c r="CK11" s="250">
        <f t="shared" si="15"/>
        <v>3</v>
      </c>
      <c r="CL11" s="250">
        <f t="shared" si="15"/>
        <v>0</v>
      </c>
      <c r="CM11" s="250">
        <f t="shared" si="15"/>
        <v>3</v>
      </c>
      <c r="CN11" s="250">
        <f t="shared" si="15"/>
        <v>2</v>
      </c>
      <c r="CO11" s="250">
        <f t="shared" si="15"/>
        <v>0</v>
      </c>
      <c r="CP11" s="250">
        <f t="shared" si="15"/>
        <v>0</v>
      </c>
      <c r="CQ11" s="250">
        <f t="shared" si="15"/>
        <v>0</v>
      </c>
      <c r="CR11" s="250">
        <f t="shared" si="15"/>
        <v>0</v>
      </c>
      <c r="CS11" s="250">
        <f t="shared" si="15"/>
        <v>0</v>
      </c>
      <c r="CT11" s="250">
        <f t="shared" si="15"/>
        <v>0</v>
      </c>
      <c r="CU11" s="250">
        <f t="shared" si="15"/>
        <v>0</v>
      </c>
      <c r="CV11" s="250">
        <f t="shared" si="15"/>
        <v>0</v>
      </c>
      <c r="CW11" s="250">
        <f t="shared" si="15"/>
        <v>5</v>
      </c>
      <c r="CX11" s="68"/>
      <c r="CY11" s="67">
        <f t="shared" ref="CY11:DC11" si="16">COUNTIF($E11:$BR11,CY$6)</f>
        <v>1</v>
      </c>
      <c r="CZ11" s="67">
        <f t="shared" si="16"/>
        <v>4</v>
      </c>
      <c r="DA11" s="67">
        <f t="shared" si="16"/>
        <v>4</v>
      </c>
      <c r="DB11" s="67">
        <f t="shared" si="16"/>
        <v>0</v>
      </c>
      <c r="DC11" s="67">
        <f t="shared" si="16"/>
        <v>4</v>
      </c>
      <c r="DD11" s="114">
        <f t="shared" si="10"/>
        <v>9</v>
      </c>
    </row>
    <row r="12">
      <c r="A12" s="252">
        <v>6.0</v>
      </c>
      <c r="B12" s="260" t="s">
        <v>170</v>
      </c>
      <c r="C12" s="255">
        <v>9.75546974E8</v>
      </c>
      <c r="D12" s="241">
        <v>108.0</v>
      </c>
      <c r="E12" s="253" t="s">
        <v>19</v>
      </c>
      <c r="F12" s="256" t="s">
        <v>159</v>
      </c>
      <c r="G12" s="75" t="s">
        <v>30</v>
      </c>
      <c r="H12" s="243"/>
      <c r="I12" s="75" t="s">
        <v>30</v>
      </c>
      <c r="J12" s="243"/>
      <c r="K12" s="241">
        <v>108.0</v>
      </c>
      <c r="L12" s="75" t="s">
        <v>18</v>
      </c>
      <c r="M12" s="243" t="s">
        <v>160</v>
      </c>
      <c r="N12" s="75" t="s">
        <v>30</v>
      </c>
      <c r="O12" s="243"/>
      <c r="P12" s="73" t="s">
        <v>18</v>
      </c>
      <c r="Q12" s="243" t="s">
        <v>160</v>
      </c>
      <c r="R12" s="73" t="s">
        <v>42</v>
      </c>
      <c r="S12" s="243"/>
      <c r="T12" s="75" t="s">
        <v>20</v>
      </c>
      <c r="U12" s="244" t="s">
        <v>163</v>
      </c>
      <c r="V12" s="75" t="s">
        <v>20</v>
      </c>
      <c r="W12" s="243"/>
      <c r="X12" s="75" t="s">
        <v>29</v>
      </c>
      <c r="Y12" s="243"/>
      <c r="Z12" s="241">
        <v>108.0</v>
      </c>
      <c r="AA12" s="75" t="s">
        <v>20</v>
      </c>
      <c r="AB12" s="243" t="s">
        <v>160</v>
      </c>
      <c r="AC12" s="75" t="s">
        <v>30</v>
      </c>
      <c r="AD12" s="243"/>
      <c r="AE12" s="73" t="s">
        <v>42</v>
      </c>
      <c r="AF12" s="243"/>
      <c r="AG12" s="73" t="s">
        <v>42</v>
      </c>
      <c r="AH12" s="243"/>
      <c r="AI12" s="75" t="s">
        <v>19</v>
      </c>
      <c r="AJ12" s="244"/>
      <c r="AK12" s="75" t="s">
        <v>33</v>
      </c>
      <c r="AL12" s="243"/>
      <c r="AM12" s="75" t="s">
        <v>30</v>
      </c>
      <c r="AN12" s="243"/>
      <c r="AO12" s="241">
        <v>108.0</v>
      </c>
      <c r="AP12" s="75" t="s">
        <v>30</v>
      </c>
      <c r="AQ12" s="243"/>
      <c r="AR12" s="75" t="s">
        <v>30</v>
      </c>
      <c r="AS12" s="243"/>
      <c r="AT12" s="73" t="s">
        <v>28</v>
      </c>
      <c r="AU12" s="243"/>
      <c r="AV12" s="73" t="s">
        <v>19</v>
      </c>
      <c r="AW12" s="243" t="s">
        <v>161</v>
      </c>
      <c r="AX12" s="75" t="s">
        <v>18</v>
      </c>
      <c r="AY12" s="244" t="s">
        <v>161</v>
      </c>
      <c r="AZ12" s="75" t="s">
        <v>34</v>
      </c>
      <c r="BA12" s="243"/>
      <c r="BB12" s="75" t="s">
        <v>34</v>
      </c>
      <c r="BC12" s="257"/>
      <c r="BD12" s="241">
        <v>108.0</v>
      </c>
      <c r="BE12" s="75" t="s">
        <v>19</v>
      </c>
      <c r="BF12" s="243" t="s">
        <v>159</v>
      </c>
      <c r="BG12" s="75" t="s">
        <v>19</v>
      </c>
      <c r="BH12" s="243" t="s">
        <v>159</v>
      </c>
      <c r="BI12" s="73" t="s">
        <v>42</v>
      </c>
      <c r="BJ12" s="243"/>
      <c r="BK12" s="73" t="s">
        <v>42</v>
      </c>
      <c r="BL12" s="243"/>
      <c r="BM12" s="79" t="s">
        <v>25</v>
      </c>
      <c r="BN12" s="244"/>
      <c r="BO12" s="75" t="s">
        <v>18</v>
      </c>
      <c r="BP12" s="243" t="s">
        <v>160</v>
      </c>
      <c r="BQ12" s="75" t="s">
        <v>34</v>
      </c>
      <c r="BR12" s="243"/>
      <c r="BS12" s="245">
        <f t="shared" si="4"/>
        <v>25.875</v>
      </c>
      <c r="BT12" s="246">
        <f t="shared" si="5"/>
        <v>207</v>
      </c>
      <c r="BU12" s="247">
        <f t="shared" si="6"/>
        <v>16</v>
      </c>
      <c r="BV12" s="228">
        <f t="shared" si="7"/>
        <v>9</v>
      </c>
      <c r="BW12" s="248"/>
      <c r="BX12" s="249"/>
      <c r="BY12" s="250">
        <f t="shared" ref="BY12:CW12" si="17">COUNTIF($E12:$BR12,BY$6)</f>
        <v>4</v>
      </c>
      <c r="BZ12" s="250">
        <f t="shared" si="17"/>
        <v>5</v>
      </c>
      <c r="CA12" s="250">
        <f t="shared" si="17"/>
        <v>3</v>
      </c>
      <c r="CB12" s="250">
        <f t="shared" si="17"/>
        <v>0</v>
      </c>
      <c r="CC12" s="250">
        <f t="shared" si="17"/>
        <v>0</v>
      </c>
      <c r="CD12" s="250">
        <f t="shared" si="17"/>
        <v>0</v>
      </c>
      <c r="CE12" s="250">
        <f t="shared" si="17"/>
        <v>0</v>
      </c>
      <c r="CF12" s="250">
        <f t="shared" si="17"/>
        <v>1</v>
      </c>
      <c r="CG12" s="250">
        <f t="shared" si="17"/>
        <v>0</v>
      </c>
      <c r="CH12" s="250">
        <f t="shared" si="17"/>
        <v>0</v>
      </c>
      <c r="CI12" s="250">
        <f t="shared" si="17"/>
        <v>1</v>
      </c>
      <c r="CJ12" s="250">
        <f t="shared" si="17"/>
        <v>1</v>
      </c>
      <c r="CK12" s="250">
        <f t="shared" si="17"/>
        <v>7</v>
      </c>
      <c r="CL12" s="250">
        <f t="shared" si="17"/>
        <v>0</v>
      </c>
      <c r="CM12" s="250">
        <f t="shared" si="17"/>
        <v>0</v>
      </c>
      <c r="CN12" s="250">
        <f t="shared" si="17"/>
        <v>1</v>
      </c>
      <c r="CO12" s="250">
        <f t="shared" si="17"/>
        <v>3</v>
      </c>
      <c r="CP12" s="250">
        <f t="shared" si="17"/>
        <v>0</v>
      </c>
      <c r="CQ12" s="250">
        <f t="shared" si="17"/>
        <v>0</v>
      </c>
      <c r="CR12" s="250">
        <f t="shared" si="17"/>
        <v>0</v>
      </c>
      <c r="CS12" s="250">
        <f t="shared" si="17"/>
        <v>0</v>
      </c>
      <c r="CT12" s="250">
        <f t="shared" si="17"/>
        <v>0</v>
      </c>
      <c r="CU12" s="250">
        <f t="shared" si="17"/>
        <v>0</v>
      </c>
      <c r="CV12" s="250">
        <f t="shared" si="17"/>
        <v>0</v>
      </c>
      <c r="CW12" s="250">
        <f t="shared" si="17"/>
        <v>5</v>
      </c>
      <c r="CX12" s="68"/>
      <c r="CY12" s="67">
        <f t="shared" ref="CY12:DD12" si="18">COUNTIF($E12:$BR12,CY$6)</f>
        <v>3</v>
      </c>
      <c r="CZ12" s="67">
        <f t="shared" si="18"/>
        <v>4</v>
      </c>
      <c r="DA12" s="67">
        <f t="shared" si="18"/>
        <v>2</v>
      </c>
      <c r="DB12" s="67">
        <f t="shared" si="18"/>
        <v>0</v>
      </c>
      <c r="DC12" s="67">
        <f t="shared" si="18"/>
        <v>1</v>
      </c>
      <c r="DD12" s="67">
        <f t="shared" si="18"/>
        <v>0</v>
      </c>
    </row>
    <row r="13">
      <c r="A13" s="252">
        <v>7.0</v>
      </c>
      <c r="B13" s="239" t="s">
        <v>171</v>
      </c>
      <c r="C13" s="240">
        <v>3.44189884E8</v>
      </c>
      <c r="D13" s="241">
        <v>106.0</v>
      </c>
      <c r="E13" s="253" t="s">
        <v>18</v>
      </c>
      <c r="F13" s="256" t="s">
        <v>161</v>
      </c>
      <c r="G13" s="75" t="s">
        <v>42</v>
      </c>
      <c r="H13" s="243"/>
      <c r="I13" s="75" t="s">
        <v>42</v>
      </c>
      <c r="J13" s="243"/>
      <c r="K13" s="241">
        <v>106.0</v>
      </c>
      <c r="L13" s="75" t="s">
        <v>42</v>
      </c>
      <c r="M13" s="243"/>
      <c r="N13" s="75" t="s">
        <v>42</v>
      </c>
      <c r="O13" s="243"/>
      <c r="P13" s="73" t="s">
        <v>42</v>
      </c>
      <c r="Q13" s="243"/>
      <c r="R13" s="73" t="s">
        <v>42</v>
      </c>
      <c r="S13" s="243"/>
      <c r="T13" s="75" t="s">
        <v>18</v>
      </c>
      <c r="U13" s="244"/>
      <c r="V13" s="75" t="s">
        <v>18</v>
      </c>
      <c r="W13" s="243" t="s">
        <v>163</v>
      </c>
      <c r="X13" s="75" t="s">
        <v>18</v>
      </c>
      <c r="Y13" s="243" t="s">
        <v>160</v>
      </c>
      <c r="Z13" s="241">
        <v>106.0</v>
      </c>
      <c r="AA13" s="75" t="s">
        <v>18</v>
      </c>
      <c r="AB13" s="243"/>
      <c r="AC13" s="75" t="s">
        <v>18</v>
      </c>
      <c r="AD13" s="243" t="s">
        <v>161</v>
      </c>
      <c r="AE13" s="73" t="s">
        <v>42</v>
      </c>
      <c r="AF13" s="243"/>
      <c r="AG13" s="55" t="s">
        <v>18</v>
      </c>
      <c r="AH13" s="243" t="s">
        <v>160</v>
      </c>
      <c r="AI13" s="75" t="s">
        <v>18</v>
      </c>
      <c r="AJ13" s="244" t="s">
        <v>161</v>
      </c>
      <c r="AK13" s="75" t="s">
        <v>18</v>
      </c>
      <c r="AL13" s="243" t="s">
        <v>161</v>
      </c>
      <c r="AM13" s="75" t="s">
        <v>18</v>
      </c>
      <c r="AN13" s="243" t="s">
        <v>161</v>
      </c>
      <c r="AO13" s="241">
        <v>106.0</v>
      </c>
      <c r="AP13" s="75" t="s">
        <v>18</v>
      </c>
      <c r="AQ13" s="243"/>
      <c r="AR13" s="79" t="s">
        <v>42</v>
      </c>
      <c r="AS13" s="243"/>
      <c r="AT13" s="73" t="s">
        <v>18</v>
      </c>
      <c r="AU13" s="243"/>
      <c r="AV13" s="73" t="s">
        <v>18</v>
      </c>
      <c r="AW13" s="243"/>
      <c r="AX13" s="75" t="s">
        <v>18</v>
      </c>
      <c r="AY13" s="244" t="s">
        <v>54</v>
      </c>
      <c r="AZ13" s="75" t="s">
        <v>18</v>
      </c>
      <c r="BA13" s="243" t="s">
        <v>161</v>
      </c>
      <c r="BB13" s="75" t="s">
        <v>18</v>
      </c>
      <c r="BC13" s="257"/>
      <c r="BD13" s="241">
        <v>106.0</v>
      </c>
      <c r="BE13" s="75" t="s">
        <v>18</v>
      </c>
      <c r="BF13" s="243"/>
      <c r="BG13" s="75" t="s">
        <v>18</v>
      </c>
      <c r="BH13" s="243" t="s">
        <v>163</v>
      </c>
      <c r="BI13" s="73" t="s">
        <v>18</v>
      </c>
      <c r="BJ13" s="243"/>
      <c r="BK13" s="73" t="s">
        <v>42</v>
      </c>
      <c r="BL13" s="243"/>
      <c r="BM13" s="75" t="s">
        <v>18</v>
      </c>
      <c r="BN13" s="244"/>
      <c r="BO13" s="75" t="s">
        <v>18</v>
      </c>
      <c r="BP13" s="243" t="s">
        <v>161</v>
      </c>
      <c r="BQ13" s="75" t="s">
        <v>18</v>
      </c>
      <c r="BR13" s="243"/>
      <c r="BS13" s="245">
        <f t="shared" si="4"/>
        <v>22</v>
      </c>
      <c r="BT13" s="246">
        <f t="shared" si="5"/>
        <v>176</v>
      </c>
      <c r="BU13" s="247">
        <f t="shared" si="6"/>
        <v>0</v>
      </c>
      <c r="BV13" s="228">
        <f t="shared" si="7"/>
        <v>9</v>
      </c>
      <c r="BW13" s="248"/>
      <c r="BX13" s="249"/>
      <c r="BY13" s="250">
        <f t="shared" ref="BY13:CW13" si="19">COUNTIF($E13:$BR13,BY$6)</f>
        <v>22</v>
      </c>
      <c r="BZ13" s="250">
        <f t="shared" si="19"/>
        <v>0</v>
      </c>
      <c r="CA13" s="250">
        <f t="shared" si="19"/>
        <v>0</v>
      </c>
      <c r="CB13" s="250">
        <f t="shared" si="19"/>
        <v>0</v>
      </c>
      <c r="CC13" s="250">
        <f t="shared" si="19"/>
        <v>0</v>
      </c>
      <c r="CD13" s="250">
        <f t="shared" si="19"/>
        <v>0</v>
      </c>
      <c r="CE13" s="250">
        <f t="shared" si="19"/>
        <v>0</v>
      </c>
      <c r="CF13" s="250">
        <f t="shared" si="19"/>
        <v>0</v>
      </c>
      <c r="CG13" s="250">
        <f t="shared" si="19"/>
        <v>0</v>
      </c>
      <c r="CH13" s="250">
        <f t="shared" si="19"/>
        <v>0</v>
      </c>
      <c r="CI13" s="250">
        <f t="shared" si="19"/>
        <v>0</v>
      </c>
      <c r="CJ13" s="250">
        <f t="shared" si="19"/>
        <v>0</v>
      </c>
      <c r="CK13" s="250">
        <f t="shared" si="19"/>
        <v>0</v>
      </c>
      <c r="CL13" s="250">
        <f t="shared" si="19"/>
        <v>0</v>
      </c>
      <c r="CM13" s="250">
        <f t="shared" si="19"/>
        <v>0</v>
      </c>
      <c r="CN13" s="250">
        <f t="shared" si="19"/>
        <v>0</v>
      </c>
      <c r="CO13" s="250">
        <f t="shared" si="19"/>
        <v>0</v>
      </c>
      <c r="CP13" s="250">
        <f t="shared" si="19"/>
        <v>0</v>
      </c>
      <c r="CQ13" s="250">
        <f t="shared" si="19"/>
        <v>0</v>
      </c>
      <c r="CR13" s="250">
        <f t="shared" si="19"/>
        <v>0</v>
      </c>
      <c r="CS13" s="250">
        <f t="shared" si="19"/>
        <v>0</v>
      </c>
      <c r="CT13" s="250">
        <f t="shared" si="19"/>
        <v>0</v>
      </c>
      <c r="CU13" s="250">
        <f t="shared" si="19"/>
        <v>0</v>
      </c>
      <c r="CV13" s="250">
        <f t="shared" si="19"/>
        <v>0</v>
      </c>
      <c r="CW13" s="250">
        <f t="shared" si="19"/>
        <v>9</v>
      </c>
      <c r="CX13" s="68"/>
      <c r="CY13" s="67">
        <f t="shared" ref="CY13:DC13" si="20">COUNTIF($E13:$BR13,CY$6)</f>
        <v>0</v>
      </c>
      <c r="CZ13" s="67">
        <f t="shared" si="20"/>
        <v>2</v>
      </c>
      <c r="DA13" s="67">
        <f t="shared" si="20"/>
        <v>7</v>
      </c>
      <c r="DB13" s="67">
        <f t="shared" si="20"/>
        <v>0</v>
      </c>
      <c r="DC13" s="67">
        <f t="shared" si="20"/>
        <v>3</v>
      </c>
      <c r="DD13" s="114">
        <f t="shared" ref="DD13:DD14" si="23">SUM(CY13:DB13)</f>
        <v>9</v>
      </c>
    </row>
    <row r="14">
      <c r="A14" s="252">
        <v>8.0</v>
      </c>
      <c r="B14" s="261" t="s">
        <v>172</v>
      </c>
      <c r="C14" s="262">
        <v>9.65326702E8</v>
      </c>
      <c r="D14" s="263">
        <v>114.0</v>
      </c>
      <c r="E14" s="253" t="s">
        <v>32</v>
      </c>
      <c r="F14" s="264"/>
      <c r="G14" s="75" t="s">
        <v>18</v>
      </c>
      <c r="H14" s="243" t="s">
        <v>161</v>
      </c>
      <c r="I14" s="75" t="s">
        <v>33</v>
      </c>
      <c r="J14" s="243"/>
      <c r="K14" s="263">
        <v>114.0</v>
      </c>
      <c r="L14" s="75" t="s">
        <v>19</v>
      </c>
      <c r="M14" s="243"/>
      <c r="N14" s="75" t="s">
        <v>42</v>
      </c>
      <c r="O14" s="243"/>
      <c r="P14" s="73" t="s">
        <v>42</v>
      </c>
      <c r="Q14" s="243"/>
      <c r="R14" s="73" t="s">
        <v>42</v>
      </c>
      <c r="S14" s="243"/>
      <c r="T14" s="75" t="s">
        <v>42</v>
      </c>
      <c r="U14" s="244"/>
      <c r="V14" s="75" t="s">
        <v>42</v>
      </c>
      <c r="W14" s="243"/>
      <c r="X14" s="75" t="s">
        <v>42</v>
      </c>
      <c r="Y14" s="243"/>
      <c r="Z14" s="263">
        <v>114.0</v>
      </c>
      <c r="AA14" s="75" t="s">
        <v>42</v>
      </c>
      <c r="AB14" s="243"/>
      <c r="AC14" s="75" t="s">
        <v>42</v>
      </c>
      <c r="AD14" s="243"/>
      <c r="AE14" s="73" t="s">
        <v>42</v>
      </c>
      <c r="AF14" s="243"/>
      <c r="AG14" s="73" t="s">
        <v>42</v>
      </c>
      <c r="AH14" s="243"/>
      <c r="AI14" s="75" t="s">
        <v>42</v>
      </c>
      <c r="AJ14" s="244"/>
      <c r="AK14" s="75" t="s">
        <v>42</v>
      </c>
      <c r="AL14" s="243"/>
      <c r="AM14" s="75" t="s">
        <v>33</v>
      </c>
      <c r="AN14" s="243"/>
      <c r="AO14" s="263">
        <v>114.0</v>
      </c>
      <c r="AP14" s="75" t="s">
        <v>19</v>
      </c>
      <c r="AQ14" s="243" t="s">
        <v>159</v>
      </c>
      <c r="AR14" s="75" t="s">
        <v>19</v>
      </c>
      <c r="AS14" s="243" t="s">
        <v>159</v>
      </c>
      <c r="AT14" s="73" t="s">
        <v>19</v>
      </c>
      <c r="AU14" s="243" t="s">
        <v>159</v>
      </c>
      <c r="AV14" s="73" t="s">
        <v>26</v>
      </c>
      <c r="AW14" s="243"/>
      <c r="AX14" s="75" t="s">
        <v>19</v>
      </c>
      <c r="AY14" s="244" t="s">
        <v>159</v>
      </c>
      <c r="AZ14" s="75" t="s">
        <v>25</v>
      </c>
      <c r="BA14" s="243"/>
      <c r="BB14" s="75" t="s">
        <v>33</v>
      </c>
      <c r="BC14" s="87" t="s">
        <v>163</v>
      </c>
      <c r="BD14" s="263">
        <v>114.0</v>
      </c>
      <c r="BE14" s="75" t="s">
        <v>24</v>
      </c>
      <c r="BF14" s="243"/>
      <c r="BG14" s="75" t="s">
        <v>19</v>
      </c>
      <c r="BH14" s="243" t="s">
        <v>160</v>
      </c>
      <c r="BI14" s="73" t="s">
        <v>19</v>
      </c>
      <c r="BJ14" s="243" t="s">
        <v>160</v>
      </c>
      <c r="BK14" s="73" t="s">
        <v>19</v>
      </c>
      <c r="BL14" s="243" t="s">
        <v>160</v>
      </c>
      <c r="BM14" s="75" t="s">
        <v>33</v>
      </c>
      <c r="BN14" s="244"/>
      <c r="BO14" s="75" t="s">
        <v>19</v>
      </c>
      <c r="BP14" s="243"/>
      <c r="BQ14" s="75" t="s">
        <v>33</v>
      </c>
      <c r="BR14" s="265"/>
      <c r="BS14" s="245">
        <f t="shared" si="4"/>
        <v>19.25</v>
      </c>
      <c r="BT14" s="246">
        <f t="shared" si="5"/>
        <v>154</v>
      </c>
      <c r="BU14" s="247">
        <f t="shared" si="6"/>
        <v>24</v>
      </c>
      <c r="BV14" s="228">
        <f t="shared" si="7"/>
        <v>8</v>
      </c>
      <c r="BW14" s="248"/>
      <c r="BX14" s="249"/>
      <c r="BY14" s="250">
        <f t="shared" ref="BY14:CW14" si="21">COUNTIF($E14:$BR14,BY$6)</f>
        <v>1</v>
      </c>
      <c r="BZ14" s="250">
        <f t="shared" si="21"/>
        <v>9</v>
      </c>
      <c r="CA14" s="250">
        <f t="shared" si="21"/>
        <v>0</v>
      </c>
      <c r="CB14" s="250">
        <f t="shared" si="21"/>
        <v>0</v>
      </c>
      <c r="CC14" s="250">
        <f t="shared" si="21"/>
        <v>0</v>
      </c>
      <c r="CD14" s="250">
        <f t="shared" si="21"/>
        <v>0</v>
      </c>
      <c r="CE14" s="250">
        <f t="shared" si="21"/>
        <v>1</v>
      </c>
      <c r="CF14" s="250">
        <f t="shared" si="21"/>
        <v>1</v>
      </c>
      <c r="CG14" s="250">
        <f t="shared" si="21"/>
        <v>1</v>
      </c>
      <c r="CH14" s="250">
        <f t="shared" si="21"/>
        <v>0</v>
      </c>
      <c r="CI14" s="250">
        <f t="shared" si="21"/>
        <v>0</v>
      </c>
      <c r="CJ14" s="250">
        <f t="shared" si="21"/>
        <v>0</v>
      </c>
      <c r="CK14" s="250">
        <f t="shared" si="21"/>
        <v>0</v>
      </c>
      <c r="CL14" s="250">
        <f t="shared" si="21"/>
        <v>0</v>
      </c>
      <c r="CM14" s="250">
        <f t="shared" si="21"/>
        <v>1</v>
      </c>
      <c r="CN14" s="250">
        <f t="shared" si="21"/>
        <v>5</v>
      </c>
      <c r="CO14" s="250">
        <f t="shared" si="21"/>
        <v>0</v>
      </c>
      <c r="CP14" s="250">
        <f t="shared" si="21"/>
        <v>0</v>
      </c>
      <c r="CQ14" s="250">
        <f t="shared" si="21"/>
        <v>0</v>
      </c>
      <c r="CR14" s="250">
        <f t="shared" si="21"/>
        <v>0</v>
      </c>
      <c r="CS14" s="250">
        <f t="shared" si="21"/>
        <v>0</v>
      </c>
      <c r="CT14" s="250">
        <f t="shared" si="21"/>
        <v>0</v>
      </c>
      <c r="CU14" s="250">
        <f t="shared" si="21"/>
        <v>0</v>
      </c>
      <c r="CV14" s="250">
        <f t="shared" si="21"/>
        <v>0</v>
      </c>
      <c r="CW14" s="250">
        <f t="shared" si="21"/>
        <v>12</v>
      </c>
      <c r="CX14" s="68"/>
      <c r="CY14" s="67">
        <f t="shared" ref="CY14:DC14" si="22">COUNTIF($E14:$BR14,CY$6)</f>
        <v>4</v>
      </c>
      <c r="CZ14" s="67">
        <f t="shared" si="22"/>
        <v>3</v>
      </c>
      <c r="DA14" s="67">
        <f t="shared" si="22"/>
        <v>1</v>
      </c>
      <c r="DB14" s="67">
        <f t="shared" si="22"/>
        <v>0</v>
      </c>
      <c r="DC14" s="67">
        <f t="shared" si="22"/>
        <v>1</v>
      </c>
      <c r="DD14" s="114">
        <f t="shared" si="23"/>
        <v>8</v>
      </c>
    </row>
    <row r="15">
      <c r="A15" s="266">
        <v>9.0</v>
      </c>
      <c r="B15" s="267" t="s">
        <v>173</v>
      </c>
      <c r="C15" s="262">
        <v>9.41598135E8</v>
      </c>
      <c r="D15" s="268">
        <v>101.0</v>
      </c>
      <c r="E15" s="253" t="s">
        <v>20</v>
      </c>
      <c r="F15" s="264"/>
      <c r="G15" s="75" t="s">
        <v>20</v>
      </c>
      <c r="H15" s="243"/>
      <c r="I15" s="75" t="s">
        <v>42</v>
      </c>
      <c r="J15" s="243"/>
      <c r="K15" s="268">
        <v>101.0</v>
      </c>
      <c r="L15" s="75" t="s">
        <v>20</v>
      </c>
      <c r="M15" s="243"/>
      <c r="N15" s="75" t="s">
        <v>20</v>
      </c>
      <c r="O15" s="243" t="s">
        <v>163</v>
      </c>
      <c r="P15" s="73" t="s">
        <v>20</v>
      </c>
      <c r="Q15" s="243" t="s">
        <v>159</v>
      </c>
      <c r="R15" s="73" t="s">
        <v>42</v>
      </c>
      <c r="S15" s="243"/>
      <c r="T15" s="75" t="s">
        <v>20</v>
      </c>
      <c r="U15" s="244"/>
      <c r="V15" s="75" t="s">
        <v>20</v>
      </c>
      <c r="W15" s="243"/>
      <c r="X15" s="75" t="s">
        <v>20</v>
      </c>
      <c r="Y15" s="243"/>
      <c r="Z15" s="268">
        <v>101.0</v>
      </c>
      <c r="AA15" s="75" t="s">
        <v>20</v>
      </c>
      <c r="AB15" s="243" t="s">
        <v>159</v>
      </c>
      <c r="AC15" s="75" t="s">
        <v>42</v>
      </c>
      <c r="AD15" s="243"/>
      <c r="AE15" s="73" t="s">
        <v>20</v>
      </c>
      <c r="AF15" s="243" t="s">
        <v>159</v>
      </c>
      <c r="AG15" s="73" t="s">
        <v>20</v>
      </c>
      <c r="AH15" s="243" t="s">
        <v>159</v>
      </c>
      <c r="AI15" s="75" t="s">
        <v>20</v>
      </c>
      <c r="AJ15" s="244"/>
      <c r="AK15" s="75" t="s">
        <v>20</v>
      </c>
      <c r="AL15" s="243"/>
      <c r="AM15" s="75" t="s">
        <v>20</v>
      </c>
      <c r="AN15" s="243" t="s">
        <v>159</v>
      </c>
      <c r="AO15" s="268">
        <v>101.0</v>
      </c>
      <c r="AP15" s="76" t="s">
        <v>20</v>
      </c>
      <c r="AQ15" s="257"/>
      <c r="AR15" s="76" t="s">
        <v>20</v>
      </c>
      <c r="AS15" s="257"/>
      <c r="AT15" s="57" t="s">
        <v>42</v>
      </c>
      <c r="AU15" s="87"/>
      <c r="AV15" s="57" t="s">
        <v>20</v>
      </c>
      <c r="AW15" s="87" t="s">
        <v>163</v>
      </c>
      <c r="AX15" s="76" t="s">
        <v>42</v>
      </c>
      <c r="AY15" s="242"/>
      <c r="AZ15" s="76" t="s">
        <v>42</v>
      </c>
      <c r="BA15" s="257"/>
      <c r="BB15" s="76" t="s">
        <v>42</v>
      </c>
      <c r="BC15" s="257"/>
      <c r="BD15" s="268">
        <v>101.0</v>
      </c>
      <c r="BE15" s="76" t="s">
        <v>42</v>
      </c>
      <c r="BF15" s="257"/>
      <c r="BG15" s="76" t="s">
        <v>20</v>
      </c>
      <c r="BH15" s="257"/>
      <c r="BI15" s="57" t="s">
        <v>20</v>
      </c>
      <c r="BJ15" s="87" t="s">
        <v>159</v>
      </c>
      <c r="BK15" s="57" t="s">
        <v>20</v>
      </c>
      <c r="BL15" s="87" t="s">
        <v>159</v>
      </c>
      <c r="BM15" s="76" t="s">
        <v>20</v>
      </c>
      <c r="BN15" s="130"/>
      <c r="BO15" s="76" t="s">
        <v>42</v>
      </c>
      <c r="BP15" s="87"/>
      <c r="BQ15" s="76" t="s">
        <v>20</v>
      </c>
      <c r="BR15" s="265" t="s">
        <v>161</v>
      </c>
      <c r="BS15" s="245">
        <f t="shared" si="4"/>
        <v>0</v>
      </c>
      <c r="BT15" s="246">
        <f t="shared" si="5"/>
        <v>0</v>
      </c>
      <c r="BU15" s="247">
        <f t="shared" si="6"/>
        <v>0</v>
      </c>
      <c r="BV15" s="228">
        <f t="shared" si="7"/>
        <v>8</v>
      </c>
      <c r="BW15" s="248"/>
      <c r="BX15" s="249"/>
      <c r="BY15" s="250"/>
      <c r="BZ15" s="250"/>
      <c r="CA15" s="250"/>
      <c r="CB15" s="250"/>
      <c r="CC15" s="250"/>
      <c r="CD15" s="250"/>
      <c r="CE15" s="250"/>
      <c r="CF15" s="250"/>
      <c r="CG15" s="250"/>
      <c r="CH15" s="250"/>
      <c r="CI15" s="250"/>
      <c r="CJ15" s="250"/>
      <c r="CK15" s="250"/>
      <c r="CL15" s="250"/>
      <c r="CM15" s="250"/>
      <c r="CN15" s="250"/>
      <c r="CO15" s="250"/>
      <c r="CP15" s="250"/>
      <c r="CQ15" s="250"/>
      <c r="CR15" s="250"/>
      <c r="CS15" s="250"/>
      <c r="CT15" s="250"/>
      <c r="CU15" s="250"/>
      <c r="CV15" s="250"/>
      <c r="CW15" s="250">
        <f>COUNTIF($E15:$BR15,CW$6)</f>
        <v>9</v>
      </c>
      <c r="CX15" s="68"/>
      <c r="CY15" s="67"/>
      <c r="CZ15" s="67"/>
      <c r="DA15" s="67"/>
      <c r="DB15" s="67"/>
      <c r="DC15" s="67"/>
      <c r="DD15" s="114"/>
    </row>
    <row r="16">
      <c r="A16" s="266">
        <v>10.0</v>
      </c>
      <c r="B16" s="269" t="s">
        <v>174</v>
      </c>
      <c r="C16" s="270">
        <v>8.69629019E8</v>
      </c>
      <c r="D16" s="263">
        <v>110.0</v>
      </c>
      <c r="E16" s="253" t="s">
        <v>19</v>
      </c>
      <c r="F16" s="264"/>
      <c r="G16" s="75" t="s">
        <v>32</v>
      </c>
      <c r="H16" s="243"/>
      <c r="I16" s="75" t="s">
        <v>19</v>
      </c>
      <c r="J16" s="243"/>
      <c r="K16" s="263">
        <v>110.0</v>
      </c>
      <c r="L16" s="75" t="s">
        <v>19</v>
      </c>
      <c r="M16" s="243"/>
      <c r="N16" s="75" t="s">
        <v>19</v>
      </c>
      <c r="O16" s="243" t="s">
        <v>160</v>
      </c>
      <c r="P16" s="73" t="s">
        <v>42</v>
      </c>
      <c r="Q16" s="243"/>
      <c r="R16" s="73" t="s">
        <v>19</v>
      </c>
      <c r="S16" s="243" t="s">
        <v>159</v>
      </c>
      <c r="T16" s="75" t="s">
        <v>19</v>
      </c>
      <c r="U16" s="244" t="s">
        <v>160</v>
      </c>
      <c r="V16" s="75" t="s">
        <v>32</v>
      </c>
      <c r="W16" s="243"/>
      <c r="X16" s="75" t="s">
        <v>32</v>
      </c>
      <c r="Y16" s="243"/>
      <c r="Z16" s="263">
        <v>110.0</v>
      </c>
      <c r="AA16" s="75" t="s">
        <v>24</v>
      </c>
      <c r="AB16" s="243"/>
      <c r="AC16" s="75" t="s">
        <v>19</v>
      </c>
      <c r="AD16" s="243" t="s">
        <v>160</v>
      </c>
      <c r="AE16" s="73" t="s">
        <v>24</v>
      </c>
      <c r="AF16" s="243" t="s">
        <v>163</v>
      </c>
      <c r="AG16" s="73" t="s">
        <v>42</v>
      </c>
      <c r="AH16" s="243"/>
      <c r="AI16" s="75" t="s">
        <v>19</v>
      </c>
      <c r="AJ16" s="244" t="s">
        <v>160</v>
      </c>
      <c r="AK16" s="75" t="s">
        <v>32</v>
      </c>
      <c r="AL16" s="243"/>
      <c r="AM16" s="75" t="s">
        <v>19</v>
      </c>
      <c r="AN16" s="243"/>
      <c r="AO16" s="263">
        <v>110.0</v>
      </c>
      <c r="AP16" s="75" t="s">
        <v>24</v>
      </c>
      <c r="AQ16" s="243"/>
      <c r="AR16" s="75" t="s">
        <v>18</v>
      </c>
      <c r="AS16" s="243" t="s">
        <v>161</v>
      </c>
      <c r="AT16" s="73" t="s">
        <v>24</v>
      </c>
      <c r="AU16" s="243"/>
      <c r="AV16" s="73" t="s">
        <v>42</v>
      </c>
      <c r="AW16" s="243"/>
      <c r="AX16" s="75" t="s">
        <v>32</v>
      </c>
      <c r="AY16" s="244"/>
      <c r="AZ16" s="75" t="s">
        <v>19</v>
      </c>
      <c r="BA16" s="243" t="s">
        <v>163</v>
      </c>
      <c r="BB16" s="75" t="s">
        <v>32</v>
      </c>
      <c r="BC16" s="257"/>
      <c r="BD16" s="263">
        <v>110.0</v>
      </c>
      <c r="BE16" s="75" t="s">
        <v>42</v>
      </c>
      <c r="BF16" s="243"/>
      <c r="BG16" s="75" t="s">
        <v>19</v>
      </c>
      <c r="BH16" s="243" t="s">
        <v>161</v>
      </c>
      <c r="BI16" s="73" t="s">
        <v>18</v>
      </c>
      <c r="BJ16" s="243" t="s">
        <v>161</v>
      </c>
      <c r="BK16" s="73" t="s">
        <v>24</v>
      </c>
      <c r="BL16" s="243"/>
      <c r="BM16" s="75" t="s">
        <v>19</v>
      </c>
      <c r="BN16" s="244" t="s">
        <v>161</v>
      </c>
      <c r="BO16" s="75" t="s">
        <v>32</v>
      </c>
      <c r="BP16" s="243" t="s">
        <v>163</v>
      </c>
      <c r="BQ16" s="75" t="s">
        <v>19</v>
      </c>
      <c r="BR16" s="265"/>
      <c r="BS16" s="245">
        <f t="shared" si="4"/>
        <v>27</v>
      </c>
      <c r="BT16" s="246">
        <f t="shared" si="5"/>
        <v>216</v>
      </c>
      <c r="BU16" s="247">
        <f t="shared" si="6"/>
        <v>28</v>
      </c>
      <c r="BV16" s="228">
        <f t="shared" si="7"/>
        <v>9</v>
      </c>
      <c r="BW16" s="248"/>
      <c r="BX16" s="249"/>
      <c r="BY16" s="250">
        <f t="shared" ref="BY16:CW16" si="24">COUNTIF($E16:$BR16,BY$6)</f>
        <v>2</v>
      </c>
      <c r="BZ16" s="250">
        <f t="shared" si="24"/>
        <v>13</v>
      </c>
      <c r="CA16" s="250">
        <f t="shared" si="24"/>
        <v>0</v>
      </c>
      <c r="CB16" s="250">
        <f t="shared" si="24"/>
        <v>0</v>
      </c>
      <c r="CC16" s="250">
        <f t="shared" si="24"/>
        <v>0</v>
      </c>
      <c r="CD16" s="250">
        <f t="shared" si="24"/>
        <v>0</v>
      </c>
      <c r="CE16" s="250">
        <f t="shared" si="24"/>
        <v>5</v>
      </c>
      <c r="CF16" s="250">
        <f t="shared" si="24"/>
        <v>0</v>
      </c>
      <c r="CG16" s="250">
        <f t="shared" si="24"/>
        <v>0</v>
      </c>
      <c r="CH16" s="250">
        <f t="shared" si="24"/>
        <v>0</v>
      </c>
      <c r="CI16" s="250">
        <f t="shared" si="24"/>
        <v>0</v>
      </c>
      <c r="CJ16" s="250">
        <f t="shared" si="24"/>
        <v>0</v>
      </c>
      <c r="CK16" s="250">
        <f t="shared" si="24"/>
        <v>0</v>
      </c>
      <c r="CL16" s="250">
        <f t="shared" si="24"/>
        <v>0</v>
      </c>
      <c r="CM16" s="250">
        <f t="shared" si="24"/>
        <v>7</v>
      </c>
      <c r="CN16" s="250">
        <f t="shared" si="24"/>
        <v>0</v>
      </c>
      <c r="CO16" s="250">
        <f t="shared" si="24"/>
        <v>0</v>
      </c>
      <c r="CP16" s="250">
        <f t="shared" si="24"/>
        <v>0</v>
      </c>
      <c r="CQ16" s="250">
        <f t="shared" si="24"/>
        <v>0</v>
      </c>
      <c r="CR16" s="250">
        <f t="shared" si="24"/>
        <v>0</v>
      </c>
      <c r="CS16" s="250">
        <f t="shared" si="24"/>
        <v>0</v>
      </c>
      <c r="CT16" s="250">
        <f t="shared" si="24"/>
        <v>0</v>
      </c>
      <c r="CU16" s="250">
        <f t="shared" si="24"/>
        <v>0</v>
      </c>
      <c r="CV16" s="250">
        <f t="shared" si="24"/>
        <v>0</v>
      </c>
      <c r="CW16" s="250">
        <f t="shared" si="24"/>
        <v>4</v>
      </c>
      <c r="CX16" s="68"/>
      <c r="CY16" s="67">
        <f t="shared" ref="CY16:DC16" si="25">COUNTIF($E16:$BR16,CY$6)</f>
        <v>1</v>
      </c>
      <c r="CZ16" s="67">
        <f t="shared" si="25"/>
        <v>4</v>
      </c>
      <c r="DA16" s="67">
        <f t="shared" si="25"/>
        <v>4</v>
      </c>
      <c r="DB16" s="67">
        <f t="shared" si="25"/>
        <v>0</v>
      </c>
      <c r="DC16" s="67">
        <f t="shared" si="25"/>
        <v>3</v>
      </c>
      <c r="DD16" s="114">
        <f t="shared" ref="DD16:DD24" si="28">SUM(CY16:DB16)</f>
        <v>9</v>
      </c>
    </row>
    <row r="17">
      <c r="A17" s="266">
        <v>11.0</v>
      </c>
      <c r="B17" s="269" t="s">
        <v>175</v>
      </c>
      <c r="C17" s="270">
        <v>8.53268452E8</v>
      </c>
      <c r="D17" s="263">
        <v>115.0</v>
      </c>
      <c r="E17" s="253" t="s">
        <v>18</v>
      </c>
      <c r="F17" s="264"/>
      <c r="G17" s="75" t="s">
        <v>32</v>
      </c>
      <c r="H17" s="243"/>
      <c r="I17" s="75" t="s">
        <v>19</v>
      </c>
      <c r="J17" s="243"/>
      <c r="K17" s="263">
        <v>115.0</v>
      </c>
      <c r="L17" s="75" t="s">
        <v>19</v>
      </c>
      <c r="M17" s="243"/>
      <c r="N17" s="75" t="s">
        <v>18</v>
      </c>
      <c r="O17" s="243" t="s">
        <v>159</v>
      </c>
      <c r="P17" s="73" t="s">
        <v>42</v>
      </c>
      <c r="Q17" s="243"/>
      <c r="R17" s="73" t="s">
        <v>19</v>
      </c>
      <c r="S17" s="243" t="s">
        <v>160</v>
      </c>
      <c r="T17" s="75" t="s">
        <v>18</v>
      </c>
      <c r="U17" s="244" t="s">
        <v>159</v>
      </c>
      <c r="V17" s="75" t="s">
        <v>33</v>
      </c>
      <c r="W17" s="243"/>
      <c r="X17" s="75" t="s">
        <v>19</v>
      </c>
      <c r="Y17" s="243"/>
      <c r="Z17" s="263">
        <v>115.0</v>
      </c>
      <c r="AA17" s="75" t="s">
        <v>19</v>
      </c>
      <c r="AB17" s="243"/>
      <c r="AC17" s="75" t="s">
        <v>19</v>
      </c>
      <c r="AD17" s="243" t="s">
        <v>159</v>
      </c>
      <c r="AE17" s="73" t="s">
        <v>42</v>
      </c>
      <c r="AF17" s="243"/>
      <c r="AG17" s="73" t="s">
        <v>19</v>
      </c>
      <c r="AH17" s="243" t="s">
        <v>163</v>
      </c>
      <c r="AI17" s="75" t="s">
        <v>19</v>
      </c>
      <c r="AJ17" s="244" t="s">
        <v>159</v>
      </c>
      <c r="AK17" s="75" t="s">
        <v>33</v>
      </c>
      <c r="AL17" s="243"/>
      <c r="AM17" s="75" t="s">
        <v>19</v>
      </c>
      <c r="AN17" s="243"/>
      <c r="AO17" s="263">
        <v>115.0</v>
      </c>
      <c r="AP17" s="75" t="s">
        <v>19</v>
      </c>
      <c r="AQ17" s="243" t="s">
        <v>163</v>
      </c>
      <c r="AR17" s="75" t="s">
        <v>42</v>
      </c>
      <c r="AS17" s="243"/>
      <c r="AT17" s="73" t="s">
        <v>19</v>
      </c>
      <c r="AU17" s="243" t="s">
        <v>161</v>
      </c>
      <c r="AV17" s="73" t="s">
        <v>18</v>
      </c>
      <c r="AW17" s="243" t="s">
        <v>160</v>
      </c>
      <c r="AX17" s="75" t="s">
        <v>33</v>
      </c>
      <c r="AY17" s="244"/>
      <c r="AZ17" s="75" t="s">
        <v>18</v>
      </c>
      <c r="BA17" s="243"/>
      <c r="BB17" s="75" t="s">
        <v>19</v>
      </c>
      <c r="BC17" s="257"/>
      <c r="BD17" s="263">
        <v>115.0</v>
      </c>
      <c r="BE17" s="75" t="s">
        <v>19</v>
      </c>
      <c r="BF17" s="243" t="s">
        <v>163</v>
      </c>
      <c r="BG17" s="75" t="s">
        <v>42</v>
      </c>
      <c r="BH17" s="243"/>
      <c r="BI17" s="73" t="s">
        <v>19</v>
      </c>
      <c r="BJ17" s="243"/>
      <c r="BK17" s="73" t="s">
        <v>18</v>
      </c>
      <c r="BL17" s="243"/>
      <c r="BM17" s="75" t="s">
        <v>33</v>
      </c>
      <c r="BN17" s="244"/>
      <c r="BO17" s="75" t="s">
        <v>19</v>
      </c>
      <c r="BP17" s="243" t="s">
        <v>159</v>
      </c>
      <c r="BQ17" s="75" t="s">
        <v>19</v>
      </c>
      <c r="BR17" s="265" t="s">
        <v>159</v>
      </c>
      <c r="BS17" s="245">
        <f t="shared" si="4"/>
        <v>27</v>
      </c>
      <c r="BT17" s="246">
        <f t="shared" si="5"/>
        <v>216</v>
      </c>
      <c r="BU17" s="247">
        <f t="shared" si="6"/>
        <v>20</v>
      </c>
      <c r="BV17" s="228">
        <f t="shared" si="7"/>
        <v>9</v>
      </c>
      <c r="BW17" s="248"/>
      <c r="BX17" s="249"/>
      <c r="BY17" s="250">
        <f t="shared" ref="BY17:CW17" si="26">COUNTIF($E17:$BR17,BY$6)</f>
        <v>6</v>
      </c>
      <c r="BZ17" s="250">
        <f t="shared" si="26"/>
        <v>16</v>
      </c>
      <c r="CA17" s="250">
        <f t="shared" si="26"/>
        <v>0</v>
      </c>
      <c r="CB17" s="250">
        <f t="shared" si="26"/>
        <v>0</v>
      </c>
      <c r="CC17" s="250">
        <f t="shared" si="26"/>
        <v>0</v>
      </c>
      <c r="CD17" s="250">
        <f t="shared" si="26"/>
        <v>0</v>
      </c>
      <c r="CE17" s="250">
        <f t="shared" si="26"/>
        <v>0</v>
      </c>
      <c r="CF17" s="250">
        <f t="shared" si="26"/>
        <v>0</v>
      </c>
      <c r="CG17" s="250">
        <f t="shared" si="26"/>
        <v>0</v>
      </c>
      <c r="CH17" s="250">
        <f t="shared" si="26"/>
        <v>0</v>
      </c>
      <c r="CI17" s="250">
        <f t="shared" si="26"/>
        <v>0</v>
      </c>
      <c r="CJ17" s="250">
        <f t="shared" si="26"/>
        <v>0</v>
      </c>
      <c r="CK17" s="250">
        <f t="shared" si="26"/>
        <v>0</v>
      </c>
      <c r="CL17" s="250">
        <f t="shared" si="26"/>
        <v>0</v>
      </c>
      <c r="CM17" s="250">
        <f t="shared" si="26"/>
        <v>1</v>
      </c>
      <c r="CN17" s="250">
        <f t="shared" si="26"/>
        <v>4</v>
      </c>
      <c r="CO17" s="250">
        <f t="shared" si="26"/>
        <v>0</v>
      </c>
      <c r="CP17" s="250">
        <f t="shared" si="26"/>
        <v>0</v>
      </c>
      <c r="CQ17" s="250">
        <f t="shared" si="26"/>
        <v>0</v>
      </c>
      <c r="CR17" s="250">
        <f t="shared" si="26"/>
        <v>0</v>
      </c>
      <c r="CS17" s="250">
        <f t="shared" si="26"/>
        <v>0</v>
      </c>
      <c r="CT17" s="250">
        <f t="shared" si="26"/>
        <v>0</v>
      </c>
      <c r="CU17" s="250">
        <f t="shared" si="26"/>
        <v>0</v>
      </c>
      <c r="CV17" s="250">
        <f t="shared" si="26"/>
        <v>0</v>
      </c>
      <c r="CW17" s="250">
        <f t="shared" si="26"/>
        <v>4</v>
      </c>
      <c r="CX17" s="68"/>
      <c r="CY17" s="67">
        <f t="shared" ref="CY17:DC17" si="27">COUNTIF($E17:$BR17,CY$6)</f>
        <v>6</v>
      </c>
      <c r="CZ17" s="67">
        <f t="shared" si="27"/>
        <v>2</v>
      </c>
      <c r="DA17" s="67">
        <f t="shared" si="27"/>
        <v>1</v>
      </c>
      <c r="DB17" s="67">
        <f t="shared" si="27"/>
        <v>0</v>
      </c>
      <c r="DC17" s="67">
        <f t="shared" si="27"/>
        <v>3</v>
      </c>
      <c r="DD17" s="114">
        <f t="shared" si="28"/>
        <v>9</v>
      </c>
    </row>
    <row r="18">
      <c r="A18" s="227" t="s">
        <v>73</v>
      </c>
      <c r="B18" s="39"/>
      <c r="C18" s="40"/>
      <c r="D18" s="228"/>
      <c r="E18" s="271">
        <f>+COUNTIF(E7:E17,$A$48)+COUNTIF(E7:E17,$A$49)+COUNTIF(E7:E17,$A$50)+COUNTIF(E7:E17,$A$51)+COUNTIF(E7:E17,$A$52)+COUNTIF(E7:E17,$A$53)+COUNTIF(E7:E17,$A$54)+COUNTIF(E7:E17,$A$55)+COUNTIF(E7:E17,$A$56)+COUNTIF(E7:E17,$A$57)+COUNTIF(E7:E17,$A$58)+COUNTIF(E7:E17,$A$59)+COUNTIF(E7:E17,$A$60)+COUNTIF(E7:E17,$A$61)+COUNTIF(E7:E17,$A$62)+COUNTIF(E7:E17,$A$63)+COUNTIF(E7:E17,$A$64)+COUNTIF(E7:E17,$A$66)+COUNTIF(E7:E17,$A$67)+COUNTIF(E19:E30,$A$48)+COUNTIF(E19:E30,$A$49)+COUNTIF(E19:E30,$A$50)+COUNTIF(E19:E30,$A$51)+COUNTIF(E19:E30,$A$52)+COUNTIF(E19:E30,$A$53)+COUNTIF(E19:E30,$A$54)+COUNTIF(E19:E30,$A$55)+COUNTIF(E19:E30,$A$56)+COUNTIF(E19:E30,$A$57)+COUNTIF(E19:E30,$A$58)+COUNTIF(E19:E30,$A$59)+COUNTIF(E19:E30,$A$60)+COUNTIF(E19:E30,$A$61)+COUNTIF(E19:E30,$A$62)+COUNTIF(E19:E30,$A$63)+COUNTIF(E19:E30,$A$64)+COUNTIF(E19:E30,$A$66)+COUNTIF(E19:E30,$A$67)</f>
        <v>11</v>
      </c>
      <c r="F18" s="272"/>
      <c r="G18" s="271">
        <f>+COUNTIF(G7:G17,$A$48)+COUNTIF(G7:G17,$A$49)+COUNTIF(G7:G17,$A$50)+COUNTIF(G7:G17,$A$51)+COUNTIF(G7:G17,$A$52)+COUNTIF(G7:G17,$A$53)+COUNTIF(G7:G17,$A$54)+COUNTIF(G7:G17,$A$55)+COUNTIF(G7:G17,$A$56)+COUNTIF(G7:G17,$A$57)+COUNTIF(G7:G17,$A$58)+COUNTIF(G7:G17,$A$59)+COUNTIF(G7:G17,$A$60)+COUNTIF(G7:G17,$A$61)+COUNTIF(G7:G17,$A$62)+COUNTIF(G7:G17,$A$63)+COUNTIF(G7:G17,$A$64)+COUNTIF(G7:G17,$A$66)+COUNTIF(G7:G17,$A$67)+COUNTIF(G19:G30,$A$48)+COUNTIF(G19:G30,$A$49)+COUNTIF(G19:G30,$A$50)+COUNTIF(G19:G30,$A$51)+COUNTIF(G19:G30,$A$52)+COUNTIF(G19:G30,$A$53)+COUNTIF(G19:G30,$A$54)+COUNTIF(G19:G30,$A$55)+COUNTIF(G19:G30,$A$56)+COUNTIF(G19:G30,$A$57)+COUNTIF(G19:G30,$A$58)+COUNTIF(G19:G30,$A$59)+COUNTIF(G19:G30,$A$60)+COUNTIF(G19:G30,$A$61)+COUNTIF(G19:G30,$A$62)+COUNTIF(G19:G30,$A$63)+COUNTIF(G19:G30,$A$64)+COUNTIF(G19:G30,$A$66)+COUNTIF(G19:G30,$A$67)</f>
        <v>14</v>
      </c>
      <c r="H18" s="272"/>
      <c r="I18" s="271">
        <f>+COUNTIF(I7:I17,$A$48)+COUNTIF(I7:I17,$A$49)+COUNTIF(I7:I17,$A$50)+COUNTIF(I7:I17,$A$51)+COUNTIF(I7:I17,$A$52)+COUNTIF(I7:I17,$A$53)+COUNTIF(I7:I17,$A$54)+COUNTIF(I7:I17,$A$55)+COUNTIF(I7:I17,$A$56)+COUNTIF(I7:I17,$A$57)+COUNTIF(I7:I17,$A$58)+COUNTIF(I7:I17,$A$59)+COUNTIF(I7:I17,$A$60)+COUNTIF(I7:I17,$A$61)+COUNTIF(I7:I17,$A$62)+COUNTIF(I7:I17,$A$63)+COUNTIF(I7:I17,$A$64)+COUNTIF(I7:I17,$A$66)+COUNTIF(I7:I17,$A$67)+COUNTIF(I19:I30,$A$48)+COUNTIF(I19:I30,$A$49)+COUNTIF(I19:I30,$A$50)+COUNTIF(I19:I30,$A$51)+COUNTIF(I19:I30,$A$52)+COUNTIF(I19:I30,$A$53)+COUNTIF(I19:I30,$A$54)+COUNTIF(I19:I30,$A$55)+COUNTIF(I19:I30,$A$56)+COUNTIF(I19:I30,$A$57)+COUNTIF(I19:I30,$A$58)+COUNTIF(I19:I30,$A$59)+COUNTIF(I19:I30,$A$60)+COUNTIF(I19:I30,$A$61)+COUNTIF(I19:I30,$A$62)+COUNTIF(I19:I30,$A$63)+COUNTIF(I19:I30,$A$64)+COUNTIF(I19:I30,$A$66)+COUNTIF(I19:I30,$A$67)</f>
        <v>14</v>
      </c>
      <c r="J18" s="272"/>
      <c r="K18" s="228"/>
      <c r="L18" s="271">
        <f>+COUNTIF(L7:L17,$A$48)+COUNTIF(L7:L17,$A$49)+COUNTIF(L7:L17,$A$50)+COUNTIF(L7:L17,$A$51)+COUNTIF(L7:L17,$A$52)+COUNTIF(L7:L17,$A$53)+COUNTIF(L7:L17,$A$54)+COUNTIF(L7:L17,$A$55)+COUNTIF(L7:L17,$A$56)+COUNTIF(L7:L17,$A$57)+COUNTIF(L7:L17,$A$58)+COUNTIF(L7:L17,$A$59)+COUNTIF(L7:L17,$A$60)+COUNTIF(L7:L17,$A$61)+COUNTIF(L7:L17,$A$62)+COUNTIF(L7:L17,$A$63)+COUNTIF(L7:L17,$A$64)+COUNTIF(L7:L17,$A$66)+COUNTIF(L7:L17,$A$67)+COUNTIF(L19:L28,$A$48)+COUNTIF(L19:L28,$A$49)+COUNTIF(L19:L28,$A$50)+COUNTIF(L19:L28,$A$51)+COUNTIF(L19:L28,$A$52)+COUNTIF(L19:L28,$A$53)+COUNTIF(L19:L28,$A$54)+COUNTIF(L19:L28,$A$55)+COUNTIF(L19:L28,$A$56)+COUNTIF(L19:L28,$A$57)+COUNTIF(L19:L28,$A$58)+COUNTIF(L19:L28,$A$59)+COUNTIF(L19:L28,$A$60)+COUNTIF(L19:L28,$A$61)+COUNTIF(L19:L28,$A$62)+COUNTIF(L19:L28,$A$63)+COUNTIF(L19:L28,$A$64)+COUNTIF(L19:L28,$A$66)+COUNTIF(L19:L28,$A$67)</f>
        <v>10</v>
      </c>
      <c r="M18" s="272"/>
      <c r="N18" s="271">
        <f>+COUNTIF(N7:N17,$A$48)+COUNTIF(N7:N17,$A$49)+COUNTIF(N7:N17,$A$50)+COUNTIF(N7:N17,$A$51)+COUNTIF(N7:N17,$A$52)+COUNTIF(N7:N17,$A$53)+COUNTIF(N7:N17,$A$54)+COUNTIF(N7:N17,$A$55)+COUNTIF(N7:N17,$A$56)+COUNTIF(N7:N17,$A$57)+COUNTIF(N7:N17,$A$58)+COUNTIF(N7:N17,$A$59)+COUNTIF(N7:N17,$A$60)+COUNTIF(N7:N17,$A$61)+COUNTIF(N7:N17,$A$62)+COUNTIF(N7:N17,$A$63)+COUNTIF(N7:N17,$A$64)+COUNTIF(N7:N17,$A$66)+COUNTIF(N7:N17,$A$67)+COUNTIF(N19:N30,$A$48)+COUNTIF(N19:N30,$A$49)+COUNTIF(N19:N30,$A$50)+COUNTIF(N19:N30,$A$51)+COUNTIF(N19:N30,$A$52)+COUNTIF(N19:N30,$A$53)+COUNTIF(N19:N30,$A$54)+COUNTIF(N19:N30,$A$55)+COUNTIF(N19:N30,$A$56)+COUNTIF(N19:N30,$A$57)+COUNTIF(N19:N30,$A$58)+COUNTIF(N19:N30,$A$59)+COUNTIF(N19:N30,$A$60)+COUNTIF(N19:N30,$A$61)+COUNTIF(N19:N30,$A$62)+COUNTIF(N19:N30,$A$63)+COUNTIF(N19:N30,$A$64)+COUNTIF(N19:N30,$A$66)+COUNTIF(N19:N30,$A$67)</f>
        <v>12</v>
      </c>
      <c r="O18" s="272"/>
      <c r="P18" s="271">
        <f>+COUNTIF(P7:P17,$A$48)+COUNTIF(P7:P17,$A$49)+COUNTIF(P7:P17,$A$50)+COUNTIF(P7:P17,$A$51)+COUNTIF(P7:P17,$A$52)+COUNTIF(P7:P17,$A$53)+COUNTIF(P7:P17,$A$54)+COUNTIF(P7:P17,$A$55)+COUNTIF(P7:P17,$A$56)+COUNTIF(P7:P17,$A$57)+COUNTIF(P7:P17,$A$58)+COUNTIF(P7:P17,$A$59)+COUNTIF(P7:P17,$A$60)+COUNTIF(P7:P17,$A$61)+COUNTIF(P7:P17,$A$62)+COUNTIF(P7:P17,$A$63)+COUNTIF(P7:P17,$A$64)+COUNTIF(P7:P17,$A$66)+COUNTIF(P7:P17,$A$67)+COUNTIF(P19:P30,$A$48)+COUNTIF(P19:P30,$A$49)+COUNTIF(P19:P30,$A$50)+COUNTIF(P19:P30,$A$51)+COUNTIF(P19:P30,$A$52)+COUNTIF(P19:P30,$A$53)+COUNTIF(P19:P30,$A$54)+COUNTIF(P19:P30,$A$55)+COUNTIF(P19:P30,$A$56)+COUNTIF(P19:P30,$A$57)+COUNTIF(P19:P30,$A$58)+COUNTIF(P19:P30,$A$59)+COUNTIF(P19:P30,$A$60)+COUNTIF(P19:P30,$A$61)+COUNTIF(P19:P30,$A$62)+COUNTIF(P19:P30,$A$63)+COUNTIF(P19:P30,$A$64)+COUNTIF(P19:P30,$A$66)+COUNTIF(P19:P30,$A$67)</f>
        <v>14</v>
      </c>
      <c r="Q18" s="272"/>
      <c r="R18" s="271">
        <f>+COUNTIF(R7:R17,$A$48)+COUNTIF(R7:R17,$A$49)+COUNTIF(R7:R17,$A$50)+COUNTIF(R7:R17,$A$51)+COUNTIF(R7:R17,$A$52)+COUNTIF(R7:R17,$A$53)+COUNTIF(R7:R17,$A$54)+COUNTIF(R7:R17,$A$55)+COUNTIF(R7:R17,$A$56)+COUNTIF(R7:R17,$A$57)+COUNTIF(R7:R17,$A$58)+COUNTIF(R7:R17,$A$59)+COUNTIF(R7:R17,$A$60)+COUNTIF(R7:R17,$A$61)+COUNTIF(R7:R17,$A$62)+COUNTIF(R7:R17,$A$63)+COUNTIF(R7:R17,$A$64)+COUNTIF(R7:R17,$A$66)+COUNTIF(R7:R17,$A$67)+COUNTIF(R19:R30,$A$48)+COUNTIF(R19:R30,$A$49)+COUNTIF(R19:R30,$A$50)+COUNTIF(R19:R30,$A$51)+COUNTIF(R19:R30,$A$52)+COUNTIF(R19:R30,$A$53)+COUNTIF(R19:R30,$A$54)+COUNTIF(R19:R30,$A$55)+COUNTIF(R19:R30,$A$56)+COUNTIF(R19:R30,$A$57)+COUNTIF(R19:R30,$A$58)+COUNTIF(R19:R30,$A$59)+COUNTIF(R19:R30,$A$60)+COUNTIF(R19:R30,$A$61)+COUNTIF(R19:R30,$A$62)+COUNTIF(R19:R30,$A$63)+COUNTIF(R19:R30,$A$64)+COUNTIF(R19:R30,$A$66)+COUNTIF(R19:R30,$A$67)</f>
        <v>13</v>
      </c>
      <c r="S18" s="272"/>
      <c r="T18" s="271">
        <f>+COUNTIF(T7:T17,$A$48)+COUNTIF(T7:T17,$A$49)+COUNTIF(T7:T17,$A$50)+COUNTIF(T7:T17,$A$51)+COUNTIF(T7:T17,$A$52)+COUNTIF(T7:T17,$A$53)+COUNTIF(T7:T17,$A$54)+COUNTIF(T7:T17,$A$55)+COUNTIF(T7:T17,$A$56)+COUNTIF(T7:T17,$A$57)+COUNTIF(T7:T17,$A$58)+COUNTIF(T7:T17,$A$59)+COUNTIF(T7:T17,$A$60)+COUNTIF(T7:T17,$A$61)+COUNTIF(T7:T17,$A$62)+COUNTIF(T7:T17,$A$63)+COUNTIF(T7:T17,$A$64)+COUNTIF(T7:T17,$A$66)+COUNTIF(T7:T17,$A$67)+COUNTIF(T19:T30,$A$48)+COUNTIF(T19:T30,$A$49)+COUNTIF(T19:T30,$A$50)+COUNTIF(T19:T30,$A$51)+COUNTIF(T19:T30,$A$52)+COUNTIF(T19:T30,$A$53)+COUNTIF(T19:T30,$A$54)+COUNTIF(T19:T30,$A$55)+COUNTIF(T19:T30,$A$56)+COUNTIF(T19:T30,$A$57)+COUNTIF(T19:T30,$A$58)+COUNTIF(T19:T30,$A$59)+COUNTIF(T19:T30,$A$60)+COUNTIF(T19:T30,$A$61)+COUNTIF(T19:T30,$A$62)+COUNTIF(T19:T30,$A$63)+COUNTIF(T19:T30,$A$64)+COUNTIF(T19:T30,$A$66)+COUNTIF(T19:T30,$A$67)</f>
        <v>12</v>
      </c>
      <c r="U18" s="271"/>
      <c r="V18" s="271">
        <f>+COUNTIF(V7:V17,$A$48)+COUNTIF(V7:V17,$A$49)+COUNTIF(V7:V17,$A$50)+COUNTIF(V7:V17,$A$51)+COUNTIF(V7:V17,$A$52)+COUNTIF(V7:V17,$A$53)+COUNTIF(V7:V17,$A$54)+COUNTIF(V7:V17,$A$55)+COUNTIF(V7:V17,$A$56)+COUNTIF(V7:V17,$A$57)+COUNTIF(V7:V17,$A$58)+COUNTIF(V7:V17,$A$59)+COUNTIF(V7:V17,$A$60)+COUNTIF(V7:V17,$A$61)+COUNTIF(V7:V17,$A$62)+COUNTIF(V7:V17,$A$63)+COUNTIF(V7:V17,$A$64)+COUNTIF(V7:V17,$A$66)+COUNTIF(V7:V17,$A$67)+COUNTIF(V19:V30,$A$48)+COUNTIF(V19:V30,$A$49)+COUNTIF(V19:V30,$A$50)+COUNTIF(V19:V30,$A$51)+COUNTIF(V19:V30,$A$52)+COUNTIF(V19:V30,$A$53)+COUNTIF(V19:V30,$A$54)+COUNTIF(V19:V30,$A$55)+COUNTIF(V19:V30,$A$56)+COUNTIF(V19:V30,$A$57)+COUNTIF(V19:V30,$A$58)+COUNTIF(V19:V30,$A$59)+COUNTIF(V19:V30,$A$60)+COUNTIF(V19:V30,$A$61)+COUNTIF(V19:V30,$A$62)+COUNTIF(V19:V30,$A$63)+COUNTIF(V19:V30,$A$64)+COUNTIF(V19:V30,$A$66)+COUNTIF(V19:V30,$A$67)</f>
        <v>11</v>
      </c>
      <c r="W18" s="271"/>
      <c r="X18" s="271">
        <f>+COUNTIF(X7:X17,$A$48)+COUNTIF(X7:X17,$A$49)+COUNTIF(X7:X17,$A$50)+COUNTIF(X7:X17,$A$51)+COUNTIF(X7:X17,$A$52)+COUNTIF(X7:X17,$A$53)+COUNTIF(X7:X17,$A$54)+COUNTIF(X7:X17,$A$55)+COUNTIF(X7:X17,$A$56)+COUNTIF(X7:X17,$A$57)+COUNTIF(X7:X17,$A$58)+COUNTIF(X7:X17,$A$59)+COUNTIF(X7:X17,$A$60)+COUNTIF(X7:X17,$A$61)+COUNTIF(X7:X17,$A$62)+COUNTIF(X7:X17,$A$63)+COUNTIF(X7:X17,$A$64)+COUNTIF(X7:X17,$A$66)+COUNTIF(X7:X17,$A$67)+COUNTIF(X19:X30,$A$48)+COUNTIF(X19:X30,$A$49)+COUNTIF(X19:X30,$A$50)+COUNTIF(X19:X30,$A$51)+COUNTIF(X19:X30,$A$52)+COUNTIF(X19:X30,$A$53)+COUNTIF(X19:X30,$A$54)+COUNTIF(X19:X30,$A$55)+COUNTIF(X19:X30,$A$56)+COUNTIF(X19:X30,$A$57)+COUNTIF(X19:X30,$A$58)+COUNTIF(X19:X30,$A$59)+COUNTIF(X19:X30,$A$60)+COUNTIF(X19:X30,$A$61)+COUNTIF(X19:X30,$A$62)+COUNTIF(X19:X30,$A$63)+COUNTIF(X19:X30,$A$64)+COUNTIF(X19:X30,$A$66)+COUNTIF(X19:X30,$A$67)</f>
        <v>13</v>
      </c>
      <c r="Y18" s="271"/>
      <c r="Z18" s="228"/>
      <c r="AA18" s="271">
        <f>+COUNTIF(AA7:AA17,$A$48)+COUNTIF(AA7:AA17,$A$49)+COUNTIF(AA7:AA17,$A$50)+COUNTIF(AA7:AA17,$A$51)+COUNTIF(AA7:AA17,$A$52)+COUNTIF(AA7:AA17,$A$53)+COUNTIF(AA7:AA17,$A$54)+COUNTIF(AA7:AA17,$A$55)+COUNTIF(AA7:AA17,$A$56)+COUNTIF(AA7:AA17,$A$57)+COUNTIF(AA7:AA17,$A$58)+COUNTIF(AA7:AA17,$A$59)+COUNTIF(AA7:AA17,$A$60)+COUNTIF(AA7:AA17,$A$61)+COUNTIF(AA7:AA17,$A$62)+COUNTIF(AA7:AA17,$A$63)+COUNTIF(AA7:AA17,$A$64)+COUNTIF(AA7:AA17,$A$66)+COUNTIF(AA7:AA17,$A$67)+COUNTIF(AA19:AA30,$A$48)+COUNTIF(AA19:AA30,$A$49)+COUNTIF(AA19:AA30,$A$50)+COUNTIF(AA19:AA30,$A$51)+COUNTIF(AA19:AA30,$A$52)+COUNTIF(AA19:AA30,$A$53)+COUNTIF(AA19:AA30,$A$54)+COUNTIF(AA19:AA30,$A$55)+COUNTIF(AA19:AA30,$A$56)+COUNTIF(AA19:AA30,$A$57)+COUNTIF(AA19:AA30,$A$58)+COUNTIF(AA19:AA30,$A$59)+COUNTIF(AA19:AA30,$A$60)+COUNTIF(AA19:AA30,$A$61)+COUNTIF(AA19:AA30,$A$62)+COUNTIF(AA19:AA30,$A$63)+COUNTIF(AA19:AA30,$A$64)+COUNTIF(AA19:AA30,$A$66)+COUNTIF(AA19:AA30,$A$67)</f>
        <v>12</v>
      </c>
      <c r="AB18" s="271"/>
      <c r="AC18" s="271">
        <f>+COUNTIF(AC7:AC17,$A$48)+COUNTIF(AC7:AC17,$A$49)+COUNTIF(AC7:AC17,$A$50)+COUNTIF(AC7:AC17,$A$51)+COUNTIF(AC7:AC17,$A$52)+COUNTIF(AC7:AC17,$A$53)+COUNTIF(AC7:AC17,$A$54)+COUNTIF(AC7:AC17,$A$55)+COUNTIF(AC7:AC17,$A$56)+COUNTIF(AC7:AC17,$A$57)+COUNTIF(AC7:AC17,$A$58)+COUNTIF(AC7:AC17,$A$59)+COUNTIF(AC7:AC17,$A$60)+COUNTIF(AC7:AC17,$A$61)+COUNTIF(AC7:AC17,$A$62)+COUNTIF(AC7:AC17,$A$63)+COUNTIF(AC7:AC17,$A$64)+COUNTIF(AC7:AC17,$A$66)+COUNTIF(AC7:AC17,$A$67)+COUNTIF(AC19:AC30,$A$48)+COUNTIF(AC19:AC30,$A$49)+COUNTIF(AC19:AC30,$A$50)+COUNTIF(AC19:AC30,$A$51)+COUNTIF(AC19:AC30,$A$52)+COUNTIF(AC19:AC30,$A$53)+COUNTIF(AC19:AC30,$A$54)+COUNTIF(AC19:AC30,$A$55)+COUNTIF(AC19:AC30,$A$56)+COUNTIF(AC19:AC30,$A$57)+COUNTIF(AC19:AC30,$A$58)+COUNTIF(AC19:AC30,$A$59)+COUNTIF(AC19:AC30,$A$60)+COUNTIF(AC19:AC30,$A$61)+COUNTIF(AC19:AC30,$A$62)+COUNTIF(AC19:AC30,$A$63)+COUNTIF(AC19:AC30,$A$64)+COUNTIF(AC19:AC30,$A$66)+COUNTIF(AC19:AC30,$A$67)</f>
        <v>14</v>
      </c>
      <c r="AD18" s="271"/>
      <c r="AE18" s="271">
        <f>+COUNTIF(AE7:AE17,$A$48)+COUNTIF(AE7:AE17,$A$49)+COUNTIF(AE7:AE17,$A$50)+COUNTIF(AE7:AE17,$A$51)+COUNTIF(AE7:AE17,$A$52)+COUNTIF(AE7:AE17,$A$53)+COUNTIF(AE7:AE17,$A$54)+COUNTIF(AE7:AE17,$A$55)+COUNTIF(AE7:AE17,$A$56)+COUNTIF(AE7:AE17,$A$57)+COUNTIF(AE7:AE17,$A$58)+COUNTIF(AE7:AE17,$A$59)+COUNTIF(AE7:AE17,$A$60)+COUNTIF(AE7:AE17,$A$61)+COUNTIF(AE7:AE17,$A$62)+COUNTIF(AE7:AE17,$A$63)+COUNTIF(AE7:AE17,$A$64)+COUNTIF(AE7:AE17,$A$66)+COUNTIF(AE7:AE17,$A$67)+COUNTIF(AE19:AE30,$A$48)+COUNTIF(AE19:AE30,$A$49)+COUNTIF(AE19:AE30,$A$50)+COUNTIF(AE19:AE30,$A$51)+COUNTIF(AE19:AE30,$A$52)+COUNTIF(AE19:AE30,$A$53)+COUNTIF(AE19:AE30,$A$54)+COUNTIF(AE19:AE30,$A$55)+COUNTIF(AE19:AE30,$A$56)+COUNTIF(AE19:AE30,$A$57)+COUNTIF(AE19:AE30,$A$58)+COUNTIF(AE19:AE30,$A$59)+COUNTIF(AE19:AE30,$A$60)+COUNTIF(AE19:AE30,$A$61)+COUNTIF(AE19:AE30,$A$62)+COUNTIF(AE19:AE30,$A$63)+COUNTIF(AE19:AE30,$A$64)+COUNTIF(AE19:AE30,$A$66)+COUNTIF(AE19:AE30,$A$67)</f>
        <v>14</v>
      </c>
      <c r="AF18" s="271"/>
      <c r="AG18" s="271">
        <f>+COUNTIF(AG7:AG17,$A$48)+COUNTIF(AG7:AG17,$A$49)+COUNTIF(AG7:AG17,$A$50)+COUNTIF(AG7:AG17,$A$51)+COUNTIF(AG7:AG17,$A$52)+COUNTIF(AG7:AG17,$A$53)+COUNTIF(AG7:AG17,$A$54)+COUNTIF(AG7:AG17,$A$55)+COUNTIF(AG7:AG17,$A$56)+COUNTIF(AG7:AG17,$A$57)+COUNTIF(AG7:AG17,$A$58)+COUNTIF(AG7:AG17,$A$59)+COUNTIF(AG7:AG17,$A$60)+COUNTIF(AG7:AG17,$A$61)+COUNTIF(AG7:AG17,$A$62)+COUNTIF(AG7:AG17,$A$63)+COUNTIF(AG7:AG17,$A$64)+COUNTIF(AG7:AG17,$A$66)+COUNTIF(AG7:AG17,$A$67)+COUNTIF(AG19:AG30,$A$48)+COUNTIF(AG19:AG30,$A$49)+COUNTIF(AG19:AG30,$A$50)+COUNTIF(AG19:AG30,$A$51)+COUNTIF(AG19:AG30,$A$52)+COUNTIF(AG19:AG30,$A$53)+COUNTIF(AG19:AG30,$A$54)+COUNTIF(AG19:AG30,$A$55)+COUNTIF(AG19:AG30,$A$56)+COUNTIF(AG19:AG30,$A$57)+COUNTIF(AG19:AG30,$A$58)+COUNTIF(AG19:AG30,$A$59)+COUNTIF(AG19:AG30,$A$60)+COUNTIF(AG19:AG30,$A$61)+COUNTIF(AG19:AG30,$A$62)+COUNTIF(AG19:AG30,$A$63)+COUNTIF(AG19:AG30,$A$64)+COUNTIF(AG19:AG30,$A$66)+COUNTIF(AG19:AG30,$A$67)</f>
        <v>12</v>
      </c>
      <c r="AH18" s="271"/>
      <c r="AI18" s="271">
        <f>+COUNTIF(AI7:AI17,$A$48)+COUNTIF(AI7:AI17,$A$49)+COUNTIF(AI7:AI17,$A$50)+COUNTIF(AI7:AI17,$A$51)+COUNTIF(AI7:AI17,$A$52)+COUNTIF(AI7:AI17,$A$53)+COUNTIF(AI7:AI17,$A$54)+COUNTIF(AI7:AI17,$A$55)+COUNTIF(AI7:AI17,$A$56)+COUNTIF(AI7:AI17,$A$57)+COUNTIF(AI7:AI17,$A$58)+COUNTIF(AI7:AI17,$A$59)+COUNTIF(AI7:AI17,$A$60)+COUNTIF(AI7:AI17,$A$61)+COUNTIF(AI7:AI17,$A$62)+COUNTIF(AI7:AI17,$A$63)+COUNTIF(AI7:AI17,$A$64)+COUNTIF(AI7:AI17,$A$66)+COUNTIF(AI7:AI17,$A$67)+COUNTIF(AI19:AI30,$A$48)+COUNTIF(AI19:AI30,$A$49)+COUNTIF(AI19:AI30,$A$50)+COUNTIF(AI19:AI30,$A$51)+COUNTIF(AI19:AI30,$A$52)+COUNTIF(AI19:AI30,$A$53)+COUNTIF(AI19:AI30,$A$54)+COUNTIF(AI19:AI30,$A$55)+COUNTIF(AI19:AI30,$A$56)+COUNTIF(AI19:AI30,$A$57)+COUNTIF(AI19:AI30,$A$58)+COUNTIF(AI19:AI30,$A$59)+COUNTIF(AI19:AI30,$A$60)+COUNTIF(AI19:AI30,$A$61)+COUNTIF(AI19:AI30,$A$62)+COUNTIF(AI19:AI30,$A$63)+COUNTIF(AI19:AI30,$A$64)+COUNTIF(AI19:AI30,$A$66)+COUNTIF(AI19:AI30,$A$67)</f>
        <v>12</v>
      </c>
      <c r="AJ18" s="272"/>
      <c r="AK18" s="271">
        <f>+COUNTIF(AK7:AK17,$A$48)+COUNTIF(AK7:AK17,$A$49)+COUNTIF(AK7:AK17,$A$50)+COUNTIF(AK7:AK17,$A$51)+COUNTIF(AK7:AK17,$A$52)+COUNTIF(AK7:AK17,$A$53)+COUNTIF(AK7:AK17,$A$54)+COUNTIF(AK7:AK17,$A$55)+COUNTIF(AK7:AK17,$A$56)+COUNTIF(AK7:AK17,$A$57)+COUNTIF(AK7:AK17,$A$58)+COUNTIF(AK7:AK17,$A$59)+COUNTIF(AK7:AK17,$A$60)+COUNTIF(AK7:AK17,$A$61)+COUNTIF(AK7:AK17,$A$62)+COUNTIF(AK7:AK17,$A$63)+COUNTIF(AK7:AK17,$A$64)+COUNTIF(AK7:AK17,$A$66)+COUNTIF(AK7:AK17,$A$67)+COUNTIF(AK19:AK30,$A$48)+COUNTIF(AK19:AK30,$A$49)+COUNTIF(AK19:AK30,$A$50)+COUNTIF(AK19:AK30,$A$51)+COUNTIF(AK19:AK30,$A$52)+COUNTIF(AK19:AK30,$A$53)+COUNTIF(AK19:AK30,$A$54)+COUNTIF(AK19:AK30,$A$55)+COUNTIF(AK19:AK30,$A$56)+COUNTIF(AK19:AK30,$A$57)+COUNTIF(AK19:AK30,$A$58)+COUNTIF(AK19:AK30,$A$59)+COUNTIF(AK19:AK30,$A$60)+COUNTIF(AK19:AK30,$A$61)+COUNTIF(AK19:AK30,$A$62)+COUNTIF(AK19:AK30,$A$63)+COUNTIF(AK19:AK30,$A$64)+COUNTIF(AK19:AK30,$A$66)+COUNTIF(AK19:AK30,$A$67)</f>
        <v>13</v>
      </c>
      <c r="AL18" s="272"/>
      <c r="AM18" s="271">
        <f>+COUNTIF(AM7:AM17,$A$48)+COUNTIF(AM7:AM17,$A$49)+COUNTIF(AM7:AM17,$A$50)+COUNTIF(AM7:AM17,$A$51)+COUNTIF(AM7:AM17,$A$52)+COUNTIF(AM7:AM17,$A$53)+COUNTIF(AM7:AM17,$A$54)+COUNTIF(AM7:AM17,$A$55)+COUNTIF(AM7:AM17,$A$56)+COUNTIF(AM7:AM17,$A$57)+COUNTIF(AM7:AM17,$A$58)+COUNTIF(AM7:AM17,$A$59)+COUNTIF(AM7:AM17,$A$60)+COUNTIF(AM7:AM17,$A$61)+COUNTIF(AM7:AM17,$A$62)+COUNTIF(AM7:AM17,$A$63)+COUNTIF(AM7:AM17,$A$64)+COUNTIF(AM7:AM17,$A$66)+COUNTIF(AM7:AM17,$A$67)+COUNTIF(AM19:AM30,$A$48)+COUNTIF(AM19:AM30,$A$49)+COUNTIF(AM19:AM30,$A$50)+COUNTIF(AM19:AM30,$A$51)+COUNTIF(AM19:AM30,$A$52)+COUNTIF(AM19:AM30,$A$53)+COUNTIF(AM19:AM30,$A$54)+COUNTIF(AM19:AM30,$A$55)+COUNTIF(AM19:AM30,$A$56)+COUNTIF(AM19:AM30,$A$57)+COUNTIF(AM19:AM30,$A$58)+COUNTIF(AM19:AM30,$A$59)+COUNTIF(AM19:AM30,$A$60)+COUNTIF(AM19:AM30,$A$61)+COUNTIF(AM19:AM30,$A$62)+COUNTIF(AM19:AM30,$A$63)+COUNTIF(AM19:AM30,$A$64)+COUNTIF(AM19:AM30,$A$66)+COUNTIF(AM19:AM30,$A$67)</f>
        <v>13</v>
      </c>
      <c r="AN18" s="272"/>
      <c r="AO18" s="228"/>
      <c r="AP18" s="271">
        <f>+COUNTIF(AP7:AP17,$A$48)+COUNTIF(AP7:AP17,$A$49)+COUNTIF(AP7:AP17,$A$50)+COUNTIF(AP7:AP17,$A$51)+COUNTIF(AP7:AP17,$A$52)+COUNTIF(AP7:AP17,$A$53)+COUNTIF(AP7:AP17,$A$54)+COUNTIF(AP7:AP17,$A$55)+COUNTIF(AP7:AP17,$A$56)+COUNTIF(AP7:AP17,$A$57)+COUNTIF(AP7:AP17,$A$58)+COUNTIF(AP7:AP17,$A$59)+COUNTIF(AP7:AP17,$A$60)+COUNTIF(AP7:AP17,$A$61)+COUNTIF(AP7:AP17,$A$62)+COUNTIF(AP7:AP17,$A$63)+COUNTIF(AP7:AP17,$A$64)+COUNTIF(AP7:AP17,$A$66)+COUNTIF(AP7:AP17,$A$67)+COUNTIF(AP19:AP30,$A$48)+COUNTIF(AP19:AP30,$A$49)+COUNTIF(AP19:AP30,$A$50)+COUNTIF(AP19:AP30,$A$51)+COUNTIF(AP19:AP30,$A$52)+COUNTIF(AP19:AP30,$A$53)+COUNTIF(AP19:AP30,$A$54)+COUNTIF(AP19:AP30,$A$55)+COUNTIF(AP19:AP30,$A$56)+COUNTIF(AP19:AP30,$A$57)+COUNTIF(AP19:AP30,$A$58)+COUNTIF(AP19:AP30,$A$59)+COUNTIF(AP19:AP30,$A$60)+COUNTIF(AP19:AP30,$A$61)+COUNTIF(AP19:AP30,$A$62)+COUNTIF(AP19:AP30,$A$63)+COUNTIF(AP19:AP30,$A$64)+COUNTIF(AP19:AP30,$A$66)+COUNTIF(AP19:AP30,$A$67)</f>
        <v>12</v>
      </c>
      <c r="AQ18" s="272"/>
      <c r="AR18" s="271">
        <f>+COUNTIF(AR7:AR17,$A$48)+COUNTIF(AR7:AR17,$A$49)+COUNTIF(AR7:AR17,$A$50)+COUNTIF(AR7:AR17,$A$51)+COUNTIF(AR7:AR17,$A$52)+COUNTIF(AR7:AR17,$A$53)+COUNTIF(AR7:AR17,$A$54)+COUNTIF(AR7:AR17,$A$55)+COUNTIF(AR7:AR17,$A$56)+COUNTIF(AR7:AR17,$A$57)+COUNTIF(AR7:AR17,$A$58)+COUNTIF(AR7:AR17,$A$59)+COUNTIF(AR7:AR17,$A$60)+COUNTIF(AR7:AR17,$A$61)+COUNTIF(AR7:AR17,$A$62)+COUNTIF(AR7:AR17,$A$63)+COUNTIF(AR7:AR17,$A$64)+COUNTIF(AR7:AR17,$A$66)+COUNTIF(AR7:AR17,$A$67)+COUNTIF(AR19:AR30,$A$48)+COUNTIF(AR19:AR30,$A$49)+COUNTIF(AR19:AR30,$A$50)+COUNTIF(AR19:AR30,$A$51)+COUNTIF(AR19:AR30,$A$52)+COUNTIF(AR19:AR30,$A$53)+COUNTIF(AR19:AR30,$A$54)+COUNTIF(AR19:AR30,$A$55)+COUNTIF(AR19:AR30,$A$56)+COUNTIF(AR19:AR30,$A$57)+COUNTIF(AR19:AR30,$A$58)+COUNTIF(AR19:AR30,$A$59)+COUNTIF(AR19:AR30,$A$60)+COUNTIF(AR19:AR30,$A$61)+COUNTIF(AR19:AR30,$A$62)+COUNTIF(AR19:AR30,$A$63)+COUNTIF(AR19:AR30,$A$64)+COUNTIF(AR19:AR30,$A$66)+COUNTIF(AR19:AR30,$A$67)</f>
        <v>12</v>
      </c>
      <c r="AS18" s="272"/>
      <c r="AT18" s="271">
        <f>+COUNTIF(AT7:AT17,$A$48)+COUNTIF(AT7:AT17,$A$49)+COUNTIF(AT7:AT17,$A$50)+COUNTIF(AT7:AT17,$A$51)+COUNTIF(AT7:AT17,$A$52)+COUNTIF(AT7:AT17,$A$53)+COUNTIF(AT7:AT17,$A$54)+COUNTIF(AT7:AT17,$A$55)+COUNTIF(AT7:AT17,$A$56)+COUNTIF(AT7:AT17,$A$57)+COUNTIF(AT7:AT17,$A$58)+COUNTIF(AT7:AT17,$A$59)+COUNTIF(AT7:AT17,$A$60)+COUNTIF(AT7:AT17,$A$61)+COUNTIF(AT7:AT17,$A$62)+COUNTIF(AT7:AT17,$A$63)+COUNTIF(AT7:AT17,$A$64)+COUNTIF(AT7:AT17,$A$66)+COUNTIF(AT7:AT17,$A$67)+COUNTIF(AT19:AT30,$A$48)+COUNTIF(AT19:AT30,$A$49)+COUNTIF(AT19:AT30,$A$50)+COUNTIF(AT19:AT30,$A$51)+COUNTIF(AT19:AT30,$A$52)+COUNTIF(AT19:AT30,$A$53)+COUNTIF(AT19:AT30,$A$54)+COUNTIF(AT19:AT30,$A$55)+COUNTIF(AT19:AT30,$A$56)+COUNTIF(AT19:AT30,$A$57)+COUNTIF(AT19:AT30,$A$58)+COUNTIF(AT19:AT30,$A$59)+COUNTIF(AT19:AT30,$A$60)+COUNTIF(AT19:AT30,$A$61)+COUNTIF(AT19:AT30,$A$62)+COUNTIF(AT19:AT30,$A$63)+COUNTIF(AT19:AT30,$A$64)+COUNTIF(AT19:AT30,$A$66)+COUNTIF(AT19:AT30,$A$67)</f>
        <v>14</v>
      </c>
      <c r="AU18" s="272"/>
      <c r="AV18" s="271">
        <f>+COUNTIF(AV7:AV17,$A$48)+COUNTIF(AV7:AV17,$A$49)+COUNTIF(AV7:AV17,$A$50)+COUNTIF(AV7:AV17,$A$51)+COUNTIF(AV7:AV17,$A$52)+COUNTIF(AV7:AV17,$A$53)+COUNTIF(AV7:AV17,$A$54)+COUNTIF(AV7:AV17,$A$55)+COUNTIF(AV7:AV17,$A$56)+COUNTIF(AV7:AV17,$A$57)+COUNTIF(AV7:AV17,$A$58)+COUNTIF(AV7:AV17,$A$59)+COUNTIF(AV7:AV17,$A$60)+COUNTIF(AV7:AV17,$A$61)+COUNTIF(AV7:AV17,$A$62)+COUNTIF(AV7:AV17,$A$63)+COUNTIF(AV7:AV17,$A$64)+COUNTIF(AV7:AV17,$A$66)+COUNTIF(AV7:AV17,$A$67)+COUNTIF(AV19:AV30,$A$48)+COUNTIF(AV19:AV30,$A$49)+COUNTIF(AV19:AV30,$A$50)+COUNTIF(AV19:AV30,$A$51)+COUNTIF(AV19:AV30,$A$52)+COUNTIF(AV19:AV30,$A$53)+COUNTIF(AV19:AV30,$A$54)+COUNTIF(AV19:AV30,$A$55)+COUNTIF(AV19:AV30,$A$56)+COUNTIF(AV19:AV30,$A$57)+COUNTIF(AV19:AV30,$A$58)+COUNTIF(AV19:AV30,$A$59)+COUNTIF(AV19:AV30,$A$60)+COUNTIF(AV19:AV30,$A$61)+COUNTIF(AV19:AV30,$A$62)+COUNTIF(AV19:AV30,$A$63)+COUNTIF(AV19:AV30,$A$64)+COUNTIF(AV19:AV30,$A$66)+COUNTIF(AV19:AV30,$A$67)</f>
        <v>14</v>
      </c>
      <c r="AW18" s="272"/>
      <c r="AX18" s="271">
        <f>+COUNTIF(AX7:AX17,$A$48)+COUNTIF(AX7:AX17,$A$49)+COUNTIF(AX7:AX17,$A$50)+COUNTIF(AX7:AX17,$A$51)+COUNTIF(AX7:AX17,$A$52)+COUNTIF(AX7:AX17,$A$53)+COUNTIF(AX7:AX17,$A$54)+COUNTIF(AX7:AX17,$A$55)+COUNTIF(AX7:AX17,$A$56)+COUNTIF(AX7:AX17,$A$57)+COUNTIF(AX7:AX17,$A$58)+COUNTIF(AX7:AX17,$A$59)+COUNTIF(AX7:AX17,$A$60)+COUNTIF(AX7:AX17,$A$61)+COUNTIF(AX7:AX17,$A$62)+COUNTIF(AX7:AX17,$A$63)+COUNTIF(AX7:AX17,$A$64)+COUNTIF(AX7:AX17,$A$66)+COUNTIF(AX7:AX17,$A$67)+COUNTIF(AX19:AX30,$A$48)+COUNTIF(AX19:AX30,$A$49)+COUNTIF(AX19:AX30,$A$50)+COUNTIF(AX19:AX30,$A$51)+COUNTIF(AX19:AX30,$A$52)+COUNTIF(AX19:AX30,$A$53)+COUNTIF(AX19:AX30,$A$54)+COUNTIF(AX19:AX30,$A$55)+COUNTIF(AX19:AX30,$A$56)+COUNTIF(AX19:AX30,$A$57)+COUNTIF(AX19:AX30,$A$58)+COUNTIF(AX19:AX30,$A$59)+COUNTIF(AX19:AX30,$A$60)+COUNTIF(AX19:AX30,$A$61)+COUNTIF(AX19:AX30,$A$62)+COUNTIF(AX19:AX30,$A$63)+COUNTIF(AX19:AX30,$A$64)+COUNTIF(AX19:AX30,$A$66)+COUNTIF(AX19:AX30,$A$67)</f>
        <v>14</v>
      </c>
      <c r="AY18" s="272"/>
      <c r="AZ18" s="271">
        <f>+COUNTIF(AZ7:AZ17,$A$48)+COUNTIF(AZ7:AZ17,$A$49)+COUNTIF(AZ7:AZ17,$A$50)+COUNTIF(AZ7:AZ17,$A$51)+COUNTIF(AZ7:AZ17,$A$52)+COUNTIF(AZ7:AZ17,$A$53)+COUNTIF(AZ7:AZ17,$A$54)+COUNTIF(AZ7:AZ17,$A$55)+COUNTIF(AZ7:AZ17,$A$56)+COUNTIF(AZ7:AZ17,$A$57)+COUNTIF(AZ7:AZ17,$A$58)+COUNTIF(AZ7:AZ17,$A$59)+COUNTIF(AZ7:AZ17,$A$60)+COUNTIF(AZ7:AZ17,$A$61)+COUNTIF(AZ7:AZ17,$A$62)+COUNTIF(AZ7:AZ17,$A$63)+COUNTIF(AZ7:AZ17,$A$64)+COUNTIF(AZ7:AZ17,$A$66)+COUNTIF(AZ7:AZ17,$A$67)+COUNTIF(AZ19:AZ30,$A$48)+COUNTIF(AZ19:AZ30,$A$49)+COUNTIF(AZ19:AZ30,$A$50)+COUNTIF(AZ19:AZ30,$A$51)+COUNTIF(AZ19:AZ30,$A$52)+COUNTIF(AZ19:AZ30,$A$53)+COUNTIF(AZ19:AZ30,$A$54)+COUNTIF(AZ19:AZ30,$A$55)+COUNTIF(AZ19:AZ30,$A$56)+COUNTIF(AZ19:AZ30,$A$57)+COUNTIF(AZ19:AZ30,$A$58)+COUNTIF(AZ19:AZ30,$A$59)+COUNTIF(AZ19:AZ30,$A$60)+COUNTIF(AZ19:AZ30,$A$61)+COUNTIF(AZ19:AZ30,$A$62)+COUNTIF(AZ19:AZ30,$A$63)+COUNTIF(AZ19:AZ30,$A$64)+COUNTIF(AZ19:AZ30,$A$66)+COUNTIF(AZ19:AZ30,$A$67)</f>
        <v>14</v>
      </c>
      <c r="BA18" s="272"/>
      <c r="BB18" s="271">
        <f>+COUNTIF(BB7:BB17,$A$48)+COUNTIF(BB7:BB17,$A$49)+COUNTIF(BB7:BB17,$A$50)+COUNTIF(BB7:BB17,$A$51)+COUNTIF(BB7:BB17,$A$52)+COUNTIF(BB7:BB17,$A$53)+COUNTIF(BB7:BB17,$A$54)+COUNTIF(BB7:BB17,$A$55)+COUNTIF(BB7:BB17,$A$56)+COUNTIF(BB7:BB17,$A$57)+COUNTIF(BB7:BB17,$A$58)+COUNTIF(BB7:BB17,$A$59)+COUNTIF(BB7:BB17,$A$60)+COUNTIF(BB7:BB17,$A$61)+COUNTIF(BB7:BB17,$A$62)+COUNTIF(BB7:BB17,$A$63)+COUNTIF(BB7:BB17,$A$64)+COUNTIF(BB7:BB17,$A$66)+COUNTIF(BB7:BB17,$A$67)+COUNTIF(BB19:BB30,$A$48)+COUNTIF(BB19:BB30,$A$49)+COUNTIF(BB19:BB30,$A$50)+COUNTIF(BB19:BB30,$A$51)+COUNTIF(BB19:BB30,$A$52)+COUNTIF(BB19:BB30,$A$53)+COUNTIF(BB19:BB30,$A$54)+COUNTIF(BB19:BB30,$A$55)+COUNTIF(BB19:BB30,$A$56)+COUNTIF(BB19:BB30,$A$57)+COUNTIF(BB19:BB30,$A$58)+COUNTIF(BB19:BB30,$A$59)+COUNTIF(BB19:BB30,$A$60)+COUNTIF(BB19:BB30,$A$61)+COUNTIF(BB19:BB30,$A$62)+COUNTIF(BB19:BB30,$A$63)+COUNTIF(BB19:BB30,$A$64)+COUNTIF(BB19:BB30,$A$66)+COUNTIF(BB19:BB30,$A$67)</f>
        <v>14</v>
      </c>
      <c r="BC18" s="272"/>
      <c r="BD18" s="228"/>
      <c r="BE18" s="271">
        <f>+COUNTIF(BE7:BE17,$A$48)+COUNTIF(BE7:BE17,$A$49)+COUNTIF(BE7:BE17,$A$50)+COUNTIF(BE7:BE17,$A$51)+COUNTIF(BE7:BE17,$A$52)+COUNTIF(BE7:BE17,$A$53)+COUNTIF(BE7:BE17,$A$54)+COUNTIF(BE7:BE17,$A$55)+COUNTIF(BE7:BE17,$A$56)+COUNTIF(BE7:BE17,$A$57)+COUNTIF(BE7:BE17,$A$58)+COUNTIF(BE7:BE17,$A$59)+COUNTIF(BE7:BE17,$A$60)+COUNTIF(BE7:BE17,$A$61)+COUNTIF(BE7:BE17,$A$62)+COUNTIF(BE7:BE17,$A$63)+COUNTIF(BE7:BE17,$A$64)+COUNTIF(BE7:BE17,$A$66)+COUNTIF(BE7:BE17,$A$67)+COUNTIF(BE19:BE30,$A$48)+COUNTIF(BE19:BE30,$A$49)+COUNTIF(BE19:BE30,$A$50)+COUNTIF(BE19:BE30,$A$51)+COUNTIF(BE19:BE30,$A$52)+COUNTIF(BE19:BE30,$A$53)+COUNTIF(BE19:BE30,$A$54)+COUNTIF(BE19:BE30,$A$55)+COUNTIF(BE19:BE30,$A$56)+COUNTIF(BE19:BE30,$A$57)+COUNTIF(BE19:BE30,$A$58)+COUNTIF(BE19:BE30,$A$59)+COUNTIF(BE19:BE30,$A$60)+COUNTIF(BE19:BE30,$A$61)+COUNTIF(BE19:BE30,$A$62)+COUNTIF(BE19:BE30,$A$63)+COUNTIF(BE19:BE30,$A$64)+COUNTIF(BE19:BE30,$A$66)+COUNTIF(BE19:BE30,$A$67)</f>
        <v>15</v>
      </c>
      <c r="BF18" s="272"/>
      <c r="BG18" s="271">
        <f>+COUNTIF(BG7:BG17,$A$48)+COUNTIF(BG7:BG17,$A$49)+COUNTIF(BG7:BG17,$A$50)+COUNTIF(BG7:BG17,$A$51)+COUNTIF(BG7:BG17,$A$52)+COUNTIF(BG7:BG17,$A$53)+COUNTIF(BG7:BG17,$A$54)+COUNTIF(BG7:BG17,$A$55)+COUNTIF(BG7:BG17,$A$56)+COUNTIF(BG7:BG17,$A$57)+COUNTIF(BG7:BG17,$A$58)+COUNTIF(BG7:BG17,$A$59)+COUNTIF(BG7:BG17,$A$60)+COUNTIF(BG7:BG17,$A$61)+COUNTIF(BG7:BG17,$A$62)+COUNTIF(BG7:BG17,$A$63)+COUNTIF(BG7:BG17,$A$64)+COUNTIF(BG7:BG17,$A$66)+COUNTIF(BG7:BG17,$A$67)+COUNTIF(BG19:BG30,$A$48)+COUNTIF(BG19:BG30,$A$49)+COUNTIF(BG19:BG30,$A$50)+COUNTIF(BG19:BG30,$A$51)+COUNTIF(BG19:BG30,$A$52)+COUNTIF(BG19:BG30,$A$53)+COUNTIF(BG19:BG30,$A$54)+COUNTIF(BG19:BG30,$A$55)+COUNTIF(BG19:BG30,$A$56)+COUNTIF(BG19:BG30,$A$57)+COUNTIF(BG19:BG30,$A$58)+COUNTIF(BG19:BG30,$A$59)+COUNTIF(BG19:BG30,$A$60)+COUNTIF(BG19:BG30,$A$61)+COUNTIF(BG19:BG30,$A$62)+COUNTIF(BG19:BG30,$A$63)+COUNTIF(BG19:BG30,$A$64)+COUNTIF(BG19:BG30,$A$66)+COUNTIF(BG19:BG30,$A$67)</f>
        <v>16</v>
      </c>
      <c r="BH18" s="272"/>
      <c r="BI18" s="271">
        <f>+COUNTIF(BI7:BI17,$A$48)+COUNTIF(BI7:BI17,$A$49)+COUNTIF(BI7:BI17,$A$50)+COUNTIF(BI7:BI17,$A$51)+COUNTIF(BI7:BI17,$A$52)+COUNTIF(BI7:BI17,$A$53)+COUNTIF(BI7:BI17,$A$54)+COUNTIF(BI7:BI17,$A$55)+COUNTIF(BI7:BI17,$A$56)+COUNTIF(BI7:BI17,$A$57)+COUNTIF(BI7:BI17,$A$58)+COUNTIF(BI7:BI17,$A$59)+COUNTIF(BI7:BI17,$A$60)+COUNTIF(BI7:BI17,$A$61)+COUNTIF(BI7:BI17,$A$62)+COUNTIF(BI7:BI17,$A$63)+COUNTIF(BI7:BI17,$A$64)+COUNTIF(BI7:BI17,$A$66)+COUNTIF(BI7:BI17,$A$67)+COUNTIF(BI19:BI30,$A$48)+COUNTIF(BI19:BI30,$A$49)+COUNTIF(BI19:BI30,$A$50)+COUNTIF(BI19:BI30,$A$51)+COUNTIF(BI19:BI30,$A$52)+COUNTIF(BI19:BI30,$A$53)+COUNTIF(BI19:BI30,$A$54)+COUNTIF(BI19:BI30,$A$55)+COUNTIF(BI19:BI30,$A$56)+COUNTIF(BI19:BI30,$A$57)+COUNTIF(BI19:BI30,$A$58)+COUNTIF(BI19:BI30,$A$59)+COUNTIF(BI19:BI30,$A$60)+COUNTIF(BI19:BI30,$A$61)+COUNTIF(BI19:BI30,$A$62)+COUNTIF(BI19:BI30,$A$63)+COUNTIF(BI19:BI30,$A$64)+COUNTIF(BI19:BI30,$A$66)+COUNTIF(BI19:BI30,$A$67)</f>
        <v>14</v>
      </c>
      <c r="BJ18" s="272"/>
      <c r="BK18" s="271">
        <f>+COUNTIF(BK7:BK17,$A$48)+COUNTIF(BK7:BK17,$A$49)+COUNTIF(BK7:BK17,$A$50)+COUNTIF(BK7:BK17,$A$51)+COUNTIF(BK7:BK17,$A$52)+COUNTIF(BK7:BK17,$A$53)+COUNTIF(BK7:BK17,$A$54)+COUNTIF(BK7:BK17,$A$55)+COUNTIF(BK7:BK17,$A$56)+COUNTIF(BK7:BK17,$A$57)+COUNTIF(BK7:BK17,$A$58)+COUNTIF(BK7:BK17,$A$59)+COUNTIF(BK7:BK17,$A$60)+COUNTIF(BK7:BK17,$A$61)+COUNTIF(BK7:BK17,$A$62)+COUNTIF(BK7:BK17,$A$63)+COUNTIF(BK7:BK17,$A$64)+COUNTIF(BK7:BK17,$A$66)+COUNTIF(BK7:BK17,$A$67)+COUNTIF(BK19:BK30,$A$48)+COUNTIF(BK19:BK30,$A$49)+COUNTIF(BK19:BK30,$A$50)+COUNTIF(BK19:BK30,$A$51)+COUNTIF(BK19:BK30,$A$52)+COUNTIF(BK19:BK30,$A$53)+COUNTIF(BK19:BK30,$A$54)+COUNTIF(BK19:BK30,$A$55)+COUNTIF(BK19:BK30,$A$56)+COUNTIF(BK19:BK30,$A$57)+COUNTIF(BK19:BK30,$A$58)+COUNTIF(BK19:BK30,$A$59)+COUNTIF(BK19:BK30,$A$60)+COUNTIF(BK19:BK30,$A$61)+COUNTIF(BK19:BK30,$A$62)+COUNTIF(BK19:BK30,$A$63)+COUNTIF(BK19:BK30,$A$64)+COUNTIF(BK19:BK30,$A$66)+COUNTIF(BK19:BK30,$A$67)</f>
        <v>15</v>
      </c>
      <c r="BL18" s="272"/>
      <c r="BM18" s="271">
        <f>+COUNTIF(BM7:BM17,$A$48)+COUNTIF(BM7:BM17,$A$49)+COUNTIF(BM7:BM17,$A$50)+COUNTIF(BM7:BM17,$A$51)+COUNTIF(BM7:BM17,$A$52)+COUNTIF(BM7:BM17,$A$53)+COUNTIF(BM7:BM17,$A$54)+COUNTIF(BM7:BM17,$A$55)+COUNTIF(BM7:BM17,$A$56)+COUNTIF(BM7:BM17,$A$57)+COUNTIF(BM7:BM17,$A$58)+COUNTIF(BM7:BM17,$A$59)+COUNTIF(BM7:BM17,$A$60)+COUNTIF(BM7:BM17,$A$61)+COUNTIF(BM7:BM17,$A$62)+COUNTIF(BM7:BM17,$A$63)+COUNTIF(BM7:BM17,$A$64)+COUNTIF(BM7:BM17,$A$66)+COUNTIF(BM7:BM17,$A$67)+COUNTIF(BM19:BM30,$A$48)+COUNTIF(BM19:BM30,$A$49)+COUNTIF(BM19:BM30,$A$50)+COUNTIF(BM19:BM30,$A$51)+COUNTIF(BM19:BM30,$A$52)+COUNTIF(BM19:BM30,$A$53)+COUNTIF(BM19:BM30,$A$54)+COUNTIF(BM19:BM30,$A$55)+COUNTIF(BM19:BM30,$A$56)+COUNTIF(BM19:BM30,$A$57)+COUNTIF(BM19:BM30,$A$58)+COUNTIF(BM19:BM30,$A$59)+COUNTIF(BM19:BM30,$A$60)+COUNTIF(BM19:BM30,$A$61)+COUNTIF(BM19:BM30,$A$62)+COUNTIF(BM19:BM30,$A$63)+COUNTIF(BM19:BM30,$A$64)+COUNTIF(BM19:BM30,$A$66)+COUNTIF(BM19:BM30,$A$67)</f>
        <v>14</v>
      </c>
      <c r="BN18" s="272"/>
      <c r="BO18" s="271">
        <f>+COUNTIF(BO7:BO17,$A$48)+COUNTIF(BO7:BO17,$A$49)+COUNTIF(BO7:BO17,$A$50)+COUNTIF(BO7:BO17,$A$51)+COUNTIF(BO7:BO17,$A$52)+COUNTIF(BO7:BO17,$A$53)+COUNTIF(BO7:BO17,$A$54)+COUNTIF(BO7:BO17,$A$55)+COUNTIF(BO7:BO17,$A$56)+COUNTIF(BO7:BO17,$A$57)+COUNTIF(BO7:BO17,$A$58)+COUNTIF(BO7:BO17,$A$59)+COUNTIF(BO7:BO17,$A$60)+COUNTIF(BO7:BO17,$A$61)+COUNTIF(BO7:BO17,$A$62)+COUNTIF(BO7:BO17,$A$63)+COUNTIF(BO7:BO17,$A$64)+COUNTIF(BO7:BO17,$A$66)+COUNTIF(BO7:BO17,$A$67)+COUNTIF(BO19:BO30,$A$48)+COUNTIF(BO19:BO30,$A$49)+COUNTIF(BO19:BO30,$A$50)+COUNTIF(BO19:BO30,$A$51)+COUNTIF(BO19:BO30,$A$52)+COUNTIF(BO19:BO30,$A$53)+COUNTIF(BO19:BO30,$A$54)+COUNTIF(BO19:BO30,$A$55)+COUNTIF(BO19:BO30,$A$56)+COUNTIF(BO19:BO30,$A$57)+COUNTIF(BO19:BO30,$A$58)+COUNTIF(BO19:BO30,$A$59)+COUNTIF(BO19:BO30,$A$60)+COUNTIF(BO19:BO30,$A$61)+COUNTIF(BO19:BO30,$A$62)+COUNTIF(BO19:BO30,$A$63)+COUNTIF(BO19:BO30,$A$64)+COUNTIF(BO19:BO30,$A$66)+COUNTIF(BO19:BO30,$A$67)</f>
        <v>15</v>
      </c>
      <c r="BP18" s="272"/>
      <c r="BQ18" s="271">
        <f>+COUNTIF(BQ7:BQ17,$A$48)+COUNTIF(BQ7:BQ17,$A$49)+COUNTIF(BQ7:BQ17,$A$50)+COUNTIF(BQ7:BQ17,$A$51)+COUNTIF(BQ7:BQ17,$A$52)+COUNTIF(BQ7:BQ17,$A$53)+COUNTIF(BQ7:BQ17,$A$54)+COUNTIF(BQ7:BQ17,$A$55)+COUNTIF(BQ7:BQ17,$A$56)+COUNTIF(BQ7:BQ17,$A$57)+COUNTIF(BQ7:BQ17,$A$58)+COUNTIF(BQ7:BQ17,$A$59)+COUNTIF(BQ7:BQ17,$A$60)+COUNTIF(BQ7:BQ17,$A$61)+COUNTIF(BQ7:BQ17,$A$62)+COUNTIF(BQ7:BQ17,$A$63)+COUNTIF(BQ7:BQ17,$A$64)+COUNTIF(BQ7:BQ17,$A$66)+COUNTIF(BQ7:BQ17,$A$67)+COUNTIF(BQ19:BQ30,$A$48)+COUNTIF(BQ19:BQ30,$A$49)+COUNTIF(BQ19:BQ30,$A$50)+COUNTIF(BQ19:BQ30,$A$51)+COUNTIF(BQ19:BQ30,$A$52)+COUNTIF(BQ19:BQ30,$A$53)+COUNTIF(BQ19:BQ30,$A$54)+COUNTIF(BQ19:BQ30,$A$55)+COUNTIF(BQ19:BQ30,$A$56)+COUNTIF(BQ19:BQ30,$A$57)+COUNTIF(BQ19:BQ30,$A$58)+COUNTIF(BQ19:BQ30,$A$59)+COUNTIF(BQ19:BQ30,$A$60)+COUNTIF(BQ19:BQ30,$A$61)+COUNTIF(BQ19:BQ30,$A$62)+COUNTIF(BQ19:BQ30,$A$63)+COUNTIF(BQ19:BQ30,$A$64)+COUNTIF(BQ19:BQ30,$A$66)+COUNTIF(BQ19:BQ30,$A$67)</f>
        <v>14</v>
      </c>
      <c r="BR18" s="273"/>
      <c r="BS18" s="231">
        <f t="shared" ref="BS18:BU18" si="29">SUM(BS19:BS20)</f>
        <v>51.55555556</v>
      </c>
      <c r="BT18" s="231">
        <f t="shared" si="29"/>
        <v>464</v>
      </c>
      <c r="BU18" s="231">
        <f t="shared" si="29"/>
        <v>0</v>
      </c>
      <c r="BV18" s="232">
        <f>SUM(BV19)</f>
        <v>12</v>
      </c>
      <c r="BW18" s="233"/>
      <c r="BX18" s="249"/>
      <c r="BY18" s="249"/>
      <c r="BZ18" s="249"/>
      <c r="CA18" s="249"/>
      <c r="CB18" s="249"/>
      <c r="CC18" s="249"/>
      <c r="CD18" s="249"/>
      <c r="CE18" s="249"/>
      <c r="CF18" s="249"/>
      <c r="CG18" s="249"/>
      <c r="CH18" s="249"/>
      <c r="CI18" s="249"/>
      <c r="CJ18" s="249"/>
      <c r="CK18" s="249"/>
      <c r="CL18" s="249"/>
      <c r="CM18" s="249"/>
      <c r="CN18" s="249"/>
      <c r="CO18" s="249"/>
      <c r="CP18" s="249"/>
      <c r="CQ18" s="249"/>
      <c r="CR18" s="249"/>
      <c r="CS18" s="249"/>
      <c r="CT18" s="249"/>
      <c r="CU18" s="249"/>
      <c r="CV18" s="249"/>
      <c r="CW18" s="249"/>
      <c r="CX18" s="114"/>
      <c r="CY18" s="67">
        <f t="shared" ref="CY18:DC18" si="30">COUNTIF($E18:$BR18,CY$6)</f>
        <v>0</v>
      </c>
      <c r="CZ18" s="67">
        <f t="shared" si="30"/>
        <v>0</v>
      </c>
      <c r="DA18" s="67">
        <f t="shared" si="30"/>
        <v>0</v>
      </c>
      <c r="DB18" s="67">
        <f t="shared" si="30"/>
        <v>0</v>
      </c>
      <c r="DC18" s="67">
        <f t="shared" si="30"/>
        <v>0</v>
      </c>
      <c r="DD18" s="114">
        <f t="shared" si="28"/>
        <v>0</v>
      </c>
    </row>
    <row r="19">
      <c r="A19" s="238">
        <f t="shared" ref="A19:A24" si="33">IF(B19&lt;&gt;"",SUBTOTAL(3,$B$19:B19),"")</f>
        <v>1</v>
      </c>
      <c r="B19" s="239" t="s">
        <v>176</v>
      </c>
      <c r="C19" s="255">
        <v>3.59958669E8</v>
      </c>
      <c r="D19" s="274"/>
      <c r="E19" s="79" t="s">
        <v>28</v>
      </c>
      <c r="F19" s="87" t="s">
        <v>161</v>
      </c>
      <c r="G19" s="79" t="s">
        <v>42</v>
      </c>
      <c r="H19" s="75"/>
      <c r="I19" s="79" t="s">
        <v>42</v>
      </c>
      <c r="J19" s="75"/>
      <c r="K19" s="275">
        <v>103.0</v>
      </c>
      <c r="L19" s="79" t="s">
        <v>42</v>
      </c>
      <c r="M19" s="75"/>
      <c r="N19" s="79" t="s">
        <v>42</v>
      </c>
      <c r="O19" s="75" t="s">
        <v>54</v>
      </c>
      <c r="P19" s="79" t="s">
        <v>27</v>
      </c>
      <c r="Q19" s="75"/>
      <c r="R19" s="79" t="s">
        <v>42</v>
      </c>
      <c r="S19" s="75"/>
      <c r="T19" s="79" t="s">
        <v>42</v>
      </c>
      <c r="U19" s="244"/>
      <c r="V19" s="79" t="s">
        <v>42</v>
      </c>
      <c r="W19" s="244"/>
      <c r="X19" s="79" t="s">
        <v>42</v>
      </c>
      <c r="Y19" s="244"/>
      <c r="Z19" s="275">
        <v>103.0</v>
      </c>
      <c r="AA19" s="79" t="s">
        <v>28</v>
      </c>
      <c r="AB19" s="77" t="s">
        <v>161</v>
      </c>
      <c r="AC19" s="79" t="s">
        <v>27</v>
      </c>
      <c r="AD19" s="77"/>
      <c r="AE19" s="79" t="s">
        <v>27</v>
      </c>
      <c r="AF19" s="77" t="s">
        <v>54</v>
      </c>
      <c r="AG19" s="79" t="s">
        <v>26</v>
      </c>
      <c r="AH19" s="77"/>
      <c r="AI19" s="79" t="s">
        <v>27</v>
      </c>
      <c r="AJ19" s="77"/>
      <c r="AK19" s="79" t="s">
        <v>28</v>
      </c>
      <c r="AL19" s="244" t="s">
        <v>161</v>
      </c>
      <c r="AM19" s="79" t="s">
        <v>28</v>
      </c>
      <c r="AN19" s="244" t="s">
        <v>161</v>
      </c>
      <c r="AO19" s="275">
        <v>103.0</v>
      </c>
      <c r="AP19" s="79" t="s">
        <v>27</v>
      </c>
      <c r="AQ19" s="77"/>
      <c r="AR19" s="79" t="s">
        <v>28</v>
      </c>
      <c r="AS19" s="77" t="s">
        <v>160</v>
      </c>
      <c r="AT19" s="79" t="s">
        <v>27</v>
      </c>
      <c r="AU19" s="244" t="s">
        <v>54</v>
      </c>
      <c r="AV19" s="79" t="s">
        <v>42</v>
      </c>
      <c r="AW19" s="244"/>
      <c r="AX19" s="79" t="s">
        <v>28</v>
      </c>
      <c r="AY19" s="75" t="s">
        <v>161</v>
      </c>
      <c r="AZ19" s="79" t="s">
        <v>27</v>
      </c>
      <c r="BA19" s="75"/>
      <c r="BB19" s="79" t="s">
        <v>27</v>
      </c>
      <c r="BC19" s="75"/>
      <c r="BD19" s="275">
        <v>103.0</v>
      </c>
      <c r="BE19" s="79" t="s">
        <v>28</v>
      </c>
      <c r="BF19" s="75" t="s">
        <v>161</v>
      </c>
      <c r="BG19" s="79" t="s">
        <v>28</v>
      </c>
      <c r="BH19" s="75" t="s">
        <v>161</v>
      </c>
      <c r="BI19" s="79" t="s">
        <v>28</v>
      </c>
      <c r="BJ19" s="75" t="s">
        <v>160</v>
      </c>
      <c r="BK19" s="79" t="s">
        <v>28</v>
      </c>
      <c r="BL19" s="75" t="s">
        <v>160</v>
      </c>
      <c r="BM19" s="79" t="s">
        <v>28</v>
      </c>
      <c r="BN19" s="75" t="s">
        <v>161</v>
      </c>
      <c r="BO19" s="79" t="s">
        <v>28</v>
      </c>
      <c r="BP19" s="75" t="s">
        <v>161</v>
      </c>
      <c r="BQ19" s="79" t="s">
        <v>27</v>
      </c>
      <c r="BR19" s="75"/>
      <c r="BS19" s="245">
        <f t="shared" ref="BS19:BS24" si="34">BT19/9</f>
        <v>22</v>
      </c>
      <c r="BT19" s="246">
        <f t="shared" ref="BT19:BT24" si="35">sumproduct(BY19:CW19,$BY$5:$CW$5)+sum(BY19:CB19)-BU19</f>
        <v>198</v>
      </c>
      <c r="BU19" s="247">
        <f t="shared" ref="BU19:BU24" si="36">sumproduct(CM19:CR19,$CM$31:$CR$31)</f>
        <v>0</v>
      </c>
      <c r="BV19" s="228">
        <f t="shared" ref="BV19:BV24" si="37">+COUNTIF(E19:BR19,"VT")+COUNTIF(E19:BP19,"PT")+COUNTIF(E19:BP19,"YB")+COUNTIF(E19:BP19,"PTYB")*2</f>
        <v>12</v>
      </c>
      <c r="BW19" s="248"/>
      <c r="BX19" s="249"/>
      <c r="BY19" s="250">
        <f t="shared" ref="BY19:CW19" si="31">COUNTIF($E19:$BR19,BY$6)</f>
        <v>0</v>
      </c>
      <c r="BZ19" s="250">
        <f t="shared" si="31"/>
        <v>0</v>
      </c>
      <c r="CA19" s="250">
        <f t="shared" si="31"/>
        <v>0</v>
      </c>
      <c r="CB19" s="250">
        <f t="shared" si="31"/>
        <v>0</v>
      </c>
      <c r="CC19" s="250">
        <f t="shared" si="31"/>
        <v>0</v>
      </c>
      <c r="CD19" s="250">
        <f t="shared" si="31"/>
        <v>0</v>
      </c>
      <c r="CE19" s="250">
        <f t="shared" si="31"/>
        <v>0</v>
      </c>
      <c r="CF19" s="250">
        <f t="shared" si="31"/>
        <v>0</v>
      </c>
      <c r="CG19" s="250">
        <f t="shared" si="31"/>
        <v>1</v>
      </c>
      <c r="CH19" s="250">
        <f t="shared" si="31"/>
        <v>9</v>
      </c>
      <c r="CI19" s="250">
        <f t="shared" si="31"/>
        <v>12</v>
      </c>
      <c r="CJ19" s="250">
        <f t="shared" si="31"/>
        <v>0</v>
      </c>
      <c r="CK19" s="250">
        <f t="shared" si="31"/>
        <v>0</v>
      </c>
      <c r="CL19" s="250">
        <f t="shared" si="31"/>
        <v>0</v>
      </c>
      <c r="CM19" s="250">
        <f t="shared" si="31"/>
        <v>0</v>
      </c>
      <c r="CN19" s="250">
        <f t="shared" si="31"/>
        <v>0</v>
      </c>
      <c r="CO19" s="250">
        <f t="shared" si="31"/>
        <v>0</v>
      </c>
      <c r="CP19" s="250">
        <f t="shared" si="31"/>
        <v>0</v>
      </c>
      <c r="CQ19" s="250">
        <f t="shared" si="31"/>
        <v>0</v>
      </c>
      <c r="CR19" s="250">
        <f t="shared" si="31"/>
        <v>0</v>
      </c>
      <c r="CS19" s="250">
        <f t="shared" si="31"/>
        <v>0</v>
      </c>
      <c r="CT19" s="250">
        <f t="shared" si="31"/>
        <v>0</v>
      </c>
      <c r="CU19" s="250">
        <f t="shared" si="31"/>
        <v>0</v>
      </c>
      <c r="CV19" s="250">
        <f t="shared" si="31"/>
        <v>0</v>
      </c>
      <c r="CW19" s="250">
        <f t="shared" si="31"/>
        <v>9</v>
      </c>
      <c r="CX19" s="68"/>
      <c r="CY19" s="67">
        <f t="shared" ref="CY19:DC19" si="32">COUNTIF($E19:$BR19,CY$6)</f>
        <v>0</v>
      </c>
      <c r="CZ19" s="67">
        <f t="shared" si="32"/>
        <v>3</v>
      </c>
      <c r="DA19" s="67">
        <f t="shared" si="32"/>
        <v>9</v>
      </c>
      <c r="DB19" s="67">
        <f t="shared" si="32"/>
        <v>0</v>
      </c>
      <c r="DC19" s="67">
        <f t="shared" si="32"/>
        <v>3</v>
      </c>
      <c r="DD19" s="114">
        <f t="shared" si="28"/>
        <v>12</v>
      </c>
    </row>
    <row r="20">
      <c r="A20" s="238">
        <f t="shared" si="33"/>
        <v>2</v>
      </c>
      <c r="B20" s="276" t="s">
        <v>177</v>
      </c>
      <c r="C20" s="255">
        <v>3.62432663E8</v>
      </c>
      <c r="D20" s="274"/>
      <c r="E20" s="79" t="s">
        <v>27</v>
      </c>
      <c r="F20" s="76" t="s">
        <v>54</v>
      </c>
      <c r="G20" s="79" t="s">
        <v>27</v>
      </c>
      <c r="H20" s="75" t="s">
        <v>159</v>
      </c>
      <c r="I20" s="79" t="s">
        <v>28</v>
      </c>
      <c r="J20" s="75" t="s">
        <v>160</v>
      </c>
      <c r="K20" s="275">
        <v>108.0</v>
      </c>
      <c r="L20" s="79" t="s">
        <v>28</v>
      </c>
      <c r="M20" s="75" t="s">
        <v>160</v>
      </c>
      <c r="N20" s="79" t="s">
        <v>27</v>
      </c>
      <c r="O20" s="75"/>
      <c r="P20" s="79" t="s">
        <v>27</v>
      </c>
      <c r="Q20" s="75" t="s">
        <v>54</v>
      </c>
      <c r="R20" s="79" t="s">
        <v>27</v>
      </c>
      <c r="S20" s="75"/>
      <c r="T20" s="79" t="s">
        <v>28</v>
      </c>
      <c r="U20" s="244" t="s">
        <v>160</v>
      </c>
      <c r="V20" s="79" t="s">
        <v>28</v>
      </c>
      <c r="W20" s="244" t="s">
        <v>160</v>
      </c>
      <c r="X20" s="79" t="s">
        <v>28</v>
      </c>
      <c r="Y20" s="244" t="s">
        <v>160</v>
      </c>
      <c r="Z20" s="275">
        <v>108.0</v>
      </c>
      <c r="AA20" s="79" t="s">
        <v>42</v>
      </c>
      <c r="AB20" s="77"/>
      <c r="AC20" s="79" t="s">
        <v>42</v>
      </c>
      <c r="AD20" s="77"/>
      <c r="AE20" s="79" t="s">
        <v>28</v>
      </c>
      <c r="AF20" s="77" t="s">
        <v>160</v>
      </c>
      <c r="AG20" s="79" t="s">
        <v>27</v>
      </c>
      <c r="AH20" s="77" t="s">
        <v>54</v>
      </c>
      <c r="AI20" s="79" t="s">
        <v>27</v>
      </c>
      <c r="AJ20" s="277"/>
      <c r="AK20" s="79" t="s">
        <v>28</v>
      </c>
      <c r="AL20" s="244" t="s">
        <v>160</v>
      </c>
      <c r="AM20" s="79" t="s">
        <v>28</v>
      </c>
      <c r="AN20" s="244" t="s">
        <v>160</v>
      </c>
      <c r="AO20" s="275">
        <v>108.0</v>
      </c>
      <c r="AP20" s="79" t="s">
        <v>28</v>
      </c>
      <c r="AQ20" s="77" t="s">
        <v>160</v>
      </c>
      <c r="AR20" s="79" t="s">
        <v>27</v>
      </c>
      <c r="AS20" s="77" t="s">
        <v>54</v>
      </c>
      <c r="AT20" s="79" t="s">
        <v>28</v>
      </c>
      <c r="AU20" s="244" t="s">
        <v>160</v>
      </c>
      <c r="AV20" s="79" t="s">
        <v>27</v>
      </c>
      <c r="AW20" s="244"/>
      <c r="AX20" s="79" t="s">
        <v>27</v>
      </c>
      <c r="AY20" s="75"/>
      <c r="AZ20" s="79" t="s">
        <v>40</v>
      </c>
      <c r="BA20" s="75" t="s">
        <v>160</v>
      </c>
      <c r="BB20" s="79" t="s">
        <v>28</v>
      </c>
      <c r="BC20" s="75" t="s">
        <v>160</v>
      </c>
      <c r="BD20" s="275">
        <v>108.0</v>
      </c>
      <c r="BE20" s="79" t="s">
        <v>27</v>
      </c>
      <c r="BF20" s="75"/>
      <c r="BG20" s="79" t="s">
        <v>26</v>
      </c>
      <c r="BH20" s="75" t="s">
        <v>160</v>
      </c>
      <c r="BI20" s="79" t="s">
        <v>27</v>
      </c>
      <c r="BJ20" s="75" t="s">
        <v>54</v>
      </c>
      <c r="BK20" s="79" t="s">
        <v>27</v>
      </c>
      <c r="BL20" s="75"/>
      <c r="BM20" s="79" t="s">
        <v>27</v>
      </c>
      <c r="BN20" s="75" t="s">
        <v>54</v>
      </c>
      <c r="BO20" s="79" t="s">
        <v>27</v>
      </c>
      <c r="BP20" s="75"/>
      <c r="BQ20" s="79" t="s">
        <v>28</v>
      </c>
      <c r="BR20" s="75" t="s">
        <v>160</v>
      </c>
      <c r="BS20" s="245">
        <f t="shared" si="34"/>
        <v>29.55555556</v>
      </c>
      <c r="BT20" s="246">
        <f t="shared" si="35"/>
        <v>266</v>
      </c>
      <c r="BU20" s="247">
        <f t="shared" si="36"/>
        <v>0</v>
      </c>
      <c r="BV20" s="228">
        <f t="shared" si="37"/>
        <v>14</v>
      </c>
      <c r="BW20" s="248"/>
      <c r="BX20" s="249"/>
      <c r="BY20" s="250">
        <f t="shared" ref="BY20:CW20" si="38">COUNTIF($E20:$BR20,BY$6)</f>
        <v>0</v>
      </c>
      <c r="BZ20" s="250">
        <f t="shared" si="38"/>
        <v>0</v>
      </c>
      <c r="CA20" s="250">
        <f t="shared" si="38"/>
        <v>0</v>
      </c>
      <c r="CB20" s="250">
        <f t="shared" si="38"/>
        <v>0</v>
      </c>
      <c r="CC20" s="250">
        <f t="shared" si="38"/>
        <v>0</v>
      </c>
      <c r="CD20" s="250">
        <f t="shared" si="38"/>
        <v>0</v>
      </c>
      <c r="CE20" s="250">
        <f t="shared" si="38"/>
        <v>0</v>
      </c>
      <c r="CF20" s="250">
        <f t="shared" si="38"/>
        <v>0</v>
      </c>
      <c r="CG20" s="250">
        <f t="shared" si="38"/>
        <v>1</v>
      </c>
      <c r="CH20" s="250">
        <f t="shared" si="38"/>
        <v>15</v>
      </c>
      <c r="CI20" s="250">
        <f t="shared" si="38"/>
        <v>12</v>
      </c>
      <c r="CJ20" s="250">
        <f t="shared" si="38"/>
        <v>0</v>
      </c>
      <c r="CK20" s="250">
        <f t="shared" si="38"/>
        <v>0</v>
      </c>
      <c r="CL20" s="250">
        <f t="shared" si="38"/>
        <v>0</v>
      </c>
      <c r="CM20" s="250">
        <f t="shared" si="38"/>
        <v>0</v>
      </c>
      <c r="CN20" s="250">
        <f t="shared" si="38"/>
        <v>0</v>
      </c>
      <c r="CO20" s="250">
        <f t="shared" si="38"/>
        <v>0</v>
      </c>
      <c r="CP20" s="250">
        <f t="shared" si="38"/>
        <v>0</v>
      </c>
      <c r="CQ20" s="250">
        <f t="shared" si="38"/>
        <v>0</v>
      </c>
      <c r="CR20" s="250">
        <f t="shared" si="38"/>
        <v>0</v>
      </c>
      <c r="CS20" s="250">
        <f t="shared" si="38"/>
        <v>0</v>
      </c>
      <c r="CT20" s="250">
        <f t="shared" si="38"/>
        <v>0</v>
      </c>
      <c r="CU20" s="250">
        <f t="shared" si="38"/>
        <v>1</v>
      </c>
      <c r="CV20" s="250">
        <f t="shared" si="38"/>
        <v>0</v>
      </c>
      <c r="CW20" s="250">
        <f t="shared" si="38"/>
        <v>2</v>
      </c>
      <c r="CX20" s="68"/>
      <c r="CY20" s="67">
        <f t="shared" ref="CY20:DC20" si="39">COUNTIF($E20:$BR20,CY$6)</f>
        <v>1</v>
      </c>
      <c r="CZ20" s="67">
        <f t="shared" si="39"/>
        <v>14</v>
      </c>
      <c r="DA20" s="67">
        <f t="shared" si="39"/>
        <v>0</v>
      </c>
      <c r="DB20" s="67">
        <f t="shared" si="39"/>
        <v>0</v>
      </c>
      <c r="DC20" s="67">
        <f t="shared" si="39"/>
        <v>6</v>
      </c>
      <c r="DD20" s="114">
        <f t="shared" si="28"/>
        <v>15</v>
      </c>
    </row>
    <row r="21">
      <c r="A21" s="238">
        <f t="shared" si="33"/>
        <v>3</v>
      </c>
      <c r="B21" s="239" t="s">
        <v>178</v>
      </c>
      <c r="C21" s="240">
        <v>5.63871552E8</v>
      </c>
      <c r="D21" s="274"/>
      <c r="E21" s="76" t="s">
        <v>26</v>
      </c>
      <c r="F21" s="76"/>
      <c r="G21" s="76" t="s">
        <v>42</v>
      </c>
      <c r="H21" s="75"/>
      <c r="I21" s="76" t="s">
        <v>42</v>
      </c>
      <c r="J21" s="75"/>
      <c r="K21" s="275">
        <v>122.0</v>
      </c>
      <c r="L21" s="76" t="s">
        <v>26</v>
      </c>
      <c r="M21" s="75"/>
      <c r="N21" s="76" t="s">
        <v>28</v>
      </c>
      <c r="O21" s="75"/>
      <c r="P21" s="79" t="s">
        <v>42</v>
      </c>
      <c r="Q21" s="75"/>
      <c r="R21" s="76" t="s">
        <v>27</v>
      </c>
      <c r="S21" s="75" t="s">
        <v>54</v>
      </c>
      <c r="T21" s="76" t="s">
        <v>26</v>
      </c>
      <c r="U21" s="244" t="s">
        <v>159</v>
      </c>
      <c r="V21" s="76" t="s">
        <v>26</v>
      </c>
      <c r="W21" s="244"/>
      <c r="X21" s="76" t="s">
        <v>40</v>
      </c>
      <c r="Y21" s="244" t="s">
        <v>159</v>
      </c>
      <c r="Z21" s="275">
        <v>122.0</v>
      </c>
      <c r="AA21" s="75" t="s">
        <v>26</v>
      </c>
      <c r="AB21" s="77" t="s">
        <v>159</v>
      </c>
      <c r="AC21" s="75" t="s">
        <v>18</v>
      </c>
      <c r="AD21" s="77"/>
      <c r="AE21" s="75" t="s">
        <v>26</v>
      </c>
      <c r="AF21" s="77"/>
      <c r="AG21" s="75" t="s">
        <v>18</v>
      </c>
      <c r="AH21" s="77"/>
      <c r="AI21" s="75" t="s">
        <v>28</v>
      </c>
      <c r="AJ21" s="77" t="s">
        <v>159</v>
      </c>
      <c r="AK21" s="79" t="s">
        <v>26</v>
      </c>
      <c r="AL21" s="244"/>
      <c r="AM21" s="79" t="s">
        <v>26</v>
      </c>
      <c r="AN21" s="244"/>
      <c r="AO21" s="275">
        <v>122.0</v>
      </c>
      <c r="AP21" s="79" t="s">
        <v>27</v>
      </c>
      <c r="AQ21" s="77"/>
      <c r="AR21" s="79" t="s">
        <v>18</v>
      </c>
      <c r="AS21" s="77"/>
      <c r="AT21" s="79" t="s">
        <v>28</v>
      </c>
      <c r="AU21" s="244" t="s">
        <v>159</v>
      </c>
      <c r="AV21" s="79" t="s">
        <v>28</v>
      </c>
      <c r="AW21" s="244" t="s">
        <v>159</v>
      </c>
      <c r="AX21" s="79" t="s">
        <v>28</v>
      </c>
      <c r="AY21" s="75" t="s">
        <v>159</v>
      </c>
      <c r="AZ21" s="79" t="s">
        <v>28</v>
      </c>
      <c r="BA21" s="75" t="s">
        <v>159</v>
      </c>
      <c r="BB21" s="79" t="s">
        <v>42</v>
      </c>
      <c r="BC21" s="75"/>
      <c r="BD21" s="275">
        <v>122.0</v>
      </c>
      <c r="BE21" s="75" t="s">
        <v>28</v>
      </c>
      <c r="BF21" s="75" t="s">
        <v>159</v>
      </c>
      <c r="BG21" s="79" t="s">
        <v>26</v>
      </c>
      <c r="BH21" s="75" t="s">
        <v>159</v>
      </c>
      <c r="BI21" s="75" t="s">
        <v>18</v>
      </c>
      <c r="BJ21" s="75"/>
      <c r="BK21" s="79" t="s">
        <v>42</v>
      </c>
      <c r="BL21" s="75"/>
      <c r="BM21" s="75" t="s">
        <v>28</v>
      </c>
      <c r="BN21" s="75" t="s">
        <v>159</v>
      </c>
      <c r="BO21" s="75" t="s">
        <v>28</v>
      </c>
      <c r="BP21" s="75" t="s">
        <v>159</v>
      </c>
      <c r="BQ21" s="75" t="s">
        <v>28</v>
      </c>
      <c r="BR21" s="75" t="s">
        <v>159</v>
      </c>
      <c r="BS21" s="245">
        <f t="shared" si="34"/>
        <v>26.55555556</v>
      </c>
      <c r="BT21" s="246">
        <f t="shared" si="35"/>
        <v>239</v>
      </c>
      <c r="BU21" s="247">
        <f t="shared" si="36"/>
        <v>0</v>
      </c>
      <c r="BV21" s="228">
        <f t="shared" si="37"/>
        <v>13</v>
      </c>
      <c r="BW21" s="248"/>
      <c r="BX21" s="249"/>
      <c r="BY21" s="250">
        <f t="shared" ref="BY21:CW21" si="40">COUNTIF($E21:$BR21,BY$6)</f>
        <v>4</v>
      </c>
      <c r="BZ21" s="250">
        <f t="shared" si="40"/>
        <v>0</v>
      </c>
      <c r="CA21" s="250">
        <f t="shared" si="40"/>
        <v>0</v>
      </c>
      <c r="CB21" s="250">
        <f t="shared" si="40"/>
        <v>0</v>
      </c>
      <c r="CC21" s="250">
        <f t="shared" si="40"/>
        <v>0</v>
      </c>
      <c r="CD21" s="250">
        <f t="shared" si="40"/>
        <v>0</v>
      </c>
      <c r="CE21" s="250">
        <f t="shared" si="40"/>
        <v>0</v>
      </c>
      <c r="CF21" s="250">
        <f t="shared" si="40"/>
        <v>0</v>
      </c>
      <c r="CG21" s="250">
        <f t="shared" si="40"/>
        <v>9</v>
      </c>
      <c r="CH21" s="250">
        <f t="shared" si="40"/>
        <v>2</v>
      </c>
      <c r="CI21" s="250">
        <f t="shared" si="40"/>
        <v>10</v>
      </c>
      <c r="CJ21" s="250">
        <f t="shared" si="40"/>
        <v>0</v>
      </c>
      <c r="CK21" s="250">
        <f t="shared" si="40"/>
        <v>0</v>
      </c>
      <c r="CL21" s="250">
        <f t="shared" si="40"/>
        <v>0</v>
      </c>
      <c r="CM21" s="250">
        <f t="shared" si="40"/>
        <v>0</v>
      </c>
      <c r="CN21" s="250">
        <f t="shared" si="40"/>
        <v>0</v>
      </c>
      <c r="CO21" s="250">
        <f t="shared" si="40"/>
        <v>0</v>
      </c>
      <c r="CP21" s="250">
        <f t="shared" si="40"/>
        <v>0</v>
      </c>
      <c r="CQ21" s="250">
        <f t="shared" si="40"/>
        <v>0</v>
      </c>
      <c r="CR21" s="250">
        <f t="shared" si="40"/>
        <v>0</v>
      </c>
      <c r="CS21" s="250">
        <f t="shared" si="40"/>
        <v>0</v>
      </c>
      <c r="CT21" s="250">
        <f t="shared" si="40"/>
        <v>0</v>
      </c>
      <c r="CU21" s="250">
        <f t="shared" si="40"/>
        <v>1</v>
      </c>
      <c r="CV21" s="250">
        <f t="shared" si="40"/>
        <v>0</v>
      </c>
      <c r="CW21" s="250">
        <f t="shared" si="40"/>
        <v>5</v>
      </c>
      <c r="CX21" s="68"/>
      <c r="CY21" s="67">
        <f t="shared" ref="CY21:DC21" si="41">COUNTIF($E21:$BR21,CY$6)</f>
        <v>13</v>
      </c>
      <c r="CZ21" s="67">
        <f t="shared" si="41"/>
        <v>0</v>
      </c>
      <c r="DA21" s="67">
        <f t="shared" si="41"/>
        <v>0</v>
      </c>
      <c r="DB21" s="67">
        <f t="shared" si="41"/>
        <v>0</v>
      </c>
      <c r="DC21" s="67">
        <f t="shared" si="41"/>
        <v>1</v>
      </c>
      <c r="DD21" s="114">
        <f t="shared" si="28"/>
        <v>13</v>
      </c>
    </row>
    <row r="22">
      <c r="A22" s="238">
        <f t="shared" si="33"/>
        <v>4</v>
      </c>
      <c r="B22" s="239" t="s">
        <v>171</v>
      </c>
      <c r="C22" s="240">
        <v>3.44189884E8</v>
      </c>
      <c r="D22" s="278"/>
      <c r="E22" s="76" t="s">
        <v>26</v>
      </c>
      <c r="F22" s="76" t="s">
        <v>159</v>
      </c>
      <c r="G22" s="76" t="s">
        <v>42</v>
      </c>
      <c r="H22" s="75"/>
      <c r="I22" s="76" t="s">
        <v>42</v>
      </c>
      <c r="J22" s="75"/>
      <c r="K22" s="279">
        <v>106.0</v>
      </c>
      <c r="L22" s="76" t="s">
        <v>26</v>
      </c>
      <c r="M22" s="75" t="s">
        <v>161</v>
      </c>
      <c r="N22" s="76" t="s">
        <v>26</v>
      </c>
      <c r="O22" s="75" t="s">
        <v>159</v>
      </c>
      <c r="P22" s="76" t="s">
        <v>42</v>
      </c>
      <c r="Q22" s="75"/>
      <c r="R22" s="76" t="s">
        <v>26</v>
      </c>
      <c r="S22" s="75"/>
      <c r="T22" s="76" t="s">
        <v>26</v>
      </c>
      <c r="U22" s="244" t="s">
        <v>161</v>
      </c>
      <c r="V22" s="76" t="s">
        <v>26</v>
      </c>
      <c r="W22" s="244" t="s">
        <v>161</v>
      </c>
      <c r="X22" s="79" t="s">
        <v>26</v>
      </c>
      <c r="Y22" s="244" t="s">
        <v>161</v>
      </c>
      <c r="Z22" s="279">
        <v>106.0</v>
      </c>
      <c r="AA22" s="76" t="s">
        <v>26</v>
      </c>
      <c r="AB22" s="77" t="s">
        <v>54</v>
      </c>
      <c r="AC22" s="76" t="s">
        <v>26</v>
      </c>
      <c r="AD22" s="77" t="s">
        <v>159</v>
      </c>
      <c r="AE22" s="76" t="s">
        <v>26</v>
      </c>
      <c r="AF22" s="277" t="s">
        <v>159</v>
      </c>
      <c r="AG22" s="76" t="s">
        <v>27</v>
      </c>
      <c r="AH22" s="77"/>
      <c r="AI22" s="76" t="s">
        <v>26</v>
      </c>
      <c r="AJ22" s="77"/>
      <c r="AK22" s="76" t="s">
        <v>27</v>
      </c>
      <c r="AL22" s="244" t="s">
        <v>54</v>
      </c>
      <c r="AM22" s="76" t="s">
        <v>27</v>
      </c>
      <c r="AN22" s="244"/>
      <c r="AO22" s="279">
        <v>106.0</v>
      </c>
      <c r="AP22" s="79" t="s">
        <v>26</v>
      </c>
      <c r="AQ22" s="277" t="s">
        <v>163</v>
      </c>
      <c r="AR22" s="79" t="s">
        <v>27</v>
      </c>
      <c r="AS22" s="77"/>
      <c r="AT22" s="79" t="s">
        <v>26</v>
      </c>
      <c r="AU22" s="244" t="s">
        <v>161</v>
      </c>
      <c r="AV22" s="79" t="s">
        <v>26</v>
      </c>
      <c r="AW22" s="244" t="s">
        <v>160</v>
      </c>
      <c r="AX22" s="79" t="s">
        <v>26</v>
      </c>
      <c r="AY22" s="75" t="s">
        <v>160</v>
      </c>
      <c r="AZ22" s="79" t="s">
        <v>26</v>
      </c>
      <c r="BA22" s="75"/>
      <c r="BB22" s="76" t="s">
        <v>27</v>
      </c>
      <c r="BC22" s="75" t="s">
        <v>54</v>
      </c>
      <c r="BD22" s="279">
        <v>106.0</v>
      </c>
      <c r="BE22" s="75" t="s">
        <v>26</v>
      </c>
      <c r="BF22" s="75" t="s">
        <v>160</v>
      </c>
      <c r="BG22" s="75" t="s">
        <v>26</v>
      </c>
      <c r="BH22" s="75"/>
      <c r="BI22" s="75" t="s">
        <v>42</v>
      </c>
      <c r="BJ22" s="75"/>
      <c r="BK22" s="79" t="s">
        <v>26</v>
      </c>
      <c r="BL22" s="75" t="s">
        <v>54</v>
      </c>
      <c r="BM22" s="75" t="s">
        <v>28</v>
      </c>
      <c r="BN22" s="75" t="s">
        <v>160</v>
      </c>
      <c r="BO22" s="75" t="s">
        <v>26</v>
      </c>
      <c r="BP22" s="75" t="s">
        <v>160</v>
      </c>
      <c r="BQ22" s="75" t="s">
        <v>26</v>
      </c>
      <c r="BR22" s="75"/>
      <c r="BS22" s="245">
        <f t="shared" si="34"/>
        <v>27</v>
      </c>
      <c r="BT22" s="246">
        <f t="shared" si="35"/>
        <v>243</v>
      </c>
      <c r="BU22" s="247">
        <f t="shared" si="36"/>
        <v>0</v>
      </c>
      <c r="BV22" s="228">
        <f t="shared" si="37"/>
        <v>14</v>
      </c>
      <c r="BW22" s="248"/>
      <c r="BX22" s="249"/>
      <c r="BY22" s="250">
        <f t="shared" ref="BY22:CW22" si="42">COUNTIF($E22:$BR22,BY$6)</f>
        <v>0</v>
      </c>
      <c r="BZ22" s="250">
        <f t="shared" si="42"/>
        <v>0</v>
      </c>
      <c r="CA22" s="250">
        <f t="shared" si="42"/>
        <v>0</v>
      </c>
      <c r="CB22" s="250">
        <f t="shared" si="42"/>
        <v>0</v>
      </c>
      <c r="CC22" s="250">
        <f t="shared" si="42"/>
        <v>0</v>
      </c>
      <c r="CD22" s="250">
        <f t="shared" si="42"/>
        <v>0</v>
      </c>
      <c r="CE22" s="250">
        <f t="shared" si="42"/>
        <v>0</v>
      </c>
      <c r="CF22" s="250">
        <f t="shared" si="42"/>
        <v>0</v>
      </c>
      <c r="CG22" s="250">
        <f t="shared" si="42"/>
        <v>21</v>
      </c>
      <c r="CH22" s="250">
        <f t="shared" si="42"/>
        <v>5</v>
      </c>
      <c r="CI22" s="250">
        <f t="shared" si="42"/>
        <v>1</v>
      </c>
      <c r="CJ22" s="250">
        <f t="shared" si="42"/>
        <v>0</v>
      </c>
      <c r="CK22" s="250">
        <f t="shared" si="42"/>
        <v>0</v>
      </c>
      <c r="CL22" s="250">
        <f t="shared" si="42"/>
        <v>0</v>
      </c>
      <c r="CM22" s="250">
        <f t="shared" si="42"/>
        <v>0</v>
      </c>
      <c r="CN22" s="250">
        <f t="shared" si="42"/>
        <v>0</v>
      </c>
      <c r="CO22" s="250">
        <f t="shared" si="42"/>
        <v>0</v>
      </c>
      <c r="CP22" s="250">
        <f t="shared" si="42"/>
        <v>0</v>
      </c>
      <c r="CQ22" s="250">
        <f t="shared" si="42"/>
        <v>0</v>
      </c>
      <c r="CR22" s="250">
        <f t="shared" si="42"/>
        <v>0</v>
      </c>
      <c r="CS22" s="250">
        <f t="shared" si="42"/>
        <v>0</v>
      </c>
      <c r="CT22" s="250">
        <f t="shared" si="42"/>
        <v>0</v>
      </c>
      <c r="CU22" s="250">
        <f t="shared" si="42"/>
        <v>0</v>
      </c>
      <c r="CV22" s="250">
        <f t="shared" si="42"/>
        <v>0</v>
      </c>
      <c r="CW22" s="250">
        <f t="shared" si="42"/>
        <v>4</v>
      </c>
      <c r="CX22" s="68"/>
      <c r="CY22" s="67">
        <f t="shared" ref="CY22:DC22" si="43">COUNTIF($E22:$BR22,CY$6)</f>
        <v>4</v>
      </c>
      <c r="CZ22" s="67">
        <f t="shared" si="43"/>
        <v>5</v>
      </c>
      <c r="DA22" s="67">
        <f t="shared" si="43"/>
        <v>5</v>
      </c>
      <c r="DB22" s="67">
        <f t="shared" si="43"/>
        <v>0</v>
      </c>
      <c r="DC22" s="67">
        <f t="shared" si="43"/>
        <v>5</v>
      </c>
      <c r="DD22" s="114">
        <f t="shared" si="28"/>
        <v>14</v>
      </c>
    </row>
    <row r="23">
      <c r="A23" s="238">
        <f t="shared" si="33"/>
        <v>5</v>
      </c>
      <c r="B23" s="254" t="s">
        <v>179</v>
      </c>
      <c r="C23" s="280" t="s">
        <v>180</v>
      </c>
      <c r="D23" s="278"/>
      <c r="E23" s="79" t="s">
        <v>42</v>
      </c>
      <c r="F23" s="87"/>
      <c r="G23" s="79" t="s">
        <v>42</v>
      </c>
      <c r="H23" s="75"/>
      <c r="I23" s="79" t="s">
        <v>37</v>
      </c>
      <c r="J23" s="75" t="s">
        <v>159</v>
      </c>
      <c r="K23" s="279">
        <v>111.0</v>
      </c>
      <c r="L23" s="79" t="s">
        <v>28</v>
      </c>
      <c r="M23" s="75" t="s">
        <v>159</v>
      </c>
      <c r="N23" s="79" t="s">
        <v>18</v>
      </c>
      <c r="O23" s="75"/>
      <c r="P23" s="79" t="s">
        <v>28</v>
      </c>
      <c r="Q23" s="75" t="s">
        <v>159</v>
      </c>
      <c r="R23" s="79" t="s">
        <v>28</v>
      </c>
      <c r="S23" s="75" t="s">
        <v>159</v>
      </c>
      <c r="T23" s="79" t="s">
        <v>27</v>
      </c>
      <c r="U23" s="243"/>
      <c r="V23" s="79" t="s">
        <v>27</v>
      </c>
      <c r="W23" s="244" t="s">
        <v>159</v>
      </c>
      <c r="X23" s="79" t="s">
        <v>27</v>
      </c>
      <c r="Y23" s="243"/>
      <c r="Z23" s="279">
        <v>111.0</v>
      </c>
      <c r="AA23" s="79" t="s">
        <v>27</v>
      </c>
      <c r="AB23" s="277"/>
      <c r="AC23" s="79" t="s">
        <v>27</v>
      </c>
      <c r="AD23" s="77" t="s">
        <v>54</v>
      </c>
      <c r="AE23" s="79" t="s">
        <v>27</v>
      </c>
      <c r="AF23" s="77"/>
      <c r="AG23" s="79" t="s">
        <v>28</v>
      </c>
      <c r="AH23" s="277" t="s">
        <v>159</v>
      </c>
      <c r="AI23" s="79" t="s">
        <v>27</v>
      </c>
      <c r="AJ23" s="77" t="s">
        <v>54</v>
      </c>
      <c r="AK23" s="79" t="s">
        <v>28</v>
      </c>
      <c r="AL23" s="244" t="s">
        <v>159</v>
      </c>
      <c r="AM23" s="79" t="s">
        <v>28</v>
      </c>
      <c r="AN23" s="244" t="s">
        <v>159</v>
      </c>
      <c r="AO23" s="279">
        <v>111.0</v>
      </c>
      <c r="AP23" s="79" t="s">
        <v>28</v>
      </c>
      <c r="AQ23" s="77" t="s">
        <v>159</v>
      </c>
      <c r="AR23" s="79" t="s">
        <v>28</v>
      </c>
      <c r="AS23" s="77" t="s">
        <v>159</v>
      </c>
      <c r="AT23" s="79" t="s">
        <v>42</v>
      </c>
      <c r="AU23" s="244"/>
      <c r="AV23" s="79" t="s">
        <v>27</v>
      </c>
      <c r="AW23" s="244"/>
      <c r="AX23" s="79" t="s">
        <v>27</v>
      </c>
      <c r="AY23" s="75" t="s">
        <v>54</v>
      </c>
      <c r="AZ23" s="79" t="s">
        <v>27</v>
      </c>
      <c r="BA23" s="75" t="s">
        <v>54</v>
      </c>
      <c r="BB23" s="79" t="s">
        <v>28</v>
      </c>
      <c r="BC23" s="75" t="s">
        <v>159</v>
      </c>
      <c r="BD23" s="279">
        <v>111.0</v>
      </c>
      <c r="BE23" s="79" t="s">
        <v>27</v>
      </c>
      <c r="BF23" s="75"/>
      <c r="BG23" s="79" t="s">
        <v>27</v>
      </c>
      <c r="BH23" s="75" t="s">
        <v>54</v>
      </c>
      <c r="BI23" s="79" t="s">
        <v>27</v>
      </c>
      <c r="BJ23" s="75" t="s">
        <v>159</v>
      </c>
      <c r="BK23" s="79" t="s">
        <v>28</v>
      </c>
      <c r="BL23" s="75" t="s">
        <v>159</v>
      </c>
      <c r="BM23" s="79" t="s">
        <v>27</v>
      </c>
      <c r="BN23" s="75"/>
      <c r="BO23" s="79" t="s">
        <v>27</v>
      </c>
      <c r="BP23" s="75"/>
      <c r="BQ23" s="79" t="s">
        <v>27</v>
      </c>
      <c r="BR23" s="75" t="s">
        <v>163</v>
      </c>
      <c r="BS23" s="245">
        <f t="shared" si="34"/>
        <v>28</v>
      </c>
      <c r="BT23" s="246">
        <f t="shared" si="35"/>
        <v>252</v>
      </c>
      <c r="BU23" s="247">
        <f t="shared" si="36"/>
        <v>3</v>
      </c>
      <c r="BV23" s="228">
        <f t="shared" si="37"/>
        <v>13</v>
      </c>
      <c r="BW23" s="248"/>
      <c r="BX23" s="249"/>
      <c r="BY23" s="250">
        <f t="shared" ref="BY23:CW23" si="44">COUNTIF($E23:$BR23,BY$6)</f>
        <v>1</v>
      </c>
      <c r="BZ23" s="250">
        <f t="shared" si="44"/>
        <v>0</v>
      </c>
      <c r="CA23" s="250">
        <f t="shared" si="44"/>
        <v>0</v>
      </c>
      <c r="CB23" s="250">
        <f t="shared" si="44"/>
        <v>0</v>
      </c>
      <c r="CC23" s="250">
        <f t="shared" si="44"/>
        <v>0</v>
      </c>
      <c r="CD23" s="250">
        <f t="shared" si="44"/>
        <v>0</v>
      </c>
      <c r="CE23" s="250">
        <f t="shared" si="44"/>
        <v>0</v>
      </c>
      <c r="CF23" s="250">
        <f t="shared" si="44"/>
        <v>0</v>
      </c>
      <c r="CG23" s="250">
        <f t="shared" si="44"/>
        <v>0</v>
      </c>
      <c r="CH23" s="250">
        <f t="shared" si="44"/>
        <v>16</v>
      </c>
      <c r="CI23" s="250">
        <f t="shared" si="44"/>
        <v>10</v>
      </c>
      <c r="CJ23" s="250">
        <f t="shared" si="44"/>
        <v>0</v>
      </c>
      <c r="CK23" s="250">
        <f t="shared" si="44"/>
        <v>0</v>
      </c>
      <c r="CL23" s="250">
        <f t="shared" si="44"/>
        <v>0</v>
      </c>
      <c r="CM23" s="250">
        <f t="shared" si="44"/>
        <v>0</v>
      </c>
      <c r="CN23" s="250">
        <f t="shared" si="44"/>
        <v>0</v>
      </c>
      <c r="CO23" s="250">
        <f t="shared" si="44"/>
        <v>0</v>
      </c>
      <c r="CP23" s="250">
        <f t="shared" si="44"/>
        <v>0</v>
      </c>
      <c r="CQ23" s="250">
        <f t="shared" si="44"/>
        <v>0</v>
      </c>
      <c r="CR23" s="250">
        <f t="shared" si="44"/>
        <v>1</v>
      </c>
      <c r="CS23" s="250">
        <f t="shared" si="44"/>
        <v>0</v>
      </c>
      <c r="CT23" s="250">
        <f t="shared" si="44"/>
        <v>0</v>
      </c>
      <c r="CU23" s="250">
        <f t="shared" si="44"/>
        <v>0</v>
      </c>
      <c r="CV23" s="250">
        <f t="shared" si="44"/>
        <v>0</v>
      </c>
      <c r="CW23" s="250">
        <f t="shared" si="44"/>
        <v>3</v>
      </c>
      <c r="CX23" s="68"/>
      <c r="CY23" s="67">
        <f t="shared" ref="CY23:DC23" si="45">COUNTIF($E23:$BR23,CY$6)</f>
        <v>13</v>
      </c>
      <c r="CZ23" s="67">
        <f t="shared" si="45"/>
        <v>0</v>
      </c>
      <c r="DA23" s="67">
        <f t="shared" si="45"/>
        <v>0</v>
      </c>
      <c r="DB23" s="67">
        <f t="shared" si="45"/>
        <v>0</v>
      </c>
      <c r="DC23" s="67">
        <f t="shared" si="45"/>
        <v>6</v>
      </c>
      <c r="DD23" s="114">
        <f t="shared" si="28"/>
        <v>13</v>
      </c>
    </row>
    <row r="24">
      <c r="A24" s="238">
        <f t="shared" si="33"/>
        <v>6</v>
      </c>
      <c r="B24" s="254" t="s">
        <v>181</v>
      </c>
      <c r="C24" s="281" t="s">
        <v>182</v>
      </c>
      <c r="D24" s="278"/>
      <c r="E24" s="79" t="s">
        <v>27</v>
      </c>
      <c r="F24" s="87" t="s">
        <v>54</v>
      </c>
      <c r="G24" s="79" t="s">
        <v>35</v>
      </c>
      <c r="H24" s="75" t="s">
        <v>161</v>
      </c>
      <c r="I24" s="75" t="s">
        <v>42</v>
      </c>
      <c r="J24" s="75"/>
      <c r="K24" s="279">
        <v>101.0</v>
      </c>
      <c r="L24" s="79" t="s">
        <v>42</v>
      </c>
      <c r="M24" s="75"/>
      <c r="N24" s="79" t="s">
        <v>42</v>
      </c>
      <c r="O24" s="75"/>
      <c r="P24" s="79" t="s">
        <v>42</v>
      </c>
      <c r="Q24" s="75"/>
      <c r="R24" s="79" t="s">
        <v>42</v>
      </c>
      <c r="S24" s="75"/>
      <c r="T24" s="79" t="s">
        <v>42</v>
      </c>
      <c r="U24" s="75"/>
      <c r="V24" s="79" t="s">
        <v>42</v>
      </c>
      <c r="W24" s="243"/>
      <c r="X24" s="79" t="s">
        <v>42</v>
      </c>
      <c r="Y24" s="243"/>
      <c r="Z24" s="279">
        <v>101.0</v>
      </c>
      <c r="AA24" s="76" t="s">
        <v>27</v>
      </c>
      <c r="AB24" s="277"/>
      <c r="AC24" s="79" t="s">
        <v>28</v>
      </c>
      <c r="AD24" s="77" t="s">
        <v>161</v>
      </c>
      <c r="AE24" s="79" t="s">
        <v>28</v>
      </c>
      <c r="AF24" s="77" t="s">
        <v>161</v>
      </c>
      <c r="AG24" s="79" t="s">
        <v>28</v>
      </c>
      <c r="AH24" s="77" t="s">
        <v>161</v>
      </c>
      <c r="AI24" s="79" t="s">
        <v>28</v>
      </c>
      <c r="AJ24" s="77" t="s">
        <v>161</v>
      </c>
      <c r="AK24" s="76" t="s">
        <v>27</v>
      </c>
      <c r="AL24" s="244"/>
      <c r="AM24" s="76" t="s">
        <v>27</v>
      </c>
      <c r="AN24" s="244" t="s">
        <v>54</v>
      </c>
      <c r="AO24" s="279">
        <v>101.0</v>
      </c>
      <c r="AP24" s="79" t="s">
        <v>28</v>
      </c>
      <c r="AQ24" s="77" t="s">
        <v>161</v>
      </c>
      <c r="AR24" s="79" t="s">
        <v>28</v>
      </c>
      <c r="AS24" s="77" t="s">
        <v>161</v>
      </c>
      <c r="AT24" s="76" t="s">
        <v>27</v>
      </c>
      <c r="AU24" s="244"/>
      <c r="AV24" s="79" t="s">
        <v>40</v>
      </c>
      <c r="AW24" s="244" t="s">
        <v>161</v>
      </c>
      <c r="AX24" s="79" t="s">
        <v>28</v>
      </c>
      <c r="AY24" s="75"/>
      <c r="AZ24" s="79" t="s">
        <v>28</v>
      </c>
      <c r="BA24" s="75" t="s">
        <v>161</v>
      </c>
      <c r="BB24" s="79" t="s">
        <v>28</v>
      </c>
      <c r="BC24" s="75" t="s">
        <v>161</v>
      </c>
      <c r="BD24" s="279">
        <v>101.0</v>
      </c>
      <c r="BE24" s="79" t="s">
        <v>27</v>
      </c>
      <c r="BF24" s="75" t="s">
        <v>54</v>
      </c>
      <c r="BG24" s="79" t="s">
        <v>42</v>
      </c>
      <c r="BH24" s="75"/>
      <c r="BI24" s="79" t="s">
        <v>28</v>
      </c>
      <c r="BJ24" s="75" t="s">
        <v>161</v>
      </c>
      <c r="BK24" s="79" t="s">
        <v>27</v>
      </c>
      <c r="BL24" s="75" t="s">
        <v>161</v>
      </c>
      <c r="BM24" s="79" t="s">
        <v>27</v>
      </c>
      <c r="BN24" s="75"/>
      <c r="BO24" s="79" t="s">
        <v>27</v>
      </c>
      <c r="BP24" s="75" t="s">
        <v>54</v>
      </c>
      <c r="BQ24" s="79" t="s">
        <v>28</v>
      </c>
      <c r="BR24" s="75" t="s">
        <v>161</v>
      </c>
      <c r="BS24" s="245">
        <f t="shared" si="34"/>
        <v>22.55555556</v>
      </c>
      <c r="BT24" s="246">
        <f t="shared" si="35"/>
        <v>203</v>
      </c>
      <c r="BU24" s="247">
        <f t="shared" si="36"/>
        <v>3</v>
      </c>
      <c r="BV24" s="228">
        <f t="shared" si="37"/>
        <v>12</v>
      </c>
      <c r="BW24" s="248"/>
      <c r="BX24" s="249"/>
      <c r="BY24" s="250">
        <f t="shared" ref="BY24:CW24" si="46">COUNTIF($E24:$BR24,BY$6)</f>
        <v>0</v>
      </c>
      <c r="BZ24" s="250">
        <f t="shared" si="46"/>
        <v>0</v>
      </c>
      <c r="CA24" s="250">
        <f t="shared" si="46"/>
        <v>0</v>
      </c>
      <c r="CB24" s="250">
        <f t="shared" si="46"/>
        <v>0</v>
      </c>
      <c r="CC24" s="250">
        <f t="shared" si="46"/>
        <v>0</v>
      </c>
      <c r="CD24" s="250">
        <f t="shared" si="46"/>
        <v>0</v>
      </c>
      <c r="CE24" s="250">
        <f t="shared" si="46"/>
        <v>0</v>
      </c>
      <c r="CF24" s="250">
        <f t="shared" si="46"/>
        <v>0</v>
      </c>
      <c r="CG24" s="250">
        <f t="shared" si="46"/>
        <v>0</v>
      </c>
      <c r="CH24" s="250">
        <f t="shared" si="46"/>
        <v>9</v>
      </c>
      <c r="CI24" s="250">
        <f t="shared" si="46"/>
        <v>11</v>
      </c>
      <c r="CJ24" s="250">
        <f t="shared" si="46"/>
        <v>0</v>
      </c>
      <c r="CK24" s="250">
        <f t="shared" si="46"/>
        <v>0</v>
      </c>
      <c r="CL24" s="250">
        <f t="shared" si="46"/>
        <v>0</v>
      </c>
      <c r="CM24" s="250">
        <f t="shared" si="46"/>
        <v>0</v>
      </c>
      <c r="CN24" s="250">
        <f t="shared" si="46"/>
        <v>0</v>
      </c>
      <c r="CO24" s="250">
        <f t="shared" si="46"/>
        <v>0</v>
      </c>
      <c r="CP24" s="250">
        <f t="shared" si="46"/>
        <v>1</v>
      </c>
      <c r="CQ24" s="250">
        <f t="shared" si="46"/>
        <v>0</v>
      </c>
      <c r="CR24" s="250">
        <f t="shared" si="46"/>
        <v>0</v>
      </c>
      <c r="CS24" s="250">
        <f t="shared" si="46"/>
        <v>0</v>
      </c>
      <c r="CT24" s="250">
        <f t="shared" si="46"/>
        <v>0</v>
      </c>
      <c r="CU24" s="250">
        <f t="shared" si="46"/>
        <v>1</v>
      </c>
      <c r="CV24" s="250">
        <f t="shared" si="46"/>
        <v>0</v>
      </c>
      <c r="CW24" s="250">
        <f t="shared" si="46"/>
        <v>9</v>
      </c>
      <c r="CX24" s="68"/>
      <c r="CY24" s="67">
        <f t="shared" ref="CY24:DC24" si="47">COUNTIF($E24:$BR24,CY$6)</f>
        <v>0</v>
      </c>
      <c r="CZ24" s="67">
        <f t="shared" si="47"/>
        <v>0</v>
      </c>
      <c r="DA24" s="67">
        <f t="shared" si="47"/>
        <v>13</v>
      </c>
      <c r="DB24" s="67">
        <f t="shared" si="47"/>
        <v>0</v>
      </c>
      <c r="DC24" s="67">
        <f t="shared" si="47"/>
        <v>4</v>
      </c>
      <c r="DD24" s="114">
        <f t="shared" si="28"/>
        <v>13</v>
      </c>
    </row>
    <row r="25">
      <c r="A25" s="252">
        <v>7.0</v>
      </c>
      <c r="B25" s="254" t="s">
        <v>183</v>
      </c>
      <c r="C25" s="280" t="s">
        <v>184</v>
      </c>
      <c r="D25" s="278"/>
      <c r="E25" s="79"/>
      <c r="F25" s="87"/>
      <c r="G25" s="79"/>
      <c r="H25" s="75"/>
      <c r="I25" s="75"/>
      <c r="J25" s="75"/>
      <c r="K25" s="279"/>
      <c r="L25" s="79"/>
      <c r="M25" s="75"/>
      <c r="N25" s="79"/>
      <c r="O25" s="75"/>
      <c r="P25" s="79"/>
      <c r="Q25" s="75"/>
      <c r="R25" s="79"/>
      <c r="S25" s="75"/>
      <c r="T25" s="79"/>
      <c r="U25" s="75"/>
      <c r="V25" s="79"/>
      <c r="W25" s="243"/>
      <c r="X25" s="79"/>
      <c r="Y25" s="243"/>
      <c r="Z25" s="279"/>
      <c r="AA25" s="76"/>
      <c r="AB25" s="277"/>
      <c r="AC25" s="79"/>
      <c r="AD25" s="77"/>
      <c r="AE25" s="79"/>
      <c r="AF25" s="77"/>
      <c r="AG25" s="79"/>
      <c r="AH25" s="77"/>
      <c r="AI25" s="79"/>
      <c r="AJ25" s="77"/>
      <c r="AK25" s="76"/>
      <c r="AL25" s="244"/>
      <c r="AM25" s="76"/>
      <c r="AN25" s="244"/>
      <c r="AO25" s="279"/>
      <c r="AP25" s="79"/>
      <c r="AQ25" s="77"/>
      <c r="AR25" s="79"/>
      <c r="AS25" s="77"/>
      <c r="AT25" s="76"/>
      <c r="AU25" s="244"/>
      <c r="AV25" s="79" t="s">
        <v>23</v>
      </c>
      <c r="AW25" s="244"/>
      <c r="AX25" s="79" t="s">
        <v>23</v>
      </c>
      <c r="AY25" s="75"/>
      <c r="AZ25" s="79" t="s">
        <v>23</v>
      </c>
      <c r="BA25" s="75"/>
      <c r="BB25" s="79" t="s">
        <v>23</v>
      </c>
      <c r="BC25" s="75"/>
      <c r="BD25" s="279">
        <v>113.0</v>
      </c>
      <c r="BE25" s="79" t="s">
        <v>27</v>
      </c>
      <c r="BF25" s="75"/>
      <c r="BG25" s="79" t="s">
        <v>42</v>
      </c>
      <c r="BH25" s="75"/>
      <c r="BI25" s="79" t="s">
        <v>42</v>
      </c>
      <c r="BJ25" s="75"/>
      <c r="BK25" s="79" t="s">
        <v>27</v>
      </c>
      <c r="BL25" s="75"/>
      <c r="BM25" s="79" t="s">
        <v>27</v>
      </c>
      <c r="BN25" s="75"/>
      <c r="BO25" s="79" t="s">
        <v>42</v>
      </c>
      <c r="BP25" s="75"/>
      <c r="BQ25" s="79" t="s">
        <v>27</v>
      </c>
      <c r="BR25" s="75"/>
      <c r="BS25" s="245"/>
      <c r="BT25" s="246"/>
      <c r="BU25" s="247"/>
      <c r="BV25" s="228"/>
      <c r="BW25" s="248"/>
      <c r="BX25" s="249"/>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68"/>
      <c r="CY25" s="67"/>
      <c r="CZ25" s="67"/>
      <c r="DA25" s="67"/>
      <c r="DB25" s="67"/>
      <c r="DC25" s="67"/>
      <c r="DD25" s="114"/>
    </row>
    <row r="26">
      <c r="A26" s="252">
        <v>8.0</v>
      </c>
      <c r="B26" s="254" t="s">
        <v>185</v>
      </c>
      <c r="C26" s="280" t="s">
        <v>186</v>
      </c>
      <c r="D26" s="278"/>
      <c r="E26" s="79"/>
      <c r="F26" s="87"/>
      <c r="G26" s="79"/>
      <c r="H26" s="75"/>
      <c r="I26" s="75"/>
      <c r="J26" s="75"/>
      <c r="K26" s="279"/>
      <c r="L26" s="79"/>
      <c r="M26" s="75"/>
      <c r="N26" s="79"/>
      <c r="O26" s="75"/>
      <c r="P26" s="79"/>
      <c r="Q26" s="75"/>
      <c r="R26" s="79"/>
      <c r="S26" s="75"/>
      <c r="T26" s="79"/>
      <c r="U26" s="75"/>
      <c r="V26" s="79"/>
      <c r="W26" s="243"/>
      <c r="X26" s="79"/>
      <c r="Y26" s="243"/>
      <c r="Z26" s="279"/>
      <c r="AA26" s="76"/>
      <c r="AB26" s="277"/>
      <c r="AC26" s="79"/>
      <c r="AD26" s="77"/>
      <c r="AE26" s="79"/>
      <c r="AF26" s="77"/>
      <c r="AG26" s="79"/>
      <c r="AH26" s="77"/>
      <c r="AI26" s="79"/>
      <c r="AJ26" s="77"/>
      <c r="AK26" s="76"/>
      <c r="AL26" s="244"/>
      <c r="AM26" s="76"/>
      <c r="AN26" s="244"/>
      <c r="AO26" s="279"/>
      <c r="AP26" s="79"/>
      <c r="AQ26" s="77"/>
      <c r="AR26" s="79"/>
      <c r="AS26" s="77"/>
      <c r="AT26" s="76"/>
      <c r="AU26" s="244"/>
      <c r="AV26" s="79" t="s">
        <v>23</v>
      </c>
      <c r="AW26" s="244"/>
      <c r="AX26" s="79" t="s">
        <v>23</v>
      </c>
      <c r="AY26" s="75"/>
      <c r="AZ26" s="79" t="s">
        <v>23</v>
      </c>
      <c r="BA26" s="75"/>
      <c r="BB26" s="79" t="s">
        <v>23</v>
      </c>
      <c r="BC26" s="75"/>
      <c r="BD26" s="279">
        <v>105.0</v>
      </c>
      <c r="BE26" s="79" t="s">
        <v>27</v>
      </c>
      <c r="BF26" s="75"/>
      <c r="BG26" s="79" t="s">
        <v>27</v>
      </c>
      <c r="BH26" s="75"/>
      <c r="BI26" s="79" t="s">
        <v>42</v>
      </c>
      <c r="BJ26" s="75"/>
      <c r="BK26" s="79" t="s">
        <v>27</v>
      </c>
      <c r="BL26" s="75"/>
      <c r="BM26" s="79" t="s">
        <v>27</v>
      </c>
      <c r="BN26" s="75"/>
      <c r="BO26" s="79" t="s">
        <v>27</v>
      </c>
      <c r="BP26" s="75"/>
      <c r="BQ26" s="79" t="s">
        <v>27</v>
      </c>
      <c r="BR26" s="75"/>
      <c r="BS26" s="245"/>
      <c r="BT26" s="246"/>
      <c r="BU26" s="247"/>
      <c r="BV26" s="228"/>
      <c r="BW26" s="248"/>
      <c r="BX26" s="249"/>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68"/>
      <c r="CY26" s="67"/>
      <c r="CZ26" s="67"/>
      <c r="DA26" s="67"/>
      <c r="DB26" s="67"/>
      <c r="DC26" s="67"/>
      <c r="DD26" s="114"/>
    </row>
    <row r="27">
      <c r="A27" s="252">
        <v>9.0</v>
      </c>
      <c r="B27" s="254" t="s">
        <v>187</v>
      </c>
      <c r="C27" s="281"/>
      <c r="D27" s="278"/>
      <c r="E27" s="79" t="s">
        <v>27</v>
      </c>
      <c r="F27" s="257"/>
      <c r="G27" s="79" t="s">
        <v>27</v>
      </c>
      <c r="H27" s="75"/>
      <c r="I27" s="79" t="s">
        <v>28</v>
      </c>
      <c r="J27" s="75" t="s">
        <v>161</v>
      </c>
      <c r="K27" s="279">
        <v>107.0</v>
      </c>
      <c r="L27" s="79" t="s">
        <v>27</v>
      </c>
      <c r="M27" s="75" t="s">
        <v>54</v>
      </c>
      <c r="N27" s="79" t="s">
        <v>28</v>
      </c>
      <c r="O27" s="75" t="s">
        <v>161</v>
      </c>
      <c r="P27" s="79" t="s">
        <v>28</v>
      </c>
      <c r="Q27" s="75" t="s">
        <v>161</v>
      </c>
      <c r="R27" s="79" t="s">
        <v>28</v>
      </c>
      <c r="S27" s="75" t="s">
        <v>161</v>
      </c>
      <c r="T27" s="79" t="s">
        <v>28</v>
      </c>
      <c r="U27" s="243" t="s">
        <v>163</v>
      </c>
      <c r="V27" s="79" t="s">
        <v>27</v>
      </c>
      <c r="W27" s="243"/>
      <c r="X27" s="79" t="s">
        <v>42</v>
      </c>
      <c r="Y27" s="243"/>
      <c r="Z27" s="279">
        <v>107.0</v>
      </c>
      <c r="AA27" s="79" t="s">
        <v>42</v>
      </c>
      <c r="AB27" s="277"/>
      <c r="AC27" s="79" t="s">
        <v>42</v>
      </c>
      <c r="AD27" s="77"/>
      <c r="AE27" s="79" t="s">
        <v>42</v>
      </c>
      <c r="AF27" s="77"/>
      <c r="AG27" s="79" t="s">
        <v>42</v>
      </c>
      <c r="AH27" s="77"/>
      <c r="AI27" s="79" t="s">
        <v>42</v>
      </c>
      <c r="AJ27" s="77"/>
      <c r="AK27" s="79" t="s">
        <v>42</v>
      </c>
      <c r="AL27" s="244"/>
      <c r="AM27" s="79" t="s">
        <v>42</v>
      </c>
      <c r="AN27" s="244"/>
      <c r="AO27" s="279">
        <v>107.0</v>
      </c>
      <c r="AP27" s="79" t="s">
        <v>42</v>
      </c>
      <c r="AQ27" s="277"/>
      <c r="AR27" s="79" t="s">
        <v>42</v>
      </c>
      <c r="AS27" s="77"/>
      <c r="AT27" s="79" t="s">
        <v>42</v>
      </c>
      <c r="AU27" s="77"/>
      <c r="AV27" s="79" t="s">
        <v>42</v>
      </c>
      <c r="AW27" s="77"/>
      <c r="AX27" s="79" t="s">
        <v>42</v>
      </c>
      <c r="AY27" s="77"/>
      <c r="AZ27" s="79" t="s">
        <v>42</v>
      </c>
      <c r="BA27" s="244"/>
      <c r="BB27" s="79" t="s">
        <v>42</v>
      </c>
      <c r="BC27" s="75"/>
      <c r="BD27" s="279">
        <v>107.0</v>
      </c>
      <c r="BE27" s="79" t="s">
        <v>42</v>
      </c>
      <c r="BF27" s="277"/>
      <c r="BG27" s="79" t="s">
        <v>42</v>
      </c>
      <c r="BH27" s="77"/>
      <c r="BI27" s="79" t="s">
        <v>42</v>
      </c>
      <c r="BJ27" s="77"/>
      <c r="BK27" s="79" t="s">
        <v>42</v>
      </c>
      <c r="BL27" s="77"/>
      <c r="BM27" s="79" t="s">
        <v>42</v>
      </c>
      <c r="BN27" s="77"/>
      <c r="BO27" s="79" t="s">
        <v>42</v>
      </c>
      <c r="BP27" s="244"/>
      <c r="BQ27" s="79" t="s">
        <v>42</v>
      </c>
      <c r="BR27" s="75"/>
      <c r="BS27" s="245">
        <f t="shared" ref="BS27:BS29" si="50">BT27/9</f>
        <v>9</v>
      </c>
      <c r="BT27" s="246">
        <f t="shared" ref="BT27:BT29" si="51">sumproduct(BY27:CW27,$BY$5:$CW$5)+sum(BY27:CB27)-BU27</f>
        <v>81</v>
      </c>
      <c r="BU27" s="247">
        <f t="shared" ref="BU27:BU29" si="52">sumproduct(CM27:CR27,$CM$31:$CR$31)</f>
        <v>0</v>
      </c>
      <c r="BV27" s="228">
        <f t="shared" ref="BV27:BV29" si="53">+COUNTIF(E27:BR27,"VT")+COUNTIF(E27:BP27,"PT")+COUNTIF(E27:BP27,"YB")+COUNTIF(E27:BP27,"PTYB")*2</f>
        <v>4</v>
      </c>
      <c r="BW27" s="248"/>
      <c r="BX27" s="249"/>
      <c r="BY27" s="250">
        <f t="shared" ref="BY27:CW27" si="48">COUNTIF($E27:$BR27,BY$6)</f>
        <v>0</v>
      </c>
      <c r="BZ27" s="250">
        <f t="shared" si="48"/>
        <v>0</v>
      </c>
      <c r="CA27" s="250">
        <f t="shared" si="48"/>
        <v>0</v>
      </c>
      <c r="CB27" s="250">
        <f t="shared" si="48"/>
        <v>0</v>
      </c>
      <c r="CC27" s="250">
        <f t="shared" si="48"/>
        <v>0</v>
      </c>
      <c r="CD27" s="250">
        <f t="shared" si="48"/>
        <v>0</v>
      </c>
      <c r="CE27" s="250">
        <f t="shared" si="48"/>
        <v>0</v>
      </c>
      <c r="CF27" s="250">
        <f t="shared" si="48"/>
        <v>0</v>
      </c>
      <c r="CG27" s="250">
        <f t="shared" si="48"/>
        <v>0</v>
      </c>
      <c r="CH27" s="250">
        <f t="shared" si="48"/>
        <v>4</v>
      </c>
      <c r="CI27" s="250">
        <f t="shared" si="48"/>
        <v>5</v>
      </c>
      <c r="CJ27" s="250">
        <f t="shared" si="48"/>
        <v>0</v>
      </c>
      <c r="CK27" s="250">
        <f t="shared" si="48"/>
        <v>0</v>
      </c>
      <c r="CL27" s="250">
        <f t="shared" si="48"/>
        <v>0</v>
      </c>
      <c r="CM27" s="250">
        <f t="shared" si="48"/>
        <v>0</v>
      </c>
      <c r="CN27" s="250">
        <f t="shared" si="48"/>
        <v>0</v>
      </c>
      <c r="CO27" s="250">
        <f t="shared" si="48"/>
        <v>0</v>
      </c>
      <c r="CP27" s="250">
        <f t="shared" si="48"/>
        <v>0</v>
      </c>
      <c r="CQ27" s="250">
        <f t="shared" si="48"/>
        <v>0</v>
      </c>
      <c r="CR27" s="250">
        <f t="shared" si="48"/>
        <v>0</v>
      </c>
      <c r="CS27" s="250">
        <f t="shared" si="48"/>
        <v>0</v>
      </c>
      <c r="CT27" s="250">
        <f t="shared" si="48"/>
        <v>0</v>
      </c>
      <c r="CU27" s="250">
        <f t="shared" si="48"/>
        <v>0</v>
      </c>
      <c r="CV27" s="250">
        <f t="shared" si="48"/>
        <v>0</v>
      </c>
      <c r="CW27" s="250">
        <f t="shared" si="48"/>
        <v>22</v>
      </c>
      <c r="CX27" s="68"/>
      <c r="CY27" s="67">
        <f t="shared" ref="CY27:DC27" si="49">COUNTIF($E27:$BR27,CY$6)</f>
        <v>0</v>
      </c>
      <c r="CZ27" s="67">
        <f t="shared" si="49"/>
        <v>0</v>
      </c>
      <c r="DA27" s="67">
        <f t="shared" si="49"/>
        <v>4</v>
      </c>
      <c r="DB27" s="67">
        <f t="shared" si="49"/>
        <v>0</v>
      </c>
      <c r="DC27" s="67">
        <f t="shared" si="49"/>
        <v>2</v>
      </c>
      <c r="DD27" s="114">
        <f t="shared" ref="DD27:DD29" si="56">SUM(CY27:DB27)</f>
        <v>4</v>
      </c>
    </row>
    <row r="28">
      <c r="A28" s="252">
        <v>10.0</v>
      </c>
      <c r="B28" s="254" t="s">
        <v>188</v>
      </c>
      <c r="C28" s="280" t="s">
        <v>189</v>
      </c>
      <c r="D28" s="279"/>
      <c r="E28" s="79" t="s">
        <v>28</v>
      </c>
      <c r="F28" s="75" t="s">
        <v>160</v>
      </c>
      <c r="G28" s="79" t="s">
        <v>40</v>
      </c>
      <c r="H28" s="75" t="s">
        <v>160</v>
      </c>
      <c r="I28" s="79" t="s">
        <v>40</v>
      </c>
      <c r="J28" s="75"/>
      <c r="K28" s="279">
        <v>113.0</v>
      </c>
      <c r="L28" s="79" t="s">
        <v>27</v>
      </c>
      <c r="M28" s="75"/>
      <c r="N28" s="79" t="s">
        <v>28</v>
      </c>
      <c r="O28" s="75" t="s">
        <v>160</v>
      </c>
      <c r="P28" s="79" t="s">
        <v>40</v>
      </c>
      <c r="Q28" s="75" t="s">
        <v>160</v>
      </c>
      <c r="R28" s="79" t="s">
        <v>28</v>
      </c>
      <c r="S28" s="75" t="s">
        <v>160</v>
      </c>
      <c r="T28" s="79" t="s">
        <v>27</v>
      </c>
      <c r="U28" s="243"/>
      <c r="V28" s="79" t="s">
        <v>27</v>
      </c>
      <c r="W28" s="243"/>
      <c r="X28" s="79" t="s">
        <v>27</v>
      </c>
      <c r="Y28" s="243" t="s">
        <v>163</v>
      </c>
      <c r="Z28" s="279">
        <v>113.0</v>
      </c>
      <c r="AA28" s="79" t="s">
        <v>28</v>
      </c>
      <c r="AB28" s="277" t="s">
        <v>160</v>
      </c>
      <c r="AC28" s="79" t="s">
        <v>28</v>
      </c>
      <c r="AD28" s="77" t="s">
        <v>160</v>
      </c>
      <c r="AE28" s="79" t="s">
        <v>42</v>
      </c>
      <c r="AF28" s="77"/>
      <c r="AG28" s="79" t="s">
        <v>28</v>
      </c>
      <c r="AH28" s="77" t="s">
        <v>160</v>
      </c>
      <c r="AI28" s="79" t="s">
        <v>28</v>
      </c>
      <c r="AJ28" s="77" t="s">
        <v>160</v>
      </c>
      <c r="AK28" s="79" t="s">
        <v>42</v>
      </c>
      <c r="AL28" s="244"/>
      <c r="AM28" s="79" t="s">
        <v>42</v>
      </c>
      <c r="AN28" s="244"/>
      <c r="AO28" s="279">
        <v>113.0</v>
      </c>
      <c r="AP28" s="79" t="s">
        <v>42</v>
      </c>
      <c r="AQ28" s="277"/>
      <c r="AR28" s="79" t="s">
        <v>42</v>
      </c>
      <c r="AS28" s="77"/>
      <c r="AT28" s="79" t="s">
        <v>42</v>
      </c>
      <c r="AU28" s="77"/>
      <c r="AV28" s="79" t="s">
        <v>42</v>
      </c>
      <c r="AW28" s="77"/>
      <c r="AX28" s="79" t="s">
        <v>42</v>
      </c>
      <c r="AY28" s="77"/>
      <c r="AZ28" s="79" t="s">
        <v>42</v>
      </c>
      <c r="BA28" s="244"/>
      <c r="BB28" s="79" t="s">
        <v>42</v>
      </c>
      <c r="BC28" s="75"/>
      <c r="BD28" s="279">
        <v>113.0</v>
      </c>
      <c r="BE28" s="79" t="s">
        <v>42</v>
      </c>
      <c r="BF28" s="277"/>
      <c r="BG28" s="79" t="s">
        <v>42</v>
      </c>
      <c r="BH28" s="77"/>
      <c r="BI28" s="79" t="s">
        <v>42</v>
      </c>
      <c r="BJ28" s="77"/>
      <c r="BK28" s="79" t="s">
        <v>42</v>
      </c>
      <c r="BL28" s="77"/>
      <c r="BM28" s="79" t="s">
        <v>42</v>
      </c>
      <c r="BN28" s="77"/>
      <c r="BO28" s="79" t="s">
        <v>42</v>
      </c>
      <c r="BP28" s="244"/>
      <c r="BQ28" s="79" t="s">
        <v>42</v>
      </c>
      <c r="BR28" s="75"/>
      <c r="BS28" s="245">
        <f t="shared" si="50"/>
        <v>15.66666667</v>
      </c>
      <c r="BT28" s="246">
        <f t="shared" si="51"/>
        <v>141</v>
      </c>
      <c r="BU28" s="247">
        <f t="shared" si="52"/>
        <v>0</v>
      </c>
      <c r="BV28" s="228">
        <f t="shared" si="53"/>
        <v>9</v>
      </c>
      <c r="BW28" s="248"/>
      <c r="BX28" s="249"/>
      <c r="BY28" s="250">
        <f t="shared" ref="BY28:CW28" si="54">COUNTIF($E28:$BR28,BY$6)</f>
        <v>0</v>
      </c>
      <c r="BZ28" s="250">
        <f t="shared" si="54"/>
        <v>0</v>
      </c>
      <c r="CA28" s="250">
        <f t="shared" si="54"/>
        <v>0</v>
      </c>
      <c r="CB28" s="250">
        <f t="shared" si="54"/>
        <v>0</v>
      </c>
      <c r="CC28" s="250">
        <f t="shared" si="54"/>
        <v>0</v>
      </c>
      <c r="CD28" s="250">
        <f t="shared" si="54"/>
        <v>0</v>
      </c>
      <c r="CE28" s="250">
        <f t="shared" si="54"/>
        <v>0</v>
      </c>
      <c r="CF28" s="250">
        <f t="shared" si="54"/>
        <v>0</v>
      </c>
      <c r="CG28" s="250">
        <f t="shared" si="54"/>
        <v>0</v>
      </c>
      <c r="CH28" s="250">
        <f t="shared" si="54"/>
        <v>4</v>
      </c>
      <c r="CI28" s="250">
        <f t="shared" si="54"/>
        <v>7</v>
      </c>
      <c r="CJ28" s="250">
        <f t="shared" si="54"/>
        <v>0</v>
      </c>
      <c r="CK28" s="250">
        <f t="shared" si="54"/>
        <v>0</v>
      </c>
      <c r="CL28" s="250">
        <f t="shared" si="54"/>
        <v>0</v>
      </c>
      <c r="CM28" s="250">
        <f t="shared" si="54"/>
        <v>0</v>
      </c>
      <c r="CN28" s="250">
        <f t="shared" si="54"/>
        <v>0</v>
      </c>
      <c r="CO28" s="250">
        <f t="shared" si="54"/>
        <v>0</v>
      </c>
      <c r="CP28" s="250">
        <f t="shared" si="54"/>
        <v>0</v>
      </c>
      <c r="CQ28" s="250">
        <f t="shared" si="54"/>
        <v>0</v>
      </c>
      <c r="CR28" s="250">
        <f t="shared" si="54"/>
        <v>0</v>
      </c>
      <c r="CS28" s="250">
        <f t="shared" si="54"/>
        <v>0</v>
      </c>
      <c r="CT28" s="250">
        <f t="shared" si="54"/>
        <v>0</v>
      </c>
      <c r="CU28" s="250">
        <f t="shared" si="54"/>
        <v>3</v>
      </c>
      <c r="CV28" s="250">
        <f t="shared" si="54"/>
        <v>0</v>
      </c>
      <c r="CW28" s="250">
        <f t="shared" si="54"/>
        <v>17</v>
      </c>
      <c r="CX28" s="68"/>
      <c r="CY28" s="67">
        <f t="shared" ref="CY28:DC28" si="55">COUNTIF($E28:$BR28,CY$6)</f>
        <v>0</v>
      </c>
      <c r="CZ28" s="67">
        <f t="shared" si="55"/>
        <v>9</v>
      </c>
      <c r="DA28" s="67">
        <f t="shared" si="55"/>
        <v>0</v>
      </c>
      <c r="DB28" s="67">
        <f t="shared" si="55"/>
        <v>0</v>
      </c>
      <c r="DC28" s="67">
        <f t="shared" si="55"/>
        <v>1</v>
      </c>
      <c r="DD28" s="114">
        <f t="shared" si="56"/>
        <v>9</v>
      </c>
    </row>
    <row r="29">
      <c r="A29" s="282"/>
      <c r="B29" s="283" t="s">
        <v>93</v>
      </c>
      <c r="C29" s="284">
        <v>8.66730902E8</v>
      </c>
      <c r="D29" s="285"/>
      <c r="E29" s="75"/>
      <c r="F29" s="75"/>
      <c r="G29" s="75"/>
      <c r="H29" s="75"/>
      <c r="I29" s="75"/>
      <c r="J29" s="75"/>
      <c r="K29" s="285"/>
      <c r="L29" s="75"/>
      <c r="M29" s="75"/>
      <c r="N29" s="75"/>
      <c r="O29" s="75"/>
      <c r="P29" s="75"/>
      <c r="Q29" s="75"/>
      <c r="R29" s="75"/>
      <c r="S29" s="75"/>
      <c r="T29" s="75"/>
      <c r="U29" s="75"/>
      <c r="V29" s="75"/>
      <c r="W29" s="75"/>
      <c r="X29" s="75"/>
      <c r="Y29" s="75"/>
      <c r="Z29" s="285"/>
      <c r="AA29" s="75"/>
      <c r="AB29" s="75"/>
      <c r="AC29" s="75"/>
      <c r="AD29" s="75"/>
      <c r="AE29" s="75"/>
      <c r="AF29" s="75"/>
      <c r="AG29" s="75"/>
      <c r="AH29" s="75"/>
      <c r="AI29" s="244"/>
      <c r="AJ29" s="244"/>
      <c r="AK29" s="244"/>
      <c r="AL29" s="244"/>
      <c r="AM29" s="244"/>
      <c r="AN29" s="244"/>
      <c r="AO29" s="285"/>
      <c r="AP29" s="244"/>
      <c r="AQ29" s="244"/>
      <c r="AR29" s="244"/>
      <c r="AS29" s="244"/>
      <c r="AT29" s="244"/>
      <c r="AU29" s="244"/>
      <c r="AV29" s="244"/>
      <c r="AW29" s="244"/>
      <c r="AX29" s="75"/>
      <c r="AY29" s="75"/>
      <c r="AZ29" s="75"/>
      <c r="BA29" s="75"/>
      <c r="BB29" s="75"/>
      <c r="BC29" s="75"/>
      <c r="BD29" s="285"/>
      <c r="BE29" s="75"/>
      <c r="BF29" s="75"/>
      <c r="BG29" s="75"/>
      <c r="BH29" s="75"/>
      <c r="BI29" s="75"/>
      <c r="BJ29" s="75"/>
      <c r="BK29" s="75"/>
      <c r="BL29" s="75"/>
      <c r="BM29" s="75"/>
      <c r="BN29" s="75"/>
      <c r="BO29" s="75"/>
      <c r="BP29" s="75"/>
      <c r="BQ29" s="75"/>
      <c r="BR29" s="75"/>
      <c r="BS29" s="245">
        <f t="shared" si="50"/>
        <v>0</v>
      </c>
      <c r="BT29" s="246">
        <f t="shared" si="51"/>
        <v>0</v>
      </c>
      <c r="BU29" s="247">
        <f t="shared" si="52"/>
        <v>0</v>
      </c>
      <c r="BV29" s="228">
        <f t="shared" si="53"/>
        <v>0</v>
      </c>
      <c r="BW29" s="248"/>
      <c r="BX29" s="249"/>
      <c r="BY29" s="250">
        <f t="shared" ref="BY29:CW29" si="57">COUNTIF($E29:$BR29,BY$6)</f>
        <v>0</v>
      </c>
      <c r="BZ29" s="250">
        <f t="shared" si="57"/>
        <v>0</v>
      </c>
      <c r="CA29" s="250">
        <f t="shared" si="57"/>
        <v>0</v>
      </c>
      <c r="CB29" s="250">
        <f t="shared" si="57"/>
        <v>0</v>
      </c>
      <c r="CC29" s="250">
        <f t="shared" si="57"/>
        <v>0</v>
      </c>
      <c r="CD29" s="250">
        <f t="shared" si="57"/>
        <v>0</v>
      </c>
      <c r="CE29" s="250">
        <f t="shared" si="57"/>
        <v>0</v>
      </c>
      <c r="CF29" s="250">
        <f t="shared" si="57"/>
        <v>0</v>
      </c>
      <c r="CG29" s="250">
        <f t="shared" si="57"/>
        <v>0</v>
      </c>
      <c r="CH29" s="250">
        <f t="shared" si="57"/>
        <v>0</v>
      </c>
      <c r="CI29" s="250">
        <f t="shared" si="57"/>
        <v>0</v>
      </c>
      <c r="CJ29" s="250">
        <f t="shared" si="57"/>
        <v>0</v>
      </c>
      <c r="CK29" s="250">
        <f t="shared" si="57"/>
        <v>0</v>
      </c>
      <c r="CL29" s="250">
        <f t="shared" si="57"/>
        <v>0</v>
      </c>
      <c r="CM29" s="250">
        <f t="shared" si="57"/>
        <v>0</v>
      </c>
      <c r="CN29" s="250">
        <f t="shared" si="57"/>
        <v>0</v>
      </c>
      <c r="CO29" s="250">
        <f t="shared" si="57"/>
        <v>0</v>
      </c>
      <c r="CP29" s="250">
        <f t="shared" si="57"/>
        <v>0</v>
      </c>
      <c r="CQ29" s="250">
        <f t="shared" si="57"/>
        <v>0</v>
      </c>
      <c r="CR29" s="250">
        <f t="shared" si="57"/>
        <v>0</v>
      </c>
      <c r="CS29" s="250">
        <f t="shared" si="57"/>
        <v>0</v>
      </c>
      <c r="CT29" s="250">
        <f t="shared" si="57"/>
        <v>0</v>
      </c>
      <c r="CU29" s="250">
        <f t="shared" si="57"/>
        <v>0</v>
      </c>
      <c r="CV29" s="250">
        <f t="shared" si="57"/>
        <v>0</v>
      </c>
      <c r="CW29" s="250">
        <f t="shared" si="57"/>
        <v>0</v>
      </c>
      <c r="CX29" s="68"/>
      <c r="CY29" s="67">
        <f t="shared" ref="CY29:DC29" si="58">COUNTIF($E29:$BR29,CY$6)</f>
        <v>0</v>
      </c>
      <c r="CZ29" s="67">
        <f t="shared" si="58"/>
        <v>0</v>
      </c>
      <c r="DA29" s="67">
        <f t="shared" si="58"/>
        <v>0</v>
      </c>
      <c r="DB29" s="67">
        <f t="shared" si="58"/>
        <v>0</v>
      </c>
      <c r="DC29" s="67">
        <f t="shared" si="58"/>
        <v>0</v>
      </c>
      <c r="DD29" s="114">
        <f t="shared" si="56"/>
        <v>0</v>
      </c>
    </row>
    <row r="30">
      <c r="A30" s="286"/>
      <c r="B30" s="248"/>
      <c r="C30" s="287"/>
      <c r="D30" s="248"/>
      <c r="E30" s="248"/>
      <c r="F30" s="248"/>
      <c r="G30" s="248"/>
      <c r="H30" s="248"/>
      <c r="I30" s="248"/>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88"/>
      <c r="BA30" s="248"/>
      <c r="BB30" s="248"/>
      <c r="BC30" s="248"/>
      <c r="BD30" s="248"/>
      <c r="BE30" s="248"/>
      <c r="BF30" s="248"/>
      <c r="BG30" s="248"/>
      <c r="BH30" s="248"/>
      <c r="BI30" s="248"/>
      <c r="BJ30" s="248"/>
      <c r="BK30" s="248"/>
      <c r="BL30" s="248"/>
      <c r="BM30" s="248"/>
      <c r="BN30" s="248"/>
      <c r="BO30" s="248"/>
      <c r="BP30" s="248"/>
      <c r="BQ30" s="248"/>
      <c r="BR30" s="248"/>
      <c r="BS30" s="248"/>
      <c r="BT30" s="248"/>
      <c r="BU30" s="248"/>
      <c r="BV30" s="248"/>
      <c r="BW30" s="248"/>
      <c r="BX30" s="286"/>
      <c r="BY30" s="286"/>
      <c r="BZ30" s="286"/>
      <c r="CA30" s="286"/>
      <c r="CB30" s="286"/>
      <c r="CC30" s="286"/>
      <c r="CD30" s="286"/>
      <c r="CE30" s="286"/>
      <c r="CF30" s="286"/>
      <c r="CG30" s="286"/>
      <c r="CH30" s="286"/>
      <c r="CI30" s="286"/>
      <c r="CJ30" s="286"/>
      <c r="CK30" s="286"/>
      <c r="CL30" s="286"/>
      <c r="CM30" s="289">
        <v>4.0</v>
      </c>
      <c r="CN30" s="289">
        <v>4.0</v>
      </c>
      <c r="CO30" s="289">
        <v>4.0</v>
      </c>
      <c r="CP30" s="289">
        <v>4.0</v>
      </c>
      <c r="CQ30" s="289">
        <v>3.0</v>
      </c>
      <c r="CR30" s="289">
        <v>4.0</v>
      </c>
      <c r="CS30" s="286"/>
      <c r="CT30" s="286"/>
      <c r="CU30" s="286"/>
      <c r="CV30" s="286"/>
      <c r="CW30" s="286"/>
      <c r="CX30" s="4"/>
      <c r="CY30" s="7"/>
      <c r="CZ30" s="7"/>
      <c r="DA30" s="7"/>
      <c r="DB30" s="7"/>
      <c r="DC30" s="7"/>
      <c r="DD30" s="7"/>
    </row>
    <row r="31">
      <c r="A31" s="286"/>
      <c r="B31" s="248"/>
      <c r="C31" s="287"/>
      <c r="D31" s="290" t="s">
        <v>95</v>
      </c>
      <c r="E31" s="250">
        <f>COUNTIF(E7:E17,$A$41)+COUNTIF(E19:E28,$A$41)</f>
        <v>3</v>
      </c>
      <c r="F31" s="250"/>
      <c r="G31" s="250">
        <f>COUNTIF(G7:G17,$A$41)+COUNTIF(G19:G28,$A$41)</f>
        <v>2</v>
      </c>
      <c r="H31" s="250">
        <f>COUNTIF(H7:H12,$A$41)+COUNTIF(H19,$A$41)</f>
        <v>0</v>
      </c>
      <c r="I31" s="250">
        <f>COUNTIF(I7:I17,$A$41)+COUNTIF(I19:I28,$A$41)</f>
        <v>1</v>
      </c>
      <c r="J31" s="250">
        <f>COUNTIF(J7:J12,$A$41)+COUNTIF(J19,$A$41)</f>
        <v>0</v>
      </c>
      <c r="K31" s="290" t="s">
        <v>95</v>
      </c>
      <c r="L31" s="250">
        <f>COUNTIF(L7:L17,$A$41)+COUNTIF(L19:L28,$A$41)</f>
        <v>2</v>
      </c>
      <c r="M31" s="250">
        <f>COUNTIF(M7:M12,$A$41)+COUNTIF(M19,$A$41)</f>
        <v>0</v>
      </c>
      <c r="N31" s="250">
        <f>COUNTIF(N7:N17,$A$41)+COUNTIF(N19:N28,$A$41)</f>
        <v>2</v>
      </c>
      <c r="O31" s="250">
        <f>COUNTIF(O7:O12,$A$41)+COUNTIF(O19,$A$41)</f>
        <v>0</v>
      </c>
      <c r="P31" s="250">
        <f>COUNTIF(P7:P17,$A$41)+COUNTIF(P19:P28,$A$41)</f>
        <v>2</v>
      </c>
      <c r="Q31" s="250">
        <f>COUNTIF(Q7:Q12,$A$41)+COUNTIF(Q19,$A$41)</f>
        <v>0</v>
      </c>
      <c r="R31" s="250">
        <f>COUNTIF(R7:R17,$A$41)+COUNTIF(R19:R28,$A$41)</f>
        <v>2</v>
      </c>
      <c r="S31" s="250">
        <f>COUNTIF(S7:S12,$A$41)+COUNTIF(S19,$A$41)</f>
        <v>0</v>
      </c>
      <c r="T31" s="250">
        <f>COUNTIF(T7:T17,$A$41)+COUNTIF(T19:T28,$A$41)</f>
        <v>2</v>
      </c>
      <c r="U31" s="250">
        <f>COUNTIF(U7:U12,$A$41)+COUNTIF(U19,$A$41)</f>
        <v>0</v>
      </c>
      <c r="V31" s="250">
        <f>COUNTIF(V7:V17,$A$41)+COUNTIF(V19:V28,$A$41)</f>
        <v>1</v>
      </c>
      <c r="W31" s="250">
        <f>COUNTIF(W7:W12,$A$41)+COUNTIF(W19,$A$41)</f>
        <v>0</v>
      </c>
      <c r="X31" s="250">
        <f>COUNTIF(X7:X17,$A$41)+COUNTIF(X19:X28,$A$41)</f>
        <v>2</v>
      </c>
      <c r="Y31" s="250">
        <f>COUNTIF(Y7:Y12,$A$41)+COUNTIF(Y19,$A$41)</f>
        <v>0</v>
      </c>
      <c r="Z31" s="290" t="s">
        <v>95</v>
      </c>
      <c r="AA31" s="250">
        <f>COUNTIF(AA7:AA17,$A$41)+COUNTIF(AA19:AA28,$A$41)</f>
        <v>1</v>
      </c>
      <c r="AB31" s="250">
        <f>COUNTIF(AB7:AB12,$A$41)+COUNTIF(AB19,$A$41)</f>
        <v>0</v>
      </c>
      <c r="AC31" s="250">
        <f>COUNTIF(AC7:AC17,$A$41)+COUNTIF(AC19:AC28,$A$41)</f>
        <v>2</v>
      </c>
      <c r="AD31" s="250">
        <f>COUNTIF(AD7:AD12,$A$41)+COUNTIF(AD19,$A$41)</f>
        <v>0</v>
      </c>
      <c r="AE31" s="250">
        <f>COUNTIF(AE7:AE17,$A$41)+COUNTIF(AE19:AE28,$A$41)</f>
        <v>2</v>
      </c>
      <c r="AF31" s="250">
        <f>COUNTIF(AF7:AF12,$A$41)+COUNTIF(AF19,$A$41)</f>
        <v>0</v>
      </c>
      <c r="AG31" s="250">
        <f>COUNTIF(AG7:AG17,$A$41)+COUNTIF(AG19:AG28,$A$41)</f>
        <v>3</v>
      </c>
      <c r="AH31" s="250">
        <f>COUNTIF(AH7:AH12,$A$41)+COUNTIF(AH19,$A$41)</f>
        <v>0</v>
      </c>
      <c r="AI31" s="250">
        <f>COUNTIF(AI7:AI17,$A$41)+COUNTIF(AI19:AI28,$A$41)</f>
        <v>2</v>
      </c>
      <c r="AJ31" s="250">
        <f>COUNTIF(AJ7:AJ12,$A$41)+COUNTIF(AJ19,$A$41)</f>
        <v>0</v>
      </c>
      <c r="AK31" s="250">
        <f>COUNTIF(AK7:AK17,$A$41)+COUNTIF(AK19:AK28,$A$41)</f>
        <v>2</v>
      </c>
      <c r="AL31" s="250">
        <f>COUNTIF(AL7:AL12,$A$41)+COUNTIF(AL19,$A$41)</f>
        <v>0</v>
      </c>
      <c r="AM31" s="250">
        <f>COUNTIF(AM7:AM17,$A$41)+COUNTIF(AM19:AM28,$A$41)</f>
        <v>2</v>
      </c>
      <c r="AN31" s="250">
        <f>COUNTIF(AN7:AN12,$A$41)+COUNTIF(AN19,$A$41)</f>
        <v>0</v>
      </c>
      <c r="AO31" s="290" t="s">
        <v>95</v>
      </c>
      <c r="AP31" s="250">
        <f>COUNTIF(AP7:AP17,$A$41)+COUNTIF(AP19:AP28,$A$41)</f>
        <v>2</v>
      </c>
      <c r="AQ31" s="250">
        <f>COUNTIF(AQ7:AQ12,$A$41)+COUNTIF(AQ19,$A$41)</f>
        <v>0</v>
      </c>
      <c r="AR31" s="250">
        <f>COUNTIF(AR7:AR17,$A$41)+COUNTIF(AR19:AR28,$A$41)</f>
        <v>2</v>
      </c>
      <c r="AS31" s="250">
        <f>COUNTIF(AS7:AS12,$A$41)+COUNTIF(AS19,$A$41)</f>
        <v>0</v>
      </c>
      <c r="AT31" s="250">
        <f>COUNTIF(AT7:AT17,$A$41)+COUNTIF(AT19:AT28,$A$41)</f>
        <v>2</v>
      </c>
      <c r="AU31" s="250">
        <f>COUNTIF(AU7:AU12,$A$41)+COUNTIF(AU19,$A$41)</f>
        <v>0</v>
      </c>
      <c r="AV31" s="250">
        <f>COUNTIF(AV7:AV17,$A$41)+COUNTIF(AV19:AV28,$A$41)</f>
        <v>2</v>
      </c>
      <c r="AW31" s="250">
        <f>COUNTIF(AW7:AW12,$A$41)+COUNTIF(AW19,$A$41)</f>
        <v>0</v>
      </c>
      <c r="AX31" s="250">
        <f>COUNTIF(AX7:AX17,$A$41)+COUNTIF(AX19:AX28,$A$41)</f>
        <v>2</v>
      </c>
      <c r="AY31" s="250">
        <f>COUNTIF(AY7:AY12,$A$41)+COUNTIF(AY19,$A$41)</f>
        <v>0</v>
      </c>
      <c r="AZ31" s="250">
        <f>COUNTIF(AZ7:AZ17,$A$41)+COUNTIF(AZ19:AZ28,$A$41)</f>
        <v>2</v>
      </c>
      <c r="BA31" s="250">
        <f>COUNTIF(BA7:BA12,$A$41)+COUNTIF(BA19,$A$41)</f>
        <v>0</v>
      </c>
      <c r="BB31" s="250">
        <f>COUNTIF(BB7:BB17,$A$41)+COUNTIF(BB19:BB28,$A$41)</f>
        <v>3</v>
      </c>
      <c r="BC31" s="250">
        <f>COUNTIF(BC7:BC12,$A$41)+COUNTIF(BC19,$A$41)</f>
        <v>0</v>
      </c>
      <c r="BD31" s="290" t="s">
        <v>95</v>
      </c>
      <c r="BE31" s="250">
        <f>COUNTIF(BE7:BE17,$A$41)+COUNTIF(BE19:BE28,$A$41)</f>
        <v>2</v>
      </c>
      <c r="BF31" s="250">
        <f>COUNTIF(BF7:BF12,$A$41)+COUNTIF(BF19,$A$41)</f>
        <v>0</v>
      </c>
      <c r="BG31" s="250">
        <f>COUNTIF(BG7:BG17,$A$41)+COUNTIF(BG19:BG28,$A$41)</f>
        <v>1</v>
      </c>
      <c r="BH31" s="250">
        <f>COUNTIF(BH7:BH12,$A$41)+COUNTIF(BH19,$A$41)</f>
        <v>0</v>
      </c>
      <c r="BI31" s="250">
        <f>COUNTIF(BI7:BI17,$A$41)+COUNTIF(BI19:BI28,$A$41)</f>
        <v>3</v>
      </c>
      <c r="BJ31" s="250">
        <f>COUNTIF(BJ7:BJ12,$A$41)+COUNTIF(BJ19,$A$41)</f>
        <v>0</v>
      </c>
      <c r="BK31" s="250">
        <f>COUNTIF(BK7:BK17,$A$41)+COUNTIF(BK19:BK28,$A$41)</f>
        <v>2</v>
      </c>
      <c r="BL31" s="250">
        <f>COUNTIF(BL7:BL12,$A$41)+COUNTIF(BL19,$A$41)</f>
        <v>0</v>
      </c>
      <c r="BM31" s="250">
        <f>COUNTIF(BM7:BM17,$A$41)+COUNTIF(BM19:BM28,$A$41)</f>
        <v>2</v>
      </c>
      <c r="BN31" s="250">
        <f>COUNTIF(BN7:BN12,$A$41)+COUNTIF(BN19,$A$41)</f>
        <v>0</v>
      </c>
      <c r="BO31" s="250">
        <f>COUNTIF(BO7:BO17,$A$41)+COUNTIF(BO19:BO28,$A$41)</f>
        <v>2</v>
      </c>
      <c r="BP31" s="250">
        <f>COUNTIF(BP7:BP12,$A$41)+COUNTIF(BP19,$A$41)</f>
        <v>0</v>
      </c>
      <c r="BQ31" s="250">
        <f>COUNTIF(BQ7:BQ17,$A$41)+COUNTIF(BQ19:BQ28,$A$41)</f>
        <v>2</v>
      </c>
      <c r="BR31" s="250">
        <f>COUNTIF(BR7:BR12,$A$41)+COUNTIF(BR19,$A$41)</f>
        <v>0</v>
      </c>
      <c r="BS31" s="248"/>
      <c r="BT31" s="248"/>
      <c r="BU31" s="248"/>
      <c r="BV31" s="248"/>
      <c r="BW31" s="248"/>
      <c r="BX31" s="286"/>
      <c r="BY31" s="286"/>
      <c r="BZ31" s="286"/>
      <c r="CA31" s="286"/>
      <c r="CB31" s="286"/>
      <c r="CC31" s="286"/>
      <c r="CD31" s="286"/>
      <c r="CE31" s="286"/>
      <c r="CF31" s="286"/>
      <c r="CG31" s="286"/>
      <c r="CH31" s="286"/>
      <c r="CI31" s="286"/>
      <c r="CJ31" s="286"/>
      <c r="CK31" s="286"/>
      <c r="CL31" s="286"/>
      <c r="CM31" s="289">
        <v>3.0</v>
      </c>
      <c r="CN31" s="289">
        <v>3.0</v>
      </c>
      <c r="CO31" s="289">
        <v>3.0</v>
      </c>
      <c r="CP31" s="289">
        <v>3.0</v>
      </c>
      <c r="CQ31" s="289">
        <v>2.0</v>
      </c>
      <c r="CR31" s="289">
        <v>3.0</v>
      </c>
      <c r="CS31" s="286"/>
      <c r="CT31" s="286"/>
      <c r="CU31" s="286"/>
      <c r="CV31" s="286"/>
      <c r="CW31" s="286"/>
      <c r="CX31" s="4"/>
      <c r="CY31" s="7"/>
      <c r="CZ31" s="7"/>
      <c r="DA31" s="7"/>
      <c r="DB31" s="7"/>
      <c r="DC31" s="7"/>
      <c r="DD31" s="7"/>
    </row>
    <row r="32">
      <c r="A32" s="286"/>
      <c r="B32" s="248"/>
      <c r="C32" s="287"/>
      <c r="D32" s="290" t="s">
        <v>96</v>
      </c>
      <c r="E32" s="250">
        <f>COUNTIF(E7:E17,$A$51)+COUNTIF(E7:E17,$A$53)+COUNTIF(E19:E28,$A$51)+COUNTIF(E19:E28,$A$53)+ COUNTIF(E19:E28,$A$61)+ COUNTIF(E19:E28,$A$63)</f>
        <v>3</v>
      </c>
      <c r="F32" s="250">
        <f>COUNTIF(F7:F12,$A$51)+COUNTIF(F7:F12,$A$53)+COUNTIF(F19,$A$51)+COUNTIF(F19,$A$53)</f>
        <v>0</v>
      </c>
      <c r="G32" s="250">
        <f>COUNTIF(G7:G17,$A$51)+COUNTIF(G7:G17,$A$53)+COUNTIF(G19:G28,$A$51)+COUNTIF(G19:G28,$A$53)+ COUNTIF(G19:G28,$A$61)+ COUNTIF(G19:G28,$A$63)</f>
        <v>2</v>
      </c>
      <c r="H32" s="250">
        <f>COUNTIF(H7:H12,$A$51)+COUNTIF(H7:H12,$A$53)+COUNTIF(H19,$A$51)+COUNTIF(H19,$A$53)</f>
        <v>0</v>
      </c>
      <c r="I32" s="250">
        <f>COUNTIF(I7:I17,$A$51)+COUNTIF(I7:I17,$A$53)+COUNTIF(I19:I28,$A$51)+COUNTIF(I19:I28,$A$53)+ COUNTIF(I19:I28,$A$61)+ COUNTIF(I19:I28,$A$63)</f>
        <v>1</v>
      </c>
      <c r="J32" s="250">
        <f>COUNTIF(J7:J12,$A$51)+COUNTIF(J7:J12,$A$53)+COUNTIF(J19,$A$51)+COUNTIF(J19,$A$53)</f>
        <v>0</v>
      </c>
      <c r="K32" s="290" t="s">
        <v>96</v>
      </c>
      <c r="L32" s="250">
        <f>COUNTIF(L7:L17,$A$51)+COUNTIF(L7:L17,$A$53)+COUNTIF(L19:L28,$A$51)+COUNTIF(L19:L28,$A$53)+ COUNTIF(L19:L28,$A$61)+ COUNTIF(L19:L28,$A$63)</f>
        <v>2</v>
      </c>
      <c r="M32" s="250">
        <f>COUNTIF(M7:M12,$A$51)+COUNTIF(M7:M12,$A$53)+COUNTIF(M19,$A$51)+COUNTIF(M19,$A$53)</f>
        <v>0</v>
      </c>
      <c r="N32" s="250">
        <f>COUNTIF(N7:N17,$A$51)+COUNTIF(N7:N17,$A$53)+COUNTIF(N19:N28,$A$51)+COUNTIF(N19:N28,$A$53)+ COUNTIF(N19:N28,$A$61)+ COUNTIF(N19:N28,$A$63)</f>
        <v>1</v>
      </c>
      <c r="O32" s="250">
        <f>COUNTIF(O7:O12,$A$51)+COUNTIF(O7:O12,$A$53)+COUNTIF(O19,$A$51)+COUNTIF(O19,$A$53)</f>
        <v>0</v>
      </c>
      <c r="P32" s="250">
        <f>COUNTIF(P7:P17,$A$51)+COUNTIF(P7:P17,$A$53)+COUNTIF(P19:P28,$A$51)+COUNTIF(P19:P28,$A$53)+ COUNTIF(P19:P28,$A$61)+ COUNTIF(P19:P28,$A$63)</f>
        <v>2</v>
      </c>
      <c r="Q32" s="250">
        <f>COUNTIF(Q7:Q12,$A$51)+COUNTIF(Q7:Q12,$A$53)+COUNTIF(Q19,$A$51)+COUNTIF(Q19,$A$53)</f>
        <v>0</v>
      </c>
      <c r="R32" s="250">
        <f>COUNTIF(R7:R17,$A$51)+COUNTIF(R7:R17,$A$53)+COUNTIF(R19:R28,$A$51)+COUNTIF(R19:R28,$A$53)+ COUNTIF(R19:R28,$A$61)+ COUNTIF(R19:R28,$A$63)</f>
        <v>2</v>
      </c>
      <c r="S32" s="250">
        <f>COUNTIF(S7:S12,$A$51)+COUNTIF(S7:S12,$A$53)+COUNTIF(S19,$A$51)+COUNTIF(S19,$A$53)</f>
        <v>0</v>
      </c>
      <c r="T32" s="250">
        <f>COUNTIF(T7:T17,$A$51)+COUNTIF(T7:T17,$A$53)+COUNTIF(T19:T28,$A$51)+COUNTIF(T19:T28,$A$53)+ COUNTIF(T19:T28,$A$61)+ COUNTIF(T19:T28,$A$63)</f>
        <v>2</v>
      </c>
      <c r="U32" s="250">
        <f>COUNTIF(U7:U12,$A$51)+COUNTIF(U7:U12,$A$53)+COUNTIF(U19,$A$51)+COUNTIF(U19,$A$53)</f>
        <v>0</v>
      </c>
      <c r="V32" s="250">
        <f>COUNTIF(V7:V17,$A$51)+COUNTIF(V7:V17,$A$53)+COUNTIF(V19:V28,$A$51)+COUNTIF(V19:V28,$A$53)+ COUNTIF(V19:V28,$A$61)+ COUNTIF(V19:V28,$A$63)</f>
        <v>3</v>
      </c>
      <c r="W32" s="250">
        <f>COUNTIF(W7:W12,$A$51)+COUNTIF(W7:W12,$A$53)+COUNTIF(W19,$A$51)+COUNTIF(W19,$A$53)</f>
        <v>0</v>
      </c>
      <c r="X32" s="250">
        <f>COUNTIF(X7:X17,$A$51)+COUNTIF(X7:X17,$A$53)+COUNTIF(X19:X28,$A$51)+COUNTIF(X19:X28,$A$53)+ COUNTIF(X19:X28,$A$61)+ COUNTIF(X19:X28,$A$63)</f>
        <v>3</v>
      </c>
      <c r="Y32" s="250">
        <f>COUNTIF(Y7:Y12,$A$51)+COUNTIF(Y7:Y12,$A$53)+COUNTIF(Y19,$A$51)+COUNTIF(Y19,$A$53)</f>
        <v>0</v>
      </c>
      <c r="Z32" s="290" t="s">
        <v>96</v>
      </c>
      <c r="AA32" s="250">
        <f>COUNTIF(AA7:AA17,$A$51)+COUNTIF(AA7:AA17,$A$53)+COUNTIF(AA19:AA28,$A$51)+COUNTIF(AA19:AA28,$A$53)+ COUNTIF(AA19:AA28,$A$61)+ COUNTIF(AA19:AA28,$A$63)</f>
        <v>2</v>
      </c>
      <c r="AB32" s="250">
        <f>COUNTIF(AB7:AB12,$A$51)+COUNTIF(AB7:AB12,$A$53)+COUNTIF(AB19,$A$51)+COUNTIF(AB19,$A$53)</f>
        <v>0</v>
      </c>
      <c r="AC32" s="250">
        <f>COUNTIF(AC7:AC17,$A$51)+COUNTIF(AC7:AC17,$A$53)+COUNTIF(AC19:AC28,$A$51)+COUNTIF(AC19:AC28,$A$53)+ COUNTIF(AC19:AC28,$A$61)+ COUNTIF(AC19:AC28,$A$63)</f>
        <v>2</v>
      </c>
      <c r="AD32" s="250">
        <f>COUNTIF(AD7:AD12,$A$51)+COUNTIF(AD7:AD12,$A$53)+COUNTIF(AD19,$A$51)+COUNTIF(AD19,$A$53)</f>
        <v>0</v>
      </c>
      <c r="AE32" s="250">
        <f>COUNTIF(AE7:AE17,$A$51)+COUNTIF(AE7:AE17,$A$53)+COUNTIF(AE19:AE28,$A$51)+COUNTIF(AE19:AE28,$A$53)+ COUNTIF(AE19:AE28,$A$61)+ COUNTIF(AE19:AE28,$A$63)</f>
        <v>2</v>
      </c>
      <c r="AF32" s="250">
        <f>COUNTIF(AF7:AF12,$A$51)+COUNTIF(AF7:AF12,$A$53)+COUNTIF(AF19,$A$51)+COUNTIF(AF19,$A$53)</f>
        <v>0</v>
      </c>
      <c r="AG32" s="250">
        <f>COUNTIF(AG7:AG17,$A$51)+COUNTIF(AG7:AG17,$A$53)+COUNTIF(AG19:AG28,$A$51)+COUNTIF(AG19:AG28,$A$53)+ COUNTIF(AG19:AG28,$A$61)+ COUNTIF(AG19:AG28,$A$63)</f>
        <v>2</v>
      </c>
      <c r="AH32" s="250">
        <f>COUNTIF(AH7:AH12,$A$51)+COUNTIF(AH7:AH12,$A$53)+COUNTIF(AH19,$A$51)+COUNTIF(AH19,$A$53)</f>
        <v>0</v>
      </c>
      <c r="AI32" s="250">
        <f>COUNTIF(AI7:AI17,$A$51)+COUNTIF(AI7:AI17,$A$53)+COUNTIF(AI19:AI28,$A$51)+COUNTIF(AI19:AI28,$A$53)+ COUNTIF(AI19:AI28,$A$61)+ COUNTIF(AI19:AI28,$A$63)</f>
        <v>3</v>
      </c>
      <c r="AJ32" s="250">
        <f>COUNTIF(AJ7:AJ12,$A$51)+COUNTIF(AJ7:AJ12,$A$53)+COUNTIF(AJ19,$A$51)+COUNTIF(AJ19,$A$53)</f>
        <v>0</v>
      </c>
      <c r="AK32" s="250">
        <f>COUNTIF(AK7:AK17,$A$51)+COUNTIF(AK7:AK17,$A$53)+COUNTIF(AK19:AK28,$A$51)+COUNTIF(AK19:AK28,$A$53)+ COUNTIF(AK19:AK28,$A$61)+ COUNTIF(AK19:AK28,$A$63)</f>
        <v>2</v>
      </c>
      <c r="AL32" s="250">
        <f>COUNTIF(AL7:AL12,$A$51)+COUNTIF(AL7:AL12,$A$53)+COUNTIF(AL19,$A$51)+COUNTIF(AL19,$A$53)</f>
        <v>0</v>
      </c>
      <c r="AM32" s="250">
        <f>COUNTIF(AM7:AM17,$A$51)+COUNTIF(AM7:AM17,$A$53)+COUNTIF(AM19:AM28,$A$51)+COUNTIF(AM19:AM28,$A$53)+ COUNTIF(AM19:AM28,$A$61)+ COUNTIF(AM19:AM28,$A$63)</f>
        <v>2</v>
      </c>
      <c r="AN32" s="250">
        <f>COUNTIF(AN7:AN12,$A$51)+COUNTIF(AN7:AN12,$A$53)+COUNTIF(AN19,$A$51)+COUNTIF(AN19,$A$53)</f>
        <v>0</v>
      </c>
      <c r="AO32" s="290" t="s">
        <v>96</v>
      </c>
      <c r="AP32" s="250">
        <f>COUNTIF(AP7:AP17,$A$51)+COUNTIF(AP7:AP17,$A$53)+COUNTIF(AP19:AP28,$A$51)+COUNTIF(AP19:AP28,$A$53)+ COUNTIF(AP19:AP28,$A$61)+ COUNTIF(AP19:AP28,$A$63)</f>
        <v>2</v>
      </c>
      <c r="AQ32" s="250">
        <f>COUNTIF(AQ7:AQ12,$A$51)+COUNTIF(AQ7:AQ12,$A$53)+COUNTIF(AQ19,$A$51)+COUNTIF(AQ19,$A$53)</f>
        <v>0</v>
      </c>
      <c r="AR32" s="250">
        <f>COUNTIF(AR7:AR17,$A$51)+COUNTIF(AR7:AR17,$A$53)+COUNTIF(AR19:AR28,$A$51)+COUNTIF(AR19:AR28,$A$53)+ COUNTIF(AR19:AR28,$A$61)+ COUNTIF(AR19:AR28,$A$63)</f>
        <v>2</v>
      </c>
      <c r="AS32" s="250">
        <f>COUNTIF(AS7:AS12,$A$51)+COUNTIF(AS7:AS12,$A$53)+COUNTIF(AS19,$A$51)+COUNTIF(AS19,$A$53)</f>
        <v>0</v>
      </c>
      <c r="AT32" s="250">
        <f>COUNTIF(AT7:AT17,$A$51)+COUNTIF(AT7:AT17,$A$53)+COUNTIF(AT19:AT28,$A$51)+COUNTIF(AT19:AT28,$A$53)+ COUNTIF(AT19:AT28,$A$61)+ COUNTIF(AT19:AT28,$A$63)</f>
        <v>2</v>
      </c>
      <c r="AU32" s="250">
        <f>COUNTIF(AU7:AU12,$A$51)+COUNTIF(AU7:AU12,$A$53)+COUNTIF(AU19,$A$51)+COUNTIF(AU19,$A$53)</f>
        <v>0</v>
      </c>
      <c r="AV32" s="250">
        <f>COUNTIF(AV7:AV17,$A$51)+COUNTIF(AV7:AV17,$A$53)+COUNTIF(AV19:AV28,$A$51)+COUNTIF(AV19:AV28,$A$53)+ COUNTIF(AV19:AV28,$A$61)+ COUNTIF(AV19:AV28,$A$63)</f>
        <v>2</v>
      </c>
      <c r="AW32" s="250">
        <f>COUNTIF(AW7:AW12,$A$51)+COUNTIF(AW7:AW12,$A$53)+COUNTIF(AW19,$A$51)+COUNTIF(AW19,$A$53)</f>
        <v>0</v>
      </c>
      <c r="AX32" s="250">
        <f>COUNTIF(AX7:AX17,$A$51)+COUNTIF(AX7:AX17,$A$53)+COUNTIF(AX19:AX28,$A$51)+COUNTIF(AX19:AX28,$A$53)+ COUNTIF(AX19:AX28,$A$61)+ COUNTIF(AX19:AX28,$A$63)</f>
        <v>2</v>
      </c>
      <c r="AY32" s="250">
        <f>COUNTIF(AY7:AY12,$A$51)+COUNTIF(AY7:AY12,$A$53)+COUNTIF(AY19,$A$51)+COUNTIF(AY19,$A$53)</f>
        <v>0</v>
      </c>
      <c r="AZ32" s="250">
        <f>COUNTIF(AZ7:AZ17,$A$51)+COUNTIF(AZ7:AZ17,$A$53)+COUNTIF(AZ19:AZ28,$A$51)+COUNTIF(AZ19:AZ28,$A$53)+ COUNTIF(AZ19:AZ28,$A$61)+ COUNTIF(AZ19:AZ28,$A$63)</f>
        <v>2</v>
      </c>
      <c r="BA32" s="250">
        <f>COUNTIF(BA7:BA12,$A$51)+COUNTIF(BA7:BA12,$A$53)+COUNTIF(BA19,$A$51)+COUNTIF(BA19,$A$53)</f>
        <v>0</v>
      </c>
      <c r="BB32" s="250">
        <f>COUNTIF(BB7:BB17,$A$51)+COUNTIF(BB7:BB17,$A$53)+COUNTIF(BB19:BB28,$A$51)+COUNTIF(BB19:BB28,$A$53)+ COUNTIF(BB19:BB28,$A$61)+ COUNTIF(BB19:BB28,$A$63)</f>
        <v>2</v>
      </c>
      <c r="BC32" s="250">
        <f>COUNTIF(BC7:BC12,$A$51)+COUNTIF(BC7:BC12,$A$53)+COUNTIF(BC19,$A$51)+COUNTIF(BC19,$A$53)</f>
        <v>0</v>
      </c>
      <c r="BD32" s="290" t="s">
        <v>96</v>
      </c>
      <c r="BE32" s="250">
        <f>COUNTIF(BE7:BE17,$A$51)+COUNTIF(BE7:BE17,$A$53)+COUNTIF(BE19:BE28,$A$51)+COUNTIF(BE19:BE28,$A$53)+ COUNTIF(BE19:BE28,$A$61)+ COUNTIF(BE19:BE28,$A$63)</f>
        <v>5</v>
      </c>
      <c r="BF32" s="250">
        <f>COUNTIF(BF7:BF12,$A$51)+COUNTIF(BF7:BF12,$A$53)+COUNTIF(BF19,$A$51)+COUNTIF(BF19,$A$53)</f>
        <v>0</v>
      </c>
      <c r="BG32" s="250">
        <f>COUNTIF(BG7:BG17,$A$51)+COUNTIF(BG7:BG17,$A$53)+COUNTIF(BG19:BG28,$A$51)+COUNTIF(BG19:BG28,$A$53)+ COUNTIF(BG19:BG28,$A$61)+ COUNTIF(BG19:BG28,$A$63)</f>
        <v>2</v>
      </c>
      <c r="BH32" s="250">
        <f>COUNTIF(BH7:BH12,$A$51)+COUNTIF(BH7:BH12,$A$53)+COUNTIF(BH19,$A$51)+COUNTIF(BH19,$A$53)</f>
        <v>0</v>
      </c>
      <c r="BI32" s="250">
        <f>COUNTIF(BI7:BI17,$A$51)+COUNTIF(BI7:BI17,$A$53)+COUNTIF(BI19:BI28,$A$51)+COUNTIF(BI19:BI28,$A$53)+ COUNTIF(BI19:BI28,$A$61)+ COUNTIF(BI19:BI28,$A$63)</f>
        <v>2</v>
      </c>
      <c r="BJ32" s="250">
        <f>COUNTIF(BJ7:BJ12,$A$51)+COUNTIF(BJ7:BJ12,$A$53)+COUNTIF(BJ19,$A$51)+COUNTIF(BJ19,$A$53)</f>
        <v>0</v>
      </c>
      <c r="BK32" s="250">
        <f>COUNTIF(BK7:BK17,$A$51)+COUNTIF(BK7:BK17,$A$53)+COUNTIF(BK19:BK28,$A$51)+COUNTIF(BK19:BK28,$A$53)+ COUNTIF(BK19:BK28,$A$61)+ COUNTIF(BK19:BK28,$A$63)</f>
        <v>4</v>
      </c>
      <c r="BL32" s="250">
        <f>COUNTIF(BL7:BL12,$A$51)+COUNTIF(BL7:BL12,$A$53)+COUNTIF(BL19,$A$51)+COUNTIF(BL19,$A$53)</f>
        <v>0</v>
      </c>
      <c r="BM32" s="250">
        <f>COUNTIF(BM7:BM17,$A$51)+COUNTIF(BM7:BM17,$A$53)+COUNTIF(BM19:BM28,$A$51)+COUNTIF(BM19:BM28,$A$53)+ COUNTIF(BM19:BM28,$A$61)+ COUNTIF(BM19:BM28,$A$63)</f>
        <v>5</v>
      </c>
      <c r="BN32" s="250">
        <f>COUNTIF(BN7:BN12,$A$51)+COUNTIF(BN7:BN12,$A$53)+COUNTIF(BN19,$A$51)+COUNTIF(BN19,$A$53)</f>
        <v>0</v>
      </c>
      <c r="BO32" s="250">
        <f>COUNTIF(BO7:BO17,$A$51)+COUNTIF(BO7:BO17,$A$53)+COUNTIF(BO19:BO28,$A$51)+COUNTIF(BO19:BO28,$A$53)+ COUNTIF(BO19:BO28,$A$61)+ COUNTIF(BO19:BO28,$A$63)</f>
        <v>4</v>
      </c>
      <c r="BP32" s="250">
        <f>COUNTIF(BP7:BP12,$A$51)+COUNTIF(BP7:BP12,$A$53)+COUNTIF(BP19,$A$51)+COUNTIF(BP19,$A$53)</f>
        <v>0</v>
      </c>
      <c r="BQ32" s="250">
        <f>COUNTIF(BQ7:BQ17,$A$51)+COUNTIF(BQ7:BQ17,$A$53)+COUNTIF(BQ19:BQ28,$A$51)+COUNTIF(BQ19:BQ28,$A$53)+ COUNTIF(BQ19:BQ28,$A$61)+ COUNTIF(BQ19:BQ28,$A$63)</f>
        <v>4</v>
      </c>
      <c r="BR32" s="250">
        <f>COUNTIF(BR7:BR12,$A$51)+COUNTIF(BR7:BR12,$A$53)+COUNTIF(BR19,$A$51)+COUNTIF(BR19,$A$53)</f>
        <v>0</v>
      </c>
      <c r="BS32" s="248"/>
      <c r="BT32" s="248"/>
      <c r="BU32" s="248"/>
      <c r="BV32" s="248"/>
      <c r="BW32" s="248"/>
      <c r="BX32" s="286"/>
      <c r="BY32" s="286"/>
      <c r="BZ32" s="286"/>
      <c r="CA32" s="286"/>
      <c r="CB32" s="286"/>
      <c r="CC32" s="286"/>
      <c r="CD32" s="286"/>
      <c r="CE32" s="286"/>
      <c r="CF32" s="286"/>
      <c r="CG32" s="286"/>
      <c r="CH32" s="286"/>
      <c r="CI32" s="286"/>
      <c r="CJ32" s="286"/>
      <c r="CK32" s="286"/>
      <c r="CL32" s="286"/>
      <c r="CM32" s="286"/>
      <c r="CN32" s="286"/>
      <c r="CO32" s="286"/>
      <c r="CP32" s="286"/>
      <c r="CQ32" s="286"/>
      <c r="CR32" s="286"/>
      <c r="CS32" s="286"/>
      <c r="CT32" s="286"/>
      <c r="CU32" s="286"/>
      <c r="CV32" s="286"/>
      <c r="CW32" s="286"/>
      <c r="CX32" s="4"/>
      <c r="CY32" s="7"/>
      <c r="CZ32" s="7"/>
      <c r="DA32" s="7"/>
      <c r="DB32" s="7"/>
      <c r="DC32" s="7"/>
      <c r="DD32" s="7"/>
    </row>
    <row r="33">
      <c r="A33" s="7"/>
      <c r="B33" s="4"/>
      <c r="C33" s="167"/>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4"/>
      <c r="CY33" s="7"/>
      <c r="CZ33" s="7"/>
      <c r="DA33" s="7"/>
      <c r="DB33" s="7"/>
      <c r="DC33" s="7"/>
      <c r="DD33" s="7"/>
    </row>
    <row r="34">
      <c r="A34" s="7"/>
      <c r="B34" s="4"/>
      <c r="C34" s="167"/>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7"/>
      <c r="CA34" s="7"/>
      <c r="CB34" s="7"/>
      <c r="CC34" s="7"/>
      <c r="CD34" s="7"/>
      <c r="CE34" s="7"/>
      <c r="CF34" s="7"/>
      <c r="CG34" s="7"/>
      <c r="CH34" s="7"/>
      <c r="CI34" s="7"/>
      <c r="CJ34" s="7"/>
      <c r="CK34" s="7"/>
      <c r="CL34" s="7"/>
      <c r="CM34" s="7"/>
      <c r="CN34" s="7"/>
      <c r="CO34" s="7"/>
      <c r="CP34" s="7"/>
      <c r="CQ34" s="7"/>
      <c r="CR34" s="7"/>
      <c r="CS34" s="7"/>
      <c r="CT34" s="7"/>
      <c r="CU34" s="7"/>
      <c r="CV34" s="7"/>
      <c r="CW34" s="7"/>
      <c r="CX34" s="4"/>
      <c r="CY34" s="7"/>
      <c r="CZ34" s="7"/>
      <c r="DA34" s="7"/>
      <c r="DB34" s="7"/>
      <c r="DC34" s="7"/>
      <c r="DD34" s="7"/>
    </row>
    <row r="35">
      <c r="A35" s="23" t="s">
        <v>98</v>
      </c>
      <c r="B35" s="25"/>
      <c r="C35" s="167"/>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7"/>
      <c r="CA35" s="7"/>
      <c r="CB35" s="7"/>
      <c r="CC35" s="7"/>
      <c r="CD35" s="7"/>
      <c r="CE35" s="7"/>
      <c r="CF35" s="7"/>
      <c r="CG35" s="7"/>
      <c r="CH35" s="7"/>
      <c r="CI35" s="7"/>
      <c r="CJ35" s="7"/>
      <c r="CK35" s="7"/>
      <c r="CL35" s="7"/>
      <c r="CM35" s="7"/>
      <c r="CN35" s="7"/>
      <c r="CO35" s="7"/>
      <c r="CP35" s="7"/>
      <c r="CQ35" s="7"/>
      <c r="CR35" s="7"/>
      <c r="CS35" s="7"/>
      <c r="CT35" s="7"/>
      <c r="CU35" s="7"/>
      <c r="CV35" s="7"/>
      <c r="CW35" s="7"/>
      <c r="CX35" s="4"/>
      <c r="CY35" s="7"/>
      <c r="CZ35" s="7"/>
      <c r="DA35" s="7"/>
      <c r="DB35" s="7"/>
      <c r="DC35" s="7"/>
      <c r="DD35" s="7"/>
    </row>
    <row r="36">
      <c r="A36" s="185" t="s">
        <v>16</v>
      </c>
      <c r="B36" s="40"/>
      <c r="C36" s="167"/>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4"/>
      <c r="CY36" s="7"/>
      <c r="CZ36" s="7"/>
      <c r="DA36" s="7"/>
      <c r="DB36" s="7"/>
      <c r="DC36" s="7"/>
      <c r="DD36" s="7"/>
    </row>
    <row r="37">
      <c r="A37" s="191" t="s">
        <v>159</v>
      </c>
      <c r="B37" s="291" t="s">
        <v>190</v>
      </c>
      <c r="C37" s="167"/>
      <c r="D37" s="4"/>
      <c r="F37" s="4"/>
      <c r="G37" s="4"/>
      <c r="H37" s="4"/>
      <c r="I37" s="4"/>
      <c r="J37" s="4"/>
      <c r="K37" s="4"/>
      <c r="L37" s="4"/>
      <c r="Q37" s="4"/>
      <c r="BS37" s="4"/>
      <c r="BT37" s="4"/>
      <c r="BU37" s="4"/>
      <c r="BV37" s="4"/>
      <c r="BW37" s="4"/>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4"/>
      <c r="CY37" s="7"/>
      <c r="CZ37" s="7"/>
      <c r="DA37" s="7"/>
      <c r="DB37" s="7"/>
      <c r="DC37" s="7"/>
      <c r="DD37" s="7"/>
    </row>
    <row r="38">
      <c r="A38" s="191" t="s">
        <v>160</v>
      </c>
      <c r="B38" s="291" t="s">
        <v>191</v>
      </c>
      <c r="C38" s="167"/>
      <c r="D38" s="4"/>
      <c r="F38" s="4"/>
      <c r="G38" s="4"/>
      <c r="H38" s="4"/>
      <c r="I38" s="4"/>
      <c r="J38" s="4"/>
      <c r="K38" s="4"/>
      <c r="L38" s="4"/>
      <c r="O38" s="292"/>
      <c r="P38" s="292"/>
      <c r="Q38" s="4"/>
      <c r="R38" s="292"/>
      <c r="S38" s="292"/>
      <c r="T38" s="292"/>
      <c r="U38" s="292"/>
      <c r="V38" s="292"/>
      <c r="W38" s="292"/>
      <c r="BS38" s="4"/>
      <c r="BT38" s="4"/>
      <c r="BU38" s="4"/>
      <c r="BV38" s="4"/>
      <c r="BW38" s="4"/>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4"/>
      <c r="CY38" s="7"/>
      <c r="CZ38" s="7"/>
      <c r="DA38" s="7"/>
      <c r="DB38" s="7"/>
      <c r="DC38" s="7"/>
      <c r="DD38" s="7"/>
    </row>
    <row r="39">
      <c r="A39" s="191" t="s">
        <v>161</v>
      </c>
      <c r="B39" s="291" t="s">
        <v>192</v>
      </c>
      <c r="C39" s="167"/>
      <c r="D39" s="4"/>
      <c r="F39" s="4"/>
      <c r="G39" s="4"/>
      <c r="H39" s="4"/>
      <c r="I39" s="4"/>
      <c r="J39" s="4"/>
      <c r="K39" s="4"/>
      <c r="L39" s="4"/>
      <c r="O39" s="292"/>
      <c r="P39" s="292"/>
      <c r="Q39" s="4"/>
      <c r="R39" s="292"/>
      <c r="S39" s="292"/>
      <c r="T39" s="292"/>
      <c r="U39" s="292"/>
      <c r="V39" s="292"/>
      <c r="W39" s="292"/>
      <c r="BS39" s="4"/>
      <c r="BT39" s="4"/>
      <c r="BU39" s="4"/>
      <c r="BV39" s="4"/>
      <c r="BW39" s="4"/>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4"/>
      <c r="CY39" s="7"/>
      <c r="CZ39" s="7"/>
      <c r="DA39" s="7"/>
      <c r="DB39" s="7"/>
      <c r="DC39" s="7"/>
      <c r="DD39" s="7"/>
    </row>
    <row r="40">
      <c r="A40" s="185" t="s">
        <v>120</v>
      </c>
      <c r="B40" s="40"/>
      <c r="C40" s="167"/>
      <c r="D40" s="4"/>
      <c r="F40" s="4"/>
      <c r="G40" s="4"/>
      <c r="H40" s="4"/>
      <c r="I40" s="4"/>
      <c r="J40" s="4"/>
      <c r="K40" s="4"/>
      <c r="L40" s="4"/>
      <c r="O40" s="292"/>
      <c r="P40" s="292"/>
      <c r="Q40" s="4"/>
      <c r="R40" s="292"/>
      <c r="S40" s="292"/>
      <c r="T40" s="292"/>
      <c r="U40" s="292"/>
      <c r="V40" s="292"/>
      <c r="W40" s="292"/>
      <c r="BS40" s="4"/>
      <c r="BT40" s="4"/>
      <c r="BU40" s="4"/>
      <c r="BV40" s="4"/>
      <c r="BW40" s="4"/>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4"/>
      <c r="CY40" s="7"/>
      <c r="CZ40" s="7"/>
      <c r="DA40" s="7"/>
      <c r="DB40" s="7"/>
      <c r="DC40" s="7"/>
      <c r="DD40" s="7"/>
    </row>
    <row r="41">
      <c r="A41" s="48" t="s">
        <v>18</v>
      </c>
      <c r="B41" s="291" t="s">
        <v>121</v>
      </c>
      <c r="C41" s="167"/>
      <c r="D41" s="4"/>
      <c r="O41" s="292"/>
      <c r="P41" s="292"/>
      <c r="Q41" s="292"/>
      <c r="R41" s="292"/>
      <c r="S41" s="292"/>
      <c r="T41" s="292"/>
      <c r="U41" s="292"/>
      <c r="V41" s="292"/>
      <c r="W41" s="292"/>
      <c r="BS41" s="4"/>
      <c r="BT41" s="4"/>
      <c r="BU41" s="4"/>
      <c r="BV41" s="4"/>
      <c r="BW41" s="4"/>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4"/>
      <c r="CY41" s="7"/>
      <c r="CZ41" s="7"/>
      <c r="DA41" s="7"/>
      <c r="DB41" s="7"/>
      <c r="DC41" s="7"/>
      <c r="DD41" s="7"/>
    </row>
    <row r="42">
      <c r="A42" s="48" t="s">
        <v>19</v>
      </c>
      <c r="B42" s="291" t="s">
        <v>122</v>
      </c>
      <c r="C42" s="167"/>
      <c r="D42" s="4"/>
      <c r="O42" s="292"/>
      <c r="P42" s="292"/>
      <c r="Q42" s="292"/>
      <c r="R42" s="292"/>
      <c r="S42" s="292"/>
      <c r="T42" s="292"/>
      <c r="U42" s="292"/>
      <c r="V42" s="292"/>
      <c r="W42" s="292"/>
      <c r="BS42" s="4"/>
      <c r="BT42" s="4"/>
      <c r="BU42" s="4"/>
      <c r="BV42" s="4"/>
      <c r="BW42" s="4"/>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4"/>
      <c r="CY42" s="7"/>
      <c r="CZ42" s="7"/>
      <c r="DA42" s="7"/>
      <c r="DB42" s="7"/>
      <c r="DC42" s="7"/>
      <c r="DD42" s="7"/>
    </row>
    <row r="43">
      <c r="A43" s="48" t="s">
        <v>20</v>
      </c>
      <c r="B43" s="291" t="s">
        <v>123</v>
      </c>
      <c r="C43" s="167"/>
      <c r="D43" s="4"/>
      <c r="O43" s="292"/>
      <c r="P43" s="292"/>
      <c r="Q43" s="292"/>
      <c r="R43" s="292"/>
      <c r="S43" s="292"/>
      <c r="T43" s="292"/>
      <c r="U43" s="292"/>
      <c r="V43" s="292"/>
      <c r="W43" s="292"/>
      <c r="BS43" s="4"/>
      <c r="BT43" s="4"/>
      <c r="BU43" s="4"/>
      <c r="BV43" s="4"/>
      <c r="BW43" s="4"/>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4"/>
      <c r="CY43" s="7"/>
      <c r="CZ43" s="7"/>
      <c r="DA43" s="7"/>
      <c r="DB43" s="7"/>
      <c r="DC43" s="7"/>
      <c r="DD43" s="7"/>
    </row>
    <row r="44">
      <c r="A44" s="48" t="s">
        <v>21</v>
      </c>
      <c r="B44" s="291" t="s">
        <v>193</v>
      </c>
      <c r="C44" s="167"/>
      <c r="D44" s="4"/>
      <c r="O44" s="292"/>
      <c r="P44" s="292"/>
      <c r="Q44" s="292"/>
      <c r="R44" s="292"/>
      <c r="S44" s="292"/>
      <c r="T44" s="292"/>
      <c r="U44" s="292"/>
      <c r="V44" s="292"/>
      <c r="W44" s="292"/>
      <c r="BS44" s="4"/>
      <c r="BT44" s="4"/>
      <c r="BU44" s="4"/>
      <c r="BV44" s="4"/>
      <c r="BW44" s="4"/>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4"/>
      <c r="CY44" s="7"/>
      <c r="CZ44" s="7"/>
      <c r="DA44" s="7"/>
      <c r="DB44" s="7"/>
      <c r="DC44" s="7"/>
      <c r="DD44" s="7"/>
    </row>
    <row r="45">
      <c r="A45" s="196" t="s">
        <v>124</v>
      </c>
      <c r="B45" s="197" t="s">
        <v>125</v>
      </c>
      <c r="C45" s="293" t="s">
        <v>194</v>
      </c>
      <c r="D45" s="4"/>
      <c r="E45" s="4"/>
      <c r="F45" s="4"/>
      <c r="O45" s="292"/>
      <c r="P45" s="292"/>
      <c r="Q45" s="292"/>
      <c r="R45" s="292"/>
      <c r="S45" s="292"/>
      <c r="T45" s="292"/>
      <c r="U45" s="292"/>
      <c r="V45" s="292"/>
      <c r="W45" s="292"/>
      <c r="BS45" s="4"/>
      <c r="BT45" s="4"/>
      <c r="BU45" s="4"/>
      <c r="BV45" s="4"/>
      <c r="BW45" s="4"/>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4"/>
      <c r="CY45" s="7"/>
      <c r="CZ45" s="7"/>
      <c r="DA45" s="7"/>
      <c r="DB45" s="7"/>
      <c r="DC45" s="7"/>
      <c r="DD45" s="7"/>
    </row>
    <row r="46">
      <c r="A46" s="200" t="s">
        <v>22</v>
      </c>
      <c r="B46" s="291" t="s">
        <v>126</v>
      </c>
      <c r="C46" s="167"/>
      <c r="D46" s="4"/>
      <c r="E46" s="4"/>
      <c r="F46" s="4"/>
      <c r="G46" s="4"/>
      <c r="H46" s="4"/>
      <c r="I46" s="4"/>
      <c r="J46" s="4"/>
      <c r="K46" s="4"/>
      <c r="L46" s="4"/>
      <c r="M46" s="4"/>
      <c r="N46" s="4"/>
      <c r="O46" s="5"/>
      <c r="P46" s="5"/>
      <c r="Q46" s="5"/>
      <c r="R46" s="5"/>
      <c r="S46" s="292"/>
      <c r="T46" s="5"/>
      <c r="U46" s="5"/>
      <c r="V46" s="5"/>
      <c r="W46" s="5"/>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S46" s="4"/>
      <c r="BT46" s="4"/>
      <c r="BU46" s="4"/>
      <c r="BV46" s="4"/>
      <c r="BW46" s="4"/>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4"/>
      <c r="CY46" s="7"/>
      <c r="CZ46" s="7"/>
      <c r="DA46" s="7"/>
      <c r="DB46" s="7"/>
      <c r="DC46" s="7"/>
      <c r="DD46" s="7"/>
    </row>
    <row r="47">
      <c r="A47" s="48" t="s">
        <v>23</v>
      </c>
      <c r="B47" s="291" t="s">
        <v>128</v>
      </c>
      <c r="C47" s="167"/>
      <c r="D47" s="4"/>
      <c r="E47" s="4"/>
      <c r="F47" s="4"/>
      <c r="G47" s="4"/>
      <c r="H47" s="4"/>
      <c r="I47" s="4"/>
      <c r="J47" s="4"/>
      <c r="K47" s="4"/>
      <c r="L47" s="4"/>
      <c r="M47" s="4"/>
      <c r="N47" s="4"/>
      <c r="O47" s="5"/>
      <c r="P47" s="5"/>
      <c r="Q47" s="5"/>
      <c r="R47" s="5"/>
      <c r="S47" s="292"/>
      <c r="T47" s="5"/>
      <c r="U47" s="5"/>
      <c r="V47" s="5"/>
      <c r="W47" s="5"/>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4"/>
      <c r="CY47" s="7"/>
      <c r="CZ47" s="7"/>
      <c r="DA47" s="7"/>
      <c r="DB47" s="7"/>
      <c r="DC47" s="7"/>
      <c r="DD47" s="7"/>
    </row>
    <row r="48">
      <c r="A48" s="48" t="s">
        <v>24</v>
      </c>
      <c r="B48" s="291" t="s">
        <v>195</v>
      </c>
      <c r="C48" s="167"/>
      <c r="D48" s="4"/>
      <c r="E48" s="4"/>
      <c r="F48" s="4"/>
      <c r="G48" s="4"/>
      <c r="H48" s="4"/>
      <c r="I48" s="4"/>
      <c r="J48" s="4"/>
      <c r="K48" s="4"/>
      <c r="L48" s="4"/>
      <c r="M48" s="4"/>
      <c r="N48" s="4"/>
      <c r="O48" s="5"/>
      <c r="P48" s="5"/>
      <c r="Q48" s="5"/>
      <c r="R48" s="5"/>
      <c r="S48" s="292"/>
      <c r="T48" s="5"/>
      <c r="U48" s="5"/>
      <c r="V48" s="5"/>
      <c r="W48" s="5"/>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4"/>
      <c r="CY48" s="7"/>
      <c r="CZ48" s="7"/>
      <c r="DA48" s="7"/>
      <c r="DB48" s="7"/>
      <c r="DC48" s="7"/>
      <c r="DD48" s="7"/>
    </row>
    <row r="49">
      <c r="A49" s="48" t="s">
        <v>25</v>
      </c>
      <c r="B49" s="291" t="s">
        <v>130</v>
      </c>
      <c r="C49" s="167"/>
      <c r="D49" s="4"/>
      <c r="E49" s="4"/>
      <c r="F49" s="4"/>
      <c r="G49" s="4"/>
      <c r="H49" s="4"/>
      <c r="I49" s="4"/>
      <c r="J49" s="4"/>
      <c r="K49" s="4"/>
      <c r="L49" s="4"/>
      <c r="M49" s="4"/>
      <c r="N49" s="4"/>
      <c r="O49" s="5"/>
      <c r="P49" s="5"/>
      <c r="Q49" s="5"/>
      <c r="R49" s="5"/>
      <c r="S49" s="292"/>
      <c r="T49" s="5"/>
      <c r="U49" s="5"/>
      <c r="V49" s="5"/>
      <c r="W49" s="5"/>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4"/>
      <c r="CY49" s="7"/>
      <c r="CZ49" s="7"/>
      <c r="DA49" s="7"/>
      <c r="DB49" s="7"/>
      <c r="DC49" s="7"/>
      <c r="DD49" s="7"/>
    </row>
    <row r="50">
      <c r="A50" s="48" t="s">
        <v>26</v>
      </c>
      <c r="B50" s="291" t="s">
        <v>131</v>
      </c>
      <c r="C50" s="167"/>
      <c r="D50" s="4"/>
      <c r="E50" s="4"/>
      <c r="F50" s="4"/>
      <c r="G50" s="4"/>
      <c r="H50" s="4"/>
      <c r="I50" s="4"/>
      <c r="J50" s="4"/>
      <c r="K50" s="4"/>
      <c r="L50" s="4"/>
      <c r="M50" s="4"/>
      <c r="N50" s="4"/>
      <c r="O50" s="5"/>
      <c r="P50" s="5"/>
      <c r="Q50" s="5"/>
      <c r="R50" s="5"/>
      <c r="S50" s="292"/>
      <c r="T50" s="5"/>
      <c r="U50" s="5"/>
      <c r="V50" s="5"/>
      <c r="W50" s="5"/>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4"/>
      <c r="CY50" s="7"/>
      <c r="CZ50" s="7"/>
      <c r="DA50" s="7"/>
      <c r="DB50" s="7"/>
      <c r="DC50" s="7"/>
      <c r="DD50" s="7"/>
    </row>
    <row r="51">
      <c r="A51" s="48" t="s">
        <v>27</v>
      </c>
      <c r="B51" s="291" t="s">
        <v>132</v>
      </c>
      <c r="C51" s="167"/>
      <c r="D51" s="4"/>
      <c r="E51" s="4"/>
      <c r="F51" s="4"/>
      <c r="G51" s="4"/>
      <c r="H51" s="4"/>
      <c r="I51" s="4"/>
      <c r="J51" s="4"/>
      <c r="K51" s="4"/>
      <c r="L51" s="4"/>
      <c r="M51" s="4"/>
      <c r="N51" s="4"/>
      <c r="O51" s="5"/>
      <c r="P51" s="5"/>
      <c r="Q51" s="5"/>
      <c r="R51" s="5"/>
      <c r="S51" s="292"/>
      <c r="T51" s="5"/>
      <c r="U51" s="5"/>
      <c r="V51" s="5"/>
      <c r="W51" s="5"/>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4"/>
      <c r="CY51" s="7"/>
      <c r="CZ51" s="7"/>
      <c r="DA51" s="7"/>
      <c r="DB51" s="7"/>
      <c r="DC51" s="7"/>
      <c r="DD51" s="7"/>
    </row>
    <row r="52">
      <c r="A52" s="48" t="s">
        <v>28</v>
      </c>
      <c r="B52" s="294" t="s">
        <v>133</v>
      </c>
      <c r="C52" s="167"/>
      <c r="D52" s="4"/>
      <c r="E52" s="4"/>
      <c r="F52" s="4"/>
      <c r="G52" s="4"/>
      <c r="H52" s="4"/>
      <c r="I52" s="4"/>
      <c r="J52" s="4"/>
      <c r="K52" s="4"/>
      <c r="L52" s="4"/>
      <c r="M52" s="4"/>
      <c r="N52" s="4"/>
      <c r="O52" s="5"/>
      <c r="P52" s="5"/>
      <c r="Q52" s="5"/>
      <c r="R52" s="5"/>
      <c r="S52" s="292"/>
      <c r="T52" s="5"/>
      <c r="U52" s="5"/>
      <c r="V52" s="5"/>
      <c r="W52" s="5"/>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4"/>
      <c r="CY52" s="7"/>
      <c r="CZ52" s="7"/>
      <c r="DA52" s="7"/>
      <c r="DB52" s="7"/>
      <c r="DC52" s="7"/>
      <c r="DD52" s="7"/>
    </row>
    <row r="53">
      <c r="A53" s="48" t="s">
        <v>29</v>
      </c>
      <c r="B53" s="294" t="s">
        <v>134</v>
      </c>
      <c r="C53" s="167"/>
      <c r="D53" s="4"/>
      <c r="E53" s="4"/>
      <c r="F53" s="4"/>
      <c r="G53" s="4"/>
      <c r="H53" s="4"/>
      <c r="I53" s="4"/>
      <c r="J53" s="4"/>
      <c r="K53" s="4"/>
      <c r="L53" s="4"/>
      <c r="M53" s="4"/>
      <c r="N53" s="4"/>
      <c r="O53" s="5"/>
      <c r="P53" s="5"/>
      <c r="Q53" s="5"/>
      <c r="R53" s="5"/>
      <c r="S53" s="5"/>
      <c r="T53" s="5"/>
      <c r="U53" s="5"/>
      <c r="V53" s="5"/>
      <c r="W53" s="5"/>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4"/>
      <c r="CY53" s="7"/>
      <c r="CZ53" s="7"/>
      <c r="DA53" s="7"/>
      <c r="DB53" s="7"/>
      <c r="DC53" s="7"/>
      <c r="DD53" s="7"/>
    </row>
    <row r="54">
      <c r="A54" s="48" t="s">
        <v>30</v>
      </c>
      <c r="B54" s="291" t="s">
        <v>135</v>
      </c>
      <c r="C54" s="167"/>
      <c r="D54" s="4"/>
      <c r="E54" s="4"/>
      <c r="F54" s="4"/>
      <c r="G54" s="4"/>
      <c r="H54" s="4"/>
      <c r="I54" s="4"/>
      <c r="J54" s="4"/>
      <c r="K54" s="4"/>
      <c r="L54" s="4"/>
      <c r="M54" s="4"/>
      <c r="N54" s="4"/>
      <c r="O54" s="5"/>
      <c r="P54" s="5"/>
      <c r="Q54" s="5"/>
      <c r="R54" s="5"/>
      <c r="S54" s="5"/>
      <c r="T54" s="5"/>
      <c r="U54" s="5"/>
      <c r="V54" s="5"/>
      <c r="W54" s="5"/>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4"/>
      <c r="CY54" s="7"/>
      <c r="CZ54" s="7"/>
      <c r="DA54" s="7"/>
      <c r="DB54" s="7"/>
      <c r="DC54" s="7"/>
      <c r="DD54" s="7"/>
    </row>
    <row r="55">
      <c r="A55" s="200" t="s">
        <v>85</v>
      </c>
      <c r="B55" s="197" t="s">
        <v>137</v>
      </c>
      <c r="C55" s="167"/>
      <c r="D55" s="4"/>
      <c r="E55" s="4"/>
      <c r="F55" s="4"/>
      <c r="G55" s="4"/>
      <c r="H55" s="4"/>
      <c r="I55" s="4"/>
      <c r="J55" s="4"/>
      <c r="K55" s="4"/>
      <c r="L55" s="4"/>
      <c r="M55" s="4"/>
      <c r="N55" s="4"/>
      <c r="O55" s="5"/>
      <c r="P55" s="5"/>
      <c r="Q55" s="5"/>
      <c r="R55" s="5"/>
      <c r="S55" s="5"/>
      <c r="T55" s="5"/>
      <c r="U55" s="5"/>
      <c r="V55" s="5"/>
      <c r="W55" s="5"/>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4"/>
      <c r="CY55" s="7"/>
      <c r="CZ55" s="7"/>
      <c r="DA55" s="7"/>
      <c r="DB55" s="7"/>
      <c r="DC55" s="7"/>
      <c r="DD55" s="7"/>
    </row>
    <row r="56">
      <c r="A56" s="48" t="s">
        <v>32</v>
      </c>
      <c r="B56" s="291" t="s">
        <v>138</v>
      </c>
      <c r="C56" s="167"/>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4"/>
      <c r="CY56" s="7"/>
      <c r="CZ56" s="7"/>
      <c r="DA56" s="7"/>
      <c r="DB56" s="7"/>
      <c r="DC56" s="7"/>
      <c r="DD56" s="7"/>
    </row>
    <row r="57">
      <c r="A57" s="48" t="s">
        <v>33</v>
      </c>
      <c r="B57" s="291" t="s">
        <v>139</v>
      </c>
      <c r="C57" s="167"/>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4"/>
      <c r="CY57" s="7"/>
      <c r="CZ57" s="7"/>
      <c r="DA57" s="7"/>
      <c r="DB57" s="7"/>
      <c r="DC57" s="7"/>
      <c r="DD57" s="7"/>
    </row>
    <row r="58">
      <c r="A58" s="48" t="s">
        <v>34</v>
      </c>
      <c r="B58" s="291" t="s">
        <v>140</v>
      </c>
      <c r="C58" s="167"/>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4"/>
      <c r="CY58" s="7"/>
      <c r="CZ58" s="7"/>
      <c r="DA58" s="7"/>
      <c r="DB58" s="7"/>
      <c r="DC58" s="7"/>
      <c r="DD58" s="7"/>
    </row>
    <row r="59">
      <c r="A59" s="48" t="s">
        <v>35</v>
      </c>
      <c r="B59" s="291" t="s">
        <v>141</v>
      </c>
      <c r="C59" s="167"/>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4"/>
      <c r="CY59" s="7"/>
      <c r="CZ59" s="7"/>
      <c r="DA59" s="7"/>
      <c r="DB59" s="7"/>
      <c r="DC59" s="7"/>
      <c r="DD59" s="7"/>
    </row>
    <row r="60">
      <c r="A60" s="48" t="s">
        <v>36</v>
      </c>
      <c r="B60" s="291" t="s">
        <v>142</v>
      </c>
      <c r="C60" s="167"/>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4"/>
      <c r="CY60" s="7"/>
      <c r="CZ60" s="7"/>
      <c r="DA60" s="7"/>
      <c r="DB60" s="7"/>
      <c r="DC60" s="7"/>
      <c r="DD60" s="7"/>
    </row>
    <row r="61">
      <c r="A61" s="48" t="s">
        <v>37</v>
      </c>
      <c r="B61" s="294" t="s">
        <v>143</v>
      </c>
      <c r="C61" s="167"/>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4"/>
      <c r="CY61" s="7"/>
      <c r="CZ61" s="7"/>
      <c r="DA61" s="7"/>
      <c r="DB61" s="7"/>
      <c r="DC61" s="7"/>
      <c r="DD61" s="7"/>
    </row>
    <row r="62">
      <c r="A62" s="48" t="s">
        <v>40</v>
      </c>
      <c r="B62" s="294" t="s">
        <v>196</v>
      </c>
      <c r="C62" s="167"/>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4"/>
      <c r="CY62" s="7"/>
      <c r="CZ62" s="7"/>
      <c r="DA62" s="7"/>
      <c r="DB62" s="7"/>
      <c r="DC62" s="7"/>
      <c r="DD62" s="7"/>
    </row>
    <row r="63">
      <c r="A63" s="196" t="s">
        <v>145</v>
      </c>
      <c r="B63" s="197" t="s">
        <v>146</v>
      </c>
      <c r="C63" s="167"/>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4"/>
      <c r="CY63" s="7"/>
      <c r="CZ63" s="7"/>
      <c r="DA63" s="7"/>
      <c r="DB63" s="7"/>
      <c r="DC63" s="7"/>
      <c r="DD63" s="7"/>
    </row>
    <row r="64">
      <c r="A64" s="48" t="s">
        <v>38</v>
      </c>
      <c r="B64" s="291" t="s">
        <v>147</v>
      </c>
      <c r="C64" s="167"/>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4"/>
      <c r="CY64" s="7"/>
      <c r="CZ64" s="7"/>
      <c r="DA64" s="7"/>
      <c r="DB64" s="7"/>
      <c r="DC64" s="7"/>
      <c r="DD64" s="7"/>
    </row>
    <row r="65">
      <c r="A65" s="48" t="s">
        <v>39</v>
      </c>
      <c r="B65" s="291" t="s">
        <v>148</v>
      </c>
      <c r="C65" s="167"/>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4"/>
      <c r="CY65" s="7"/>
      <c r="CZ65" s="7"/>
      <c r="DA65" s="7"/>
      <c r="DB65" s="7"/>
      <c r="DC65" s="7"/>
      <c r="DD65" s="7"/>
    </row>
    <row r="66">
      <c r="A66" s="48" t="s">
        <v>42</v>
      </c>
      <c r="B66" s="291" t="s">
        <v>149</v>
      </c>
      <c r="C66" s="167"/>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4"/>
      <c r="CY66" s="7"/>
      <c r="CZ66" s="7"/>
      <c r="DA66" s="7"/>
      <c r="DB66" s="7"/>
      <c r="DC66" s="7"/>
      <c r="DD66" s="7"/>
    </row>
    <row r="67">
      <c r="A67" s="7"/>
      <c r="B67" s="4"/>
      <c r="C67" s="167"/>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4"/>
      <c r="CY67" s="7"/>
      <c r="CZ67" s="7"/>
      <c r="DA67" s="7"/>
      <c r="DB67" s="7"/>
      <c r="DC67" s="7"/>
      <c r="DD67" s="7"/>
    </row>
    <row r="68">
      <c r="A68" s="237" t="s">
        <v>197</v>
      </c>
      <c r="B68" s="295" t="s">
        <v>198</v>
      </c>
      <c r="C68" s="167"/>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4"/>
      <c r="CY68" s="7"/>
      <c r="CZ68" s="7"/>
      <c r="DA68" s="7"/>
      <c r="DB68" s="7"/>
      <c r="DC68" s="7"/>
      <c r="DD68" s="7"/>
    </row>
    <row r="69">
      <c r="A69" s="237" t="s">
        <v>199</v>
      </c>
      <c r="B69" s="295" t="s">
        <v>200</v>
      </c>
      <c r="C69" s="167"/>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4"/>
      <c r="CY69" s="7"/>
      <c r="CZ69" s="7"/>
      <c r="DA69" s="7"/>
      <c r="DB69" s="7"/>
      <c r="DC69" s="7"/>
      <c r="DD69" s="7"/>
    </row>
    <row r="70">
      <c r="A70" s="237" t="s">
        <v>201</v>
      </c>
      <c r="B70" s="295" t="s">
        <v>202</v>
      </c>
      <c r="C70" s="167"/>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4"/>
      <c r="CY70" s="7"/>
      <c r="CZ70" s="7"/>
      <c r="DA70" s="7"/>
      <c r="DB70" s="7"/>
      <c r="DC70" s="7"/>
      <c r="DD70" s="7"/>
    </row>
    <row r="71">
      <c r="A71" s="237" t="s">
        <v>203</v>
      </c>
      <c r="B71" s="295" t="s">
        <v>204</v>
      </c>
      <c r="C71" s="167"/>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4"/>
      <c r="CY71" s="7"/>
      <c r="CZ71" s="7"/>
      <c r="DA71" s="7"/>
      <c r="DB71" s="7"/>
      <c r="DC71" s="7"/>
      <c r="DD71" s="7"/>
    </row>
    <row r="72">
      <c r="A72" s="237" t="s">
        <v>205</v>
      </c>
      <c r="B72" s="295" t="s">
        <v>206</v>
      </c>
      <c r="C72" s="167"/>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4"/>
      <c r="CY72" s="7"/>
      <c r="CZ72" s="7"/>
      <c r="DA72" s="7"/>
      <c r="DB72" s="7"/>
      <c r="DC72" s="7"/>
      <c r="DD72" s="7"/>
    </row>
    <row r="73">
      <c r="A73" s="237" t="s">
        <v>207</v>
      </c>
      <c r="B73" s="295" t="s">
        <v>208</v>
      </c>
      <c r="C73" s="167"/>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4"/>
      <c r="CY73" s="7"/>
      <c r="CZ73" s="7"/>
      <c r="DA73" s="7"/>
      <c r="DB73" s="7"/>
      <c r="DC73" s="7"/>
      <c r="DD73" s="7"/>
    </row>
    <row r="74">
      <c r="A74" s="237" t="s">
        <v>209</v>
      </c>
      <c r="B74" s="295" t="s">
        <v>210</v>
      </c>
      <c r="C74" s="167"/>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4"/>
      <c r="CY74" s="7"/>
      <c r="CZ74" s="7"/>
      <c r="DA74" s="7"/>
      <c r="DB74" s="7"/>
      <c r="DC74" s="7"/>
      <c r="DD74" s="7"/>
    </row>
    <row r="75">
      <c r="A75" s="237" t="s">
        <v>211</v>
      </c>
      <c r="B75" s="295" t="s">
        <v>212</v>
      </c>
      <c r="C75" s="167"/>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4"/>
      <c r="CY75" s="7"/>
      <c r="CZ75" s="7"/>
      <c r="DA75" s="7"/>
      <c r="DB75" s="7"/>
      <c r="DC75" s="7"/>
      <c r="DD75" s="7"/>
    </row>
    <row r="76">
      <c r="A76" s="237" t="s">
        <v>209</v>
      </c>
      <c r="B76" s="295" t="s">
        <v>213</v>
      </c>
      <c r="C76" s="167"/>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4"/>
      <c r="CY76" s="7"/>
      <c r="CZ76" s="7"/>
      <c r="DA76" s="7"/>
      <c r="DB76" s="7"/>
      <c r="DC76" s="7"/>
      <c r="DD76" s="7"/>
    </row>
    <row r="77">
      <c r="A77" s="237" t="s">
        <v>214</v>
      </c>
      <c r="B77" s="295" t="s">
        <v>215</v>
      </c>
      <c r="C77" s="167"/>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4"/>
      <c r="CY77" s="7"/>
      <c r="CZ77" s="7"/>
      <c r="DA77" s="7"/>
      <c r="DB77" s="7"/>
      <c r="DC77" s="7"/>
      <c r="DD77" s="7"/>
    </row>
    <row r="78">
      <c r="A78" s="7"/>
      <c r="B78" s="4"/>
      <c r="C78" s="167"/>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4"/>
      <c r="CY78" s="7"/>
      <c r="CZ78" s="7"/>
      <c r="DA78" s="7"/>
      <c r="DB78" s="7"/>
      <c r="DC78" s="7"/>
      <c r="DD78" s="7"/>
    </row>
    <row r="79">
      <c r="A79" s="7"/>
      <c r="B79" s="4"/>
      <c r="C79" s="167"/>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4"/>
      <c r="CY79" s="7"/>
      <c r="CZ79" s="7"/>
      <c r="DA79" s="7"/>
      <c r="DB79" s="7"/>
      <c r="DC79" s="7"/>
      <c r="DD79" s="7"/>
    </row>
    <row r="80">
      <c r="A80" s="7"/>
      <c r="B80" s="4"/>
      <c r="C80" s="167"/>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4"/>
      <c r="CY80" s="7"/>
      <c r="CZ80" s="7"/>
      <c r="DA80" s="7"/>
      <c r="DB80" s="7"/>
      <c r="DC80" s="7"/>
      <c r="DD80" s="7"/>
    </row>
    <row r="81">
      <c r="A81" s="7"/>
      <c r="B81" s="4"/>
      <c r="C81" s="167"/>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4"/>
      <c r="CY81" s="7"/>
      <c r="CZ81" s="7"/>
      <c r="DA81" s="7"/>
      <c r="DB81" s="7"/>
      <c r="DC81" s="7"/>
      <c r="DD81" s="7"/>
    </row>
    <row r="82">
      <c r="A82" s="7"/>
      <c r="B82" s="4"/>
      <c r="C82" s="167"/>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4"/>
      <c r="CY82" s="7"/>
      <c r="CZ82" s="7"/>
      <c r="DA82" s="7"/>
      <c r="DB82" s="7"/>
      <c r="DC82" s="7"/>
      <c r="DD82" s="7"/>
    </row>
    <row r="83">
      <c r="A83" s="7"/>
      <c r="B83" s="4"/>
      <c r="C83" s="167"/>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4"/>
      <c r="CY83" s="7"/>
      <c r="CZ83" s="7"/>
      <c r="DA83" s="7"/>
      <c r="DB83" s="7"/>
      <c r="DC83" s="7"/>
      <c r="DD83" s="7"/>
    </row>
    <row r="84">
      <c r="A84" s="7"/>
      <c r="B84" s="4"/>
      <c r="C84" s="167"/>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4"/>
      <c r="CY84" s="7"/>
      <c r="CZ84" s="7"/>
      <c r="DA84" s="7"/>
      <c r="DB84" s="7"/>
      <c r="DC84" s="7"/>
      <c r="DD84" s="7"/>
    </row>
    <row r="85">
      <c r="A85" s="7"/>
      <c r="B85" s="4"/>
      <c r="C85" s="167"/>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4"/>
      <c r="CY85" s="7"/>
      <c r="CZ85" s="7"/>
      <c r="DA85" s="7"/>
      <c r="DB85" s="7"/>
      <c r="DC85" s="7"/>
      <c r="DD85" s="7"/>
    </row>
    <row r="86">
      <c r="A86" s="7"/>
      <c r="B86" s="4"/>
      <c r="C86" s="167"/>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4"/>
      <c r="CY86" s="7"/>
      <c r="CZ86" s="7"/>
      <c r="DA86" s="7"/>
      <c r="DB86" s="7"/>
      <c r="DC86" s="7"/>
      <c r="DD86" s="7"/>
    </row>
    <row r="87">
      <c r="A87" s="7"/>
      <c r="B87" s="4"/>
      <c r="C87" s="167"/>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4"/>
      <c r="CY87" s="7"/>
      <c r="CZ87" s="7"/>
      <c r="DA87" s="7"/>
      <c r="DB87" s="7"/>
      <c r="DC87" s="7"/>
      <c r="DD87" s="7"/>
    </row>
    <row r="88">
      <c r="A88" s="7"/>
      <c r="B88" s="4"/>
      <c r="C88" s="167"/>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4"/>
      <c r="CY88" s="7"/>
      <c r="CZ88" s="7"/>
      <c r="DA88" s="7"/>
      <c r="DB88" s="7"/>
      <c r="DC88" s="7"/>
      <c r="DD88" s="7"/>
    </row>
    <row r="89">
      <c r="A89" s="7"/>
      <c r="B89" s="4"/>
      <c r="C89" s="167"/>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4"/>
      <c r="CY89" s="7"/>
      <c r="CZ89" s="7"/>
      <c r="DA89" s="7"/>
      <c r="DB89" s="7"/>
      <c r="DC89" s="7"/>
      <c r="DD89" s="7"/>
    </row>
    <row r="90">
      <c r="A90" s="7"/>
      <c r="B90" s="4"/>
      <c r="C90" s="167"/>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4"/>
      <c r="CY90" s="7"/>
      <c r="CZ90" s="7"/>
      <c r="DA90" s="7"/>
      <c r="DB90" s="7"/>
      <c r="DC90" s="7"/>
      <c r="DD90" s="7"/>
    </row>
    <row r="91">
      <c r="A91" s="7"/>
      <c r="B91" s="4"/>
      <c r="C91" s="167"/>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4"/>
      <c r="CY91" s="7"/>
      <c r="CZ91" s="7"/>
      <c r="DA91" s="7"/>
      <c r="DB91" s="7"/>
      <c r="DC91" s="7"/>
      <c r="DD91" s="7"/>
    </row>
    <row r="92">
      <c r="A92" s="7"/>
      <c r="B92" s="4"/>
      <c r="C92" s="167"/>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4"/>
      <c r="CY92" s="7"/>
      <c r="CZ92" s="7"/>
      <c r="DA92" s="7"/>
      <c r="DB92" s="7"/>
      <c r="DC92" s="7"/>
      <c r="DD92" s="7"/>
    </row>
    <row r="93">
      <c r="A93" s="7"/>
      <c r="B93" s="4"/>
      <c r="C93" s="167"/>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4"/>
      <c r="CY93" s="7"/>
      <c r="CZ93" s="7"/>
      <c r="DA93" s="7"/>
      <c r="DB93" s="7"/>
      <c r="DC93" s="7"/>
      <c r="DD93" s="7"/>
    </row>
    <row r="94">
      <c r="A94" s="7"/>
      <c r="B94" s="4"/>
      <c r="C94" s="167"/>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4"/>
      <c r="CY94" s="7"/>
      <c r="CZ94" s="7"/>
      <c r="DA94" s="7"/>
      <c r="DB94" s="7"/>
      <c r="DC94" s="7"/>
      <c r="DD94" s="7"/>
    </row>
    <row r="95">
      <c r="A95" s="7"/>
      <c r="B95" s="4"/>
      <c r="C95" s="167"/>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4"/>
      <c r="CY95" s="7"/>
      <c r="CZ95" s="7"/>
      <c r="DA95" s="7"/>
      <c r="DB95" s="7"/>
      <c r="DC95" s="7"/>
      <c r="DD95" s="7"/>
    </row>
    <row r="96">
      <c r="A96" s="7"/>
      <c r="B96" s="4"/>
      <c r="C96" s="167"/>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4"/>
      <c r="CY96" s="7"/>
      <c r="CZ96" s="7"/>
      <c r="DA96" s="7"/>
      <c r="DB96" s="7"/>
      <c r="DC96" s="7"/>
      <c r="DD96" s="7"/>
    </row>
    <row r="97">
      <c r="A97" s="7"/>
      <c r="B97" s="4"/>
      <c r="C97" s="167"/>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4"/>
      <c r="CY97" s="7"/>
      <c r="CZ97" s="7"/>
      <c r="DA97" s="7"/>
      <c r="DB97" s="7"/>
      <c r="DC97" s="7"/>
      <c r="DD97" s="7"/>
    </row>
    <row r="98">
      <c r="A98" s="7"/>
      <c r="B98" s="4"/>
      <c r="C98" s="167"/>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4"/>
      <c r="CY98" s="7"/>
      <c r="CZ98" s="7"/>
      <c r="DA98" s="7"/>
      <c r="DB98" s="7"/>
      <c r="DC98" s="7"/>
      <c r="DD98" s="7"/>
    </row>
    <row r="99">
      <c r="A99" s="7"/>
      <c r="B99" s="4"/>
      <c r="C99" s="167"/>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4"/>
      <c r="CY99" s="7"/>
      <c r="CZ99" s="7"/>
      <c r="DA99" s="7"/>
      <c r="DB99" s="7"/>
      <c r="DC99" s="7"/>
      <c r="DD99" s="7"/>
    </row>
    <row r="100">
      <c r="A100" s="7"/>
      <c r="B100" s="4"/>
      <c r="C100" s="167"/>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4"/>
      <c r="CY100" s="7"/>
      <c r="CZ100" s="7"/>
      <c r="DA100" s="7"/>
      <c r="DB100" s="7"/>
      <c r="DC100" s="7"/>
      <c r="DD100" s="7"/>
    </row>
    <row r="101">
      <c r="A101" s="7"/>
      <c r="B101" s="4"/>
      <c r="C101" s="167"/>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4"/>
      <c r="CY101" s="7"/>
      <c r="CZ101" s="7"/>
      <c r="DA101" s="7"/>
      <c r="DB101" s="7"/>
      <c r="DC101" s="7"/>
      <c r="DD101" s="7"/>
    </row>
    <row r="102">
      <c r="A102" s="7"/>
      <c r="B102" s="4"/>
      <c r="C102" s="167"/>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4"/>
      <c r="CY102" s="7"/>
      <c r="CZ102" s="7"/>
      <c r="DA102" s="7"/>
      <c r="DB102" s="7"/>
      <c r="DC102" s="7"/>
      <c r="DD102" s="7"/>
    </row>
    <row r="103">
      <c r="A103" s="7"/>
      <c r="B103" s="4"/>
      <c r="C103" s="167"/>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4"/>
      <c r="CY103" s="7"/>
      <c r="CZ103" s="7"/>
      <c r="DA103" s="7"/>
      <c r="DB103" s="7"/>
      <c r="DC103" s="7"/>
      <c r="DD103" s="7"/>
    </row>
    <row r="104">
      <c r="A104" s="7"/>
      <c r="B104" s="4"/>
      <c r="C104" s="167"/>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4"/>
      <c r="CY104" s="7"/>
      <c r="CZ104" s="7"/>
      <c r="DA104" s="7"/>
      <c r="DB104" s="7"/>
      <c r="DC104" s="7"/>
      <c r="DD104" s="7"/>
    </row>
    <row r="105">
      <c r="A105" s="7"/>
      <c r="B105" s="4"/>
      <c r="C105" s="167"/>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4"/>
      <c r="CY105" s="7"/>
      <c r="CZ105" s="7"/>
      <c r="DA105" s="7"/>
      <c r="DB105" s="7"/>
      <c r="DC105" s="7"/>
      <c r="DD105" s="7"/>
    </row>
    <row r="106">
      <c r="A106" s="7"/>
      <c r="B106" s="4"/>
      <c r="C106" s="167"/>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4"/>
      <c r="CY106" s="7"/>
      <c r="CZ106" s="7"/>
      <c r="DA106" s="7"/>
      <c r="DB106" s="7"/>
      <c r="DC106" s="7"/>
      <c r="DD106" s="7"/>
    </row>
    <row r="107">
      <c r="A107" s="7"/>
      <c r="B107" s="4"/>
      <c r="C107" s="167"/>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4"/>
      <c r="CY107" s="7"/>
      <c r="CZ107" s="7"/>
      <c r="DA107" s="7"/>
      <c r="DB107" s="7"/>
      <c r="DC107" s="7"/>
      <c r="DD107" s="7"/>
    </row>
    <row r="108">
      <c r="A108" s="7"/>
      <c r="B108" s="4"/>
      <c r="C108" s="167"/>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4"/>
      <c r="CY108" s="7"/>
      <c r="CZ108" s="7"/>
      <c r="DA108" s="7"/>
      <c r="DB108" s="7"/>
      <c r="DC108" s="7"/>
      <c r="DD108" s="7"/>
    </row>
    <row r="109">
      <c r="A109" s="7"/>
      <c r="B109" s="4"/>
      <c r="C109" s="167"/>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4"/>
      <c r="CY109" s="7"/>
      <c r="CZ109" s="7"/>
      <c r="DA109" s="7"/>
      <c r="DB109" s="7"/>
      <c r="DC109" s="7"/>
      <c r="DD109" s="7"/>
    </row>
    <row r="110">
      <c r="A110" s="7"/>
      <c r="B110" s="4"/>
      <c r="C110" s="167"/>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4"/>
      <c r="CY110" s="7"/>
      <c r="CZ110" s="7"/>
      <c r="DA110" s="7"/>
      <c r="DB110" s="7"/>
      <c r="DC110" s="7"/>
      <c r="DD110" s="7"/>
    </row>
    <row r="111">
      <c r="A111" s="7"/>
      <c r="B111" s="4"/>
      <c r="C111" s="167"/>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4"/>
      <c r="CY111" s="7"/>
      <c r="CZ111" s="7"/>
      <c r="DA111" s="7"/>
      <c r="DB111" s="7"/>
      <c r="DC111" s="7"/>
      <c r="DD111" s="7"/>
    </row>
    <row r="112">
      <c r="A112" s="7"/>
      <c r="B112" s="4"/>
      <c r="C112" s="167"/>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4"/>
      <c r="CY112" s="7"/>
      <c r="CZ112" s="7"/>
      <c r="DA112" s="7"/>
      <c r="DB112" s="7"/>
      <c r="DC112" s="7"/>
      <c r="DD112" s="7"/>
    </row>
    <row r="113">
      <c r="A113" s="7"/>
      <c r="B113" s="4"/>
      <c r="C113" s="167"/>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4"/>
      <c r="CY113" s="7"/>
      <c r="CZ113" s="7"/>
      <c r="DA113" s="7"/>
      <c r="DB113" s="7"/>
      <c r="DC113" s="7"/>
      <c r="DD113" s="7"/>
    </row>
    <row r="114">
      <c r="A114" s="7"/>
      <c r="B114" s="4"/>
      <c r="C114" s="167"/>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4"/>
      <c r="CY114" s="7"/>
      <c r="CZ114" s="7"/>
      <c r="DA114" s="7"/>
      <c r="DB114" s="7"/>
      <c r="DC114" s="7"/>
      <c r="DD114" s="7"/>
    </row>
    <row r="115">
      <c r="A115" s="7"/>
      <c r="B115" s="4"/>
      <c r="C115" s="167"/>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4"/>
      <c r="CY115" s="7"/>
      <c r="CZ115" s="7"/>
      <c r="DA115" s="7"/>
      <c r="DB115" s="7"/>
      <c r="DC115" s="7"/>
      <c r="DD115" s="7"/>
    </row>
    <row r="116">
      <c r="A116" s="7"/>
      <c r="B116" s="4"/>
      <c r="C116" s="167"/>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4"/>
      <c r="CY116" s="7"/>
      <c r="CZ116" s="7"/>
      <c r="DA116" s="7"/>
      <c r="DB116" s="7"/>
      <c r="DC116" s="7"/>
      <c r="DD116" s="7"/>
    </row>
    <row r="117">
      <c r="A117" s="7"/>
      <c r="B117" s="4"/>
      <c r="C117" s="167"/>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4"/>
      <c r="CY117" s="7"/>
      <c r="CZ117" s="7"/>
      <c r="DA117" s="7"/>
      <c r="DB117" s="7"/>
      <c r="DC117" s="7"/>
      <c r="DD117" s="7"/>
    </row>
    <row r="118">
      <c r="A118" s="7"/>
      <c r="B118" s="4"/>
      <c r="C118" s="167"/>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4"/>
      <c r="CY118" s="7"/>
      <c r="CZ118" s="7"/>
      <c r="DA118" s="7"/>
      <c r="DB118" s="7"/>
      <c r="DC118" s="7"/>
      <c r="DD118" s="7"/>
    </row>
    <row r="119">
      <c r="A119" s="7"/>
      <c r="B119" s="4"/>
      <c r="C119" s="167"/>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4"/>
      <c r="CY119" s="7"/>
      <c r="CZ119" s="7"/>
      <c r="DA119" s="7"/>
      <c r="DB119" s="7"/>
      <c r="DC119" s="7"/>
      <c r="DD119" s="7"/>
    </row>
    <row r="120">
      <c r="A120" s="7"/>
      <c r="B120" s="4"/>
      <c r="C120" s="167"/>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4"/>
      <c r="CY120" s="7"/>
      <c r="CZ120" s="7"/>
      <c r="DA120" s="7"/>
      <c r="DB120" s="7"/>
      <c r="DC120" s="7"/>
      <c r="DD120" s="7"/>
    </row>
    <row r="121">
      <c r="A121" s="7"/>
      <c r="B121" s="4"/>
      <c r="C121" s="167"/>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4"/>
      <c r="CY121" s="7"/>
      <c r="CZ121" s="7"/>
      <c r="DA121" s="7"/>
      <c r="DB121" s="7"/>
      <c r="DC121" s="7"/>
      <c r="DD121" s="7"/>
    </row>
    <row r="122">
      <c r="A122" s="7"/>
      <c r="B122" s="4"/>
      <c r="C122" s="167"/>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4"/>
      <c r="CY122" s="7"/>
      <c r="CZ122" s="7"/>
      <c r="DA122" s="7"/>
      <c r="DB122" s="7"/>
      <c r="DC122" s="7"/>
      <c r="DD122" s="7"/>
    </row>
    <row r="123">
      <c r="A123" s="7"/>
      <c r="B123" s="4"/>
      <c r="C123" s="167"/>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4"/>
      <c r="CY123" s="7"/>
      <c r="CZ123" s="7"/>
      <c r="DA123" s="7"/>
      <c r="DB123" s="7"/>
      <c r="DC123" s="7"/>
      <c r="DD123" s="7"/>
    </row>
    <row r="124">
      <c r="A124" s="7"/>
      <c r="B124" s="4"/>
      <c r="C124" s="167"/>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4"/>
      <c r="CY124" s="7"/>
      <c r="CZ124" s="7"/>
      <c r="DA124" s="7"/>
      <c r="DB124" s="7"/>
      <c r="DC124" s="7"/>
      <c r="DD124" s="7"/>
    </row>
    <row r="125">
      <c r="A125" s="7"/>
      <c r="B125" s="4"/>
      <c r="C125" s="167"/>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4"/>
      <c r="CY125" s="7"/>
      <c r="CZ125" s="7"/>
      <c r="DA125" s="7"/>
      <c r="DB125" s="7"/>
      <c r="DC125" s="7"/>
      <c r="DD125" s="7"/>
    </row>
    <row r="126">
      <c r="A126" s="7"/>
      <c r="B126" s="4"/>
      <c r="C126" s="167"/>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4"/>
      <c r="CY126" s="7"/>
      <c r="CZ126" s="7"/>
      <c r="DA126" s="7"/>
      <c r="DB126" s="7"/>
      <c r="DC126" s="7"/>
      <c r="DD126" s="7"/>
    </row>
    <row r="127">
      <c r="A127" s="7"/>
      <c r="B127" s="4"/>
      <c r="C127" s="167"/>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4"/>
      <c r="CY127" s="7"/>
      <c r="CZ127" s="7"/>
      <c r="DA127" s="7"/>
      <c r="DB127" s="7"/>
      <c r="DC127" s="7"/>
      <c r="DD127" s="7"/>
    </row>
    <row r="128">
      <c r="A128" s="7"/>
      <c r="B128" s="4"/>
      <c r="C128" s="167"/>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4"/>
      <c r="CY128" s="7"/>
      <c r="CZ128" s="7"/>
      <c r="DA128" s="7"/>
      <c r="DB128" s="7"/>
      <c r="DC128" s="7"/>
      <c r="DD128" s="7"/>
    </row>
    <row r="129">
      <c r="A129" s="7"/>
      <c r="B129" s="4"/>
      <c r="C129" s="167"/>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4"/>
      <c r="CY129" s="7"/>
      <c r="CZ129" s="7"/>
      <c r="DA129" s="7"/>
      <c r="DB129" s="7"/>
      <c r="DC129" s="7"/>
      <c r="DD129" s="7"/>
    </row>
    <row r="130">
      <c r="A130" s="7"/>
      <c r="B130" s="4"/>
      <c r="C130" s="167"/>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4"/>
      <c r="CY130" s="7"/>
      <c r="CZ130" s="7"/>
      <c r="DA130" s="7"/>
      <c r="DB130" s="7"/>
      <c r="DC130" s="7"/>
      <c r="DD130" s="7"/>
    </row>
    <row r="131">
      <c r="A131" s="7"/>
      <c r="B131" s="4"/>
      <c r="C131" s="167"/>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4"/>
      <c r="CY131" s="7"/>
      <c r="CZ131" s="7"/>
      <c r="DA131" s="7"/>
      <c r="DB131" s="7"/>
      <c r="DC131" s="7"/>
      <c r="DD131" s="7"/>
    </row>
    <row r="132">
      <c r="A132" s="7"/>
      <c r="B132" s="4"/>
      <c r="C132" s="167"/>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4"/>
      <c r="CY132" s="7"/>
      <c r="CZ132" s="7"/>
      <c r="DA132" s="7"/>
      <c r="DB132" s="7"/>
      <c r="DC132" s="7"/>
      <c r="DD132" s="7"/>
    </row>
    <row r="133">
      <c r="A133" s="7"/>
      <c r="B133" s="4"/>
      <c r="C133" s="167"/>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4"/>
      <c r="CY133" s="7"/>
      <c r="CZ133" s="7"/>
      <c r="DA133" s="7"/>
      <c r="DB133" s="7"/>
      <c r="DC133" s="7"/>
      <c r="DD133" s="7"/>
    </row>
    <row r="134">
      <c r="A134" s="7"/>
      <c r="B134" s="4"/>
      <c r="C134" s="167"/>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4"/>
      <c r="CY134" s="7"/>
      <c r="CZ134" s="7"/>
      <c r="DA134" s="7"/>
      <c r="DB134" s="7"/>
      <c r="DC134" s="7"/>
      <c r="DD134" s="7"/>
    </row>
    <row r="135">
      <c r="A135" s="7"/>
      <c r="B135" s="4"/>
      <c r="C135" s="167"/>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4"/>
      <c r="CY135" s="7"/>
      <c r="CZ135" s="7"/>
      <c r="DA135" s="7"/>
      <c r="DB135" s="7"/>
      <c r="DC135" s="7"/>
      <c r="DD135" s="7"/>
    </row>
    <row r="136">
      <c r="A136" s="7"/>
      <c r="B136" s="4"/>
      <c r="C136" s="167"/>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4"/>
      <c r="CY136" s="7"/>
      <c r="CZ136" s="7"/>
      <c r="DA136" s="7"/>
      <c r="DB136" s="7"/>
      <c r="DC136" s="7"/>
      <c r="DD136" s="7"/>
    </row>
    <row r="137">
      <c r="A137" s="7"/>
      <c r="B137" s="4"/>
      <c r="C137" s="167"/>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4"/>
      <c r="CY137" s="7"/>
      <c r="CZ137" s="7"/>
      <c r="DA137" s="7"/>
      <c r="DB137" s="7"/>
      <c r="DC137" s="7"/>
      <c r="DD137" s="7"/>
    </row>
    <row r="138">
      <c r="A138" s="7"/>
      <c r="B138" s="4"/>
      <c r="C138" s="167"/>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4"/>
      <c r="CY138" s="7"/>
      <c r="CZ138" s="7"/>
      <c r="DA138" s="7"/>
      <c r="DB138" s="7"/>
      <c r="DC138" s="7"/>
      <c r="DD138" s="7"/>
    </row>
    <row r="139">
      <c r="A139" s="7"/>
      <c r="B139" s="4"/>
      <c r="C139" s="167"/>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4"/>
      <c r="CY139" s="7"/>
      <c r="CZ139" s="7"/>
      <c r="DA139" s="7"/>
      <c r="DB139" s="7"/>
      <c r="DC139" s="7"/>
      <c r="DD139" s="7"/>
    </row>
    <row r="140">
      <c r="A140" s="7"/>
      <c r="B140" s="4"/>
      <c r="C140" s="167"/>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4"/>
      <c r="CY140" s="7"/>
      <c r="CZ140" s="7"/>
      <c r="DA140" s="7"/>
      <c r="DB140" s="7"/>
      <c r="DC140" s="7"/>
      <c r="DD140" s="7"/>
    </row>
    <row r="141">
      <c r="A141" s="7"/>
      <c r="B141" s="4"/>
      <c r="C141" s="167"/>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4"/>
      <c r="CY141" s="7"/>
      <c r="CZ141" s="7"/>
      <c r="DA141" s="7"/>
      <c r="DB141" s="7"/>
      <c r="DC141" s="7"/>
      <c r="DD141" s="7"/>
    </row>
    <row r="142">
      <c r="A142" s="7"/>
      <c r="B142" s="4"/>
      <c r="C142" s="167"/>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4"/>
      <c r="CY142" s="7"/>
      <c r="CZ142" s="7"/>
      <c r="DA142" s="7"/>
      <c r="DB142" s="7"/>
      <c r="DC142" s="7"/>
      <c r="DD142" s="7"/>
    </row>
    <row r="143">
      <c r="A143" s="7"/>
      <c r="B143" s="4"/>
      <c r="C143" s="167"/>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4"/>
      <c r="CY143" s="7"/>
      <c r="CZ143" s="7"/>
      <c r="DA143" s="7"/>
      <c r="DB143" s="7"/>
      <c r="DC143" s="7"/>
      <c r="DD143" s="7"/>
    </row>
    <row r="144">
      <c r="A144" s="7"/>
      <c r="B144" s="4"/>
      <c r="C144" s="167"/>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4"/>
      <c r="CY144" s="7"/>
      <c r="CZ144" s="7"/>
      <c r="DA144" s="7"/>
      <c r="DB144" s="7"/>
      <c r="DC144" s="7"/>
      <c r="DD144" s="7"/>
    </row>
    <row r="145">
      <c r="A145" s="7"/>
      <c r="B145" s="4"/>
      <c r="C145" s="167"/>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4"/>
      <c r="CY145" s="7"/>
      <c r="CZ145" s="7"/>
      <c r="DA145" s="7"/>
      <c r="DB145" s="7"/>
      <c r="DC145" s="7"/>
      <c r="DD145" s="7"/>
    </row>
    <row r="146">
      <c r="A146" s="7"/>
      <c r="B146" s="4"/>
      <c r="C146" s="167"/>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4"/>
      <c r="CY146" s="7"/>
      <c r="CZ146" s="7"/>
      <c r="DA146" s="7"/>
      <c r="DB146" s="7"/>
      <c r="DC146" s="7"/>
      <c r="DD146" s="7"/>
    </row>
    <row r="147">
      <c r="A147" s="7"/>
      <c r="B147" s="4"/>
      <c r="C147" s="167"/>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4"/>
      <c r="CY147" s="7"/>
      <c r="CZ147" s="7"/>
      <c r="DA147" s="7"/>
      <c r="DB147" s="7"/>
      <c r="DC147" s="7"/>
      <c r="DD147" s="7"/>
    </row>
    <row r="148">
      <c r="A148" s="7"/>
      <c r="B148" s="4"/>
      <c r="C148" s="167"/>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4"/>
      <c r="CY148" s="7"/>
      <c r="CZ148" s="7"/>
      <c r="DA148" s="7"/>
      <c r="DB148" s="7"/>
      <c r="DC148" s="7"/>
      <c r="DD148" s="7"/>
    </row>
    <row r="149">
      <c r="A149" s="7"/>
      <c r="B149" s="4"/>
      <c r="C149" s="167"/>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4"/>
      <c r="CY149" s="7"/>
      <c r="CZ149" s="7"/>
      <c r="DA149" s="7"/>
      <c r="DB149" s="7"/>
      <c r="DC149" s="7"/>
      <c r="DD149" s="7"/>
    </row>
    <row r="150">
      <c r="A150" s="7"/>
      <c r="B150" s="4"/>
      <c r="C150" s="167"/>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4"/>
      <c r="CY150" s="7"/>
      <c r="CZ150" s="7"/>
      <c r="DA150" s="7"/>
      <c r="DB150" s="7"/>
      <c r="DC150" s="7"/>
      <c r="DD150" s="7"/>
    </row>
    <row r="151">
      <c r="A151" s="7"/>
      <c r="B151" s="4"/>
      <c r="C151" s="167"/>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4"/>
      <c r="CY151" s="7"/>
      <c r="CZ151" s="7"/>
      <c r="DA151" s="7"/>
      <c r="DB151" s="7"/>
      <c r="DC151" s="7"/>
      <c r="DD151" s="7"/>
    </row>
    <row r="152">
      <c r="A152" s="7"/>
      <c r="B152" s="4"/>
      <c r="C152" s="167"/>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4"/>
      <c r="CY152" s="7"/>
      <c r="CZ152" s="7"/>
      <c r="DA152" s="7"/>
      <c r="DB152" s="7"/>
      <c r="DC152" s="7"/>
      <c r="DD152" s="7"/>
    </row>
    <row r="153">
      <c r="A153" s="7"/>
      <c r="B153" s="4"/>
      <c r="C153" s="167"/>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4"/>
      <c r="CY153" s="7"/>
      <c r="CZ153" s="7"/>
      <c r="DA153" s="7"/>
      <c r="DB153" s="7"/>
      <c r="DC153" s="7"/>
      <c r="DD153" s="7"/>
    </row>
    <row r="154">
      <c r="A154" s="7"/>
      <c r="B154" s="4"/>
      <c r="C154" s="167"/>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4"/>
      <c r="CY154" s="7"/>
      <c r="CZ154" s="7"/>
      <c r="DA154" s="7"/>
      <c r="DB154" s="7"/>
      <c r="DC154" s="7"/>
      <c r="DD154" s="7"/>
    </row>
    <row r="155">
      <c r="A155" s="7"/>
      <c r="B155" s="4"/>
      <c r="C155" s="167"/>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4"/>
      <c r="CY155" s="7"/>
      <c r="CZ155" s="7"/>
      <c r="DA155" s="7"/>
      <c r="DB155" s="7"/>
      <c r="DC155" s="7"/>
      <c r="DD155" s="7"/>
    </row>
    <row r="156">
      <c r="A156" s="7"/>
      <c r="B156" s="4"/>
      <c r="C156" s="167"/>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4"/>
      <c r="CY156" s="7"/>
      <c r="CZ156" s="7"/>
      <c r="DA156" s="7"/>
      <c r="DB156" s="7"/>
      <c r="DC156" s="7"/>
      <c r="DD156" s="7"/>
    </row>
    <row r="157">
      <c r="A157" s="7"/>
      <c r="B157" s="4"/>
      <c r="C157" s="167"/>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4"/>
      <c r="CY157" s="7"/>
      <c r="CZ157" s="7"/>
      <c r="DA157" s="7"/>
      <c r="DB157" s="7"/>
      <c r="DC157" s="7"/>
      <c r="DD157" s="7"/>
    </row>
    <row r="158">
      <c r="A158" s="7"/>
      <c r="B158" s="4"/>
      <c r="C158" s="167"/>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4"/>
      <c r="CY158" s="7"/>
      <c r="CZ158" s="7"/>
      <c r="DA158" s="7"/>
      <c r="DB158" s="7"/>
      <c r="DC158" s="7"/>
      <c r="DD158" s="7"/>
    </row>
    <row r="159">
      <c r="A159" s="7"/>
      <c r="B159" s="4"/>
      <c r="C159" s="167"/>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4"/>
      <c r="CY159" s="7"/>
      <c r="CZ159" s="7"/>
      <c r="DA159" s="7"/>
      <c r="DB159" s="7"/>
      <c r="DC159" s="7"/>
      <c r="DD159" s="7"/>
    </row>
    <row r="160">
      <c r="A160" s="7"/>
      <c r="B160" s="4"/>
      <c r="C160" s="167"/>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4"/>
      <c r="CY160" s="7"/>
      <c r="CZ160" s="7"/>
      <c r="DA160" s="7"/>
      <c r="DB160" s="7"/>
      <c r="DC160" s="7"/>
      <c r="DD160" s="7"/>
    </row>
    <row r="161">
      <c r="A161" s="7"/>
      <c r="B161" s="4"/>
      <c r="C161" s="167"/>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4"/>
      <c r="CY161" s="7"/>
      <c r="CZ161" s="7"/>
      <c r="DA161" s="7"/>
      <c r="DB161" s="7"/>
      <c r="DC161" s="7"/>
      <c r="DD161" s="7"/>
    </row>
    <row r="162">
      <c r="A162" s="7"/>
      <c r="B162" s="4"/>
      <c r="C162" s="167"/>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4"/>
      <c r="CY162" s="7"/>
      <c r="CZ162" s="7"/>
      <c r="DA162" s="7"/>
      <c r="DB162" s="7"/>
      <c r="DC162" s="7"/>
      <c r="DD162" s="7"/>
    </row>
    <row r="163">
      <c r="A163" s="7"/>
      <c r="B163" s="4"/>
      <c r="C163" s="167"/>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4"/>
      <c r="CY163" s="7"/>
      <c r="CZ163" s="7"/>
      <c r="DA163" s="7"/>
      <c r="DB163" s="7"/>
      <c r="DC163" s="7"/>
      <c r="DD163" s="7"/>
    </row>
    <row r="164">
      <c r="A164" s="7"/>
      <c r="B164" s="4"/>
      <c r="C164" s="167"/>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4"/>
      <c r="CY164" s="7"/>
      <c r="CZ164" s="7"/>
      <c r="DA164" s="7"/>
      <c r="DB164" s="7"/>
      <c r="DC164" s="7"/>
      <c r="DD164" s="7"/>
    </row>
    <row r="165">
      <c r="A165" s="7"/>
      <c r="B165" s="4"/>
      <c r="C165" s="167"/>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4"/>
      <c r="CY165" s="7"/>
      <c r="CZ165" s="7"/>
      <c r="DA165" s="7"/>
      <c r="DB165" s="7"/>
      <c r="DC165" s="7"/>
      <c r="DD165" s="7"/>
    </row>
    <row r="166">
      <c r="A166" s="7"/>
      <c r="B166" s="4"/>
      <c r="C166" s="167"/>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4"/>
      <c r="CY166" s="7"/>
      <c r="CZ166" s="7"/>
      <c r="DA166" s="7"/>
      <c r="DB166" s="7"/>
      <c r="DC166" s="7"/>
      <c r="DD166" s="7"/>
    </row>
    <row r="167">
      <c r="A167" s="7"/>
      <c r="B167" s="4"/>
      <c r="C167" s="167"/>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4"/>
      <c r="CY167" s="7"/>
      <c r="CZ167" s="7"/>
      <c r="DA167" s="7"/>
      <c r="DB167" s="7"/>
      <c r="DC167" s="7"/>
      <c r="DD167" s="7"/>
    </row>
    <row r="168">
      <c r="A168" s="7"/>
      <c r="B168" s="4"/>
      <c r="C168" s="167"/>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4"/>
      <c r="CY168" s="7"/>
      <c r="CZ168" s="7"/>
      <c r="DA168" s="7"/>
      <c r="DB168" s="7"/>
      <c r="DC168" s="7"/>
      <c r="DD168" s="7"/>
    </row>
    <row r="169">
      <c r="A169" s="7"/>
      <c r="B169" s="4"/>
      <c r="C169" s="167"/>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4"/>
      <c r="CY169" s="7"/>
      <c r="CZ169" s="7"/>
      <c r="DA169" s="7"/>
      <c r="DB169" s="7"/>
      <c r="DC169" s="7"/>
      <c r="DD169" s="7"/>
    </row>
    <row r="170">
      <c r="A170" s="7"/>
      <c r="B170" s="4"/>
      <c r="C170" s="167"/>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4"/>
      <c r="CY170" s="7"/>
      <c r="CZ170" s="7"/>
      <c r="DA170" s="7"/>
      <c r="DB170" s="7"/>
      <c r="DC170" s="7"/>
      <c r="DD170" s="7"/>
    </row>
    <row r="171">
      <c r="A171" s="7"/>
      <c r="B171" s="4"/>
      <c r="C171" s="167"/>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4"/>
      <c r="CY171" s="7"/>
      <c r="CZ171" s="7"/>
      <c r="DA171" s="7"/>
      <c r="DB171" s="7"/>
      <c r="DC171" s="7"/>
      <c r="DD171" s="7"/>
    </row>
    <row r="172">
      <c r="A172" s="7"/>
      <c r="B172" s="4"/>
      <c r="C172" s="167"/>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4"/>
      <c r="CY172" s="7"/>
      <c r="CZ172" s="7"/>
      <c r="DA172" s="7"/>
      <c r="DB172" s="7"/>
      <c r="DC172" s="7"/>
      <c r="DD172" s="7"/>
    </row>
    <row r="173">
      <c r="A173" s="7"/>
      <c r="B173" s="4"/>
      <c r="C173" s="167"/>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4"/>
      <c r="CY173" s="7"/>
      <c r="CZ173" s="7"/>
      <c r="DA173" s="7"/>
      <c r="DB173" s="7"/>
      <c r="DC173" s="7"/>
      <c r="DD173" s="7"/>
    </row>
    <row r="174">
      <c r="A174" s="7"/>
      <c r="B174" s="4"/>
      <c r="C174" s="167"/>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4"/>
      <c r="CY174" s="7"/>
      <c r="CZ174" s="7"/>
      <c r="DA174" s="7"/>
      <c r="DB174" s="7"/>
      <c r="DC174" s="7"/>
      <c r="DD174" s="7"/>
    </row>
    <row r="175">
      <c r="A175" s="7"/>
      <c r="B175" s="4"/>
      <c r="C175" s="167"/>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4"/>
      <c r="CY175" s="7"/>
      <c r="CZ175" s="7"/>
      <c r="DA175" s="7"/>
      <c r="DB175" s="7"/>
      <c r="DC175" s="7"/>
      <c r="DD175" s="7"/>
    </row>
    <row r="176">
      <c r="A176" s="7"/>
      <c r="B176" s="4"/>
      <c r="C176" s="167"/>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4"/>
      <c r="CY176" s="7"/>
      <c r="CZ176" s="7"/>
      <c r="DA176" s="7"/>
      <c r="DB176" s="7"/>
      <c r="DC176" s="7"/>
      <c r="DD176" s="7"/>
    </row>
    <row r="177">
      <c r="A177" s="7"/>
      <c r="B177" s="4"/>
      <c r="C177" s="167"/>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4"/>
      <c r="CY177" s="7"/>
      <c r="CZ177" s="7"/>
      <c r="DA177" s="7"/>
      <c r="DB177" s="7"/>
      <c r="DC177" s="7"/>
      <c r="DD177" s="7"/>
    </row>
    <row r="178">
      <c r="A178" s="7"/>
      <c r="B178" s="4"/>
      <c r="C178" s="167"/>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4"/>
      <c r="CY178" s="7"/>
      <c r="CZ178" s="7"/>
      <c r="DA178" s="7"/>
      <c r="DB178" s="7"/>
      <c r="DC178" s="7"/>
      <c r="DD178" s="7"/>
    </row>
    <row r="179">
      <c r="A179" s="7"/>
      <c r="B179" s="4"/>
      <c r="C179" s="167"/>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4"/>
      <c r="CY179" s="7"/>
      <c r="CZ179" s="7"/>
      <c r="DA179" s="7"/>
      <c r="DB179" s="7"/>
      <c r="DC179" s="7"/>
      <c r="DD179" s="7"/>
    </row>
    <row r="180">
      <c r="A180" s="7"/>
      <c r="B180" s="4"/>
      <c r="C180" s="167"/>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4"/>
      <c r="CY180" s="7"/>
      <c r="CZ180" s="7"/>
      <c r="DA180" s="7"/>
      <c r="DB180" s="7"/>
      <c r="DC180" s="7"/>
      <c r="DD180" s="7"/>
    </row>
    <row r="181">
      <c r="A181" s="7"/>
      <c r="B181" s="4"/>
      <c r="C181" s="167"/>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4"/>
      <c r="CY181" s="7"/>
      <c r="CZ181" s="7"/>
      <c r="DA181" s="7"/>
      <c r="DB181" s="7"/>
      <c r="DC181" s="7"/>
      <c r="DD181" s="7"/>
    </row>
    <row r="182">
      <c r="A182" s="7"/>
      <c r="B182" s="4"/>
      <c r="C182" s="167"/>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4"/>
      <c r="CY182" s="7"/>
      <c r="CZ182" s="7"/>
      <c r="DA182" s="7"/>
      <c r="DB182" s="7"/>
      <c r="DC182" s="7"/>
      <c r="DD182" s="7"/>
    </row>
    <row r="183">
      <c r="A183" s="7"/>
      <c r="B183" s="4"/>
      <c r="C183" s="167"/>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4"/>
      <c r="CY183" s="7"/>
      <c r="CZ183" s="7"/>
      <c r="DA183" s="7"/>
      <c r="DB183" s="7"/>
      <c r="DC183" s="7"/>
      <c r="DD183" s="7"/>
    </row>
    <row r="184">
      <c r="A184" s="7"/>
      <c r="B184" s="4"/>
      <c r="C184" s="167"/>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4"/>
      <c r="CY184" s="7"/>
      <c r="CZ184" s="7"/>
      <c r="DA184" s="7"/>
      <c r="DB184" s="7"/>
      <c r="DC184" s="7"/>
      <c r="DD184" s="7"/>
    </row>
    <row r="185">
      <c r="A185" s="7"/>
      <c r="B185" s="4"/>
      <c r="C185" s="167"/>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4"/>
      <c r="CY185" s="7"/>
      <c r="CZ185" s="7"/>
      <c r="DA185" s="7"/>
      <c r="DB185" s="7"/>
      <c r="DC185" s="7"/>
      <c r="DD185" s="7"/>
    </row>
    <row r="186">
      <c r="A186" s="7"/>
      <c r="B186" s="4"/>
      <c r="C186" s="167"/>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4"/>
      <c r="CY186" s="7"/>
      <c r="CZ186" s="7"/>
      <c r="DA186" s="7"/>
      <c r="DB186" s="7"/>
      <c r="DC186" s="7"/>
      <c r="DD186" s="7"/>
    </row>
    <row r="187">
      <c r="A187" s="7"/>
      <c r="B187" s="4"/>
      <c r="C187" s="167"/>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4"/>
      <c r="CY187" s="7"/>
      <c r="CZ187" s="7"/>
      <c r="DA187" s="7"/>
      <c r="DB187" s="7"/>
      <c r="DC187" s="7"/>
      <c r="DD187" s="7"/>
    </row>
    <row r="188">
      <c r="A188" s="7"/>
      <c r="B188" s="4"/>
      <c r="C188" s="167"/>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c r="CX188" s="4"/>
      <c r="CY188" s="7"/>
      <c r="CZ188" s="7"/>
      <c r="DA188" s="7"/>
      <c r="DB188" s="7"/>
      <c r="DC188" s="7"/>
      <c r="DD188" s="7"/>
    </row>
    <row r="189">
      <c r="A189" s="7"/>
      <c r="B189" s="4"/>
      <c r="C189" s="167"/>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7"/>
      <c r="BY189" s="7"/>
      <c r="BZ189" s="7"/>
      <c r="CA189" s="7"/>
      <c r="CB189" s="7"/>
      <c r="CC189" s="7"/>
      <c r="CD189" s="7"/>
      <c r="CE189" s="7"/>
      <c r="CF189" s="7"/>
      <c r="CG189" s="7"/>
      <c r="CH189" s="7"/>
      <c r="CI189" s="7"/>
      <c r="CJ189" s="7"/>
      <c r="CK189" s="7"/>
      <c r="CL189" s="7"/>
      <c r="CM189" s="7"/>
      <c r="CN189" s="7"/>
      <c r="CO189" s="7"/>
      <c r="CP189" s="7"/>
      <c r="CQ189" s="7"/>
      <c r="CR189" s="7"/>
      <c r="CS189" s="7"/>
      <c r="CT189" s="7"/>
      <c r="CU189" s="7"/>
      <c r="CV189" s="7"/>
      <c r="CW189" s="7"/>
      <c r="CX189" s="4"/>
      <c r="CY189" s="7"/>
      <c r="CZ189" s="7"/>
      <c r="DA189" s="7"/>
      <c r="DB189" s="7"/>
      <c r="DC189" s="7"/>
      <c r="DD189" s="7"/>
    </row>
    <row r="190">
      <c r="A190" s="7"/>
      <c r="B190" s="4"/>
      <c r="C190" s="167"/>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7"/>
      <c r="BY190" s="7"/>
      <c r="BZ190" s="7"/>
      <c r="CA190" s="7"/>
      <c r="CB190" s="7"/>
      <c r="CC190" s="7"/>
      <c r="CD190" s="7"/>
      <c r="CE190" s="7"/>
      <c r="CF190" s="7"/>
      <c r="CG190" s="7"/>
      <c r="CH190" s="7"/>
      <c r="CI190" s="7"/>
      <c r="CJ190" s="7"/>
      <c r="CK190" s="7"/>
      <c r="CL190" s="7"/>
      <c r="CM190" s="7"/>
      <c r="CN190" s="7"/>
      <c r="CO190" s="7"/>
      <c r="CP190" s="7"/>
      <c r="CQ190" s="7"/>
      <c r="CR190" s="7"/>
      <c r="CS190" s="7"/>
      <c r="CT190" s="7"/>
      <c r="CU190" s="7"/>
      <c r="CV190" s="7"/>
      <c r="CW190" s="7"/>
      <c r="CX190" s="4"/>
      <c r="CY190" s="7"/>
      <c r="CZ190" s="7"/>
      <c r="DA190" s="7"/>
      <c r="DB190" s="7"/>
      <c r="DC190" s="7"/>
      <c r="DD190" s="7"/>
    </row>
    <row r="191">
      <c r="A191" s="7"/>
      <c r="B191" s="4"/>
      <c r="C191" s="167"/>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7"/>
      <c r="BY191" s="7"/>
      <c r="BZ191" s="7"/>
      <c r="CA191" s="7"/>
      <c r="CB191" s="7"/>
      <c r="CC191" s="7"/>
      <c r="CD191" s="7"/>
      <c r="CE191" s="7"/>
      <c r="CF191" s="7"/>
      <c r="CG191" s="7"/>
      <c r="CH191" s="7"/>
      <c r="CI191" s="7"/>
      <c r="CJ191" s="7"/>
      <c r="CK191" s="7"/>
      <c r="CL191" s="7"/>
      <c r="CM191" s="7"/>
      <c r="CN191" s="7"/>
      <c r="CO191" s="7"/>
      <c r="CP191" s="7"/>
      <c r="CQ191" s="7"/>
      <c r="CR191" s="7"/>
      <c r="CS191" s="7"/>
      <c r="CT191" s="7"/>
      <c r="CU191" s="7"/>
      <c r="CV191" s="7"/>
      <c r="CW191" s="7"/>
      <c r="CX191" s="4"/>
      <c r="CY191" s="7"/>
      <c r="CZ191" s="7"/>
      <c r="DA191" s="7"/>
      <c r="DB191" s="7"/>
      <c r="DC191" s="7"/>
      <c r="DD191" s="7"/>
    </row>
    <row r="192">
      <c r="A192" s="7"/>
      <c r="B192" s="4"/>
      <c r="C192" s="167"/>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4"/>
      <c r="CY192" s="7"/>
      <c r="CZ192" s="7"/>
      <c r="DA192" s="7"/>
      <c r="DB192" s="7"/>
      <c r="DC192" s="7"/>
      <c r="DD192" s="7"/>
    </row>
    <row r="193">
      <c r="A193" s="7"/>
      <c r="B193" s="4"/>
      <c r="C193" s="167"/>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4"/>
      <c r="CY193" s="7"/>
      <c r="CZ193" s="7"/>
      <c r="DA193" s="7"/>
      <c r="DB193" s="7"/>
      <c r="DC193" s="7"/>
      <c r="DD193" s="7"/>
    </row>
    <row r="194">
      <c r="A194" s="7"/>
      <c r="B194" s="4"/>
      <c r="C194" s="167"/>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7"/>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s="7"/>
      <c r="CW194" s="7"/>
      <c r="CX194" s="4"/>
      <c r="CY194" s="7"/>
      <c r="CZ194" s="7"/>
      <c r="DA194" s="7"/>
      <c r="DB194" s="7"/>
      <c r="DC194" s="7"/>
      <c r="DD194" s="7"/>
    </row>
    <row r="195">
      <c r="A195" s="7"/>
      <c r="B195" s="4"/>
      <c r="C195" s="167"/>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c r="CX195" s="4"/>
      <c r="CY195" s="7"/>
      <c r="CZ195" s="7"/>
      <c r="DA195" s="7"/>
      <c r="DB195" s="7"/>
      <c r="DC195" s="7"/>
      <c r="DD195" s="7"/>
    </row>
    <row r="196">
      <c r="A196" s="7"/>
      <c r="B196" s="4"/>
      <c r="C196" s="167"/>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7"/>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c r="CW196" s="7"/>
      <c r="CX196" s="4"/>
      <c r="CY196" s="7"/>
      <c r="CZ196" s="7"/>
      <c r="DA196" s="7"/>
      <c r="DB196" s="7"/>
      <c r="DC196" s="7"/>
      <c r="DD196" s="7"/>
    </row>
    <row r="197">
      <c r="A197" s="7"/>
      <c r="B197" s="4"/>
      <c r="C197" s="167"/>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4"/>
      <c r="CY197" s="7"/>
      <c r="CZ197" s="7"/>
      <c r="DA197" s="7"/>
      <c r="DB197" s="7"/>
      <c r="DC197" s="7"/>
      <c r="DD197" s="7"/>
    </row>
    <row r="198">
      <c r="A198" s="7"/>
      <c r="B198" s="4"/>
      <c r="C198" s="167"/>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4"/>
      <c r="CY198" s="7"/>
      <c r="CZ198" s="7"/>
      <c r="DA198" s="7"/>
      <c r="DB198" s="7"/>
      <c r="DC198" s="7"/>
      <c r="DD198" s="7"/>
    </row>
    <row r="199">
      <c r="A199" s="7"/>
      <c r="B199" s="4"/>
      <c r="C199" s="167"/>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c r="CX199" s="4"/>
      <c r="CY199" s="7"/>
      <c r="CZ199" s="7"/>
      <c r="DA199" s="7"/>
      <c r="DB199" s="7"/>
      <c r="DC199" s="7"/>
      <c r="DD199" s="7"/>
    </row>
    <row r="200">
      <c r="A200" s="7"/>
      <c r="B200" s="4"/>
      <c r="C200" s="167"/>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c r="CX200" s="4"/>
      <c r="CY200" s="7"/>
      <c r="CZ200" s="7"/>
      <c r="DA200" s="7"/>
      <c r="DB200" s="7"/>
      <c r="DC200" s="7"/>
      <c r="DD200" s="7"/>
    </row>
    <row r="201">
      <c r="A201" s="7"/>
      <c r="B201" s="4"/>
      <c r="C201" s="167"/>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c r="CX201" s="4"/>
      <c r="CY201" s="7"/>
      <c r="CZ201" s="7"/>
      <c r="DA201" s="7"/>
      <c r="DB201" s="7"/>
      <c r="DC201" s="7"/>
      <c r="DD201" s="7"/>
    </row>
    <row r="202">
      <c r="A202" s="7"/>
      <c r="B202" s="4"/>
      <c r="C202" s="167"/>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c r="CX202" s="4"/>
      <c r="CY202" s="7"/>
      <c r="CZ202" s="7"/>
      <c r="DA202" s="7"/>
      <c r="DB202" s="7"/>
      <c r="DC202" s="7"/>
      <c r="DD202" s="7"/>
    </row>
    <row r="203">
      <c r="A203" s="7"/>
      <c r="B203" s="4"/>
      <c r="C203" s="167"/>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c r="CX203" s="4"/>
      <c r="CY203" s="7"/>
      <c r="CZ203" s="7"/>
      <c r="DA203" s="7"/>
      <c r="DB203" s="7"/>
      <c r="DC203" s="7"/>
      <c r="DD203" s="7"/>
    </row>
    <row r="204">
      <c r="A204" s="7"/>
      <c r="B204" s="4"/>
      <c r="C204" s="167"/>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7"/>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c r="CW204" s="7"/>
      <c r="CX204" s="4"/>
      <c r="CY204" s="7"/>
      <c r="CZ204" s="7"/>
      <c r="DA204" s="7"/>
      <c r="DB204" s="7"/>
      <c r="DC204" s="7"/>
      <c r="DD204" s="7"/>
    </row>
    <row r="205">
      <c r="A205" s="7"/>
      <c r="B205" s="4"/>
      <c r="C205" s="167"/>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c r="CX205" s="4"/>
      <c r="CY205" s="7"/>
      <c r="CZ205" s="7"/>
      <c r="DA205" s="7"/>
      <c r="DB205" s="7"/>
      <c r="DC205" s="7"/>
      <c r="DD205" s="7"/>
    </row>
    <row r="206">
      <c r="A206" s="7"/>
      <c r="B206" s="4"/>
      <c r="C206" s="167"/>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c r="CX206" s="4"/>
      <c r="CY206" s="7"/>
      <c r="CZ206" s="7"/>
      <c r="DA206" s="7"/>
      <c r="DB206" s="7"/>
      <c r="DC206" s="7"/>
      <c r="DD206" s="7"/>
    </row>
    <row r="207">
      <c r="A207" s="7"/>
      <c r="B207" s="4"/>
      <c r="C207" s="167"/>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c r="CX207" s="4"/>
      <c r="CY207" s="7"/>
      <c r="CZ207" s="7"/>
      <c r="DA207" s="7"/>
      <c r="DB207" s="7"/>
      <c r="DC207" s="7"/>
      <c r="DD207" s="7"/>
    </row>
    <row r="208">
      <c r="A208" s="7"/>
      <c r="B208" s="4"/>
      <c r="C208" s="167"/>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4"/>
      <c r="CY208" s="7"/>
      <c r="CZ208" s="7"/>
      <c r="DA208" s="7"/>
      <c r="DB208" s="7"/>
      <c r="DC208" s="7"/>
      <c r="DD208" s="7"/>
    </row>
    <row r="209">
      <c r="A209" s="7"/>
      <c r="B209" s="4"/>
      <c r="C209" s="167"/>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c r="CX209" s="4"/>
      <c r="CY209" s="7"/>
      <c r="CZ209" s="7"/>
      <c r="DA209" s="7"/>
      <c r="DB209" s="7"/>
      <c r="DC209" s="7"/>
      <c r="DD209" s="7"/>
    </row>
    <row r="210">
      <c r="A210" s="7"/>
      <c r="B210" s="4"/>
      <c r="C210" s="167"/>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c r="CW210" s="7"/>
      <c r="CX210" s="4"/>
      <c r="CY210" s="7"/>
      <c r="CZ210" s="7"/>
      <c r="DA210" s="7"/>
      <c r="DB210" s="7"/>
      <c r="DC210" s="7"/>
      <c r="DD210" s="7"/>
    </row>
    <row r="211">
      <c r="A211" s="7"/>
      <c r="B211" s="4"/>
      <c r="C211" s="167"/>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c r="CX211" s="4"/>
      <c r="CY211" s="7"/>
      <c r="CZ211" s="7"/>
      <c r="DA211" s="7"/>
      <c r="DB211" s="7"/>
      <c r="DC211" s="7"/>
      <c r="DD211" s="7"/>
    </row>
    <row r="212">
      <c r="A212" s="7"/>
      <c r="B212" s="4"/>
      <c r="C212" s="167"/>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c r="CW212" s="7"/>
      <c r="CX212" s="4"/>
      <c r="CY212" s="7"/>
      <c r="CZ212" s="7"/>
      <c r="DA212" s="7"/>
      <c r="DB212" s="7"/>
      <c r="DC212" s="7"/>
      <c r="DD212" s="7"/>
    </row>
    <row r="213">
      <c r="A213" s="7"/>
      <c r="B213" s="4"/>
      <c r="C213" s="167"/>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c r="CX213" s="4"/>
      <c r="CY213" s="7"/>
      <c r="CZ213" s="7"/>
      <c r="DA213" s="7"/>
      <c r="DB213" s="7"/>
      <c r="DC213" s="7"/>
      <c r="DD213" s="7"/>
    </row>
    <row r="214">
      <c r="A214" s="7"/>
      <c r="B214" s="4"/>
      <c r="C214" s="167"/>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7"/>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c r="CW214" s="7"/>
      <c r="CX214" s="4"/>
      <c r="CY214" s="7"/>
      <c r="CZ214" s="7"/>
      <c r="DA214" s="7"/>
      <c r="DB214" s="7"/>
      <c r="DC214" s="7"/>
      <c r="DD214" s="7"/>
    </row>
    <row r="215">
      <c r="A215" s="7"/>
      <c r="B215" s="4"/>
      <c r="C215" s="167"/>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c r="CX215" s="4"/>
      <c r="CY215" s="7"/>
      <c r="CZ215" s="7"/>
      <c r="DA215" s="7"/>
      <c r="DB215" s="7"/>
      <c r="DC215" s="7"/>
      <c r="DD215" s="7"/>
    </row>
    <row r="216">
      <c r="A216" s="7"/>
      <c r="B216" s="4"/>
      <c r="C216" s="167"/>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c r="CW216" s="7"/>
      <c r="CX216" s="4"/>
      <c r="CY216" s="7"/>
      <c r="CZ216" s="7"/>
      <c r="DA216" s="7"/>
      <c r="DB216" s="7"/>
      <c r="DC216" s="7"/>
      <c r="DD216" s="7"/>
    </row>
    <row r="217">
      <c r="A217" s="7"/>
      <c r="B217" s="4"/>
      <c r="C217" s="167"/>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c r="CX217" s="4"/>
      <c r="CY217" s="7"/>
      <c r="CZ217" s="7"/>
      <c r="DA217" s="7"/>
      <c r="DB217" s="7"/>
      <c r="DC217" s="7"/>
      <c r="DD217" s="7"/>
    </row>
    <row r="218">
      <c r="A218" s="7"/>
      <c r="B218" s="4"/>
      <c r="C218" s="167"/>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4"/>
      <c r="CY218" s="7"/>
      <c r="CZ218" s="7"/>
      <c r="DA218" s="7"/>
      <c r="DB218" s="7"/>
      <c r="DC218" s="7"/>
      <c r="DD218" s="7"/>
    </row>
    <row r="219">
      <c r="A219" s="7"/>
      <c r="B219" s="4"/>
      <c r="C219" s="167"/>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4"/>
      <c r="CY219" s="7"/>
      <c r="CZ219" s="7"/>
      <c r="DA219" s="7"/>
      <c r="DB219" s="7"/>
      <c r="DC219" s="7"/>
      <c r="DD219" s="7"/>
    </row>
    <row r="220">
      <c r="A220" s="7"/>
      <c r="B220" s="4"/>
      <c r="C220" s="167"/>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7"/>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c r="CW220" s="7"/>
      <c r="CX220" s="4"/>
      <c r="CY220" s="7"/>
      <c r="CZ220" s="7"/>
      <c r="DA220" s="7"/>
      <c r="DB220" s="7"/>
      <c r="DC220" s="7"/>
      <c r="DD220" s="7"/>
    </row>
    <row r="221">
      <c r="A221" s="7"/>
      <c r="B221" s="4"/>
      <c r="C221" s="167"/>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c r="CX221" s="4"/>
      <c r="CY221" s="7"/>
      <c r="CZ221" s="7"/>
      <c r="DA221" s="7"/>
      <c r="DB221" s="7"/>
      <c r="DC221" s="7"/>
      <c r="DD221" s="7"/>
    </row>
    <row r="222">
      <c r="A222" s="7"/>
      <c r="B222" s="4"/>
      <c r="C222" s="167"/>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7"/>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c r="CW222" s="7"/>
      <c r="CX222" s="4"/>
      <c r="CY222" s="7"/>
      <c r="CZ222" s="7"/>
      <c r="DA222" s="7"/>
      <c r="DB222" s="7"/>
      <c r="DC222" s="7"/>
      <c r="DD222" s="7"/>
    </row>
    <row r="223">
      <c r="A223" s="7"/>
      <c r="B223" s="4"/>
      <c r="C223" s="167"/>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c r="CX223" s="4"/>
      <c r="CY223" s="7"/>
      <c r="CZ223" s="7"/>
      <c r="DA223" s="7"/>
      <c r="DB223" s="7"/>
      <c r="DC223" s="7"/>
      <c r="DD223" s="7"/>
    </row>
    <row r="224">
      <c r="A224" s="7"/>
      <c r="B224" s="4"/>
      <c r="C224" s="167"/>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c r="CW224" s="7"/>
      <c r="CX224" s="4"/>
      <c r="CY224" s="7"/>
      <c r="CZ224" s="7"/>
      <c r="DA224" s="7"/>
      <c r="DB224" s="7"/>
      <c r="DC224" s="7"/>
      <c r="DD224" s="7"/>
    </row>
    <row r="225">
      <c r="A225" s="7"/>
      <c r="B225" s="4"/>
      <c r="C225" s="167"/>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c r="CX225" s="4"/>
      <c r="CY225" s="7"/>
      <c r="CZ225" s="7"/>
      <c r="DA225" s="7"/>
      <c r="DB225" s="7"/>
      <c r="DC225" s="7"/>
      <c r="DD225" s="7"/>
    </row>
    <row r="226">
      <c r="A226" s="7"/>
      <c r="B226" s="4"/>
      <c r="C226" s="167"/>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c r="CW226" s="7"/>
      <c r="CX226" s="4"/>
      <c r="CY226" s="7"/>
      <c r="CZ226" s="7"/>
      <c r="DA226" s="7"/>
      <c r="DB226" s="7"/>
      <c r="DC226" s="7"/>
      <c r="DD226" s="7"/>
    </row>
    <row r="227">
      <c r="A227" s="7"/>
      <c r="B227" s="4"/>
      <c r="C227" s="167"/>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c r="CX227" s="4"/>
      <c r="CY227" s="7"/>
      <c r="CZ227" s="7"/>
      <c r="DA227" s="7"/>
      <c r="DB227" s="7"/>
      <c r="DC227" s="7"/>
      <c r="DD227" s="7"/>
    </row>
    <row r="228">
      <c r="A228" s="7"/>
      <c r="B228" s="4"/>
      <c r="C228" s="167"/>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4"/>
      <c r="CY228" s="7"/>
      <c r="CZ228" s="7"/>
      <c r="DA228" s="7"/>
      <c r="DB228" s="7"/>
      <c r="DC228" s="7"/>
      <c r="DD228" s="7"/>
    </row>
    <row r="229">
      <c r="A229" s="7"/>
      <c r="B229" s="4"/>
      <c r="C229" s="167"/>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4"/>
      <c r="CY229" s="7"/>
      <c r="CZ229" s="7"/>
      <c r="DA229" s="7"/>
      <c r="DB229" s="7"/>
      <c r="DC229" s="7"/>
      <c r="DD229" s="7"/>
    </row>
    <row r="230">
      <c r="A230" s="7"/>
      <c r="B230" s="4"/>
      <c r="C230" s="167"/>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c r="CX230" s="4"/>
      <c r="CY230" s="7"/>
      <c r="CZ230" s="7"/>
      <c r="DA230" s="7"/>
      <c r="DB230" s="7"/>
      <c r="DC230" s="7"/>
      <c r="DD230" s="7"/>
    </row>
    <row r="231">
      <c r="A231" s="7"/>
      <c r="B231" s="4"/>
      <c r="C231" s="167"/>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7"/>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c r="CX231" s="4"/>
      <c r="CY231" s="7"/>
      <c r="CZ231" s="7"/>
      <c r="DA231" s="7"/>
      <c r="DB231" s="7"/>
      <c r="DC231" s="7"/>
      <c r="DD231" s="7"/>
    </row>
    <row r="232">
      <c r="A232" s="7"/>
      <c r="B232" s="4"/>
      <c r="C232" s="167"/>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c r="CW232" s="7"/>
      <c r="CX232" s="4"/>
      <c r="CY232" s="7"/>
      <c r="CZ232" s="7"/>
      <c r="DA232" s="7"/>
      <c r="DB232" s="7"/>
      <c r="DC232" s="7"/>
      <c r="DD232" s="7"/>
    </row>
    <row r="233">
      <c r="A233" s="7"/>
      <c r="B233" s="4"/>
      <c r="C233" s="167"/>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c r="CX233" s="4"/>
      <c r="CY233" s="7"/>
      <c r="CZ233" s="7"/>
      <c r="DA233" s="7"/>
      <c r="DB233" s="7"/>
      <c r="DC233" s="7"/>
      <c r="DD233" s="7"/>
    </row>
    <row r="234">
      <c r="A234" s="7"/>
      <c r="B234" s="4"/>
      <c r="C234" s="167"/>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c r="CW234" s="7"/>
      <c r="CX234" s="4"/>
      <c r="CY234" s="7"/>
      <c r="CZ234" s="7"/>
      <c r="DA234" s="7"/>
      <c r="DB234" s="7"/>
      <c r="DC234" s="7"/>
      <c r="DD234" s="7"/>
    </row>
    <row r="235">
      <c r="A235" s="7"/>
      <c r="B235" s="4"/>
      <c r="C235" s="167"/>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c r="CX235" s="4"/>
      <c r="CY235" s="7"/>
      <c r="CZ235" s="7"/>
      <c r="DA235" s="7"/>
      <c r="DB235" s="7"/>
      <c r="DC235" s="7"/>
      <c r="DD235" s="7"/>
    </row>
    <row r="236">
      <c r="A236" s="7"/>
      <c r="B236" s="4"/>
      <c r="C236" s="167"/>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c r="CW236" s="7"/>
      <c r="CX236" s="4"/>
      <c r="CY236" s="7"/>
      <c r="CZ236" s="7"/>
      <c r="DA236" s="7"/>
      <c r="DB236" s="7"/>
      <c r="DC236" s="7"/>
      <c r="DD236" s="7"/>
    </row>
    <row r="237">
      <c r="A237" s="7"/>
      <c r="B237" s="4"/>
      <c r="C237" s="167"/>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c r="CX237" s="4"/>
      <c r="CY237" s="7"/>
      <c r="CZ237" s="7"/>
      <c r="DA237" s="7"/>
      <c r="DB237" s="7"/>
      <c r="DC237" s="7"/>
      <c r="DD237" s="7"/>
    </row>
    <row r="238">
      <c r="A238" s="7"/>
      <c r="B238" s="4"/>
      <c r="C238" s="167"/>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4"/>
      <c r="CY238" s="7"/>
      <c r="CZ238" s="7"/>
      <c r="DA238" s="7"/>
      <c r="DB238" s="7"/>
      <c r="DC238" s="7"/>
      <c r="DD238" s="7"/>
    </row>
    <row r="239">
      <c r="A239" s="7"/>
      <c r="B239" s="4"/>
      <c r="C239" s="167"/>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c r="CX239" s="4"/>
      <c r="CY239" s="7"/>
      <c r="CZ239" s="7"/>
      <c r="DA239" s="7"/>
      <c r="DB239" s="7"/>
      <c r="DC239" s="7"/>
      <c r="DD239" s="7"/>
    </row>
    <row r="240">
      <c r="A240" s="7"/>
      <c r="B240" s="4"/>
      <c r="C240" s="167"/>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7"/>
      <c r="BY240" s="7"/>
      <c r="BZ240" s="7"/>
      <c r="CA240" s="7"/>
      <c r="CB240" s="7"/>
      <c r="CC240" s="7"/>
      <c r="CD240" s="7"/>
      <c r="CE240" s="7"/>
      <c r="CF240" s="7"/>
      <c r="CG240" s="7"/>
      <c r="CH240" s="7"/>
      <c r="CI240" s="7"/>
      <c r="CJ240" s="7"/>
      <c r="CK240" s="7"/>
      <c r="CL240" s="7"/>
      <c r="CM240" s="7"/>
      <c r="CN240" s="7"/>
      <c r="CO240" s="7"/>
      <c r="CP240" s="7"/>
      <c r="CQ240" s="7"/>
      <c r="CR240" s="7"/>
      <c r="CS240" s="7"/>
      <c r="CT240" s="7"/>
      <c r="CU240" s="7"/>
      <c r="CV240" s="7"/>
      <c r="CW240" s="7"/>
      <c r="CX240" s="4"/>
      <c r="CY240" s="7"/>
      <c r="CZ240" s="7"/>
      <c r="DA240" s="7"/>
      <c r="DB240" s="7"/>
      <c r="DC240" s="7"/>
      <c r="DD240" s="7"/>
    </row>
    <row r="241">
      <c r="A241" s="7"/>
      <c r="B241" s="4"/>
      <c r="C241" s="167"/>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c r="CW241" s="7"/>
      <c r="CX241" s="4"/>
      <c r="CY241" s="7"/>
      <c r="CZ241" s="7"/>
      <c r="DA241" s="7"/>
      <c r="DB241" s="7"/>
      <c r="DC241" s="7"/>
      <c r="DD241" s="7"/>
    </row>
    <row r="242">
      <c r="A242" s="7"/>
      <c r="B242" s="4"/>
      <c r="C242" s="167"/>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c r="CW242" s="7"/>
      <c r="CX242" s="4"/>
      <c r="CY242" s="7"/>
      <c r="CZ242" s="7"/>
      <c r="DA242" s="7"/>
      <c r="DB242" s="7"/>
      <c r="DC242" s="7"/>
      <c r="DD242" s="7"/>
    </row>
    <row r="243">
      <c r="A243" s="7"/>
      <c r="B243" s="4"/>
      <c r="C243" s="167"/>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c r="CW243" s="7"/>
      <c r="CX243" s="4"/>
      <c r="CY243" s="7"/>
      <c r="CZ243" s="7"/>
      <c r="DA243" s="7"/>
      <c r="DB243" s="7"/>
      <c r="DC243" s="7"/>
      <c r="DD243" s="7"/>
    </row>
    <row r="244">
      <c r="A244" s="7"/>
      <c r="B244" s="4"/>
      <c r="C244" s="167"/>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7"/>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s="7"/>
      <c r="CW244" s="7"/>
      <c r="CX244" s="4"/>
      <c r="CY244" s="7"/>
      <c r="CZ244" s="7"/>
      <c r="DA244" s="7"/>
      <c r="DB244" s="7"/>
      <c r="DC244" s="7"/>
      <c r="DD244" s="7"/>
    </row>
    <row r="245">
      <c r="A245" s="7"/>
      <c r="B245" s="4"/>
      <c r="C245" s="167"/>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c r="CX245" s="4"/>
      <c r="CY245" s="7"/>
      <c r="CZ245" s="7"/>
      <c r="DA245" s="7"/>
      <c r="DB245" s="7"/>
      <c r="DC245" s="7"/>
      <c r="DD245" s="7"/>
    </row>
    <row r="246">
      <c r="A246" s="7"/>
      <c r="B246" s="4"/>
      <c r="C246" s="167"/>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7"/>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c r="CW246" s="7"/>
      <c r="CX246" s="4"/>
      <c r="CY246" s="7"/>
      <c r="CZ246" s="7"/>
      <c r="DA246" s="7"/>
      <c r="DB246" s="7"/>
      <c r="DC246" s="7"/>
      <c r="DD246" s="7"/>
    </row>
    <row r="247">
      <c r="A247" s="7"/>
      <c r="B247" s="4"/>
      <c r="C247" s="167"/>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c r="CW247" s="7"/>
      <c r="CX247" s="4"/>
      <c r="CY247" s="7"/>
      <c r="CZ247" s="7"/>
      <c r="DA247" s="7"/>
      <c r="DB247" s="7"/>
      <c r="DC247" s="7"/>
      <c r="DD247" s="7"/>
    </row>
    <row r="248">
      <c r="A248" s="7"/>
      <c r="B248" s="4"/>
      <c r="C248" s="167"/>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4"/>
      <c r="CY248" s="7"/>
      <c r="CZ248" s="7"/>
      <c r="DA248" s="7"/>
      <c r="DB248" s="7"/>
      <c r="DC248" s="7"/>
      <c r="DD248" s="7"/>
    </row>
    <row r="249">
      <c r="A249" s="7"/>
      <c r="B249" s="4"/>
      <c r="C249" s="167"/>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c r="CW249" s="7"/>
      <c r="CX249" s="4"/>
      <c r="CY249" s="7"/>
      <c r="CZ249" s="7"/>
      <c r="DA249" s="7"/>
      <c r="DB249" s="7"/>
      <c r="DC249" s="7"/>
      <c r="DD249" s="7"/>
    </row>
    <row r="250">
      <c r="A250" s="7"/>
      <c r="B250" s="4"/>
      <c r="C250" s="167"/>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7"/>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s="7"/>
      <c r="CW250" s="7"/>
      <c r="CX250" s="4"/>
      <c r="CY250" s="7"/>
      <c r="CZ250" s="7"/>
      <c r="DA250" s="7"/>
      <c r="DB250" s="7"/>
      <c r="DC250" s="7"/>
      <c r="DD250" s="7"/>
    </row>
    <row r="251">
      <c r="A251" s="7"/>
      <c r="B251" s="4"/>
      <c r="C251" s="167"/>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c r="CX251" s="4"/>
      <c r="CY251" s="7"/>
      <c r="CZ251" s="7"/>
      <c r="DA251" s="7"/>
      <c r="DB251" s="7"/>
      <c r="DC251" s="7"/>
      <c r="DD251" s="7"/>
    </row>
    <row r="252">
      <c r="A252" s="7"/>
      <c r="B252" s="4"/>
      <c r="C252" s="167"/>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7"/>
      <c r="BY252" s="7"/>
      <c r="BZ252" s="7"/>
      <c r="CA252" s="7"/>
      <c r="CB252" s="7"/>
      <c r="CC252" s="7"/>
      <c r="CD252" s="7"/>
      <c r="CE252" s="7"/>
      <c r="CF252" s="7"/>
      <c r="CG252" s="7"/>
      <c r="CH252" s="7"/>
      <c r="CI252" s="7"/>
      <c r="CJ252" s="7"/>
      <c r="CK252" s="7"/>
      <c r="CL252" s="7"/>
      <c r="CM252" s="7"/>
      <c r="CN252" s="7"/>
      <c r="CO252" s="7"/>
      <c r="CP252" s="7"/>
      <c r="CQ252" s="7"/>
      <c r="CR252" s="7"/>
      <c r="CS252" s="7"/>
      <c r="CT252" s="7"/>
      <c r="CU252" s="7"/>
      <c r="CV252" s="7"/>
      <c r="CW252" s="7"/>
      <c r="CX252" s="4"/>
      <c r="CY252" s="7"/>
      <c r="CZ252" s="7"/>
      <c r="DA252" s="7"/>
      <c r="DB252" s="7"/>
      <c r="DC252" s="7"/>
      <c r="DD252" s="7"/>
    </row>
    <row r="253">
      <c r="A253" s="7"/>
      <c r="B253" s="4"/>
      <c r="C253" s="167"/>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7"/>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c r="CW253" s="7"/>
      <c r="CX253" s="4"/>
      <c r="CY253" s="7"/>
      <c r="CZ253" s="7"/>
      <c r="DA253" s="7"/>
      <c r="DB253" s="7"/>
      <c r="DC253" s="7"/>
      <c r="DD253" s="7"/>
    </row>
    <row r="254">
      <c r="A254" s="7"/>
      <c r="B254" s="4"/>
      <c r="C254" s="167"/>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7"/>
      <c r="BY254" s="7"/>
      <c r="BZ254" s="7"/>
      <c r="CA254" s="7"/>
      <c r="CB254" s="7"/>
      <c r="CC254" s="7"/>
      <c r="CD254" s="7"/>
      <c r="CE254" s="7"/>
      <c r="CF254" s="7"/>
      <c r="CG254" s="7"/>
      <c r="CH254" s="7"/>
      <c r="CI254" s="7"/>
      <c r="CJ254" s="7"/>
      <c r="CK254" s="7"/>
      <c r="CL254" s="7"/>
      <c r="CM254" s="7"/>
      <c r="CN254" s="7"/>
      <c r="CO254" s="7"/>
      <c r="CP254" s="7"/>
      <c r="CQ254" s="7"/>
      <c r="CR254" s="7"/>
      <c r="CS254" s="7"/>
      <c r="CT254" s="7"/>
      <c r="CU254" s="7"/>
      <c r="CV254" s="7"/>
      <c r="CW254" s="7"/>
      <c r="CX254" s="4"/>
      <c r="CY254" s="7"/>
      <c r="CZ254" s="7"/>
      <c r="DA254" s="7"/>
      <c r="DB254" s="7"/>
      <c r="DC254" s="7"/>
      <c r="DD254" s="7"/>
    </row>
    <row r="255">
      <c r="A255" s="7"/>
      <c r="B255" s="4"/>
      <c r="C255" s="167"/>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c r="CX255" s="4"/>
      <c r="CY255" s="7"/>
      <c r="CZ255" s="7"/>
      <c r="DA255" s="7"/>
      <c r="DB255" s="7"/>
      <c r="DC255" s="7"/>
      <c r="DD255" s="7"/>
    </row>
    <row r="256">
      <c r="A256" s="7"/>
      <c r="B256" s="4"/>
      <c r="C256" s="167"/>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c r="CW256" s="7"/>
      <c r="CX256" s="4"/>
      <c r="CY256" s="7"/>
      <c r="CZ256" s="7"/>
      <c r="DA256" s="7"/>
      <c r="DB256" s="7"/>
      <c r="DC256" s="7"/>
      <c r="DD256" s="7"/>
    </row>
    <row r="257">
      <c r="A257" s="7"/>
      <c r="B257" s="4"/>
      <c r="C257" s="167"/>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7"/>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c r="CW257" s="7"/>
      <c r="CX257" s="4"/>
      <c r="CY257" s="7"/>
      <c r="CZ257" s="7"/>
      <c r="DA257" s="7"/>
      <c r="DB257" s="7"/>
      <c r="DC257" s="7"/>
      <c r="DD257" s="7"/>
    </row>
    <row r="258">
      <c r="A258" s="7"/>
      <c r="B258" s="4"/>
      <c r="C258" s="167"/>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4"/>
      <c r="CY258" s="7"/>
      <c r="CZ258" s="7"/>
      <c r="DA258" s="7"/>
      <c r="DB258" s="7"/>
      <c r="DC258" s="7"/>
      <c r="DD258" s="7"/>
    </row>
    <row r="259">
      <c r="A259" s="7"/>
      <c r="B259" s="4"/>
      <c r="C259" s="167"/>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c r="CX259" s="4"/>
      <c r="CY259" s="7"/>
      <c r="CZ259" s="7"/>
      <c r="DA259" s="7"/>
      <c r="DB259" s="7"/>
      <c r="DC259" s="7"/>
      <c r="DD259" s="7"/>
    </row>
    <row r="260">
      <c r="A260" s="7"/>
      <c r="B260" s="4"/>
      <c r="C260" s="167"/>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7"/>
      <c r="BY260" s="7"/>
      <c r="BZ260" s="7"/>
      <c r="CA260" s="7"/>
      <c r="CB260" s="7"/>
      <c r="CC260" s="7"/>
      <c r="CD260" s="7"/>
      <c r="CE260" s="7"/>
      <c r="CF260" s="7"/>
      <c r="CG260" s="7"/>
      <c r="CH260" s="7"/>
      <c r="CI260" s="7"/>
      <c r="CJ260" s="7"/>
      <c r="CK260" s="7"/>
      <c r="CL260" s="7"/>
      <c r="CM260" s="7"/>
      <c r="CN260" s="7"/>
      <c r="CO260" s="7"/>
      <c r="CP260" s="7"/>
      <c r="CQ260" s="7"/>
      <c r="CR260" s="7"/>
      <c r="CS260" s="7"/>
      <c r="CT260" s="7"/>
      <c r="CU260" s="7"/>
      <c r="CV260" s="7"/>
      <c r="CW260" s="7"/>
      <c r="CX260" s="4"/>
      <c r="CY260" s="7"/>
      <c r="CZ260" s="7"/>
      <c r="DA260" s="7"/>
      <c r="DB260" s="7"/>
      <c r="DC260" s="7"/>
      <c r="DD260" s="7"/>
    </row>
    <row r="261">
      <c r="A261" s="7"/>
      <c r="B261" s="4"/>
      <c r="C261" s="167"/>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c r="CX261" s="4"/>
      <c r="CY261" s="7"/>
      <c r="CZ261" s="7"/>
      <c r="DA261" s="7"/>
      <c r="DB261" s="7"/>
      <c r="DC261" s="7"/>
      <c r="DD261" s="7"/>
    </row>
    <row r="262">
      <c r="A262" s="7"/>
      <c r="B262" s="4"/>
      <c r="C262" s="167"/>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7"/>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c r="CW262" s="7"/>
      <c r="CX262" s="4"/>
      <c r="CY262" s="7"/>
      <c r="CZ262" s="7"/>
      <c r="DA262" s="7"/>
      <c r="DB262" s="7"/>
      <c r="DC262" s="7"/>
      <c r="DD262" s="7"/>
    </row>
    <row r="263">
      <c r="A263" s="7"/>
      <c r="B263" s="4"/>
      <c r="C263" s="167"/>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7"/>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c r="CW263" s="7"/>
      <c r="CX263" s="4"/>
      <c r="CY263" s="7"/>
      <c r="CZ263" s="7"/>
      <c r="DA263" s="7"/>
      <c r="DB263" s="7"/>
      <c r="DC263" s="7"/>
      <c r="DD263" s="7"/>
    </row>
    <row r="264">
      <c r="A264" s="7"/>
      <c r="B264" s="4"/>
      <c r="C264" s="167"/>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c r="CW264" s="7"/>
      <c r="CX264" s="4"/>
      <c r="CY264" s="7"/>
      <c r="CZ264" s="7"/>
      <c r="DA264" s="7"/>
      <c r="DB264" s="7"/>
      <c r="DC264" s="7"/>
      <c r="DD264" s="7"/>
    </row>
    <row r="265">
      <c r="A265" s="7"/>
      <c r="B265" s="4"/>
      <c r="C265" s="167"/>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7"/>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c r="CW265" s="7"/>
      <c r="CX265" s="4"/>
      <c r="CY265" s="7"/>
      <c r="CZ265" s="7"/>
      <c r="DA265" s="7"/>
      <c r="DB265" s="7"/>
      <c r="DC265" s="7"/>
      <c r="DD265" s="7"/>
    </row>
    <row r="266">
      <c r="A266" s="7"/>
      <c r="B266" s="4"/>
      <c r="C266" s="167"/>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7"/>
      <c r="BY266" s="7"/>
      <c r="BZ266" s="7"/>
      <c r="CA266" s="7"/>
      <c r="CB266" s="7"/>
      <c r="CC266" s="7"/>
      <c r="CD266" s="7"/>
      <c r="CE266" s="7"/>
      <c r="CF266" s="7"/>
      <c r="CG266" s="7"/>
      <c r="CH266" s="7"/>
      <c r="CI266" s="7"/>
      <c r="CJ266" s="7"/>
      <c r="CK266" s="7"/>
      <c r="CL266" s="7"/>
      <c r="CM266" s="7"/>
      <c r="CN266" s="7"/>
      <c r="CO266" s="7"/>
      <c r="CP266" s="7"/>
      <c r="CQ266" s="7"/>
      <c r="CR266" s="7"/>
      <c r="CS266" s="7"/>
      <c r="CT266" s="7"/>
      <c r="CU266" s="7"/>
      <c r="CV266" s="7"/>
      <c r="CW266" s="7"/>
      <c r="CX266" s="4"/>
      <c r="CY266" s="7"/>
      <c r="CZ266" s="7"/>
      <c r="DA266" s="7"/>
      <c r="DB266" s="7"/>
      <c r="DC266" s="7"/>
      <c r="DD266" s="7"/>
    </row>
  </sheetData>
  <autoFilter ref="$A$1:$CW$32"/>
  <mergeCells count="81">
    <mergeCell ref="E4:F4"/>
    <mergeCell ref="G4:H4"/>
    <mergeCell ref="C3:C5"/>
    <mergeCell ref="A6:C6"/>
    <mergeCell ref="A18:C18"/>
    <mergeCell ref="A35:B35"/>
    <mergeCell ref="A36:B36"/>
    <mergeCell ref="A40:B40"/>
    <mergeCell ref="A3:A5"/>
    <mergeCell ref="B3:B5"/>
    <mergeCell ref="D3:D5"/>
    <mergeCell ref="E3:F3"/>
    <mergeCell ref="G3:H3"/>
    <mergeCell ref="K3:K5"/>
    <mergeCell ref="I4:J4"/>
    <mergeCell ref="AA4:AB4"/>
    <mergeCell ref="AC4:AD4"/>
    <mergeCell ref="AE4:AF4"/>
    <mergeCell ref="AG4:AH4"/>
    <mergeCell ref="AI4:AJ4"/>
    <mergeCell ref="AK4:AL4"/>
    <mergeCell ref="AA3:AB3"/>
    <mergeCell ref="AC3:AD3"/>
    <mergeCell ref="AE3:AF3"/>
    <mergeCell ref="AG3:AH3"/>
    <mergeCell ref="AI3:AJ3"/>
    <mergeCell ref="AK3:AL3"/>
    <mergeCell ref="AO3:AO5"/>
    <mergeCell ref="AM4:AN4"/>
    <mergeCell ref="BG4:BH4"/>
    <mergeCell ref="BI4:BJ4"/>
    <mergeCell ref="BY4:CW4"/>
    <mergeCell ref="CY4:DB4"/>
    <mergeCell ref="AP4:AQ4"/>
    <mergeCell ref="AR4:AS4"/>
    <mergeCell ref="AT4:AU4"/>
    <mergeCell ref="AV4:AW4"/>
    <mergeCell ref="AX4:AY4"/>
    <mergeCell ref="AZ4:BA4"/>
    <mergeCell ref="BE4:BF4"/>
    <mergeCell ref="X3:Y3"/>
    <mergeCell ref="Z3:Z5"/>
    <mergeCell ref="X4:Y4"/>
    <mergeCell ref="BB3:BC3"/>
    <mergeCell ref="BD3:BD5"/>
    <mergeCell ref="BB4:BC4"/>
    <mergeCell ref="BS3:BS5"/>
    <mergeCell ref="BT3:BT5"/>
    <mergeCell ref="BU3:BU5"/>
    <mergeCell ref="BV3:BV5"/>
    <mergeCell ref="L4:M4"/>
    <mergeCell ref="N4:O4"/>
    <mergeCell ref="P4:Q4"/>
    <mergeCell ref="R4:S4"/>
    <mergeCell ref="T4:U4"/>
    <mergeCell ref="V4:W4"/>
    <mergeCell ref="I3:J3"/>
    <mergeCell ref="L3:M3"/>
    <mergeCell ref="N3:O3"/>
    <mergeCell ref="P3:Q3"/>
    <mergeCell ref="R3:S3"/>
    <mergeCell ref="T3:U3"/>
    <mergeCell ref="V3:W3"/>
    <mergeCell ref="AM3:AN3"/>
    <mergeCell ref="AP3:AQ3"/>
    <mergeCell ref="AR3:AS3"/>
    <mergeCell ref="AT3:AU3"/>
    <mergeCell ref="AV3:AW3"/>
    <mergeCell ref="AX3:AY3"/>
    <mergeCell ref="AZ3:BA3"/>
    <mergeCell ref="BK4:BL4"/>
    <mergeCell ref="BM4:BN4"/>
    <mergeCell ref="BO4:BP4"/>
    <mergeCell ref="BQ4:BR4"/>
    <mergeCell ref="BE3:BF3"/>
    <mergeCell ref="BG3:BH3"/>
    <mergeCell ref="BI3:BJ3"/>
    <mergeCell ref="BK3:BL3"/>
    <mergeCell ref="BM3:BN3"/>
    <mergeCell ref="BO3:BP3"/>
    <mergeCell ref="BQ3:BR3"/>
  </mergeCells>
  <conditionalFormatting sqref="A45 A55 A63">
    <cfRule type="expression" dxfId="15" priority="1">
      <formula>A45="C1"</formula>
    </cfRule>
  </conditionalFormatting>
  <conditionalFormatting sqref="AP12 AR12 BE12 BG12 BI12 BK12 BM12 BO12 BQ12 AP14:AP16 AR14:AR16 AP19:AP20 AP24:AP28 AR24:AR28 AT28 AV28 AX28 AZ28 BB28 BE28 BG28 BI28 BK28 BM28 BO28 BQ28">
    <cfRule type="expression" dxfId="3" priority="2">
      <formula>AP12="NBAI"</formula>
    </cfRule>
  </conditionalFormatting>
  <conditionalFormatting sqref="AP12 AR12 BE12 BG12 BI12 BK12 BM12 BO12 BQ12 AP14:AP16 AR14:AR16 AP19:AP20 AP24:AP28 AR24:AR28 AT28 AV28 AX28 AZ28 BB28 BE28 BG28 BI28 BK28 BM28 BO28 BQ28">
    <cfRule type="expression" dxfId="1" priority="3">
      <formula>AP12="BigNB"</formula>
    </cfRule>
  </conditionalFormatting>
  <conditionalFormatting sqref="AP12 AR12 BE12 BG12 BI12 BK12 BM12 BO12 BQ12 AP14:AP16 AR14:AR16 AP19:AP20 AP24:AP28 AR24:AR28 AT28 AV28 AX28 AZ28 BB28 BE28 BG28 BI28 BK28 BM28 BO28 BQ28">
    <cfRule type="expression" dxfId="1" priority="4">
      <formula>AP12="GaNB"</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0" priority="5">
      <formula>P7="C6"</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1" priority="6">
      <formula>P7="TC6"</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1" priority="7">
      <formula>P7="TC5"</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1" priority="8">
      <formula>P7="TC4"</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1" priority="9">
      <formula>P7="TC3"</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1" priority="10">
      <formula>P7="TC2"</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1" priority="11">
      <formula>P7="TC1"</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2" priority="12">
      <formula>P7="HC4"</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2" priority="13">
      <formula>P7="HC3"</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2" priority="14">
      <formula>P7="HC2"</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2" priority="15">
      <formula>P7="HC1"</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3" priority="16">
      <formula>P7="C5"</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4" priority="17">
      <formula>P7="C4"</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5" priority="18">
      <formula>P7="C3"</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0" priority="19">
      <formula>P7="C2"</formula>
    </cfRule>
  </conditionalFormatting>
  <conditionalFormatting sqref="P7:P17 R7:R17 AE7:AE17 AG7:AG17 AT7:AT17 AV7:AV17 BI7:BI17 BK7:BK17 T8 AI8 AX8 BM8 N12 AC12 AP12 AR12 BE12 BG12 BM12:BM13 BO12 BQ12 T13 AI13 AX13 AP14:AP16 AR14:AR16 AP19:AP20 AP24:AP28 AR24:AR28 AT28 AV28 AX28 AZ28 BB28 BE28 BG28 BI28 BK28 BM28 BO28 BQ28">
    <cfRule type="expression" dxfId="26" priority="20">
      <formula>P7="C1"</formula>
    </cfRule>
  </conditionalFormatting>
  <conditionalFormatting sqref="T8 AI8 AX8 BM8">
    <cfRule type="expression" dxfId="20" priority="21">
      <formula>T8="C6"</formula>
    </cfRule>
  </conditionalFormatting>
  <conditionalFormatting sqref="T8 AI8 AX8 BM8">
    <cfRule type="expression" dxfId="21" priority="22">
      <formula>T8="TC6"</formula>
    </cfRule>
  </conditionalFormatting>
  <conditionalFormatting sqref="T8 AI8 AX8 BM8">
    <cfRule type="expression" dxfId="21" priority="23">
      <formula>T8="TC5"</formula>
    </cfRule>
  </conditionalFormatting>
  <conditionalFormatting sqref="T8 AI8 AX8 BM8">
    <cfRule type="expression" dxfId="21" priority="24">
      <formula>T8="TC4"</formula>
    </cfRule>
  </conditionalFormatting>
  <conditionalFormatting sqref="T8 AI8 AX8 BM8">
    <cfRule type="expression" dxfId="21" priority="25">
      <formula>T8="TC3"</formula>
    </cfRule>
  </conditionalFormatting>
  <conditionalFormatting sqref="T8 AI8 AX8 BM8">
    <cfRule type="expression" dxfId="21" priority="26">
      <formula>T8="TC2"</formula>
    </cfRule>
  </conditionalFormatting>
  <conditionalFormatting sqref="T8 AI8 AX8 BM8">
    <cfRule type="expression" dxfId="21" priority="27">
      <formula>T8="TC1"</formula>
    </cfRule>
  </conditionalFormatting>
  <conditionalFormatting sqref="T8 AI8 AX8 BM8">
    <cfRule type="expression" dxfId="22" priority="28">
      <formula>T8="HC4"</formula>
    </cfRule>
  </conditionalFormatting>
  <conditionalFormatting sqref="T8 AI8 AX8 BM8">
    <cfRule type="expression" dxfId="22" priority="29">
      <formula>T8="HC3"</formula>
    </cfRule>
  </conditionalFormatting>
  <conditionalFormatting sqref="T8 AI8 AX8 BM8">
    <cfRule type="expression" dxfId="22" priority="30">
      <formula>T8="HC2"</formula>
    </cfRule>
  </conditionalFormatting>
  <conditionalFormatting sqref="T8 AI8 AX8 BM8">
    <cfRule type="expression" dxfId="22" priority="31">
      <formula>T8="HC1"</formula>
    </cfRule>
  </conditionalFormatting>
  <conditionalFormatting sqref="T8 AI8 AX8 BM8">
    <cfRule type="expression" dxfId="23" priority="32">
      <formula>T8="C5"</formula>
    </cfRule>
  </conditionalFormatting>
  <conditionalFormatting sqref="T8 AI8 AX8 BM8">
    <cfRule type="expression" dxfId="24" priority="33">
      <formula>T8="C4"</formula>
    </cfRule>
  </conditionalFormatting>
  <conditionalFormatting sqref="T8 AI8 AX8 BM8">
    <cfRule type="expression" dxfId="25" priority="34">
      <formula>T8="C3"</formula>
    </cfRule>
  </conditionalFormatting>
  <conditionalFormatting sqref="T8 AI8 AX8 BM8">
    <cfRule type="expression" dxfId="20" priority="35">
      <formula>T8="C2"</formula>
    </cfRule>
  </conditionalFormatting>
  <conditionalFormatting sqref="T8 AI8 AX8 BM8">
    <cfRule type="expression" dxfId="26" priority="36">
      <formula>T8="C1"</formula>
    </cfRule>
  </conditionalFormatting>
  <conditionalFormatting sqref="T8 AI8 AX8 BM8">
    <cfRule type="expression" dxfId="20" priority="37">
      <formula>T8="C6"</formula>
    </cfRule>
  </conditionalFormatting>
  <conditionalFormatting sqref="T8 AI8 AX8 BM8">
    <cfRule type="expression" dxfId="21" priority="38">
      <formula>T8="TC6"</formula>
    </cfRule>
  </conditionalFormatting>
  <conditionalFormatting sqref="T8 AI8 AX8 BM8">
    <cfRule type="expression" dxfId="21" priority="39">
      <formula>T8="TC5"</formula>
    </cfRule>
  </conditionalFormatting>
  <conditionalFormatting sqref="T8 AI8 AX8 BM8">
    <cfRule type="expression" dxfId="21" priority="40">
      <formula>T8="TC4"</formula>
    </cfRule>
  </conditionalFormatting>
  <conditionalFormatting sqref="T8 AI8 AX8 BM8">
    <cfRule type="expression" dxfId="21" priority="41">
      <formula>T8="TC3"</formula>
    </cfRule>
  </conditionalFormatting>
  <conditionalFormatting sqref="T8 AI8 AX8 BM8">
    <cfRule type="expression" dxfId="21" priority="42">
      <formula>T8="TC2"</formula>
    </cfRule>
  </conditionalFormatting>
  <conditionalFormatting sqref="T8 AI8 AX8 BM8">
    <cfRule type="expression" dxfId="21" priority="43">
      <formula>T8="TC1"</formula>
    </cfRule>
  </conditionalFormatting>
  <conditionalFormatting sqref="T8 AI8 AX8 BM8">
    <cfRule type="expression" dxfId="22" priority="44">
      <formula>T8="HC4"</formula>
    </cfRule>
  </conditionalFormatting>
  <conditionalFormatting sqref="T8 AI8 AX8 BM8">
    <cfRule type="expression" dxfId="22" priority="45">
      <formula>T8="HC3"</formula>
    </cfRule>
  </conditionalFormatting>
  <conditionalFormatting sqref="T8 AI8 AX8 BM8">
    <cfRule type="expression" dxfId="22" priority="46">
      <formula>T8="HC2"</formula>
    </cfRule>
  </conditionalFormatting>
  <conditionalFormatting sqref="T8 AI8 AX8 BM8">
    <cfRule type="expression" dxfId="22" priority="47">
      <formula>T8="HC1"</formula>
    </cfRule>
  </conditionalFormatting>
  <conditionalFormatting sqref="T8 AI8 AX8 BM8">
    <cfRule type="expression" dxfId="23" priority="48">
      <formula>T8="C5"</formula>
    </cfRule>
  </conditionalFormatting>
  <conditionalFormatting sqref="T8 AI8 AX8 BM8">
    <cfRule type="expression" dxfId="24" priority="49">
      <formula>T8="C4"</formula>
    </cfRule>
  </conditionalFormatting>
  <conditionalFormatting sqref="T8 AI8 AX8 BM8">
    <cfRule type="expression" dxfId="25" priority="50">
      <formula>T8="C3"</formula>
    </cfRule>
  </conditionalFormatting>
  <conditionalFormatting sqref="T8 AI8 AX8 BM8">
    <cfRule type="expression" dxfId="20" priority="51">
      <formula>T8="C2"</formula>
    </cfRule>
  </conditionalFormatting>
  <conditionalFormatting sqref="T8 AI8 AX8 BM8">
    <cfRule type="expression" dxfId="26" priority="52">
      <formula>T8="C1"</formula>
    </cfRule>
  </conditionalFormatting>
  <conditionalFormatting sqref="T8 AI8 AX8 BM8">
    <cfRule type="expression" dxfId="20" priority="53">
      <formula>T8="C6"</formula>
    </cfRule>
  </conditionalFormatting>
  <conditionalFormatting sqref="T8 AI8 AX8 BM8">
    <cfRule type="expression" dxfId="21" priority="54">
      <formula>T8="TC6"</formula>
    </cfRule>
  </conditionalFormatting>
  <conditionalFormatting sqref="T8 AI8 AX8 BM8">
    <cfRule type="expression" dxfId="21" priority="55">
      <formula>T8="TC5"</formula>
    </cfRule>
  </conditionalFormatting>
  <conditionalFormatting sqref="T8 AI8 AX8 BM8">
    <cfRule type="expression" dxfId="21" priority="56">
      <formula>T8="TC4"</formula>
    </cfRule>
  </conditionalFormatting>
  <conditionalFormatting sqref="T8 AI8 AX8 BM8">
    <cfRule type="expression" dxfId="21" priority="57">
      <formula>T8="TC3"</formula>
    </cfRule>
  </conditionalFormatting>
  <conditionalFormatting sqref="T8 AI8 AX8 BM8">
    <cfRule type="expression" dxfId="21" priority="58">
      <formula>T8="TC2"</formula>
    </cfRule>
  </conditionalFormatting>
  <conditionalFormatting sqref="T8 AI8 AX8 BM8">
    <cfRule type="expression" dxfId="21" priority="59">
      <formula>T8="TC1"</formula>
    </cfRule>
  </conditionalFormatting>
  <conditionalFormatting sqref="T8 AI8 AX8 BM8">
    <cfRule type="expression" dxfId="22" priority="60">
      <formula>T8="HC4"</formula>
    </cfRule>
  </conditionalFormatting>
  <conditionalFormatting sqref="T8 AI8 AX8 BM8">
    <cfRule type="expression" dxfId="22" priority="61">
      <formula>T8="HC3"</formula>
    </cfRule>
  </conditionalFormatting>
  <conditionalFormatting sqref="T8 AI8 AX8 BM8">
    <cfRule type="expression" dxfId="22" priority="62">
      <formula>T8="HC2"</formula>
    </cfRule>
  </conditionalFormatting>
  <conditionalFormatting sqref="T8 AI8 AX8 BM8">
    <cfRule type="expression" dxfId="22" priority="63">
      <formula>T8="HC1"</formula>
    </cfRule>
  </conditionalFormatting>
  <conditionalFormatting sqref="T8 AI8 AX8 BM8">
    <cfRule type="expression" dxfId="23" priority="64">
      <formula>T8="C5"</formula>
    </cfRule>
  </conditionalFormatting>
  <conditionalFormatting sqref="T8 AI8 AX8 BM8">
    <cfRule type="expression" dxfId="24" priority="65">
      <formula>T8="C4"</formula>
    </cfRule>
  </conditionalFormatting>
  <conditionalFormatting sqref="T8 AI8 AX8 BM8">
    <cfRule type="expression" dxfId="25" priority="66">
      <formula>T8="C3"</formula>
    </cfRule>
  </conditionalFormatting>
  <conditionalFormatting sqref="T8 AI8 AX8 BM8">
    <cfRule type="expression" dxfId="20" priority="67">
      <formula>T8="C2"</formula>
    </cfRule>
  </conditionalFormatting>
  <conditionalFormatting sqref="T8 AI8 AX8 BM8">
    <cfRule type="expression" dxfId="26" priority="68">
      <formula>T8="C1"</formula>
    </cfRule>
  </conditionalFormatting>
  <conditionalFormatting sqref="A37:A39">
    <cfRule type="expression" dxfId="2" priority="69">
      <formula>A37="BigNĐ"</formula>
    </cfRule>
  </conditionalFormatting>
  <conditionalFormatting sqref="A37:A39">
    <cfRule type="expression" dxfId="2" priority="70">
      <formula>A37="GaNĐ"</formula>
    </cfRule>
  </conditionalFormatting>
  <conditionalFormatting sqref="A37:A39">
    <cfRule type="expression" dxfId="28" priority="71">
      <formula>A37="NBAI"</formula>
    </cfRule>
  </conditionalFormatting>
  <conditionalFormatting sqref="A37:A39">
    <cfRule type="expression" dxfId="4" priority="72">
      <formula>A37="PTYB"</formula>
    </cfRule>
  </conditionalFormatting>
  <conditionalFormatting sqref="A37:A39">
    <cfRule type="expression" dxfId="1" priority="73">
      <formula>A37="YB"</formula>
    </cfRule>
  </conditionalFormatting>
  <conditionalFormatting sqref="A37:A39">
    <cfRule type="expression" dxfId="5" priority="74">
      <formula>A37="PT"</formula>
    </cfRule>
  </conditionalFormatting>
  <conditionalFormatting sqref="A37:A39">
    <cfRule type="expression" dxfId="6" priority="75">
      <formula>A37="VT"</formula>
    </cfRule>
  </conditionalFormatting>
  <conditionalFormatting sqref="A37:A39">
    <cfRule type="expression" dxfId="1" priority="76">
      <formula>A37="NB"</formula>
    </cfRule>
  </conditionalFormatting>
  <conditionalFormatting sqref="A37:A39">
    <cfRule type="expression" dxfId="5" priority="77">
      <formula>A37="TB"</formula>
    </cfRule>
  </conditionalFormatting>
  <conditionalFormatting sqref="A37:A39">
    <cfRule type="expression" dxfId="6" priority="78">
      <formula>A37="NĐ"</formula>
    </cfRule>
  </conditionalFormatting>
  <conditionalFormatting sqref="A41:A66">
    <cfRule type="expression" dxfId="7" priority="79">
      <formula>A41="C6"</formula>
    </cfRule>
  </conditionalFormatting>
  <conditionalFormatting sqref="A41:A66">
    <cfRule type="expression" dxfId="27" priority="80">
      <formula>A41="TC6"</formula>
    </cfRule>
  </conditionalFormatting>
  <conditionalFormatting sqref="A41:A66">
    <cfRule type="expression" dxfId="27" priority="81">
      <formula>A41="TC5"</formula>
    </cfRule>
  </conditionalFormatting>
  <conditionalFormatting sqref="A41:A66">
    <cfRule type="expression" dxfId="27" priority="82">
      <formula>A41="TC4"</formula>
    </cfRule>
  </conditionalFormatting>
  <conditionalFormatting sqref="A41:A66">
    <cfRule type="expression" dxfId="27" priority="83">
      <formula>A41="TC3"</formula>
    </cfRule>
  </conditionalFormatting>
  <conditionalFormatting sqref="A41:A66">
    <cfRule type="expression" dxfId="27" priority="84">
      <formula>A41="TC2"</formula>
    </cfRule>
  </conditionalFormatting>
  <conditionalFormatting sqref="A41:A66">
    <cfRule type="expression" dxfId="27" priority="85">
      <formula>A41="TC1"</formula>
    </cfRule>
  </conditionalFormatting>
  <conditionalFormatting sqref="A41:A66">
    <cfRule type="expression" dxfId="8" priority="86">
      <formula>A41="Full"</formula>
    </cfRule>
  </conditionalFormatting>
  <conditionalFormatting sqref="A41:A66">
    <cfRule type="expression" dxfId="9" priority="87">
      <formula>A41="OFF"</formula>
    </cfRule>
  </conditionalFormatting>
  <conditionalFormatting sqref="A41:A66">
    <cfRule type="expression" dxfId="10" priority="88">
      <formula>A41="Gãy 2"</formula>
    </cfRule>
  </conditionalFormatting>
  <conditionalFormatting sqref="A41:A66">
    <cfRule type="expression" dxfId="10" priority="89">
      <formula>A41="Gãy 1"</formula>
    </cfRule>
  </conditionalFormatting>
  <conditionalFormatting sqref="A41:A66">
    <cfRule type="expression" dxfId="11" priority="90">
      <formula>A41="HC4"</formula>
    </cfRule>
  </conditionalFormatting>
  <conditionalFormatting sqref="A41:A66">
    <cfRule type="expression" dxfId="11" priority="91">
      <formula>A41="HC3"</formula>
    </cfRule>
  </conditionalFormatting>
  <conditionalFormatting sqref="A41:A66">
    <cfRule type="expression" dxfId="11" priority="92">
      <formula>A41="HC2"</formula>
    </cfRule>
  </conditionalFormatting>
  <conditionalFormatting sqref="A41:A66">
    <cfRule type="expression" dxfId="11" priority="93">
      <formula>A41="HC1"</formula>
    </cfRule>
  </conditionalFormatting>
  <conditionalFormatting sqref="A41:A66">
    <cfRule type="expression" dxfId="12" priority="94">
      <formula>A41="C5"</formula>
    </cfRule>
  </conditionalFormatting>
  <conditionalFormatting sqref="A41:A66">
    <cfRule type="expression" dxfId="13" priority="95">
      <formula>A41="C4"</formula>
    </cfRule>
  </conditionalFormatting>
  <conditionalFormatting sqref="A41:A66">
    <cfRule type="expression" dxfId="14" priority="96">
      <formula>A41="C3"</formula>
    </cfRule>
  </conditionalFormatting>
  <conditionalFormatting sqref="A41:A66">
    <cfRule type="expression" dxfId="7" priority="97">
      <formula>A41="C2"</formula>
    </cfRule>
  </conditionalFormatting>
  <conditionalFormatting sqref="A41:A66">
    <cfRule type="expression" dxfId="0" priority="98">
      <formula>A41="C1"</formula>
    </cfRule>
  </conditionalFormatting>
  <conditionalFormatting sqref="A41:A66">
    <cfRule type="expression" dxfId="16" priority="99">
      <formula>A41="S4"</formula>
    </cfRule>
  </conditionalFormatting>
  <conditionalFormatting sqref="A41:A66">
    <cfRule type="expression" dxfId="17" priority="100">
      <formula>A41="S3"</formula>
    </cfRule>
  </conditionalFormatting>
  <conditionalFormatting sqref="A41:A66">
    <cfRule type="expression" dxfId="18" priority="101">
      <formula>A41="S2"</formula>
    </cfRule>
  </conditionalFormatting>
  <conditionalFormatting sqref="A41:A66">
    <cfRule type="expression" dxfId="19" priority="102">
      <formula>A41="S1"</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2" priority="103">
      <formula>F7="BigNĐ"</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2" priority="104">
      <formula>F7="GaNĐ"</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28" priority="105">
      <formula>F7="NBAI"</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4" priority="106">
      <formula>F7="PTYB"</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1" priority="107">
      <formula>F7="YB"</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5" priority="108">
      <formula>F7="PT"</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6" priority="109">
      <formula>F7="VT"</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1" priority="110">
      <formula>F7="NB"</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5" priority="111">
      <formula>F7="TB"</formula>
    </cfRule>
  </conditionalFormatting>
  <conditionalFormatting sqref="F7:F17 H7:H17 J7:J17 M7:M17 O7:O17 Q7:Q17 S7:S17 U7:U17 W7:W17 Y7:Y17 AB7:AB17 AD7:AD17 AF7:AF17 AH7:AH17 AJ7:AJ17 AL7:AL17 AN7:AN17 AQ7:AQ17 AS7:AS17 AU7:AU17 AW7:AW17 AY7:AY17 BA7:BA17 BC7:BC17 BF7:BF17 BH7:BH17 BJ7:BJ17 BL7:BL17 BN7:BN17 BP7:BP17 BR7:BR17 AP12 AR12 BE12 BG12 BI12 BK12 BM12 BO12 BQ12 AP14:AP16 AR14:AR16 F19:F29 H19:H29 J19:J29 M19:M29 O19:O29 Q19:Q29 S19:S29 T19:T28 U19:Y29 AA19:AN29 AP19:AW29 AX19:AX28 AY19:AY29 AZ19:AZ28 BA19:BA29 BB19:BB28 BC19:BC29 BE19:BE28 BF19:BF29 BG19:BG28 BH19:BH29 BI19:BI28 BJ19:BJ29 BK19:BK28 BL19:BL29 BM19:BM28 BN19:BN29 BO19:BO28 BP19:BP29 BQ19:BQ28 BR19:BR29">
    <cfRule type="expression" dxfId="6" priority="112">
      <formula>F7="NĐ"</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 priority="113">
      <formula>G7="C6"</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27" priority="114">
      <formula>G7="TC6"</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27" priority="115">
      <formula>G7="TC5"</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27" priority="116">
      <formula>G7="TC4"</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27" priority="117">
      <formula>G7="TC3"</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27" priority="118">
      <formula>G7="TC2"</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27" priority="119">
      <formula>G7="TC1"</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8" priority="120">
      <formula>G7="Full"</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9" priority="121">
      <formula>G7="OFF"</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0" priority="122">
      <formula>G7="Gãy 2"</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0" priority="123">
      <formula>G7="Gãy 1"</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1" priority="124">
      <formula>G7="HC4"</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1" priority="125">
      <formula>G7="HC3"</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1" priority="126">
      <formula>G7="HC2"</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1" priority="127">
      <formula>G7="HC1"</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2" priority="128">
      <formula>G7="C5"</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3" priority="129">
      <formula>G7="C4"</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4" priority="130">
      <formula>G7="C3"</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7" priority="131">
      <formula>G7="C2"</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0" priority="132">
      <formula>G7="C1"</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6" priority="133">
      <formula>G7="S4"</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7" priority="134">
      <formula>G7="S3"</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8" priority="135">
      <formula>G7="S2"</formula>
    </cfRule>
  </conditionalFormatting>
  <conditionalFormatting sqref="G7:G17 I7:I17 L7:L17 N7:N17 P7:P17 R7:R17 T7:T17 V7:V17 X7:X17 AA7:AA17 AC7:AC17 AE7:AE17 AG7:AG17 AI7:AK17 AM7:AM17 AP7:AP17 AR7:AR17 AT7:AT17 AV7:AV17 AX7:AZ17 BB7:BB17 BE7:BE17 BG7:BG17 BI7:BI17 BK7:BK17 BM7:BO17 BQ7:BQ17 E14:E17 E19:F28 G19:G29 H19:H28 I19:I29 J19:J28 L19:L29 M19:M28 N19:N29 O19:O28 P19:P29 Q19:Q28 R19:R29 S19:S28 T19:Y29 AA19:AI29 AJ19:AJ22 AK19:AK29 AM19:AM29 AP19:AP29 AR19:AR29 AT19:AT29 AV19:AV29 AX19:BC29 BE19:BR29 AQ22 AQ27:AQ28 AS27:AS28 AU27:AU28 AW27:AW28">
    <cfRule type="expression" dxfId="19" priority="136">
      <formula>G7="S1"</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 priority="137">
      <formula>AP12="C6"</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138">
      <formula>AP12="TC6"</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139">
      <formula>AP12="TC5"</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140">
      <formula>AP12="TC4"</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141">
      <formula>AP12="TC3"</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142">
      <formula>AP12="TC2"</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143">
      <formula>AP12="TC1"</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8" priority="144">
      <formula>AP12="Full"</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9" priority="145">
      <formula>AP12="OFF"</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0" priority="146">
      <formula>AP12="Gãy 2"</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0" priority="147">
      <formula>AP12="Gãy 1"</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1" priority="148">
      <formula>AP12="HC4"</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1" priority="149">
      <formula>AP12="HC3"</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1" priority="150">
      <formula>AP12="HC2"</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1" priority="151">
      <formula>AP12="HC1"</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2" priority="152">
      <formula>AP12="C5"</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3" priority="153">
      <formula>AP12="C4"</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4" priority="154">
      <formula>AP12="C3"</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 priority="155">
      <formula>AP12="C2"</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0" priority="156">
      <formula>AP12="C1"</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6" priority="157">
      <formula>AP12="S4"</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7" priority="158">
      <formula>AP12="S3"</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8" priority="159">
      <formula>AP12="S2"</formula>
    </cfRule>
  </conditionalFormatting>
  <conditionalFormatting sqref="AP12 AR12 BE12 BG12 BI12 BK12 BM12 BO12 BQ12 AP14:AP16 AR14:AR16 E19:E28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9" priority="160">
      <formula>AP12="S1"</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 priority="161">
      <formula>I7="C6"</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27" priority="162">
      <formula>I7="TC6"</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27" priority="163">
      <formula>I7="TC5"</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27" priority="164">
      <formula>I7="TC4"</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27" priority="165">
      <formula>I7="TC3"</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27" priority="166">
      <formula>I7="TC2"</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27" priority="167">
      <formula>I7="TC1"</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8" priority="168">
      <formula>I7="Full"</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9" priority="169">
      <formula>I7="OFF"</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0" priority="170">
      <formula>I7="Gãy 2"</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0" priority="171">
      <formula>I7="Gãy 1"</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1" priority="172">
      <formula>I7="HC4"</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1" priority="173">
      <formula>I7="HC3"</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1" priority="174">
      <formula>I7="HC2"</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1" priority="175">
      <formula>I7="HC1"</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2" priority="176">
      <formula>I7="C5"</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3" priority="177">
      <formula>I7="C4"</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4" priority="178">
      <formula>I7="C3"</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7" priority="179">
      <formula>I7="C2"</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0" priority="180">
      <formula>I7="C1"</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6" priority="181">
      <formula>I7="S4"</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7" priority="182">
      <formula>I7="S3"</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8" priority="183">
      <formula>I7="S2"</formula>
    </cfRule>
  </conditionalFormatting>
  <conditionalFormatting sqref="I7:I17 L7:L17 N7:N17 X7:X17 AA7:AA17 AC7:AC17 AJ7:AK17 AM7:AM17 AP7:AP17 AR7:AR17 AY7:AZ17 BB7:BB17 BE7:BE17 BG7:BG17 BI7:BI17 BK7:BK17 BM7:BO17 BQ7:BQ17 AT10 T11:T17 V11:V17 AI11:AI17 AX11:AX17 G12 AE12:AE17 AG12:AG17 AT12:AT17 AV12:AV17 P13:P17 R13:R17 E14:E17 E19:H28 I19:I29 J19:J28 L19:L29 M19:M28 N19:N29 O19:O28 P19:P29 Q19:Q28 R19:R29 S19:S28 T19:Y29 AA19:AI29 AJ19:AJ22 AK19:AK29 AM19:AM29 AP19:AP29 AR19:AR29 AT19:AT29 AV19:AV29 AX19:BC29 BE19:BR29 AQ22 AQ27:AQ28 AS27:AS28 AU27:AU28 AW27:AW28">
    <cfRule type="expression" dxfId="19" priority="184">
      <formula>I7="S1"</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 priority="185">
      <formula>AP12="C6"</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27" priority="186">
      <formula>AP12="TC6"</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27" priority="187">
      <formula>AP12="TC5"</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27" priority="188">
      <formula>AP12="TC4"</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27" priority="189">
      <formula>AP12="TC3"</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27" priority="190">
      <formula>AP12="TC2"</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27" priority="191">
      <formula>AP12="TC1"</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8" priority="192">
      <formula>AP12="Full"</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9" priority="193">
      <formula>AP12="OFF"</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0" priority="194">
      <formula>AP12="Gãy 2"</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0" priority="195">
      <formula>AP12="Gãy 1"</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1" priority="196">
      <formula>AP12="HC4"</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1" priority="197">
      <formula>AP12="HC3"</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1" priority="198">
      <formula>AP12="HC2"</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1" priority="199">
      <formula>AP12="HC1"</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2" priority="200">
      <formula>AP12="C5"</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3" priority="201">
      <formula>AP12="C4"</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4" priority="202">
      <formula>AP12="C3"</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7" priority="203">
      <formula>AP12="C2"</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0" priority="204">
      <formula>AP12="C1"</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6" priority="205">
      <formula>AP12="S4"</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7" priority="206">
      <formula>AP12="S3"</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8" priority="207">
      <formula>AP12="S2"</formula>
    </cfRule>
  </conditionalFormatting>
  <conditionalFormatting sqref="AP12 AR12 BE12 BG12 BI12 BK12 BM12 BO12 BQ12 AP14:AP16 AR14:AR16 G19 I19:I29 L19:L29 N19:N29 P19:P29 R19:R29 T19:T29 V19:V29 X19:X29 AA19:AA29 AC19:AC29 AE19:AE29 AG19:AG29 AI19:AI29 AK19:AK29 AM19:AM29 AP19:AP29 AR19:AR29 AT19:AT29 AV19:AV29 AX19:AX29 AZ19:AZ29 BB19:BB29 BE19:BE29 BG19:BG29 BI19:BI29 BK19:BK29 BM19:BM29 BO19:BO29 BQ19:BQ29 G21:G28">
    <cfRule type="expression" dxfId="19" priority="208">
      <formula>AP12="S1"</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 priority="209">
      <formula>L7="C6"</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27" priority="210">
      <formula>L7="TC6"</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27" priority="211">
      <formula>L7="TC5"</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27" priority="212">
      <formula>L7="TC4"</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27" priority="213">
      <formula>L7="TC3"</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27" priority="214">
      <formula>L7="TC2"</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27" priority="215">
      <formula>L7="TC1"</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8" priority="216">
      <formula>L7="Full"</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9" priority="217">
      <formula>L7="OFF"</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0" priority="218">
      <formula>L7="Gãy 2"</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0" priority="219">
      <formula>L7="Gãy 1"</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1" priority="220">
      <formula>L7="HC4"</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1" priority="221">
      <formula>L7="HC3"</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1" priority="222">
      <formula>L7="HC2"</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1" priority="223">
      <formula>L7="HC1"</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2" priority="224">
      <formula>L7="C5"</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3" priority="225">
      <formula>L7="C4"</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4" priority="226">
      <formula>L7="C3"</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7" priority="227">
      <formula>L7="C2"</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0" priority="228">
      <formula>L7="C1"</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6" priority="229">
      <formula>L7="S4"</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7" priority="230">
      <formula>L7="S3"</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8" priority="231">
      <formula>L7="S2"</formula>
    </cfRule>
  </conditionalFormatting>
  <conditionalFormatting sqref="L7:L17 N7:N17 AA7:AA17 AC7:AC17 AP7:AP17 AR7:AR17 BE7:BE17 BG7:BG17 BI7:BI17 BK7:BK17 BM7:BM17 BO7:BO17 BQ7:BQ17 AE8:AE17 AG8:AG17 AI8:AI17 AK8:AK17 AM8:AM17 AT8:AT17 AV8:AV17 AX8:AX17 AZ8:AZ17 BB8:BB17 I9 X9:X10 X12 E14:E17 T14:T17 L19:L29 N19:N29 P19:P29 R19:R29 T19:T29 V19:V29 X19:X29 AA19:AA29 AC19:AC29 AE19:AE29 AG19:AG29 AI19:AI29 AK19:AK29 AM19:AM29 AP19:AP29 AR19:AR29 AT19:AT29 AV19:AV29 AX19:BC29 BE19:BR29 I23:I28">
    <cfRule type="expression" dxfId="19" priority="232">
      <formula>L7="S1"</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 priority="233">
      <formula>AP12="C6"</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27" priority="234">
      <formula>AP12="TC6"</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27" priority="235">
      <formula>AP12="TC5"</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27" priority="236">
      <formula>AP12="TC4"</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27" priority="237">
      <formula>AP12="TC3"</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27" priority="238">
      <formula>AP12="TC2"</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27" priority="239">
      <formula>AP12="TC1"</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8" priority="240">
      <formula>AP12="Full"</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9" priority="241">
      <formula>AP12="OFF"</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0" priority="242">
      <formula>AP12="Gãy 2"</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0" priority="243">
      <formula>AP12="Gãy 1"</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1" priority="244">
      <formula>AP12="HC4"</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1" priority="245">
      <formula>AP12="HC3"</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1" priority="246">
      <formula>AP12="HC2"</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1" priority="247">
      <formula>AP12="HC1"</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2" priority="248">
      <formula>AP12="C5"</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3" priority="249">
      <formula>AP12="C4"</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4" priority="250">
      <formula>AP12="C3"</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7" priority="251">
      <formula>AP12="C2"</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0" priority="252">
      <formula>AP12="C1"</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6" priority="253">
      <formula>AP12="S4"</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7" priority="254">
      <formula>AP12="S3"</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8" priority="255">
      <formula>AP12="S2"</formula>
    </cfRule>
  </conditionalFormatting>
  <conditionalFormatting sqref="AP12 AR12 BE12 BG12 BI12 BK12 BM12 BO12 BQ12 AP14:AP16 AR14:AR16 L19:L29 N19:N29 P19:P29 R19:R29 T19:T29 V19:V29 X19:X29 AA19:AA29 AC19:AC29 AE19:AE29 AG19:AG29 AI19:AI29 AK19:AK29 AM19:AM29 AP19:AP29 AR19:AR29 AT19:AT29 AV19:AV29 AX19:AX29 AZ19:AZ29 BB19:BB29 BE19:BE29 BG19:BG29 BI19:BI29 BK19:BK29 BM19:BM29 BO19:BO29 BQ19:BQ29 I20">
    <cfRule type="expression" dxfId="19" priority="256">
      <formula>AP12="S1"</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 priority="257">
      <formula>N7="C6"</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27" priority="258">
      <formula>N7="TC6"</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27" priority="259">
      <formula>N7="TC5"</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27" priority="260">
      <formula>N7="TC4"</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27" priority="261">
      <formula>N7="TC3"</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27" priority="262">
      <formula>N7="TC2"</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27" priority="263">
      <formula>N7="TC1"</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8" priority="264">
      <formula>N7="Full"</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9" priority="265">
      <formula>N7="OFF"</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0" priority="266">
      <formula>N7="Gãy 2"</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0" priority="267">
      <formula>N7="Gãy 1"</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1" priority="268">
      <formula>N7="HC4"</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1" priority="269">
      <formula>N7="HC3"</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1" priority="270">
      <formula>N7="HC2"</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1" priority="271">
      <formula>N7="HC1"</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2" priority="272">
      <formula>N7="C5"</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3" priority="273">
      <formula>N7="C4"</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4" priority="274">
      <formula>N7="C3"</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7" priority="275">
      <formula>N7="C2"</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0" priority="276">
      <formula>N7="C1"</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6" priority="277">
      <formula>N7="S4"</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7" priority="278">
      <formula>N7="S3"</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8" priority="279">
      <formula>N7="S2"</formula>
    </cfRule>
  </conditionalFormatting>
  <conditionalFormatting sqref="N7:N17 P7:P17 R7:R17 T7:T17 V7:V17 X7:X17 AA7:AA17 AC7:AC17 AE7:AE17 AG7:AG17 AI7:AK17 AM7:AM17 AP7:AP17 AR7:AR17 AT7:AT17 AV7:AV17 AX7:AZ17 BB7:BB17 BE7:BE17 BG7:BG17 BI7:BI17 BK7:BK17 BM7:BO17 BQ7:BQ17 L8 I11 E19:J28 L19:M28 N19:N29 O19:O28 P19:P29 Q19:Q28 R19:R29 S19:S28 T19:Y29 AA19:AI29 AJ19:AJ22 AK19:AK29 AM19:AM29 AP19:AP29 AR19:AR29 AT19:AT29 AV19:AV29 AX19:BC29 BE19:BR29 AQ22 AQ27:AQ28 AS27:AS28 AU27:AU28 AW27:AW28">
    <cfRule type="expression" dxfId="19" priority="280">
      <formula>N7="S1"</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 priority="281">
      <formula>AP12="C6"</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27" priority="282">
      <formula>AP12="TC6"</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27" priority="283">
      <formula>AP12="TC5"</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27" priority="284">
      <formula>AP12="TC4"</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27" priority="285">
      <formula>AP12="TC3"</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27" priority="286">
      <formula>AP12="TC2"</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27" priority="287">
      <formula>AP12="TC1"</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8" priority="288">
      <formula>AP12="Full"</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9" priority="289">
      <formula>AP12="OFF"</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0" priority="290">
      <formula>AP12="Gãy 2"</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0" priority="291">
      <formula>AP12="Gãy 1"</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1" priority="292">
      <formula>AP12="HC4"</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1" priority="293">
      <formula>AP12="HC3"</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1" priority="294">
      <formula>AP12="HC2"</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1" priority="295">
      <formula>AP12="HC1"</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2" priority="296">
      <formula>AP12="C5"</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3" priority="297">
      <formula>AP12="C4"</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4" priority="298">
      <formula>AP12="C3"</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7" priority="299">
      <formula>AP12="C2"</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0" priority="300">
      <formula>AP12="C1"</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6" priority="301">
      <formula>AP12="S4"</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7" priority="302">
      <formula>AP12="S3"</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8" priority="303">
      <formula>AP12="S2"</formula>
    </cfRule>
  </conditionalFormatting>
  <conditionalFormatting sqref="AP12 AR12 BE12 BG12 BI12 BK12 BM12 BO12 BQ12 AP14:AP16 AR14:AR16 N19:N29 P19:P29 R19:R29 T19:T29 V19:V29 X19:X29 AA19:AA29 AC19:AC29 AE19:AE29 AG19:AG29 AI19:AI29 AK19:AK29 AM19:AM29 AP19:AP29 AR19:AR29 AT19:AT29 AV19:AV29 AX19:AX29 AZ19:AZ29 BB19:BB29 BE19:BE29 BG19:BG29 BI19:BI29 BK19:BK29 BM19:BM29 BO19:BO29 BQ19:BQ29 E22 G22 I22:I28 L22:L29">
    <cfRule type="expression" dxfId="19" priority="304">
      <formula>AP12="S1"</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 priority="305">
      <formula>L7="C6"</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27" priority="306">
      <formula>L7="TC6"</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27" priority="307">
      <formula>L7="TC5"</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27" priority="308">
      <formula>L7="TC4"</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27" priority="309">
      <formula>L7="TC3"</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27" priority="310">
      <formula>L7="TC2"</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27" priority="311">
      <formula>L7="TC1"</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8" priority="312">
      <formula>L7="Full"</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9" priority="313">
      <formula>L7="OFF"</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0" priority="314">
      <formula>L7="Gãy 2"</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0" priority="315">
      <formula>L7="Gãy 1"</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1" priority="316">
      <formula>L7="HC4"</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1" priority="317">
      <formula>L7="HC3"</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1" priority="318">
      <formula>L7="HC2"</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1" priority="319">
      <formula>L7="HC1"</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2" priority="320">
      <formula>L7="C5"</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3" priority="321">
      <formula>L7="C4"</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4" priority="322">
      <formula>L7="C3"</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7" priority="323">
      <formula>L7="C2"</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0" priority="324">
      <formula>L7="C1"</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6" priority="325">
      <formula>L7="S4"</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7" priority="326">
      <formula>L7="S3"</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8" priority="327">
      <formula>L7="S2"</formula>
    </cfRule>
  </conditionalFormatting>
  <conditionalFormatting sqref="L7:L17 N7:N17 P7:P17 R7:R17 T7:T17 V7:V17 X7:X17 AA7:AA17 AC7:AC17 AE7:AE17 AG7:AG17 AI7:AK17 AM7:AM17 AP7:AR17 AT7:AT17 AV7:AV17 AX7:AZ17 BB7:BB17 BE7:BG17 BI7:BI17 BK7:BK17 BM7:BO17 BQ7:BQ17 AS11 BH11 E14:E17 E19:J28 L19:L29 M19:M28 N19:N29 O19:O28 P19:P29 Q19:Q28 R19:R29 S19:S28 T19:Y29 AA19:AI29 AJ19:AJ22 AK19:AK29 AM19:AM29 AP19:AR29 AT19:AT29 AV19:AV29 AX19:BC29 BE19:BR29 AS27:AS28 AU27:AU28 AW27:AW28">
    <cfRule type="expression" dxfId="19" priority="328">
      <formula>L7="S1"</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 priority="329">
      <formula>AM9="C6"</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27" priority="330">
      <formula>AM9="TC6"</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27" priority="331">
      <formula>AM9="TC5"</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27" priority="332">
      <formula>AM9="TC4"</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27" priority="333">
      <formula>AM9="TC3"</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27" priority="334">
      <formula>AM9="TC2"</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27" priority="335">
      <formula>AM9="TC1"</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8" priority="336">
      <formula>AM9="Full"</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9" priority="337">
      <formula>AM9="OFF"</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0" priority="338">
      <formula>AM9="Gãy 2"</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0" priority="339">
      <formula>AM9="Gãy 1"</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1" priority="340">
      <formula>AM9="HC4"</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1" priority="341">
      <formula>AM9="HC3"</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1" priority="342">
      <formula>AM9="HC2"</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1" priority="343">
      <formula>AM9="HC1"</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2" priority="344">
      <formula>AM9="C5"</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3" priority="345">
      <formula>AM9="C4"</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4" priority="346">
      <formula>AM9="C3"</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7" priority="347">
      <formula>AM9="C2"</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0" priority="348">
      <formula>AM9="C1"</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6" priority="349">
      <formula>AM9="S4"</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7" priority="350">
      <formula>AM9="S3"</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8" priority="351">
      <formula>AM9="S2"</formula>
    </cfRule>
  </conditionalFormatting>
  <conditionalFormatting sqref="AM9 BB9 BQ9 AE11 AG11 AI11 AK11 AM11 AP11:AP12 AR11:AR12 AT11 AV11 AX11 AZ11 BB11 BE11:BE12 BG11:BG12 BI11:BI12 BK11:BK12 BM11:BM12 BO11:BO12 BQ11:BQ12 AP14:AP16 AR14:AR16 E19:E28 G19:G28 I19:I28 L19:L28 N19:N28 P19:P29 R19:R29 T19:T29 V19:V29 X19:X29 AA19:AA29 AC19:AC29 AE19:AE29 AG19:AG29 AI19:AI29 AK19:AK29 AM19:AM29 AP19:AP29 AR19:AR29 AT19:AT29 AV19:AV29 AX19:AX29 AZ19:AZ29 BB19:BB29 BE19:BE29 BG19:BG29 BI19:BI29 BK19:BK29 BM19:BM29 BO19:BO29 BQ19:BQ29">
    <cfRule type="expression" dxfId="19" priority="352">
      <formula>AM9="S1"</formula>
    </cfRule>
  </conditionalFormatting>
  <conditionalFormatting sqref="BY6:CW6">
    <cfRule type="expression" dxfId="7" priority="353">
      <formula>BY6="C6"</formula>
    </cfRule>
  </conditionalFormatting>
  <conditionalFormatting sqref="BY6:CW6">
    <cfRule type="expression" dxfId="27" priority="354">
      <formula>BY6="TC6"</formula>
    </cfRule>
  </conditionalFormatting>
  <conditionalFormatting sqref="BY6:CW6">
    <cfRule type="expression" dxfId="27" priority="355">
      <formula>BY6="TC5"</formula>
    </cfRule>
  </conditionalFormatting>
  <conditionalFormatting sqref="BY6:CW6">
    <cfRule type="expression" dxfId="27" priority="356">
      <formula>BY6="TC4"</formula>
    </cfRule>
  </conditionalFormatting>
  <conditionalFormatting sqref="BY6:CW6">
    <cfRule type="expression" dxfId="27" priority="357">
      <formula>BY6="TC3"</formula>
    </cfRule>
  </conditionalFormatting>
  <conditionalFormatting sqref="BY6:CW6">
    <cfRule type="expression" dxfId="27" priority="358">
      <formula>BY6="TC2"</formula>
    </cfRule>
  </conditionalFormatting>
  <conditionalFormatting sqref="BY6:CW6">
    <cfRule type="expression" dxfId="27" priority="359">
      <formula>BY6="TC1"</formula>
    </cfRule>
  </conditionalFormatting>
  <conditionalFormatting sqref="BY6:CW6">
    <cfRule type="expression" dxfId="8" priority="360">
      <formula>BY6="Full"</formula>
    </cfRule>
  </conditionalFormatting>
  <conditionalFormatting sqref="BY6:CW6">
    <cfRule type="expression" dxfId="9" priority="361">
      <formula>BY6="OFF"</formula>
    </cfRule>
  </conditionalFormatting>
  <conditionalFormatting sqref="BY6:CW6">
    <cfRule type="expression" dxfId="10" priority="362">
      <formula>BY6="Gãy 2"</formula>
    </cfRule>
  </conditionalFormatting>
  <conditionalFormatting sqref="BY6:CW6">
    <cfRule type="expression" dxfId="10" priority="363">
      <formula>BY6="Gãy 1"</formula>
    </cfRule>
  </conditionalFormatting>
  <conditionalFormatting sqref="BY6:CW6">
    <cfRule type="expression" dxfId="11" priority="364">
      <formula>BY6="HC4"</formula>
    </cfRule>
  </conditionalFormatting>
  <conditionalFormatting sqref="BY6:CW6">
    <cfRule type="expression" dxfId="11" priority="365">
      <formula>BY6="HC3"</formula>
    </cfRule>
  </conditionalFormatting>
  <conditionalFormatting sqref="BY6:CW6">
    <cfRule type="expression" dxfId="11" priority="366">
      <formula>BY6="HC2"</formula>
    </cfRule>
  </conditionalFormatting>
  <conditionalFormatting sqref="BY6:CW6">
    <cfRule type="expression" dxfId="11" priority="367">
      <formula>BY6="HC1"</formula>
    </cfRule>
  </conditionalFormatting>
  <conditionalFormatting sqref="BY6:CW6">
    <cfRule type="expression" dxfId="12" priority="368">
      <formula>BY6="C5"</formula>
    </cfRule>
  </conditionalFormatting>
  <conditionalFormatting sqref="BY6:CW6">
    <cfRule type="expression" dxfId="13" priority="369">
      <formula>BY6="C4"</formula>
    </cfRule>
  </conditionalFormatting>
  <conditionalFormatting sqref="BY6:CW6">
    <cfRule type="expression" dxfId="14" priority="370">
      <formula>BY6="C3"</formula>
    </cfRule>
  </conditionalFormatting>
  <conditionalFormatting sqref="BY6:CW6">
    <cfRule type="expression" dxfId="7" priority="371">
      <formula>BY6="C2"</formula>
    </cfRule>
  </conditionalFormatting>
  <conditionalFormatting sqref="BY6:CW6">
    <cfRule type="expression" dxfId="0" priority="372">
      <formula>BY6="C1"</formula>
    </cfRule>
  </conditionalFormatting>
  <conditionalFormatting sqref="BY6:CW6">
    <cfRule type="expression" dxfId="16" priority="373">
      <formula>BY6="S4"</formula>
    </cfRule>
  </conditionalFormatting>
  <conditionalFormatting sqref="BY6:CW6">
    <cfRule type="expression" dxfId="17" priority="374">
      <formula>BY6="S3"</formula>
    </cfRule>
  </conditionalFormatting>
  <conditionalFormatting sqref="BY6:CW6">
    <cfRule type="expression" dxfId="18" priority="375">
      <formula>BY6="S2"</formula>
    </cfRule>
  </conditionalFormatting>
  <conditionalFormatting sqref="BY6:CW6">
    <cfRule type="expression" dxfId="19" priority="376">
      <formula>BY6="S1"</formula>
    </cfRule>
  </conditionalFormatting>
  <conditionalFormatting sqref="CY6:DD6">
    <cfRule type="expression" dxfId="2" priority="377">
      <formula>CY6="BigNĐ"</formula>
    </cfRule>
  </conditionalFormatting>
  <conditionalFormatting sqref="CY6:DD6">
    <cfRule type="expression" dxfId="2" priority="378">
      <formula>CY6="GaNĐ"</formula>
    </cfRule>
  </conditionalFormatting>
  <conditionalFormatting sqref="CY6:DD6">
    <cfRule type="expression" dxfId="28" priority="379">
      <formula>CY6="NBAI"</formula>
    </cfRule>
  </conditionalFormatting>
  <conditionalFormatting sqref="CY6:DD6">
    <cfRule type="expression" dxfId="4" priority="380">
      <formula>CY6="PTYB"</formula>
    </cfRule>
  </conditionalFormatting>
  <conditionalFormatting sqref="CY6:DD6">
    <cfRule type="expression" dxfId="1" priority="381">
      <formula>CY6="YB"</formula>
    </cfRule>
  </conditionalFormatting>
  <conditionalFormatting sqref="CY6:DD6">
    <cfRule type="expression" dxfId="5" priority="382">
      <formula>CY6="PT"</formula>
    </cfRule>
  </conditionalFormatting>
  <conditionalFormatting sqref="CY6:DD6">
    <cfRule type="expression" dxfId="6" priority="383">
      <formula>CY6="VT"</formula>
    </cfRule>
  </conditionalFormatting>
  <conditionalFormatting sqref="CY6:DD6">
    <cfRule type="expression" dxfId="1" priority="384">
      <formula>CY6="NB"</formula>
    </cfRule>
  </conditionalFormatting>
  <conditionalFormatting sqref="CY6:DD6">
    <cfRule type="expression" dxfId="5" priority="385">
      <formula>CY6="TB"</formula>
    </cfRule>
  </conditionalFormatting>
  <conditionalFormatting sqref="CY6:DD6">
    <cfRule type="expression" dxfId="6" priority="386">
      <formula>CY6="NĐ"</formula>
    </cfRule>
  </conditionalFormatting>
  <conditionalFormatting sqref="E7:E17 G7:G17 I7:I17 L7:V17 X7:X17 AA7:AK17 AM7:AM17 AP7:AZ17 BB7:BB17 BE7:BQ17 F9 F11:F12 H11 J11 W11 Y11 AL11:AL17 AN11:AN17 BA11:BA17 BC11:BC17 E19:J29 L19:Y29 AA19:AN29 AP19:BC29 BE19:BR29">
    <cfRule type="expression" dxfId="7" priority="387">
      <formula>E7="C6"</formula>
    </cfRule>
  </conditionalFormatting>
  <conditionalFormatting sqref="E7:E17 G7:G17 I7:I17 L7:V17 X7:X17 AA7:AK17 AM7:AM17 AP7:AZ17 BB7:BB17 BE7:BQ17 F9 F11:F12 H11 J11 W11 Y11 AL11:AL17 AN11:AN17 BA11:BA17 BC11:BC17 E19:J29 L19:Y29 AA19:AN29 AP19:BC29 BE19:BR29">
    <cfRule type="expression" dxfId="27" priority="388">
      <formula>E7="TC6"</formula>
    </cfRule>
  </conditionalFormatting>
  <conditionalFormatting sqref="E7:E17 G7:G17 I7:I17 L7:V17 X7:X17 AA7:AK17 AM7:AM17 AP7:AZ17 BB7:BB17 BE7:BQ17 F9 F11:F12 H11 J11 W11 Y11 AL11:AL17 AN11:AN17 BA11:BA17 BC11:BC17 E19:J29 L19:Y29 AA19:AN29 AP19:BC29 BE19:BR29">
    <cfRule type="expression" dxfId="27" priority="389">
      <formula>E7="TC5"</formula>
    </cfRule>
  </conditionalFormatting>
  <conditionalFormatting sqref="E7:E17 G7:G17 I7:I17 L7:V17 X7:X17 AA7:AK17 AM7:AM17 AP7:AZ17 BB7:BB17 BE7:BQ17 F9 F11:F12 H11 J11 W11 Y11 AL11:AL17 AN11:AN17 BA11:BA17 BC11:BC17 E19:J29 L19:Y29 AA19:AN29 AP19:BC29 BE19:BR29">
    <cfRule type="expression" dxfId="27" priority="390">
      <formula>E7="TC4"</formula>
    </cfRule>
  </conditionalFormatting>
  <conditionalFormatting sqref="E7:E17 G7:G17 I7:I17 L7:V17 X7:X17 AA7:AK17 AM7:AM17 AP7:AZ17 BB7:BB17 BE7:BQ17 F9 F11:F12 H11 J11 W11 Y11 AL11:AL17 AN11:AN17 BA11:BA17 BC11:BC17 E19:J29 L19:Y29 AA19:AN29 AP19:BC29 BE19:BR29">
    <cfRule type="expression" dxfId="27" priority="391">
      <formula>E7="TC3"</formula>
    </cfRule>
  </conditionalFormatting>
  <conditionalFormatting sqref="E7:E17 G7:G17 I7:I17 L7:V17 X7:X17 AA7:AK17 AM7:AM17 AP7:AZ17 BB7:BB17 BE7:BQ17 F9 F11:F12 H11 J11 W11 Y11 AL11:AL17 AN11:AN17 BA11:BA17 BC11:BC17 E19:J29 L19:Y29 AA19:AN29 AP19:BC29 BE19:BR29">
    <cfRule type="expression" dxfId="27" priority="392">
      <formula>E7="TC2"</formula>
    </cfRule>
  </conditionalFormatting>
  <conditionalFormatting sqref="E7:E17 G7:G17 I7:I17 L7:V17 X7:X17 AA7:AK17 AM7:AM17 AP7:AZ17 BB7:BB17 BE7:BQ17 F9 F11:F12 H11 J11 W11 Y11 AL11:AL17 AN11:AN17 BA11:BA17 BC11:BC17 E19:J29 L19:Y29 AA19:AN29 AP19:BC29 BE19:BR29">
    <cfRule type="expression" dxfId="27" priority="393">
      <formula>E7="TC1"</formula>
    </cfRule>
  </conditionalFormatting>
  <conditionalFormatting sqref="E7:E17 G7:G17 I7:I17 L7:V17 X7:X17 AA7:AK17 AM7:AM17 AP7:AZ17 BB7:BB17 BE7:BQ17 F9 F11:F12 H11 J11 W11 Y11 AL11:AL17 AN11:AN17 BA11:BA17 BC11:BC17 E19:J29 L19:Y29 AA19:AN29 AP19:BC29 BE19:BR29">
    <cfRule type="expression" dxfId="8" priority="394">
      <formula>E7="Full"</formula>
    </cfRule>
  </conditionalFormatting>
  <conditionalFormatting sqref="E7:E17 G7:G17 I7:I17 L7:V17 X7:X17 AA7:AK17 AM7:AM17 AP7:AZ17 BB7:BB17 BE7:BQ17 F9 F11:F12 H11 J11 W11 Y11 AL11:AL17 AN11:AN17 BA11:BA17 BC11:BC17 E19:J29 L19:Y29 AA19:AN29 AP19:BC29 BE19:BR29">
    <cfRule type="expression" dxfId="9" priority="395">
      <formula>E7="OFF"</formula>
    </cfRule>
  </conditionalFormatting>
  <conditionalFormatting sqref="E7:E17 G7:G17 I7:I17 L7:V17 X7:X17 AA7:AK17 AM7:AM17 AP7:AZ17 BB7:BB17 BE7:BQ17 F9 F11:F12 H11 J11 W11 Y11 AL11:AL17 AN11:AN17 BA11:BA17 BC11:BC17 E19:J29 L19:Y29 AA19:AN29 AP19:BC29 BE19:BR29">
    <cfRule type="expression" dxfId="10" priority="396">
      <formula>E7="Gãy 2"</formula>
    </cfRule>
  </conditionalFormatting>
  <conditionalFormatting sqref="E7:E17 G7:G17 I7:I17 L7:V17 X7:X17 AA7:AK17 AM7:AM17 AP7:AZ17 BB7:BB17 BE7:BQ17 F9 F11:F12 H11 J11 W11 Y11 AL11:AL17 AN11:AN17 BA11:BA17 BC11:BC17 E19:J29 L19:Y29 AA19:AN29 AP19:BC29 BE19:BR29">
    <cfRule type="expression" dxfId="10" priority="397">
      <formula>E7="Gãy 1"</formula>
    </cfRule>
  </conditionalFormatting>
  <conditionalFormatting sqref="E7:E17 G7:G17 I7:I17 L7:V17 X7:X17 AA7:AK17 AM7:AM17 AP7:AZ17 BB7:BB17 BE7:BQ17 F9 F11:F12 H11 J11 W11 Y11 AL11:AL17 AN11:AN17 BA11:BA17 BC11:BC17 E19:J29 L19:Y29 AA19:AN29 AP19:BC29 BE19:BR29">
    <cfRule type="expression" dxfId="11" priority="398">
      <formula>E7="HC4"</formula>
    </cfRule>
  </conditionalFormatting>
  <conditionalFormatting sqref="E7:E17 G7:G17 I7:I17 L7:V17 X7:X17 AA7:AK17 AM7:AM17 AP7:AZ17 BB7:BB17 BE7:BQ17 F9 F11:F12 H11 J11 W11 Y11 AL11:AL17 AN11:AN17 BA11:BA17 BC11:BC17 E19:J29 L19:Y29 AA19:AN29 AP19:BC29 BE19:BR29">
    <cfRule type="expression" dxfId="11" priority="399">
      <formula>E7="HC3"</formula>
    </cfRule>
  </conditionalFormatting>
  <conditionalFormatting sqref="E7:E17 G7:G17 I7:I17 L7:V17 X7:X17 AA7:AK17 AM7:AM17 AP7:AZ17 BB7:BB17 BE7:BQ17 F9 F11:F12 H11 J11 W11 Y11 AL11:AL17 AN11:AN17 BA11:BA17 BC11:BC17 E19:J29 L19:Y29 AA19:AN29 AP19:BC29 BE19:BR29">
    <cfRule type="expression" dxfId="11" priority="400">
      <formula>E7="HC2"</formula>
    </cfRule>
  </conditionalFormatting>
  <conditionalFormatting sqref="E7:E17 G7:G17 I7:I17 L7:V17 X7:X17 AA7:AK17 AM7:AM17 AP7:AZ17 BB7:BB17 BE7:BQ17 F9 F11:F12 H11 J11 W11 Y11 AL11:AL17 AN11:AN17 BA11:BA17 BC11:BC17 E19:J29 L19:Y29 AA19:AN29 AP19:BC29 BE19:BR29">
    <cfRule type="expression" dxfId="11" priority="401">
      <formula>E7="HC1"</formula>
    </cfRule>
  </conditionalFormatting>
  <conditionalFormatting sqref="E7:E17 G7:G17 I7:I17 L7:V17 X7:X17 AA7:AK17 AM7:AM17 AP7:AZ17 BB7:BB17 BE7:BQ17 F9 F11:F12 H11 J11 W11 Y11 AL11:AL17 AN11:AN17 BA11:BA17 BC11:BC17 E19:J29 L19:Y29 AA19:AN29 AP19:BC29 BE19:BR29">
    <cfRule type="expression" dxfId="12" priority="402">
      <formula>E7="C5"</formula>
    </cfRule>
  </conditionalFormatting>
  <conditionalFormatting sqref="E7:E17 G7:G17 I7:I17 L7:V17 X7:X17 AA7:AK17 AM7:AM17 AP7:AZ17 BB7:BB17 BE7:BQ17 F9 F11:F12 H11 J11 W11 Y11 AL11:AL17 AN11:AN17 BA11:BA17 BC11:BC17 E19:J29 L19:Y29 AA19:AN29 AP19:BC29 BE19:BR29">
    <cfRule type="expression" dxfId="13" priority="403">
      <formula>E7="C4"</formula>
    </cfRule>
  </conditionalFormatting>
  <conditionalFormatting sqref="E7:E17 G7:G17 I7:I17 L7:V17 X7:X17 AA7:AK17 AM7:AM17 AP7:AZ17 BB7:BB17 BE7:BQ17 F9 F11:F12 H11 J11 W11 Y11 AL11:AL17 AN11:AN17 BA11:BA17 BC11:BC17 E19:J29 L19:Y29 AA19:AN29 AP19:BC29 BE19:BR29">
    <cfRule type="expression" dxfId="14" priority="404">
      <formula>E7="C3"</formula>
    </cfRule>
  </conditionalFormatting>
  <conditionalFormatting sqref="E7:E17 G7:G17 I7:I17 L7:V17 X7:X17 AA7:AK17 AM7:AM17 AP7:AZ17 BB7:BB17 BE7:BQ17 F9 F11:F12 H11 J11 W11 Y11 AL11:AL17 AN11:AN17 BA11:BA17 BC11:BC17 E19:J29 L19:Y29 AA19:AN29 AP19:BC29 BE19:BR29">
    <cfRule type="expression" dxfId="7" priority="405">
      <formula>E7="C2"</formula>
    </cfRule>
  </conditionalFormatting>
  <conditionalFormatting sqref="E7:E17 G7:G17 I7:I17 L7:V17 X7:X17 AA7:AK17 AM7:AM17 AP7:AZ17 BB7:BB17 BE7:BQ17 F9 F11:F12 H11 J11 W11 Y11 AL11:AL17 AN11:AN17 BA11:BA17 BC11:BC17 E19:J29 L19:Y29 AA19:AN29 AP19:BC29 BE19:BR29">
    <cfRule type="expression" dxfId="0" priority="406">
      <formula>E7="C1"</formula>
    </cfRule>
  </conditionalFormatting>
  <conditionalFormatting sqref="E7:E17 G7:G17 I7:I17 L7:V17 X7:X17 AA7:AK17 AM7:AM17 AP7:AZ17 BB7:BB17 BE7:BQ17 F9 F11:F12 H11 J11 W11 Y11 AL11:AL17 AN11:AN17 BA11:BA17 BC11:BC17 E19:J29 L19:Y29 AA19:AN29 AP19:BC29 BE19:BR29">
    <cfRule type="expression" dxfId="16" priority="407">
      <formula>E7="S4"</formula>
    </cfRule>
  </conditionalFormatting>
  <conditionalFormatting sqref="E7:E17 G7:G17 I7:I17 L7:V17 X7:X17 AA7:AK17 AM7:AM17 AP7:AZ17 BB7:BB17 BE7:BQ17 F9 F11:F12 H11 J11 W11 Y11 AL11:AL17 AN11:AN17 BA11:BA17 BC11:BC17 E19:J29 L19:Y29 AA19:AN29 AP19:BC29 BE19:BR29">
    <cfRule type="expression" dxfId="17" priority="408">
      <formula>E7="S3"</formula>
    </cfRule>
  </conditionalFormatting>
  <conditionalFormatting sqref="E7:E17 G7:G17 I7:I17 L7:V17 X7:X17 AA7:AK17 AM7:AM17 AP7:AZ17 BB7:BB17 BE7:BQ17 F9 F11:F12 H11 J11 W11 Y11 AL11:AL17 AN11:AN17 BA11:BA17 BC11:BC17 E19:J29 L19:Y29 AA19:AN29 AP19:BC29 BE19:BR29">
    <cfRule type="expression" dxfId="18" priority="409">
      <formula>E7="S2"</formula>
    </cfRule>
  </conditionalFormatting>
  <conditionalFormatting sqref="E7:E17 G7:G17 I7:I17 L7:V17 X7:X17 AA7:AK17 AM7:AM17 AP7:AZ17 BB7:BB17 BE7:BQ17 F9 F11:F12 H11 J11 W11 Y11 AL11:AL17 AN11:AN17 BA11:BA17 BC11:BC17 E19:J29 L19:Y29 AA19:AN29 AP19:BC29 BE19:BR29">
    <cfRule type="expression" dxfId="19" priority="410">
      <formula>E7="S1"</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 priority="411">
      <formula>L7="C6"</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27" priority="412">
      <formula>L7="TC6"</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27" priority="413">
      <formula>L7="TC5"</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27" priority="414">
      <formula>L7="TC4"</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27" priority="415">
      <formula>L7="TC3"</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27" priority="416">
      <formula>L7="TC2"</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27" priority="417">
      <formula>L7="TC1"</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8" priority="418">
      <formula>L7="Full"</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9" priority="419">
      <formula>L7="OFF"</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0" priority="420">
      <formula>L7="Gãy 2"</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0" priority="421">
      <formula>L7="Gãy 1"</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1" priority="422">
      <formula>L7="HC4"</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1" priority="423">
      <formula>L7="HC3"</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1" priority="424">
      <formula>L7="HC2"</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1" priority="425">
      <formula>L7="HC1"</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2" priority="426">
      <formula>L7="C5"</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3" priority="427">
      <formula>L7="C4"</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4" priority="428">
      <formula>L7="C3"</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7" priority="429">
      <formula>L7="C2"</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0" priority="430">
      <formula>L7="C1"</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6" priority="431">
      <formula>L7="S4"</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7" priority="432">
      <formula>L7="S3"</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8" priority="433">
      <formula>L7="S2"</formula>
    </cfRule>
  </conditionalFormatting>
  <conditionalFormatting sqref="L7:V17 X7:X17 AA7:AK17 AM7:AM17 AP7:AZ17 BB7:BB17 BE7:BQ17 F9 E11 F11:F12 G11:J11 W11 Y11 AL11:AL17 AN11:AN17 BA11:BA17 BC11:BC17 E14:E17 E19:E29 F19:F28 G19:G29 H19:H28 I19:I29 J19:J28 L19:Y29 AA19:AN29 AP19:BC29 BE19:BR29">
    <cfRule type="expression" dxfId="19" priority="434">
      <formula>L7="S1"</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 priority="435">
      <formula>E7="C6"</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27" priority="436">
      <formula>E7="TC6"</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27" priority="437">
      <formula>E7="TC5"</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27" priority="438">
      <formula>E7="TC4"</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27" priority="439">
      <formula>E7="TC3"</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27" priority="440">
      <formula>E7="TC2"</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27" priority="441">
      <formula>E7="TC1"</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8" priority="442">
      <formula>E7="Full"</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9" priority="443">
      <formula>E7="OFF"</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0" priority="444">
      <formula>E7="Gãy 2"</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0" priority="445">
      <formula>E7="Gãy 1"</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1" priority="446">
      <formula>E7="HC4"</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1" priority="447">
      <formula>E7="HC3"</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1" priority="448">
      <formula>E7="HC2"</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1" priority="449">
      <formula>E7="HC1"</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2" priority="450">
      <formula>E7="C5"</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3" priority="451">
      <formula>E7="C4"</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4" priority="452">
      <formula>E7="C3"</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7" priority="453">
      <formula>E7="C2"</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0" priority="454">
      <formula>E7="C1"</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6" priority="455">
      <formula>E7="S4"</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7" priority="456">
      <formula>E7="S3"</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8" priority="457">
      <formula>E7="S2"</formula>
    </cfRule>
  </conditionalFormatting>
  <conditionalFormatting sqref="E7:E17 G7:G17 I7:I17 L7:L17 N7:N17 P7:P17 R7:R17 T7:T17 V7:V17 X7:X17 AA7:AA17 AC7:AC17 AE7:AE17 AG7:AG17 AI7:AK17 AM7:AM17 AP7:AP17 AR7:AR17 AT7:AT17 AV7:AV17 AX7:AZ17 BB7:BB17 BE7:BE17 BG7:BG17 BI7:BI17 BK7:BK17 BM7:BO17 BQ7:BQ17 E19:J29 L19:Y29 AA19:AI29 AJ19:AJ22 AK19:AK29 AM19:AM29 AP19:AP29 AR19:AR29 AT19:AT29 AV19:AV29 AX19:BC29 BE19:BR29 AQ22 AQ27:AQ28 AS27:AS28 AU27:AU28 AW27:AW28">
    <cfRule type="expression" dxfId="19" priority="458">
      <formula>E7="S1"</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 priority="459">
      <formula>AP12="C6"</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460">
      <formula>AP12="TC6"</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461">
      <formula>AP12="TC5"</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462">
      <formula>AP12="TC4"</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463">
      <formula>AP12="TC3"</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464">
      <formula>AP12="TC2"</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27" priority="465">
      <formula>AP12="TC1"</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8" priority="466">
      <formula>AP12="Full"</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9" priority="467">
      <formula>AP12="OFF"</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0" priority="468">
      <formula>AP12="Gãy 2"</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0" priority="469">
      <formula>AP12="Gãy 1"</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1" priority="470">
      <formula>AP12="HC4"</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1" priority="471">
      <formula>AP12="HC3"</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1" priority="472">
      <formula>AP12="HC2"</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1" priority="473">
      <formula>AP12="HC1"</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2" priority="474">
      <formula>AP12="C5"</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3" priority="475">
      <formula>AP12="C4"</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4" priority="476">
      <formula>AP12="C3"</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7" priority="477">
      <formula>AP12="C2"</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0" priority="478">
      <formula>AP12="C1"</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6" priority="479">
      <formula>AP12="S4"</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7" priority="480">
      <formula>AP12="S3"</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8" priority="481">
      <formula>AP12="S2"</formula>
    </cfRule>
  </conditionalFormatting>
  <conditionalFormatting sqref="AP12 AR12 BE12 BG12 BI12 BK12 BM12 BO12 BQ12 AP14:AP16 AR14:AR16 E19:E29 G19:G29 I19:I29 L19:L29 N19:N29 P19:P29 R19:R29 T19:T29 V19:V29 X19:X29 AA19:AA29 AC19:AC29 AE19:AE29 AG19:AG29 AI19:AI29 AK19:AK29 AM19:AM29 AP19:AP29 AR19:AR29 AT19:AT29 AV19:AV29 AX19:AX29 AZ19:AZ29 BB19:BB29 BE19:BE29 BG19:BG29 BI19:BI29 BK19:BK29 BM19:BM29 BO19:BO29 BQ19:BQ29">
    <cfRule type="expression" dxfId="19" priority="482">
      <formula>AP12="S1"</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 priority="483">
      <formula>V7="C6"</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27" priority="484">
      <formula>V7="TC6"</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27" priority="485">
      <formula>V7="TC5"</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27" priority="486">
      <formula>V7="TC4"</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27" priority="487">
      <formula>V7="TC3"</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27" priority="488">
      <formula>V7="TC2"</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27" priority="489">
      <formula>V7="TC1"</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8" priority="490">
      <formula>V7="Full"</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9" priority="491">
      <formula>V7="OFF"</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0" priority="492">
      <formula>V7="Gãy 2"</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0" priority="493">
      <formula>V7="Gãy 1"</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1" priority="494">
      <formula>V7="HC4"</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1" priority="495">
      <formula>V7="HC3"</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1" priority="496">
      <formula>V7="HC2"</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1" priority="497">
      <formula>V7="HC1"</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2" priority="498">
      <formula>V7="C5"</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3" priority="499">
      <formula>V7="C4"</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4" priority="500">
      <formula>V7="C3"</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7" priority="501">
      <formula>V7="C2"</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0" priority="502">
      <formula>V7="C1"</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6" priority="503">
      <formula>V7="S4"</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7" priority="504">
      <formula>V7="S3"</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8" priority="505">
      <formula>V7="S2"</formula>
    </cfRule>
  </conditionalFormatting>
  <conditionalFormatting sqref="V7:V17 X7:X17 AA7:AA17 AC7:AC17 AE7:AE17 AG7:AG17 AI7:AK17 AM7:AM17 AP7:AP17 AR7:AR17 AT7:AT17 AV7:AV17 AX7:AZ17 BB7:BB17 BE7:BE17 BG7:BG17 BI7:BI17 BK7:BK17 BM7:BO17 BQ7:BQ17 T11 E19:J28 L19:S28 T19:Y29 AA19:AI29 AJ19:AJ22 AK19:AK29 AM19:AM29 AP19:AP29 AR19:AR29 AT19:AT29 AV19:AV29 AX19:BC29 BE19:BR29 AQ22 AQ27:AQ28 AS27:AS28 AU27:AU28 AW27:AW28">
    <cfRule type="expression" dxfId="19" priority="506">
      <formula>V7="S1"</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 priority="507">
      <formula>AP12="C6"</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27" priority="508">
      <formula>AP12="TC6"</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27" priority="509">
      <formula>AP12="TC5"</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27" priority="510">
      <formula>AP12="TC4"</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27" priority="511">
      <formula>AP12="TC3"</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27" priority="512">
      <formula>AP12="TC2"</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27" priority="513">
      <formula>AP12="TC1"</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8" priority="514">
      <formula>AP12="Full"</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9" priority="515">
      <formula>AP12="OFF"</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0" priority="516">
      <formula>AP12="Gãy 2"</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0" priority="517">
      <formula>AP12="Gãy 1"</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1" priority="518">
      <formula>AP12="HC4"</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1" priority="519">
      <formula>AP12="HC3"</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1" priority="520">
      <formula>AP12="HC2"</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1" priority="521">
      <formula>AP12="HC1"</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2" priority="522">
      <formula>AP12="C5"</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3" priority="523">
      <formula>AP12="C4"</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4" priority="524">
      <formula>AP12="C3"</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7" priority="525">
      <formula>AP12="C2"</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0" priority="526">
      <formula>AP12="C1"</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6" priority="527">
      <formula>AP12="S4"</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7" priority="528">
      <formula>AP12="S3"</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8" priority="529">
      <formula>AP12="S2"</formula>
    </cfRule>
  </conditionalFormatting>
  <conditionalFormatting sqref="AP12 AR12 BE12 BG12 BI12 BK12 BM12 BO12 BQ12 AP14:AP16 AR14:AR16 G19:G28 I19:I28 L19:L28 N19:N28 P19:P28 R19:R28 T19:T28 V19:V29 X19:X28 AA19:AA29 AC19:AC29 AE19:AE28 AG19:AG29 AI19:AI29 AK19:AK29 AM19:AM29 AP19:AP29 AR19:AR29 AT19:AT29 AV19:AV29 AX19:AX29 AZ19:AZ29 BB19:BB29 BE19:BE29 BG19:BG29 BI19:BI29 BK19:BK29 BM19:BM29 BO19:BO29 BQ19:BQ29 E20">
    <cfRule type="expression" dxfId="19" priority="530">
      <formula>AP12="S1"</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 priority="531">
      <formula>X7="C6"</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27" priority="532">
      <formula>X7="TC6"</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27" priority="533">
      <formula>X7="TC5"</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27" priority="534">
      <formula>X7="TC4"</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27" priority="535">
      <formula>X7="TC3"</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27" priority="536">
      <formula>X7="TC2"</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27" priority="537">
      <formula>X7="TC1"</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8" priority="538">
      <formula>X7="Full"</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9" priority="539">
      <formula>X7="OFF"</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0" priority="540">
      <formula>X7="Gãy 2"</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0" priority="541">
      <formula>X7="Gãy 1"</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1" priority="542">
      <formula>X7="HC4"</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1" priority="543">
      <formula>X7="HC3"</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1" priority="544">
      <formula>X7="HC2"</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1" priority="545">
      <formula>X7="HC1"</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2" priority="546">
      <formula>X7="C5"</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3" priority="547">
      <formula>X7="C4"</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4" priority="548">
      <formula>X7="C3"</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7" priority="549">
      <formula>X7="C2"</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0" priority="550">
      <formula>X7="C1"</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6" priority="551">
      <formula>X7="S4"</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7" priority="552">
      <formula>X7="S3"</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8" priority="553">
      <formula>X7="S2"</formula>
    </cfRule>
  </conditionalFormatting>
  <conditionalFormatting sqref="X7:X17 AJ7:AK17 AM7:AM17 AP7:AP17 AY7:AZ17 BB7:BB17 BE7 BI7:BI8 BN7:BO17 BQ7:BQ17 BE10:BE17 T11 AC11 AI11 AR11:AR17 AX11 BG11:BG17 BI11:BI17 BK11:BK17 BM11:BM17 AA12 AE12:AE13 AT12:AT17 V13 AG13 AI13 AV13 AX13 E19:J28 L19:S28 T19:Y29 AA19:AH29 AI19:AI28 AJ19:AJ22 AK19:AK28 AM19:AM28 AP19:AP28 AR19:AR28 AT19:AT28 AV19:AV28 AX19:AX28 AZ19:AZ28 BB19:BB28 BE19:BE28 BG19:BG28 BI19:BI28 BK19:BK28 BM19:BM28 BO19:BO28 BQ19:BQ28 AQ22 AQ27:AQ28 AS27:AS28 AU27:AU28 AW27:AW28 BF27:BF28 BH27:BH28 BJ27:BJ28 BL27:BL28">
    <cfRule type="expression" dxfId="19" priority="554">
      <formula>X7="S1"</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7" priority="555">
      <formula>AP12="C6"</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27" priority="556">
      <formula>AP12="TC6"</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27" priority="557">
      <formula>AP12="TC5"</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27" priority="558">
      <formula>AP12="TC4"</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27" priority="559">
      <formula>AP12="TC3"</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27" priority="560">
      <formula>AP12="TC2"</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27" priority="561">
      <formula>AP12="TC1"</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8" priority="562">
      <formula>AP12="Full"</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9" priority="563">
      <formula>AP12="OFF"</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0" priority="564">
      <formula>AP12="Gãy 2"</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0" priority="565">
      <formula>AP12="Gãy 1"</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1" priority="566">
      <formula>AP12="HC4"</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1" priority="567">
      <formula>AP12="HC3"</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1" priority="568">
      <formula>AP12="HC2"</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1" priority="569">
      <formula>AP12="HC1"</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2" priority="570">
      <formula>AP12="C5"</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3" priority="571">
      <formula>AP12="C4"</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4" priority="572">
      <formula>AP12="C3"</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7" priority="573">
      <formula>AP12="C2"</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0" priority="574">
      <formula>AP12="C1"</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6" priority="575">
      <formula>AP12="S4"</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7" priority="576">
      <formula>AP12="S3"</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8" priority="577">
      <formula>AP12="S2"</formula>
    </cfRule>
  </conditionalFormatting>
  <conditionalFormatting sqref="AP12 AR12 BE12 BG12 BI12 BK12 BM12 BO12 BQ12 AP14:AP16 AR14:AR16 I19:I28 L19:L28 N19:N28 P19:P28 R19:R28 T19:T28 V19:V28 X19:X29 AA19:AA28 AC19:AC28 AE19:AE28 AG19:AG28 AI19:AI28 AK19:AK28 AM19:AM28 AP19:AP28 AR19:AR28 AT19:AT28 AV19:AV28 AX19:AX28 AZ19:AZ28 BB19:BB28 BE19:BE28 BG19:BG28 BI19:BI28 BK19:BK28 BM19:BM28 BO19:BO28 BQ19:BQ28 G21:G28">
    <cfRule type="expression" dxfId="19" priority="578">
      <formula>AP12="S1"</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7" priority="579">
      <formula>AA7="C6"</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27" priority="580">
      <formula>AA7="TC6"</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27" priority="581">
      <formula>AA7="TC5"</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27" priority="582">
      <formula>AA7="TC4"</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27" priority="583">
      <formula>AA7="TC3"</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27" priority="584">
      <formula>AA7="TC2"</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27" priority="585">
      <formula>AA7="TC1"</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8" priority="586">
      <formula>AA7="Full"</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9" priority="587">
      <formula>AA7="OFF"</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0" priority="588">
      <formula>AA7="Gãy 2"</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0" priority="589">
      <formula>AA7="Gãy 1"</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1" priority="590">
      <formula>AA7="HC4"</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1" priority="591">
      <formula>AA7="HC3"</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1" priority="592">
      <formula>AA7="HC2"</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1" priority="593">
      <formula>AA7="HC1"</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2" priority="594">
      <formula>AA7="C5"</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3" priority="595">
      <formula>AA7="C4"</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4" priority="596">
      <formula>AA7="C3"</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7" priority="597">
      <formula>AA7="C2"</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0" priority="598">
      <formula>AA7="C1"</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6" priority="599">
      <formula>AA7="S4"</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7" priority="600">
      <formula>AA7="S3"</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8" priority="601">
      <formula>AA7="S2"</formula>
    </cfRule>
  </conditionalFormatting>
  <conditionalFormatting sqref="AA7:AA17 AC7:AC17 AP7:AP17 AR7:AR17 BE7:BE17 BG7:BG17 BI7:BI17 BK7:BK17 BM7:BM17 BO7:BO17 BQ7:BQ17 AE8:AE17 AG8:AG17 AI8:AI17 AK8:AK17 AM8:AM17 AT8:AT17 AV8:AV17 AX8:AX17 AZ8:AZ17 BB8:BB17 X9 X12 L19:L28 N19:N28 P19:P28 R19:R28 T19:T28 V19:V28 X19:X28 AA19:AA29 AC19:AC29 AE19:AE29 AG19:AG29 AI19:AI29 AK19:AK29 AM19:AM29 AP19:AP29 AR19:AR29 AT19:AT29 AV19:AV28 AX19:BC29 BE19:BR29 I23:I28">
    <cfRule type="expression" dxfId="19" priority="602">
      <formula>AA7="S1"</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7" priority="603">
      <formula>AP12="C6"</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27" priority="604">
      <formula>AP12="TC6"</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27" priority="605">
      <formula>AP12="TC5"</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27" priority="606">
      <formula>AP12="TC4"</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27" priority="607">
      <formula>AP12="TC3"</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27" priority="608">
      <formula>AP12="TC2"</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27" priority="609">
      <formula>AP12="TC1"</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8" priority="610">
      <formula>AP12="Full"</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9" priority="611">
      <formula>AP12="OFF"</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0" priority="612">
      <formula>AP12="Gãy 2"</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0" priority="613">
      <formula>AP12="Gãy 1"</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1" priority="614">
      <formula>AP12="HC4"</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1" priority="615">
      <formula>AP12="HC3"</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1" priority="616">
      <formula>AP12="HC2"</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1" priority="617">
      <formula>AP12="HC1"</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2" priority="618">
      <formula>AP12="C5"</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3" priority="619">
      <formula>AP12="C4"</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4" priority="620">
      <formula>AP12="C3"</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7" priority="621">
      <formula>AP12="C2"</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0" priority="622">
      <formula>AP12="C1"</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6" priority="623">
      <formula>AP12="S4"</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7" priority="624">
      <formula>AP12="S3"</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8" priority="625">
      <formula>AP12="S2"</formula>
    </cfRule>
  </conditionalFormatting>
  <conditionalFormatting sqref="AP12 AR12 BE12 BG12 BI12 BK12 BM12 BO12 BQ12 AP14:AP16 AR14:AR16 L19:L28 N19:N28 P19:P28 R19:R28 T19:T28 V19:V28 X19:X28 AA19:AA29 AC19:AC28 AE19:AE28 AG19:AG28 AI19:AI28 AK19:AK28 AM19:AM28 AP19:AP28 AR19:AR28 AT19:AT28 AV19:AV28 AX19:AX28 AZ19:AZ28 BB19:BB28 BE19:BE28 BG19:BG28 BI19:BI28 BK19:BK28 BM19:BM28 BO19:BO28 BQ19:BQ28 I20">
    <cfRule type="expression" dxfId="19" priority="626">
      <formula>AP12="S1"</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7" priority="627">
      <formula>AC7="C6"</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27" priority="628">
      <formula>AC7="TC6"</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27" priority="629">
      <formula>AC7="TC5"</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27" priority="630">
      <formula>AC7="TC4"</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27" priority="631">
      <formula>AC7="TC3"</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27" priority="632">
      <formula>AC7="TC2"</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27" priority="633">
      <formula>AC7="TC1"</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8" priority="634">
      <formula>AC7="Full"</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9" priority="635">
      <formula>AC7="OFF"</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0" priority="636">
      <formula>AC7="Gãy 2"</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0" priority="637">
      <formula>AC7="Gãy 1"</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1" priority="638">
      <formula>AC7="HC4"</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1" priority="639">
      <formula>AC7="HC3"</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1" priority="640">
      <formula>AC7="HC2"</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1" priority="641">
      <formula>AC7="HC1"</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2" priority="642">
      <formula>AC7="C5"</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3" priority="643">
      <formula>AC7="C4"</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4" priority="644">
      <formula>AC7="C3"</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7" priority="645">
      <formula>AC7="C2"</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0" priority="646">
      <formula>AC7="C1"</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6" priority="647">
      <formula>AC7="S4"</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7" priority="648">
      <formula>AC7="S3"</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8" priority="649">
      <formula>AC7="S2"</formula>
    </cfRule>
  </conditionalFormatting>
  <conditionalFormatting sqref="AC7:AC17 AE7:AE17 AR7:AR17 AT7:AT17 BG7:BG17 BI7:BI17 BK7:BK17 BM7:BM17 BO7:BO17 BQ7:BQ17 X9 AM9 BB9 AP11:AP16 BE11:BE17 X12 AA12 AM12:AM16 BB12:BB17 AG13 AI13 AV13 AX13 N19:N28 P19:P28 R19:R28 T19:T28 V19:V28 X19:X28 AA19:AA28 AC19:AC29 AE19:AE28 AG19:AG28 AI19:AI28 AK19:AK28 AM19:AM28 AP19:AP28 AR19:AR28 AT19:AT28 AV19:AV28 AX19:AX28 AZ19:AZ28 BB19:BB28 BE19:BE28 BG19:BG28 BI19:BI28 BK19:BK28 BM19:BM28 BO19:BO28 BQ19:BQ28 I23:I28 L23:L28">
    <cfRule type="expression" dxfId="19" priority="650">
      <formula>AC7="S1"</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7" priority="651">
      <formula>AM9="C6"</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27" priority="652">
      <formula>AM9="TC6"</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27" priority="653">
      <formula>AM9="TC5"</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27" priority="654">
      <formula>AM9="TC4"</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27" priority="655">
      <formula>AM9="TC3"</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27" priority="656">
      <formula>AM9="TC2"</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27" priority="657">
      <formula>AM9="TC1"</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8" priority="658">
      <formula>AM9="Full"</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9" priority="659">
      <formula>AM9="OFF"</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0" priority="660">
      <formula>AM9="Gãy 2"</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0" priority="661">
      <formula>AM9="Gãy 1"</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1" priority="662">
      <formula>AM9="HC4"</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1" priority="663">
      <formula>AM9="HC3"</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1" priority="664">
      <formula>AM9="HC2"</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1" priority="665">
      <formula>AM9="HC1"</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2" priority="666">
      <formula>AM9="C5"</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3" priority="667">
      <formula>AM9="C4"</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4" priority="668">
      <formula>AM9="C3"</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7" priority="669">
      <formula>AM9="C2"</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0" priority="670">
      <formula>AM9="C1"</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6" priority="671">
      <formula>AM9="S4"</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7" priority="672">
      <formula>AM9="S3"</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8" priority="673">
      <formula>AM9="S2"</formula>
    </cfRule>
  </conditionalFormatting>
  <conditionalFormatting sqref="AM9 BB9 BQ9 AE11 AG11 AI11 AK11 AM11 AP11:AP12 AR11:AR12 AT11 AV11 AX11 AZ11 BB11 BE11:BE12 BG11:BG12 BI11:BI12 BK11:BK12 BM11:BM12 BO11:BO12 BQ11:BQ12 AP14:AP16 AR14:AR16 N19:N28 P19:P28 R19:R28 T19:T28 V19:V28 X19:X28 AA19:AA28 AC19:AC29 AE19:AE29 AG19:AG29 AI19:AI29 AK19:AK29 AM19:AM29 AP19:AP29 AR19:AR29 AT19:AT29 AV19:AV28 AX19:AX28 AZ19:AZ28 BB19:BB28 BE19:BE28 BG19:BG28 BI19:BI28 BK19:BK28 BM19:BM28 BO19:BO28 BQ19:BQ28 I23:I28 L23:L28">
    <cfRule type="expression" dxfId="19" priority="674">
      <formula>AM9="S1"</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7" priority="675">
      <formula>AE7="C6"</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27" priority="676">
      <formula>AE7="TC6"</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27" priority="677">
      <formula>AE7="TC5"</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27" priority="678">
      <formula>AE7="TC4"</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27" priority="679">
      <formula>AE7="TC3"</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27" priority="680">
      <formula>AE7="TC2"</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27" priority="681">
      <formula>AE7="TC1"</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8" priority="682">
      <formula>AE7="Full"</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9" priority="683">
      <formula>AE7="OFF"</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0" priority="684">
      <formula>AE7="Gãy 2"</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0" priority="685">
      <formula>AE7="Gãy 1"</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1" priority="686">
      <formula>AE7="HC4"</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1" priority="687">
      <formula>AE7="HC3"</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1" priority="688">
      <formula>AE7="HC2"</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1" priority="689">
      <formula>AE7="HC1"</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2" priority="690">
      <formula>AE7="C5"</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3" priority="691">
      <formula>AE7="C4"</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4" priority="692">
      <formula>AE7="C3"</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7" priority="693">
      <formula>AE7="C2"</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0" priority="694">
      <formula>AE7="C1"</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6" priority="695">
      <formula>AE7="S4"</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7" priority="696">
      <formula>AE7="S3"</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8" priority="697">
      <formula>AE7="S2"</formula>
    </cfRule>
  </conditionalFormatting>
  <conditionalFormatting sqref="AE7:AE17 AT7:AT17 BI7:BI17 BK7:BK17 BM7:BM17 BO7:BO17 BQ7:BQ17 AK8:AK17 AM8:AM10 AP8:AP16 AR8:AR10 AV8:AV17 AX8:AX17 AZ8:AZ17 BB8:BB10 BE8:BE17 BG8:BG10 AI9:AI10 AG10 AG12:AG17 AM12:AM17 AR12:AR16 BB12:BB17 BG12:BG17 AI13:AI17 P19:P28 R19:R28 T19:T28 V19:V28 X19:X28 AA19:AA28 AC19:AC28 AE19:AE29 AG19:AG28 AI19:AI28 AK19:AK28 AM19:AM28 AP19:AP28 AR19:AR28 AT19:AT28 AV19:AV28 AX19:BC29 BE19:BR29 N22:N28 I23:I28 L23:L28">
    <cfRule type="expression" dxfId="19" priority="698">
      <formula>AE7="S1"</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7" priority="699">
      <formula>AP12="C6"</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27" priority="700">
      <formula>AP12="TC6"</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27" priority="701">
      <formula>AP12="TC5"</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27" priority="702">
      <formula>AP12="TC4"</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27" priority="703">
      <formula>AP12="TC3"</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27" priority="704">
      <formula>AP12="TC2"</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27" priority="705">
      <formula>AP12="TC1"</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8" priority="706">
      <formula>AP12="Full"</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9" priority="707">
      <formula>AP12="OFF"</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0" priority="708">
      <formula>AP12="Gãy 2"</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0" priority="709">
      <formula>AP12="Gãy 1"</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1" priority="710">
      <formula>AP12="HC4"</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1" priority="711">
      <formula>AP12="HC3"</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1" priority="712">
      <formula>AP12="HC2"</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1" priority="713">
      <formula>AP12="HC1"</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2" priority="714">
      <formula>AP12="C5"</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3" priority="715">
      <formula>AP12="C4"</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4" priority="716">
      <formula>AP12="C3"</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7" priority="717">
      <formula>AP12="C2"</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0" priority="718">
      <formula>AP12="C1"</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6" priority="719">
      <formula>AP12="S4"</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7" priority="720">
      <formula>AP12="S3"</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8" priority="721">
      <formula>AP12="S2"</formula>
    </cfRule>
  </conditionalFormatting>
  <conditionalFormatting sqref="AP12 AR12 BE12 BG12 BI12 BK12 BM12 BO12 BQ12 AP14:AP16 AR14:AR16 P19:P28 R19:R28 T19:T28 V19:V28 X19:X28 AA19:AA28 AC19:AC28 AE19:AE29 AG19:AG28 AI19:AI28 AK19:AK28 AM19:AM28 AP19:AP28 AR19:AR28 AT19:AT28 AV19:AV29 AX19:AX29 AZ19:AZ29 BB19:BB29 BE19:BE29 BG19:BG29 BI19:BI29 BK19:BK29 BM19:BM29 BO19:BO29 BQ19:BQ29 N22:N28 I23:I28 L23:L28">
    <cfRule type="expression" dxfId="19" priority="722">
      <formula>AP12="S1"</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7" priority="723">
      <formula>R7="C6"</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27" priority="724">
      <formula>R7="TC6"</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27" priority="725">
      <formula>R7="TC5"</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27" priority="726">
      <formula>R7="TC4"</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27" priority="727">
      <formula>R7="TC3"</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27" priority="728">
      <formula>R7="TC2"</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27" priority="729">
      <formula>R7="TC1"</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8" priority="730">
      <formula>R7="Full"</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9" priority="731">
      <formula>R7="OFF"</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0" priority="732">
      <formula>R7="Gãy 2"</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0" priority="733">
      <formula>R7="Gãy 1"</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1" priority="734">
      <formula>R7="HC4"</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1" priority="735">
      <formula>R7="HC3"</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1" priority="736">
      <formula>R7="HC2"</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1" priority="737">
      <formula>R7="HC1"</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2" priority="738">
      <formula>R7="C5"</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3" priority="739">
      <formula>R7="C4"</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4" priority="740">
      <formula>R7="C3"</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7" priority="741">
      <formula>R7="C2"</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0" priority="742">
      <formula>R7="C1"</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6" priority="743">
      <formula>R7="S4"</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7" priority="744">
      <formula>R7="S3"</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8" priority="745">
      <formula>R7="S2"</formula>
    </cfRule>
  </conditionalFormatting>
  <conditionalFormatting sqref="R7:R17 AG7:AG17 AV7:AV17 BI7:BI17 BK7:BK17 BM7:BM17 BO7:BO17 BQ7:BQ17 AE8 AI8:AI17 AK8 AT8 AX8:AX17 AZ8 T9 AM9:AM17 BB9:BB17 AK10:AK17 AP10:AP17 AR10:AR17 AT10:AT17 AZ10:AZ17 BE10:BE17 BG10:BG17 AE12:AE13 R19:R29 T19:T28 V19:V28 X19:X28 AA19:AA28 AC19:AC28 AE19:AE28 AG19:AG29 AI19:AI29 AK19:AK29 AM19:AM29 AP19:AP29 AR19:AR29 AT19:AT29 AV19:AV29 AX19:BC29 BE19:BR29 N22:N28 P22:P28 I23:I28 L23:L28">
    <cfRule type="expression" dxfId="19" priority="746">
      <formula>R7="S1"</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7" priority="747">
      <formula>AP12="C6"</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748">
      <formula>AP12="TC6"</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749">
      <formula>AP12="TC5"</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750">
      <formula>AP12="TC4"</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751">
      <formula>AP12="TC3"</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752">
      <formula>AP12="TC2"</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753">
      <formula>AP12="TC1"</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8" priority="754">
      <formula>AP12="Full"</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9" priority="755">
      <formula>AP12="OFF"</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0" priority="756">
      <formula>AP12="Gãy 2"</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0" priority="757">
      <formula>AP12="Gãy 1"</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1" priority="758">
      <formula>AP12="HC4"</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1" priority="759">
      <formula>AP12="HC3"</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1" priority="760">
      <formula>AP12="HC2"</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1" priority="761">
      <formula>AP12="HC1"</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2" priority="762">
      <formula>AP12="C5"</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3" priority="763">
      <formula>AP12="C4"</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4" priority="764">
      <formula>AP12="C3"</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7" priority="765">
      <formula>AP12="C2"</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0" priority="766">
      <formula>AP12="C1"</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6" priority="767">
      <formula>AP12="S4"</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7" priority="768">
      <formula>AP12="S3"</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8" priority="769">
      <formula>AP12="S2"</formula>
    </cfRule>
  </conditionalFormatting>
  <conditionalFormatting sqref="AP12 AR12 BE12 BG12 BI12 BK12 BM12 BO12 BQ12 AP14:AP16 AR14:AR16 R19:R29 T19:T28 V19 X19:X28 AA19:AA28 AC19:AC28 AE19:AE28 AG19:AG29 AI19:AI29 AK19:AK29 AM19:AM29 AP19:AP29 AR19:AR29 AT19:AT29 AV19:AV29 AX19:AX29 AZ19:AZ29 BB19:BB29 BE19:BE29 BG19:BG29 BI19:BI29 BK19:BK29 BM19:BM29 BO19:BO29 BQ19:BQ29 V21:V28 N22:N28 P22:P28 I23:I28 L23:L28">
    <cfRule type="expression" dxfId="19" priority="770">
      <formula>AP12="S1"</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7" priority="771">
      <formula>T7="C6"</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27" priority="772">
      <formula>T7="TC6"</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27" priority="773">
      <formula>T7="TC5"</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27" priority="774">
      <formula>T7="TC4"</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27" priority="775">
      <formula>T7="TC3"</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27" priority="776">
      <formula>T7="TC2"</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27" priority="777">
      <formula>T7="TC1"</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8" priority="778">
      <formula>T7="Full"</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9" priority="779">
      <formula>T7="OFF"</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0" priority="780">
      <formula>T7="Gãy 2"</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0" priority="781">
      <formula>T7="Gãy 1"</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1" priority="782">
      <formula>T7="HC4"</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1" priority="783">
      <formula>T7="HC3"</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1" priority="784">
      <formula>T7="HC2"</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1" priority="785">
      <formula>T7="HC1"</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2" priority="786">
      <formula>T7="C5"</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3" priority="787">
      <formula>T7="C4"</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4" priority="788">
      <formula>T7="C3"</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7" priority="789">
      <formula>T7="C2"</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0" priority="790">
      <formula>T7="C1"</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6" priority="791">
      <formula>T7="S4"</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7" priority="792">
      <formula>T7="S3"</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8" priority="793">
      <formula>T7="S2"</formula>
    </cfRule>
  </conditionalFormatting>
  <conditionalFormatting sqref="T7:T17 V7:V17 X7:X17 AA7:AA17 AC7:AC17 AE7:AE17 AG7:AG17 AI7:AK17 AM7:AM17 AP7:AP17 AR7:AR17 AT7:AT17 AV7:AV17 AX7:AZ17 BB7:BB17 BE7:BE17 BG7:BG17 BI7:BI17 BK7:BK17 BM7:BO17 BQ7:BQ17 E19:J28 L19:S28 T19:Y29 AA19:AI29 AJ19:AJ22 AK19:AK29 AM19:AM29 AP19:AP29 AR19:AR29 AT19:AT29 AV19:AV29 AX19:BC29 BE19:BR29 AQ22 AQ27:AQ28 AS27:AS28 AU27:AU28 AW27:AW28">
    <cfRule type="expression" dxfId="19" priority="794">
      <formula>T7="S1"</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7" priority="795">
      <formula>AP12="C6"</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27" priority="796">
      <formula>AP12="TC6"</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27" priority="797">
      <formula>AP12="TC5"</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27" priority="798">
      <formula>AP12="TC4"</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27" priority="799">
      <formula>AP12="TC3"</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27" priority="800">
      <formula>AP12="TC2"</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27" priority="801">
      <formula>AP12="TC1"</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8" priority="802">
      <formula>AP12="Full"</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9" priority="803">
      <formula>AP12="OFF"</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0" priority="804">
      <formula>AP12="Gãy 2"</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0" priority="805">
      <formula>AP12="Gãy 1"</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1" priority="806">
      <formula>AP12="HC4"</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1" priority="807">
      <formula>AP12="HC3"</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1" priority="808">
      <formula>AP12="HC2"</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1" priority="809">
      <formula>AP12="HC1"</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2" priority="810">
      <formula>AP12="C5"</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3" priority="811">
      <formula>AP12="C4"</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4" priority="812">
      <formula>AP12="C3"</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7" priority="813">
      <formula>AP12="C2"</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0" priority="814">
      <formula>AP12="C1"</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6" priority="815">
      <formula>AP12="S4"</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7" priority="816">
      <formula>AP12="S3"</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8" priority="817">
      <formula>AP12="S2"</formula>
    </cfRule>
  </conditionalFormatting>
  <conditionalFormatting sqref="AP12 AR12 BE12 BG12 BI12 BK12 BM12 BO12 BQ12 AP14:AP16 AR14:AR16 E19:E28 G19:G28 I19:I28 L19:L28 N19:N28 P19:P28 R19:R28 T19:T29 V19:V29 X19:X29 AA19:AA29 AC19:AC29 AE19:AE29 AG19:AG29 AI19:AI29 AK19:AK28 AM19:AM28 AP19:AP28 AR19:AR28 AT19:AT28 AV19:AV28 AX19:AX29 AZ19:AZ28 BB19:BB28 BE19:BE28 BG19:BG28 BI19:BI28 BK19:BK28 BM19:BM29 BO19:BO28 BQ19:BQ28">
    <cfRule type="expression" dxfId="19" priority="818">
      <formula>AP12="S1"</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2" priority="819">
      <formula>M7="BigNĐ"</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2" priority="820">
      <formula>M7="GaNĐ"</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28" priority="821">
      <formula>M7="NBAI"</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4" priority="822">
      <formula>M7="PTYB"</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1" priority="823">
      <formula>M7="YB"</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5" priority="824">
      <formula>M7="PT"</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 priority="825">
      <formula>M7="VT"</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1" priority="826">
      <formula>M7="NB"</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5" priority="827">
      <formula>M7="TB"</formula>
    </cfRule>
  </conditionalFormatting>
  <conditionalFormatting sqref="M7:M17 O7:O17 Q7:Q17 S7:S17 U7:U17 W7:W17 Y7:Y17 AB7:AB17 AD7:AD17 AF7:AF17 AH7:AH17 AJ7:AJ17 AL7:AL17 AN7:AN17 AQ7:AQ17 AS7:AS17 AU7:AU17 AW7:AW17 AY7:AY17 BA7:BA17 BC7:BC17 BF7:BF17 BH7:BH17 BJ7:BJ17 BL7:BL17 BN7:BN17 BP7:BP17 BR7:BR17 AP12 AR12 BE12 BG12 BI12 BK12 BM12 BO12 BQ12 AP14:AP16 AR14:AR16 F19:F28 H19:H28 J19:J28 M19:M29 O19:O29 Q19:Q29 S19:S29 T19:T28 U19:Y29 AA19:AN29 AP19:AW29 AX19:AX28 AY19:AY29 AZ19:AZ28 BA19:BA29 BB19:BB28 BC19:BC29 BE19:BE28 BF19:BF29 BG19:BG28 BH19:BH29 BI19:BI28 BJ19:BJ29 BK19:BK28 BL19:BL29 BM19:BM28 BN19:BN29 BO19:BO28 BP19:BP29 BQ19:BQ28 BR19:BR29">
    <cfRule type="expression" dxfId="6" priority="828">
      <formula>M7="NĐ"</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7" priority="829">
      <formula>P7="C6"</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27" priority="830">
      <formula>P7="TC6"</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27" priority="831">
      <formula>P7="TC5"</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27" priority="832">
      <formula>P7="TC4"</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27" priority="833">
      <formula>P7="TC3"</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27" priority="834">
      <formula>P7="TC2"</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27" priority="835">
      <formula>P7="TC1"</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8" priority="836">
      <formula>P7="Full"</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9" priority="837">
      <formula>P7="OFF"</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0" priority="838">
      <formula>P7="Gãy 2"</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0" priority="839">
      <formula>P7="Gãy 1"</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1" priority="840">
      <formula>P7="HC4"</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1" priority="841">
      <formula>P7="HC3"</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1" priority="842">
      <formula>P7="HC2"</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1" priority="843">
      <formula>P7="HC1"</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2" priority="844">
      <formula>P7="C5"</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3" priority="845">
      <formula>P7="C4"</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4" priority="846">
      <formula>P7="C3"</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7" priority="847">
      <formula>P7="C2"</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0" priority="848">
      <formula>P7="C1"</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6" priority="849">
      <formula>P7="S4"</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7" priority="850">
      <formula>P7="S3"</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8" priority="851">
      <formula>P7="S2"</formula>
    </cfRule>
  </conditionalFormatting>
  <conditionalFormatting sqref="P7:P17 R7:R17 T7:T17 V7:V17 X7:X17 AA7:AA17 AC7:AC17 AE7:AE17 AG7:AG17 AI7:AK17 AM7:AM17 AP7:AP17 AR7:AR17 AT7:AT17 AV7:AV17 AX7:AZ17 BB7:BB17 BE7:BE17 BG7:BG17 BI7:BI17 BK7:BK17 BM7:BO17 BQ7:BQ17 E19:J28 L19:O28 P19:P29 Q19:Q28 R19:R29 S19:S28 T19:Y29 AA19:AI29 AJ19:AJ22 AK19:AK29 AM19:AM29 AP19:AP29 AR19:AR29 AT19:AT29 AV19:AV29 AX19:BC29 BE19:BR29 AQ22 AQ27:AQ28 AS27:AS28 AU27:AU28 AW27:AW28">
    <cfRule type="expression" dxfId="19" priority="852">
      <formula>P7="S1"</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7" priority="853">
      <formula>AM9="C6"</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27" priority="854">
      <formula>AM9="TC6"</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27" priority="855">
      <formula>AM9="TC5"</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27" priority="856">
      <formula>AM9="TC4"</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27" priority="857">
      <formula>AM9="TC3"</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27" priority="858">
      <formula>AM9="TC2"</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27" priority="859">
      <formula>AM9="TC1"</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8" priority="860">
      <formula>AM9="Full"</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9" priority="861">
      <formula>AM9="OFF"</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0" priority="862">
      <formula>AM9="Gãy 2"</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0" priority="863">
      <formula>AM9="Gãy 1"</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1" priority="864">
      <formula>AM9="HC4"</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1" priority="865">
      <formula>AM9="HC3"</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1" priority="866">
      <formula>AM9="HC2"</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1" priority="867">
      <formula>AM9="HC1"</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2" priority="868">
      <formula>AM9="C5"</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3" priority="869">
      <formula>AM9="C4"</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4" priority="870">
      <formula>AM9="C3"</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7" priority="871">
      <formula>AM9="C2"</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0" priority="872">
      <formula>AM9="C1"</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6" priority="873">
      <formula>AM9="S4"</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7" priority="874">
      <formula>AM9="S3"</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8" priority="875">
      <formula>AM9="S2"</formula>
    </cfRule>
  </conditionalFormatting>
  <conditionalFormatting sqref="AM9:AM11 BB9:BB11 BQ9:BQ12 AP10:AP12 AR10:AR12 AT10:AT11 BE10:BE12 BG10:BG12 BI10:BI12 BK10:BK12 BM10:BM12 BO10:BO12 AP14:AP16 AR14:AR16 V19:V28 X19:X28 AA19:AA28 AC19:AC28 AE19:AE28 AG19:AG28 AI19:AI28 AK19:AK29 AM19:AM29 AP19:AP29 AR19:AR29 AT19:AT29 AV19:AV28 AX19:AX28 AZ19:AZ28 BB19:BB28 BE19:BE28 BG19:BG28 BI19:BI28 BK19:BK28 BM19:BM28 BO19:BO28 BQ19:BQ28">
    <cfRule type="expression" dxfId="19" priority="876">
      <formula>AM9="S1"</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7" priority="877">
      <formula>AK7="C6"</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27" priority="878">
      <formula>AK7="TC6"</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27" priority="879">
      <formula>AK7="TC5"</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27" priority="880">
      <formula>AK7="TC4"</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27" priority="881">
      <formula>AK7="TC3"</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27" priority="882">
      <formula>AK7="TC2"</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27" priority="883">
      <formula>AK7="TC1"</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8" priority="884">
      <formula>AK7="Full"</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9" priority="885">
      <formula>AK7="OFF"</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0" priority="886">
      <formula>AK7="Gãy 2"</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0" priority="887">
      <formula>AK7="Gãy 1"</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1" priority="888">
      <formula>AK7="HC4"</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1" priority="889">
      <formula>AK7="HC3"</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1" priority="890">
      <formula>AK7="HC2"</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1" priority="891">
      <formula>AK7="HC1"</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2" priority="892">
      <formula>AK7="C5"</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3" priority="893">
      <formula>AK7="C4"</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4" priority="894">
      <formula>AK7="C3"</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7" priority="895">
      <formula>AK7="C2"</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0" priority="896">
      <formula>AK7="C1"</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6" priority="897">
      <formula>AK7="S4"</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7" priority="898">
      <formula>AK7="S3"</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8" priority="899">
      <formula>AK7="S2"</formula>
    </cfRule>
  </conditionalFormatting>
  <conditionalFormatting sqref="AK7:AK17 AM7:AM17 AP7:AP17 AZ7:AZ17 BB7:BB17 BE7 BO7:BO17 BQ7:BQ17 AR10:AR12 AT10:AT11 BE10:BE12 BG10:BG12 BI10:BI12 BK10:BK12 BM10:BM12 AR14:AR17 BE14:BE17 BG14:BG17 BI14:BI17 BK14:BK17 BM14:BM17 X19:X28 AA19:AA28 AC19:AC28 AE19:AE28 AG19:AG28 AI19:AI28 AK19:AK28 AM19:AM29 AP19:AP29 AR19:AR29 AT19:AT29 AV19:AV28 AX19:AX28 AZ19:AZ28 BB19:BB28 BE19:BE28 BG19:BG28 BI19:BI28 BK19:BK28 BM19:BM28 BO19:BO28 BQ19:BQ28">
    <cfRule type="expression" dxfId="19" priority="900">
      <formula>AK7="S1"</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7" priority="901">
      <formula>AP12="C6"</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27" priority="902">
      <formula>AP12="TC6"</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27" priority="903">
      <formula>AP12="TC5"</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27" priority="904">
      <formula>AP12="TC4"</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27" priority="905">
      <formula>AP12="TC3"</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27" priority="906">
      <formula>AP12="TC2"</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27" priority="907">
      <formula>AP12="TC1"</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8" priority="908">
      <formula>AP12="Full"</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9" priority="909">
      <formula>AP12="OFF"</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0" priority="910">
      <formula>AP12="Gãy 2"</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0" priority="911">
      <formula>AP12="Gãy 1"</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1" priority="912">
      <formula>AP12="HC4"</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1" priority="913">
      <formula>AP12="HC3"</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1" priority="914">
      <formula>AP12="HC2"</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1" priority="915">
      <formula>AP12="HC1"</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2" priority="916">
      <formula>AP12="C5"</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3" priority="917">
      <formula>AP12="C4"</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4" priority="918">
      <formula>AP12="C3"</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7" priority="919">
      <formula>AP12="C2"</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0" priority="920">
      <formula>AP12="C1"</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6" priority="921">
      <formula>AP12="S4"</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7" priority="922">
      <formula>AP12="S3"</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8" priority="923">
      <formula>AP12="S2"</formula>
    </cfRule>
  </conditionalFormatting>
  <conditionalFormatting sqref="AP12 AR12 BE12 BG12 BI12 BK12 BM12 BO12 BQ12 AP14:AP16 AR14:AR16 X19:X28 AA19:AA28 AC19:AC28 AE19:AE28 AG19:AG28 AI19:AI28 AK19:AK28 AM19:AM29 AP19:AP28 AR19:AR28 AT19:AT28 AV19:AV29 AX19:AX29 AZ19:AZ29 BB19:BB29 BE19:BE29 BG19:BG29 BI19:BI29 BK19:BK29 BM19:BM29 BO19:BO29 BQ19:BQ29">
    <cfRule type="expression" dxfId="19" priority="924">
      <formula>AP12="S1"</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7" priority="925">
      <formula>AP7="C6"</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27" priority="926">
      <formula>AP7="TC6"</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27" priority="927">
      <formula>AP7="TC5"</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27" priority="928">
      <formula>AP7="TC4"</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27" priority="929">
      <formula>AP7="TC3"</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27" priority="930">
      <formula>AP7="TC2"</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27" priority="931">
      <formula>AP7="TC1"</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8" priority="932">
      <formula>AP7="Full"</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9" priority="933">
      <formula>AP7="OFF"</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0" priority="934">
      <formula>AP7="Gãy 2"</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0" priority="935">
      <formula>AP7="Gãy 1"</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1" priority="936">
      <formula>AP7="HC4"</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1" priority="937">
      <formula>AP7="HC3"</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1" priority="938">
      <formula>AP7="HC2"</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1" priority="939">
      <formula>AP7="HC1"</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2" priority="940">
      <formula>AP7="C5"</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3" priority="941">
      <formula>AP7="C4"</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4" priority="942">
      <formula>AP7="C3"</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7" priority="943">
      <formula>AP7="C2"</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0" priority="944">
      <formula>AP7="C1"</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6" priority="945">
      <formula>AP7="S4"</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7" priority="946">
      <formula>AP7="S3"</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8" priority="947">
      <formula>AP7="S2"</formula>
    </cfRule>
  </conditionalFormatting>
  <conditionalFormatting sqref="AP7:AQ17 BE7:BF17 AS11 BH11 AR12 BG12 BI12 BK12 BM12 BO12 BQ12 AR14:AR16 AA19:AC28 AE19:AE28 AG19:AG28 AI19:AI28 AK19:AK28 AM19:AM28 AP19:AQ29 AR19:AR28 AT19:AT28 AV19:AV28 AX19:AX28 AZ19:AZ28 BB19:BB28 BE19:BE28 BG19:BG28 BI19:BI28 BK19:BK28 BM19:BM28 BO19:BO28 BQ19:BQ28 Y20:Y21 AH20 W21 W23 AH23 BF27:BF28">
    <cfRule type="expression" dxfId="19" priority="948">
      <formula>AP7="S1"</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7" priority="949">
      <formula>AP12="C6"</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27" priority="950">
      <formula>AP12="TC6"</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27" priority="951">
      <formula>AP12="TC5"</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27" priority="952">
      <formula>AP12="TC4"</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27" priority="953">
      <formula>AP12="TC3"</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27" priority="954">
      <formula>AP12="TC2"</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27" priority="955">
      <formula>AP12="TC1"</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8" priority="956">
      <formula>AP12="Full"</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9" priority="957">
      <formula>AP12="OFF"</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0" priority="958">
      <formula>AP12="Gãy 2"</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0" priority="959">
      <formula>AP12="Gãy 1"</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1" priority="960">
      <formula>AP12="HC4"</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1" priority="961">
      <formula>AP12="HC3"</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1" priority="962">
      <formula>AP12="HC2"</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1" priority="963">
      <formula>AP12="HC1"</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2" priority="964">
      <formula>AP12="C5"</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3" priority="965">
      <formula>AP12="C4"</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4" priority="966">
      <formula>AP12="C3"</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7" priority="967">
      <formula>AP12="C2"</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0" priority="968">
      <formula>AP12="C1"</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6" priority="969">
      <formula>AP12="S4"</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7" priority="970">
      <formula>AP12="S3"</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8" priority="971">
      <formula>AP12="S2"</formula>
    </cfRule>
  </conditionalFormatting>
  <conditionalFormatting sqref="AP12 AR12 BE12 BG12 BI12 BK12 BM12 BO12 BQ12 AP14:AP16 AR14:AR16 AA19:AA28 AC19:AC28 AE19:AE28 AG19:AG28 AI19:AI28 AK19:AK28 AM19:AM28 AP19:AP29 AR19:AR28 AT19:AT28 AV19:AV28 AX19:AX28 AZ19:AZ28 BB19:BB28 BE19:BE28 BG19:BG28 BI19:BI28 BK19:BK28 BM19:BM28 BO19:BO28 BQ19:BQ28">
    <cfRule type="expression" dxfId="19" priority="972">
      <formula>AP12="S1"</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7" priority="973">
      <formula>AR7="C6"</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27" priority="974">
      <formula>AR7="TC6"</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27" priority="975">
      <formula>AR7="TC5"</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27" priority="976">
      <formula>AR7="TC4"</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27" priority="977">
      <formula>AR7="TC3"</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27" priority="978">
      <formula>AR7="TC2"</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27" priority="979">
      <formula>AR7="TC1"</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8" priority="980">
      <formula>AR7="Full"</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9" priority="981">
      <formula>AR7="OFF"</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0" priority="982">
      <formula>AR7="Gãy 2"</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0" priority="983">
      <formula>AR7="Gãy 1"</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1" priority="984">
      <formula>AR7="HC4"</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1" priority="985">
      <formula>AR7="HC3"</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1" priority="986">
      <formula>AR7="HC2"</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1" priority="987">
      <formula>AR7="HC1"</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2" priority="988">
      <formula>AR7="C5"</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3" priority="989">
      <formula>AR7="C4"</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4" priority="990">
      <formula>AR7="C3"</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7" priority="991">
      <formula>AR7="C2"</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0" priority="992">
      <formula>AR7="C1"</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6" priority="993">
      <formula>AR7="S4"</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7" priority="994">
      <formula>AR7="S3"</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8" priority="995">
      <formula>AR7="S2"</formula>
    </cfRule>
  </conditionalFormatting>
  <conditionalFormatting sqref="AR7:AR17 BG7:BG17 BI7:BI17 BK7:BK17 BM7:BM17 BO7:BO17 BQ7:BQ17 AP12 BE12 AP14:AP16 AC19:AC28 AE19:AE28 AG19:AG28 AI19:AI28 AK19:AK28 AM19:AM28 AP19:AP28 AR19:AR29 AT19:AT28 AV19:AV28 AX19:AX28 AZ19:AZ28 BB19:BB28 BE19:BE28 BG19:BG28 BI19:BI28 BK19:BK28 BM19:BM28 BO19:BO28 BQ19:BQ28">
    <cfRule type="expression" dxfId="19" priority="996">
      <formula>AR7="S1"</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7" priority="997">
      <formula>AP12="C6"</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27" priority="998">
      <formula>AP12="TC6"</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27" priority="999">
      <formula>AP12="TC5"</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27" priority="1000">
      <formula>AP12="TC4"</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27" priority="1001">
      <formula>AP12="TC3"</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27" priority="1002">
      <formula>AP12="TC2"</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27" priority="1003">
      <formula>AP12="TC1"</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8" priority="1004">
      <formula>AP12="Full"</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9" priority="1005">
      <formula>AP12="OFF"</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0" priority="1006">
      <formula>AP12="Gãy 2"</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0" priority="1007">
      <formula>AP12="Gãy 1"</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1" priority="1008">
      <formula>AP12="HC4"</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1" priority="1009">
      <formula>AP12="HC3"</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1" priority="1010">
      <formula>AP12="HC2"</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1" priority="1011">
      <formula>AP12="HC1"</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2" priority="1012">
      <formula>AP12="C5"</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3" priority="1013">
      <formula>AP12="C4"</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4" priority="1014">
      <formula>AP12="C3"</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7" priority="1015">
      <formula>AP12="C2"</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0" priority="1016">
      <formula>AP12="C1"</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6" priority="1017">
      <formula>AP12="S4"</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7" priority="1018">
      <formula>AP12="S3"</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8" priority="1019">
      <formula>AP12="S2"</formula>
    </cfRule>
  </conditionalFormatting>
  <conditionalFormatting sqref="AP12 AR12 BE12 BG12 BI12 BK12 BM12 BO12 BQ12 AP14:AP16 AR14:AR16 AC19:AC28 AE19:AE28 AG19:AG28 AI19:AI28 AK19:AK28 AM19:AM28 AP19:AP28 AR19:AR29 AT19:AT28 AV19:AV28 AX19:AX28 AZ19:AZ28 BB19:BB28 BE19:BE28 BG19:BG28 BI19:BI28 BK19:BK28 BM19:BM28 BO19:BO28 BQ19:BQ28">
    <cfRule type="expression" dxfId="19" priority="1020">
      <formula>AP12="S1"</formula>
    </cfRule>
  </conditionalFormatting>
  <conditionalFormatting sqref="AT7:AT17 BI7:BI17 AE19:AE28 AG19:AG28 AI19:AI28 AK19:AK28 AM19:AM28 AP19:AP28 AR19:AR28 AT19:AT29 AV19:AV28 AX19:AX28 AZ19:AZ28 BB19:BB28 BE19:BE28 BG19:BG28 BI19:BI28 BK19:BK28 BM19:BM28 BO19:BO28 BQ19:BQ28">
    <cfRule type="expression" dxfId="7" priority="1021">
      <formula>AT7="C6"</formula>
    </cfRule>
  </conditionalFormatting>
  <conditionalFormatting sqref="AT7:AT17 BI7:BI17 AE19:AE28 AG19:AG28 AI19:AI28 AK19:AK28 AM19:AM28 AP19:AP28 AR19:AR28 AT19:AT29 AV19:AV28 AX19:AX28 AZ19:AZ28 BB19:BB28 BE19:BE28 BG19:BG28 BI19:BI28 BK19:BK28 BM19:BM28 BO19:BO28 BQ19:BQ28">
    <cfRule type="expression" dxfId="27" priority="1022">
      <formula>AT7="TC6"</formula>
    </cfRule>
  </conditionalFormatting>
  <conditionalFormatting sqref="AT7:AT17 BI7:BI17 AE19:AE28 AG19:AG28 AI19:AI28 AK19:AK28 AM19:AM28 AP19:AP28 AR19:AR28 AT19:AT29 AV19:AV28 AX19:AX28 AZ19:AZ28 BB19:BB28 BE19:BE28 BG19:BG28 BI19:BI28 BK19:BK28 BM19:BM28 BO19:BO28 BQ19:BQ28">
    <cfRule type="expression" dxfId="27" priority="1023">
      <formula>AT7="TC5"</formula>
    </cfRule>
  </conditionalFormatting>
  <conditionalFormatting sqref="AT7:AT17 BI7:BI17 AE19:AE28 AG19:AG28 AI19:AI28 AK19:AK28 AM19:AM28 AP19:AP28 AR19:AR28 AT19:AT29 AV19:AV28 AX19:AX28 AZ19:AZ28 BB19:BB28 BE19:BE28 BG19:BG28 BI19:BI28 BK19:BK28 BM19:BM28 BO19:BO28 BQ19:BQ28">
    <cfRule type="expression" dxfId="27" priority="1024">
      <formula>AT7="TC4"</formula>
    </cfRule>
  </conditionalFormatting>
  <conditionalFormatting sqref="AT7:AT17 BI7:BI17 AE19:AE28 AG19:AG28 AI19:AI28 AK19:AK28 AM19:AM28 AP19:AP28 AR19:AR28 AT19:AT29 AV19:AV28 AX19:AX28 AZ19:AZ28 BB19:BB28 BE19:BE28 BG19:BG28 BI19:BI28 BK19:BK28 BM19:BM28 BO19:BO28 BQ19:BQ28">
    <cfRule type="expression" dxfId="27" priority="1025">
      <formula>AT7="TC3"</formula>
    </cfRule>
  </conditionalFormatting>
  <conditionalFormatting sqref="AT7:AT17 BI7:BI17 AE19:AE28 AG19:AG28 AI19:AI28 AK19:AK28 AM19:AM28 AP19:AP28 AR19:AR28 AT19:AT29 AV19:AV28 AX19:AX28 AZ19:AZ28 BB19:BB28 BE19:BE28 BG19:BG28 BI19:BI28 BK19:BK28 BM19:BM28 BO19:BO28 BQ19:BQ28">
    <cfRule type="expression" dxfId="27" priority="1026">
      <formula>AT7="TC2"</formula>
    </cfRule>
  </conditionalFormatting>
  <conditionalFormatting sqref="AT7:AT17 BI7:BI17 AE19:AE28 AG19:AG28 AI19:AI28 AK19:AK28 AM19:AM28 AP19:AP28 AR19:AR28 AT19:AT29 AV19:AV28 AX19:AX28 AZ19:AZ28 BB19:BB28 BE19:BE28 BG19:BG28 BI19:BI28 BK19:BK28 BM19:BM28 BO19:BO28 BQ19:BQ28">
    <cfRule type="expression" dxfId="27" priority="1027">
      <formula>AT7="TC1"</formula>
    </cfRule>
  </conditionalFormatting>
  <conditionalFormatting sqref="AT7:AT17 BI7:BI17 AE19:AE28 AG19:AG28 AI19:AI28 AK19:AK28 AM19:AM28 AP19:AP28 AR19:AR28 AT19:AT29 AV19:AV28 AX19:AX28 AZ19:AZ28 BB19:BB28 BE19:BE28 BG19:BG28 BI19:BI28 BK19:BK28 BM19:BM28 BO19:BO28 BQ19:BQ28">
    <cfRule type="expression" dxfId="8" priority="1028">
      <formula>AT7="Full"</formula>
    </cfRule>
  </conditionalFormatting>
  <conditionalFormatting sqref="AT7:AT17 BI7:BI17 AE19:AE28 AG19:AG28 AI19:AI28 AK19:AK28 AM19:AM28 AP19:AP28 AR19:AR28 AT19:AT29 AV19:AV28 AX19:AX28 AZ19:AZ28 BB19:BB28 BE19:BE28 BG19:BG28 BI19:BI28 BK19:BK28 BM19:BM28 BO19:BO28 BQ19:BQ28">
    <cfRule type="expression" dxfId="9" priority="1029">
      <formula>AT7="OFF"</formula>
    </cfRule>
  </conditionalFormatting>
  <conditionalFormatting sqref="AT7:AT17 BI7:BI17 AE19:AE28 AG19:AG28 AI19:AI28 AK19:AK28 AM19:AM28 AP19:AP28 AR19:AR28 AT19:AT29 AV19:AV28 AX19:AX28 AZ19:AZ28 BB19:BB28 BE19:BE28 BG19:BG28 BI19:BI28 BK19:BK28 BM19:BM28 BO19:BO28 BQ19:BQ28">
    <cfRule type="expression" dxfId="10" priority="1030">
      <formula>AT7="Gãy 2"</formula>
    </cfRule>
  </conditionalFormatting>
  <conditionalFormatting sqref="AT7:AT17 BI7:BI17 AE19:AE28 AG19:AG28 AI19:AI28 AK19:AK28 AM19:AM28 AP19:AP28 AR19:AR28 AT19:AT29 AV19:AV28 AX19:AX28 AZ19:AZ28 BB19:BB28 BE19:BE28 BG19:BG28 BI19:BI28 BK19:BK28 BM19:BM28 BO19:BO28 BQ19:BQ28">
    <cfRule type="expression" dxfId="10" priority="1031">
      <formula>AT7="Gãy 1"</formula>
    </cfRule>
  </conditionalFormatting>
  <conditionalFormatting sqref="AT7:AT17 BI7:BI17 AE19:AE28 AG19:AG28 AI19:AI28 AK19:AK28 AM19:AM28 AP19:AP28 AR19:AR28 AT19:AT29 AV19:AV28 AX19:AX28 AZ19:AZ28 BB19:BB28 BE19:BE28 BG19:BG28 BI19:BI28 BK19:BK28 BM19:BM28 BO19:BO28 BQ19:BQ28">
    <cfRule type="expression" dxfId="11" priority="1032">
      <formula>AT7="HC4"</formula>
    </cfRule>
  </conditionalFormatting>
  <conditionalFormatting sqref="AT7:AT17 BI7:BI17 AE19:AE28 AG19:AG28 AI19:AI28 AK19:AK28 AM19:AM28 AP19:AP28 AR19:AR28 AT19:AT29 AV19:AV28 AX19:AX28 AZ19:AZ28 BB19:BB28 BE19:BE28 BG19:BG28 BI19:BI28 BK19:BK28 BM19:BM28 BO19:BO28 BQ19:BQ28">
    <cfRule type="expression" dxfId="11" priority="1033">
      <formula>AT7="HC3"</formula>
    </cfRule>
  </conditionalFormatting>
  <conditionalFormatting sqref="AT7:AT17 BI7:BI17 AE19:AE28 AG19:AG28 AI19:AI28 AK19:AK28 AM19:AM28 AP19:AP28 AR19:AR28 AT19:AT29 AV19:AV28 AX19:AX28 AZ19:AZ28 BB19:BB28 BE19:BE28 BG19:BG28 BI19:BI28 BK19:BK28 BM19:BM28 BO19:BO28 BQ19:BQ28">
    <cfRule type="expression" dxfId="11" priority="1034">
      <formula>AT7="HC2"</formula>
    </cfRule>
  </conditionalFormatting>
  <conditionalFormatting sqref="AT7:AT17 BI7:BI17 AE19:AE28 AG19:AG28 AI19:AI28 AK19:AK28 AM19:AM28 AP19:AP28 AR19:AR28 AT19:AT29 AV19:AV28 AX19:AX28 AZ19:AZ28 BB19:BB28 BE19:BE28 BG19:BG28 BI19:BI28 BK19:BK28 BM19:BM28 BO19:BO28 BQ19:BQ28">
    <cfRule type="expression" dxfId="11" priority="1035">
      <formula>AT7="HC1"</formula>
    </cfRule>
  </conditionalFormatting>
  <conditionalFormatting sqref="AT7:AT17 BI7:BI17 AE19:AE28 AG19:AG28 AI19:AI28 AK19:AK28 AM19:AM28 AP19:AP28 AR19:AR28 AT19:AT29 AV19:AV28 AX19:AX28 AZ19:AZ28 BB19:BB28 BE19:BE28 BG19:BG28 BI19:BI28 BK19:BK28 BM19:BM28 BO19:BO28 BQ19:BQ28">
    <cfRule type="expression" dxfId="12" priority="1036">
      <formula>AT7="C5"</formula>
    </cfRule>
  </conditionalFormatting>
  <conditionalFormatting sqref="AT7:AT17 BI7:BI17 AE19:AE28 AG19:AG28 AI19:AI28 AK19:AK28 AM19:AM28 AP19:AP28 AR19:AR28 AT19:AT29 AV19:AV28 AX19:AX28 AZ19:AZ28 BB19:BB28 BE19:BE28 BG19:BG28 BI19:BI28 BK19:BK28 BM19:BM28 BO19:BO28 BQ19:BQ28">
    <cfRule type="expression" dxfId="13" priority="1037">
      <formula>AT7="C4"</formula>
    </cfRule>
  </conditionalFormatting>
  <conditionalFormatting sqref="AT7:AT17 BI7:BI17 AE19:AE28 AG19:AG28 AI19:AI28 AK19:AK28 AM19:AM28 AP19:AP28 AR19:AR28 AT19:AT29 AV19:AV28 AX19:AX28 AZ19:AZ28 BB19:BB28 BE19:BE28 BG19:BG28 BI19:BI28 BK19:BK28 BM19:BM28 BO19:BO28 BQ19:BQ28">
    <cfRule type="expression" dxfId="14" priority="1038">
      <formula>AT7="C3"</formula>
    </cfRule>
  </conditionalFormatting>
  <conditionalFormatting sqref="AT7:AT17 BI7:BI17 AE19:AE28 AG19:AG28 AI19:AI28 AK19:AK28 AM19:AM28 AP19:AP28 AR19:AR28 AT19:AT29 AV19:AV28 AX19:AX28 AZ19:AZ28 BB19:BB28 BE19:BE28 BG19:BG28 BI19:BI28 BK19:BK28 BM19:BM28 BO19:BO28 BQ19:BQ28">
    <cfRule type="expression" dxfId="7" priority="1039">
      <formula>AT7="C2"</formula>
    </cfRule>
  </conditionalFormatting>
  <conditionalFormatting sqref="AT7:AT17 BI7:BI17 AE19:AE28 AG19:AG28 AI19:AI28 AK19:AK28 AM19:AM28 AP19:AP28 AR19:AR28 AT19:AT29 AV19:AV28 AX19:AX28 AZ19:AZ28 BB19:BB28 BE19:BE28 BG19:BG28 BI19:BI28 BK19:BK28 BM19:BM28 BO19:BO28 BQ19:BQ28">
    <cfRule type="expression" dxfId="0" priority="1040">
      <formula>AT7="C1"</formula>
    </cfRule>
  </conditionalFormatting>
  <conditionalFormatting sqref="AT7:AT17 BI7:BI17 AE19:AE28 AG19:AG28 AI19:AI28 AK19:AK28 AM19:AM28 AP19:AP28 AR19:AR28 AT19:AT29 AV19:AV28 AX19:AX28 AZ19:AZ28 BB19:BB28 BE19:BE28 BG19:BG28 BI19:BI28 BK19:BK28 BM19:BM28 BO19:BO28 BQ19:BQ28">
    <cfRule type="expression" dxfId="16" priority="1041">
      <formula>AT7="S4"</formula>
    </cfRule>
  </conditionalFormatting>
  <conditionalFormatting sqref="AT7:AT17 BI7:BI17 AE19:AE28 AG19:AG28 AI19:AI28 AK19:AK28 AM19:AM28 AP19:AP28 AR19:AR28 AT19:AT29 AV19:AV28 AX19:AX28 AZ19:AZ28 BB19:BB28 BE19:BE28 BG19:BG28 BI19:BI28 BK19:BK28 BM19:BM28 BO19:BO28 BQ19:BQ28">
    <cfRule type="expression" dxfId="17" priority="1042">
      <formula>AT7="S3"</formula>
    </cfRule>
  </conditionalFormatting>
  <conditionalFormatting sqref="AT7:AT17 BI7:BI17 AE19:AE28 AG19:AG28 AI19:AI28 AK19:AK28 AM19:AM28 AP19:AP28 AR19:AR28 AT19:AT29 AV19:AV28 AX19:AX28 AZ19:AZ28 BB19:BB28 BE19:BE28 BG19:BG28 BI19:BI28 BK19:BK28 BM19:BM28 BO19:BO28 BQ19:BQ28">
    <cfRule type="expression" dxfId="18" priority="1043">
      <formula>AT7="S2"</formula>
    </cfRule>
  </conditionalFormatting>
  <conditionalFormatting sqref="AT7:AT17 BI7:BI17 AE19:AE28 AG19:AG28 AI19:AI28 AK19:AK28 AM19:AM28 AP19:AP28 AR19:AR28 AT19:AT29 AV19:AV28 AX19:AX28 AZ19:AZ28 BB19:BB28 BE19:BE28 BG19:BG28 BI19:BI28 BK19:BK28 BM19:BM28 BO19:BO28 BQ19:BQ28">
    <cfRule type="expression" dxfId="19" priority="1044">
      <formula>AT7="S1"</formula>
    </cfRule>
  </conditionalFormatting>
  <conditionalFormatting sqref="AE19:AE28 AG19:AG28 AI19:AI28 AK19:AK28 AM19:AM28 AP19:AP28 AR19:AR28 AT19:AT29 AV19:AV28 AX19:AX28 AZ19:AZ28 BB19:BB28 BE19:BE28 BG19:BG28 BI19:BI28 BK19:BK28 BM19:BM28 BO19:BO28 BQ19:BQ28">
    <cfRule type="expression" dxfId="7" priority="1045">
      <formula>AE19="C6"</formula>
    </cfRule>
  </conditionalFormatting>
  <conditionalFormatting sqref="AE19:AE28 AG19:AG28 AI19:AI28 AK19:AK28 AM19:AM28 AP19:AP28 AR19:AR28 AT19:AT29 AV19:AV28 AX19:AX28 AZ19:AZ28 BB19:BB28 BE19:BE28 BG19:BG28 BI19:BI28 BK19:BK28 BM19:BM28 BO19:BO28 BQ19:BQ28">
    <cfRule type="expression" dxfId="27" priority="1046">
      <formula>AE19="TC6"</formula>
    </cfRule>
  </conditionalFormatting>
  <conditionalFormatting sqref="AE19:AE28 AG19:AG28 AI19:AI28 AK19:AK28 AM19:AM28 AP19:AP28 AR19:AR28 AT19:AT29 AV19:AV28 AX19:AX28 AZ19:AZ28 BB19:BB28 BE19:BE28 BG19:BG28 BI19:BI28 BK19:BK28 BM19:BM28 BO19:BO28 BQ19:BQ28">
    <cfRule type="expression" dxfId="27" priority="1047">
      <formula>AE19="TC5"</formula>
    </cfRule>
  </conditionalFormatting>
  <conditionalFormatting sqref="AE19:AE28 AG19:AG28 AI19:AI28 AK19:AK28 AM19:AM28 AP19:AP28 AR19:AR28 AT19:AT29 AV19:AV28 AX19:AX28 AZ19:AZ28 BB19:BB28 BE19:BE28 BG19:BG28 BI19:BI28 BK19:BK28 BM19:BM28 BO19:BO28 BQ19:BQ28">
    <cfRule type="expression" dxfId="27" priority="1048">
      <formula>AE19="TC4"</formula>
    </cfRule>
  </conditionalFormatting>
  <conditionalFormatting sqref="AE19:AE28 AG19:AG28 AI19:AI28 AK19:AK28 AM19:AM28 AP19:AP28 AR19:AR28 AT19:AT29 AV19:AV28 AX19:AX28 AZ19:AZ28 BB19:BB28 BE19:BE28 BG19:BG28 BI19:BI28 BK19:BK28 BM19:BM28 BO19:BO28 BQ19:BQ28">
    <cfRule type="expression" dxfId="27" priority="1049">
      <formula>AE19="TC3"</formula>
    </cfRule>
  </conditionalFormatting>
  <conditionalFormatting sqref="AE19:AE28 AG19:AG28 AI19:AI28 AK19:AK28 AM19:AM28 AP19:AP28 AR19:AR28 AT19:AT29 AV19:AV28 AX19:AX28 AZ19:AZ28 BB19:BB28 BE19:BE28 BG19:BG28 BI19:BI28 BK19:BK28 BM19:BM28 BO19:BO28 BQ19:BQ28">
    <cfRule type="expression" dxfId="27" priority="1050">
      <formula>AE19="TC2"</formula>
    </cfRule>
  </conditionalFormatting>
  <conditionalFormatting sqref="AE19:AE28 AG19:AG28 AI19:AI28 AK19:AK28 AM19:AM28 AP19:AP28 AR19:AR28 AT19:AT29 AV19:AV28 AX19:AX28 AZ19:AZ28 BB19:BB28 BE19:BE28 BG19:BG28 BI19:BI28 BK19:BK28 BM19:BM28 BO19:BO28 BQ19:BQ28">
    <cfRule type="expression" dxfId="27" priority="1051">
      <formula>AE19="TC1"</formula>
    </cfRule>
  </conditionalFormatting>
  <conditionalFormatting sqref="AE19:AE28 AG19:AG28 AI19:AI28 AK19:AK28 AM19:AM28 AP19:AP28 AR19:AR28 AT19:AT29 AV19:AV28 AX19:AX28 AZ19:AZ28 BB19:BB28 BE19:BE28 BG19:BG28 BI19:BI28 BK19:BK28 BM19:BM28 BO19:BO28 BQ19:BQ28">
    <cfRule type="expression" dxfId="8" priority="1052">
      <formula>AE19="Full"</formula>
    </cfRule>
  </conditionalFormatting>
  <conditionalFormatting sqref="AE19:AE28 AG19:AG28 AI19:AI28 AK19:AK28 AM19:AM28 AP19:AP28 AR19:AR28 AT19:AT29 AV19:AV28 AX19:AX28 AZ19:AZ28 BB19:BB28 BE19:BE28 BG19:BG28 BI19:BI28 BK19:BK28 BM19:BM28 BO19:BO28 BQ19:BQ28">
    <cfRule type="expression" dxfId="9" priority="1053">
      <formula>AE19="OFF"</formula>
    </cfRule>
  </conditionalFormatting>
  <conditionalFormatting sqref="AE19:AE28 AG19:AG28 AI19:AI28 AK19:AK28 AM19:AM28 AP19:AP28 AR19:AR28 AT19:AT29 AV19:AV28 AX19:AX28 AZ19:AZ28 BB19:BB28 BE19:BE28 BG19:BG28 BI19:BI28 BK19:BK28 BM19:BM28 BO19:BO28 BQ19:BQ28">
    <cfRule type="expression" dxfId="10" priority="1054">
      <formula>AE19="Gãy 2"</formula>
    </cfRule>
  </conditionalFormatting>
  <conditionalFormatting sqref="AE19:AE28 AG19:AG28 AI19:AI28 AK19:AK28 AM19:AM28 AP19:AP28 AR19:AR28 AT19:AT29 AV19:AV28 AX19:AX28 AZ19:AZ28 BB19:BB28 BE19:BE28 BG19:BG28 BI19:BI28 BK19:BK28 BM19:BM28 BO19:BO28 BQ19:BQ28">
    <cfRule type="expression" dxfId="10" priority="1055">
      <formula>AE19="Gãy 1"</formula>
    </cfRule>
  </conditionalFormatting>
  <conditionalFormatting sqref="AE19:AE28 AG19:AG28 AI19:AI28 AK19:AK28 AM19:AM28 AP19:AP28 AR19:AR28 AT19:AT29 AV19:AV28 AX19:AX28 AZ19:AZ28 BB19:BB28 BE19:BE28 BG19:BG28 BI19:BI28 BK19:BK28 BM19:BM28 BO19:BO28 BQ19:BQ28">
    <cfRule type="expression" dxfId="11" priority="1056">
      <formula>AE19="HC4"</formula>
    </cfRule>
  </conditionalFormatting>
  <conditionalFormatting sqref="AE19:AE28 AG19:AG28 AI19:AI28 AK19:AK28 AM19:AM28 AP19:AP28 AR19:AR28 AT19:AT29 AV19:AV28 AX19:AX28 AZ19:AZ28 BB19:BB28 BE19:BE28 BG19:BG28 BI19:BI28 BK19:BK28 BM19:BM28 BO19:BO28 BQ19:BQ28">
    <cfRule type="expression" dxfId="11" priority="1057">
      <formula>AE19="HC3"</formula>
    </cfRule>
  </conditionalFormatting>
  <conditionalFormatting sqref="AE19:AE28 AG19:AG28 AI19:AI28 AK19:AK28 AM19:AM28 AP19:AP28 AR19:AR28 AT19:AT29 AV19:AV28 AX19:AX28 AZ19:AZ28 BB19:BB28 BE19:BE28 BG19:BG28 BI19:BI28 BK19:BK28 BM19:BM28 BO19:BO28 BQ19:BQ28">
    <cfRule type="expression" dxfId="11" priority="1058">
      <formula>AE19="HC2"</formula>
    </cfRule>
  </conditionalFormatting>
  <conditionalFormatting sqref="AE19:AE28 AG19:AG28 AI19:AI28 AK19:AK28 AM19:AM28 AP19:AP28 AR19:AR28 AT19:AT29 AV19:AV28 AX19:AX28 AZ19:AZ28 BB19:BB28 BE19:BE28 BG19:BG28 BI19:BI28 BK19:BK28 BM19:BM28 BO19:BO28 BQ19:BQ28">
    <cfRule type="expression" dxfId="11" priority="1059">
      <formula>AE19="HC1"</formula>
    </cfRule>
  </conditionalFormatting>
  <conditionalFormatting sqref="AE19:AE28 AG19:AG28 AI19:AI28 AK19:AK28 AM19:AM28 AP19:AP28 AR19:AR28 AT19:AT29 AV19:AV28 AX19:AX28 AZ19:AZ28 BB19:BB28 BE19:BE28 BG19:BG28 BI19:BI28 BK19:BK28 BM19:BM28 BO19:BO28 BQ19:BQ28">
    <cfRule type="expression" dxfId="12" priority="1060">
      <formula>AE19="C5"</formula>
    </cfRule>
  </conditionalFormatting>
  <conditionalFormatting sqref="AE19:AE28 AG19:AG28 AI19:AI28 AK19:AK28 AM19:AM28 AP19:AP28 AR19:AR28 AT19:AT29 AV19:AV28 AX19:AX28 AZ19:AZ28 BB19:BB28 BE19:BE28 BG19:BG28 BI19:BI28 BK19:BK28 BM19:BM28 BO19:BO28 BQ19:BQ28">
    <cfRule type="expression" dxfId="13" priority="1061">
      <formula>AE19="C4"</formula>
    </cfRule>
  </conditionalFormatting>
  <conditionalFormatting sqref="AE19:AE28 AG19:AG28 AI19:AI28 AK19:AK28 AM19:AM28 AP19:AP28 AR19:AR28 AT19:AT29 AV19:AV28 AX19:AX28 AZ19:AZ28 BB19:BB28 BE19:BE28 BG19:BG28 BI19:BI28 BK19:BK28 BM19:BM28 BO19:BO28 BQ19:BQ28">
    <cfRule type="expression" dxfId="14" priority="1062">
      <formula>AE19="C3"</formula>
    </cfRule>
  </conditionalFormatting>
  <conditionalFormatting sqref="AE19:AE28 AG19:AG28 AI19:AI28 AK19:AK28 AM19:AM28 AP19:AP28 AR19:AR28 AT19:AT29 AV19:AV28 AX19:AX28 AZ19:AZ28 BB19:BB28 BE19:BE28 BG19:BG28 BI19:BI28 BK19:BK28 BM19:BM28 BO19:BO28 BQ19:BQ28">
    <cfRule type="expression" dxfId="7" priority="1063">
      <formula>AE19="C2"</formula>
    </cfRule>
  </conditionalFormatting>
  <conditionalFormatting sqref="AE19:AE28 AG19:AG28 AI19:AI28 AK19:AK28 AM19:AM28 AP19:AP28 AR19:AR28 AT19:AT29 AV19:AV28 AX19:AX28 AZ19:AZ28 BB19:BB28 BE19:BE28 BG19:BG28 BI19:BI28 BK19:BK28 BM19:BM28 BO19:BO28 BQ19:BQ28">
    <cfRule type="expression" dxfId="0" priority="1064">
      <formula>AE19="C1"</formula>
    </cfRule>
  </conditionalFormatting>
  <conditionalFormatting sqref="AE19:AE28 AG19:AG28 AI19:AI28 AK19:AK28 AM19:AM28 AP19:AP28 AR19:AR28 AT19:AT29 AV19:AV28 AX19:AX28 AZ19:AZ28 BB19:BB28 BE19:BE28 BG19:BG28 BI19:BI28 BK19:BK28 BM19:BM28 BO19:BO28 BQ19:BQ28">
    <cfRule type="expression" dxfId="16" priority="1065">
      <formula>AE19="S4"</formula>
    </cfRule>
  </conditionalFormatting>
  <conditionalFormatting sqref="AE19:AE28 AG19:AG28 AI19:AI28 AK19:AK28 AM19:AM28 AP19:AP28 AR19:AR28 AT19:AT29 AV19:AV28 AX19:AX28 AZ19:AZ28 BB19:BB28 BE19:BE28 BG19:BG28 BI19:BI28 BK19:BK28 BM19:BM28 BO19:BO28 BQ19:BQ28">
    <cfRule type="expression" dxfId="17" priority="1066">
      <formula>AE19="S3"</formula>
    </cfRule>
  </conditionalFormatting>
  <conditionalFormatting sqref="AE19:AE28 AG19:AG28 AI19:AI28 AK19:AK28 AM19:AM28 AP19:AP28 AR19:AR28 AT19:AT29 AV19:AV28 AX19:AX28 AZ19:AZ28 BB19:BB28 BE19:BE28 BG19:BG28 BI19:BI28 BK19:BK28 BM19:BM28 BO19:BO28 BQ19:BQ28">
    <cfRule type="expression" dxfId="18" priority="1067">
      <formula>AE19="S2"</formula>
    </cfRule>
  </conditionalFormatting>
  <conditionalFormatting sqref="AE19:AE28 AG19:AG28 AI19:AI28 AK19:AK28 AM19:AM28 AP19:AP28 AR19:AR28 AT19:AT29 AV19:AV28 AX19:AX28 AZ19:AZ28 BB19:BB28 BE19:BE28 BG19:BG28 BI19:BI28 BK19:BK28 BM19:BM28 BO19:BO28 BQ19:BQ28">
    <cfRule type="expression" dxfId="19" priority="1068">
      <formula>AE19="S1"</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7" priority="1069">
      <formula>AG7="C6"</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27" priority="1070">
      <formula>AG7="TC6"</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27" priority="1071">
      <formula>AG7="TC5"</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27" priority="1072">
      <formula>AG7="TC4"</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27" priority="1073">
      <formula>AG7="TC3"</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27" priority="1074">
      <formula>AG7="TC2"</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27" priority="1075">
      <formula>AG7="TC1"</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8" priority="1076">
      <formula>AG7="Full"</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9" priority="1077">
      <formula>AG7="OFF"</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0" priority="1078">
      <formula>AG7="Gãy 2"</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0" priority="1079">
      <formula>AG7="Gãy 1"</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1" priority="1080">
      <formula>AG7="HC4"</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1" priority="1081">
      <formula>AG7="HC3"</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1" priority="1082">
      <formula>AG7="HC2"</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1" priority="1083">
      <formula>AG7="HC1"</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2" priority="1084">
      <formula>AG7="C5"</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3" priority="1085">
      <formula>AG7="C4"</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4" priority="1086">
      <formula>AG7="C3"</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7" priority="1087">
      <formula>AG7="C2"</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0" priority="1088">
      <formula>AG7="C1"</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6" priority="1089">
      <formula>AG7="S4"</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7" priority="1090">
      <formula>AG7="S3"</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8" priority="1091">
      <formula>AG7="S2"</formula>
    </cfRule>
  </conditionalFormatting>
  <conditionalFormatting sqref="AG7:AG17 AV7:AV17 BI7:BI17 BK7:BK17 BM7:BM17 BO7:BO17 BQ7:BQ17 AE8 AI8:AI17 AK8 AT8 AX8:AX17 AZ8 AM9:AM17 BB9:BB17 AK10:AK17 AP10:AP17 AR10:AR17 AT10:AT17 AZ10:AZ17 BE10:BE17 BG10:BG17 AE12:AE13 R19:R28 T19:T28 V19:V28 X19:X28 AA19:AA28 AC19:AC28 AE19:AE28 AG19:AG29 AI19:AI29 AK19:AK29 AM19:AM29 AP19:AP29 AR19:AR29 AT19:AT29 AV19:AV29 AX19:BC29 BE19:BR29 N22:N28 P22:P28 I23:I28 L23:L28">
    <cfRule type="expression" dxfId="19" priority="1092">
      <formula>AG7="S1"</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7" priority="1093">
      <formula>AP12="C6"</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1094">
      <formula>AP12="TC6"</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1095">
      <formula>AP12="TC5"</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1096">
      <formula>AP12="TC4"</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1097">
      <formula>AP12="TC3"</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1098">
      <formula>AP12="TC2"</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27" priority="1099">
      <formula>AP12="TC1"</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8" priority="1100">
      <formula>AP12="Full"</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9" priority="1101">
      <formula>AP12="OFF"</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0" priority="1102">
      <formula>AP12="Gãy 2"</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0" priority="1103">
      <formula>AP12="Gãy 1"</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1" priority="1104">
      <formula>AP12="HC4"</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1" priority="1105">
      <formula>AP12="HC3"</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1" priority="1106">
      <formula>AP12="HC2"</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1" priority="1107">
      <formula>AP12="HC1"</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2" priority="1108">
      <formula>AP12="C5"</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3" priority="1109">
      <formula>AP12="C4"</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4" priority="1110">
      <formula>AP12="C3"</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7" priority="1111">
      <formula>AP12="C2"</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0" priority="1112">
      <formula>AP12="C1"</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6" priority="1113">
      <formula>AP12="S4"</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7" priority="1114">
      <formula>AP12="S3"</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8" priority="1115">
      <formula>AP12="S2"</formula>
    </cfRule>
  </conditionalFormatting>
  <conditionalFormatting sqref="AP12 AR12 BE12 BG12 BI12 BK12 BM12 BO12 BQ12 AP14:AP16 AR14:AR16 R19:R28 T19:T28 V19 X19:X28 AA19:AA28 AC19:AC28 AE19:AE28 AG19:AG29 AI19:AI29 AK19:AK29 AM19:AM29 AP19:AP29 AR19:AR29 AT19:AT29 AV19:AV29 AX19:AX29 AZ19:AZ29 BB19:BB29 BE19:BE29 BG19:BG29 BI19:BI29 BK19:BK29 BM19:BM29 BO19:BO29 BQ19:BQ29 V21:V28 N22:N28 P22:P28 I23:I28 L23:L28">
    <cfRule type="expression" dxfId="19" priority="1116">
      <formula>AP12="S1"</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7" priority="1117">
      <formula>AI7="C6"</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27" priority="1118">
      <formula>AI7="TC6"</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27" priority="1119">
      <formula>AI7="TC5"</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27" priority="1120">
      <formula>AI7="TC4"</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27" priority="1121">
      <formula>AI7="TC3"</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27" priority="1122">
      <formula>AI7="TC2"</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27" priority="1123">
      <formula>AI7="TC1"</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8" priority="1124">
      <formula>AI7="Full"</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9" priority="1125">
      <formula>AI7="OFF"</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0" priority="1126">
      <formula>AI7="Gãy 2"</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0" priority="1127">
      <formula>AI7="Gãy 1"</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1" priority="1128">
      <formula>AI7="HC4"</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1" priority="1129">
      <formula>AI7="HC3"</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1" priority="1130">
      <formula>AI7="HC2"</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1" priority="1131">
      <formula>AI7="HC1"</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2" priority="1132">
      <formula>AI7="C5"</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3" priority="1133">
      <formula>AI7="C4"</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4" priority="1134">
      <formula>AI7="C3"</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7" priority="1135">
      <formula>AI7="C2"</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0" priority="1136">
      <formula>AI7="C1"</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6" priority="1137">
      <formula>AI7="S4"</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7" priority="1138">
      <formula>AI7="S3"</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8" priority="1139">
      <formula>AI7="S2"</formula>
    </cfRule>
  </conditionalFormatting>
  <conditionalFormatting sqref="AI7:AI17 AK7:AK17 AM7:AM17 AP7:AP17 AR7:AR17 AT7:AT17 AV7:AV17 AX7:AX17 AZ7:AZ17 BB7:BB17 BE7:BE17 BG7:BG17 BI7:BI17 BK7:BK17 BM7:BM17 BO7:BO17 BQ7:BQ17 AE12:AE13 AG12:AG13 T19:T28 V19:V28 X19:X28 AA19:AA28 AC19:AC28 AE19:AE28 AG19:AG28 AI19:AI29 AK19:AK29 AM19:AM29 AP19:AP29 AR19:AR29 AT19:AT29 AV19:AV29 AX19:BC29 BE19:BR29">
    <cfRule type="expression" dxfId="19" priority="1140">
      <formula>AI7="S1"</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7" priority="1141">
      <formula>AP12="C6"</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27" priority="1142">
      <formula>AP12="TC6"</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27" priority="1143">
      <formula>AP12="TC5"</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27" priority="1144">
      <formula>AP12="TC4"</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27" priority="1145">
      <formula>AP12="TC3"</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27" priority="1146">
      <formula>AP12="TC2"</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27" priority="1147">
      <formula>AP12="TC1"</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8" priority="1148">
      <formula>AP12="Full"</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9" priority="1149">
      <formula>AP12="OFF"</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0" priority="1150">
      <formula>AP12="Gãy 2"</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0" priority="1151">
      <formula>AP12="Gãy 1"</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1" priority="1152">
      <formula>AP12="HC4"</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1" priority="1153">
      <formula>AP12="HC3"</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1" priority="1154">
      <formula>AP12="HC2"</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1" priority="1155">
      <formula>AP12="HC1"</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2" priority="1156">
      <formula>AP12="C5"</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3" priority="1157">
      <formula>AP12="C4"</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4" priority="1158">
      <formula>AP12="C3"</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7" priority="1159">
      <formula>AP12="C2"</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0" priority="1160">
      <formula>AP12="C1"</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6" priority="1161">
      <formula>AP12="S4"</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7" priority="1162">
      <formula>AP12="S3"</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8" priority="1163">
      <formula>AP12="S2"</formula>
    </cfRule>
  </conditionalFormatting>
  <conditionalFormatting sqref="AP12 AR12 BE12 BG12 BI12 BK12 BM12 BO12 BQ12 AP14:AP16 AR14:AR16 T19:T28 V19:V20 X19:X20 AA19:AA20 AC19:AC20 AE19:AE20 AG19:AG20 AI19:AI29 AK19:AK29 AM19:AM29 AP19:AP29 AR19:AR29 AT19:AT29 AV19:AV28 AX19:AX28 AZ19:AZ28 BB19:BB28 BE19:BE28 BG19:BG28 BI19:BI28 BK19:BK28 BM19:BM28 BO19:BO28 BQ19:BQ28">
    <cfRule type="expression" dxfId="19" priority="1164">
      <formula>AP12="S1"</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2" priority="1165">
      <formula>M7="BigNĐ"</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2" priority="1166">
      <formula>M7="GaNĐ"</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28" priority="1167">
      <formula>M7="NBAI"</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4" priority="1168">
      <formula>M7="PTYB"</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1" priority="1169">
      <formula>M7="YB"</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5" priority="1170">
      <formula>M7="PT"</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 priority="1171">
      <formula>M7="VT"</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1" priority="1172">
      <formula>M7="NB"</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5" priority="1173">
      <formula>M7="TB"</formula>
    </cfRule>
  </conditionalFormatting>
  <conditionalFormatting sqref="M7:M17 O7:O17 Q7:Q17 S7:S17 AB7:AB17 AD7:AD17 AF7:AF17 AH7:AH17 AJ7:AJ17 AQ7:AQ17 AS7:AS17 AU7:AU17 AW7:AW17 AY7:AY17 BA7:BA17 BC7:BC17 BF7:BF17 BH7:BH17 BJ7:BJ17 BL7:BL17 BN7:BN17 BP7:BP17 F19 M19:M29 O19:O29 Q19:Q29 S19:S29 U19 W19 Y19:Y28 AB19:AB29 AD19:AD29 AF19:AF29 AH19:AH29 AJ19:AJ28 AQ19:AQ29 AS19:AS29 AU19:AU29 AW19:AW29 AY19:AY29 BA19:BA29 BC19:BC29 BF19:BF29 BH19:BH29 BJ19:BJ29 BL19:BL29 BN19:BN29 BP19:BP29 W21:W28 U22:U28 AL23:AL28 BR29">
    <cfRule type="expression" dxfId="6" priority="1174">
      <formula>M7="NĐ"</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7" priority="1175">
      <formula>L7="C6"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176">
      <formula>L7="TC6"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177">
      <formula>L7="TC5"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178">
      <formula>L7="TC4"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179">
      <formula>L7="TC3"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180">
      <formula>L7="TC2"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181">
      <formula>L7="TC1"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8" priority="1182">
      <formula>L7="Full"</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9" priority="1183">
      <formula>L7="OFF"</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0" priority="1184">
      <formula>L7="Gãy 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0" priority="1185">
      <formula>L7="Gãy 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186">
      <formula>L7="HC4"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187">
      <formula>L7="HC3"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188">
      <formula>L7="HC2"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189">
      <formula>L7="HC1"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2" priority="1190">
      <formula>L7="C5"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3" priority="1191">
      <formula>L7="C4"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4" priority="1192">
      <formula>L7="C3"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7" priority="1193">
      <formula>L7="C2"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0" priority="1194">
      <formula>L7="C1"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6" priority="1195">
      <formula>L7="S4"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7" priority="1196">
      <formula>L7="S3"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8" priority="1197">
      <formula>L7="S2"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9" priority="1198">
      <formula>L7="S1"</formula>
    </cfRule>
  </conditionalFormatting>
  <conditionalFormatting sqref="AZ19:AZ29 BB19:BB29 BE19:BE29 BG19:BG29 BI19:BI29 BK19:BK29 BM19:BM29 BO19:BO29 BQ19:BQ29">
    <cfRule type="expression" dxfId="7" priority="1199">
      <formula>AZ19="C6"</formula>
    </cfRule>
  </conditionalFormatting>
  <conditionalFormatting sqref="AZ19:AZ29 BB19:BB29 BE19:BE29 BG19:BG29 BI19:BI29 BK19:BK29 BM19:BM29 BO19:BO29 BQ19:BQ29">
    <cfRule type="expression" dxfId="27" priority="1200">
      <formula>AZ19="TC6"</formula>
    </cfRule>
  </conditionalFormatting>
  <conditionalFormatting sqref="AZ19:AZ29 BB19:BB29 BE19:BE29 BG19:BG29 BI19:BI29 BK19:BK29 BM19:BM29 BO19:BO29 BQ19:BQ29">
    <cfRule type="expression" dxfId="27" priority="1201">
      <formula>AZ19="TC5"</formula>
    </cfRule>
  </conditionalFormatting>
  <conditionalFormatting sqref="AZ19:AZ29 BB19:BB29 BE19:BE29 BG19:BG29 BI19:BI29 BK19:BK29 BM19:BM29 BO19:BO29 BQ19:BQ29">
    <cfRule type="expression" dxfId="27" priority="1202">
      <formula>AZ19="TC4"</formula>
    </cfRule>
  </conditionalFormatting>
  <conditionalFormatting sqref="AZ19:AZ29 BB19:BB29 BE19:BE29 BG19:BG29 BI19:BI29 BK19:BK29 BM19:BM29 BO19:BO29 BQ19:BQ29">
    <cfRule type="expression" dxfId="27" priority="1203">
      <formula>AZ19="TC3"</formula>
    </cfRule>
  </conditionalFormatting>
  <conditionalFormatting sqref="AZ19:AZ29 BB19:BB29 BE19:BE29 BG19:BG29 BI19:BI29 BK19:BK29 BM19:BM29 BO19:BO29 BQ19:BQ29">
    <cfRule type="expression" dxfId="27" priority="1204">
      <formula>AZ19="TC2"</formula>
    </cfRule>
  </conditionalFormatting>
  <conditionalFormatting sqref="AZ19:AZ29 BB19:BB29 BE19:BE29 BG19:BG29 BI19:BI29 BK19:BK29 BM19:BM29 BO19:BO29 BQ19:BQ29">
    <cfRule type="expression" dxfId="27" priority="1205">
      <formula>AZ19="TC1"</formula>
    </cfRule>
  </conditionalFormatting>
  <conditionalFormatting sqref="AZ19:AZ29 BB19:BB29 BE19:BE29 BG19:BG29 BI19:BI29 BK19:BK29 BM19:BM29 BO19:BO29 BQ19:BQ29">
    <cfRule type="expression" dxfId="8" priority="1206">
      <formula>AZ19="Full"</formula>
    </cfRule>
  </conditionalFormatting>
  <conditionalFormatting sqref="AZ19:AZ29 BB19:BB29 BE19:BE29 BG19:BG29 BI19:BI29 BK19:BK29 BM19:BM29 BO19:BO29 BQ19:BQ29">
    <cfRule type="expression" dxfId="9" priority="1207">
      <formula>AZ19="OFF"</formula>
    </cfRule>
  </conditionalFormatting>
  <conditionalFormatting sqref="AZ19:AZ29 BB19:BB29 BE19:BE29 BG19:BG29 BI19:BI29 BK19:BK29 BM19:BM29 BO19:BO29 BQ19:BQ29">
    <cfRule type="expression" dxfId="10" priority="1208">
      <formula>AZ19="Gãy 2"</formula>
    </cfRule>
  </conditionalFormatting>
  <conditionalFormatting sqref="AZ19:AZ29 BB19:BB29 BE19:BE29 BG19:BG29 BI19:BI29 BK19:BK29 BM19:BM29 BO19:BO29 BQ19:BQ29">
    <cfRule type="expression" dxfId="10" priority="1209">
      <formula>AZ19="Gãy 1"</formula>
    </cfRule>
  </conditionalFormatting>
  <conditionalFormatting sqref="AZ19:AZ29 BB19:BB29 BE19:BE29 BG19:BG29 BI19:BI29 BK19:BK29 BM19:BM29 BO19:BO29 BQ19:BQ29">
    <cfRule type="expression" dxfId="11" priority="1210">
      <formula>AZ19="HC4"</formula>
    </cfRule>
  </conditionalFormatting>
  <conditionalFormatting sqref="AZ19:AZ29 BB19:BB29 BE19:BE29 BG19:BG29 BI19:BI29 BK19:BK29 BM19:BM29 BO19:BO29 BQ19:BQ29">
    <cfRule type="expression" dxfId="11" priority="1211">
      <formula>AZ19="HC3"</formula>
    </cfRule>
  </conditionalFormatting>
  <conditionalFormatting sqref="AZ19:AZ29 BB19:BB29 BE19:BE29 BG19:BG29 BI19:BI29 BK19:BK29 BM19:BM29 BO19:BO29 BQ19:BQ29">
    <cfRule type="expression" dxfId="11" priority="1212">
      <formula>AZ19="HC2"</formula>
    </cfRule>
  </conditionalFormatting>
  <conditionalFormatting sqref="AZ19:AZ29 BB19:BB29 BE19:BE29 BG19:BG29 BI19:BI29 BK19:BK29 BM19:BM29 BO19:BO29 BQ19:BQ29">
    <cfRule type="expression" dxfId="11" priority="1213">
      <formula>AZ19="HC1"</formula>
    </cfRule>
  </conditionalFormatting>
  <conditionalFormatting sqref="AZ19:AZ29 BB19:BB29 BE19:BE29 BG19:BG29 BI19:BI29 BK19:BK29 BM19:BM29 BO19:BO29 BQ19:BQ29">
    <cfRule type="expression" dxfId="12" priority="1214">
      <formula>AZ19="C5"</formula>
    </cfRule>
  </conditionalFormatting>
  <conditionalFormatting sqref="AZ19:AZ29 BB19:BB29 BE19:BE29 BG19:BG29 BI19:BI29 BK19:BK29 BM19:BM29 BO19:BO29 BQ19:BQ29">
    <cfRule type="expression" dxfId="13" priority="1215">
      <formula>AZ19="C4"</formula>
    </cfRule>
  </conditionalFormatting>
  <conditionalFormatting sqref="AZ19:AZ29 BB19:BB29 BE19:BE29 BG19:BG29 BI19:BI29 BK19:BK29 BM19:BM29 BO19:BO29 BQ19:BQ29">
    <cfRule type="expression" dxfId="14" priority="1216">
      <formula>AZ19="C3"</formula>
    </cfRule>
  </conditionalFormatting>
  <conditionalFormatting sqref="AZ19:AZ29 BB19:BB29 BE19:BE29 BG19:BG29 BI19:BI29 BK19:BK29 BM19:BM29 BO19:BO29 BQ19:BQ29">
    <cfRule type="expression" dxfId="7" priority="1217">
      <formula>AZ19="C2"</formula>
    </cfRule>
  </conditionalFormatting>
  <conditionalFormatting sqref="AZ19:AZ29 BB19:BB29 BE19:BE29 BG19:BG29 BI19:BI29 BK19:BK29 BM19:BM29 BO19:BO29 BQ19:BQ29">
    <cfRule type="expression" dxfId="0" priority="1218">
      <formula>AZ19="C1"</formula>
    </cfRule>
  </conditionalFormatting>
  <conditionalFormatting sqref="AZ19:AZ29 BB19:BB29 BE19:BE29 BG19:BG29 BI19:BI29 BK19:BK29 BM19:BM29 BO19:BO29 BQ19:BQ29">
    <cfRule type="expression" dxfId="16" priority="1219">
      <formula>AZ19="S4"</formula>
    </cfRule>
  </conditionalFormatting>
  <conditionalFormatting sqref="AZ19:AZ29 BB19:BB29 BE19:BE29 BG19:BG29 BI19:BI29 BK19:BK29 BM19:BM29 BO19:BO29 BQ19:BQ29">
    <cfRule type="expression" dxfId="17" priority="1220">
      <formula>AZ19="S3"</formula>
    </cfRule>
  </conditionalFormatting>
  <conditionalFormatting sqref="AZ19:AZ29 BB19:BB29 BE19:BE29 BG19:BG29 BI19:BI29 BK19:BK29 BM19:BM29 BO19:BO29 BQ19:BQ29">
    <cfRule type="expression" dxfId="18" priority="1221">
      <formula>AZ19="S2"</formula>
    </cfRule>
  </conditionalFormatting>
  <conditionalFormatting sqref="AZ19:AZ29 BB19:BB29 BE19:BE29 BG19:BG29 BI19:BI29 BK19:BK29 BM19:BM29 BO19:BO29 BQ19:BQ29">
    <cfRule type="expression" dxfId="19" priority="1222">
      <formula>AZ19="S1"</formula>
    </cfRule>
  </conditionalFormatting>
  <conditionalFormatting sqref="BB7:BB17 BQ7:BQ17 BB19:BB29">
    <cfRule type="expression" dxfId="7" priority="1223">
      <formula>BB7="C6"</formula>
    </cfRule>
  </conditionalFormatting>
  <conditionalFormatting sqref="BB7:BB17 BQ7:BQ17 BB19:BB29">
    <cfRule type="expression" dxfId="27" priority="1224">
      <formula>BB7="TC6"</formula>
    </cfRule>
  </conditionalFormatting>
  <conditionalFormatting sqref="BB7:BB17 BQ7:BQ17 BB19:BB29">
    <cfRule type="expression" dxfId="27" priority="1225">
      <formula>BB7="TC5"</formula>
    </cfRule>
  </conditionalFormatting>
  <conditionalFormatting sqref="BB7:BB17 BQ7:BQ17 BB19:BB29">
    <cfRule type="expression" dxfId="27" priority="1226">
      <formula>BB7="TC4"</formula>
    </cfRule>
  </conditionalFormatting>
  <conditionalFormatting sqref="BB7:BB17 BQ7:BQ17 BB19:BB29">
    <cfRule type="expression" dxfId="27" priority="1227">
      <formula>BB7="TC3"</formula>
    </cfRule>
  </conditionalFormatting>
  <conditionalFormatting sqref="BB7:BB17 BQ7:BQ17 BB19:BB29">
    <cfRule type="expression" dxfId="27" priority="1228">
      <formula>BB7="TC2"</formula>
    </cfRule>
  </conditionalFormatting>
  <conditionalFormatting sqref="BB7:BB17 BQ7:BQ17 BB19:BB29">
    <cfRule type="expression" dxfId="27" priority="1229">
      <formula>BB7="TC1"</formula>
    </cfRule>
  </conditionalFormatting>
  <conditionalFormatting sqref="BB7:BB17 BQ7:BQ17 BB19:BB29">
    <cfRule type="expression" dxfId="8" priority="1230">
      <formula>BB7="Full"</formula>
    </cfRule>
  </conditionalFormatting>
  <conditionalFormatting sqref="BB7:BB17 BQ7:BQ17 BB19:BB29">
    <cfRule type="expression" dxfId="9" priority="1231">
      <formula>BB7="OFF"</formula>
    </cfRule>
  </conditionalFormatting>
  <conditionalFormatting sqref="BB7:BB17 BQ7:BQ17 BB19:BB29">
    <cfRule type="expression" dxfId="10" priority="1232">
      <formula>BB7="Gãy 2"</formula>
    </cfRule>
  </conditionalFormatting>
  <conditionalFormatting sqref="BB7:BB17 BQ7:BQ17 BB19:BB29">
    <cfRule type="expression" dxfId="10" priority="1233">
      <formula>BB7="Gãy 1"</formula>
    </cfRule>
  </conditionalFormatting>
  <conditionalFormatting sqref="BB7:BB17 BQ7:BQ17 BB19:BB29">
    <cfRule type="expression" dxfId="11" priority="1234">
      <formula>BB7="HC4"</formula>
    </cfRule>
  </conditionalFormatting>
  <conditionalFormatting sqref="BB7:BB17 BQ7:BQ17 BB19:BB29">
    <cfRule type="expression" dxfId="11" priority="1235">
      <formula>BB7="HC3"</formula>
    </cfRule>
  </conditionalFormatting>
  <conditionalFormatting sqref="BB7:BB17 BQ7:BQ17 BB19:BB29">
    <cfRule type="expression" dxfId="11" priority="1236">
      <formula>BB7="HC2"</formula>
    </cfRule>
  </conditionalFormatting>
  <conditionalFormatting sqref="BB7:BB17 BQ7:BQ17 BB19:BB29">
    <cfRule type="expression" dxfId="11" priority="1237">
      <formula>BB7="HC1"</formula>
    </cfRule>
  </conditionalFormatting>
  <conditionalFormatting sqref="BB7:BB17 BQ7:BQ17 BB19:BB29">
    <cfRule type="expression" dxfId="12" priority="1238">
      <formula>BB7="C5"</formula>
    </cfRule>
  </conditionalFormatting>
  <conditionalFormatting sqref="BB7:BB17 BQ7:BQ17 BB19:BB29">
    <cfRule type="expression" dxfId="13" priority="1239">
      <formula>BB7="C4"</formula>
    </cfRule>
  </conditionalFormatting>
  <conditionalFormatting sqref="BB7:BB17 BQ7:BQ17 BB19:BB29">
    <cfRule type="expression" dxfId="14" priority="1240">
      <formula>BB7="C3"</formula>
    </cfRule>
  </conditionalFormatting>
  <conditionalFormatting sqref="BB7:BB17 BQ7:BQ17 BB19:BB29">
    <cfRule type="expression" dxfId="7" priority="1241">
      <formula>BB7="C2"</formula>
    </cfRule>
  </conditionalFormatting>
  <conditionalFormatting sqref="BB7:BB17 BQ7:BQ17 BB19:BB29">
    <cfRule type="expression" dxfId="0" priority="1242">
      <formula>BB7="C1"</formula>
    </cfRule>
  </conditionalFormatting>
  <conditionalFormatting sqref="BB7:BB17 BQ7:BQ17 BB19:BB29">
    <cfRule type="expression" dxfId="16" priority="1243">
      <formula>BB7="S4"</formula>
    </cfRule>
  </conditionalFormatting>
  <conditionalFormatting sqref="BB7:BB17 BQ7:BQ17 BB19:BB29">
    <cfRule type="expression" dxfId="17" priority="1244">
      <formula>BB7="S3"</formula>
    </cfRule>
  </conditionalFormatting>
  <conditionalFormatting sqref="BB7:BB17 BQ7:BQ17 BB19:BB29">
    <cfRule type="expression" dxfId="18" priority="1245">
      <formula>BB7="S2"</formula>
    </cfRule>
  </conditionalFormatting>
  <conditionalFormatting sqref="BB7:BB17 BQ7:BQ17 BB19:BB29">
    <cfRule type="expression" dxfId="19" priority="1246">
      <formula>BB7="S1"</formula>
    </cfRule>
  </conditionalFormatting>
  <conditionalFormatting sqref="BB19:BB29">
    <cfRule type="expression" dxfId="7" priority="1247">
      <formula>BB19="C6"</formula>
    </cfRule>
  </conditionalFormatting>
  <conditionalFormatting sqref="BB19:BB29">
    <cfRule type="expression" dxfId="27" priority="1248">
      <formula>BB19="TC6"</formula>
    </cfRule>
  </conditionalFormatting>
  <conditionalFormatting sqref="BB19:BB29">
    <cfRule type="expression" dxfId="27" priority="1249">
      <formula>BB19="TC5"</formula>
    </cfRule>
  </conditionalFormatting>
  <conditionalFormatting sqref="BB19:BB29">
    <cfRule type="expression" dxfId="27" priority="1250">
      <formula>BB19="TC4"</formula>
    </cfRule>
  </conditionalFormatting>
  <conditionalFormatting sqref="BB19:BB29">
    <cfRule type="expression" dxfId="27" priority="1251">
      <formula>BB19="TC3"</formula>
    </cfRule>
  </conditionalFormatting>
  <conditionalFormatting sqref="BB19:BB29">
    <cfRule type="expression" dxfId="27" priority="1252">
      <formula>BB19="TC2"</formula>
    </cfRule>
  </conditionalFormatting>
  <conditionalFormatting sqref="BB19:BB29">
    <cfRule type="expression" dxfId="27" priority="1253">
      <formula>BB19="TC1"</formula>
    </cfRule>
  </conditionalFormatting>
  <conditionalFormatting sqref="BB19:BB29">
    <cfRule type="expression" dxfId="8" priority="1254">
      <formula>BB19="Full"</formula>
    </cfRule>
  </conditionalFormatting>
  <conditionalFormatting sqref="BB19:BB29">
    <cfRule type="expression" dxfId="9" priority="1255">
      <formula>BB19="OFF"</formula>
    </cfRule>
  </conditionalFormatting>
  <conditionalFormatting sqref="BB19:BB29">
    <cfRule type="expression" dxfId="10" priority="1256">
      <formula>BB19="Gãy 2"</formula>
    </cfRule>
  </conditionalFormatting>
  <conditionalFormatting sqref="BB19:BB29">
    <cfRule type="expression" dxfId="10" priority="1257">
      <formula>BB19="Gãy 1"</formula>
    </cfRule>
  </conditionalFormatting>
  <conditionalFormatting sqref="BB19:BB29">
    <cfRule type="expression" dxfId="11" priority="1258">
      <formula>BB19="HC4"</formula>
    </cfRule>
  </conditionalFormatting>
  <conditionalFormatting sqref="BB19:BB29">
    <cfRule type="expression" dxfId="11" priority="1259">
      <formula>BB19="HC3"</formula>
    </cfRule>
  </conditionalFormatting>
  <conditionalFormatting sqref="BB19:BB29">
    <cfRule type="expression" dxfId="11" priority="1260">
      <formula>BB19="HC2"</formula>
    </cfRule>
  </conditionalFormatting>
  <conditionalFormatting sqref="BB19:BB29">
    <cfRule type="expression" dxfId="11" priority="1261">
      <formula>BB19="HC1"</formula>
    </cfRule>
  </conditionalFormatting>
  <conditionalFormatting sqref="BB19:BB29">
    <cfRule type="expression" dxfId="12" priority="1262">
      <formula>BB19="C5"</formula>
    </cfRule>
  </conditionalFormatting>
  <conditionalFormatting sqref="BB19:BB29">
    <cfRule type="expression" dxfId="13" priority="1263">
      <formula>BB19="C4"</formula>
    </cfRule>
  </conditionalFormatting>
  <conditionalFormatting sqref="BB19:BB29">
    <cfRule type="expression" dxfId="14" priority="1264">
      <formula>BB19="C3"</formula>
    </cfRule>
  </conditionalFormatting>
  <conditionalFormatting sqref="BB19:BB29">
    <cfRule type="expression" dxfId="7" priority="1265">
      <formula>BB19="C2"</formula>
    </cfRule>
  </conditionalFormatting>
  <conditionalFormatting sqref="BB19:BB29">
    <cfRule type="expression" dxfId="0" priority="1266">
      <formula>BB19="C1"</formula>
    </cfRule>
  </conditionalFormatting>
  <conditionalFormatting sqref="BB19:BB29">
    <cfRule type="expression" dxfId="16" priority="1267">
      <formula>BB19="S4"</formula>
    </cfRule>
  </conditionalFormatting>
  <conditionalFormatting sqref="BB19:BB29">
    <cfRule type="expression" dxfId="17" priority="1268">
      <formula>BB19="S3"</formula>
    </cfRule>
  </conditionalFormatting>
  <conditionalFormatting sqref="BB19:BB29">
    <cfRule type="expression" dxfId="18" priority="1269">
      <formula>BB19="S2"</formula>
    </cfRule>
  </conditionalFormatting>
  <conditionalFormatting sqref="BB19:BB29">
    <cfRule type="expression" dxfId="19" priority="1270">
      <formula>BB19="S1"</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7" priority="1271">
      <formula>L7="C6"</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27" priority="1272">
      <formula>L7="TC6"</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27" priority="1273">
      <formula>L7="TC5"</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27" priority="1274">
      <formula>L7="TC4"</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27" priority="1275">
      <formula>L7="TC3"</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27" priority="1276">
      <formula>L7="TC2"</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27" priority="1277">
      <formula>L7="TC1"</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8" priority="1278">
      <formula>L7="Full"</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9" priority="1279">
      <formula>L7="OFF"</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0" priority="1280">
      <formula>L7="Gãy 2"</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0" priority="1281">
      <formula>L7="Gãy 1"</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1" priority="1282">
      <formula>L7="HC4"</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1" priority="1283">
      <formula>L7="HC3"</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1" priority="1284">
      <formula>L7="HC2"</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1" priority="1285">
      <formula>L7="HC1"</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2" priority="1286">
      <formula>L7="C5"</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3" priority="1287">
      <formula>L7="C4"</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4" priority="1288">
      <formula>L7="C3"</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7" priority="1289">
      <formula>L7="C2"</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0" priority="1290">
      <formula>L7="C1"</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6" priority="1291">
      <formula>L7="S4"</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7" priority="1292">
      <formula>L7="S3"</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8" priority="1293">
      <formula>L7="S2"</formula>
    </cfRule>
  </conditionalFormatting>
  <conditionalFormatting sqref="L7:L17 AA7:AA17 AP7:AP17 BE7:BE17 BI7:BI8 BK7 BM7:BM17 BQ7:BQ17 X9:X10 AM9:AM10 BB9:BB10 X12 AE12:AE13 AM12:AM16 AR12:AR16 AT12:AT17 BB12:BB17 BG12:BG13 BI12:BI17 BK12:BK13 BO12:BO13 AG13 AI13:AI17 AV13 AX13:AX17 E14:E17 T14:T17 L19:L29 N19:N29 P19:P29 R19:R29 T19:T29 V19:V29 X19:X29 AA19:AA29 AC19:AC29 AE19:AE29 AG19:AG29 AI19:AI29 AK19:AK29 AM19:AM29 AP19:AP29 AR19:AR29 AT19:AT29 AV19:AV29 AX19:AX29 AZ19:AZ29 BB19:BB29 BE19:BE29 BG19:BG29 BI19:BI29 BK19:BK29 BM19:BM29 BO19:BO29 BQ19:BQ29">
    <cfRule type="expression" dxfId="19" priority="1294">
      <formula>L7="S1"</formula>
    </cfRule>
  </conditionalFormatting>
  <conditionalFormatting sqref="BE19:BE29 BI19:BI29 BK19:BK29 BM19:BM29 BO19:BO29 BQ19:BQ29 BG22:BG29">
    <cfRule type="expression" dxfId="7" priority="1295">
      <formula>BE19="C6"</formula>
    </cfRule>
  </conditionalFormatting>
  <conditionalFormatting sqref="BE19:BE29 BI19:BI29 BK19:BK29 BM19:BM29 BO19:BO29 BQ19:BQ29 BG22:BG29">
    <cfRule type="expression" dxfId="27" priority="1296">
      <formula>BE19="TC6"</formula>
    </cfRule>
  </conditionalFormatting>
  <conditionalFormatting sqref="BE19:BE29 BI19:BI29 BK19:BK29 BM19:BM29 BO19:BO29 BQ19:BQ29 BG22:BG29">
    <cfRule type="expression" dxfId="27" priority="1297">
      <formula>BE19="TC5"</formula>
    </cfRule>
  </conditionalFormatting>
  <conditionalFormatting sqref="BE19:BE29 BI19:BI29 BK19:BK29 BM19:BM29 BO19:BO29 BQ19:BQ29 BG22:BG29">
    <cfRule type="expression" dxfId="27" priority="1298">
      <formula>BE19="TC4"</formula>
    </cfRule>
  </conditionalFormatting>
  <conditionalFormatting sqref="BE19:BE29 BI19:BI29 BK19:BK29 BM19:BM29 BO19:BO29 BQ19:BQ29 BG22:BG29">
    <cfRule type="expression" dxfId="27" priority="1299">
      <formula>BE19="TC3"</formula>
    </cfRule>
  </conditionalFormatting>
  <conditionalFormatting sqref="BE19:BE29 BI19:BI29 BK19:BK29 BM19:BM29 BO19:BO29 BQ19:BQ29 BG22:BG29">
    <cfRule type="expression" dxfId="27" priority="1300">
      <formula>BE19="TC2"</formula>
    </cfRule>
  </conditionalFormatting>
  <conditionalFormatting sqref="BE19:BE29 BI19:BI29 BK19:BK29 BM19:BM29 BO19:BO29 BQ19:BQ29 BG22:BG29">
    <cfRule type="expression" dxfId="27" priority="1301">
      <formula>BE19="TC1"</formula>
    </cfRule>
  </conditionalFormatting>
  <conditionalFormatting sqref="BE19:BE29 BI19:BI29 BK19:BK29 BM19:BM29 BO19:BO29 BQ19:BQ29 BG22:BG29">
    <cfRule type="expression" dxfId="8" priority="1302">
      <formula>BE19="Full"</formula>
    </cfRule>
  </conditionalFormatting>
  <conditionalFormatting sqref="BE19:BE29 BI19:BI29 BK19:BK29 BM19:BM29 BO19:BO29 BQ19:BQ29 BG22:BG29">
    <cfRule type="expression" dxfId="9" priority="1303">
      <formula>BE19="OFF"</formula>
    </cfRule>
  </conditionalFormatting>
  <conditionalFormatting sqref="BE19:BE29 BI19:BI29 BK19:BK29 BM19:BM29 BO19:BO29 BQ19:BQ29 BG22:BG29">
    <cfRule type="expression" dxfId="10" priority="1304">
      <formula>BE19="Gãy 2"</formula>
    </cfRule>
  </conditionalFormatting>
  <conditionalFormatting sqref="BE19:BE29 BI19:BI29 BK19:BK29 BM19:BM29 BO19:BO29 BQ19:BQ29 BG22:BG29">
    <cfRule type="expression" dxfId="10" priority="1305">
      <formula>BE19="Gãy 1"</formula>
    </cfRule>
  </conditionalFormatting>
  <conditionalFormatting sqref="BE19:BE29 BI19:BI29 BK19:BK29 BM19:BM29 BO19:BO29 BQ19:BQ29 BG22:BG29">
    <cfRule type="expression" dxfId="11" priority="1306">
      <formula>BE19="HC4"</formula>
    </cfRule>
  </conditionalFormatting>
  <conditionalFormatting sqref="BE19:BE29 BI19:BI29 BK19:BK29 BM19:BM29 BO19:BO29 BQ19:BQ29 BG22:BG29">
    <cfRule type="expression" dxfId="11" priority="1307">
      <formula>BE19="HC3"</formula>
    </cfRule>
  </conditionalFormatting>
  <conditionalFormatting sqref="BE19:BE29 BI19:BI29 BK19:BK29 BM19:BM29 BO19:BO29 BQ19:BQ29 BG22:BG29">
    <cfRule type="expression" dxfId="11" priority="1308">
      <formula>BE19="HC2"</formula>
    </cfRule>
  </conditionalFormatting>
  <conditionalFormatting sqref="BE19:BE29 BI19:BI29 BK19:BK29 BM19:BM29 BO19:BO29 BQ19:BQ29 BG22:BG29">
    <cfRule type="expression" dxfId="11" priority="1309">
      <formula>BE19="HC1"</formula>
    </cfRule>
  </conditionalFormatting>
  <conditionalFormatting sqref="BE19:BE29 BI19:BI29 BK19:BK29 BM19:BM29 BO19:BO29 BQ19:BQ29 BG22:BG29">
    <cfRule type="expression" dxfId="12" priority="1310">
      <formula>BE19="C5"</formula>
    </cfRule>
  </conditionalFormatting>
  <conditionalFormatting sqref="BE19:BE29 BI19:BI29 BK19:BK29 BM19:BM29 BO19:BO29 BQ19:BQ29 BG22:BG29">
    <cfRule type="expression" dxfId="13" priority="1311">
      <formula>BE19="C4"</formula>
    </cfRule>
  </conditionalFormatting>
  <conditionalFormatting sqref="BE19:BE29 BI19:BI29 BK19:BK29 BM19:BM29 BO19:BO29 BQ19:BQ29 BG22:BG29">
    <cfRule type="expression" dxfId="14" priority="1312">
      <formula>BE19="C3"</formula>
    </cfRule>
  </conditionalFormatting>
  <conditionalFormatting sqref="BE19:BE29 BI19:BI29 BK19:BK29 BM19:BM29 BO19:BO29 BQ19:BQ29 BG22:BG29">
    <cfRule type="expression" dxfId="7" priority="1313">
      <formula>BE19="C2"</formula>
    </cfRule>
  </conditionalFormatting>
  <conditionalFormatting sqref="BE19:BE29 BI19:BI29 BK19:BK29 BM19:BM29 BO19:BO29 BQ19:BQ29 BG22:BG29">
    <cfRule type="expression" dxfId="0" priority="1314">
      <formula>BE19="C1"</formula>
    </cfRule>
  </conditionalFormatting>
  <conditionalFormatting sqref="BE19:BE29 BI19:BI29 BK19:BK29 BM19:BM29 BO19:BO29 BQ19:BQ29 BG22:BG29">
    <cfRule type="expression" dxfId="16" priority="1315">
      <formula>BE19="S4"</formula>
    </cfRule>
  </conditionalFormatting>
  <conditionalFormatting sqref="BE19:BE29 BI19:BI29 BK19:BK29 BM19:BM29 BO19:BO29 BQ19:BQ29 BG22:BG29">
    <cfRule type="expression" dxfId="17" priority="1316">
      <formula>BE19="S3"</formula>
    </cfRule>
  </conditionalFormatting>
  <conditionalFormatting sqref="BE19:BE29 BI19:BI29 BK19:BK29 BM19:BM29 BO19:BO29 BQ19:BQ29 BG22:BG29">
    <cfRule type="expression" dxfId="18" priority="1317">
      <formula>BE19="S2"</formula>
    </cfRule>
  </conditionalFormatting>
  <conditionalFormatting sqref="BE19:BE29 BI19:BI29 BK19:BK29 BM19:BM29 BO19:BO29 BQ19:BQ29 BG22:BG29">
    <cfRule type="expression" dxfId="19" priority="1318">
      <formula>BE19="S1"</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7" priority="1319">
      <formula>N7="C6"</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27" priority="1320">
      <formula>N7="TC6"</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27" priority="1321">
      <formula>N7="TC5"</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27" priority="1322">
      <formula>N7="TC4"</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27" priority="1323">
      <formula>N7="TC3"</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27" priority="1324">
      <formula>N7="TC2"</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27" priority="1325">
      <formula>N7="TC1"</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8" priority="1326">
      <formula>N7="Full"</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9" priority="1327">
      <formula>N7="OFF"</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0" priority="1328">
      <formula>N7="Gãy 2"</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0" priority="1329">
      <formula>N7="Gãy 1"</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1" priority="1330">
      <formula>N7="HC4"</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1" priority="1331">
      <formula>N7="HC3"</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1" priority="1332">
      <formula>N7="HC2"</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1" priority="1333">
      <formula>N7="HC1"</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2" priority="1334">
      <formula>N7="C5"</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3" priority="1335">
      <formula>N7="C4"</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4" priority="1336">
      <formula>N7="C3"</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7" priority="1337">
      <formula>N7="C2"</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0" priority="1338">
      <formula>N7="C1"</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6" priority="1339">
      <formula>N7="S4"</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7" priority="1340">
      <formula>N7="S3"</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8" priority="1341">
      <formula>N7="S2"</formula>
    </cfRule>
  </conditionalFormatting>
  <conditionalFormatting sqref="N7:N17 AC7:AC17 AR7:AR17 BG7:BG17 BI7:BI17 BK7:BK17 BM7:BM17 BO7:BO17 BQ7:BQ17 AP12 BE12 AP14:AP16 N19:N29 P19:P28 R19:R28 T19:T28 V19:V28 X19:X28 AA19:AA28 AC19:AC29 AE19:AE28 AG19:AG28 AI19:AI28 AK19:AK28 AM19:AM28 AP19:AP28 AR19:AR29 AT19:AT28 AV19:AV28 AX19:AX28 AZ19:AZ28 BB19:BB28 BE19:BE28 BG19:BG29 BI19:BI28 BK19:BK28 BM19:BR29 E22 G22 I22:I28 L22:L28">
    <cfRule type="expression" dxfId="19" priority="1342">
      <formula>N7="S1"</formula>
    </cfRule>
  </conditionalFormatting>
  <conditionalFormatting sqref="BG19:BG29">
    <cfRule type="expression" dxfId="7" priority="1343">
      <formula>BG19="C6"</formula>
    </cfRule>
  </conditionalFormatting>
  <conditionalFormatting sqref="BG19:BG29">
    <cfRule type="expression" dxfId="27" priority="1344">
      <formula>BG19="TC6"</formula>
    </cfRule>
  </conditionalFormatting>
  <conditionalFormatting sqref="BG19:BG29">
    <cfRule type="expression" dxfId="27" priority="1345">
      <formula>BG19="TC5"</formula>
    </cfRule>
  </conditionalFormatting>
  <conditionalFormatting sqref="BG19:BG29">
    <cfRule type="expression" dxfId="27" priority="1346">
      <formula>BG19="TC4"</formula>
    </cfRule>
  </conditionalFormatting>
  <conditionalFormatting sqref="BG19:BG29">
    <cfRule type="expression" dxfId="27" priority="1347">
      <formula>BG19="TC3"</formula>
    </cfRule>
  </conditionalFormatting>
  <conditionalFormatting sqref="BG19:BG29">
    <cfRule type="expression" dxfId="27" priority="1348">
      <formula>BG19="TC2"</formula>
    </cfRule>
  </conditionalFormatting>
  <conditionalFormatting sqref="BG19:BG29">
    <cfRule type="expression" dxfId="27" priority="1349">
      <formula>BG19="TC1"</formula>
    </cfRule>
  </conditionalFormatting>
  <conditionalFormatting sqref="BG19:BG29">
    <cfRule type="expression" dxfId="8" priority="1350">
      <formula>BG19="Full"</formula>
    </cfRule>
  </conditionalFormatting>
  <conditionalFormatting sqref="BG19:BG29">
    <cfRule type="expression" dxfId="9" priority="1351">
      <formula>BG19="OFF"</formula>
    </cfRule>
  </conditionalFormatting>
  <conditionalFormatting sqref="BG19:BG29">
    <cfRule type="expression" dxfId="10" priority="1352">
      <formula>BG19="Gãy 2"</formula>
    </cfRule>
  </conditionalFormatting>
  <conditionalFormatting sqref="BG19:BG29">
    <cfRule type="expression" dxfId="10" priority="1353">
      <formula>BG19="Gãy 1"</formula>
    </cfRule>
  </conditionalFormatting>
  <conditionalFormatting sqref="BG19:BG29">
    <cfRule type="expression" dxfId="11" priority="1354">
      <formula>BG19="HC4"</formula>
    </cfRule>
  </conditionalFormatting>
  <conditionalFormatting sqref="BG19:BG29">
    <cfRule type="expression" dxfId="11" priority="1355">
      <formula>BG19="HC3"</formula>
    </cfRule>
  </conditionalFormatting>
  <conditionalFormatting sqref="BG19:BG29">
    <cfRule type="expression" dxfId="11" priority="1356">
      <formula>BG19="HC2"</formula>
    </cfRule>
  </conditionalFormatting>
  <conditionalFormatting sqref="BG19:BG29">
    <cfRule type="expression" dxfId="11" priority="1357">
      <formula>BG19="HC1"</formula>
    </cfRule>
  </conditionalFormatting>
  <conditionalFormatting sqref="BG19:BG29">
    <cfRule type="expression" dxfId="12" priority="1358">
      <formula>BG19="C5"</formula>
    </cfRule>
  </conditionalFormatting>
  <conditionalFormatting sqref="BG19:BG29">
    <cfRule type="expression" dxfId="13" priority="1359">
      <formula>BG19="C4"</formula>
    </cfRule>
  </conditionalFormatting>
  <conditionalFormatting sqref="BG19:BG29">
    <cfRule type="expression" dxfId="14" priority="1360">
      <formula>BG19="C3"</formula>
    </cfRule>
  </conditionalFormatting>
  <conditionalFormatting sqref="BG19:BG29">
    <cfRule type="expression" dxfId="7" priority="1361">
      <formula>BG19="C2"</formula>
    </cfRule>
  </conditionalFormatting>
  <conditionalFormatting sqref="BG19:BG29">
    <cfRule type="expression" dxfId="0" priority="1362">
      <formula>BG19="C1"</formula>
    </cfRule>
  </conditionalFormatting>
  <conditionalFormatting sqref="BG19:BG29">
    <cfRule type="expression" dxfId="16" priority="1363">
      <formula>BG19="S4"</formula>
    </cfRule>
  </conditionalFormatting>
  <conditionalFormatting sqref="BG19:BG29">
    <cfRule type="expression" dxfId="17" priority="1364">
      <formula>BG19="S3"</formula>
    </cfRule>
  </conditionalFormatting>
  <conditionalFormatting sqref="BG19:BG29">
    <cfRule type="expression" dxfId="18" priority="1365">
      <formula>BG19="S2"</formula>
    </cfRule>
  </conditionalFormatting>
  <conditionalFormatting sqref="BG19:BG29">
    <cfRule type="expression" dxfId="19" priority="1366">
      <formula>BG19="S1"</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7" priority="1367">
      <formula>P7="C6"</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27" priority="1368">
      <formula>P7="TC6"</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27" priority="1369">
      <formula>P7="TC5"</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27" priority="1370">
      <formula>P7="TC4"</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27" priority="1371">
      <formula>P7="TC3"</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27" priority="1372">
      <formula>P7="TC2"</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27" priority="1373">
      <formula>P7="TC1"</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8" priority="1374">
      <formula>P7="Full"</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9" priority="1375">
      <formula>P7="OFF"</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0" priority="1376">
      <formula>P7="Gãy 2"</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0" priority="1377">
      <formula>P7="Gãy 1"</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1" priority="1378">
      <formula>P7="HC4"</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1" priority="1379">
      <formula>P7="HC3"</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1" priority="1380">
      <formula>P7="HC2"</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1" priority="1381">
      <formula>P7="HC1"</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2" priority="1382">
      <formula>P7="C5"</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3" priority="1383">
      <formula>P7="C4"</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4" priority="1384">
      <formula>P7="C3"</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7" priority="1385">
      <formula>P7="C2"</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0" priority="1386">
      <formula>P7="C1"</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6" priority="1387">
      <formula>P7="S4"</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7" priority="1388">
      <formula>P7="S3"</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8" priority="1389">
      <formula>P7="S2"</formula>
    </cfRule>
  </conditionalFormatting>
  <conditionalFormatting sqref="P7:P17 AE7:AE17 AT7:AT17 BI7:BI17 BK7 BM7:BM17 BG11:BG13 BK11:BK13 BO11:BO17 BQ11:BQ13 AP12:AP16 AR12:AR16 BE12:BE13 AG13 AI13 AM13 AV13 AX13 BB13 E19:E28 G19:G28 I19:I28 L19:L28 N19:N28 P19:P29 R19:R29 T19:T29 V19:V29 X19:X29 AA19:AA29 AC19:AC29 AE19:AE29 AG19:AG28 AI19:AI28 AK19:AK28 AM19:AM28 AP19:AP28 AR19:AR28 AT19:AT29 AV19:AV28 AX19:AX28 AZ19:AZ28 BB19:BB28 BE19:BE28 BG19:BG28 BI19:BI29 BK19:BK28 BM19:BR29">
    <cfRule type="expression" dxfId="19" priority="1390">
      <formula>P7="S1"</formula>
    </cfRule>
  </conditionalFormatting>
  <conditionalFormatting sqref="BI19:BI29 BM19:BM29 BO19:BO28 BQ19:BQ28">
    <cfRule type="expression" dxfId="7" priority="1391">
      <formula>BI19="C6"</formula>
    </cfRule>
  </conditionalFormatting>
  <conditionalFormatting sqref="BI19:BI29 BM19:BM29 BO19:BO28 BQ19:BQ28">
    <cfRule type="expression" dxfId="27" priority="1392">
      <formula>BI19="TC6"</formula>
    </cfRule>
  </conditionalFormatting>
  <conditionalFormatting sqref="BI19:BI29 BM19:BM29 BO19:BO28 BQ19:BQ28">
    <cfRule type="expression" dxfId="27" priority="1393">
      <formula>BI19="TC5"</formula>
    </cfRule>
  </conditionalFormatting>
  <conditionalFormatting sqref="BI19:BI29 BM19:BM29 BO19:BO28 BQ19:BQ28">
    <cfRule type="expression" dxfId="27" priority="1394">
      <formula>BI19="TC4"</formula>
    </cfRule>
  </conditionalFormatting>
  <conditionalFormatting sqref="BI19:BI29 BM19:BM29 BO19:BO28 BQ19:BQ28">
    <cfRule type="expression" dxfId="27" priority="1395">
      <formula>BI19="TC3"</formula>
    </cfRule>
  </conditionalFormatting>
  <conditionalFormatting sqref="BI19:BI29 BM19:BM29 BO19:BO28 BQ19:BQ28">
    <cfRule type="expression" dxfId="27" priority="1396">
      <formula>BI19="TC2"</formula>
    </cfRule>
  </conditionalFormatting>
  <conditionalFormatting sqref="BI19:BI29 BM19:BM29 BO19:BO28 BQ19:BQ28">
    <cfRule type="expression" dxfId="27" priority="1397">
      <formula>BI19="TC1"</formula>
    </cfRule>
  </conditionalFormatting>
  <conditionalFormatting sqref="BI19:BI29 BM19:BM29 BO19:BO28 BQ19:BQ28">
    <cfRule type="expression" dxfId="8" priority="1398">
      <formula>BI19="Full"</formula>
    </cfRule>
  </conditionalFormatting>
  <conditionalFormatting sqref="BI19:BI29 BM19:BM29 BO19:BO28 BQ19:BQ28">
    <cfRule type="expression" dxfId="9" priority="1399">
      <formula>BI19="OFF"</formula>
    </cfRule>
  </conditionalFormatting>
  <conditionalFormatting sqref="BI19:BI29 BM19:BM29 BO19:BO28 BQ19:BQ28">
    <cfRule type="expression" dxfId="10" priority="1400">
      <formula>BI19="Gãy 2"</formula>
    </cfRule>
  </conditionalFormatting>
  <conditionalFormatting sqref="BI19:BI29 BM19:BM29 BO19:BO28 BQ19:BQ28">
    <cfRule type="expression" dxfId="10" priority="1401">
      <formula>BI19="Gãy 1"</formula>
    </cfRule>
  </conditionalFormatting>
  <conditionalFormatting sqref="BI19:BI29 BM19:BM29 BO19:BO28 BQ19:BQ28">
    <cfRule type="expression" dxfId="11" priority="1402">
      <formula>BI19="HC4"</formula>
    </cfRule>
  </conditionalFormatting>
  <conditionalFormatting sqref="BI19:BI29 BM19:BM29 BO19:BO28 BQ19:BQ28">
    <cfRule type="expression" dxfId="11" priority="1403">
      <formula>BI19="HC3"</formula>
    </cfRule>
  </conditionalFormatting>
  <conditionalFormatting sqref="BI19:BI29 BM19:BM29 BO19:BO28 BQ19:BQ28">
    <cfRule type="expression" dxfId="11" priority="1404">
      <formula>BI19="HC2"</formula>
    </cfRule>
  </conditionalFormatting>
  <conditionalFormatting sqref="BI19:BI29 BM19:BM29 BO19:BO28 BQ19:BQ28">
    <cfRule type="expression" dxfId="11" priority="1405">
      <formula>BI19="HC1"</formula>
    </cfRule>
  </conditionalFormatting>
  <conditionalFormatting sqref="BI19:BI29 BM19:BM29 BO19:BO28 BQ19:BQ28">
    <cfRule type="expression" dxfId="12" priority="1406">
      <formula>BI19="C5"</formula>
    </cfRule>
  </conditionalFormatting>
  <conditionalFormatting sqref="BI19:BI29 BM19:BM29 BO19:BO28 BQ19:BQ28">
    <cfRule type="expression" dxfId="13" priority="1407">
      <formula>BI19="C4"</formula>
    </cfRule>
  </conditionalFormatting>
  <conditionalFormatting sqref="BI19:BI29 BM19:BM29 BO19:BO28 BQ19:BQ28">
    <cfRule type="expression" dxfId="14" priority="1408">
      <formula>BI19="C3"</formula>
    </cfRule>
  </conditionalFormatting>
  <conditionalFormatting sqref="BI19:BI29 BM19:BM29 BO19:BO28 BQ19:BQ28">
    <cfRule type="expression" dxfId="7" priority="1409">
      <formula>BI19="C2"</formula>
    </cfRule>
  </conditionalFormatting>
  <conditionalFormatting sqref="BI19:BI29 BM19:BM29 BO19:BO28 BQ19:BQ28">
    <cfRule type="expression" dxfId="0" priority="1410">
      <formula>BI19="C1"</formula>
    </cfRule>
  </conditionalFormatting>
  <conditionalFormatting sqref="BI19:BI29 BM19:BM29 BO19:BO28 BQ19:BQ28">
    <cfRule type="expression" dxfId="16" priority="1411">
      <formula>BI19="S4"</formula>
    </cfRule>
  </conditionalFormatting>
  <conditionalFormatting sqref="BI19:BI29 BM19:BM29 BO19:BO28 BQ19:BQ28">
    <cfRule type="expression" dxfId="17" priority="1412">
      <formula>BI19="S3"</formula>
    </cfRule>
  </conditionalFormatting>
  <conditionalFormatting sqref="BI19:BI29 BM19:BM29 BO19:BO28 BQ19:BQ28">
    <cfRule type="expression" dxfId="18" priority="1413">
      <formula>BI19="S2"</formula>
    </cfRule>
  </conditionalFormatting>
  <conditionalFormatting sqref="BI19:BI29 BM19:BM29 BO19:BO28 BQ19:BQ28">
    <cfRule type="expression" dxfId="19" priority="1414">
      <formula>BI19="S1"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7" priority="1415">
      <formula>L7="C6"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16">
      <formula>L7="TC6"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17">
      <formula>L7="TC5"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18">
      <formula>L7="TC4"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19">
      <formula>L7="TC3"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20">
      <formula>L7="TC2"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21">
      <formula>L7="TC1"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8" priority="1422">
      <formula>L7="Full"</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9" priority="1423">
      <formula>L7="OFF"</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0" priority="1424">
      <formula>L7="Gãy 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0" priority="1425">
      <formula>L7="Gãy 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426">
      <formula>L7="HC4"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427">
      <formula>L7="HC3"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428">
      <formula>L7="HC2"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429">
      <formula>L7="HC1"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2" priority="1430">
      <formula>L7="C5"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3" priority="1431">
      <formula>L7="C4"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4" priority="1432">
      <formula>L7="C3"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7" priority="1433">
      <formula>L7="C2"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0" priority="1434">
      <formula>L7="C1"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6" priority="1435">
      <formula>L7="S4"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7" priority="1436">
      <formula>L7="S3"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8" priority="1437">
      <formula>L7="S2"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9" priority="1438">
      <formula>L7="S1"</formula>
    </cfRule>
  </conditionalFormatting>
  <conditionalFormatting sqref="AG19:AG28 AV19:AV29 BB19:BB29 BE19:BE29 BG19:BG29 BI19:BI29 BK19:BK29 BM19:BM29 BO19:BO29 BQ19:BQ29 AX23:AX29 AZ23:AZ29">
    <cfRule type="expression" dxfId="7" priority="1439">
      <formula>AG19="C6"</formula>
    </cfRule>
  </conditionalFormatting>
  <conditionalFormatting sqref="AG19:AG28 AV19:AV29 BB19:BB29 BE19:BE29 BG19:BG29 BI19:BI29 BK19:BK29 BM19:BM29 BO19:BO29 BQ19:BQ29 AX23:AX29 AZ23:AZ29">
    <cfRule type="expression" dxfId="27" priority="1440">
      <formula>AG19="TC6"</formula>
    </cfRule>
  </conditionalFormatting>
  <conditionalFormatting sqref="AG19:AG28 AV19:AV29 BB19:BB29 BE19:BE29 BG19:BG29 BI19:BI29 BK19:BK29 BM19:BM29 BO19:BO29 BQ19:BQ29 AX23:AX29 AZ23:AZ29">
    <cfRule type="expression" dxfId="27" priority="1441">
      <formula>AG19="TC5"</formula>
    </cfRule>
  </conditionalFormatting>
  <conditionalFormatting sqref="AG19:AG28 AV19:AV29 BB19:BB29 BE19:BE29 BG19:BG29 BI19:BI29 BK19:BK29 BM19:BM29 BO19:BO29 BQ19:BQ29 AX23:AX29 AZ23:AZ29">
    <cfRule type="expression" dxfId="27" priority="1442">
      <formula>AG19="TC4"</formula>
    </cfRule>
  </conditionalFormatting>
  <conditionalFormatting sqref="AG19:AG28 AV19:AV29 BB19:BB29 BE19:BE29 BG19:BG29 BI19:BI29 BK19:BK29 BM19:BM29 BO19:BO29 BQ19:BQ29 AX23:AX29 AZ23:AZ29">
    <cfRule type="expression" dxfId="27" priority="1443">
      <formula>AG19="TC3"</formula>
    </cfRule>
  </conditionalFormatting>
  <conditionalFormatting sqref="AG19:AG28 AV19:AV29 BB19:BB29 BE19:BE29 BG19:BG29 BI19:BI29 BK19:BK29 BM19:BM29 BO19:BO29 BQ19:BQ29 AX23:AX29 AZ23:AZ29">
    <cfRule type="expression" dxfId="27" priority="1444">
      <formula>AG19="TC2"</formula>
    </cfRule>
  </conditionalFormatting>
  <conditionalFormatting sqref="AG19:AG28 AV19:AV29 BB19:BB29 BE19:BE29 BG19:BG29 BI19:BI29 BK19:BK29 BM19:BM29 BO19:BO29 BQ19:BQ29 AX23:AX29 AZ23:AZ29">
    <cfRule type="expression" dxfId="27" priority="1445">
      <formula>AG19="TC1"</formula>
    </cfRule>
  </conditionalFormatting>
  <conditionalFormatting sqref="AG19:AG28 AV19:AV29 BB19:BB29 BE19:BE29 BG19:BG29 BI19:BI29 BK19:BK29 BM19:BM29 BO19:BO29 BQ19:BQ29 AX23:AX29 AZ23:AZ29">
    <cfRule type="expression" dxfId="8" priority="1446">
      <formula>AG19="Full"</formula>
    </cfRule>
  </conditionalFormatting>
  <conditionalFormatting sqref="AG19:AG28 AV19:AV29 BB19:BB29 BE19:BE29 BG19:BG29 BI19:BI29 BK19:BK29 BM19:BM29 BO19:BO29 BQ19:BQ29 AX23:AX29 AZ23:AZ29">
    <cfRule type="expression" dxfId="9" priority="1447">
      <formula>AG19="OFF"</formula>
    </cfRule>
  </conditionalFormatting>
  <conditionalFormatting sqref="AG19:AG28 AV19:AV29 BB19:BB29 BE19:BE29 BG19:BG29 BI19:BI29 BK19:BK29 BM19:BM29 BO19:BO29 BQ19:BQ29 AX23:AX29 AZ23:AZ29">
    <cfRule type="expression" dxfId="10" priority="1448">
      <formula>AG19="Gãy 2"</formula>
    </cfRule>
  </conditionalFormatting>
  <conditionalFormatting sqref="AG19:AG28 AV19:AV29 BB19:BB29 BE19:BE29 BG19:BG29 BI19:BI29 BK19:BK29 BM19:BM29 BO19:BO29 BQ19:BQ29 AX23:AX29 AZ23:AZ29">
    <cfRule type="expression" dxfId="10" priority="1449">
      <formula>AG19="Gãy 1"</formula>
    </cfRule>
  </conditionalFormatting>
  <conditionalFormatting sqref="AG19:AG28 AV19:AV29 BB19:BB29 BE19:BE29 BG19:BG29 BI19:BI29 BK19:BK29 BM19:BM29 BO19:BO29 BQ19:BQ29 AX23:AX29 AZ23:AZ29">
    <cfRule type="expression" dxfId="11" priority="1450">
      <formula>AG19="HC4"</formula>
    </cfRule>
  </conditionalFormatting>
  <conditionalFormatting sqref="AG19:AG28 AV19:AV29 BB19:BB29 BE19:BE29 BG19:BG29 BI19:BI29 BK19:BK29 BM19:BM29 BO19:BO29 BQ19:BQ29 AX23:AX29 AZ23:AZ29">
    <cfRule type="expression" dxfId="11" priority="1451">
      <formula>AG19="HC3"</formula>
    </cfRule>
  </conditionalFormatting>
  <conditionalFormatting sqref="AG19:AG28 AV19:AV29 BB19:BB29 BE19:BE29 BG19:BG29 BI19:BI29 BK19:BK29 BM19:BM29 BO19:BO29 BQ19:BQ29 AX23:AX29 AZ23:AZ29">
    <cfRule type="expression" dxfId="11" priority="1452">
      <formula>AG19="HC2"</formula>
    </cfRule>
  </conditionalFormatting>
  <conditionalFormatting sqref="AG19:AG28 AV19:AV29 BB19:BB29 BE19:BE29 BG19:BG29 BI19:BI29 BK19:BK29 BM19:BM29 BO19:BO29 BQ19:BQ29 AX23:AX29 AZ23:AZ29">
    <cfRule type="expression" dxfId="11" priority="1453">
      <formula>AG19="HC1"</formula>
    </cfRule>
  </conditionalFormatting>
  <conditionalFormatting sqref="AG19:AG28 AV19:AV29 BB19:BB29 BE19:BE29 BG19:BG29 BI19:BI29 BK19:BK29 BM19:BM29 BO19:BO29 BQ19:BQ29 AX23:AX29 AZ23:AZ29">
    <cfRule type="expression" dxfId="12" priority="1454">
      <formula>AG19="C5"</formula>
    </cfRule>
  </conditionalFormatting>
  <conditionalFormatting sqref="AG19:AG28 AV19:AV29 BB19:BB29 BE19:BE29 BG19:BG29 BI19:BI29 BK19:BK29 BM19:BM29 BO19:BO29 BQ19:BQ29 AX23:AX29 AZ23:AZ29">
    <cfRule type="expression" dxfId="13" priority="1455">
      <formula>AG19="C4"</formula>
    </cfRule>
  </conditionalFormatting>
  <conditionalFormatting sqref="AG19:AG28 AV19:AV29 BB19:BB29 BE19:BE29 BG19:BG29 BI19:BI29 BK19:BK29 BM19:BM29 BO19:BO29 BQ19:BQ29 AX23:AX29 AZ23:AZ29">
    <cfRule type="expression" dxfId="14" priority="1456">
      <formula>AG19="C3"</formula>
    </cfRule>
  </conditionalFormatting>
  <conditionalFormatting sqref="AG19:AG28 AV19:AV29 BB19:BB29 BE19:BE29 BG19:BG29 BI19:BI29 BK19:BK29 BM19:BM29 BO19:BO29 BQ19:BQ29 AX23:AX29 AZ23:AZ29">
    <cfRule type="expression" dxfId="7" priority="1457">
      <formula>AG19="C2"</formula>
    </cfRule>
  </conditionalFormatting>
  <conditionalFormatting sqref="AG19:AG28 AV19:AV29 BB19:BB29 BE19:BE29 BG19:BG29 BI19:BI29 BK19:BK29 BM19:BM29 BO19:BO29 BQ19:BQ29 AX23:AX29 AZ23:AZ29">
    <cfRule type="expression" dxfId="0" priority="1458">
      <formula>AG19="C1"</formula>
    </cfRule>
  </conditionalFormatting>
  <conditionalFormatting sqref="AG19:AG28 AV19:AV29 BB19:BB29 BE19:BE29 BG19:BG29 BI19:BI29 BK19:BK29 BM19:BM29 BO19:BO29 BQ19:BQ29 AX23:AX29 AZ23:AZ29">
    <cfRule type="expression" dxfId="16" priority="1459">
      <formula>AG19="S4"</formula>
    </cfRule>
  </conditionalFormatting>
  <conditionalFormatting sqref="AG19:AG28 AV19:AV29 BB19:BB29 BE19:BE29 BG19:BG29 BI19:BI29 BK19:BK29 BM19:BM29 BO19:BO29 BQ19:BQ29 AX23:AX29 AZ23:AZ29">
    <cfRule type="expression" dxfId="17" priority="1460">
      <formula>AG19="S3"</formula>
    </cfRule>
  </conditionalFormatting>
  <conditionalFormatting sqref="AG19:AG28 AV19:AV29 BB19:BB29 BE19:BE29 BG19:BG29 BI19:BI29 BK19:BK29 BM19:BM29 BO19:BO29 BQ19:BQ29 AX23:AX29 AZ23:AZ29">
    <cfRule type="expression" dxfId="18" priority="1461">
      <formula>AG19="S2"</formula>
    </cfRule>
  </conditionalFormatting>
  <conditionalFormatting sqref="AG19:AG28 AV19:AV29 BB19:BB29 BE19:BE29 BG19:BG29 BI19:BI29 BK19:BK29 BM19:BM29 BO19:BO29 BQ19:BQ29 AX23:AX29 AZ23:AZ29">
    <cfRule type="expression" dxfId="19" priority="1462">
      <formula>AG19="S1"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7" priority="1463">
      <formula>L7="C6"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64">
      <formula>L7="TC6"</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65">
      <formula>L7="TC5"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66">
      <formula>L7="TC4"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67">
      <formula>L7="TC3"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68">
      <formula>L7="TC2"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27" priority="1469">
      <formula>L7="TC1"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8" priority="1470">
      <formula>L7="Full"</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9" priority="1471">
      <formula>L7="OFF"</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0" priority="1472">
      <formula>L7="Gãy 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0" priority="1473">
      <formula>L7="Gãy 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474">
      <formula>L7="HC4"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475">
      <formula>L7="HC3"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476">
      <formula>L7="HC2"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1" priority="1477">
      <formula>L7="HC1"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2" priority="1478">
      <formula>L7="C5"</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3" priority="1479">
      <formula>L7="C4"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4" priority="1480">
      <formula>L7="C3"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7" priority="1481">
      <formula>L7="C2"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0" priority="1482">
      <formula>L7="C1"</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6" priority="1483">
      <formula>L7="S4"</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7" priority="1484">
      <formula>L7="S3"</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8" priority="1485">
      <formula>L7="S2"</formula>
    </cfRule>
  </conditionalFormatting>
  <conditionalFormatting sqref="L7:L17 N7:N17 P7:P17 R7:R17 T7:T17 V7:V17 X7:X17 AA7:AA17 AC7:AC17 AE7:AE17 AG7:AG17 AI7:AK17 AM7:AM17 AP7:AP17 AR7:AR17 AT7:AT17 AV7:AV17 AX7:AZ17 BB7:BB17 BE7:BE17 BG7:BG17 BI7:BI17 BK7:BK17 BM7:BO17 BQ7:BQ17 E14:E17 E19:J28 L19:L29 M19:M28 N19:N29 O19:O28 P19:P29 Q19:Q28 R19:R29 S19:S28 T19:Y29 AA19:AI29 AJ19:AJ22 AK19:AK29 AM19:AM29 AP19:AP29 AR19:AR29 AT19:AT29 AV19:AV29 AX19:BC29 BE19:BR29 AQ22 AQ27:AQ28 AS27:AS28 AU27:AU28 AW27:AW28">
    <cfRule type="expression" dxfId="19" priority="1486">
      <formula>L7="S1"</formula>
    </cfRule>
  </conditionalFormatting>
  <conditionalFormatting sqref="AX19:AX29 AZ19:AZ28 BB19:BB28 BE19:BE28 BG19:BG28 BI19:BI28 BK19:BK28 BM19:BM28 BO19:BO28 BQ19:BQ28">
    <cfRule type="expression" dxfId="7" priority="1487">
      <formula>AX19="C6"</formula>
    </cfRule>
  </conditionalFormatting>
  <conditionalFormatting sqref="AX19:AX29 AZ19:AZ28 BB19:BB28 BE19:BE28 BG19:BG28 BI19:BI28 BK19:BK28 BM19:BM28 BO19:BO28 BQ19:BQ28">
    <cfRule type="expression" dxfId="27" priority="1488">
      <formula>AX19="TC6"</formula>
    </cfRule>
  </conditionalFormatting>
  <conditionalFormatting sqref="AX19:AX29 AZ19:AZ28 BB19:BB28 BE19:BE28 BG19:BG28 BI19:BI28 BK19:BK28 BM19:BM28 BO19:BO28 BQ19:BQ28">
    <cfRule type="expression" dxfId="27" priority="1489">
      <formula>AX19="TC5"</formula>
    </cfRule>
  </conditionalFormatting>
  <conditionalFormatting sqref="AX19:AX29 AZ19:AZ28 BB19:BB28 BE19:BE28 BG19:BG28 BI19:BI28 BK19:BK28 BM19:BM28 BO19:BO28 BQ19:BQ28">
    <cfRule type="expression" dxfId="27" priority="1490">
      <formula>AX19="TC4"</formula>
    </cfRule>
  </conditionalFormatting>
  <conditionalFormatting sqref="AX19:AX29 AZ19:AZ28 BB19:BB28 BE19:BE28 BG19:BG28 BI19:BI28 BK19:BK28 BM19:BM28 BO19:BO28 BQ19:BQ28">
    <cfRule type="expression" dxfId="27" priority="1491">
      <formula>AX19="TC3"</formula>
    </cfRule>
  </conditionalFormatting>
  <conditionalFormatting sqref="AX19:AX29 AZ19:AZ28 BB19:BB28 BE19:BE28 BG19:BG28 BI19:BI28 BK19:BK28 BM19:BM28 BO19:BO28 BQ19:BQ28">
    <cfRule type="expression" dxfId="27" priority="1492">
      <formula>AX19="TC2"</formula>
    </cfRule>
  </conditionalFormatting>
  <conditionalFormatting sqref="AX19:AX29 AZ19:AZ28 BB19:BB28 BE19:BE28 BG19:BG28 BI19:BI28 BK19:BK28 BM19:BM28 BO19:BO28 BQ19:BQ28">
    <cfRule type="expression" dxfId="27" priority="1493">
      <formula>AX19="TC1"</formula>
    </cfRule>
  </conditionalFormatting>
  <conditionalFormatting sqref="AX19:AX29 AZ19:AZ28 BB19:BB28 BE19:BE28 BG19:BG28 BI19:BI28 BK19:BK28 BM19:BM28 BO19:BO28 BQ19:BQ28">
    <cfRule type="expression" dxfId="8" priority="1494">
      <formula>AX19="Full"</formula>
    </cfRule>
  </conditionalFormatting>
  <conditionalFormatting sqref="AX19:AX29 AZ19:AZ28 BB19:BB28 BE19:BE28 BG19:BG28 BI19:BI28 BK19:BK28 BM19:BM28 BO19:BO28 BQ19:BQ28">
    <cfRule type="expression" dxfId="9" priority="1495">
      <formula>AX19="OFF"</formula>
    </cfRule>
  </conditionalFormatting>
  <conditionalFormatting sqref="AX19:AX29 AZ19:AZ28 BB19:BB28 BE19:BE28 BG19:BG28 BI19:BI28 BK19:BK28 BM19:BM28 BO19:BO28 BQ19:BQ28">
    <cfRule type="expression" dxfId="10" priority="1496">
      <formula>AX19="Gãy 2"</formula>
    </cfRule>
  </conditionalFormatting>
  <conditionalFormatting sqref="AX19:AX29 AZ19:AZ28 BB19:BB28 BE19:BE28 BG19:BG28 BI19:BI28 BK19:BK28 BM19:BM28 BO19:BO28 BQ19:BQ28">
    <cfRule type="expression" dxfId="10" priority="1497">
      <formula>AX19="Gãy 1"</formula>
    </cfRule>
  </conditionalFormatting>
  <conditionalFormatting sqref="AX19:AX29 AZ19:AZ28 BB19:BB28 BE19:BE28 BG19:BG28 BI19:BI28 BK19:BK28 BM19:BM28 BO19:BO28 BQ19:BQ28">
    <cfRule type="expression" dxfId="11" priority="1498">
      <formula>AX19="HC4"</formula>
    </cfRule>
  </conditionalFormatting>
  <conditionalFormatting sqref="AX19:AX29 AZ19:AZ28 BB19:BB28 BE19:BE28 BG19:BG28 BI19:BI28 BK19:BK28 BM19:BM28 BO19:BO28 BQ19:BQ28">
    <cfRule type="expression" dxfId="11" priority="1499">
      <formula>AX19="HC3"</formula>
    </cfRule>
  </conditionalFormatting>
  <conditionalFormatting sqref="AX19:AX29 AZ19:AZ28 BB19:BB28 BE19:BE28 BG19:BG28 BI19:BI28 BK19:BK28 BM19:BM28 BO19:BO28 BQ19:BQ28">
    <cfRule type="expression" dxfId="11" priority="1500">
      <formula>AX19="HC2"</formula>
    </cfRule>
  </conditionalFormatting>
  <conditionalFormatting sqref="AX19:AX29 AZ19:AZ28 BB19:BB28 BE19:BE28 BG19:BG28 BI19:BI28 BK19:BK28 BM19:BM28 BO19:BO28 BQ19:BQ28">
    <cfRule type="expression" dxfId="11" priority="1501">
      <formula>AX19="HC1"</formula>
    </cfRule>
  </conditionalFormatting>
  <conditionalFormatting sqref="AX19:AX29 AZ19:AZ28 BB19:BB28 BE19:BE28 BG19:BG28 BI19:BI28 BK19:BK28 BM19:BM28 BO19:BO28 BQ19:BQ28">
    <cfRule type="expression" dxfId="12" priority="1502">
      <formula>AX19="C5"</formula>
    </cfRule>
  </conditionalFormatting>
  <conditionalFormatting sqref="AX19:AX29 AZ19:AZ28 BB19:BB28 BE19:BE28 BG19:BG28 BI19:BI28 BK19:BK28 BM19:BM28 BO19:BO28 BQ19:BQ28">
    <cfRule type="expression" dxfId="13" priority="1503">
      <formula>AX19="C4"</formula>
    </cfRule>
  </conditionalFormatting>
  <conditionalFormatting sqref="AX19:AX29 AZ19:AZ28 BB19:BB28 BE19:BE28 BG19:BG28 BI19:BI28 BK19:BK28 BM19:BM28 BO19:BO28 BQ19:BQ28">
    <cfRule type="expression" dxfId="14" priority="1504">
      <formula>AX19="C3"</formula>
    </cfRule>
  </conditionalFormatting>
  <conditionalFormatting sqref="AX19:AX29 AZ19:AZ28 BB19:BB28 BE19:BE28 BG19:BG28 BI19:BI28 BK19:BK28 BM19:BM28 BO19:BO28 BQ19:BQ28">
    <cfRule type="expression" dxfId="7" priority="1505">
      <formula>AX19="C2"</formula>
    </cfRule>
  </conditionalFormatting>
  <conditionalFormatting sqref="AX19:AX29 AZ19:AZ28 BB19:BB28 BE19:BE28 BG19:BG28 BI19:BI28 BK19:BK28 BM19:BM28 BO19:BO28 BQ19:BQ28">
    <cfRule type="expression" dxfId="0" priority="1506">
      <formula>AX19="C1"</formula>
    </cfRule>
  </conditionalFormatting>
  <conditionalFormatting sqref="AX19:AX29 AZ19:AZ28 BB19:BB28 BE19:BE28 BG19:BG28 BI19:BI28 BK19:BK28 BM19:BM28 BO19:BO28 BQ19:BQ28">
    <cfRule type="expression" dxfId="16" priority="1507">
      <formula>AX19="S4"</formula>
    </cfRule>
  </conditionalFormatting>
  <conditionalFormatting sqref="AX19:AX29 AZ19:AZ28 BB19:BB28 BE19:BE28 BG19:BG28 BI19:BI28 BK19:BK28 BM19:BM28 BO19:BO28 BQ19:BQ28">
    <cfRule type="expression" dxfId="17" priority="1508">
      <formula>AX19="S3"</formula>
    </cfRule>
  </conditionalFormatting>
  <conditionalFormatting sqref="AX19:AX29 AZ19:AZ28 BB19:BB28 BE19:BE28 BG19:BG28 BI19:BI28 BK19:BK28 BM19:BM28 BO19:BO28 BQ19:BQ28">
    <cfRule type="expression" dxfId="18" priority="1509">
      <formula>AX19="S2"</formula>
    </cfRule>
  </conditionalFormatting>
  <conditionalFormatting sqref="AX19:AX29 AZ19:AZ28 BB19:BB28 BE19:BE28 BG19:BG28 BI19:BI28 BK19:BK28 BM19:BM28 BO19:BO28 BQ19:BQ28">
    <cfRule type="expression" dxfId="19" priority="1510">
      <formula>AX19="S1"</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2" priority="1511">
      <formula>M7="BigNĐ"</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2" priority="1512">
      <formula>M7="GaNĐ"</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28" priority="1513">
      <formula>M7="NBAI"</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4" priority="1514">
      <formula>M7="PTYB"</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1" priority="1515">
      <formula>M7="YB"</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5" priority="1516">
      <formula>M7="PT"</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 priority="1517">
      <formula>M7="VT"</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1" priority="1518">
      <formula>M7="NB"</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5" priority="1519">
      <formula>M7="TB"</formula>
    </cfRule>
  </conditionalFormatting>
  <conditionalFormatting sqref="M7:M17 O7:O17 S7:S17 U7:U17 W7:W17 Y7:Y17 AB7:AB17 AD7:AD17 AH7:AH17 AJ7:AJ17 AL7:AL17 AN7:AN17 AQ7:AQ17 AS7:AS17 AW7:AW17 AY7:AY17 BA7:BA17 BC7:BC17 BF7:BF17 BH7:BH17 BJ7:BJ17 BL7:BL17 BN7:BN17 BP7:BP17 BR7:BR17 AP12 AR12 AU12:AU17 BE12 BG12 BI12 BK12 BM12 BO12 BQ12 AP14:AP16 AR14:AR16 F19:F28 H19:H28 J19:J28 M19:M29 O19:O29 S19:S29 T19:T28 U19:Y29 AA19:AN29 AP19:AW29 AX19:AX28 AY19:AY29 AZ19:AZ28 BA19:BA29 BB19:BB28 BC19:BC29 BE19:BE28 BF19:BF29 BG19:BG28 BH19:BH29 BI19:BI28 BK19:BK28 BL19:BL29 BM19:BM28 BN19:BN29 BO19:BO28 BP19:BP29 BQ19:BQ28 BR19:BR29 BJ21:BJ28 Q28">
    <cfRule type="expression" dxfId="6" priority="1520">
      <formula>M7="NĐ"</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7" priority="1521">
      <formula>V7="C6"</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27" priority="1522">
      <formula>V7="TC6"</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27" priority="1523">
      <formula>V7="TC5"</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27" priority="1524">
      <formula>V7="TC4"</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27" priority="1525">
      <formula>V7="TC3"</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27" priority="1526">
      <formula>V7="TC2"</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27" priority="1527">
      <formula>V7="TC1"</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8" priority="1528">
      <formula>V7="Full"</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9" priority="1529">
      <formula>V7="OFF"</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0" priority="1530">
      <formula>V7="Gãy 2"</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0" priority="1531">
      <formula>V7="Gãy 1"</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1" priority="1532">
      <formula>V7="HC4"</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1" priority="1533">
      <formula>V7="HC3"</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1" priority="1534">
      <formula>V7="HC2"</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1" priority="1535">
      <formula>V7="HC1"</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2" priority="1536">
      <formula>V7="C5"</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3" priority="1537">
      <formula>V7="C4"</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4" priority="1538">
      <formula>V7="C3"</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7" priority="1539">
      <formula>V7="C2"</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0" priority="1540">
      <formula>V7="C1"</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6" priority="1541">
      <formula>V7="S4"</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7" priority="1542">
      <formula>V7="S3"</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8" priority="1543">
      <formula>V7="S2"</formula>
    </cfRule>
  </conditionalFormatting>
  <conditionalFormatting sqref="V7:V17 AJ7:AK17 AP7:AP17 AY7:AZ17 BE7 BI7:BI8 BN7:BO17 BQ7:BQ17 X9 AM9 BB9 BE10:BE17 T11 AC11 AI11 AR11:AR17 AX11 BG11:BG17 BI11:BI17 BK11:BK17 BM11:BM17 X12 AA12 AE12:AE13 AM12:AM16 AT12:AT17 BB12:BB17 AG13 AI13 AV13 AX13 E19:J28 L19:S28 T19:Y29 AA19:AI29 AJ19:AJ22 AK19:AK29 AM19:AM29 AP19:AP29 AR19:AR29 AT19:AT29 AV19:AV29 AX19:AX29 AZ19:AZ29 BB19:BB29 BE19:BE29 BG19:BG29 BI19:BI29 BK19:BK29 BM19:BM29 BO19:BO29 BQ19:BQ29 AQ22 AQ27:AQ28 AS27:AS28 AU27:AU28 AW27:AW28 BF27:BF28 BH27:BH28 BJ27:BJ28 BL27:BL28">
    <cfRule type="expression" dxfId="19" priority="1544">
      <formula>V7="S1"</formula>
    </cfRule>
  </conditionalFormatting>
  <conditionalFormatting sqref="BO19:BO29 BQ19:BQ28">
    <cfRule type="expression" dxfId="7" priority="1545">
      <formula>BO19="C6"</formula>
    </cfRule>
  </conditionalFormatting>
  <conditionalFormatting sqref="BO19:BO29 BQ19:BQ28">
    <cfRule type="expression" dxfId="27" priority="1546">
      <formula>BO19="TC6"</formula>
    </cfRule>
  </conditionalFormatting>
  <conditionalFormatting sqref="BO19:BO29 BQ19:BQ28">
    <cfRule type="expression" dxfId="27" priority="1547">
      <formula>BO19="TC5"</formula>
    </cfRule>
  </conditionalFormatting>
  <conditionalFormatting sqref="BO19:BO29 BQ19:BQ28">
    <cfRule type="expression" dxfId="27" priority="1548">
      <formula>BO19="TC4"</formula>
    </cfRule>
  </conditionalFormatting>
  <conditionalFormatting sqref="BO19:BO29 BQ19:BQ28">
    <cfRule type="expression" dxfId="27" priority="1549">
      <formula>BO19="TC3"</formula>
    </cfRule>
  </conditionalFormatting>
  <conditionalFormatting sqref="BO19:BO29 BQ19:BQ28">
    <cfRule type="expression" dxfId="27" priority="1550">
      <formula>BO19="TC2"</formula>
    </cfRule>
  </conditionalFormatting>
  <conditionalFormatting sqref="BO19:BO29 BQ19:BQ28">
    <cfRule type="expression" dxfId="27" priority="1551">
      <formula>BO19="TC1"</formula>
    </cfRule>
  </conditionalFormatting>
  <conditionalFormatting sqref="BO19:BO29 BQ19:BQ28">
    <cfRule type="expression" dxfId="8" priority="1552">
      <formula>BO19="Full"</formula>
    </cfRule>
  </conditionalFormatting>
  <conditionalFormatting sqref="BO19:BO29 BQ19:BQ28">
    <cfRule type="expression" dxfId="9" priority="1553">
      <formula>BO19="OFF"</formula>
    </cfRule>
  </conditionalFormatting>
  <conditionalFormatting sqref="BO19:BO29 BQ19:BQ28">
    <cfRule type="expression" dxfId="10" priority="1554">
      <formula>BO19="Gãy 2"</formula>
    </cfRule>
  </conditionalFormatting>
  <conditionalFormatting sqref="BO19:BO29 BQ19:BQ28">
    <cfRule type="expression" dxfId="10" priority="1555">
      <formula>BO19="Gãy 1"</formula>
    </cfRule>
  </conditionalFormatting>
  <conditionalFormatting sqref="BO19:BO29 BQ19:BQ28">
    <cfRule type="expression" dxfId="11" priority="1556">
      <formula>BO19="HC4"</formula>
    </cfRule>
  </conditionalFormatting>
  <conditionalFormatting sqref="BO19:BO29 BQ19:BQ28">
    <cfRule type="expression" dxfId="11" priority="1557">
      <formula>BO19="HC3"</formula>
    </cfRule>
  </conditionalFormatting>
  <conditionalFormatting sqref="BO19:BO29 BQ19:BQ28">
    <cfRule type="expression" dxfId="11" priority="1558">
      <formula>BO19="HC2"</formula>
    </cfRule>
  </conditionalFormatting>
  <conditionalFormatting sqref="BO19:BO29 BQ19:BQ28">
    <cfRule type="expression" dxfId="11" priority="1559">
      <formula>BO19="HC1"</formula>
    </cfRule>
  </conditionalFormatting>
  <conditionalFormatting sqref="BO19:BO29 BQ19:BQ28">
    <cfRule type="expression" dxfId="12" priority="1560">
      <formula>BO19="C5"</formula>
    </cfRule>
  </conditionalFormatting>
  <conditionalFormatting sqref="BO19:BO29 BQ19:BQ28">
    <cfRule type="expression" dxfId="13" priority="1561">
      <formula>BO19="C4"</formula>
    </cfRule>
  </conditionalFormatting>
  <conditionalFormatting sqref="BO19:BO29 BQ19:BQ28">
    <cfRule type="expression" dxfId="14" priority="1562">
      <formula>BO19="C3"</formula>
    </cfRule>
  </conditionalFormatting>
  <conditionalFormatting sqref="BO19:BO29 BQ19:BQ28">
    <cfRule type="expression" dxfId="7" priority="1563">
      <formula>BO19="C2"</formula>
    </cfRule>
  </conditionalFormatting>
  <conditionalFormatting sqref="BO19:BO29 BQ19:BQ28">
    <cfRule type="expression" dxfId="0" priority="1564">
      <formula>BO19="C1"</formula>
    </cfRule>
  </conditionalFormatting>
  <conditionalFormatting sqref="BO19:BO29 BQ19:BQ28">
    <cfRule type="expression" dxfId="16" priority="1565">
      <formula>BO19="S4"</formula>
    </cfRule>
  </conditionalFormatting>
  <conditionalFormatting sqref="BO19:BO29 BQ19:BQ28">
    <cfRule type="expression" dxfId="17" priority="1566">
      <formula>BO19="S3"</formula>
    </cfRule>
  </conditionalFormatting>
  <conditionalFormatting sqref="BO19:BO29 BQ19:BQ28">
    <cfRule type="expression" dxfId="18" priority="1567">
      <formula>BO19="S2"</formula>
    </cfRule>
  </conditionalFormatting>
  <conditionalFormatting sqref="BO19:BO29 BQ19:BQ28">
    <cfRule type="expression" dxfId="19" priority="1568">
      <formula>BO19="S1"</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7" priority="1569">
      <formula>X7="C6"</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27" priority="1570">
      <formula>X7="TC6"</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27" priority="1571">
      <formula>X7="TC5"</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27" priority="1572">
      <formula>X7="TC4"</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27" priority="1573">
      <formula>X7="TC3"</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27" priority="1574">
      <formula>X7="TC2"</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27" priority="1575">
      <formula>X7="TC1"</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8" priority="1576">
      <formula>X7="Full"</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9" priority="1577">
      <formula>X7="OFF"</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0" priority="1578">
      <formula>X7="Gãy 2"</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0" priority="1579">
      <formula>X7="Gãy 1"</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1" priority="1580">
      <formula>X7="HC4"</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1" priority="1581">
      <formula>X7="HC3"</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1" priority="1582">
      <formula>X7="HC2"</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1" priority="1583">
      <formula>X7="HC1"</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2" priority="1584">
      <formula>X7="C5"</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3" priority="1585">
      <formula>X7="C4"</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4" priority="1586">
      <formula>X7="C3"</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7" priority="1587">
      <formula>X7="C2"</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0" priority="1588">
      <formula>X7="C1"</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6" priority="1589">
      <formula>X7="S4"</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7" priority="1590">
      <formula>X7="S3"</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8" priority="1591">
      <formula>X7="S2"</formula>
    </cfRule>
  </conditionalFormatting>
  <conditionalFormatting sqref="X7:X17 AJ7:AJ17 AM7:AM17 AY7:AY17 BB7:BB17 BI7:BI8 BN7:BN17 BQ7:BQ17 T11 AC11 AI11 AR11:AR16 AX11 BG11:BG13 BI11:BI17 BK11:BK13 BM11:BM13 BO11:BO13 AA12 AE12:AE13 AP12:AP16 AT12:AT17 BE12:BE17 V13 AG13 AI13 AK13 AV13 AX13 AZ13 E19:J28 L19:S28 T19:Y29 AA19:AH29 AI19:AI28 AJ19:AJ22 AK19:AK28 AM19:AM29 AP19:AP28 AR19:AR28 AT19:AT28 AV19:AV28 AX19:AX28 AZ19:AZ28 BB19:BB29 BE19:BE28 BG19:BG28 BI19:BI28 BK19:BK28 BM19:BM28 BO19:BO28 BQ19:BQ29 AQ22 AQ27:AQ28 AS27:AS28 AU27:AU28 AW27:AW28 BF27:BF28 BH27:BH28 BJ27:BJ28 BL27:BL28">
    <cfRule type="expression" dxfId="19" priority="1592">
      <formula>X7="S1"</formula>
    </cfRule>
  </conditionalFormatting>
  <conditionalFormatting sqref="BQ19:BQ29">
    <cfRule type="expression" dxfId="7" priority="1593">
      <formula>BQ19="C6"</formula>
    </cfRule>
  </conditionalFormatting>
  <conditionalFormatting sqref="BQ19:BQ29">
    <cfRule type="expression" dxfId="27" priority="1594">
      <formula>BQ19="TC6"</formula>
    </cfRule>
  </conditionalFormatting>
  <conditionalFormatting sqref="BQ19:BQ29">
    <cfRule type="expression" dxfId="27" priority="1595">
      <formula>BQ19="TC5"</formula>
    </cfRule>
  </conditionalFormatting>
  <conditionalFormatting sqref="BQ19:BQ29">
    <cfRule type="expression" dxfId="27" priority="1596">
      <formula>BQ19="TC4"</formula>
    </cfRule>
  </conditionalFormatting>
  <conditionalFormatting sqref="BQ19:BQ29">
    <cfRule type="expression" dxfId="27" priority="1597">
      <formula>BQ19="TC3"</formula>
    </cfRule>
  </conditionalFormatting>
  <conditionalFormatting sqref="BQ19:BQ29">
    <cfRule type="expression" dxfId="27" priority="1598">
      <formula>BQ19="TC2"</formula>
    </cfRule>
  </conditionalFormatting>
  <conditionalFormatting sqref="BQ19:BQ29">
    <cfRule type="expression" dxfId="27" priority="1599">
      <formula>BQ19="TC1"</formula>
    </cfRule>
  </conditionalFormatting>
  <conditionalFormatting sqref="BQ19:BQ29">
    <cfRule type="expression" dxfId="8" priority="1600">
      <formula>BQ19="Full"</formula>
    </cfRule>
  </conditionalFormatting>
  <conditionalFormatting sqref="BQ19:BQ29">
    <cfRule type="expression" dxfId="9" priority="1601">
      <formula>BQ19="OFF"</formula>
    </cfRule>
  </conditionalFormatting>
  <conditionalFormatting sqref="BQ19:BQ29">
    <cfRule type="expression" dxfId="10" priority="1602">
      <formula>BQ19="Gãy 2"</formula>
    </cfRule>
  </conditionalFormatting>
  <conditionalFormatting sqref="BQ19:BQ29">
    <cfRule type="expression" dxfId="10" priority="1603">
      <formula>BQ19="Gãy 1"</formula>
    </cfRule>
  </conditionalFormatting>
  <conditionalFormatting sqref="BQ19:BQ29">
    <cfRule type="expression" dxfId="11" priority="1604">
      <formula>BQ19="HC4"</formula>
    </cfRule>
  </conditionalFormatting>
  <conditionalFormatting sqref="BQ19:BQ29">
    <cfRule type="expression" dxfId="11" priority="1605">
      <formula>BQ19="HC3"</formula>
    </cfRule>
  </conditionalFormatting>
  <conditionalFormatting sqref="BQ19:BQ29">
    <cfRule type="expression" dxfId="11" priority="1606">
      <formula>BQ19="HC2"</formula>
    </cfRule>
  </conditionalFormatting>
  <conditionalFormatting sqref="BQ19:BQ29">
    <cfRule type="expression" dxfId="11" priority="1607">
      <formula>BQ19="HC1"</formula>
    </cfRule>
  </conditionalFormatting>
  <conditionalFormatting sqref="BQ19:BQ29">
    <cfRule type="expression" dxfId="12" priority="1608">
      <formula>BQ19="C5"</formula>
    </cfRule>
  </conditionalFormatting>
  <conditionalFormatting sqref="BQ19:BQ29">
    <cfRule type="expression" dxfId="13" priority="1609">
      <formula>BQ19="C4"</formula>
    </cfRule>
  </conditionalFormatting>
  <conditionalFormatting sqref="BQ19:BQ29">
    <cfRule type="expression" dxfId="14" priority="1610">
      <formula>BQ19="C3"</formula>
    </cfRule>
  </conditionalFormatting>
  <conditionalFormatting sqref="BQ19:BQ29">
    <cfRule type="expression" dxfId="7" priority="1611">
      <formula>BQ19="C2"</formula>
    </cfRule>
  </conditionalFormatting>
  <conditionalFormatting sqref="BQ19:BQ29">
    <cfRule type="expression" dxfId="0" priority="1612">
      <formula>BQ19="C1"</formula>
    </cfRule>
  </conditionalFormatting>
  <conditionalFormatting sqref="BQ19:BQ29">
    <cfRule type="expression" dxfId="16" priority="1613">
      <formula>BQ19="S4"</formula>
    </cfRule>
  </conditionalFormatting>
  <conditionalFormatting sqref="BQ19:BQ29">
    <cfRule type="expression" dxfId="17" priority="1614">
      <formula>BQ19="S3"</formula>
    </cfRule>
  </conditionalFormatting>
  <conditionalFormatting sqref="BQ19:BQ29">
    <cfRule type="expression" dxfId="18" priority="1615">
      <formula>BQ19="S2"</formula>
    </cfRule>
  </conditionalFormatting>
  <conditionalFormatting sqref="BQ19:BQ29">
    <cfRule type="expression" dxfId="19" priority="1616">
      <formula>BQ19="S1"</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7" priority="1617">
      <formula>L7="C6"</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27" priority="1618">
      <formula>L7="TC6"</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27" priority="1619">
      <formula>L7="TC5"</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27" priority="1620">
      <formula>L7="TC4"</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27" priority="1621">
      <formula>L7="TC3"</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27" priority="1622">
      <formula>L7="TC2"</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27" priority="1623">
      <formula>L7="TC1"</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8" priority="1624">
      <formula>L7="Full"</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9" priority="1625">
      <formula>L7="OFF"</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0" priority="1626">
      <formula>L7="Gãy 2"</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0" priority="1627">
      <formula>L7="Gãy 1"</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1" priority="1628">
      <formula>L7="HC4"</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1" priority="1629">
      <formula>L7="HC3"</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1" priority="1630">
      <formula>L7="HC2"</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1" priority="1631">
      <formula>L7="HC1"</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2" priority="1632">
      <formula>L7="C5"</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3" priority="1633">
      <formula>L7="C4"</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4" priority="1634">
      <formula>L7="C3"</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7" priority="1635">
      <formula>L7="C2"</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0" priority="1636">
      <formula>L7="C1"</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6" priority="1637">
      <formula>L7="S4"</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7" priority="1638">
      <formula>L7="S3"</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8" priority="1639">
      <formula>L7="S2"</formula>
    </cfRule>
  </conditionalFormatting>
  <conditionalFormatting sqref="L7:L17 N7:N17 P7:P17 R7:R17 AA7:AA17 AC7:AC17 AE7:AE17 AG7:AG17 AP7:AP17 AR7:AR17 AT7:AT17 AV7:AV17 BE7:BE17 BG7:BG17 BI7:BI17 BK7:BK17 BM7:BM17 BO7:BO17 BQ7:BQ17 AI8 AK8 AX8 AZ8 X9:X10 AM9:AM16 BB9:BB17 X12 AI13:AI17 AX13:AX17 E14:E17 T14:T17 E19:E28 G19:G28 I19:I28 L19:L29 N19:N29 P19:P29 R19:R29 T19:T29 V19:V29 X19:X29 AA19:AA29 AC19:AC29 AE19:AE29 AG19:AG29 AI19:AI29 AK19:AK29 AM19:AM29 AP19:AP29 AR19:AR29 AT19:AT29 AV19:AV29 AX19:AX29 AZ19:AZ29 BB19:BB29 BE19:BE29 BG19:BG29 BI19:BI29 BK19:BK29 BM19:BR29">
    <cfRule type="expression" dxfId="19" priority="1640">
      <formula>L7="S1"</formula>
    </cfRule>
  </conditionalFormatting>
  <conditionalFormatting sqref="BK19:BK29 BO19:BO29 BQ19:BQ28">
    <cfRule type="expression" dxfId="7" priority="1641">
      <formula>BK19="C6"</formula>
    </cfRule>
  </conditionalFormatting>
  <conditionalFormatting sqref="BK19:BK29 BO19:BO29 BQ19:BQ28">
    <cfRule type="expression" dxfId="27" priority="1642">
      <formula>BK19="TC6"</formula>
    </cfRule>
  </conditionalFormatting>
  <conditionalFormatting sqref="BK19:BK29 BO19:BO29 BQ19:BQ28">
    <cfRule type="expression" dxfId="27" priority="1643">
      <formula>BK19="TC5"</formula>
    </cfRule>
  </conditionalFormatting>
  <conditionalFormatting sqref="BK19:BK29 BO19:BO29 BQ19:BQ28">
    <cfRule type="expression" dxfId="27" priority="1644">
      <formula>BK19="TC4"</formula>
    </cfRule>
  </conditionalFormatting>
  <conditionalFormatting sqref="BK19:BK29 BO19:BO29 BQ19:BQ28">
    <cfRule type="expression" dxfId="27" priority="1645">
      <formula>BK19="TC3"</formula>
    </cfRule>
  </conditionalFormatting>
  <conditionalFormatting sqref="BK19:BK29 BO19:BO29 BQ19:BQ28">
    <cfRule type="expression" dxfId="27" priority="1646">
      <formula>BK19="TC2"</formula>
    </cfRule>
  </conditionalFormatting>
  <conditionalFormatting sqref="BK19:BK29 BO19:BO29 BQ19:BQ28">
    <cfRule type="expression" dxfId="27" priority="1647">
      <formula>BK19="TC1"</formula>
    </cfRule>
  </conditionalFormatting>
  <conditionalFormatting sqref="BK19:BK29 BO19:BO29 BQ19:BQ28">
    <cfRule type="expression" dxfId="8" priority="1648">
      <formula>BK19="Full"</formula>
    </cfRule>
  </conditionalFormatting>
  <conditionalFormatting sqref="BK19:BK29 BO19:BO29 BQ19:BQ28">
    <cfRule type="expression" dxfId="9" priority="1649">
      <formula>BK19="OFF"</formula>
    </cfRule>
  </conditionalFormatting>
  <conditionalFormatting sqref="BK19:BK29 BO19:BO29 BQ19:BQ28">
    <cfRule type="expression" dxfId="10" priority="1650">
      <formula>BK19="Gãy 2"</formula>
    </cfRule>
  </conditionalFormatting>
  <conditionalFormatting sqref="BK19:BK29 BO19:BO29 BQ19:BQ28">
    <cfRule type="expression" dxfId="10" priority="1651">
      <formula>BK19="Gãy 1"</formula>
    </cfRule>
  </conditionalFormatting>
  <conditionalFormatting sqref="BK19:BK29 BO19:BO29 BQ19:BQ28">
    <cfRule type="expression" dxfId="11" priority="1652">
      <formula>BK19="HC4"</formula>
    </cfRule>
  </conditionalFormatting>
  <conditionalFormatting sqref="BK19:BK29 BO19:BO29 BQ19:BQ28">
    <cfRule type="expression" dxfId="11" priority="1653">
      <formula>BK19="HC3"</formula>
    </cfRule>
  </conditionalFormatting>
  <conditionalFormatting sqref="BK19:BK29 BO19:BO29 BQ19:BQ28">
    <cfRule type="expression" dxfId="11" priority="1654">
      <formula>BK19="HC2"</formula>
    </cfRule>
  </conditionalFormatting>
  <conditionalFormatting sqref="BK19:BK29 BO19:BO29 BQ19:BQ28">
    <cfRule type="expression" dxfId="11" priority="1655">
      <formula>BK19="HC1"</formula>
    </cfRule>
  </conditionalFormatting>
  <conditionalFormatting sqref="BK19:BK29 BO19:BO29 BQ19:BQ28">
    <cfRule type="expression" dxfId="12" priority="1656">
      <formula>BK19="C5"</formula>
    </cfRule>
  </conditionalFormatting>
  <conditionalFormatting sqref="BK19:BK29 BO19:BO29 BQ19:BQ28">
    <cfRule type="expression" dxfId="13" priority="1657">
      <formula>BK19="C4"</formula>
    </cfRule>
  </conditionalFormatting>
  <conditionalFormatting sqref="BK19:BK29 BO19:BO29 BQ19:BQ28">
    <cfRule type="expression" dxfId="14" priority="1658">
      <formula>BK19="C3"</formula>
    </cfRule>
  </conditionalFormatting>
  <conditionalFormatting sqref="BK19:BK29 BO19:BO29 BQ19:BQ28">
    <cfRule type="expression" dxfId="7" priority="1659">
      <formula>BK19="C2"</formula>
    </cfRule>
  </conditionalFormatting>
  <conditionalFormatting sqref="BK19:BK29 BO19:BO29 BQ19:BQ28">
    <cfRule type="expression" dxfId="0" priority="1660">
      <formula>BK19="C1"</formula>
    </cfRule>
  </conditionalFormatting>
  <conditionalFormatting sqref="BK19:BK29 BO19:BO29 BQ19:BQ28">
    <cfRule type="expression" dxfId="16" priority="1661">
      <formula>BK19="S4"</formula>
    </cfRule>
  </conditionalFormatting>
  <conditionalFormatting sqref="BK19:BK29 BO19:BO29 BQ19:BQ28">
    <cfRule type="expression" dxfId="17" priority="1662">
      <formula>BK19="S3"</formula>
    </cfRule>
  </conditionalFormatting>
  <conditionalFormatting sqref="BK19:BK29 BO19:BO29 BQ19:BQ28">
    <cfRule type="expression" dxfId="18" priority="1663">
      <formula>BK19="S2"</formula>
    </cfRule>
  </conditionalFormatting>
  <conditionalFormatting sqref="BK19:BK29 BO19:BO29 BQ19:BQ28">
    <cfRule type="expression" dxfId="19" priority="1664">
      <formula>BK19="S1"</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7" priority="1665">
      <formula>T7="C6"</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27" priority="1666">
      <formula>T7="TC6"</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27" priority="1667">
      <formula>T7="TC5"</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27" priority="1668">
      <formula>T7="TC4"</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27" priority="1669">
      <formula>T7="TC3"</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27" priority="1670">
      <formula>T7="TC2"</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27" priority="1671">
      <formula>T7="TC1"</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8" priority="1672">
      <formula>T7="Full"</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9" priority="1673">
      <formula>T7="OFF"</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0" priority="1674">
      <formula>T7="Gãy 2"</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0" priority="1675">
      <formula>T7="Gãy 1"</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1" priority="1676">
      <formula>T7="HC4"</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1" priority="1677">
      <formula>T7="HC3"</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1" priority="1678">
      <formula>T7="HC2"</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1" priority="1679">
      <formula>T7="HC1"</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2" priority="1680">
      <formula>T7="C5"</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3" priority="1681">
      <formula>T7="C4"</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4" priority="1682">
      <formula>T7="C3"</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7" priority="1683">
      <formula>T7="C2"</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0" priority="1684">
      <formula>T7="C1"</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6" priority="1685">
      <formula>T7="S4"</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7" priority="1686">
      <formula>T7="S3"</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8" priority="1687">
      <formula>T7="S2"</formula>
    </cfRule>
  </conditionalFormatting>
  <conditionalFormatting sqref="T7:T17 AI7:AJ17 AX7:AY17 BI7:BI17 BK7:BK17 BM7:BO17 BQ7:BQ17 AK8 AZ8 AM9 BB9 AT10 AP11:AP17 BE11:BE17 AK12:AK17 AM12:AM17 AR12:AR17 AT12:AT17 AV12:AV17 AZ12:AZ17 BB12:BB17 BG12:BG17 V14:V17 X14:X17 AA14:AA17 AC14:AC17 E19:J28 L19:S28 T19:Y29 AA19:AI29 AJ19:AJ22 AK19:AK28 AM19:AM28 AP19:AP28 AR19:AR28 AT19:AT28 AV19:AV28 AX19:BC29 BE19:BR29 AQ22 AQ27:AQ28 AS27:AS28 AU27:AU28 AW27:AW28">
    <cfRule type="expression" dxfId="19" priority="1688">
      <formula>T7="S1"</formula>
    </cfRule>
  </conditionalFormatting>
  <conditionalFormatting sqref="BM19:BM29 BO19:BO28 BQ19:BQ28">
    <cfRule type="expression" dxfId="7" priority="1689">
      <formula>BM19="C6"</formula>
    </cfRule>
  </conditionalFormatting>
  <conditionalFormatting sqref="BM19:BM29 BO19:BO28 BQ19:BQ28">
    <cfRule type="expression" dxfId="27" priority="1690">
      <formula>BM19="TC6"</formula>
    </cfRule>
  </conditionalFormatting>
  <conditionalFormatting sqref="BM19:BM29 BO19:BO28 BQ19:BQ28">
    <cfRule type="expression" dxfId="27" priority="1691">
      <formula>BM19="TC5"</formula>
    </cfRule>
  </conditionalFormatting>
  <conditionalFormatting sqref="BM19:BM29 BO19:BO28 BQ19:BQ28">
    <cfRule type="expression" dxfId="27" priority="1692">
      <formula>BM19="TC4"</formula>
    </cfRule>
  </conditionalFormatting>
  <conditionalFormatting sqref="BM19:BM29 BO19:BO28 BQ19:BQ28">
    <cfRule type="expression" dxfId="27" priority="1693">
      <formula>BM19="TC3"</formula>
    </cfRule>
  </conditionalFormatting>
  <conditionalFormatting sqref="BM19:BM29 BO19:BO28 BQ19:BQ28">
    <cfRule type="expression" dxfId="27" priority="1694">
      <formula>BM19="TC2"</formula>
    </cfRule>
  </conditionalFormatting>
  <conditionalFormatting sqref="BM19:BM29 BO19:BO28 BQ19:BQ28">
    <cfRule type="expression" dxfId="27" priority="1695">
      <formula>BM19="TC1"</formula>
    </cfRule>
  </conditionalFormatting>
  <conditionalFormatting sqref="BM19:BM29 BO19:BO28 BQ19:BQ28">
    <cfRule type="expression" dxfId="8" priority="1696">
      <formula>BM19="Full"</formula>
    </cfRule>
  </conditionalFormatting>
  <conditionalFormatting sqref="BM19:BM29 BO19:BO28 BQ19:BQ28">
    <cfRule type="expression" dxfId="9" priority="1697">
      <formula>BM19="OFF"</formula>
    </cfRule>
  </conditionalFormatting>
  <conditionalFormatting sqref="BM19:BM29 BO19:BO28 BQ19:BQ28">
    <cfRule type="expression" dxfId="10" priority="1698">
      <formula>BM19="Gãy 2"</formula>
    </cfRule>
  </conditionalFormatting>
  <conditionalFormatting sqref="BM19:BM29 BO19:BO28 BQ19:BQ28">
    <cfRule type="expression" dxfId="10" priority="1699">
      <formula>BM19="Gãy 1"</formula>
    </cfRule>
  </conditionalFormatting>
  <conditionalFormatting sqref="BM19:BM29 BO19:BO28 BQ19:BQ28">
    <cfRule type="expression" dxfId="11" priority="1700">
      <formula>BM19="HC4"</formula>
    </cfRule>
  </conditionalFormatting>
  <conditionalFormatting sqref="BM19:BM29 BO19:BO28 BQ19:BQ28">
    <cfRule type="expression" dxfId="11" priority="1701">
      <formula>BM19="HC3"</formula>
    </cfRule>
  </conditionalFormatting>
  <conditionalFormatting sqref="BM19:BM29 BO19:BO28 BQ19:BQ28">
    <cfRule type="expression" dxfId="11" priority="1702">
      <formula>BM19="HC2"</formula>
    </cfRule>
  </conditionalFormatting>
  <conditionalFormatting sqref="BM19:BM29 BO19:BO28 BQ19:BQ28">
    <cfRule type="expression" dxfId="11" priority="1703">
      <formula>BM19="HC1"</formula>
    </cfRule>
  </conditionalFormatting>
  <conditionalFormatting sqref="BM19:BM29 BO19:BO28 BQ19:BQ28">
    <cfRule type="expression" dxfId="12" priority="1704">
      <formula>BM19="C5"</formula>
    </cfRule>
  </conditionalFormatting>
  <conditionalFormatting sqref="BM19:BM29 BO19:BO28 BQ19:BQ28">
    <cfRule type="expression" dxfId="13" priority="1705">
      <formula>BM19="C4"</formula>
    </cfRule>
  </conditionalFormatting>
  <conditionalFormatting sqref="BM19:BM29 BO19:BO28 BQ19:BQ28">
    <cfRule type="expression" dxfId="14" priority="1706">
      <formula>BM19="C3"</formula>
    </cfRule>
  </conditionalFormatting>
  <conditionalFormatting sqref="BM19:BM29 BO19:BO28 BQ19:BQ28">
    <cfRule type="expression" dxfId="7" priority="1707">
      <formula>BM19="C2"</formula>
    </cfRule>
  </conditionalFormatting>
  <conditionalFormatting sqref="BM19:BM29 BO19:BO28 BQ19:BQ28">
    <cfRule type="expression" dxfId="0" priority="1708">
      <formula>BM19="C1"</formula>
    </cfRule>
  </conditionalFormatting>
  <conditionalFormatting sqref="BM19:BM29 BO19:BO28 BQ19:BQ28">
    <cfRule type="expression" dxfId="16" priority="1709">
      <formula>BM19="S4"</formula>
    </cfRule>
  </conditionalFormatting>
  <conditionalFormatting sqref="BM19:BM29 BO19:BO28 BQ19:BQ28">
    <cfRule type="expression" dxfId="17" priority="1710">
      <formula>BM19="S3"</formula>
    </cfRule>
  </conditionalFormatting>
  <conditionalFormatting sqref="BM19:BM29 BO19:BO28 BQ19:BQ28">
    <cfRule type="expression" dxfId="18" priority="1711">
      <formula>BM19="S2"</formula>
    </cfRule>
  </conditionalFormatting>
  <conditionalFormatting sqref="BM19:BM29 BO19:BO28 BQ19:BQ28">
    <cfRule type="expression" dxfId="19" priority="1712">
      <formula>BM19="S1"</formula>
    </cfRule>
  </conditionalFormatting>
  <conditionalFormatting sqref="BT7:BT17">
    <cfRule type="cellIs" dxfId="29" priority="1713" operator="greaterThan">
      <formula>"CJ1"</formula>
    </cfRule>
  </conditionalFormatting>
  <conditionalFormatting sqref="BT19:BT29">
    <cfRule type="cellIs" dxfId="29" priority="1714" operator="greaterThan">
      <formula>"CJ2"</formula>
    </cfRule>
  </conditionalFormatting>
  <conditionalFormatting sqref="BS7:BS17 BS19:BS29">
    <cfRule type="cellIs" dxfId="29" priority="1715" operator="greaterThan">
      <formula>26</formula>
    </cfRule>
  </conditionalFormatting>
  <conditionalFormatting sqref="S50">
    <cfRule type="notContainsBlanks" dxfId="33" priority="1716">
      <formula>LEN(TRIM(S50))&gt;0</formula>
    </cfRule>
  </conditionalFormatting>
  <dataValidations>
    <dataValidation type="list" allowBlank="1" showInputMessage="1" prompt="Click and enter a value from the list of items" sqref="AJ7:AJ17 AY7:AY17 BN7:BN17 AJ19 AF19:AF21 AQ19:AQ21 U19:U22 Y19:Y22 AB19:AB22 AH19:AH22 W19:W23 U24:U26 AQ23:AQ26 BF19:BF26 F19:F28 H19:H28 J19:J28 M19:M28 O19:O28 Q19:Q28 S19:S28 AL19:AL28 AN19:AN28 AS19:AS28 AU19:AU28 AW19:AW28 BA19:BA28 BC19:BC28 BH19:BH28 BJ19:BJ28 BL19:BL28 BN19:BN28 BP19:BP28 U29 W29 Y29 AB29 AD19:AD29 AF23:AF29 AH24:AH29 AJ21:AJ29 AY19:AY29">
      <formula1>"VT,PT,YB,PTYB,NHỠ,GAYB,BigYB,GAVT,GAPT,BigVT,BigPT"</formula1>
    </dataValidation>
    <dataValidation type="list" allowBlank="1" showErrorMessage="1" sqref="BY6:CW6 E7:E17 G7:G17 I7:I17 L7:L17 N7:N17 P7:P17 R7:R17 T7:T17 V7:V17 X7:X17 AA7:AA17 AC7:AC17 AE7:AE17 AG7:AG17 AI7:AI17 AK7:AK17 AM7:AM17 AP7:AP17 AR7:AR17 AT7:AT17 AV7:AV17 AX7:AX17 AZ7:AZ17 BB7:BB17 BE7:BE17 BG7:BG17 BI7:BI17 BK7:BK17 BM7:BM17 BO7:BO17 BQ7:BQ17 E19:E29 G19:G29 I19:I29 L19:L29 N19:N29 P19:P29 R19:R29 T19:T29 V19:V29 X19:X29 AA19:AA29 AC19:AC29 AE19:AE29 AG19:AG29 AI19:AI29 AK19:AK29 AM19:AM29 AP19:AP29 AR19:AR29 AT19:AT29 AV19:AV29 AX19:AX29 AZ19:AZ29 BB19:BB29 BE19:BE29 BG19:BG29 BI19:BI29 BK19:BK29 BM19:BM29 BO19:BO29 BQ19:BQ29 A41:A66">
      <formula1>"S1,S2,S3,Onl S,S4,C1,C2,C3,C4,C5,Onl C,TC1,TC2,TC3,TC4,TC5,TC6,HC1,HC2,HC3,HC4,Gãy 1,Gãy 2,Full,OFF,TC F,Onl"</formula1>
    </dataValidation>
    <dataValidation type="list" allowBlank="1" showErrorMessage="1" sqref="CY6:DD6 F7:F17 H7:H17 J7:J17 M7:M17 O7:O17 Q7:Q17 S7:S17 U7:U17 W7:W17 Y7:Y17 AB7:AB17 AD7:AD17 AF7:AF17 AH7:AH17 AL7:AL17 AN7:AN17 AQ7:AQ17 AS7:AS17 AU7:AU17 AW7:AW17 BA7:BA17 BC7:BC17 BF7:BF17 BH7:BH17 BJ7:BJ17 BL7:BL17 BP7:BP17 BR7:BR17 AJ20 AF22 AQ22 U23 AH23 U27:U28 W24:W28 Y23:Y28 AB23:AB28 F29 H29 J29 M29 O29 Q29 S29 AL29 AN29 AQ27:AQ29 AS29 AU29 AW29 BA29 BC29 BF27:BF29 BH29 BJ29 BL29 BN29 BP29 BR19:BR29 A37:A39">
      <formula1>"VT,PT,YB,PTYB,Nhỡ,ĐT,GA VT,BIG VT"</formula1>
    </dataValidation>
  </dataValidations>
  <printOptions/>
  <pageMargins bottom="0.75" footer="0.0" header="0.0" left="0.7" right="0.7" top="0.75"/>
  <pageSetup orientation="landscape"/>
  <drawing r:id="rId2"/>
  <legacyDrawing r:id="rId3"/>
  <tableParts count="1">
    <tablePart r:id="rId5"/>
  </tableParts>
</worksheet>
</file>