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F:\UYEN NHI\Dữ liệu lương TD 2026\Dữ liệu làm lương TĐ T5.2026\"/>
    </mc:Choice>
  </mc:AlternateContent>
  <xr:revisionPtr revIDLastSave="0" documentId="13_ncr:1_{92514579-3872-4C07-9E13-857B808DA3FE}" xr6:coauthVersionLast="47" xr6:coauthVersionMax="47" xr10:uidLastSave="{00000000-0000-0000-0000-000000000000}"/>
  <bookViews>
    <workbookView xWindow="-120" yWindow="-120" windowWidth="29040" windowHeight="15720" activeTab="1" xr2:uid="{EACFBE22-6EAE-4B4A-AD4B-8022E2D9D821}"/>
  </bookViews>
  <sheets>
    <sheet name="NHUNG TC CHIỀU" sheetId="2" r:id="rId1"/>
    <sheet name="MAI TC SÁNG" sheetId="1" r:id="rId2"/>
  </sheets>
  <externalReferences>
    <externalReference r:id="rId3"/>
    <externalReference r:id="rId4"/>
    <externalReference r:id="rId5"/>
  </externalReferences>
  <definedNames>
    <definedName name="AMvisit">[1]Ranges!#REF!</definedName>
    <definedName name="Basic">#REF!</definedName>
    <definedName name="Basic_Rate">#REF!</definedName>
    <definedName name="BasicRate">#REF!</definedName>
    <definedName name="BOM">#REF!</definedName>
    <definedName name="Bonus">#REF!</definedName>
    <definedName name="Bonusschedule">#REF!</definedName>
    <definedName name="champs">[1]Ranges!#REF!</definedName>
    <definedName name="COL">[1]Ranges!#REF!</definedName>
    <definedName name="Complaint">[1]Ranges!#REF!</definedName>
    <definedName name="COS">[1]Ranges!#REF!</definedName>
    <definedName name="Customer">[1]Ranges!#REF!</definedName>
    <definedName name="Daily_Rate">#REF!</definedName>
    <definedName name="delivery">[1]Ranges!#REF!</definedName>
    <definedName name="Dept">#REF!</definedName>
    <definedName name="Donation">#REF!</definedName>
    <definedName name="dsfrewf">[2]Ranges!#REF!</definedName>
    <definedName name="Employee">#REF!</definedName>
    <definedName name="ggg">#REF!</definedName>
    <definedName name="Hanoi_Civil_Construction_Co.">#REF!</definedName>
    <definedName name="hdcost">[1]Ranges!#REF!</definedName>
    <definedName name="hh">[2]Ranges!#REF!</definedName>
    <definedName name="Medical">#REF!</definedName>
    <definedName name="No.">#REF!</definedName>
    <definedName name="OP">#REF!</definedName>
    <definedName name="OPS">#REF!</definedName>
    <definedName name="Others">"="</definedName>
    <definedName name="Oust_Inc_Tax">#REF!</definedName>
    <definedName name="Overtime">#REF!</definedName>
    <definedName name="P__Basic">#REF!</definedName>
    <definedName name="P_Others">#REF!</definedName>
    <definedName name="Position">#REF!</definedName>
    <definedName name="profit">[1]Ranges!#REF!</definedName>
    <definedName name="range">#REF!</definedName>
    <definedName name="RCP">[1]Ranges!#REF!</definedName>
    <definedName name="retention">[1]Ranges!#REF!</definedName>
    <definedName name="rty">#REF!</definedName>
    <definedName name="Salaryschedule">#REF!</definedName>
    <definedName name="sale">[1]Ranges!#REF!</definedName>
    <definedName name="sales">[1]Ranges!#REF!</definedName>
    <definedName name="schedule">#REF!</definedName>
    <definedName name="Semi">[1]Ranges!#REF!</definedName>
    <definedName name="Social_Insurance">#REF!</definedName>
    <definedName name="sos">[1]Ranges!#REF!</definedName>
    <definedName name="Speed">[1]Ranges!#REF!</definedName>
    <definedName name="Tax">#REF!</definedName>
    <definedName name="TIUSD">[3]Taxable!$B$2:$J$11</definedName>
    <definedName name="Trade_Union">#REF!</definedName>
    <definedName name="Training">[1]Ranges!#REF!</definedName>
    <definedName name="turn">[1]Ranges!#REF!</definedName>
    <definedName name="Turnover">[1]Ranges!#REF!</definedName>
    <definedName name="UC">[1]Ranges!#REF!</definedName>
    <definedName name="Upselling">[1]Ranges!#REF!</definedName>
    <definedName name="Variable">[1]Ranges!#REF!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8" i="2" l="1"/>
  <c r="D27" i="2"/>
  <c r="D26" i="2"/>
  <c r="D25" i="2"/>
  <c r="H26" i="2" s="1"/>
  <c r="D24" i="2"/>
  <c r="D23" i="2"/>
  <c r="D22" i="2"/>
  <c r="D20" i="2"/>
  <c r="D19" i="2"/>
  <c r="D18" i="2"/>
  <c r="D17" i="2"/>
  <c r="D16" i="2"/>
  <c r="D14" i="2"/>
  <c r="D13" i="2"/>
  <c r="D12" i="2"/>
  <c r="D11" i="2"/>
  <c r="D10" i="2" s="1"/>
  <c r="H11" i="2" s="1"/>
  <c r="F6" i="2"/>
  <c r="D28" i="1"/>
  <c r="D27" i="1"/>
  <c r="D26" i="1"/>
  <c r="D25" i="1" s="1"/>
  <c r="H26" i="1" s="1"/>
  <c r="D24" i="1"/>
  <c r="D21" i="1" s="1"/>
  <c r="H22" i="1" s="1"/>
  <c r="D23" i="1"/>
  <c r="D22" i="1"/>
  <c r="D20" i="1"/>
  <c r="D19" i="1"/>
  <c r="D18" i="1"/>
  <c r="D17" i="1"/>
  <c r="D16" i="1"/>
  <c r="D14" i="1"/>
  <c r="D13" i="1"/>
  <c r="D12" i="1"/>
  <c r="D11" i="1"/>
  <c r="D10" i="1"/>
  <c r="H11" i="1" s="1"/>
  <c r="F6" i="1"/>
  <c r="D15" i="1" l="1"/>
  <c r="H16" i="1" s="1"/>
  <c r="D29" i="1" s="1"/>
  <c r="F7" i="1" s="1"/>
  <c r="D21" i="2"/>
  <c r="H22" i="2" s="1"/>
  <c r="D15" i="2"/>
  <c r="H16" i="2" s="1"/>
  <c r="D29" i="2" l="1"/>
  <c r="F7" i="2" s="1"/>
</calcChain>
</file>

<file path=xl/sharedStrings.xml><?xml version="1.0" encoding="utf-8"?>
<sst xmlns="http://schemas.openxmlformats.org/spreadsheetml/2006/main" count="109" uniqueCount="59">
  <si>
    <t>Công ty TNHH X.E Việt Nam</t>
  </si>
  <si>
    <t>PHIẾU ĐÁNH GIÁ CHẤT LƯỢNG CÔNG  VIỆC</t>
  </si>
  <si>
    <t>Mẫu:</t>
  </si>
  <si>
    <t>012022-XEVN</t>
  </si>
  <si>
    <t>Tháng đánh giá:</t>
  </si>
  <si>
    <t>Đánh giá cho</t>
  </si>
  <si>
    <t>Nhân sự</t>
  </si>
  <si>
    <t xml:space="preserve">Họ tên: </t>
  </si>
  <si>
    <t>Nguyễn Thị Quỳnh Mai</t>
  </si>
  <si>
    <t>Lương cơ bản :</t>
  </si>
  <si>
    <t xml:space="preserve">Bộ phận: </t>
  </si>
  <si>
    <t>Tổng Đài</t>
  </si>
  <si>
    <t>Ngày công thực tế:</t>
  </si>
  <si>
    <t xml:space="preserve">Chức vụ: </t>
  </si>
  <si>
    <t xml:space="preserve">Trưởng ca sáng </t>
  </si>
  <si>
    <t>Quỹ lương KPI:</t>
  </si>
  <si>
    <t>QLTT:</t>
  </si>
  <si>
    <t>Lương Thị Uyên Nhi</t>
  </si>
  <si>
    <t>Lương KPI:</t>
  </si>
  <si>
    <t>#</t>
  </si>
  <si>
    <t>Chỉ tiêu đánh giá (KPI)</t>
  </si>
  <si>
    <t>Trọng số</t>
  </si>
  <si>
    <t>Tỷ lệ trừ vi phạm/lỗi</t>
  </si>
  <si>
    <t>Số lỗi trực tiếp</t>
  </si>
  <si>
    <t>Đánh giá của QLTT</t>
  </si>
  <si>
    <t>Tỷ lệ KPI đạt được</t>
  </si>
  <si>
    <t>A</t>
  </si>
  <si>
    <t>Tuân thủ và thái độ</t>
  </si>
  <si>
    <t>Lập kế hoạch và báo cáo hàng ngày, tuần</t>
  </si>
  <si>
    <t>Tuân thủ nội quy, quy chế Công ty</t>
  </si>
  <si>
    <t>Sẵn sàng tiếp nhận nhiệm vụ, nhiệt tình triển khai công việc</t>
  </si>
  <si>
    <t>Hỗ trợ nhân viên, cấp trên và đồng nghiệp</t>
  </si>
  <si>
    <t>B</t>
  </si>
  <si>
    <t>Khối lượng và chất lượng công việc</t>
  </si>
  <si>
    <t>Tiếp nhận cuộc gọi, tư vấn khách hàng</t>
  </si>
  <si>
    <t>Xử lý phát sinh, khiếu nại</t>
  </si>
  <si>
    <t>Quản lý, giám sát tuân thủ và chất lượng nhân viên</t>
  </si>
  <si>
    <t>Quản lý tài sản, trang thiết bị phục vụ công tác hoạt động của bộ phận tổng đài</t>
  </si>
  <si>
    <t>Thực hiện đào tạo, đánh giá chất lượng nhân sự tổng đài</t>
  </si>
  <si>
    <t>C</t>
  </si>
  <si>
    <t>Chỉ số đội nhóm</t>
  </si>
  <si>
    <t>Tỷ lệ gọi nhỡ &lt;=2%</t>
  </si>
  <si>
    <t>Điểm chất lượng trung bình tổng đài viên &gt;=9.0</t>
  </si>
  <si>
    <t>Tỷ lệ tuân thủ quy định tổng đài viên &gt;90%</t>
  </si>
  <si>
    <t>D</t>
  </si>
  <si>
    <t>Tinh thần hợp tác, phối hợp các bộ phận</t>
  </si>
  <si>
    <t>Phối hợp xử lý phát sinh</t>
  </si>
  <si>
    <t>Tôn trọng, đoàn kết</t>
  </si>
  <si>
    <t>Tuân thủ điều động hỗ trợ của cấp trên</t>
  </si>
  <si>
    <t>Tỷ lệ KPI tính lương</t>
  </si>
  <si>
    <t>Lưu ý : Các lỗi vi phạm liên quan tới các quy định về việc gian lận, tự ý bỏ việc, các hành vi vi phạm đạo đức nghề nghiệp, gây thiệt hại tới Công ty sẽ bị xem xét trừ 100% mức lương KPI trong tháng</t>
  </si>
  <si>
    <t>Trưởng phòng (Ký, họ tên)</t>
  </si>
  <si>
    <t>Họ và tên nhân sự ( Ký, họ tên )</t>
  </si>
  <si>
    <t>Kết quả đánh giá chất lượng công việc của nhân sự theo phiếu này là căn cứ xác định lương, thu nhập kèm theo mọi chế độ về phúc lợi, đãi ngộ khác theo quy chế công ty. Sau khi đánh giá, phòng HCNS và phòng VTHK lưu trữ hồ sơ điểm đánh giá cuối cùng của nhân sự, làm căn cứ đánh giá chất lượng nhân sự theo kỳ.</t>
  </si>
  <si>
    <t>Lại Thị Nhung</t>
  </si>
  <si>
    <t xml:space="preserve">Trưởng ca chiều </t>
  </si>
  <si>
    <t xml:space="preserve">Lương Thị Uyên Nhi </t>
  </si>
  <si>
    <t>Lập kế hoạch và báo cáo hàng tuần</t>
  </si>
  <si>
    <t>sắp xếp ca kíp chưa hợp lý, thiếu người, tỉ lệ nhỡ tăng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</si>
</sst>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mm/yyyy"/>
    <numFmt numFmtId="166" formatCode="_(* #,##0_);_(* \(#,##0\);_(* &quot;-&quot;??_);_(@_)"/>
    <numFmt numFmtId="167" formatCode="_(* #,##0.00000_);_(* \(#,##0.00000\);_(* &quot;-&quot;??_);_(@_)"/>
  </numFmts>
  <fonts count="11" x14ac:knownFonts="1">
    <font>
      <sz val="12"/>
      <color theme="1"/>
      <name val="Times New Roman"/>
      <family val="2"/>
    </font>
    <font>
      <sz val="12"/>
      <color theme="1"/>
      <name val="Times New Roman"/>
      <family val="2"/>
    </font>
    <font>
      <b/>
      <sz val="10"/>
      <color theme="1"/>
      <name val="Times New Roman"/>
      <family val="1"/>
    </font>
    <font>
      <b/>
      <sz val="11"/>
      <color theme="1"/>
      <name val="Times New Roman"/>
      <family val="1"/>
    </font>
    <font>
      <sz val="10"/>
      <color theme="1"/>
      <name val="Times New Roman"/>
      <family val="1"/>
    </font>
    <font>
      <b/>
      <sz val="10"/>
      <color theme="0"/>
      <name val="Times New Roman"/>
      <family val="1"/>
    </font>
    <font>
      <i/>
      <sz val="10"/>
      <color theme="1"/>
      <name val="Times New Roman"/>
      <family val="1"/>
    </font>
    <font>
      <sz val="10"/>
      <name val="Times New Roman"/>
      <family val="1"/>
    </font>
    <font>
      <b/>
      <i/>
      <sz val="10"/>
      <color theme="1"/>
      <name val="Times New Roman"/>
      <family val="1"/>
    </font>
    <font>
      <b/>
      <sz val="10"/>
      <color theme="8" tint="-0.499984740745262"/>
      <name val="Times New Roman"/>
      <family val="1"/>
    </font>
    <font>
      <b/>
      <i/>
      <sz val="9"/>
      <color theme="1"/>
      <name val="Times New Roman"/>
      <family val="1"/>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2"/>
        <bgColor indexed="64"/>
      </patternFill>
    </fill>
    <fill>
      <patternFill patternType="solid">
        <fgColor rgb="FFFFFF00"/>
        <bgColor indexed="64"/>
      </patternFill>
    </fill>
    <fill>
      <patternFill patternType="solid">
        <fgColor theme="8" tint="-0.249977111117893"/>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
    <xf numFmtId="0" fontId="0" fillId="0" borderId="0"/>
    <xf numFmtId="0" fontId="1" fillId="0" borderId="0"/>
    <xf numFmtId="164" fontId="1" fillId="0" borderId="0" applyFont="0" applyFill="0" applyBorder="0" applyAlignment="0" applyProtection="0"/>
    <xf numFmtId="9" fontId="1" fillId="0" borderId="0" applyFont="0" applyFill="0" applyBorder="0" applyAlignment="0" applyProtection="0"/>
  </cellStyleXfs>
  <cellXfs count="105">
    <xf numFmtId="0" fontId="0" fillId="0" borderId="0" xfId="0"/>
    <xf numFmtId="0" fontId="4" fillId="0" borderId="0" xfId="1" applyFont="1" applyAlignment="1">
      <alignment horizontal="center" vertical="center"/>
    </xf>
    <xf numFmtId="0" fontId="4" fillId="2" borderId="5" xfId="1" applyFont="1" applyFill="1" applyBorder="1" applyAlignment="1">
      <alignment horizontal="center" vertical="center"/>
    </xf>
    <xf numFmtId="165" fontId="2" fillId="2" borderId="6" xfId="2" applyNumberFormat="1" applyFont="1" applyFill="1" applyBorder="1" applyAlignment="1">
      <alignment horizontal="center" vertical="center"/>
    </xf>
    <xf numFmtId="0" fontId="2" fillId="2" borderId="7" xfId="1" applyFont="1" applyFill="1" applyBorder="1" applyAlignment="1">
      <alignment horizontal="center" vertical="center"/>
    </xf>
    <xf numFmtId="0" fontId="4" fillId="0" borderId="0" xfId="1" applyFont="1"/>
    <xf numFmtId="0" fontId="4" fillId="4" borderId="10" xfId="1" applyFont="1" applyFill="1" applyBorder="1" applyAlignment="1">
      <alignment horizontal="left" vertical="center"/>
    </xf>
    <xf numFmtId="0" fontId="4" fillId="4" borderId="4" xfId="1" applyFont="1" applyFill="1" applyBorder="1" applyAlignment="1">
      <alignment horizontal="left" vertical="center"/>
    </xf>
    <xf numFmtId="167" fontId="4" fillId="0" borderId="0" xfId="2" applyNumberFormat="1" applyFont="1"/>
    <xf numFmtId="0" fontId="2" fillId="5" borderId="9" xfId="1" applyFont="1" applyFill="1" applyBorder="1" applyAlignment="1">
      <alignment horizontal="center" vertical="center" wrapText="1"/>
    </xf>
    <xf numFmtId="9" fontId="2" fillId="5" borderId="9" xfId="3" applyFont="1" applyFill="1" applyBorder="1" applyAlignment="1">
      <alignment horizontal="center" vertical="center" wrapText="1"/>
    </xf>
    <xf numFmtId="0" fontId="4" fillId="0" borderId="0" xfId="1" applyFont="1" applyAlignment="1">
      <alignment horizontal="center" vertical="center" wrapText="1"/>
    </xf>
    <xf numFmtId="0" fontId="2" fillId="4" borderId="9" xfId="1" applyFont="1" applyFill="1" applyBorder="1" applyAlignment="1">
      <alignment horizontal="center" vertical="center"/>
    </xf>
    <xf numFmtId="9" fontId="2" fillId="4" borderId="9" xfId="3" applyFont="1" applyFill="1" applyBorder="1" applyAlignment="1">
      <alignment horizontal="center" vertical="center"/>
    </xf>
    <xf numFmtId="9" fontId="2" fillId="4" borderId="9" xfId="3" applyFont="1" applyFill="1" applyBorder="1" applyAlignment="1">
      <alignment vertical="center"/>
    </xf>
    <xf numFmtId="2" fontId="2" fillId="4" borderId="9" xfId="1" applyNumberFormat="1" applyFont="1" applyFill="1" applyBorder="1" applyAlignment="1">
      <alignment vertical="center"/>
    </xf>
    <xf numFmtId="9" fontId="4" fillId="2" borderId="9" xfId="1" applyNumberFormat="1" applyFont="1" applyFill="1" applyBorder="1" applyAlignment="1">
      <alignment horizontal="center" vertical="center"/>
    </xf>
    <xf numFmtId="166" fontId="4" fillId="2" borderId="9" xfId="2" applyNumberFormat="1" applyFont="1" applyFill="1" applyBorder="1" applyAlignment="1">
      <alignment horizontal="center" vertical="center"/>
    </xf>
    <xf numFmtId="9" fontId="8" fillId="2" borderId="9" xfId="3" applyFont="1" applyFill="1" applyBorder="1" applyAlignment="1">
      <alignment vertical="center" wrapText="1"/>
    </xf>
    <xf numFmtId="0" fontId="2" fillId="6" borderId="13" xfId="1" applyFont="1" applyFill="1" applyBorder="1" applyAlignment="1">
      <alignment horizontal="center" vertical="center" wrapText="1"/>
    </xf>
    <xf numFmtId="9" fontId="8" fillId="2" borderId="9" xfId="3" applyFont="1" applyFill="1" applyBorder="1" applyAlignment="1">
      <alignment vertical="center"/>
    </xf>
    <xf numFmtId="9" fontId="2" fillId="4" borderId="9" xfId="1" applyNumberFormat="1" applyFont="1" applyFill="1" applyBorder="1" applyAlignment="1">
      <alignment horizontal="center" vertical="center"/>
    </xf>
    <xf numFmtId="0" fontId="4" fillId="2" borderId="10" xfId="1" applyFont="1" applyFill="1" applyBorder="1" applyAlignment="1">
      <alignment vertical="center"/>
    </xf>
    <xf numFmtId="0" fontId="4" fillId="2" borderId="4" xfId="1" applyFont="1" applyFill="1" applyBorder="1" applyAlignment="1">
      <alignment vertical="center"/>
    </xf>
    <xf numFmtId="9" fontId="4" fillId="2" borderId="9" xfId="3" applyFont="1" applyFill="1" applyBorder="1" applyAlignment="1">
      <alignment horizontal="center" vertical="center"/>
    </xf>
    <xf numFmtId="166" fontId="4" fillId="2" borderId="4" xfId="2" applyNumberFormat="1" applyFont="1" applyFill="1" applyBorder="1" applyAlignment="1">
      <alignment horizontal="center" vertical="center"/>
    </xf>
    <xf numFmtId="0" fontId="9" fillId="0" borderId="0" xfId="1" applyFont="1" applyAlignment="1">
      <alignment horizontal="center" vertical="center"/>
    </xf>
    <xf numFmtId="2" fontId="2" fillId="0" borderId="0" xfId="1" applyNumberFormat="1" applyFont="1" applyAlignment="1">
      <alignment horizontal="center" vertical="center"/>
    </xf>
    <xf numFmtId="9" fontId="2" fillId="0" borderId="0" xfId="3" applyFont="1" applyBorder="1" applyAlignment="1">
      <alignment horizontal="center" vertical="center"/>
    </xf>
    <xf numFmtId="0" fontId="2" fillId="0" borderId="0" xfId="1" applyFont="1" applyAlignment="1">
      <alignment horizontal="left" vertical="center"/>
    </xf>
    <xf numFmtId="0" fontId="2" fillId="0" borderId="0" xfId="1" applyFont="1" applyAlignment="1">
      <alignment horizontal="center"/>
    </xf>
    <xf numFmtId="0" fontId="2" fillId="0" borderId="0" xfId="1" applyFont="1" applyAlignment="1">
      <alignment horizontal="center" vertical="center"/>
    </xf>
    <xf numFmtId="0" fontId="4" fillId="0" borderId="0" xfId="1" applyFont="1" applyAlignment="1">
      <alignment horizontal="center"/>
    </xf>
    <xf numFmtId="9" fontId="4" fillId="0" borderId="0" xfId="3" applyFont="1"/>
    <xf numFmtId="166" fontId="4" fillId="0" borderId="0" xfId="1" applyNumberFormat="1" applyFont="1"/>
    <xf numFmtId="0" fontId="4" fillId="2" borderId="4" xfId="1" applyFont="1" applyFill="1" applyBorder="1" applyAlignment="1">
      <alignment horizontal="center" vertical="center"/>
    </xf>
    <xf numFmtId="9" fontId="8" fillId="2" borderId="9" xfId="3" applyFont="1" applyFill="1" applyBorder="1" applyAlignment="1">
      <alignment horizontal="left" vertical="center" wrapText="1"/>
    </xf>
    <xf numFmtId="0" fontId="9" fillId="0" borderId="10" xfId="1" applyFont="1" applyBorder="1" applyAlignment="1">
      <alignment horizontal="center" vertical="center"/>
    </xf>
    <xf numFmtId="0" fontId="9" fillId="0" borderId="3" xfId="1" applyFont="1" applyBorder="1" applyAlignment="1">
      <alignment horizontal="center" vertical="center"/>
    </xf>
    <xf numFmtId="0" fontId="9" fillId="0" borderId="4" xfId="1" applyFont="1" applyBorder="1" applyAlignment="1">
      <alignment horizontal="center" vertical="center"/>
    </xf>
    <xf numFmtId="9" fontId="2" fillId="5" borderId="9" xfId="3" applyFont="1" applyFill="1" applyBorder="1" applyAlignment="1">
      <alignment horizontal="center" vertical="center"/>
    </xf>
    <xf numFmtId="0" fontId="6" fillId="0" borderId="9" xfId="1" applyFont="1" applyBorder="1" applyAlignment="1">
      <alignment horizontal="left" vertical="center" wrapText="1"/>
    </xf>
    <xf numFmtId="0" fontId="2" fillId="0" borderId="0" xfId="1" applyFont="1" applyAlignment="1">
      <alignment horizontal="center"/>
    </xf>
    <xf numFmtId="0" fontId="4" fillId="0" borderId="2" xfId="1" applyFont="1" applyBorder="1" applyAlignment="1">
      <alignment horizontal="center" vertical="center" wrapText="1"/>
    </xf>
    <xf numFmtId="0" fontId="4" fillId="0" borderId="0" xfId="1" applyFont="1" applyAlignment="1">
      <alignment horizontal="center" vertical="center" wrapText="1"/>
    </xf>
    <xf numFmtId="0" fontId="2" fillId="4" borderId="10" xfId="1" applyFont="1" applyFill="1" applyBorder="1" applyAlignment="1">
      <alignment horizontal="left" vertical="center"/>
    </xf>
    <xf numFmtId="0" fontId="2" fillId="4" borderId="4" xfId="1" applyFont="1" applyFill="1" applyBorder="1" applyAlignment="1">
      <alignment horizontal="left" vertical="center"/>
    </xf>
    <xf numFmtId="0" fontId="6" fillId="4" borderId="10" xfId="1" applyFont="1" applyFill="1" applyBorder="1" applyAlignment="1">
      <alignment horizontal="center"/>
    </xf>
    <xf numFmtId="0" fontId="6" fillId="4" borderId="4" xfId="1" applyFont="1" applyFill="1" applyBorder="1" applyAlignment="1">
      <alignment horizontal="center"/>
    </xf>
    <xf numFmtId="2" fontId="2" fillId="4" borderId="9" xfId="1" applyNumberFormat="1" applyFont="1" applyFill="1" applyBorder="1" applyAlignment="1">
      <alignment horizontal="center"/>
    </xf>
    <xf numFmtId="0" fontId="2" fillId="6" borderId="12" xfId="1" applyFont="1" applyFill="1" applyBorder="1" applyAlignment="1">
      <alignment horizontal="center" vertical="center" wrapText="1"/>
    </xf>
    <xf numFmtId="0" fontId="2" fillId="6" borderId="13" xfId="1" applyFont="1" applyFill="1" applyBorder="1" applyAlignment="1">
      <alignment horizontal="center" vertical="center" wrapText="1"/>
    </xf>
    <xf numFmtId="0" fontId="2" fillId="6" borderId="8" xfId="1" applyFont="1" applyFill="1" applyBorder="1" applyAlignment="1">
      <alignment horizontal="center" vertical="center" wrapText="1"/>
    </xf>
    <xf numFmtId="0" fontId="4" fillId="2" borderId="10" xfId="1" applyFont="1" applyFill="1" applyBorder="1" applyAlignment="1">
      <alignment horizontal="left" vertical="center"/>
    </xf>
    <xf numFmtId="0" fontId="4" fillId="2" borderId="4" xfId="1" applyFont="1" applyFill="1" applyBorder="1" applyAlignment="1">
      <alignment horizontal="left" vertical="center"/>
    </xf>
    <xf numFmtId="9" fontId="8" fillId="5" borderId="9" xfId="3" applyFont="1" applyFill="1" applyBorder="1" applyAlignment="1">
      <alignment horizontal="center" vertical="center"/>
    </xf>
    <xf numFmtId="0" fontId="2" fillId="4" borderId="10" xfId="1" applyFont="1" applyFill="1" applyBorder="1" applyAlignment="1">
      <alignment vertical="center"/>
    </xf>
    <xf numFmtId="0" fontId="2" fillId="4" borderId="4" xfId="1" applyFont="1" applyFill="1" applyBorder="1" applyAlignment="1">
      <alignment vertical="center"/>
    </xf>
    <xf numFmtId="0" fontId="4" fillId="7" borderId="10" xfId="1" applyFont="1" applyFill="1" applyBorder="1" applyAlignment="1">
      <alignment vertical="center"/>
    </xf>
    <xf numFmtId="0" fontId="4" fillId="7" borderId="4" xfId="1" applyFont="1" applyFill="1" applyBorder="1" applyAlignment="1">
      <alignment vertical="center"/>
    </xf>
    <xf numFmtId="9" fontId="8" fillId="5" borderId="12" xfId="3" applyFont="1" applyFill="1" applyBorder="1" applyAlignment="1">
      <alignment horizontal="center" vertical="center"/>
    </xf>
    <xf numFmtId="9" fontId="8" fillId="5" borderId="13" xfId="3" applyFont="1" applyFill="1" applyBorder="1" applyAlignment="1">
      <alignment horizontal="center" vertical="center"/>
    </xf>
    <xf numFmtId="0" fontId="4" fillId="2" borderId="10" xfId="1" applyFont="1" applyFill="1" applyBorder="1" applyAlignment="1">
      <alignment vertical="center"/>
    </xf>
    <xf numFmtId="0" fontId="4" fillId="2" borderId="4" xfId="1" applyFont="1" applyFill="1" applyBorder="1" applyAlignment="1">
      <alignment vertical="center"/>
    </xf>
    <xf numFmtId="9" fontId="8" fillId="5" borderId="8" xfId="3" applyFont="1" applyFill="1" applyBorder="1" applyAlignment="1">
      <alignment horizontal="center" vertical="center"/>
    </xf>
    <xf numFmtId="0" fontId="4" fillId="2" borderId="10" xfId="1" applyFont="1" applyFill="1" applyBorder="1" applyAlignment="1">
      <alignment horizontal="left" vertical="center" wrapText="1"/>
    </xf>
    <xf numFmtId="0" fontId="4" fillId="2" borderId="4" xfId="1" applyFont="1" applyFill="1" applyBorder="1" applyAlignment="1">
      <alignment horizontal="left" vertical="center" wrapText="1"/>
    </xf>
    <xf numFmtId="0" fontId="7" fillId="0" borderId="9" xfId="1" applyFont="1" applyBorder="1" applyAlignment="1">
      <alignment horizontal="left" vertical="center"/>
    </xf>
    <xf numFmtId="0" fontId="7" fillId="0" borderId="9" xfId="1" applyFont="1" applyBorder="1" applyAlignment="1">
      <alignment horizontal="left" vertical="center" wrapText="1"/>
    </xf>
    <xf numFmtId="0" fontId="4" fillId="4" borderId="2" xfId="1" applyFont="1" applyFill="1" applyBorder="1" applyAlignment="1">
      <alignment horizontal="center" vertical="center" wrapText="1"/>
    </xf>
    <xf numFmtId="0" fontId="4" fillId="4" borderId="11" xfId="1" applyFont="1" applyFill="1" applyBorder="1" applyAlignment="1">
      <alignment horizontal="center" vertical="center" wrapText="1"/>
    </xf>
    <xf numFmtId="0" fontId="4" fillId="4" borderId="10" xfId="1" applyFont="1" applyFill="1" applyBorder="1" applyAlignment="1">
      <alignment horizontal="left" vertical="center" wrapText="1"/>
    </xf>
    <xf numFmtId="0" fontId="4" fillId="4" borderId="3" xfId="1" applyFont="1" applyFill="1" applyBorder="1" applyAlignment="1">
      <alignment horizontal="left" vertical="center" wrapText="1"/>
    </xf>
    <xf numFmtId="166" fontId="4" fillId="4" borderId="2" xfId="2" applyNumberFormat="1" applyFont="1" applyFill="1" applyBorder="1" applyAlignment="1">
      <alignment horizontal="center" vertical="center" wrapText="1"/>
    </xf>
    <xf numFmtId="166" fontId="4" fillId="4" borderId="11" xfId="2" applyNumberFormat="1" applyFont="1" applyFill="1" applyBorder="1" applyAlignment="1">
      <alignment horizontal="center" vertical="center" wrapText="1"/>
    </xf>
    <xf numFmtId="166" fontId="4" fillId="4" borderId="2" xfId="1" applyNumberFormat="1" applyFont="1" applyFill="1" applyBorder="1" applyAlignment="1">
      <alignment horizontal="center" vertical="center" wrapText="1"/>
    </xf>
    <xf numFmtId="0" fontId="2" fillId="2" borderId="5" xfId="1" applyFont="1" applyFill="1" applyBorder="1" applyAlignment="1">
      <alignment horizontal="center" vertical="center" textRotation="90"/>
    </xf>
    <xf numFmtId="0" fontId="2" fillId="2" borderId="6" xfId="1" applyFont="1" applyFill="1" applyBorder="1" applyAlignment="1">
      <alignment horizontal="center" vertical="center" textRotation="90"/>
    </xf>
    <xf numFmtId="0" fontId="2" fillId="2" borderId="3" xfId="1" applyFont="1" applyFill="1" applyBorder="1" applyAlignment="1">
      <alignment horizontal="center" vertical="center" textRotation="90"/>
    </xf>
    <xf numFmtId="0" fontId="2" fillId="2" borderId="4" xfId="1" applyFont="1" applyFill="1" applyBorder="1" applyAlignment="1">
      <alignment horizontal="center" vertical="center" textRotation="90"/>
    </xf>
    <xf numFmtId="0" fontId="2" fillId="5" borderId="10" xfId="1" applyFont="1" applyFill="1" applyBorder="1" applyAlignment="1">
      <alignment horizontal="center" vertical="center" wrapText="1"/>
    </xf>
    <xf numFmtId="0" fontId="2" fillId="5" borderId="4" xfId="1" applyFont="1" applyFill="1" applyBorder="1" applyAlignment="1">
      <alignment horizontal="center" vertical="center" wrapText="1"/>
    </xf>
    <xf numFmtId="0" fontId="6" fillId="4" borderId="10" xfId="1" applyFont="1" applyFill="1" applyBorder="1" applyAlignment="1">
      <alignment horizontal="center" vertical="center"/>
    </xf>
    <xf numFmtId="0" fontId="6" fillId="4" borderId="4" xfId="1" applyFont="1" applyFill="1" applyBorder="1" applyAlignment="1">
      <alignment horizontal="center" vertical="center"/>
    </xf>
    <xf numFmtId="0" fontId="2" fillId="2" borderId="1" xfId="1" applyFont="1" applyFill="1" applyBorder="1" applyAlignment="1">
      <alignment horizontal="left" vertical="center"/>
    </xf>
    <xf numFmtId="0" fontId="2" fillId="2" borderId="2" xfId="1" applyFont="1" applyFill="1" applyBorder="1" applyAlignment="1">
      <alignment horizontal="left" vertical="center"/>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xf numFmtId="0" fontId="4" fillId="2" borderId="6" xfId="1" applyFont="1" applyFill="1" applyBorder="1" applyAlignment="1">
      <alignment horizontal="left" vertical="center"/>
    </xf>
    <xf numFmtId="0" fontId="4" fillId="2" borderId="6" xfId="1" applyFont="1" applyFill="1" applyBorder="1" applyAlignment="1">
      <alignment horizontal="center" vertical="center"/>
    </xf>
    <xf numFmtId="0" fontId="3" fillId="3" borderId="8" xfId="1" applyFont="1" applyFill="1" applyBorder="1" applyAlignment="1">
      <alignment horizontal="center" vertical="center" textRotation="90"/>
    </xf>
    <xf numFmtId="0" fontId="3" fillId="3" borderId="9" xfId="1" applyFont="1" applyFill="1" applyBorder="1" applyAlignment="1">
      <alignment horizontal="center" vertical="center" textRotation="90"/>
    </xf>
    <xf numFmtId="0" fontId="2" fillId="3" borderId="8" xfId="1" applyFont="1" applyFill="1" applyBorder="1" applyAlignment="1">
      <alignment horizontal="center" vertical="center"/>
    </xf>
    <xf numFmtId="166" fontId="5" fillId="3" borderId="5" xfId="2" applyNumberFormat="1" applyFont="1" applyFill="1" applyBorder="1" applyAlignment="1">
      <alignment horizontal="center" vertical="center" wrapText="1"/>
    </xf>
    <xf numFmtId="166" fontId="5" fillId="3" borderId="6" xfId="2" applyNumberFormat="1" applyFont="1" applyFill="1" applyBorder="1" applyAlignment="1">
      <alignment horizontal="center" vertical="center" wrapText="1"/>
    </xf>
    <xf numFmtId="166" fontId="5" fillId="3" borderId="7" xfId="2" applyNumberFormat="1" applyFont="1" applyFill="1" applyBorder="1" applyAlignment="1">
      <alignment horizontal="center" vertical="center" wrapText="1"/>
    </xf>
    <xf numFmtId="0" fontId="2" fillId="2" borderId="3" xfId="1" applyFont="1" applyFill="1" applyBorder="1" applyAlignment="1">
      <alignment horizontal="center" vertical="center"/>
    </xf>
    <xf numFmtId="0" fontId="2" fillId="2" borderId="4" xfId="1" applyFont="1" applyFill="1" applyBorder="1" applyAlignment="1">
      <alignment horizontal="center" vertical="center"/>
    </xf>
    <xf numFmtId="0" fontId="5" fillId="8" borderId="8" xfId="1" applyFont="1" applyFill="1" applyBorder="1" applyAlignment="1">
      <alignment horizontal="center" vertical="center" textRotation="90"/>
    </xf>
    <xf numFmtId="0" fontId="5" fillId="8" borderId="9" xfId="1" applyFont="1" applyFill="1" applyBorder="1" applyAlignment="1">
      <alignment horizontal="center" vertical="center" textRotation="90"/>
    </xf>
    <xf numFmtId="0" fontId="5" fillId="8" borderId="8" xfId="1" applyFont="1" applyFill="1" applyBorder="1" applyAlignment="1">
      <alignment horizontal="center" vertical="center"/>
    </xf>
    <xf numFmtId="166" fontId="5" fillId="8" borderId="5" xfId="2" applyNumberFormat="1" applyFont="1" applyFill="1" applyBorder="1" applyAlignment="1">
      <alignment horizontal="center" vertical="center" wrapText="1"/>
    </xf>
    <xf numFmtId="166" fontId="5" fillId="8" borderId="6" xfId="2" applyNumberFormat="1" applyFont="1" applyFill="1" applyBorder="1" applyAlignment="1">
      <alignment horizontal="center" vertical="center" wrapText="1"/>
    </xf>
    <xf numFmtId="166" fontId="5" fillId="8" borderId="7" xfId="2" applyNumberFormat="1" applyFont="1" applyFill="1" applyBorder="1" applyAlignment="1">
      <alignment horizontal="center" vertical="center" wrapText="1"/>
    </xf>
    <xf numFmtId="9" fontId="10" fillId="2" borderId="9" xfId="3" applyFont="1" applyFill="1" applyBorder="1" applyAlignment="1">
      <alignment vertical="center"/>
    </xf>
  </cellXfs>
  <cellStyles count="4">
    <cellStyle name="Comma 2" xfId="2" xr:uid="{5141E923-5657-41F7-AA31-015B3025B087}"/>
    <cellStyle name="Normal" xfId="0" builtinId="0"/>
    <cellStyle name="Normal 2" xfId="1" xr:uid="{62A718BE-39C9-4ED0-B109-7A6395B4E0EF}"/>
    <cellStyle name="Percent 2" xfId="3" xr:uid="{C4F3FAB9-3797-489F-BBD5-5F8C4DB7A8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Downloads\HR%20HN%20KP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Downloads\B&#225;o%20c&#225;o%20people%202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Thuy%20Huong\Payroll\2009\SHB\DOCUME~1\HOANGU~1\LOCALS~1\Temp\Temporary%20Directory%201%20for%20PAYROLL%202-06-SGH.zip\PAYROLL%202006\Payroll%202005\Payroll%202005\Accounting%201998\Payroll\PayDecemb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s"/>
      <sheetName val="FORM GIAO HANG"/>
      <sheetName val="Ranges"/>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sheetName val="T10"/>
      <sheetName val="T9"/>
      <sheetName val="T8"/>
      <sheetName val="T7"/>
      <sheetName val="T6"/>
      <sheetName val="T5"/>
      <sheetName val="T4"/>
      <sheetName val="Sales &amp; Profit"/>
      <sheetName val="BSC"/>
      <sheetName val="Ranges"/>
      <sheetName val="Sheet1"/>
    </sheetNames>
    <sheetDataSet>
      <sheetData sheetId="0"/>
      <sheetData sheetId="1"/>
      <sheetData sheetId="2"/>
      <sheetData sheetId="3"/>
      <sheetData sheetId="4"/>
      <sheetData sheetId="5"/>
      <sheetData sheetId="6"/>
      <sheetData sheetId="7"/>
      <sheetData sheetId="8"/>
      <sheetData sheetId="9"/>
      <sheetData sheetId="10">
        <row r="3">
          <cell r="B3">
            <v>1</v>
          </cell>
        </row>
      </sheetData>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able"/>
      <sheetName val="Salary schedule"/>
      <sheetName val="Chargeout"/>
      <sheetName val="Sheet10"/>
      <sheetName val="Bonus"/>
      <sheetName val="Sheet12"/>
      <sheetName val="Sheet14"/>
      <sheetName val="Sheet13"/>
      <sheetName val="Sheet15"/>
      <sheetName val="Sheet16"/>
    </sheetNames>
    <sheetDataSet>
      <sheetData sheetId="0">
        <row r="2">
          <cell r="B2" t="str">
            <v>TI (USD)</v>
          </cell>
          <cell r="C2" t="str">
            <v>Tax Rate</v>
          </cell>
          <cell r="D2" t="str">
            <v>Dedn(VND)</v>
          </cell>
          <cell r="E2" t="str">
            <v>Dedn (USD)</v>
          </cell>
          <cell r="F2" t="str">
            <v>Net (VND)</v>
          </cell>
          <cell r="G2" t="str">
            <v>TP (VND)</v>
          </cell>
          <cell r="H2" t="str">
            <v>Net (USD)</v>
          </cell>
          <cell r="I2" t="str">
            <v>Dedn(USD)</v>
          </cell>
          <cell r="J2" t="str">
            <v>TP(USD)</v>
          </cell>
        </row>
        <row r="3">
          <cell r="C3">
            <v>0</v>
          </cell>
          <cell r="D3">
            <v>0</v>
          </cell>
          <cell r="E3">
            <v>0</v>
          </cell>
          <cell r="I3">
            <v>0</v>
          </cell>
        </row>
        <row r="4">
          <cell r="B4">
            <v>0</v>
          </cell>
          <cell r="C4">
            <v>0</v>
          </cell>
          <cell r="D4">
            <v>0</v>
          </cell>
          <cell r="E4">
            <v>0</v>
          </cell>
          <cell r="F4">
            <v>0</v>
          </cell>
          <cell r="G4">
            <v>0</v>
          </cell>
          <cell r="H4">
            <v>0</v>
          </cell>
          <cell r="I4">
            <v>0</v>
          </cell>
          <cell r="J4">
            <v>0</v>
          </cell>
        </row>
        <row r="5">
          <cell r="B5">
            <v>154</v>
          </cell>
          <cell r="C5">
            <v>0.1</v>
          </cell>
          <cell r="D5">
            <v>200000</v>
          </cell>
          <cell r="E5">
            <v>15.4</v>
          </cell>
          <cell r="F5">
            <v>2000000</v>
          </cell>
          <cell r="G5">
            <v>0</v>
          </cell>
          <cell r="H5">
            <v>154</v>
          </cell>
          <cell r="I5">
            <v>18.18</v>
          </cell>
          <cell r="J5">
            <v>0</v>
          </cell>
        </row>
        <row r="6">
          <cell r="B6">
            <v>231</v>
          </cell>
          <cell r="C6">
            <v>0.2</v>
          </cell>
          <cell r="D6">
            <v>500000</v>
          </cell>
          <cell r="E6">
            <v>38.5</v>
          </cell>
          <cell r="F6">
            <v>2900000</v>
          </cell>
          <cell r="G6">
            <v>100000</v>
          </cell>
          <cell r="H6">
            <v>223.3</v>
          </cell>
          <cell r="I6">
            <v>45.45</v>
          </cell>
          <cell r="J6">
            <v>4.9200000000000017</v>
          </cell>
        </row>
        <row r="7">
          <cell r="B7">
            <v>308</v>
          </cell>
          <cell r="C7">
            <v>0.3</v>
          </cell>
          <cell r="D7">
            <v>900000</v>
          </cell>
          <cell r="E7">
            <v>69.3</v>
          </cell>
          <cell r="F7">
            <v>3700000</v>
          </cell>
          <cell r="G7">
            <v>300000</v>
          </cell>
          <cell r="H7">
            <v>284.89999999999998</v>
          </cell>
          <cell r="I7">
            <v>81.819999999999993</v>
          </cell>
          <cell r="J7">
            <v>16.149999999999999</v>
          </cell>
        </row>
        <row r="8">
          <cell r="B8">
            <v>462</v>
          </cell>
          <cell r="C8">
            <v>0.4</v>
          </cell>
          <cell r="D8">
            <v>1500000</v>
          </cell>
          <cell r="E8">
            <v>115.5</v>
          </cell>
          <cell r="F8">
            <v>5100000</v>
          </cell>
          <cell r="G8">
            <v>900000</v>
          </cell>
          <cell r="H8">
            <v>392.7</v>
          </cell>
          <cell r="I8">
            <v>136.36000000000001</v>
          </cell>
          <cell r="J8">
            <v>56.78</v>
          </cell>
        </row>
        <row r="9">
          <cell r="B9">
            <v>616</v>
          </cell>
          <cell r="C9">
            <v>0.5</v>
          </cell>
          <cell r="D9">
            <v>2300000</v>
          </cell>
          <cell r="E9">
            <v>177.1</v>
          </cell>
          <cell r="F9">
            <v>6300000</v>
          </cell>
          <cell r="G9">
            <v>1700000</v>
          </cell>
          <cell r="H9">
            <v>485.1</v>
          </cell>
          <cell r="I9">
            <v>209.09</v>
          </cell>
          <cell r="J9">
            <v>110.03999999999999</v>
          </cell>
        </row>
        <row r="10">
          <cell r="B10">
            <v>770</v>
          </cell>
          <cell r="C10">
            <v>0.6</v>
          </cell>
          <cell r="D10">
            <v>3300000</v>
          </cell>
          <cell r="E10">
            <v>254.1</v>
          </cell>
          <cell r="F10">
            <v>7300000</v>
          </cell>
          <cell r="G10">
            <v>2700000</v>
          </cell>
          <cell r="H10">
            <v>562.1</v>
          </cell>
          <cell r="I10">
            <v>300</v>
          </cell>
          <cell r="J10">
            <v>175.91</v>
          </cell>
        </row>
        <row r="11">
          <cell r="B11">
            <v>770</v>
          </cell>
          <cell r="E11">
            <v>0</v>
          </cell>
          <cell r="F11">
            <v>7300000</v>
          </cell>
          <cell r="G11">
            <v>2700000</v>
          </cell>
          <cell r="H11">
            <v>562.1</v>
          </cell>
          <cell r="J11">
            <v>162</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0100B-B8F2-457D-B0C6-43F96F5EE6DE}">
  <sheetPr codeName="Sheet1"/>
  <dimension ref="A1:K39"/>
  <sheetViews>
    <sheetView showGridLines="0" topLeftCell="A7" zoomScale="91" zoomScaleNormal="91" workbookViewId="0">
      <selection activeCell="B23" sqref="B23:C23"/>
    </sheetView>
  </sheetViews>
  <sheetFormatPr defaultRowHeight="12.75" x14ac:dyDescent="0.2"/>
  <cols>
    <col min="1" max="1" width="7.75" style="1" customWidth="1"/>
    <col min="2" max="2" width="9.75" style="5" customWidth="1"/>
    <col min="3" max="3" width="32.375" style="5" customWidth="1"/>
    <col min="4" max="4" width="7.125" style="1" customWidth="1"/>
    <col min="5" max="5" width="11.75" style="1" customWidth="1"/>
    <col min="6" max="6" width="6.875" style="32" customWidth="1"/>
    <col min="7" max="7" width="35.625" style="33" customWidth="1"/>
    <col min="8" max="257" width="9" style="5"/>
    <col min="258" max="258" width="7.75" style="5" customWidth="1"/>
    <col min="259" max="259" width="36" style="5" customWidth="1"/>
    <col min="260" max="260" width="9" style="5"/>
    <col min="261" max="261" width="8.625" style="5" customWidth="1"/>
    <col min="262" max="513" width="9" style="5"/>
    <col min="514" max="514" width="7.75" style="5" customWidth="1"/>
    <col min="515" max="515" width="36" style="5" customWidth="1"/>
    <col min="516" max="516" width="9" style="5"/>
    <col min="517" max="517" width="8.625" style="5" customWidth="1"/>
    <col min="518" max="769" width="9" style="5"/>
    <col min="770" max="770" width="7.75" style="5" customWidth="1"/>
    <col min="771" max="771" width="36" style="5" customWidth="1"/>
    <col min="772" max="772" width="9" style="5"/>
    <col min="773" max="773" width="8.625" style="5" customWidth="1"/>
    <col min="774" max="1025" width="9" style="5"/>
    <col min="1026" max="1026" width="7.75" style="5" customWidth="1"/>
    <col min="1027" max="1027" width="36" style="5" customWidth="1"/>
    <col min="1028" max="1028" width="9" style="5"/>
    <col min="1029" max="1029" width="8.625" style="5" customWidth="1"/>
    <col min="1030" max="1281" width="9" style="5"/>
    <col min="1282" max="1282" width="7.75" style="5" customWidth="1"/>
    <col min="1283" max="1283" width="36" style="5" customWidth="1"/>
    <col min="1284" max="1284" width="9" style="5"/>
    <col min="1285" max="1285" width="8.625" style="5" customWidth="1"/>
    <col min="1286" max="1537" width="9" style="5"/>
    <col min="1538" max="1538" width="7.75" style="5" customWidth="1"/>
    <col min="1539" max="1539" width="36" style="5" customWidth="1"/>
    <col min="1540" max="1540" width="9" style="5"/>
    <col min="1541" max="1541" width="8.625" style="5" customWidth="1"/>
    <col min="1542" max="1793" width="9" style="5"/>
    <col min="1794" max="1794" width="7.75" style="5" customWidth="1"/>
    <col min="1795" max="1795" width="36" style="5" customWidth="1"/>
    <col min="1796" max="1796" width="9" style="5"/>
    <col min="1797" max="1797" width="8.625" style="5" customWidth="1"/>
    <col min="1798" max="2049" width="9" style="5"/>
    <col min="2050" max="2050" width="7.75" style="5" customWidth="1"/>
    <col min="2051" max="2051" width="36" style="5" customWidth="1"/>
    <col min="2052" max="2052" width="9" style="5"/>
    <col min="2053" max="2053" width="8.625" style="5" customWidth="1"/>
    <col min="2054" max="2305" width="9" style="5"/>
    <col min="2306" max="2306" width="7.75" style="5" customWidth="1"/>
    <col min="2307" max="2307" width="36" style="5" customWidth="1"/>
    <col min="2308" max="2308" width="9" style="5"/>
    <col min="2309" max="2309" width="8.625" style="5" customWidth="1"/>
    <col min="2310" max="2561" width="9" style="5"/>
    <col min="2562" max="2562" width="7.75" style="5" customWidth="1"/>
    <col min="2563" max="2563" width="36" style="5" customWidth="1"/>
    <col min="2564" max="2564" width="9" style="5"/>
    <col min="2565" max="2565" width="8.625" style="5" customWidth="1"/>
    <col min="2566" max="2817" width="9" style="5"/>
    <col min="2818" max="2818" width="7.75" style="5" customWidth="1"/>
    <col min="2819" max="2819" width="36" style="5" customWidth="1"/>
    <col min="2820" max="2820" width="9" style="5"/>
    <col min="2821" max="2821" width="8.625" style="5" customWidth="1"/>
    <col min="2822" max="3073" width="9" style="5"/>
    <col min="3074" max="3074" width="7.75" style="5" customWidth="1"/>
    <col min="3075" max="3075" width="36" style="5" customWidth="1"/>
    <col min="3076" max="3076" width="9" style="5"/>
    <col min="3077" max="3077" width="8.625" style="5" customWidth="1"/>
    <col min="3078" max="3329" width="9" style="5"/>
    <col min="3330" max="3330" width="7.75" style="5" customWidth="1"/>
    <col min="3331" max="3331" width="36" style="5" customWidth="1"/>
    <col min="3332" max="3332" width="9" style="5"/>
    <col min="3333" max="3333" width="8.625" style="5" customWidth="1"/>
    <col min="3334" max="3585" width="9" style="5"/>
    <col min="3586" max="3586" width="7.75" style="5" customWidth="1"/>
    <col min="3587" max="3587" width="36" style="5" customWidth="1"/>
    <col min="3588" max="3588" width="9" style="5"/>
    <col min="3589" max="3589" width="8.625" style="5" customWidth="1"/>
    <col min="3590" max="3841" width="9" style="5"/>
    <col min="3842" max="3842" width="7.75" style="5" customWidth="1"/>
    <col min="3843" max="3843" width="36" style="5" customWidth="1"/>
    <col min="3844" max="3844" width="9" style="5"/>
    <col min="3845" max="3845" width="8.625" style="5" customWidth="1"/>
    <col min="3846" max="4097" width="9" style="5"/>
    <col min="4098" max="4098" width="7.75" style="5" customWidth="1"/>
    <col min="4099" max="4099" width="36" style="5" customWidth="1"/>
    <col min="4100" max="4100" width="9" style="5"/>
    <col min="4101" max="4101" width="8.625" style="5" customWidth="1"/>
    <col min="4102" max="4353" width="9" style="5"/>
    <col min="4354" max="4354" width="7.75" style="5" customWidth="1"/>
    <col min="4355" max="4355" width="36" style="5" customWidth="1"/>
    <col min="4356" max="4356" width="9" style="5"/>
    <col min="4357" max="4357" width="8.625" style="5" customWidth="1"/>
    <col min="4358" max="4609" width="9" style="5"/>
    <col min="4610" max="4610" width="7.75" style="5" customWidth="1"/>
    <col min="4611" max="4611" width="36" style="5" customWidth="1"/>
    <col min="4612" max="4612" width="9" style="5"/>
    <col min="4613" max="4613" width="8.625" style="5" customWidth="1"/>
    <col min="4614" max="4865" width="9" style="5"/>
    <col min="4866" max="4866" width="7.75" style="5" customWidth="1"/>
    <col min="4867" max="4867" width="36" style="5" customWidth="1"/>
    <col min="4868" max="4868" width="9" style="5"/>
    <col min="4869" max="4869" width="8.625" style="5" customWidth="1"/>
    <col min="4870" max="5121" width="9" style="5"/>
    <col min="5122" max="5122" width="7.75" style="5" customWidth="1"/>
    <col min="5123" max="5123" width="36" style="5" customWidth="1"/>
    <col min="5124" max="5124" width="9" style="5"/>
    <col min="5125" max="5125" width="8.625" style="5" customWidth="1"/>
    <col min="5126" max="5377" width="9" style="5"/>
    <col min="5378" max="5378" width="7.75" style="5" customWidth="1"/>
    <col min="5379" max="5379" width="36" style="5" customWidth="1"/>
    <col min="5380" max="5380" width="9" style="5"/>
    <col min="5381" max="5381" width="8.625" style="5" customWidth="1"/>
    <col min="5382" max="5633" width="9" style="5"/>
    <col min="5634" max="5634" width="7.75" style="5" customWidth="1"/>
    <col min="5635" max="5635" width="36" style="5" customWidth="1"/>
    <col min="5636" max="5636" width="9" style="5"/>
    <col min="5637" max="5637" width="8.625" style="5" customWidth="1"/>
    <col min="5638" max="5889" width="9" style="5"/>
    <col min="5890" max="5890" width="7.75" style="5" customWidth="1"/>
    <col min="5891" max="5891" width="36" style="5" customWidth="1"/>
    <col min="5892" max="5892" width="9" style="5"/>
    <col min="5893" max="5893" width="8.625" style="5" customWidth="1"/>
    <col min="5894" max="6145" width="9" style="5"/>
    <col min="6146" max="6146" width="7.75" style="5" customWidth="1"/>
    <col min="6147" max="6147" width="36" style="5" customWidth="1"/>
    <col min="6148" max="6148" width="9" style="5"/>
    <col min="6149" max="6149" width="8.625" style="5" customWidth="1"/>
    <col min="6150" max="6401" width="9" style="5"/>
    <col min="6402" max="6402" width="7.75" style="5" customWidth="1"/>
    <col min="6403" max="6403" width="36" style="5" customWidth="1"/>
    <col min="6404" max="6404" width="9" style="5"/>
    <col min="6405" max="6405" width="8.625" style="5" customWidth="1"/>
    <col min="6406" max="6657" width="9" style="5"/>
    <col min="6658" max="6658" width="7.75" style="5" customWidth="1"/>
    <col min="6659" max="6659" width="36" style="5" customWidth="1"/>
    <col min="6660" max="6660" width="9" style="5"/>
    <col min="6661" max="6661" width="8.625" style="5" customWidth="1"/>
    <col min="6662" max="6913" width="9" style="5"/>
    <col min="6914" max="6914" width="7.75" style="5" customWidth="1"/>
    <col min="6915" max="6915" width="36" style="5" customWidth="1"/>
    <col min="6916" max="6916" width="9" style="5"/>
    <col min="6917" max="6917" width="8.625" style="5" customWidth="1"/>
    <col min="6918" max="7169" width="9" style="5"/>
    <col min="7170" max="7170" width="7.75" style="5" customWidth="1"/>
    <col min="7171" max="7171" width="36" style="5" customWidth="1"/>
    <col min="7172" max="7172" width="9" style="5"/>
    <col min="7173" max="7173" width="8.625" style="5" customWidth="1"/>
    <col min="7174" max="7425" width="9" style="5"/>
    <col min="7426" max="7426" width="7.75" style="5" customWidth="1"/>
    <col min="7427" max="7427" width="36" style="5" customWidth="1"/>
    <col min="7428" max="7428" width="9" style="5"/>
    <col min="7429" max="7429" width="8.625" style="5" customWidth="1"/>
    <col min="7430" max="7681" width="9" style="5"/>
    <col min="7682" max="7682" width="7.75" style="5" customWidth="1"/>
    <col min="7683" max="7683" width="36" style="5" customWidth="1"/>
    <col min="7684" max="7684" width="9" style="5"/>
    <col min="7685" max="7685" width="8.625" style="5" customWidth="1"/>
    <col min="7686" max="7937" width="9" style="5"/>
    <col min="7938" max="7938" width="7.75" style="5" customWidth="1"/>
    <col min="7939" max="7939" width="36" style="5" customWidth="1"/>
    <col min="7940" max="7940" width="9" style="5"/>
    <col min="7941" max="7941" width="8.625" style="5" customWidth="1"/>
    <col min="7942" max="8193" width="9" style="5"/>
    <col min="8194" max="8194" width="7.75" style="5" customWidth="1"/>
    <col min="8195" max="8195" width="36" style="5" customWidth="1"/>
    <col min="8196" max="8196" width="9" style="5"/>
    <col min="8197" max="8197" width="8.625" style="5" customWidth="1"/>
    <col min="8198" max="8449" width="9" style="5"/>
    <col min="8450" max="8450" width="7.75" style="5" customWidth="1"/>
    <col min="8451" max="8451" width="36" style="5" customWidth="1"/>
    <col min="8452" max="8452" width="9" style="5"/>
    <col min="8453" max="8453" width="8.625" style="5" customWidth="1"/>
    <col min="8454" max="8705" width="9" style="5"/>
    <col min="8706" max="8706" width="7.75" style="5" customWidth="1"/>
    <col min="8707" max="8707" width="36" style="5" customWidth="1"/>
    <col min="8708" max="8708" width="9" style="5"/>
    <col min="8709" max="8709" width="8.625" style="5" customWidth="1"/>
    <col min="8710" max="8961" width="9" style="5"/>
    <col min="8962" max="8962" width="7.75" style="5" customWidth="1"/>
    <col min="8963" max="8963" width="36" style="5" customWidth="1"/>
    <col min="8964" max="8964" width="9" style="5"/>
    <col min="8965" max="8965" width="8.625" style="5" customWidth="1"/>
    <col min="8966" max="9217" width="9" style="5"/>
    <col min="9218" max="9218" width="7.75" style="5" customWidth="1"/>
    <col min="9219" max="9219" width="36" style="5" customWidth="1"/>
    <col min="9220" max="9220" width="9" style="5"/>
    <col min="9221" max="9221" width="8.625" style="5" customWidth="1"/>
    <col min="9222" max="9473" width="9" style="5"/>
    <col min="9474" max="9474" width="7.75" style="5" customWidth="1"/>
    <col min="9475" max="9475" width="36" style="5" customWidth="1"/>
    <col min="9476" max="9476" width="9" style="5"/>
    <col min="9477" max="9477" width="8.625" style="5" customWidth="1"/>
    <col min="9478" max="9729" width="9" style="5"/>
    <col min="9730" max="9730" width="7.75" style="5" customWidth="1"/>
    <col min="9731" max="9731" width="36" style="5" customWidth="1"/>
    <col min="9732" max="9732" width="9" style="5"/>
    <col min="9733" max="9733" width="8.625" style="5" customWidth="1"/>
    <col min="9734" max="9985" width="9" style="5"/>
    <col min="9986" max="9986" width="7.75" style="5" customWidth="1"/>
    <col min="9987" max="9987" width="36" style="5" customWidth="1"/>
    <col min="9988" max="9988" width="9" style="5"/>
    <col min="9989" max="9989" width="8.625" style="5" customWidth="1"/>
    <col min="9990" max="10241" width="9" style="5"/>
    <col min="10242" max="10242" width="7.75" style="5" customWidth="1"/>
    <col min="10243" max="10243" width="36" style="5" customWidth="1"/>
    <col min="10244" max="10244" width="9" style="5"/>
    <col min="10245" max="10245" width="8.625" style="5" customWidth="1"/>
    <col min="10246" max="10497" width="9" style="5"/>
    <col min="10498" max="10498" width="7.75" style="5" customWidth="1"/>
    <col min="10499" max="10499" width="36" style="5" customWidth="1"/>
    <col min="10500" max="10500" width="9" style="5"/>
    <col min="10501" max="10501" width="8.625" style="5" customWidth="1"/>
    <col min="10502" max="10753" width="9" style="5"/>
    <col min="10754" max="10754" width="7.75" style="5" customWidth="1"/>
    <col min="10755" max="10755" width="36" style="5" customWidth="1"/>
    <col min="10756" max="10756" width="9" style="5"/>
    <col min="10757" max="10757" width="8.625" style="5" customWidth="1"/>
    <col min="10758" max="11009" width="9" style="5"/>
    <col min="11010" max="11010" width="7.75" style="5" customWidth="1"/>
    <col min="11011" max="11011" width="36" style="5" customWidth="1"/>
    <col min="11012" max="11012" width="9" style="5"/>
    <col min="11013" max="11013" width="8.625" style="5" customWidth="1"/>
    <col min="11014" max="11265" width="9" style="5"/>
    <col min="11266" max="11266" width="7.75" style="5" customWidth="1"/>
    <col min="11267" max="11267" width="36" style="5" customWidth="1"/>
    <col min="11268" max="11268" width="9" style="5"/>
    <col min="11269" max="11269" width="8.625" style="5" customWidth="1"/>
    <col min="11270" max="11521" width="9" style="5"/>
    <col min="11522" max="11522" width="7.75" style="5" customWidth="1"/>
    <col min="11523" max="11523" width="36" style="5" customWidth="1"/>
    <col min="11524" max="11524" width="9" style="5"/>
    <col min="11525" max="11525" width="8.625" style="5" customWidth="1"/>
    <col min="11526" max="11777" width="9" style="5"/>
    <col min="11778" max="11778" width="7.75" style="5" customWidth="1"/>
    <col min="11779" max="11779" width="36" style="5" customWidth="1"/>
    <col min="11780" max="11780" width="9" style="5"/>
    <col min="11781" max="11781" width="8.625" style="5" customWidth="1"/>
    <col min="11782" max="12033" width="9" style="5"/>
    <col min="12034" max="12034" width="7.75" style="5" customWidth="1"/>
    <col min="12035" max="12035" width="36" style="5" customWidth="1"/>
    <col min="12036" max="12036" width="9" style="5"/>
    <col min="12037" max="12037" width="8.625" style="5" customWidth="1"/>
    <col min="12038" max="12289" width="9" style="5"/>
    <col min="12290" max="12290" width="7.75" style="5" customWidth="1"/>
    <col min="12291" max="12291" width="36" style="5" customWidth="1"/>
    <col min="12292" max="12292" width="9" style="5"/>
    <col min="12293" max="12293" width="8.625" style="5" customWidth="1"/>
    <col min="12294" max="12545" width="9" style="5"/>
    <col min="12546" max="12546" width="7.75" style="5" customWidth="1"/>
    <col min="12547" max="12547" width="36" style="5" customWidth="1"/>
    <col min="12548" max="12548" width="9" style="5"/>
    <col min="12549" max="12549" width="8.625" style="5" customWidth="1"/>
    <col min="12550" max="12801" width="9" style="5"/>
    <col min="12802" max="12802" width="7.75" style="5" customWidth="1"/>
    <col min="12803" max="12803" width="36" style="5" customWidth="1"/>
    <col min="12804" max="12804" width="9" style="5"/>
    <col min="12805" max="12805" width="8.625" style="5" customWidth="1"/>
    <col min="12806" max="13057" width="9" style="5"/>
    <col min="13058" max="13058" width="7.75" style="5" customWidth="1"/>
    <col min="13059" max="13059" width="36" style="5" customWidth="1"/>
    <col min="13060" max="13060" width="9" style="5"/>
    <col min="13061" max="13061" width="8.625" style="5" customWidth="1"/>
    <col min="13062" max="13313" width="9" style="5"/>
    <col min="13314" max="13314" width="7.75" style="5" customWidth="1"/>
    <col min="13315" max="13315" width="36" style="5" customWidth="1"/>
    <col min="13316" max="13316" width="9" style="5"/>
    <col min="13317" max="13317" width="8.625" style="5" customWidth="1"/>
    <col min="13318" max="13569" width="9" style="5"/>
    <col min="13570" max="13570" width="7.75" style="5" customWidth="1"/>
    <col min="13571" max="13571" width="36" style="5" customWidth="1"/>
    <col min="13572" max="13572" width="9" style="5"/>
    <col min="13573" max="13573" width="8.625" style="5" customWidth="1"/>
    <col min="13574" max="13825" width="9" style="5"/>
    <col min="13826" max="13826" width="7.75" style="5" customWidth="1"/>
    <col min="13827" max="13827" width="36" style="5" customWidth="1"/>
    <col min="13828" max="13828" width="9" style="5"/>
    <col min="13829" max="13829" width="8.625" style="5" customWidth="1"/>
    <col min="13830" max="14081" width="9" style="5"/>
    <col min="14082" max="14082" width="7.75" style="5" customWidth="1"/>
    <col min="14083" max="14083" width="36" style="5" customWidth="1"/>
    <col min="14084" max="14084" width="9" style="5"/>
    <col min="14085" max="14085" width="8.625" style="5" customWidth="1"/>
    <col min="14086" max="14337" width="9" style="5"/>
    <col min="14338" max="14338" width="7.75" style="5" customWidth="1"/>
    <col min="14339" max="14339" width="36" style="5" customWidth="1"/>
    <col min="14340" max="14340" width="9" style="5"/>
    <col min="14341" max="14341" width="8.625" style="5" customWidth="1"/>
    <col min="14342" max="14593" width="9" style="5"/>
    <col min="14594" max="14594" width="7.75" style="5" customWidth="1"/>
    <col min="14595" max="14595" width="36" style="5" customWidth="1"/>
    <col min="14596" max="14596" width="9" style="5"/>
    <col min="14597" max="14597" width="8.625" style="5" customWidth="1"/>
    <col min="14598" max="14849" width="9" style="5"/>
    <col min="14850" max="14850" width="7.75" style="5" customWidth="1"/>
    <col min="14851" max="14851" width="36" style="5" customWidth="1"/>
    <col min="14852" max="14852" width="9" style="5"/>
    <col min="14853" max="14853" width="8.625" style="5" customWidth="1"/>
    <col min="14854" max="15105" width="9" style="5"/>
    <col min="15106" max="15106" width="7.75" style="5" customWidth="1"/>
    <col min="15107" max="15107" width="36" style="5" customWidth="1"/>
    <col min="15108" max="15108" width="9" style="5"/>
    <col min="15109" max="15109" width="8.625" style="5" customWidth="1"/>
    <col min="15110" max="15361" width="9" style="5"/>
    <col min="15362" max="15362" width="7.75" style="5" customWidth="1"/>
    <col min="15363" max="15363" width="36" style="5" customWidth="1"/>
    <col min="15364" max="15364" width="9" style="5"/>
    <col min="15365" max="15365" width="8.625" style="5" customWidth="1"/>
    <col min="15366" max="15617" width="9" style="5"/>
    <col min="15618" max="15618" width="7.75" style="5" customWidth="1"/>
    <col min="15619" max="15619" width="36" style="5" customWidth="1"/>
    <col min="15620" max="15620" width="9" style="5"/>
    <col min="15621" max="15621" width="8.625" style="5" customWidth="1"/>
    <col min="15622" max="15873" width="9" style="5"/>
    <col min="15874" max="15874" width="7.75" style="5" customWidth="1"/>
    <col min="15875" max="15875" width="36" style="5" customWidth="1"/>
    <col min="15876" max="15876" width="9" style="5"/>
    <col min="15877" max="15877" width="8.625" style="5" customWidth="1"/>
    <col min="15878" max="16129" width="9" style="5"/>
    <col min="16130" max="16130" width="7.75" style="5" customWidth="1"/>
    <col min="16131" max="16131" width="36" style="5" customWidth="1"/>
    <col min="16132" max="16132" width="9" style="5"/>
    <col min="16133" max="16133" width="8.625" style="5" customWidth="1"/>
    <col min="16134" max="16384" width="9" style="5"/>
  </cols>
  <sheetData>
    <row r="1" spans="1:11" s="1" customFormat="1" ht="19.899999999999999" customHeight="1" x14ac:dyDescent="0.25">
      <c r="A1" s="84" t="s">
        <v>0</v>
      </c>
      <c r="B1" s="85"/>
      <c r="C1" s="85"/>
      <c r="D1" s="96" t="s">
        <v>1</v>
      </c>
      <c r="E1" s="96"/>
      <c r="F1" s="96"/>
      <c r="G1" s="96"/>
      <c r="H1" s="97"/>
    </row>
    <row r="2" spans="1:11" s="1" customFormat="1" ht="19.899999999999999" customHeight="1" x14ac:dyDescent="0.25">
      <c r="A2" s="2" t="s">
        <v>2</v>
      </c>
      <c r="B2" s="88" t="s">
        <v>3</v>
      </c>
      <c r="C2" s="88"/>
      <c r="D2" s="89" t="s">
        <v>4</v>
      </c>
      <c r="E2" s="89"/>
      <c r="F2" s="89"/>
      <c r="G2" s="3">
        <v>46143</v>
      </c>
      <c r="H2" s="4"/>
    </row>
    <row r="3" spans="1:11" ht="19.899999999999999" customHeight="1" x14ac:dyDescent="0.2">
      <c r="A3" s="98" t="s">
        <v>5</v>
      </c>
      <c r="B3" s="100" t="s">
        <v>6</v>
      </c>
      <c r="C3" s="100"/>
      <c r="D3" s="101"/>
      <c r="E3" s="102"/>
      <c r="F3" s="102"/>
      <c r="G3" s="102"/>
      <c r="H3" s="103"/>
    </row>
    <row r="4" spans="1:11" ht="19.899999999999999" customHeight="1" x14ac:dyDescent="0.2">
      <c r="A4" s="99"/>
      <c r="B4" s="6" t="s">
        <v>7</v>
      </c>
      <c r="C4" s="7" t="s">
        <v>54</v>
      </c>
      <c r="D4" s="71" t="s">
        <v>9</v>
      </c>
      <c r="E4" s="72"/>
      <c r="F4" s="73">
        <v>8600000</v>
      </c>
      <c r="G4" s="73"/>
      <c r="H4" s="74"/>
    </row>
    <row r="5" spans="1:11" ht="19.899999999999999" customHeight="1" x14ac:dyDescent="0.2">
      <c r="A5" s="99"/>
      <c r="B5" s="6" t="s">
        <v>10</v>
      </c>
      <c r="C5" s="7" t="s">
        <v>11</v>
      </c>
      <c r="D5" s="71" t="s">
        <v>12</v>
      </c>
      <c r="E5" s="72"/>
      <c r="F5" s="69">
        <v>26</v>
      </c>
      <c r="G5" s="69"/>
      <c r="H5" s="70"/>
    </row>
    <row r="6" spans="1:11" ht="19.899999999999999" customHeight="1" x14ac:dyDescent="0.2">
      <c r="A6" s="99"/>
      <c r="B6" s="6" t="s">
        <v>13</v>
      </c>
      <c r="C6" s="7" t="s">
        <v>55</v>
      </c>
      <c r="D6" s="71" t="s">
        <v>15</v>
      </c>
      <c r="E6" s="72"/>
      <c r="F6" s="73">
        <f>13000000-F4</f>
        <v>4400000</v>
      </c>
      <c r="G6" s="73"/>
      <c r="H6" s="74"/>
    </row>
    <row r="7" spans="1:11" ht="19.899999999999999" customHeight="1" x14ac:dyDescent="0.2">
      <c r="A7" s="99"/>
      <c r="B7" s="6" t="s">
        <v>16</v>
      </c>
      <c r="C7" s="7" t="s">
        <v>56</v>
      </c>
      <c r="D7" s="71" t="s">
        <v>18</v>
      </c>
      <c r="E7" s="72"/>
      <c r="F7" s="75">
        <f>F6*D29</f>
        <v>4179999.9999999995</v>
      </c>
      <c r="G7" s="69"/>
      <c r="H7" s="70"/>
      <c r="J7" s="8"/>
    </row>
    <row r="8" spans="1:11" ht="19.899999999999999" customHeight="1" x14ac:dyDescent="0.2">
      <c r="A8" s="76"/>
      <c r="B8" s="77"/>
      <c r="C8" s="77"/>
      <c r="D8" s="78"/>
      <c r="E8" s="78"/>
      <c r="F8" s="78"/>
      <c r="G8" s="78"/>
      <c r="H8" s="79"/>
    </row>
    <row r="9" spans="1:11" s="11" customFormat="1" ht="33" customHeight="1" x14ac:dyDescent="0.25">
      <c r="A9" s="9" t="s">
        <v>19</v>
      </c>
      <c r="B9" s="80" t="s">
        <v>20</v>
      </c>
      <c r="C9" s="81"/>
      <c r="D9" s="9" t="s">
        <v>21</v>
      </c>
      <c r="E9" s="9" t="s">
        <v>22</v>
      </c>
      <c r="F9" s="9" t="s">
        <v>23</v>
      </c>
      <c r="G9" s="10" t="s">
        <v>24</v>
      </c>
      <c r="H9" s="9" t="s">
        <v>25</v>
      </c>
    </row>
    <row r="10" spans="1:11" s="11" customFormat="1" ht="19.899999999999999" customHeight="1" x14ac:dyDescent="0.25">
      <c r="A10" s="12" t="s">
        <v>26</v>
      </c>
      <c r="B10" s="45" t="s">
        <v>27</v>
      </c>
      <c r="C10" s="46"/>
      <c r="D10" s="13">
        <f>SUM(D11:D14)</f>
        <v>1</v>
      </c>
      <c r="E10" s="82"/>
      <c r="F10" s="83"/>
      <c r="G10" s="14"/>
      <c r="H10" s="15"/>
    </row>
    <row r="11" spans="1:11" ht="28.5" customHeight="1" x14ac:dyDescent="0.2">
      <c r="A11" s="50"/>
      <c r="B11" s="67" t="s">
        <v>57</v>
      </c>
      <c r="C11" s="67"/>
      <c r="D11" s="16">
        <f>50%-(E11*F11)</f>
        <v>0.5</v>
      </c>
      <c r="E11" s="16">
        <v>0.25</v>
      </c>
      <c r="F11" s="17">
        <v>0</v>
      </c>
      <c r="G11" s="18"/>
      <c r="H11" s="60">
        <f>30%*D10</f>
        <v>0.3</v>
      </c>
      <c r="K11" s="34"/>
    </row>
    <row r="12" spans="1:11" ht="19.899999999999999" customHeight="1" x14ac:dyDescent="0.2">
      <c r="A12" s="51"/>
      <c r="B12" s="67" t="s">
        <v>29</v>
      </c>
      <c r="C12" s="67"/>
      <c r="D12" s="16">
        <f>30%-(E12*F12)</f>
        <v>0.3</v>
      </c>
      <c r="E12" s="16">
        <v>0.1</v>
      </c>
      <c r="F12" s="17">
        <v>0</v>
      </c>
      <c r="G12" s="20"/>
      <c r="H12" s="61"/>
    </row>
    <row r="13" spans="1:11" ht="19.899999999999999" customHeight="1" x14ac:dyDescent="0.2">
      <c r="A13" s="51"/>
      <c r="B13" s="67" t="s">
        <v>30</v>
      </c>
      <c r="C13" s="67"/>
      <c r="D13" s="16">
        <f>10%-(E13*F13)</f>
        <v>0.1</v>
      </c>
      <c r="E13" s="16">
        <v>0.05</v>
      </c>
      <c r="F13" s="17">
        <v>0</v>
      </c>
      <c r="G13" s="20"/>
      <c r="H13" s="61"/>
    </row>
    <row r="14" spans="1:11" ht="25.5" customHeight="1" x14ac:dyDescent="0.2">
      <c r="A14" s="51"/>
      <c r="B14" s="67" t="s">
        <v>31</v>
      </c>
      <c r="C14" s="67"/>
      <c r="D14" s="16">
        <f>10%-(E14*F14)</f>
        <v>0.1</v>
      </c>
      <c r="E14" s="16">
        <v>0.05</v>
      </c>
      <c r="F14" s="17">
        <v>0</v>
      </c>
      <c r="G14" s="18"/>
      <c r="H14" s="61"/>
    </row>
    <row r="15" spans="1:11" ht="19.899999999999999" customHeight="1" x14ac:dyDescent="0.2">
      <c r="A15" s="12" t="s">
        <v>32</v>
      </c>
      <c r="B15" s="45" t="s">
        <v>33</v>
      </c>
      <c r="C15" s="46"/>
      <c r="D15" s="21">
        <f>SUM(D16:D20)</f>
        <v>1</v>
      </c>
      <c r="E15" s="47"/>
      <c r="F15" s="48"/>
      <c r="G15" s="49"/>
      <c r="H15" s="49"/>
    </row>
    <row r="16" spans="1:11" ht="19.899999999999999" customHeight="1" x14ac:dyDescent="0.2">
      <c r="A16" s="50"/>
      <c r="B16" s="62" t="s">
        <v>34</v>
      </c>
      <c r="C16" s="63"/>
      <c r="D16" s="16">
        <f>15%-E16*F16</f>
        <v>0.15</v>
      </c>
      <c r="E16" s="16">
        <v>0.05</v>
      </c>
      <c r="F16" s="17">
        <v>0</v>
      </c>
      <c r="G16" s="20"/>
      <c r="H16" s="60">
        <f>35%*D15</f>
        <v>0.35</v>
      </c>
    </row>
    <row r="17" spans="1:8" ht="19.899999999999999" customHeight="1" x14ac:dyDescent="0.2">
      <c r="A17" s="51"/>
      <c r="B17" s="62" t="s">
        <v>35</v>
      </c>
      <c r="C17" s="63"/>
      <c r="D17" s="16">
        <f>15%-E17*F17</f>
        <v>0.15</v>
      </c>
      <c r="E17" s="16">
        <v>0.05</v>
      </c>
      <c r="F17" s="17">
        <v>0</v>
      </c>
      <c r="G17" s="20"/>
      <c r="H17" s="61"/>
    </row>
    <row r="18" spans="1:8" ht="27.75" customHeight="1" x14ac:dyDescent="0.2">
      <c r="A18" s="51"/>
      <c r="B18" s="62" t="s">
        <v>36</v>
      </c>
      <c r="C18" s="63"/>
      <c r="D18" s="16">
        <f>40%-E18*F18</f>
        <v>0.4</v>
      </c>
      <c r="E18" s="16">
        <v>0.05</v>
      </c>
      <c r="F18" s="17">
        <v>0</v>
      </c>
      <c r="G18" s="18"/>
      <c r="H18" s="61"/>
    </row>
    <row r="19" spans="1:8" ht="33.6" customHeight="1" x14ac:dyDescent="0.2">
      <c r="A19" s="19"/>
      <c r="B19" s="65" t="s">
        <v>37</v>
      </c>
      <c r="C19" s="66"/>
      <c r="D19" s="16">
        <f>10%-E19*F19</f>
        <v>0.1</v>
      </c>
      <c r="E19" s="16">
        <v>0.05</v>
      </c>
      <c r="F19" s="17">
        <v>0</v>
      </c>
      <c r="G19" s="20"/>
      <c r="H19" s="61"/>
    </row>
    <row r="20" spans="1:8" ht="19.899999999999999" customHeight="1" x14ac:dyDescent="0.2">
      <c r="A20" s="19"/>
      <c r="B20" s="22" t="s">
        <v>38</v>
      </c>
      <c r="C20" s="35"/>
      <c r="D20" s="16">
        <f>20%-E20*F20</f>
        <v>0.2</v>
      </c>
      <c r="E20" s="16">
        <v>0.05</v>
      </c>
      <c r="F20" s="17">
        <v>0</v>
      </c>
      <c r="G20" s="20"/>
      <c r="H20" s="64"/>
    </row>
    <row r="21" spans="1:8" ht="19.899999999999999" customHeight="1" x14ac:dyDescent="0.2">
      <c r="A21" s="12" t="s">
        <v>39</v>
      </c>
      <c r="B21" s="56" t="s">
        <v>40</v>
      </c>
      <c r="C21" s="57"/>
      <c r="D21" s="21">
        <f>SUM(D22:D24)</f>
        <v>0.8</v>
      </c>
      <c r="E21" s="47"/>
      <c r="F21" s="48"/>
      <c r="G21" s="49"/>
      <c r="H21" s="49"/>
    </row>
    <row r="22" spans="1:8" ht="19.899999999999999" customHeight="1" x14ac:dyDescent="0.2">
      <c r="A22" s="50"/>
      <c r="B22" s="58" t="s">
        <v>41</v>
      </c>
      <c r="C22" s="59"/>
      <c r="D22" s="16">
        <f>40%-(E22*F22)</f>
        <v>0.2</v>
      </c>
      <c r="E22" s="24">
        <v>0.4</v>
      </c>
      <c r="F22" s="25">
        <v>0.5</v>
      </c>
      <c r="G22" s="104" t="s">
        <v>58</v>
      </c>
      <c r="H22" s="60">
        <f>25%*D21</f>
        <v>0.2</v>
      </c>
    </row>
    <row r="23" spans="1:8" ht="19.899999999999999" customHeight="1" x14ac:dyDescent="0.2">
      <c r="A23" s="51"/>
      <c r="B23" s="62" t="s">
        <v>42</v>
      </c>
      <c r="C23" s="63"/>
      <c r="D23" s="16">
        <f>30%-(E23*F23)</f>
        <v>0.3</v>
      </c>
      <c r="E23" s="24">
        <v>0.3</v>
      </c>
      <c r="F23" s="25"/>
      <c r="G23" s="20"/>
      <c r="H23" s="61"/>
    </row>
    <row r="24" spans="1:8" ht="22.5" customHeight="1" x14ac:dyDescent="0.2">
      <c r="A24" s="51"/>
      <c r="B24" s="53" t="s">
        <v>43</v>
      </c>
      <c r="C24" s="54"/>
      <c r="D24" s="16">
        <f>30%-(E24*F24)</f>
        <v>0.3</v>
      </c>
      <c r="E24" s="24">
        <v>0.3</v>
      </c>
      <c r="F24" s="25"/>
      <c r="G24" s="36"/>
      <c r="H24" s="61"/>
    </row>
    <row r="25" spans="1:8" ht="19.899999999999999" customHeight="1" x14ac:dyDescent="0.2">
      <c r="A25" s="12" t="s">
        <v>44</v>
      </c>
      <c r="B25" s="45" t="s">
        <v>45</v>
      </c>
      <c r="C25" s="46"/>
      <c r="D25" s="21">
        <f>SUM(D26:D28)</f>
        <v>1</v>
      </c>
      <c r="E25" s="47"/>
      <c r="F25" s="48"/>
      <c r="G25" s="49"/>
      <c r="H25" s="49"/>
    </row>
    <row r="26" spans="1:8" ht="19.899999999999999" customHeight="1" x14ac:dyDescent="0.2">
      <c r="A26" s="50"/>
      <c r="B26" s="53" t="s">
        <v>46</v>
      </c>
      <c r="C26" s="54"/>
      <c r="D26" s="16">
        <f>20%-(E26*F26)</f>
        <v>0.2</v>
      </c>
      <c r="E26" s="24">
        <v>0.1</v>
      </c>
      <c r="F26" s="17">
        <v>0</v>
      </c>
      <c r="G26" s="20"/>
      <c r="H26" s="55">
        <f>10%*D25</f>
        <v>0.1</v>
      </c>
    </row>
    <row r="27" spans="1:8" ht="19.899999999999999" customHeight="1" x14ac:dyDescent="0.2">
      <c r="A27" s="51"/>
      <c r="B27" s="53" t="s">
        <v>47</v>
      </c>
      <c r="C27" s="54"/>
      <c r="D27" s="16">
        <f>20%-(E27*F27)</f>
        <v>0.2</v>
      </c>
      <c r="E27" s="24">
        <v>0.1</v>
      </c>
      <c r="F27" s="17">
        <v>0</v>
      </c>
      <c r="G27" s="20"/>
      <c r="H27" s="55"/>
    </row>
    <row r="28" spans="1:8" ht="19.899999999999999" customHeight="1" x14ac:dyDescent="0.2">
      <c r="A28" s="52"/>
      <c r="B28" s="53" t="s">
        <v>48</v>
      </c>
      <c r="C28" s="54"/>
      <c r="D28" s="16">
        <f>60%-(E28*F28)</f>
        <v>0.6</v>
      </c>
      <c r="E28" s="24">
        <v>0.6</v>
      </c>
      <c r="F28" s="17">
        <v>0</v>
      </c>
      <c r="G28" s="20"/>
      <c r="H28" s="55"/>
    </row>
    <row r="29" spans="1:8" ht="19.899999999999999" customHeight="1" x14ac:dyDescent="0.2">
      <c r="A29" s="37" t="s">
        <v>49</v>
      </c>
      <c r="B29" s="38"/>
      <c r="C29" s="39"/>
      <c r="D29" s="40">
        <f>SUM(H11,H16,H22,H26)</f>
        <v>0.94999999999999984</v>
      </c>
      <c r="E29" s="40"/>
      <c r="F29" s="40"/>
      <c r="G29" s="40"/>
      <c r="H29" s="40"/>
    </row>
    <row r="30" spans="1:8" ht="37.15" customHeight="1" x14ac:dyDescent="0.2">
      <c r="A30" s="41" t="s">
        <v>50</v>
      </c>
      <c r="B30" s="41"/>
      <c r="C30" s="41"/>
      <c r="D30" s="41"/>
      <c r="E30" s="41"/>
      <c r="F30" s="41"/>
      <c r="G30" s="41"/>
      <c r="H30" s="41"/>
    </row>
    <row r="31" spans="1:8" ht="19.899999999999999" customHeight="1" x14ac:dyDescent="0.2">
      <c r="A31" s="26"/>
      <c r="B31" s="26"/>
      <c r="C31" s="26"/>
      <c r="D31" s="27"/>
      <c r="E31" s="27"/>
      <c r="F31" s="27"/>
      <c r="G31" s="28"/>
      <c r="H31" s="27"/>
    </row>
    <row r="32" spans="1:8" x14ac:dyDescent="0.2">
      <c r="B32" s="29" t="s">
        <v>51</v>
      </c>
      <c r="C32" s="30"/>
      <c r="D32" s="31"/>
      <c r="E32" s="42" t="s">
        <v>52</v>
      </c>
      <c r="F32" s="42"/>
      <c r="G32" s="42"/>
      <c r="H32" s="42"/>
    </row>
    <row r="38" spans="1:8" x14ac:dyDescent="0.2">
      <c r="A38" s="43" t="s">
        <v>53</v>
      </c>
      <c r="B38" s="43"/>
      <c r="C38" s="43"/>
      <c r="D38" s="43"/>
      <c r="E38" s="43"/>
      <c r="F38" s="43"/>
      <c r="G38" s="43"/>
      <c r="H38" s="43"/>
    </row>
    <row r="39" spans="1:8" x14ac:dyDescent="0.2">
      <c r="A39" s="44"/>
      <c r="B39" s="44"/>
      <c r="C39" s="44"/>
      <c r="D39" s="44"/>
      <c r="E39" s="44"/>
      <c r="F39" s="44"/>
      <c r="G39" s="44"/>
      <c r="H39" s="44"/>
    </row>
  </sheetData>
  <mergeCells count="55">
    <mergeCell ref="A1:C1"/>
    <mergeCell ref="D1:H1"/>
    <mergeCell ref="B2:C2"/>
    <mergeCell ref="D2:F2"/>
    <mergeCell ref="A3:A7"/>
    <mergeCell ref="B3:C3"/>
    <mergeCell ref="D3:H3"/>
    <mergeCell ref="D4:E4"/>
    <mergeCell ref="F4:H4"/>
    <mergeCell ref="D5:E5"/>
    <mergeCell ref="H11:H14"/>
    <mergeCell ref="B12:C12"/>
    <mergeCell ref="B13:C13"/>
    <mergeCell ref="B14:C14"/>
    <mergeCell ref="F5:H5"/>
    <mergeCell ref="D6:E6"/>
    <mergeCell ref="F6:H6"/>
    <mergeCell ref="D7:E7"/>
    <mergeCell ref="F7:H7"/>
    <mergeCell ref="A8:H8"/>
    <mergeCell ref="B9:C9"/>
    <mergeCell ref="B10:C10"/>
    <mergeCell ref="E10:F10"/>
    <mergeCell ref="A11:A14"/>
    <mergeCell ref="B11:C11"/>
    <mergeCell ref="B15:C15"/>
    <mergeCell ref="E15:F15"/>
    <mergeCell ref="G15:H15"/>
    <mergeCell ref="A16:A18"/>
    <mergeCell ref="B16:C16"/>
    <mergeCell ref="H16:H20"/>
    <mergeCell ref="B17:C17"/>
    <mergeCell ref="B18:C18"/>
    <mergeCell ref="B19:C19"/>
    <mergeCell ref="B21:C21"/>
    <mergeCell ref="E21:F21"/>
    <mergeCell ref="G21:H21"/>
    <mergeCell ref="A22:A24"/>
    <mergeCell ref="B22:C22"/>
    <mergeCell ref="H22:H24"/>
    <mergeCell ref="B23:C23"/>
    <mergeCell ref="B24:C24"/>
    <mergeCell ref="B25:C25"/>
    <mergeCell ref="E25:F25"/>
    <mergeCell ref="G25:H25"/>
    <mergeCell ref="A26:A28"/>
    <mergeCell ref="B26:C26"/>
    <mergeCell ref="H26:H28"/>
    <mergeCell ref="B27:C27"/>
    <mergeCell ref="B28:C28"/>
    <mergeCell ref="A29:C29"/>
    <mergeCell ref="D29:H29"/>
    <mergeCell ref="A30:H30"/>
    <mergeCell ref="E32:H32"/>
    <mergeCell ref="A38:H39"/>
  </mergeCells>
  <conditionalFormatting sqref="D29:H29 D31:H31">
    <cfRule type="colorScale" priority="1">
      <colorScale>
        <cfvo type="num" val="30"/>
        <cfvo type="num" val="50"/>
        <cfvo type="num" val="100"/>
        <color rgb="FFF8696B"/>
        <color rgb="FFFFEB84"/>
        <color rgb="FF63BE7B"/>
      </colorScale>
    </cfRule>
  </conditionalFormatting>
  <pageMargins left="0.7" right="0.7" top="0.75" bottom="0.75" header="0.3" footer="0.3"/>
  <pageSetup paperSize="9" scale="80" orientation="portrait" verticalDpi="0" r:id="rId1"/>
  <colBreaks count="1" manualBreakCount="1">
    <brk id="8"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6F52-EACA-4E15-9996-0661015B88B5}">
  <sheetPr codeName="Sheet2"/>
  <dimension ref="A1:J39"/>
  <sheetViews>
    <sheetView tabSelected="1" zoomScale="89" zoomScaleNormal="89" workbookViewId="0">
      <selection activeCell="F24" sqref="F24"/>
    </sheetView>
  </sheetViews>
  <sheetFormatPr defaultRowHeight="12.75" x14ac:dyDescent="0.2"/>
  <cols>
    <col min="1" max="1" width="7.75" style="1" customWidth="1"/>
    <col min="2" max="2" width="9.75" style="5" customWidth="1"/>
    <col min="3" max="3" width="32.375" style="5" customWidth="1"/>
    <col min="4" max="4" width="7.125" style="1" customWidth="1"/>
    <col min="5" max="5" width="11.75" style="1" customWidth="1"/>
    <col min="6" max="6" width="7.625" style="32" customWidth="1"/>
    <col min="7" max="7" width="37.25" style="33" customWidth="1"/>
    <col min="8" max="257" width="9" style="5"/>
    <col min="258" max="258" width="7.75" style="5" customWidth="1"/>
    <col min="259" max="259" width="36" style="5" customWidth="1"/>
    <col min="260" max="260" width="9" style="5"/>
    <col min="261" max="261" width="8.625" style="5" customWidth="1"/>
    <col min="262" max="513" width="9" style="5"/>
    <col min="514" max="514" width="7.75" style="5" customWidth="1"/>
    <col min="515" max="515" width="36" style="5" customWidth="1"/>
    <col min="516" max="516" width="9" style="5"/>
    <col min="517" max="517" width="8.625" style="5" customWidth="1"/>
    <col min="518" max="769" width="9" style="5"/>
    <col min="770" max="770" width="7.75" style="5" customWidth="1"/>
    <col min="771" max="771" width="36" style="5" customWidth="1"/>
    <col min="772" max="772" width="9" style="5"/>
    <col min="773" max="773" width="8.625" style="5" customWidth="1"/>
    <col min="774" max="1025" width="9" style="5"/>
    <col min="1026" max="1026" width="7.75" style="5" customWidth="1"/>
    <col min="1027" max="1027" width="36" style="5" customWidth="1"/>
    <col min="1028" max="1028" width="9" style="5"/>
    <col min="1029" max="1029" width="8.625" style="5" customWidth="1"/>
    <col min="1030" max="1281" width="9" style="5"/>
    <col min="1282" max="1282" width="7.75" style="5" customWidth="1"/>
    <col min="1283" max="1283" width="36" style="5" customWidth="1"/>
    <col min="1284" max="1284" width="9" style="5"/>
    <col min="1285" max="1285" width="8.625" style="5" customWidth="1"/>
    <col min="1286" max="1537" width="9" style="5"/>
    <col min="1538" max="1538" width="7.75" style="5" customWidth="1"/>
    <col min="1539" max="1539" width="36" style="5" customWidth="1"/>
    <col min="1540" max="1540" width="9" style="5"/>
    <col min="1541" max="1541" width="8.625" style="5" customWidth="1"/>
    <col min="1542" max="1793" width="9" style="5"/>
    <col min="1794" max="1794" width="7.75" style="5" customWidth="1"/>
    <col min="1795" max="1795" width="36" style="5" customWidth="1"/>
    <col min="1796" max="1796" width="9" style="5"/>
    <col min="1797" max="1797" width="8.625" style="5" customWidth="1"/>
    <col min="1798" max="2049" width="9" style="5"/>
    <col min="2050" max="2050" width="7.75" style="5" customWidth="1"/>
    <col min="2051" max="2051" width="36" style="5" customWidth="1"/>
    <col min="2052" max="2052" width="9" style="5"/>
    <col min="2053" max="2053" width="8.625" style="5" customWidth="1"/>
    <col min="2054" max="2305" width="9" style="5"/>
    <col min="2306" max="2306" width="7.75" style="5" customWidth="1"/>
    <col min="2307" max="2307" width="36" style="5" customWidth="1"/>
    <col min="2308" max="2308" width="9" style="5"/>
    <col min="2309" max="2309" width="8.625" style="5" customWidth="1"/>
    <col min="2310" max="2561" width="9" style="5"/>
    <col min="2562" max="2562" width="7.75" style="5" customWidth="1"/>
    <col min="2563" max="2563" width="36" style="5" customWidth="1"/>
    <col min="2564" max="2564" width="9" style="5"/>
    <col min="2565" max="2565" width="8.625" style="5" customWidth="1"/>
    <col min="2566" max="2817" width="9" style="5"/>
    <col min="2818" max="2818" width="7.75" style="5" customWidth="1"/>
    <col min="2819" max="2819" width="36" style="5" customWidth="1"/>
    <col min="2820" max="2820" width="9" style="5"/>
    <col min="2821" max="2821" width="8.625" style="5" customWidth="1"/>
    <col min="2822" max="3073" width="9" style="5"/>
    <col min="3074" max="3074" width="7.75" style="5" customWidth="1"/>
    <col min="3075" max="3075" width="36" style="5" customWidth="1"/>
    <col min="3076" max="3076" width="9" style="5"/>
    <col min="3077" max="3077" width="8.625" style="5" customWidth="1"/>
    <col min="3078" max="3329" width="9" style="5"/>
    <col min="3330" max="3330" width="7.75" style="5" customWidth="1"/>
    <col min="3331" max="3331" width="36" style="5" customWidth="1"/>
    <col min="3332" max="3332" width="9" style="5"/>
    <col min="3333" max="3333" width="8.625" style="5" customWidth="1"/>
    <col min="3334" max="3585" width="9" style="5"/>
    <col min="3586" max="3586" width="7.75" style="5" customWidth="1"/>
    <col min="3587" max="3587" width="36" style="5" customWidth="1"/>
    <col min="3588" max="3588" width="9" style="5"/>
    <col min="3589" max="3589" width="8.625" style="5" customWidth="1"/>
    <col min="3590" max="3841" width="9" style="5"/>
    <col min="3842" max="3842" width="7.75" style="5" customWidth="1"/>
    <col min="3843" max="3843" width="36" style="5" customWidth="1"/>
    <col min="3844" max="3844" width="9" style="5"/>
    <col min="3845" max="3845" width="8.625" style="5" customWidth="1"/>
    <col min="3846" max="4097" width="9" style="5"/>
    <col min="4098" max="4098" width="7.75" style="5" customWidth="1"/>
    <col min="4099" max="4099" width="36" style="5" customWidth="1"/>
    <col min="4100" max="4100" width="9" style="5"/>
    <col min="4101" max="4101" width="8.625" style="5" customWidth="1"/>
    <col min="4102" max="4353" width="9" style="5"/>
    <col min="4354" max="4354" width="7.75" style="5" customWidth="1"/>
    <col min="4355" max="4355" width="36" style="5" customWidth="1"/>
    <col min="4356" max="4356" width="9" style="5"/>
    <col min="4357" max="4357" width="8.625" style="5" customWidth="1"/>
    <col min="4358" max="4609" width="9" style="5"/>
    <col min="4610" max="4610" width="7.75" style="5" customWidth="1"/>
    <col min="4611" max="4611" width="36" style="5" customWidth="1"/>
    <col min="4612" max="4612" width="9" style="5"/>
    <col min="4613" max="4613" width="8.625" style="5" customWidth="1"/>
    <col min="4614" max="4865" width="9" style="5"/>
    <col min="4866" max="4866" width="7.75" style="5" customWidth="1"/>
    <col min="4867" max="4867" width="36" style="5" customWidth="1"/>
    <col min="4868" max="4868" width="9" style="5"/>
    <col min="4869" max="4869" width="8.625" style="5" customWidth="1"/>
    <col min="4870" max="5121" width="9" style="5"/>
    <col min="5122" max="5122" width="7.75" style="5" customWidth="1"/>
    <col min="5123" max="5123" width="36" style="5" customWidth="1"/>
    <col min="5124" max="5124" width="9" style="5"/>
    <col min="5125" max="5125" width="8.625" style="5" customWidth="1"/>
    <col min="5126" max="5377" width="9" style="5"/>
    <col min="5378" max="5378" width="7.75" style="5" customWidth="1"/>
    <col min="5379" max="5379" width="36" style="5" customWidth="1"/>
    <col min="5380" max="5380" width="9" style="5"/>
    <col min="5381" max="5381" width="8.625" style="5" customWidth="1"/>
    <col min="5382" max="5633" width="9" style="5"/>
    <col min="5634" max="5634" width="7.75" style="5" customWidth="1"/>
    <col min="5635" max="5635" width="36" style="5" customWidth="1"/>
    <col min="5636" max="5636" width="9" style="5"/>
    <col min="5637" max="5637" width="8.625" style="5" customWidth="1"/>
    <col min="5638" max="5889" width="9" style="5"/>
    <col min="5890" max="5890" width="7.75" style="5" customWidth="1"/>
    <col min="5891" max="5891" width="36" style="5" customWidth="1"/>
    <col min="5892" max="5892" width="9" style="5"/>
    <col min="5893" max="5893" width="8.625" style="5" customWidth="1"/>
    <col min="5894" max="6145" width="9" style="5"/>
    <col min="6146" max="6146" width="7.75" style="5" customWidth="1"/>
    <col min="6147" max="6147" width="36" style="5" customWidth="1"/>
    <col min="6148" max="6148" width="9" style="5"/>
    <col min="6149" max="6149" width="8.625" style="5" customWidth="1"/>
    <col min="6150" max="6401" width="9" style="5"/>
    <col min="6402" max="6402" width="7.75" style="5" customWidth="1"/>
    <col min="6403" max="6403" width="36" style="5" customWidth="1"/>
    <col min="6404" max="6404" width="9" style="5"/>
    <col min="6405" max="6405" width="8.625" style="5" customWidth="1"/>
    <col min="6406" max="6657" width="9" style="5"/>
    <col min="6658" max="6658" width="7.75" style="5" customWidth="1"/>
    <col min="6659" max="6659" width="36" style="5" customWidth="1"/>
    <col min="6660" max="6660" width="9" style="5"/>
    <col min="6661" max="6661" width="8.625" style="5" customWidth="1"/>
    <col min="6662" max="6913" width="9" style="5"/>
    <col min="6914" max="6914" width="7.75" style="5" customWidth="1"/>
    <col min="6915" max="6915" width="36" style="5" customWidth="1"/>
    <col min="6916" max="6916" width="9" style="5"/>
    <col min="6917" max="6917" width="8.625" style="5" customWidth="1"/>
    <col min="6918" max="7169" width="9" style="5"/>
    <col min="7170" max="7170" width="7.75" style="5" customWidth="1"/>
    <col min="7171" max="7171" width="36" style="5" customWidth="1"/>
    <col min="7172" max="7172" width="9" style="5"/>
    <col min="7173" max="7173" width="8.625" style="5" customWidth="1"/>
    <col min="7174" max="7425" width="9" style="5"/>
    <col min="7426" max="7426" width="7.75" style="5" customWidth="1"/>
    <col min="7427" max="7427" width="36" style="5" customWidth="1"/>
    <col min="7428" max="7428" width="9" style="5"/>
    <col min="7429" max="7429" width="8.625" style="5" customWidth="1"/>
    <col min="7430" max="7681" width="9" style="5"/>
    <col min="7682" max="7682" width="7.75" style="5" customWidth="1"/>
    <col min="7683" max="7683" width="36" style="5" customWidth="1"/>
    <col min="7684" max="7684" width="9" style="5"/>
    <col min="7685" max="7685" width="8.625" style="5" customWidth="1"/>
    <col min="7686" max="7937" width="9" style="5"/>
    <col min="7938" max="7938" width="7.75" style="5" customWidth="1"/>
    <col min="7939" max="7939" width="36" style="5" customWidth="1"/>
    <col min="7940" max="7940" width="9" style="5"/>
    <col min="7941" max="7941" width="8.625" style="5" customWidth="1"/>
    <col min="7942" max="8193" width="9" style="5"/>
    <col min="8194" max="8194" width="7.75" style="5" customWidth="1"/>
    <col min="8195" max="8195" width="36" style="5" customWidth="1"/>
    <col min="8196" max="8196" width="9" style="5"/>
    <col min="8197" max="8197" width="8.625" style="5" customWidth="1"/>
    <col min="8198" max="8449" width="9" style="5"/>
    <col min="8450" max="8450" width="7.75" style="5" customWidth="1"/>
    <col min="8451" max="8451" width="36" style="5" customWidth="1"/>
    <col min="8452" max="8452" width="9" style="5"/>
    <col min="8453" max="8453" width="8.625" style="5" customWidth="1"/>
    <col min="8454" max="8705" width="9" style="5"/>
    <col min="8706" max="8706" width="7.75" style="5" customWidth="1"/>
    <col min="8707" max="8707" width="36" style="5" customWidth="1"/>
    <col min="8708" max="8708" width="9" style="5"/>
    <col min="8709" max="8709" width="8.625" style="5" customWidth="1"/>
    <col min="8710" max="8961" width="9" style="5"/>
    <col min="8962" max="8962" width="7.75" style="5" customWidth="1"/>
    <col min="8963" max="8963" width="36" style="5" customWidth="1"/>
    <col min="8964" max="8964" width="9" style="5"/>
    <col min="8965" max="8965" width="8.625" style="5" customWidth="1"/>
    <col min="8966" max="9217" width="9" style="5"/>
    <col min="9218" max="9218" width="7.75" style="5" customWidth="1"/>
    <col min="9219" max="9219" width="36" style="5" customWidth="1"/>
    <col min="9220" max="9220" width="9" style="5"/>
    <col min="9221" max="9221" width="8.625" style="5" customWidth="1"/>
    <col min="9222" max="9473" width="9" style="5"/>
    <col min="9474" max="9474" width="7.75" style="5" customWidth="1"/>
    <col min="9475" max="9475" width="36" style="5" customWidth="1"/>
    <col min="9476" max="9476" width="9" style="5"/>
    <col min="9477" max="9477" width="8.625" style="5" customWidth="1"/>
    <col min="9478" max="9729" width="9" style="5"/>
    <col min="9730" max="9730" width="7.75" style="5" customWidth="1"/>
    <col min="9731" max="9731" width="36" style="5" customWidth="1"/>
    <col min="9732" max="9732" width="9" style="5"/>
    <col min="9733" max="9733" width="8.625" style="5" customWidth="1"/>
    <col min="9734" max="9985" width="9" style="5"/>
    <col min="9986" max="9986" width="7.75" style="5" customWidth="1"/>
    <col min="9987" max="9987" width="36" style="5" customWidth="1"/>
    <col min="9988" max="9988" width="9" style="5"/>
    <col min="9989" max="9989" width="8.625" style="5" customWidth="1"/>
    <col min="9990" max="10241" width="9" style="5"/>
    <col min="10242" max="10242" width="7.75" style="5" customWidth="1"/>
    <col min="10243" max="10243" width="36" style="5" customWidth="1"/>
    <col min="10244" max="10244" width="9" style="5"/>
    <col min="10245" max="10245" width="8.625" style="5" customWidth="1"/>
    <col min="10246" max="10497" width="9" style="5"/>
    <col min="10498" max="10498" width="7.75" style="5" customWidth="1"/>
    <col min="10499" max="10499" width="36" style="5" customWidth="1"/>
    <col min="10500" max="10500" width="9" style="5"/>
    <col min="10501" max="10501" width="8.625" style="5" customWidth="1"/>
    <col min="10502" max="10753" width="9" style="5"/>
    <col min="10754" max="10754" width="7.75" style="5" customWidth="1"/>
    <col min="10755" max="10755" width="36" style="5" customWidth="1"/>
    <col min="10756" max="10756" width="9" style="5"/>
    <col min="10757" max="10757" width="8.625" style="5" customWidth="1"/>
    <col min="10758" max="11009" width="9" style="5"/>
    <col min="11010" max="11010" width="7.75" style="5" customWidth="1"/>
    <col min="11011" max="11011" width="36" style="5" customWidth="1"/>
    <col min="11012" max="11012" width="9" style="5"/>
    <col min="11013" max="11013" width="8.625" style="5" customWidth="1"/>
    <col min="11014" max="11265" width="9" style="5"/>
    <col min="11266" max="11266" width="7.75" style="5" customWidth="1"/>
    <col min="11267" max="11267" width="36" style="5" customWidth="1"/>
    <col min="11268" max="11268" width="9" style="5"/>
    <col min="11269" max="11269" width="8.625" style="5" customWidth="1"/>
    <col min="11270" max="11521" width="9" style="5"/>
    <col min="11522" max="11522" width="7.75" style="5" customWidth="1"/>
    <col min="11523" max="11523" width="36" style="5" customWidth="1"/>
    <col min="11524" max="11524" width="9" style="5"/>
    <col min="11525" max="11525" width="8.625" style="5" customWidth="1"/>
    <col min="11526" max="11777" width="9" style="5"/>
    <col min="11778" max="11778" width="7.75" style="5" customWidth="1"/>
    <col min="11779" max="11779" width="36" style="5" customWidth="1"/>
    <col min="11780" max="11780" width="9" style="5"/>
    <col min="11781" max="11781" width="8.625" style="5" customWidth="1"/>
    <col min="11782" max="12033" width="9" style="5"/>
    <col min="12034" max="12034" width="7.75" style="5" customWidth="1"/>
    <col min="12035" max="12035" width="36" style="5" customWidth="1"/>
    <col min="12036" max="12036" width="9" style="5"/>
    <col min="12037" max="12037" width="8.625" style="5" customWidth="1"/>
    <col min="12038" max="12289" width="9" style="5"/>
    <col min="12290" max="12290" width="7.75" style="5" customWidth="1"/>
    <col min="12291" max="12291" width="36" style="5" customWidth="1"/>
    <col min="12292" max="12292" width="9" style="5"/>
    <col min="12293" max="12293" width="8.625" style="5" customWidth="1"/>
    <col min="12294" max="12545" width="9" style="5"/>
    <col min="12546" max="12546" width="7.75" style="5" customWidth="1"/>
    <col min="12547" max="12547" width="36" style="5" customWidth="1"/>
    <col min="12548" max="12548" width="9" style="5"/>
    <col min="12549" max="12549" width="8.625" style="5" customWidth="1"/>
    <col min="12550" max="12801" width="9" style="5"/>
    <col min="12802" max="12802" width="7.75" style="5" customWidth="1"/>
    <col min="12803" max="12803" width="36" style="5" customWidth="1"/>
    <col min="12804" max="12804" width="9" style="5"/>
    <col min="12805" max="12805" width="8.625" style="5" customWidth="1"/>
    <col min="12806" max="13057" width="9" style="5"/>
    <col min="13058" max="13058" width="7.75" style="5" customWidth="1"/>
    <col min="13059" max="13059" width="36" style="5" customWidth="1"/>
    <col min="13060" max="13060" width="9" style="5"/>
    <col min="13061" max="13061" width="8.625" style="5" customWidth="1"/>
    <col min="13062" max="13313" width="9" style="5"/>
    <col min="13314" max="13314" width="7.75" style="5" customWidth="1"/>
    <col min="13315" max="13315" width="36" style="5" customWidth="1"/>
    <col min="13316" max="13316" width="9" style="5"/>
    <col min="13317" max="13317" width="8.625" style="5" customWidth="1"/>
    <col min="13318" max="13569" width="9" style="5"/>
    <col min="13570" max="13570" width="7.75" style="5" customWidth="1"/>
    <col min="13571" max="13571" width="36" style="5" customWidth="1"/>
    <col min="13572" max="13572" width="9" style="5"/>
    <col min="13573" max="13573" width="8.625" style="5" customWidth="1"/>
    <col min="13574" max="13825" width="9" style="5"/>
    <col min="13826" max="13826" width="7.75" style="5" customWidth="1"/>
    <col min="13827" max="13827" width="36" style="5" customWidth="1"/>
    <col min="13828" max="13828" width="9" style="5"/>
    <col min="13829" max="13829" width="8.625" style="5" customWidth="1"/>
    <col min="13830" max="14081" width="9" style="5"/>
    <col min="14082" max="14082" width="7.75" style="5" customWidth="1"/>
    <col min="14083" max="14083" width="36" style="5" customWidth="1"/>
    <col min="14084" max="14084" width="9" style="5"/>
    <col min="14085" max="14085" width="8.625" style="5" customWidth="1"/>
    <col min="14086" max="14337" width="9" style="5"/>
    <col min="14338" max="14338" width="7.75" style="5" customWidth="1"/>
    <col min="14339" max="14339" width="36" style="5" customWidth="1"/>
    <col min="14340" max="14340" width="9" style="5"/>
    <col min="14341" max="14341" width="8.625" style="5" customWidth="1"/>
    <col min="14342" max="14593" width="9" style="5"/>
    <col min="14594" max="14594" width="7.75" style="5" customWidth="1"/>
    <col min="14595" max="14595" width="36" style="5" customWidth="1"/>
    <col min="14596" max="14596" width="9" style="5"/>
    <col min="14597" max="14597" width="8.625" style="5" customWidth="1"/>
    <col min="14598" max="14849" width="9" style="5"/>
    <col min="14850" max="14850" width="7.75" style="5" customWidth="1"/>
    <col min="14851" max="14851" width="36" style="5" customWidth="1"/>
    <col min="14852" max="14852" width="9" style="5"/>
    <col min="14853" max="14853" width="8.625" style="5" customWidth="1"/>
    <col min="14854" max="15105" width="9" style="5"/>
    <col min="15106" max="15106" width="7.75" style="5" customWidth="1"/>
    <col min="15107" max="15107" width="36" style="5" customWidth="1"/>
    <col min="15108" max="15108" width="9" style="5"/>
    <col min="15109" max="15109" width="8.625" style="5" customWidth="1"/>
    <col min="15110" max="15361" width="9" style="5"/>
    <col min="15362" max="15362" width="7.75" style="5" customWidth="1"/>
    <col min="15363" max="15363" width="36" style="5" customWidth="1"/>
    <col min="15364" max="15364" width="9" style="5"/>
    <col min="15365" max="15365" width="8.625" style="5" customWidth="1"/>
    <col min="15366" max="15617" width="9" style="5"/>
    <col min="15618" max="15618" width="7.75" style="5" customWidth="1"/>
    <col min="15619" max="15619" width="36" style="5" customWidth="1"/>
    <col min="15620" max="15620" width="9" style="5"/>
    <col min="15621" max="15621" width="8.625" style="5" customWidth="1"/>
    <col min="15622" max="15873" width="9" style="5"/>
    <col min="15874" max="15874" width="7.75" style="5" customWidth="1"/>
    <col min="15875" max="15875" width="36" style="5" customWidth="1"/>
    <col min="15876" max="15876" width="9" style="5"/>
    <col min="15877" max="15877" width="8.625" style="5" customWidth="1"/>
    <col min="15878" max="16129" width="9" style="5"/>
    <col min="16130" max="16130" width="7.75" style="5" customWidth="1"/>
    <col min="16131" max="16131" width="36" style="5" customWidth="1"/>
    <col min="16132" max="16132" width="9" style="5"/>
    <col min="16133" max="16133" width="8.625" style="5" customWidth="1"/>
    <col min="16134" max="16384" width="9" style="5"/>
  </cols>
  <sheetData>
    <row r="1" spans="1:10" s="1" customFormat="1" ht="19.899999999999999" customHeight="1" x14ac:dyDescent="0.25">
      <c r="A1" s="84" t="s">
        <v>0</v>
      </c>
      <c r="B1" s="85"/>
      <c r="C1" s="85"/>
      <c r="D1" s="86" t="s">
        <v>1</v>
      </c>
      <c r="E1" s="86"/>
      <c r="F1" s="86"/>
      <c r="G1" s="86"/>
      <c r="H1" s="87"/>
    </row>
    <row r="2" spans="1:10" s="1" customFormat="1" ht="19.899999999999999" customHeight="1" x14ac:dyDescent="0.25">
      <c r="A2" s="2" t="s">
        <v>2</v>
      </c>
      <c r="B2" s="88" t="s">
        <v>3</v>
      </c>
      <c r="C2" s="88"/>
      <c r="D2" s="89" t="s">
        <v>4</v>
      </c>
      <c r="E2" s="89"/>
      <c r="F2" s="89"/>
      <c r="G2" s="3">
        <v>46143</v>
      </c>
      <c r="H2" s="4"/>
    </row>
    <row r="3" spans="1:10" ht="19.899999999999999" customHeight="1" x14ac:dyDescent="0.2">
      <c r="A3" s="90" t="s">
        <v>5</v>
      </c>
      <c r="B3" s="92" t="s">
        <v>6</v>
      </c>
      <c r="C3" s="92"/>
      <c r="D3" s="93"/>
      <c r="E3" s="94"/>
      <c r="F3" s="94"/>
      <c r="G3" s="94"/>
      <c r="H3" s="95"/>
    </row>
    <row r="4" spans="1:10" ht="19.899999999999999" customHeight="1" x14ac:dyDescent="0.2">
      <c r="A4" s="91"/>
      <c r="B4" s="6" t="s">
        <v>7</v>
      </c>
      <c r="C4" s="7" t="s">
        <v>8</v>
      </c>
      <c r="D4" s="71" t="s">
        <v>9</v>
      </c>
      <c r="E4" s="72"/>
      <c r="F4" s="73">
        <v>8210000</v>
      </c>
      <c r="G4" s="73"/>
      <c r="H4" s="74"/>
    </row>
    <row r="5" spans="1:10" ht="19.899999999999999" customHeight="1" x14ac:dyDescent="0.2">
      <c r="A5" s="91"/>
      <c r="B5" s="6" t="s">
        <v>10</v>
      </c>
      <c r="C5" s="7" t="s">
        <v>11</v>
      </c>
      <c r="D5" s="71" t="s">
        <v>12</v>
      </c>
      <c r="E5" s="72"/>
      <c r="F5" s="69">
        <v>26</v>
      </c>
      <c r="G5" s="69"/>
      <c r="H5" s="70"/>
    </row>
    <row r="6" spans="1:10" ht="19.899999999999999" customHeight="1" x14ac:dyDescent="0.2">
      <c r="A6" s="91"/>
      <c r="B6" s="6" t="s">
        <v>13</v>
      </c>
      <c r="C6" s="7" t="s">
        <v>14</v>
      </c>
      <c r="D6" s="71" t="s">
        <v>15</v>
      </c>
      <c r="E6" s="72"/>
      <c r="F6" s="73">
        <f>12000000-F4</f>
        <v>3790000</v>
      </c>
      <c r="G6" s="73"/>
      <c r="H6" s="74"/>
    </row>
    <row r="7" spans="1:10" ht="19.899999999999999" customHeight="1" x14ac:dyDescent="0.2">
      <c r="A7" s="91"/>
      <c r="B7" s="6" t="s">
        <v>16</v>
      </c>
      <c r="C7" s="7" t="s">
        <v>17</v>
      </c>
      <c r="D7" s="71" t="s">
        <v>18</v>
      </c>
      <c r="E7" s="72"/>
      <c r="F7" s="75">
        <f>F6*D29</f>
        <v>3789999.9999999995</v>
      </c>
      <c r="G7" s="69"/>
      <c r="H7" s="70"/>
      <c r="J7" s="8"/>
    </row>
    <row r="8" spans="1:10" ht="19.899999999999999" customHeight="1" x14ac:dyDescent="0.2">
      <c r="A8" s="76"/>
      <c r="B8" s="77"/>
      <c r="C8" s="77"/>
      <c r="D8" s="78"/>
      <c r="E8" s="78"/>
      <c r="F8" s="78"/>
      <c r="G8" s="78"/>
      <c r="H8" s="79"/>
    </row>
    <row r="9" spans="1:10" s="11" customFormat="1" ht="33" customHeight="1" x14ac:dyDescent="0.25">
      <c r="A9" s="9" t="s">
        <v>19</v>
      </c>
      <c r="B9" s="80" t="s">
        <v>20</v>
      </c>
      <c r="C9" s="81"/>
      <c r="D9" s="9" t="s">
        <v>21</v>
      </c>
      <c r="E9" s="9" t="s">
        <v>22</v>
      </c>
      <c r="F9" s="9" t="s">
        <v>23</v>
      </c>
      <c r="G9" s="10" t="s">
        <v>24</v>
      </c>
      <c r="H9" s="9" t="s">
        <v>25</v>
      </c>
    </row>
    <row r="10" spans="1:10" s="11" customFormat="1" ht="19.899999999999999" customHeight="1" x14ac:dyDescent="0.25">
      <c r="A10" s="12" t="s">
        <v>26</v>
      </c>
      <c r="B10" s="45" t="s">
        <v>27</v>
      </c>
      <c r="C10" s="46"/>
      <c r="D10" s="13">
        <f>SUM(D11:D14)</f>
        <v>1</v>
      </c>
      <c r="E10" s="82"/>
      <c r="F10" s="83"/>
      <c r="G10" s="14"/>
      <c r="H10" s="15"/>
    </row>
    <row r="11" spans="1:10" ht="30.75" customHeight="1" x14ac:dyDescent="0.2">
      <c r="A11" s="50"/>
      <c r="B11" s="67" t="s">
        <v>28</v>
      </c>
      <c r="C11" s="67"/>
      <c r="D11" s="16">
        <f>50%-(E11*F11)</f>
        <v>0.5</v>
      </c>
      <c r="E11" s="16">
        <v>0.25</v>
      </c>
      <c r="F11" s="17">
        <v>0</v>
      </c>
      <c r="G11" s="18"/>
      <c r="H11" s="60">
        <f>30%*D10</f>
        <v>0.3</v>
      </c>
    </row>
    <row r="12" spans="1:10" ht="19.899999999999999" customHeight="1" x14ac:dyDescent="0.2">
      <c r="A12" s="51"/>
      <c r="B12" s="67" t="s">
        <v>29</v>
      </c>
      <c r="C12" s="67"/>
      <c r="D12" s="16">
        <f>30%-(E12*F12)</f>
        <v>0.3</v>
      </c>
      <c r="E12" s="16">
        <v>0.1</v>
      </c>
      <c r="F12" s="17">
        <v>0</v>
      </c>
      <c r="G12" s="20"/>
      <c r="H12" s="61"/>
    </row>
    <row r="13" spans="1:10" ht="30.75" customHeight="1" x14ac:dyDescent="0.2">
      <c r="A13" s="51"/>
      <c r="B13" s="68" t="s">
        <v>30</v>
      </c>
      <c r="C13" s="68"/>
      <c r="D13" s="16">
        <f>10%-(E13*F13)</f>
        <v>0.1</v>
      </c>
      <c r="E13" s="16">
        <v>0.05</v>
      </c>
      <c r="F13" s="17">
        <v>0</v>
      </c>
      <c r="G13" s="20"/>
      <c r="H13" s="61"/>
    </row>
    <row r="14" spans="1:10" ht="28.5" customHeight="1" x14ac:dyDescent="0.2">
      <c r="A14" s="51"/>
      <c r="B14" s="67" t="s">
        <v>31</v>
      </c>
      <c r="C14" s="67"/>
      <c r="D14" s="16">
        <f>10%-(E14*F14)</f>
        <v>0.1</v>
      </c>
      <c r="E14" s="16">
        <v>0.05</v>
      </c>
      <c r="F14" s="17">
        <v>0</v>
      </c>
      <c r="G14" s="18"/>
      <c r="H14" s="61"/>
    </row>
    <row r="15" spans="1:10" ht="19.899999999999999" customHeight="1" x14ac:dyDescent="0.2">
      <c r="A15" s="12" t="s">
        <v>32</v>
      </c>
      <c r="B15" s="45" t="s">
        <v>33</v>
      </c>
      <c r="C15" s="46"/>
      <c r="D15" s="21">
        <f>SUM(D16:D20)</f>
        <v>1</v>
      </c>
      <c r="E15" s="47"/>
      <c r="F15" s="48"/>
      <c r="G15" s="49"/>
      <c r="H15" s="49"/>
    </row>
    <row r="16" spans="1:10" ht="19.899999999999999" customHeight="1" x14ac:dyDescent="0.2">
      <c r="A16" s="50"/>
      <c r="B16" s="62" t="s">
        <v>34</v>
      </c>
      <c r="C16" s="63"/>
      <c r="D16" s="16">
        <f>15%-E16*F16</f>
        <v>0.15</v>
      </c>
      <c r="E16" s="16">
        <v>0.05</v>
      </c>
      <c r="F16" s="17">
        <v>0</v>
      </c>
      <c r="G16" s="20"/>
      <c r="H16" s="60">
        <f>35%*D15</f>
        <v>0.35</v>
      </c>
    </row>
    <row r="17" spans="1:8" ht="19.899999999999999" customHeight="1" x14ac:dyDescent="0.2">
      <c r="A17" s="51"/>
      <c r="B17" s="62" t="s">
        <v>35</v>
      </c>
      <c r="C17" s="63"/>
      <c r="D17" s="16">
        <f>15%-E17*F17</f>
        <v>0.15</v>
      </c>
      <c r="E17" s="16">
        <v>0.05</v>
      </c>
      <c r="F17" s="17">
        <v>0</v>
      </c>
      <c r="G17" s="20"/>
      <c r="H17" s="61"/>
    </row>
    <row r="18" spans="1:8" ht="27.75" customHeight="1" x14ac:dyDescent="0.2">
      <c r="A18" s="51"/>
      <c r="B18" s="62" t="s">
        <v>36</v>
      </c>
      <c r="C18" s="63"/>
      <c r="D18" s="16">
        <f>40%-E18*F18</f>
        <v>0.4</v>
      </c>
      <c r="E18" s="16">
        <v>0.05</v>
      </c>
      <c r="F18" s="17">
        <v>0</v>
      </c>
      <c r="G18" s="20"/>
      <c r="H18" s="61"/>
    </row>
    <row r="19" spans="1:8" ht="33.6" customHeight="1" x14ac:dyDescent="0.2">
      <c r="A19" s="19"/>
      <c r="B19" s="65" t="s">
        <v>37</v>
      </c>
      <c r="C19" s="66"/>
      <c r="D19" s="16">
        <f>10%-E19*F19</f>
        <v>0.1</v>
      </c>
      <c r="E19" s="16">
        <v>0.05</v>
      </c>
      <c r="F19" s="17">
        <v>0</v>
      </c>
      <c r="G19" s="20"/>
      <c r="H19" s="61"/>
    </row>
    <row r="20" spans="1:8" ht="29.25" customHeight="1" x14ac:dyDescent="0.2">
      <c r="A20" s="19"/>
      <c r="B20" s="22" t="s">
        <v>38</v>
      </c>
      <c r="C20" s="23"/>
      <c r="D20" s="16">
        <f>20%-E20*F20</f>
        <v>0.2</v>
      </c>
      <c r="E20" s="16">
        <v>0.05</v>
      </c>
      <c r="F20" s="17">
        <v>0</v>
      </c>
      <c r="G20" s="18"/>
      <c r="H20" s="64"/>
    </row>
    <row r="21" spans="1:8" ht="19.899999999999999" customHeight="1" x14ac:dyDescent="0.2">
      <c r="A21" s="12" t="s">
        <v>39</v>
      </c>
      <c r="B21" s="56" t="s">
        <v>40</v>
      </c>
      <c r="C21" s="57"/>
      <c r="D21" s="21">
        <f>SUM(D22:D24)</f>
        <v>1</v>
      </c>
      <c r="E21" s="47"/>
      <c r="F21" s="48"/>
      <c r="G21" s="49"/>
      <c r="H21" s="49"/>
    </row>
    <row r="22" spans="1:8" ht="19.899999999999999" customHeight="1" x14ac:dyDescent="0.2">
      <c r="A22" s="50"/>
      <c r="B22" s="58" t="s">
        <v>41</v>
      </c>
      <c r="C22" s="59"/>
      <c r="D22" s="16">
        <f>40%-(E22*F22)</f>
        <v>0.4</v>
      </c>
      <c r="E22" s="24">
        <v>0.4</v>
      </c>
      <c r="F22" s="25"/>
      <c r="G22" s="20"/>
      <c r="H22" s="60">
        <f>25%*D21</f>
        <v>0.25</v>
      </c>
    </row>
    <row r="23" spans="1:8" ht="28.5" customHeight="1" x14ac:dyDescent="0.2">
      <c r="A23" s="51"/>
      <c r="B23" s="62" t="s">
        <v>42</v>
      </c>
      <c r="C23" s="63"/>
      <c r="D23" s="16">
        <f>30%-(E23*F23)</f>
        <v>0.3</v>
      </c>
      <c r="E23" s="24">
        <v>0.3</v>
      </c>
      <c r="F23" s="25">
        <v>0</v>
      </c>
      <c r="G23" s="18"/>
      <c r="H23" s="61"/>
    </row>
    <row r="24" spans="1:8" ht="31.5" customHeight="1" x14ac:dyDescent="0.2">
      <c r="A24" s="51"/>
      <c r="B24" s="53" t="s">
        <v>43</v>
      </c>
      <c r="C24" s="54"/>
      <c r="D24" s="16">
        <f>30%-(E24*F24)</f>
        <v>0.3</v>
      </c>
      <c r="E24" s="24">
        <v>0.3</v>
      </c>
      <c r="F24" s="25">
        <v>0</v>
      </c>
      <c r="G24" s="18"/>
      <c r="H24" s="61"/>
    </row>
    <row r="25" spans="1:8" ht="19.899999999999999" customHeight="1" x14ac:dyDescent="0.2">
      <c r="A25" s="12" t="s">
        <v>44</v>
      </c>
      <c r="B25" s="45" t="s">
        <v>45</v>
      </c>
      <c r="C25" s="46"/>
      <c r="D25" s="21">
        <f>SUM(D26:D28)</f>
        <v>1</v>
      </c>
      <c r="E25" s="47"/>
      <c r="F25" s="48"/>
      <c r="G25" s="49"/>
      <c r="H25" s="49"/>
    </row>
    <row r="26" spans="1:8" ht="19.899999999999999" customHeight="1" x14ac:dyDescent="0.2">
      <c r="A26" s="50"/>
      <c r="B26" s="53" t="s">
        <v>46</v>
      </c>
      <c r="C26" s="54"/>
      <c r="D26" s="16">
        <f>20%-(E26*F26)</f>
        <v>0.2</v>
      </c>
      <c r="E26" s="24">
        <v>0.1</v>
      </c>
      <c r="F26" s="17"/>
      <c r="G26" s="20"/>
      <c r="H26" s="55">
        <f>10%*D25</f>
        <v>0.1</v>
      </c>
    </row>
    <row r="27" spans="1:8" ht="19.899999999999999" customHeight="1" x14ac:dyDescent="0.2">
      <c r="A27" s="51"/>
      <c r="B27" s="53" t="s">
        <v>47</v>
      </c>
      <c r="C27" s="54"/>
      <c r="D27" s="16">
        <f>20%-(E27*F27)</f>
        <v>0.2</v>
      </c>
      <c r="E27" s="24">
        <v>0.1</v>
      </c>
      <c r="F27" s="17">
        <v>0</v>
      </c>
      <c r="G27" s="20"/>
      <c r="H27" s="55"/>
    </row>
    <row r="28" spans="1:8" ht="19.899999999999999" customHeight="1" x14ac:dyDescent="0.2">
      <c r="A28" s="52"/>
      <c r="B28" s="53" t="s">
        <v>48</v>
      </c>
      <c r="C28" s="54"/>
      <c r="D28" s="16">
        <f>60%-(E28*F28)</f>
        <v>0.6</v>
      </c>
      <c r="E28" s="24">
        <v>0.6</v>
      </c>
      <c r="F28" s="17">
        <v>0</v>
      </c>
      <c r="G28" s="20"/>
      <c r="H28" s="55"/>
    </row>
    <row r="29" spans="1:8" ht="19.899999999999999" customHeight="1" x14ac:dyDescent="0.2">
      <c r="A29" s="37" t="s">
        <v>49</v>
      </c>
      <c r="B29" s="38"/>
      <c r="C29" s="39"/>
      <c r="D29" s="40">
        <f>SUM(H11,H16,H22,H26)</f>
        <v>0.99999999999999989</v>
      </c>
      <c r="E29" s="40"/>
      <c r="F29" s="40"/>
      <c r="G29" s="40"/>
      <c r="H29" s="40"/>
    </row>
    <row r="30" spans="1:8" ht="37.15" customHeight="1" x14ac:dyDescent="0.2">
      <c r="A30" s="41" t="s">
        <v>50</v>
      </c>
      <c r="B30" s="41"/>
      <c r="C30" s="41"/>
      <c r="D30" s="41"/>
      <c r="E30" s="41"/>
      <c r="F30" s="41"/>
      <c r="G30" s="41"/>
      <c r="H30" s="41"/>
    </row>
    <row r="31" spans="1:8" ht="19.899999999999999" customHeight="1" x14ac:dyDescent="0.2">
      <c r="A31" s="26"/>
      <c r="B31" s="26"/>
      <c r="C31" s="26"/>
      <c r="D31" s="27"/>
      <c r="E31" s="27"/>
      <c r="F31" s="27"/>
      <c r="G31" s="28"/>
      <c r="H31" s="27"/>
    </row>
    <row r="32" spans="1:8" x14ac:dyDescent="0.2">
      <c r="B32" s="29" t="s">
        <v>51</v>
      </c>
      <c r="C32" s="30"/>
      <c r="D32" s="31"/>
      <c r="E32" s="42" t="s">
        <v>52</v>
      </c>
      <c r="F32" s="42"/>
      <c r="G32" s="42"/>
      <c r="H32" s="42"/>
    </row>
    <row r="38" spans="1:8" x14ac:dyDescent="0.2">
      <c r="A38" s="43" t="s">
        <v>53</v>
      </c>
      <c r="B38" s="43"/>
      <c r="C38" s="43"/>
      <c r="D38" s="43"/>
      <c r="E38" s="43"/>
      <c r="F38" s="43"/>
      <c r="G38" s="43"/>
      <c r="H38" s="43"/>
    </row>
    <row r="39" spans="1:8" x14ac:dyDescent="0.2">
      <c r="A39" s="44"/>
      <c r="B39" s="44"/>
      <c r="C39" s="44"/>
      <c r="D39" s="44"/>
      <c r="E39" s="44"/>
      <c r="F39" s="44"/>
      <c r="G39" s="44"/>
      <c r="H39" s="44"/>
    </row>
  </sheetData>
  <mergeCells count="55">
    <mergeCell ref="A1:C1"/>
    <mergeCell ref="D1:H1"/>
    <mergeCell ref="B2:C2"/>
    <mergeCell ref="D2:F2"/>
    <mergeCell ref="A3:A7"/>
    <mergeCell ref="B3:C3"/>
    <mergeCell ref="D3:H3"/>
    <mergeCell ref="D4:E4"/>
    <mergeCell ref="F4:H4"/>
    <mergeCell ref="D5:E5"/>
    <mergeCell ref="H11:H14"/>
    <mergeCell ref="B12:C12"/>
    <mergeCell ref="B13:C13"/>
    <mergeCell ref="B14:C14"/>
    <mergeCell ref="F5:H5"/>
    <mergeCell ref="D6:E6"/>
    <mergeCell ref="F6:H6"/>
    <mergeCell ref="D7:E7"/>
    <mergeCell ref="F7:H7"/>
    <mergeCell ref="A8:H8"/>
    <mergeCell ref="B9:C9"/>
    <mergeCell ref="B10:C10"/>
    <mergeCell ref="E10:F10"/>
    <mergeCell ref="A11:A14"/>
    <mergeCell ref="B11:C11"/>
    <mergeCell ref="B15:C15"/>
    <mergeCell ref="E15:F15"/>
    <mergeCell ref="G15:H15"/>
    <mergeCell ref="A16:A18"/>
    <mergeCell ref="B16:C16"/>
    <mergeCell ref="H16:H20"/>
    <mergeCell ref="B17:C17"/>
    <mergeCell ref="B18:C18"/>
    <mergeCell ref="B19:C19"/>
    <mergeCell ref="B21:C21"/>
    <mergeCell ref="E21:F21"/>
    <mergeCell ref="G21:H21"/>
    <mergeCell ref="A22:A24"/>
    <mergeCell ref="B22:C22"/>
    <mergeCell ref="H22:H24"/>
    <mergeCell ref="B23:C23"/>
    <mergeCell ref="B24:C24"/>
    <mergeCell ref="B25:C25"/>
    <mergeCell ref="E25:F25"/>
    <mergeCell ref="G25:H25"/>
    <mergeCell ref="A26:A28"/>
    <mergeCell ref="B26:C26"/>
    <mergeCell ref="H26:H28"/>
    <mergeCell ref="B27:C27"/>
    <mergeCell ref="B28:C28"/>
    <mergeCell ref="A29:C29"/>
    <mergeCell ref="D29:H29"/>
    <mergeCell ref="A30:H30"/>
    <mergeCell ref="E32:H32"/>
    <mergeCell ref="A38:H39"/>
  </mergeCells>
  <conditionalFormatting sqref="D29:H29 D31:H31">
    <cfRule type="colorScale" priority="1">
      <colorScale>
        <cfvo type="num" val="30"/>
        <cfvo type="num" val="50"/>
        <cfvo type="num" val="100"/>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NHUNG TC CHIỀU</vt:lpstr>
      <vt:lpstr>MAI TC SÁNG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2026-02-06T04:25:41Z</dcterms:created>
  <dcterms:modified xsi:type="dcterms:W3CDTF">2026-06-08T03:02:33Z</dcterms:modified>
</cp:coreProperties>
</file>