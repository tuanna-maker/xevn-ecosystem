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ĐTV (Khối VP)" sheetId="1" r:id="rId1"/>
    <sheet name="HĐLĐ 12T (Khối VP)" sheetId="2" r:id="rId2"/>
    <sheet name="HĐLĐ 24T( Khối VP)" sheetId="3" r:id="rId3"/>
    <sheet name="HĐLĐ KXĐTH" sheetId="4" r:id="rId4"/>
    <sheet name="HĐTV (Khối LX)" sheetId="5" r:id="rId5"/>
    <sheet name="HĐLĐ 12T (Khối LX)" sheetId="6" r:id="rId6"/>
    <sheet name="HĐLĐ 24T ( Khối LX)" sheetId="7" r:id="rId7"/>
    <sheet name="HĐLĐ KXĐTH (lx- nhiều công ty)" sheetId="8" r:id="rId8"/>
    <sheet name="HĐKXĐ ( Khối LX)" sheetId="9" r:id="rId9"/>
    <sheet name="HĐ KXĐ (Khối LX)"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dd/MM/yyyy"/>
    <numFmt numFmtId="165" formatCode="dd/mm/yyyy"/>
    <numFmt numFmtId="166" formatCode="d/m/yyyy"/>
    <numFmt numFmtId="167" formatCode="0.0"/>
    <numFmt numFmtId="168" formatCode="dd&quot;/&quot;mm&quot;/&quot;yyyy"/>
    <numFmt numFmtId="169" formatCode="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10"/>
  <sheetViews>
    <sheetView workbookViewId="0"/>
  </sheetViews>
  <sheetData>
    <row r="1">
      <c r="A1" t="str">
        <v xml:space="preserve">                                                                                                                                                                                  </v>
      </c>
    </row>
    <row r="2">
      <c r="A2" t="str">
        <f>IF(K2=1,"CÔNG TY TNHH X.E VIỆT NAM","CÔNG TY TNHH DU LỊCH X.E VIỆT NAM")</f>
        <v>CÔNG TY TNHH X.E VIỆT NAM</v>
      </c>
      <c r="F2" t="str">
        <v>CỘNG HOÀ XÃ HỘI CHỦ NGHĨA VIỆT NAM</v>
      </c>
      <c r="J2" t="str">
        <v>Đơn vị</v>
      </c>
      <c r="K2">
        <v>1</v>
      </c>
      <c r="L2" t="str">
        <v>X.E Việt Nam</v>
      </c>
      <c r="M2">
        <v>1</v>
      </c>
    </row>
    <row r="3">
      <c r="A3" t="str">
        <f>"Số: "&amp;K4&amp;"/"&amp;YEAR(TODAY())&amp;"/HĐTV-"&amp;IF(K2=1,"X.E","DLX.E")</f>
        <v>Số: 18/2026/HĐTV-X.E</v>
      </c>
      <c r="F3" t="str">
        <v xml:space="preserve">                            Độc lập - Tự do - Hạnh phúc</v>
      </c>
      <c r="L3" t="str">
        <v>Du lịch X.E</v>
      </c>
      <c r="M3">
        <v>2</v>
      </c>
    </row>
    <row r="4">
      <c r="G4" t="str">
        <v>----------o0o---------</v>
      </c>
      <c r="J4" t="str">
        <v>Mã NV</v>
      </c>
      <c r="K4">
        <v>18</v>
      </c>
    </row>
    <row r="5">
      <c r="J5" t="str">
        <v>Ngày bắt đầu</v>
      </c>
      <c r="K5" t="str">
        <f t="array" ref="K5">TEXT(INDEX('Mã NV'!AH:AH,MATCH(K4,'Mã NV'!B:B,0)),"dd/mm/yyyy")</f>
        <v>30/12/1899</v>
      </c>
    </row>
    <row r="6">
      <c r="G6" t="str">
        <f>"Hà Nội, ngày "&amp;DAY(K5)&amp;" tháng "&amp;month(K5)&amp;" năm "&amp;year(K5)</f>
        <v>Hà Nội, ngày 30 tháng 12 năm 1899</v>
      </c>
      <c r="J6" t="str">
        <v>Ngày hết hạn</v>
      </c>
      <c r="K6" t="str">
        <f t="array" ref="K6">TEXT(INDEX('Mã NV'!AJ:AJ,MATCH(K4,'Mã NV'!B:B,0)),"dd/mm/yyyy")</f>
        <v>30/12/1899</v>
      </c>
    </row>
    <row r="8">
      <c r="A8" t="str">
        <v>HỢP ĐỒNG THỬ VIỆC</v>
      </c>
    </row>
    <row r="10">
      <c r="A10" t="str">
        <f>"Chúng tôi, một bên là "&amp;IF(K2=1,"Ông: Nguyễn Trọng Khánh","Bà: Nguyễn Ngọc Dung")</f>
        <v>Chúng tôi, một bên là Ông: Nguyễn Trọng Khánh</v>
      </c>
      <c r="G10" t="str">
        <v>Quốc tịch: Việt Nam</v>
      </c>
    </row>
    <row r="11">
      <c r="A11" t="str">
        <v>Chức vụ</v>
      </c>
      <c r="B11" t="str">
        <v>:</v>
      </c>
      <c r="C11" t="str">
        <v>Giám Đốc</v>
      </c>
    </row>
    <row r="12">
      <c r="A12" t="str">
        <v>Đại diện cho</v>
      </c>
      <c r="B12" t="str">
        <v>:</v>
      </c>
      <c r="C12" t="str">
        <f>IF(K2=1,"Công ty TNHH X.E Việt Nam","Công ty TNHH Du lịch X.E Việt Nam")</f>
        <v>Công ty TNHH X.E Việt Nam</v>
      </c>
      <c r="G12" t="str">
        <f>IF(K2=1,"Điện Thoại: 024.3681.5722","Điện thoại: 024.398.44444")</f>
        <v>Điện Thoại: 024.3681.5722</v>
      </c>
    </row>
    <row r="13">
      <c r="A13" t="str">
        <v>Địa chỉ</v>
      </c>
      <c r="B13" t="str">
        <v>:</v>
      </c>
      <c r="C13" t="str">
        <f>IF(K2=1,"Số 4 đường Văn Chỉ, thôn Tam Đa, xã Tam Hưng, thành phố Hà Nội","Tầng 1, Toà Licogi 12, số 21 Đại Từ, phường Định Công, thành phố Hà Nội, Việt Nam")</f>
        <v>Số 4 đường Văn Chỉ, thôn Tam Đa, xã Tam Hưng, thành phố Hà Nội</v>
      </c>
    </row>
    <row r="15">
      <c r="A15" t="str">
        <v>(Dưới đây gọi là Người sử dụng lao động)</v>
      </c>
    </row>
    <row r="17">
      <c r="A17" t="str">
        <v>Một bên là Ông/Bà:</v>
      </c>
      <c r="C17" t="str">
        <f t="array" ref="C17">INDEX('Mã NV'!D:D,MATCH(K4,'Mã NV'!B:B,0))</f>
        <v>Lê Văn Vũ</v>
      </c>
      <c r="G17" t="str">
        <f t="array" ref="G17">"Mã NV: "&amp;INDEX('Mã NV'!C:C,MATCH(K4,'Mã NV'!B:B,0))</f>
        <v>Mã NV: XE00018</v>
      </c>
    </row>
    <row r="18">
      <c r="A18" t="str">
        <v>Sinh Ngày</v>
      </c>
      <c r="B18" t="str">
        <v>:</v>
      </c>
      <c r="C18">
        <f t="array" ref="C18">INDEX('Mã NV'!I:I,MATCH(K4,'Mã NV'!B:B,0))</f>
        <v>28664</v>
      </c>
    </row>
    <row r="19">
      <c r="A19" t="str">
        <v>Địa chỉ thường trú</v>
      </c>
      <c r="B19" t="str">
        <v>:</v>
      </c>
      <c r="C19" t="str">
        <f t="array" ref="C19">INDEX('Mã NV'!S:S,MATCH(K4,'Mã NV'!B:B,0))</f>
        <v>Đông Hoàng, Đông Hưng, Thái Bình</v>
      </c>
    </row>
    <row r="20">
      <c r="A20" t="str">
        <v>CCCD/Passport</v>
      </c>
      <c r="B20" t="str">
        <v>:</v>
      </c>
      <c r="C20" t="str">
        <f t="array" ref="C20">INDEX('Mã NV'!J:J,MATCH(K4,'Mã NV'!B:B,0))</f>
        <v>34078002397</v>
      </c>
      <c r="E20" t="str">
        <v>Ngày cấp:</v>
      </c>
      <c r="F20">
        <f t="array" ref="F20">INDEX('Mã NV'!K:K,MATCH(K4,'Mã NV'!B:B,0))</f>
        <v>42335</v>
      </c>
      <c r="G20" t="str">
        <f t="array" ref="G20">"Nơi cấp: "&amp;INDEX('Mã NV'!L:L,MATCH(K4,'Mã NV'!B:B,0))</f>
        <v>Nơi cấp: Cục CS QLHC về trật tự XH</v>
      </c>
    </row>
    <row r="21">
      <c r="A21" t="str">
        <v>(Dưới đây gọi là Người lao động)</v>
      </c>
    </row>
    <row r="23">
      <c r="A23" t="str">
        <v>Thỏa thuận ký kết Hợp đồng thử việc và cam kết làm đúng những điều khoản sau đây:</v>
      </c>
    </row>
    <row r="24">
      <c r="A24" t="str">
        <v>Điều 1. Thời hạn và công việc hợp đồng:</v>
      </c>
    </row>
    <row r="25">
      <c r="A25" t="str">
        <v>- Loại Hợp đồng: Hợp đồng thử việc.</v>
      </c>
    </row>
    <row r="26">
      <c r="A26" t="str">
        <f t="array" ref="A26">"- Từ ngày "&amp;TEXT(INDEX('Mã NV'!AH:AH,MATCH(K4,'Mã NV'!B:B,0)),"dd/mm/yyyy")&amp;" đến ngày "&amp;TEXT(INDEX('Mã NV'!AJ:AJ,MATCH(K4,'Mã NV'!B:B,0)),"dd/mm/yyyy")&amp;"."</f>
        <v>- Từ ngày 30/12/1899 đến ngày 30/12/1899.</v>
      </c>
    </row>
    <row r="27">
      <c r="A27" t="str">
        <f t="array" ref="A27">"- Địa điểm làm việc: "&amp;INDEX('Mã NV'!H:H,MATCH(K4,'Mã NV'!B:B,0))&amp;"."</f>
        <v>- Địa điểm làm việc: .</v>
      </c>
    </row>
    <row r="28">
      <c r="A28" t="str">
        <f t="array" ref="A28">"- Chức danh chuyên môn: "&amp;INDEX('Mã NV'!E:E,MATCH(K4,'Mã NV'!B:B,0))</f>
        <v xml:space="preserve">- Chức danh chuyên môn: </v>
      </c>
      <c r="G28" t="str">
        <f t="array" ref="G28">"Chức vụ: "&amp;INDEX('Mã NV'!X:X,MATCH(K4,'Mã NV'!B:B,0))</f>
        <v xml:space="preserve">Chức vụ: </v>
      </c>
      <c r="H28" t="str">
        <f t="array" ref="H28">"Phòng: "&amp;INDEX('Mã NV'!U:U,MATCH(K4,'Mã NV'!B:B,0))</f>
        <v xml:space="preserve">Phòng: </v>
      </c>
    </row>
    <row r="29">
      <c r="A29" t="str">
        <v>- Công việc phải làm: Theo mô tả công việc.</v>
      </c>
    </row>
    <row r="30">
      <c r="A30" t="str">
        <v>Điều 2. Chế độ làm việc:</v>
      </c>
    </row>
    <row r="31">
      <c r="A31" t="str">
        <v>- Thời gian làm việc: 08h/ngày, 06 ngày/tuần;</v>
      </c>
    </row>
    <row r="32">
      <c r="A32" t="str">
        <v>- Được cấp phát những dụng cụ làm việc: Theo nhu cầu công việc và theo chính sách của công ty.</v>
      </c>
    </row>
    <row r="33">
      <c r="A33" t="str">
        <v>Điều 3. Nghĩa vụ và quyền lợi của người lao động:</v>
      </c>
    </row>
    <row r="34">
      <c r="A34" t="str">
        <v>1 - Quyền lợi:</v>
      </c>
    </row>
    <row r="35">
      <c r="A35" t="str">
        <v>- Phương tiện đi lại làm việc: Tự túc;</v>
      </c>
    </row>
    <row r="36">
      <c r="A36" t="str">
        <v>- Mức lương chính hoặc tiền công:</v>
      </c>
      <c r="E36" t="str">
        <f t="array" ref="E36">text(INDEX('Mã NV'!Y:Y,MATCH(K4,'Mã NV'!B:B,0)),"#,##")</f>
        <v/>
      </c>
      <c r="F36" t="str">
        <v>đồng/ tháng;</v>
      </c>
    </row>
    <row r="37">
      <c r="A37" t="str">
        <v>- Hình thức trả lương: Theo tháng, thanh toán bằng TM/CK;</v>
      </c>
    </row>
    <row r="38">
      <c r="A38" t="str">
        <v>- Phụ cấp gồm: Được trả theo chính sách về tiền lương của Công ty;</v>
      </c>
    </row>
    <row r="39">
      <c r="A39" t="str">
        <v>- Kỳ hạn trả lương: Được trả lương vào ngày 10 và ngày 25 của tháng kế tiếp hàng tháng;</v>
      </c>
    </row>
    <row r="40">
      <c r="A40" t="str">
        <v>- Tiền thưởng: Được thưởng hàng năm theo chính sách về tiền lương của Công ty;</v>
      </c>
    </row>
    <row r="41">
      <c r="A41" t="str">
        <v>- Thưởng hiệu suất: Theo quy định của Công ty;</v>
      </c>
    </row>
    <row r="42">
      <c r="A42" t="str">
        <v>- Chế độ nâng lương: Được thực hiện theo chính sách nâng lương của công ty;</v>
      </c>
    </row>
    <row r="43">
      <c r="A43" t="str">
        <v>- Được trang bị bảo hộ lao động: Theo quy định về bảo hộ lao động hiện hành;</v>
      </c>
    </row>
    <row r="44">
      <c r="A44" t="str">
        <v>- Chế độ nghỉ ngơi (Nghỉ hàng tuần, phép năm, lễ tết,…): Theo quy định của công ty;</v>
      </c>
    </row>
    <row r="45">
      <c r="A45" t="str">
        <v xml:space="preserve">- Bảo hiểm Xã hội, Bảo hiểm Y tế, Bảo hiểm thất nghiệp: Được thực hiện theo quy định của Luật Bảo hiểm Xã hội </v>
      </c>
    </row>
    <row r="46">
      <c r="A46" t="str">
        <v>và quy định về Bảo hiểm y tế hiện hành;</v>
      </c>
    </row>
    <row r="47">
      <c r="A47" t="str">
        <v>- Chế độ đào tạo: Theo chính sách về đào tạo của Công ty;</v>
      </c>
    </row>
    <row r="48">
      <c r="A48" t="str">
        <v xml:space="preserve">- Những thoả thuận khác: Người lao động có trách nhiệm giữ bí mật tất cả những thông tin liên quan đến việc sản </v>
      </c>
    </row>
    <row r="49">
      <c r="A49" t="str">
        <v>xuất, kinh doanh, tổ chức và các thông tin bảo mật khác của công ty mà Anh/Chị biết được trong quá trình làm việc</v>
      </c>
    </row>
    <row r="50">
      <c r="A50" t="str">
        <v xml:space="preserve">Anh/Chị không tiết lộ thông tin đó với bất kỳ ai nếu không có sự chấp thuận của Ban lãnh đạo Công ty. Trách nhiệm </v>
      </c>
    </row>
    <row r="51">
      <c r="A51" t="str">
        <v xml:space="preserve">giữ bí mật thông tin này vẫn sẽ tiếp tục kể cả sau khi Anh/Chị nghỉ việc. Tuy nhiên, việc bảo mật thông tin sẽ không </v>
      </c>
    </row>
    <row r="52">
      <c r="A52" t="str">
        <v>áp dụng đối với các thông tin mà Công ty đã phổ biến rộng rãi.</v>
      </c>
    </row>
    <row r="53">
      <c r="A53" t="str">
        <v>2 - Nghĩa vụ:</v>
      </c>
    </row>
    <row r="54">
      <c r="A54" t="str">
        <v>- Hoàn thành những công việc đã cam kết trong Hợp đồng thử việc, trong bản mô tả công việc;</v>
      </c>
    </row>
    <row r="55">
      <c r="A55" t="str">
        <v>- Chấp hành lệnh điều hành sản xuất kinh doanh, nội quy kỷ luật lao động, an toàn lao động, Điều lệ và các quy trình</v>
      </c>
    </row>
    <row r="56">
      <c r="A56" t="str">
        <v>Nội Bộ của Công ty;</v>
      </c>
    </row>
    <row r="57">
      <c r="A57" t="str">
        <v>- Bồi thường vi phạm và vật chất: Theo quy định của các hợp đồng riêng biệt và theo luật Lao động hiện hành.</v>
      </c>
    </row>
    <row r="58">
      <c r="A58" t="str">
        <v>Điều 4. Nghĩa vụ và quyền hạn của người sử dụng lao động:</v>
      </c>
    </row>
    <row r="59">
      <c r="A59" t="str">
        <v>1 - Nghĩa vụ:</v>
      </c>
    </row>
    <row r="60">
      <c r="A60" t="str">
        <v>- Bảo đảm việc làm và thực hiện đầy đủ những điều đã cam kết trong Hợp đồng thử việc này;</v>
      </c>
    </row>
    <row r="61">
      <c r="A61" t="str">
        <v xml:space="preserve">- Thanh toán đầy đủ, đúng thời hạn các chế độ và quyền lợi cho người lao động theo Hợp đồng thử việc, Phụ lục hợp </v>
      </c>
    </row>
    <row r="62">
      <c r="A62" t="str">
        <v>đồng;</v>
      </c>
    </row>
    <row r="63">
      <c r="A63" t="str">
        <v xml:space="preserve">- Người lao động ngừng việc, Người sử dụng lao động sẽ thanh toán tiền lương, thanh lý Hợp đồng thử việc cùng kỳ </v>
      </c>
    </row>
    <row r="64">
      <c r="A64" t="str">
        <v>trả lương kế tiếp của Công ty.</v>
      </c>
    </row>
    <row r="65">
      <c r="A65" t="str">
        <v>2 - Quyền hạn:</v>
      </c>
    </row>
    <row r="66">
      <c r="A66" t="str">
        <v>- Điều hành Người lao động hoàn thành công việc theo Hợp đồng thử việc (bố trí, điều chuyển, tạm ngừng việc);</v>
      </c>
    </row>
    <row r="67">
      <c r="A67" t="str">
        <v xml:space="preserve">- Tạm hoãn, chấm dứt Hợp đồng thử việc, kỷ luật Người lao động theo quy định của pháp luật và Nội quy lao động </v>
      </c>
    </row>
    <row r="68">
      <c r="A68" t="str">
        <v>của Công ty.</v>
      </c>
    </row>
    <row r="69">
      <c r="A69" t="str">
        <v>Điều 5. Điều khoản thi hành:</v>
      </c>
    </row>
    <row r="70">
      <c r="A70" t="str">
        <v>- Những vấn đề về lao động không ghi trong Hợp đồng thử việc này thì áp dụng quy định của pháp luật lao động;</v>
      </c>
    </row>
    <row r="71">
      <c r="A71" t="str">
        <v>- Hợp đồng này được làm thành 02 bản có giá trị như nhau, mỗi bên giữ 01 bản và có hiệu lực kể từ ngày ký.</v>
      </c>
    </row>
    <row r="73">
      <c r="A73" t="str">
        <v>NGƯỜI LAO ĐỘNG</v>
      </c>
      <c r="F73" t="str">
        <v>NGƯỜI SỬ DỤNG LAO ĐỘNG</v>
      </c>
    </row>
    <row r="78" xml:space="preserve">
      <c r="A78" t="str">
        <f t="array" ref="A78">UPPER(INDEX('Mã NV'!D:D,MATCH(K4,'Mã NV'!B:B,0)))</f>
        <v>LÊ VĂN VŨ</v>
      </c>
      <c r="F78" t="str" xml:space="preserve">
        <f xml:space="preserve">IF(K2=1,"NGUYỄN TRỌNG KHÁNH",
IF(K2=2,"NGUYỄN NGỌC DUNG",
IF(K2=4,"LÊ THỊ MAI HƯƠNG",
"NGUYỄN ĐÌNH SƠN")))
</f>
        <v>NGUYỄN TRỌNG KHÁNH</v>
      </c>
    </row>
  </sheetData>
  <mergeCells count="34">
    <mergeCell ref="A2:E2"/>
    <mergeCell ref="F2:H2"/>
    <mergeCell ref="A3:E3"/>
    <mergeCell ref="F3:H3"/>
    <mergeCell ref="G4:H4"/>
    <mergeCell ref="G6:H6"/>
    <mergeCell ref="A8:H8"/>
    <mergeCell ref="G17:H17"/>
    <mergeCell ref="G18:H18"/>
    <mergeCell ref="C18:D18"/>
    <mergeCell ref="A21:D21"/>
    <mergeCell ref="A9:H9"/>
    <mergeCell ref="G10:H10"/>
    <mergeCell ref="C11:D11"/>
    <mergeCell ref="C12:F12"/>
    <mergeCell ref="G12:H12"/>
    <mergeCell ref="A15:E15"/>
    <mergeCell ref="C19:H19"/>
    <mergeCell ref="A23:H23"/>
    <mergeCell ref="A24:E24"/>
    <mergeCell ref="A29:E29"/>
    <mergeCell ref="A30:C30"/>
    <mergeCell ref="A31:E31"/>
    <mergeCell ref="A32:H32"/>
    <mergeCell ref="A33:F33"/>
    <mergeCell ref="F78:H78"/>
    <mergeCell ref="F82:H82"/>
    <mergeCell ref="A36:D36"/>
    <mergeCell ref="A47:F47"/>
    <mergeCell ref="A73:D73"/>
    <mergeCell ref="F73:H73"/>
    <mergeCell ref="A74:D74"/>
    <mergeCell ref="F74:H74"/>
    <mergeCell ref="A78:D78"/>
  </mergeCells>
  <pageMargins left="0.984251968503937" right="0.5905511811023622" top="0.7874015748031495" bottom="0.7874015748031495" header="0" footer="0"/>
  <ignoredErrors>
    <ignoredError numberStoredAsText="1" sqref="A1:M1010"/>
  </ignoredErrors>
</worksheet>
</file>

<file path=xl/worksheets/sheet2.xml><?xml version="1.0" encoding="utf-8"?>
<worksheet xmlns="http://schemas.openxmlformats.org/spreadsheetml/2006/main" xmlns:r="http://schemas.openxmlformats.org/officeDocument/2006/relationships">
  <dimension ref="A1:M91"/>
  <sheetViews>
    <sheetView workbookViewId="0"/>
  </sheetViews>
  <sheetData>
    <row r="1">
      <c r="A1" t="str">
        <v xml:space="preserve"> </v>
      </c>
    </row>
    <row r="2" xml:space="preserve">
      <c r="A2" t="str" xml:space="preserve">
        <f xml:space="preserve">IF(K2=1,"CÔNG TY TNHH X.E VIỆT NAM",
IF(K2=2,"CÔNG TY TNHH DU LỊCH X.E VIỆT NAM",
IF(K2=4,"CÔNG TY TNHH DU LỊCH VISUN",
"CÔNG TY CỔ PHẦN THƯƠNG MẠI VÀ DỊCH VỤ X.E")))</f>
        <v>CÔNG TY TNHH X.E VIỆT NAM</v>
      </c>
      <c r="E2" t="str" xml:space="preserve">
        <v xml:space="preserve">CỘNG HOÀ XÃ HỘI CHỦ NGHĨA VIỆT NAM
Độc lập - Tự do - Hạnh phúc</v>
      </c>
      <c r="J2" t="str">
        <v>Đơn vị</v>
      </c>
      <c r="K2">
        <v>1</v>
      </c>
      <c r="L2" t="str">
        <v>X.E Việt Nam</v>
      </c>
      <c r="M2">
        <v>1</v>
      </c>
    </row>
    <row r="3" xml:space="preserve">
      <c r="A3" t="str" xml:space="preserve">
        <f xml:space="preserve">"Số: "&amp;K5&amp;".1/"&amp;YEAR(K6)&amp;"/HĐLĐ"&amp;IF(K2=1,"-X.E",
IF(K2=2,"-DLX.E",
IF(K2=4,"-DLVISUN",
"-TM&amp;DVX.E")))</f>
        <v>Số: 18.1/2026/HĐLĐ-X.E</v>
      </c>
      <c r="L3" t="str">
        <v>Du lịch X.E</v>
      </c>
      <c r="M3">
        <v>2</v>
      </c>
    </row>
    <row r="4">
      <c r="E4" t="str">
        <v>----------o0o---------</v>
      </c>
      <c r="L4" t="str">
        <v>Xưởng dịch vụ</v>
      </c>
      <c r="M4">
        <v>3</v>
      </c>
    </row>
    <row r="5">
      <c r="J5" t="str">
        <v>Mã NV</v>
      </c>
      <c r="K5">
        <v>18</v>
      </c>
      <c r="L5" t="str">
        <v>VISUN</v>
      </c>
      <c r="M5">
        <v>4</v>
      </c>
    </row>
    <row r="6">
      <c r="G6" t="str">
        <f>"Hà Nội, ngày "&amp;DAY(K6)&amp;" tháng "&amp;month(K6)&amp;" năm "&amp;year(K6)</f>
        <v>Hà Nội, ngày 14 tháng 6 năm 2026</v>
      </c>
      <c r="J6" t="str">
        <v>Ngày bắt đầu</v>
      </c>
      <c r="K6">
        <v>46187</v>
      </c>
    </row>
    <row r="7">
      <c r="J7" t="str">
        <v>Ngày hết hạn</v>
      </c>
      <c r="K7">
        <v>46552</v>
      </c>
    </row>
    <row r="8">
      <c r="A8" t="str">
        <v>HỢP ĐỒNG LAO ĐỘNG</v>
      </c>
      <c r="M8" t="str">
        <v>XE00860</v>
      </c>
    </row>
    <row r="10" xml:space="preserve">
      <c r="A10" t="str">
        <v>Chúng tôi, một bên là</v>
      </c>
      <c r="B10" t="str">
        <v>:</v>
      </c>
      <c r="C10" t="str" xml:space="preserve">
        <f xml:space="preserve">IF(K2=1,"Ông Nguyễn Trọng Khánh",
IF(K2=2,"Bà Nguyễn Ngọc Dung",
IF(K2=4,"Bà Lê Thị Mai Hương",
"Ông Nguyễn Đình Sơn")))</f>
        <v>Ông Nguyễn Trọng Khánh</v>
      </c>
      <c r="G10" t="str">
        <v>Quốc tịch: Việt Nam</v>
      </c>
    </row>
    <row r="11">
      <c r="A11" t="str">
        <v>Chức vụ</v>
      </c>
      <c r="B11" t="str">
        <v>:</v>
      </c>
      <c r="C11" t="str">
        <v>Giám Đốc</v>
      </c>
    </row>
    <row r="12" xml:space="preserve">
      <c r="A12" t="str">
        <v>Đại diện cho</v>
      </c>
      <c r="B12" t="str">
        <v>:</v>
      </c>
      <c r="C12" t="str" xml:space="preserve">
        <f xml:space="preserve">IF(K2=1,"CÔNG TY TNHH X.E VIỆT NAM",
IF(K2=2,"CÔNG TY TNHH DU LỊCH X.E VIỆT NAM",
IF(K2=4,"CÔNG TY TNHH DU LỊCH VISUN",
"CÔNG TY CỔ PHẦN THƯƠNG MẠI VÀ DỊCH VỤ X.E")))</f>
        <v>CÔNG TY TNHH X.E VIỆT NAM</v>
      </c>
    </row>
    <row r="13" xml:space="preserve">
      <c r="A13" t="str">
        <v>Điện thoại</v>
      </c>
      <c r="B13" t="str">
        <v>:</v>
      </c>
      <c r="C13" t="str" xml:space="preserve">
        <f xml:space="preserve">IF(K2=1,"024.3681.5722",
IF(K2=2,"024.366.44444",
IF(K2=4,"02439757777",
"0243.6333.444")))
</f>
        <v>024.3681.5722</v>
      </c>
    </row>
    <row r="14" xml:space="preserve">
      <c r="A14" t="str">
        <v>Địa chỉ</v>
      </c>
      <c r="B14" t="str">
        <v>:</v>
      </c>
      <c r="C14" t="str" xml:space="preserve">
        <f xml:space="preserve">IF(K2=1,"Số 4 đường Văn Chỉ, thôn Tam Đa, xã Tam Hưng, thành phố Hà Nội, Việt Nam",
IF(K2=2,"Tầng 1, Toà nhà Licogi 12, Số 21 Đại Từ, P. Định Công, TP Hà Nội, Việt Nam",
IF(K2=4,"Số 10, ngõ 15, đường Ngọc Hồi, Phường Phương Liệt, Quận Hoàng Mai, Thành phố Hà Nội",
"Km12, Đường Ngọc Hồi, Bãi đá Văn Đ
")))</f>
        <v>Số 4 đường Văn Chỉ, thôn Tam Đa, xã Tam Hưng, thành phố Hà Nội, Việt Nam</v>
      </c>
    </row>
    <row r="16">
      <c r="A16" t="str">
        <v>(Dưới đây gọi là Người sử dụng lao động)</v>
      </c>
    </row>
    <row r="18">
      <c r="A18" t="str">
        <v>Và một bên là Ông/Bà:</v>
      </c>
      <c r="B18" t="str">
        <v>:</v>
      </c>
      <c r="C18" t="str">
        <f t="array" ref="C18">INDEX('Mã NV'!D:D,MATCH(K5,'Mã NV'!B:B,0))</f>
        <v>Lê Văn Vũ</v>
      </c>
      <c r="G18" t="str">
        <v>Quốc tịch: Việt Nam</v>
      </c>
    </row>
    <row r="19">
      <c r="A19" t="str">
        <v>Sinh Ngày</v>
      </c>
      <c r="B19" t="str">
        <v>:</v>
      </c>
      <c r="C19">
        <f t="array" ref="C19">INDEX('Mã NV'!I:I,MATCH(K5,'Mã NV'!B:B,0))</f>
        <v>28664</v>
      </c>
    </row>
    <row r="20">
      <c r="A20" t="str">
        <v>Địa chỉ thường trú</v>
      </c>
      <c r="B20" t="str">
        <v>:</v>
      </c>
      <c r="C20" t="str">
        <f t="array" ref="C20">INDEX('Mã NV'!S:S,MATCH(K5,'Mã NV'!B:B,0))</f>
        <v>Đông Hoàng, Đông Hưng, Thái Bình</v>
      </c>
    </row>
    <row r="21">
      <c r="A21" t="str">
        <v>CMND/Passport</v>
      </c>
      <c r="B21" t="str">
        <v>:</v>
      </c>
      <c r="C21" t="str">
        <f t="array" ref="C21">INDEX('Mã NV'!J:J,MATCH(K5,'Mã NV'!B:B,0))</f>
        <v>34078002397</v>
      </c>
      <c r="E21" t="str">
        <v>Ngày cấp:</v>
      </c>
      <c r="F21">
        <f t="array" ref="F21">INDEX('Mã NV'!K:K,MATCH(K5,'Mã NV'!B:B,0))</f>
        <v>42335</v>
      </c>
      <c r="G21" t="str">
        <f t="array" ref="G21">"Nơi cấp: "&amp;INDEX('Mã NV'!L:L,MATCH(K5,'Mã NV'!B:B,0))</f>
        <v>Nơi cấp: Cục CS QLHC về trật tự XH</v>
      </c>
    </row>
    <row r="22">
      <c r="A22" t="str">
        <v>(Dưới đây gọi là Người lao động)</v>
      </c>
    </row>
    <row r="23">
      <c r="A23" t="str">
        <v>Thỏa thuận ký kết Hợp đồng lao động và cam kết làm đúng những điều khoản sau đây:</v>
      </c>
    </row>
    <row r="24">
      <c r="A24" t="str">
        <v>Điều 1. Thời hạn và công việc hợp đồng:</v>
      </c>
    </row>
    <row r="25">
      <c r="A25" t="str">
        <v>- Loại hợp đồng: Hợp đồng lao động xác định thời hạn</v>
      </c>
    </row>
    <row r="26">
      <c r="A26" t="str">
        <f>"- Từ ngày "&amp;TEXT(K6,"dd/mm/yyyy")&amp;" đến ngày "&amp;TEXT(K7,"dd/mm/yyyy")</f>
        <v>- Từ ngày 14/06/2026 đến ngày 14/06/2027</v>
      </c>
    </row>
    <row r="27">
      <c r="A27" t="str">
        <f t="array" ref="A27">"- Địa điểm làm việc: "&amp;INDEX('Mã NV'!H:H,MATCH(K5,'Mã NV'!B:B,0))</f>
        <v xml:space="preserve">- Địa điểm làm việc: </v>
      </c>
    </row>
    <row r="28">
      <c r="A28" t="str">
        <f t="array" ref="A28">"- Chức danh chuyên môn: "&amp;INDEX('Mã NV'!E:E,MATCH(K5,'Mã NV'!B:B,0))</f>
        <v xml:space="preserve">- Chức danh chuyên môn: </v>
      </c>
      <c r="G28" t="str">
        <f t="array" ref="G28">"Chức vụ: "&amp;INDEX('Mã NV'!X:X,MATCH(K5,'Mã NV'!B:B,0))</f>
        <v xml:space="preserve">Chức vụ: </v>
      </c>
    </row>
    <row r="29">
      <c r="A29" t="str">
        <v>- Công việc phải làm: Theo mô tả công việc</v>
      </c>
    </row>
    <row r="30">
      <c r="A30" t="str">
        <v>Điều 2. Chế độ làm việc:</v>
      </c>
    </row>
    <row r="31">
      <c r="A31" t="str">
        <v>- Thời gian làm việc: 8h/ngày, 6 ngày/ tuần;</v>
      </c>
    </row>
    <row r="32">
      <c r="A32" t="str">
        <v>- Được cấp phát những dụng cụ làm việc: Theo nhu cầu công việc và theo chính sách của công ty.</v>
      </c>
    </row>
    <row r="33">
      <c r="A33" t="str">
        <v>Điều 3. Nghĩa vụ và quyền lợi của Người lao động:</v>
      </c>
    </row>
    <row r="34">
      <c r="A34" t="str">
        <v>1 - Quyền lợi:</v>
      </c>
    </row>
    <row r="35">
      <c r="A35" t="str">
        <v>- Phương tiện đi lại làm việc: Tự túc</v>
      </c>
    </row>
    <row r="36">
      <c r="A36" t="str">
        <v>- Mức lương chính hoặc tiền công:</v>
      </c>
      <c r="D36" t="str">
        <f t="array" ref="D36">INDEX('Mã NV'!Y:Y,MATCH(K5,'Mã NV'!B:B,0))</f>
        <v/>
      </c>
      <c r="E36" t="str">
        <v>đồng/tháng</v>
      </c>
    </row>
    <row r="37">
      <c r="A37" t="str">
        <v>- Hình thức trả lương: Theo tháng, thanh toán bằng TM/CK;</v>
      </c>
    </row>
    <row r="38">
      <c r="A38" t="str">
        <v>- Phụ cấp gồm: Được trả theo chính sách về tiền lương của Công ty;</v>
      </c>
    </row>
    <row r="39">
      <c r="A39" t="str">
        <v>- Kỳ hạn trả lương: Được trả lương vào ngày 10 và 25 của tháng kế tiếp hàng tháng;</v>
      </c>
    </row>
    <row r="40">
      <c r="A40" t="str">
        <v>- Tiền thưởng: Được thưởng hàng năm theo chính sách về tiền lương của Công ty;</v>
      </c>
    </row>
    <row r="41">
      <c r="A41" t="str">
        <v>- Thưởng hiệu suất: Theo quy định của Công ty;</v>
      </c>
    </row>
    <row r="42">
      <c r="A42" t="str">
        <v>- Chế độ nâng lương: Được thực hiện theo chính sách nâng lương của công ty;</v>
      </c>
    </row>
    <row r="43">
      <c r="A43" t="str">
        <v>- Được trang bị bảo hộ lao động: Theo quy định về bảo hộ lao động hiện hành;</v>
      </c>
    </row>
    <row r="44">
      <c r="A44" t="str">
        <v>- Chế độ nghỉ ngơi (nghỉ hàng tuần, phép năm, lễ tết,…): Theo quy định của công ty;</v>
      </c>
    </row>
    <row r="45">
      <c r="A45" t="str">
        <v xml:space="preserve">- Bảo hiểm Xã hội, Bảo hiểm Y tế, Bảo hiểm thất nghiệp: Được thực hiện theo quy định của Luật Bảo hiểm Xã hội và </v>
      </c>
    </row>
    <row r="46">
      <c r="A46" t="str">
        <v>quy định về Bảo hiểm y tế hiện hành;</v>
      </c>
    </row>
    <row r="47">
      <c r="A47" t="str">
        <v>- Chế độ đào tạo: Theo chính sách về đào tạo của Công ty;</v>
      </c>
    </row>
    <row r="48">
      <c r="A48" t="str">
        <v>- Những thoả thuận khác: Người lao động có trách nhiệm giữ bí mật tất cả những thông tin liên quan đến việc sản xuất</v>
      </c>
    </row>
    <row r="49">
      <c r="A49" t="str">
        <v>kinh doanh, tổ chức và các thông tin bảo mật khác của Công ty mà Anh/Chị biết được trong quá trình làm việc. Anh/chị</v>
      </c>
    </row>
    <row r="50">
      <c r="A50" t="str">
        <v>không tiết lộ thông tin đó với bất kỳ ai nếu không có sự chấp thuận của Ban lãnh đạo Công ty. Trách nhiệm giữ bí mật</v>
      </c>
    </row>
    <row r="51">
      <c r="A51" t="str">
        <v xml:space="preserve">thông tin này vẫn sẽ tiếp tục kể cả sau khi Anh/Chị nghỉ việc. Tuy nhiên, việc bảo mật thông tin sẽ không áp dụng đối </v>
      </c>
    </row>
    <row r="52">
      <c r="A52" t="str">
        <v>với các thông tin mà Công ty đã phổ biến rộng rãi.</v>
      </c>
    </row>
    <row r="53">
      <c r="A53" t="str">
        <v>2 - Nghĩa vụ:</v>
      </c>
    </row>
    <row r="54">
      <c r="A54" t="str">
        <v>- Hoàn thành những công việc đã cam kết trong Hợp đồng lao động, trong bản mô tả công việc;</v>
      </c>
    </row>
    <row r="55">
      <c r="A55" t="str">
        <v xml:space="preserve">- Chấp hành việc thuyên chuyển, điều động công tác, lệnh điều hành sản xuất - kinh doanh do Người sử dụng lao động </v>
      </c>
    </row>
    <row r="56">
      <c r="A56" t="str">
        <v xml:space="preserve">quyết định, tuân thủ nội dung kỷ luật lao động, an toàn lao động, an ninh trật tự, phòng cháy chữa cháy, thủ tục tiêu </v>
      </c>
    </row>
    <row r="57">
      <c r="A57" t="str">
        <v>chuẩn quy định, chuẩn mực văn hoá (quy tắc đạo đức và hành vi ứng xử) và các quy định khác của Công ty tại từng</v>
      </c>
    </row>
    <row r="58">
      <c r="A58" t="str">
        <v>thời điểm;</v>
      </c>
    </row>
    <row r="59">
      <c r="A59" t="str">
        <v>- Bồi thường vi phạm và vật chất: Theo quy định của các hợp đồng riêng biệt và theo luật Lao động hiện hành;</v>
      </c>
    </row>
    <row r="60">
      <c r="A60" t="str">
        <v>- Người lao động phải bồi thường thiệt hại vật chất đối với những công cụ lao động hoặc tài sản được giao cho cá nhân</v>
      </c>
    </row>
    <row r="61">
      <c r="A61" t="str">
        <v xml:space="preserve"> sử dụng mà để xảy ra mất mát, hư hỏng do lỗi chủ quan;</v>
      </c>
    </row>
    <row r="62">
      <c r="A62" t="str">
        <v>- Người lao động phải bồi thường thiệt hại vật chất cho Công ty do hành vi vi phạm kỷ luật lao động của mình gây ra;</v>
      </c>
    </row>
    <row r="63">
      <c r="A63" t="str">
        <v xml:space="preserve">- Thông báo kịp thời cho Phòng Nhân sự của Công ty những thay đổi cá nhân như căn cước công dân hoặc những thay </v>
      </c>
    </row>
    <row r="64">
      <c r="A64" t="str">
        <v xml:space="preserve">đổi thông tin trên các loại giấy tờ cá nhân, địa chỉ thường trú, tạm trú, địa chỉ liên lạc, giấy khám sức khoẻ và các thông </v>
      </c>
    </row>
    <row r="65">
      <c r="A65" t="str">
        <v>tin liên quan khác của Người lao động;</v>
      </c>
    </row>
    <row r="66">
      <c r="A66" t="str">
        <v xml:space="preserve">- Thực hiện nghĩa vụ báo trước theo quy định của pháp luật nếu đơn phương chấm dứt Hợp đồng lao động và thực hiện </v>
      </c>
    </row>
    <row r="67">
      <c r="A67" t="str">
        <v>bàn giao theo đúng quy trình, quy định của Công ty;</v>
      </c>
    </row>
    <row r="68">
      <c r="A68" t="str">
        <v>- Bồi thường chi phí đào tạo (nếu có) nếu đơn phương chấm dứt Hợp đồng lao động.</v>
      </c>
    </row>
    <row r="69">
      <c r="A69" t="str">
        <v>Điều 4. Nghĩa vụ và quyền hạn của Người sử dụng lao động:</v>
      </c>
    </row>
    <row r="70">
      <c r="A70" t="str">
        <v>1 - Nghĩa vụ:</v>
      </c>
    </row>
    <row r="71">
      <c r="A71" t="str">
        <v>- Bảo đảm việc làm và thực hiện đầy đủ những điều đã cam kết trong Hợp đồng lao động này;</v>
      </c>
    </row>
    <row r="72">
      <c r="A72" t="str">
        <v>- Tạo điều kiện cho Người lao động phát huy năng lực làm việc;</v>
      </c>
    </row>
    <row r="73">
      <c r="A73" t="str">
        <v xml:space="preserve">- Thanh toán đầy đủ, đúng thời hạn các chế độ và quyền lợi cho Người lao động theo Hợp đồng lao động, Phụ lục hợp </v>
      </c>
    </row>
    <row r="74">
      <c r="A74" t="str">
        <v>đồng, Thoả ước lao động tập thể (nếu có);</v>
      </c>
    </row>
    <row r="75">
      <c r="A75" t="str">
        <v>- Thực hiện nghĩa vụ báo trước theo quy định của pháp luật nếu đơn phương chấm dứt hợp đồng lao động;</v>
      </c>
    </row>
    <row r="76">
      <c r="A76" t="str">
        <v xml:space="preserve">- Người lao động ngừng việc, Người sử dụng lao động sẽ thanh toán tiền lương, thanh lý Hợp đồng lao động cùng kỳ </v>
      </c>
    </row>
    <row r="77">
      <c r="A77" t="str">
        <v>trả lương kế tiếp của Công ty.</v>
      </c>
    </row>
    <row r="78">
      <c r="A78" t="str">
        <v>2 - Quyền hạn:</v>
      </c>
    </row>
    <row r="79">
      <c r="A79" t="str">
        <v>- Điều hành Người lao động hoàn thành công việc theo Hợp đồng lao động (bố trí, điều chuyển, tạm ngừng việc);</v>
      </c>
    </row>
    <row r="80">
      <c r="A80" t="str">
        <v>- Tạm hoãn, chấm dứt Hợp đồng lao động, kỷ luật Người lao động theo quy định của pháp luật, Thoả ước lao động tập</v>
      </c>
    </row>
    <row r="81">
      <c r="A81" t="str">
        <v>thể (nếu có) và Nội quy lao động của Công ty.</v>
      </c>
    </row>
    <row r="82">
      <c r="A82" t="str">
        <v>Điều 5. Điều khoản thi hành:</v>
      </c>
    </row>
    <row r="83">
      <c r="A83" t="str">
        <v>- Những vấn đề về lao động không ghi trong Hợp đồng lao động này thì áp dụng quy định của pháp luật lao động;</v>
      </c>
    </row>
    <row r="84">
      <c r="A84" t="str">
        <v>- Hợp đồng này được làm thành 02 bản có giá trị như nhau, mỗi bên giữ 01 bản và có hiệu lực kể từ ngày ký.</v>
      </c>
    </row>
    <row r="86">
      <c r="B86" t="str">
        <v>NGƯỜI LAO ĐỘNG</v>
      </c>
      <c r="G86" t="str">
        <v>NGƯỜI SỬ DỤNG LAO ĐỘNG</v>
      </c>
    </row>
    <row r="91" xml:space="preserve">
      <c r="A91" t="str">
        <f t="array" ref="A91">UPPER(INDEX('Mã NV'!D:D,MATCH(K5,'Mã NV'!B:B,0)))</f>
        <v>LÊ VĂN VŨ</v>
      </c>
      <c r="G91" t="str" xml:space="preserve">
        <f xml:space="preserve">IF(K2=1,"NGUYỄN TRỌNG KHÁNH",
IF(K2=2,"NGUYỄN NGỌC DUNG",
IF(K2=4,"LÊ THỊ MAI HƯƠNG",
"NGUYỄN ĐÌNH SƠN")))
</f>
        <v>NGUYỄN TRỌNG KHÁNH</v>
      </c>
    </row>
  </sheetData>
  <mergeCells count="17">
    <mergeCell ref="A14:A15"/>
    <mergeCell ref="A16:D16"/>
    <mergeCell ref="A87:D87"/>
    <mergeCell ref="F87:H87"/>
    <mergeCell ref="A91:C91"/>
    <mergeCell ref="G18:H18"/>
    <mergeCell ref="C19:D19"/>
    <mergeCell ref="C20:H20"/>
    <mergeCell ref="A23:H23"/>
    <mergeCell ref="G28:H28"/>
    <mergeCell ref="A2:D2"/>
    <mergeCell ref="E2:H3"/>
    <mergeCell ref="A3:C3"/>
    <mergeCell ref="E4:H4"/>
    <mergeCell ref="A8:H8"/>
    <mergeCell ref="G10:H10"/>
    <mergeCell ref="C14:H15"/>
  </mergeCells>
  <pageMargins left="0.984251968503937" right="0.5905511811023622" top="0.75" bottom="0.75" header="0" footer="0"/>
  <ignoredErrors>
    <ignoredError numberStoredAsText="1" sqref="A1:M91"/>
  </ignoredErrors>
</worksheet>
</file>

<file path=xl/worksheets/sheet3.xml><?xml version="1.0" encoding="utf-8"?>
<worksheet xmlns="http://schemas.openxmlformats.org/spreadsheetml/2006/main" xmlns:r="http://schemas.openxmlformats.org/officeDocument/2006/relationships">
  <dimension ref="A1:Q999"/>
  <sheetViews>
    <sheetView workbookViewId="0"/>
  </sheetViews>
  <sheetData>
    <row r="1">
      <c r="A1" t="str">
        <v xml:space="preserve">   </v>
      </c>
    </row>
    <row r="2" xml:space="preserve">
      <c r="A2" t="str" xml:space="preserve">
        <f xml:space="preserve">IF(K2=1,"CÔNG TY TNHH X.E VIỆT NAM",
IF(K2=2,"CÔNG TY TNHH DU LỊCH X.E VIỆT NAM",
IF(K2=4,"CÔNG TY TNHH DU LỊCH VISUN",
"CÔNG TY CỔ PHẦN THƯƠNG MẠI VÀ DỊCH VỤ X.E")))</f>
        <v>CÔNG TY TNHH DU LỊCH VISUN</v>
      </c>
      <c r="F2" t="str">
        <v>CỘNG HOÀ XÃ HỘI CHỦ NGHĨA VIỆT NAM</v>
      </c>
      <c r="J2" t="str">
        <v>Đơn vị</v>
      </c>
      <c r="K2">
        <v>4</v>
      </c>
      <c r="L2" t="str">
        <v>X.E Việt Nam</v>
      </c>
      <c r="M2">
        <v>1</v>
      </c>
    </row>
    <row r="3" xml:space="preserve">
      <c r="A3" t="str" xml:space="preserve">
        <f xml:space="preserve">"Số: "&amp;K4&amp;".2/"&amp;YEAR(K5)&amp;"/HĐLĐ"&amp;IF(K2=1,"-X.E",
IF(K2=2,"-DLX.E",
IF(K2=4,"-DLVISUN",
"-TM&amp;DVX.E")))</f>
        <v>Số: 18.2/2026/HĐLĐ-DLVISUN</v>
      </c>
      <c r="F3" t="str">
        <v>Độc lập - Tự do - Hạnh phúc</v>
      </c>
      <c r="L3" t="str">
        <v>Du lịch X.E</v>
      </c>
      <c r="M3">
        <v>2</v>
      </c>
    </row>
    <row r="4">
      <c r="F4" t="str">
        <v>----------o0o---------</v>
      </c>
      <c r="J4" t="str">
        <v>Mã NV</v>
      </c>
      <c r="K4">
        <v>18</v>
      </c>
      <c r="L4" t="str">
        <v>Xưởng dịch vụ</v>
      </c>
      <c r="M4">
        <v>3</v>
      </c>
    </row>
    <row r="5">
      <c r="J5" t="str">
        <v>Ngày bắt đầu</v>
      </c>
      <c r="K5">
        <v>46235</v>
      </c>
      <c r="L5" t="str">
        <v>VISUN</v>
      </c>
      <c r="M5">
        <v>4</v>
      </c>
    </row>
    <row r="6">
      <c r="F6" t="str">
        <f>"Hà Nội, ngày "&amp;DAY(K5)&amp;" tháng "&amp;month(K5)&amp;" năm "&amp;year(K5)</f>
        <v>Hà Nội, ngày 1 tháng 8 năm 2026</v>
      </c>
      <c r="J6" t="str">
        <v>Ngày hết hạn</v>
      </c>
      <c r="K6">
        <v>46966</v>
      </c>
    </row>
    <row r="8">
      <c r="A8" t="str">
        <v>HỢP ĐỒNG LAO ĐỘNG</v>
      </c>
      <c r="M8" t="str">
        <v>XE00860</v>
      </c>
    </row>
    <row r="9">
      <c r="Q9" t="str">
        <v>XE00136</v>
      </c>
    </row>
    <row r="10" xml:space="preserve">
      <c r="A10" t="str">
        <f>"Chúng tôi, một bên là "</f>
        <v xml:space="preserve">Chúng tôi, một bên là </v>
      </c>
      <c r="B10" t="str">
        <v>:</v>
      </c>
      <c r="C10" t="str" xml:space="preserve">
        <f xml:space="preserve">IF(K2=1,"Ông Nguyễn Trọng Khánh",
IF(K2=2,"Bà Nguyễn Ngọc Dung",
IF(K2=4,"Bà Lê Thị Mai Hương",
"Ông Nguyễn Đình Sơn")))</f>
        <v>Bà Lê Thị Mai Hương</v>
      </c>
      <c r="G10" t="str">
        <v>Quốc tịch: Việt Nam</v>
      </c>
    </row>
    <row r="11">
      <c r="A11" t="str">
        <v>Chức vụ</v>
      </c>
      <c r="B11" t="str">
        <v>:</v>
      </c>
      <c r="C11" t="str">
        <v>Giám Đốc</v>
      </c>
    </row>
    <row r="12" xml:space="preserve">
      <c r="A12" t="str">
        <v>Đại diện cho</v>
      </c>
      <c r="B12" t="str">
        <v>:</v>
      </c>
      <c r="C12" t="str" xml:space="preserve">
        <f xml:space="preserve">IF(K2=1,"CÔNG TY TNHH X.E VIỆT NAM",
IF(K2=2,"CÔNG TY TNHH DU LỊCH X.E VIỆT NAM",
IF(K2=4,"CÔNG TY TNHH DU LỊCH VISUN",
"CÔNG TY CỔ PHẦN THƯƠNG MẠI VÀ DỊCH VỤ X.E")))</f>
        <v>CÔNG TY TNHH DU LỊCH VISUN</v>
      </c>
    </row>
    <row r="13" xml:space="preserve">
      <c r="A13" t="str">
        <v>Điện thoại</v>
      </c>
      <c r="B13" t="str">
        <v>:</v>
      </c>
      <c r="C13" t="str" xml:space="preserve">
        <f xml:space="preserve">IF(K2=1,"024.3681.5722",
IF(K2=2,"024.366.44444",
IF(K2=4,"02439757777",
"0243.6333.444")))
</f>
        <v>02439757777</v>
      </c>
    </row>
    <row r="14" xml:space="preserve">
      <c r="A14" t="str">
        <v>Địa chỉ</v>
      </c>
      <c r="B14" t="str">
        <v>:</v>
      </c>
      <c r="C14" t="str" xml:space="preserve">
        <f xml:space="preserve">IF(K2=1,"Số 4 đường Văn Chỉ, thôn Tam Đa, xã Tam Hưng, thành phố Hà Nội, Việt Nam",
IF(K2=2,"Tầng 1, Toà nhà Licogi 12, Số 21 Đại Từ, P. Định Công, TP Hà Nội, Việt Nam",
IF(K2=4,"Số 10, ngõ 15, đường Ngọc Hồi, Phường Phương Liệt, Quận Hoàng Mai, Thành phố Hà Nội",
"Km12, Đường Ngọc Hồi, Bãi đá Văn Điển, Xã Thanh Trì, Thành phố Hà Nội, Việt Nam")))</f>
        <v>Số 10, ngõ 15, đường Ngọc Hồi, Phường Phương Liệt, Quận Hoàng Mai, Thành phố Hà Nội</v>
      </c>
    </row>
    <row r="16">
      <c r="A16" t="str">
        <v>(Dưới đây gọi là Người sử dụng lao động)</v>
      </c>
    </row>
    <row r="18">
      <c r="A18" t="str">
        <v>Và một bên là Ông/Bà:</v>
      </c>
      <c r="C18" t="str">
        <f t="array" ref="C18">INDEX('Mã NV'!D:D,MATCH(K4,'Mã NV'!B:B,0))</f>
        <v>Lê Văn Vũ</v>
      </c>
      <c r="G18" t="str">
        <v>Quốc tịch: Việt Nam</v>
      </c>
    </row>
    <row r="19">
      <c r="A19" t="str">
        <v>Sinh Ngày</v>
      </c>
      <c r="B19" t="str">
        <v>:</v>
      </c>
      <c r="C19">
        <f t="array" ref="C19">INDEX('Mã NV'!I:I,MATCH(K4,'Mã NV'!B:B,0))</f>
        <v>28664</v>
      </c>
    </row>
    <row r="20">
      <c r="A20" t="str">
        <v>Địa chỉ thường trú</v>
      </c>
      <c r="B20" t="str">
        <v>:</v>
      </c>
      <c r="C20" t="str">
        <f t="array" ref="C20">INDEX('Mã NV'!S:S,MATCH(K4,'Mã NV'!B:B,0))</f>
        <v>Đông Hoàng, Đông Hưng, Thái Bình</v>
      </c>
    </row>
    <row r="21">
      <c r="A21" t="str">
        <v>CCCD/Passport</v>
      </c>
      <c r="B21" t="str">
        <v>:</v>
      </c>
      <c r="C21" t="str">
        <f t="array" ref="C21">INDEX('Mã NV'!J:J,MATCH(K4,'Mã NV'!B:B,0))</f>
        <v>34078002397</v>
      </c>
      <c r="E21" t="str">
        <v>Ngày cấp:</v>
      </c>
      <c r="F21">
        <f t="array" ref="F21">INDEX('Mã NV'!K:K,MATCH(K4,'Mã NV'!B:B,0))</f>
        <v>42335</v>
      </c>
      <c r="G21" t="str">
        <f t="array" ref="G21">"Nơi cấp: "&amp;INDEX('Mã NV'!L:L,MATCH(K4,'Mã NV'!B:B,0))</f>
        <v>Nơi cấp: Cục CS QLHC về trật tự XH</v>
      </c>
    </row>
    <row r="22">
      <c r="A22" t="str">
        <v>(Dưới đây gọi là Người lao động)</v>
      </c>
    </row>
    <row r="23">
      <c r="A23" t="str">
        <v>Thỏa thuận ký kết Hợp đồng lao động và cam kết làm đúng những điều khoản sau đây:</v>
      </c>
    </row>
    <row r="24">
      <c r="A24" t="str">
        <v>Điều 1. Thời hạn và công việc hợp đồng:</v>
      </c>
    </row>
    <row r="25">
      <c r="A25" t="str">
        <v>- Loại hợp đồng: Hợp đồng lao động xác định thời hạn</v>
      </c>
    </row>
    <row r="26">
      <c r="A26" t="str">
        <f>"- Từ ngày "&amp;TEXT($K$5,"dd") &amp;" tháng "&amp;TEXT($K$5,"mm") &amp; " năm "  &amp;TEXT($K$5,"yyyy") &amp;" đến ngày "&amp;TEXT($K$6,"dd") &amp;" tháng "&amp;TEXT($K$6,"mm") &amp; " năm "  &amp;TEXT($K$6,"yyyy")</f>
        <v>- Từ ngày 01 tháng 08 năm 2026 đến ngày 01 tháng 08 năm 2028</v>
      </c>
    </row>
    <row r="27">
      <c r="A27" t="str">
        <f t="array" ref="A27">"- Địa điểm làm việc: "&amp;INDEX('Mã NV'!H:H,MATCH(K4,'Mã NV'!B:B,0))</f>
        <v xml:space="preserve">- Địa điểm làm việc: </v>
      </c>
    </row>
    <row r="28">
      <c r="A28" t="str">
        <f t="array" ref="A28">"- Chức danh chuyên môn: "&amp;INDEX('Mã NV'!E:E,MATCH(K4,'Mã NV'!B:B,0))</f>
        <v xml:space="preserve">- Chức danh chuyên môn: </v>
      </c>
      <c r="G28" t="str">
        <f t="array" ref="G28">"Chức vụ: "&amp;INDEX('Mã NV'!X:X,MATCH(K4,'Mã NV'!B:B,0))</f>
        <v xml:space="preserve">Chức vụ: </v>
      </c>
    </row>
    <row r="29">
      <c r="A29" t="str">
        <v>- Công việc phải làm: Theo mô tả công việc</v>
      </c>
    </row>
    <row r="30">
      <c r="A30" t="str">
        <v>Điều 2. Chế độ làm việc:</v>
      </c>
    </row>
    <row r="31">
      <c r="A31" t="str">
        <v>- Thời gian làm việc: 8h/ngày, 6 ngày/ tuần</v>
      </c>
    </row>
    <row r="32">
      <c r="A32" t="str">
        <v>- Được cấp phát những dụng cụ làm việc: Theo nhu cầu công việc và theo chính sách của công ty</v>
      </c>
    </row>
    <row r="33">
      <c r="A33" t="str">
        <v>Điều 3. Nghĩa vụ và quyền lợi của Người lao động:</v>
      </c>
    </row>
    <row r="34">
      <c r="A34" t="str">
        <v>1 - Quyền lợi:</v>
      </c>
    </row>
    <row r="35">
      <c r="A35" t="str">
        <v>- Phương tiện đi lại làm việc: Tự túc</v>
      </c>
    </row>
    <row r="36">
      <c r="A36" t="str">
        <v>- Mức lương chính hoặc tiền công:</v>
      </c>
      <c r="E36" t="str">
        <f t="array" ref="E36">XLOOKUP($K$4,'Mã NV'!B:B,'Mã NV'!Y:Y)</f>
        <v/>
      </c>
      <c r="F36" t="str">
        <v>đồng/tháng</v>
      </c>
    </row>
    <row r="37">
      <c r="A37" t="str">
        <v>- Hình thức trả lương: Theo tháng, thanh toán bằng TM/CK</v>
      </c>
    </row>
    <row r="38">
      <c r="A38" t="str">
        <v>- Phụ cấp gồm: Được trả theo chính sách về tiền lương của Công ty</v>
      </c>
    </row>
    <row r="39">
      <c r="A39" t="str">
        <v>- Kỳ hạn trả lương: Được trả lương vào ngày 10 và 25 của tháng kế tiếp hàng tháng</v>
      </c>
    </row>
    <row r="40">
      <c r="A40" t="str">
        <v>- Tiền thưởng: Được thưởng hàng năm theo chính sách về tiền lương của Công ty</v>
      </c>
    </row>
    <row r="41">
      <c r="A41" t="str">
        <v>- Chế độ nâng lương: Được thực hiện theo chính sách nâng lương của công ty</v>
      </c>
    </row>
    <row r="42">
      <c r="A42" t="str">
        <v>- Được trang bị bảo hộ lao động: Theo quy định về bảo hộ lao động hiện hành</v>
      </c>
    </row>
    <row r="43">
      <c r="A43" t="str">
        <v>- Chế độ nghỉ ngơi (nghỉ hàng tuần, phép năm, lễ tết,…): Theo quy định của công ty</v>
      </c>
    </row>
    <row r="44">
      <c r="A44" t="str">
        <v xml:space="preserve">- Bảo hiểm Xã hội, Bảo hiểm Y tế, Bảo hiểm thất nghiệp: Được thực hiện theo quy định của Luật Bảo hiểm Xã hội và </v>
      </c>
    </row>
    <row r="45">
      <c r="A45" t="str">
        <v>quy định về Bảo hiểm y tế hiện hành</v>
      </c>
    </row>
    <row r="46">
      <c r="A46" t="str">
        <v>- Chế độ đào tạo: Theo chính sách về đào tạo của Công ty</v>
      </c>
    </row>
    <row r="47" xml:space="preserve">
      <c r="A47" t="str" xml:space="preserve">
        <v xml:space="preserve">- Những thoả thuận khác: Người lao động có trách nhiệm giữ bí mật tất cả những thông tin liên quan đến việc sản xuất
</v>
      </c>
    </row>
    <row r="48">
      <c r="A48" t="str">
        <v xml:space="preserve">kinh doanh, tổ chức và các thông tin bảo mật khác của Công ty mà Anh/Chị biết được trong quá trình làm việc. </v>
      </c>
    </row>
    <row r="49">
      <c r="A49" t="str">
        <v>Anh/Chị không được tiết lộ thông tin đó với bất kỳ ai trong hay ngoài Công ty nếu không có sự chấp thuận trước của</v>
      </c>
    </row>
    <row r="50">
      <c r="A50" t="str">
        <v>Giám đốc Công ty. Trách nhiệm giữ bí mật thông tin này vẫn sẽ tiếp tục kể cả sau khi Anh/Chị nghỉ việc. Tuy nhiên, sẽ</v>
      </c>
    </row>
    <row r="51">
      <c r="A51" t="str">
        <v>không áp dụng đối với các thông tin mà Công ty đã phổ biến rộng rãi.</v>
      </c>
    </row>
    <row r="52">
      <c r="A52" t="str">
        <v>2 - Nghĩa vụ:</v>
      </c>
    </row>
    <row r="53">
      <c r="A53" t="str">
        <v>- Hoàn thành những công việc đã cam kết trong Hợp đồng lao động, trong bản mô tả công việc</v>
      </c>
    </row>
    <row r="54">
      <c r="A54" t="str">
        <v xml:space="preserve">- Chấp hành việc thuyên chuyển, điều động công tác, lệnh điều hành sản xuất - kinh doanh do Người sử dụng lao động </v>
      </c>
    </row>
    <row r="55">
      <c r="A55" t="str">
        <v>quyết định, tuân thủ nội dung lao động, an toàn lao động, an ninh trật tự, phòng cháy chữa cháy, thủ tục tiêu chuẩn</v>
      </c>
    </row>
    <row r="56">
      <c r="A56" t="str">
        <v>quy định, chuẩn mực văn hoá (quy tắc đạo đức và hành vi ứng xử) và các quy định khác của Công ty tại từng thời điểm</v>
      </c>
    </row>
    <row r="57">
      <c r="A57" t="str">
        <v>- Bồi thường vi phạm và vật chất: Theo quy định của các hợp đồng riêng biệt và theo luật Lao động hiện hành</v>
      </c>
    </row>
    <row r="58">
      <c r="A58" t="str">
        <v>- Người lao động phải bồi thường thiệt hại vật chất đối với những công cụ lao động hoặc tài sản được giao cho cá nhân</v>
      </c>
    </row>
    <row r="59">
      <c r="A59" t="str">
        <v>sử dụng mà để xảy ra mất mát, hư hỏng do lỗi chủ quan.</v>
      </c>
    </row>
    <row r="60">
      <c r="A60" t="str">
        <v>- Người lao động phải bồi thường thiệt hại vật chất cho Công ty do hành vi vi phạm kỷ luật lao động của mình gây ra</v>
      </c>
    </row>
    <row r="61">
      <c r="A61" t="str">
        <v xml:space="preserve">- Thông báo kịp thời cho Phòng Nhân sự của Công ty những thay đổi cá nhân như căn cước công dân hoặc những thay </v>
      </c>
    </row>
    <row r="62">
      <c r="A62" t="str">
        <v xml:space="preserve">đổi thông tin trên các loại giấy tờ cá nhân, địa chỉ thường trú, tạm trú, địa chỉ liên lạc, giấy khám sức khoẻ và các thông </v>
      </c>
    </row>
    <row r="63">
      <c r="A63" t="str">
        <v>tin liên quan khác của Người lao động.</v>
      </c>
    </row>
    <row r="64">
      <c r="A64" t="str">
        <v xml:space="preserve">- Thực hiện nghĩa vụ báo trước theo quy định của pháp luật nếu đơn phương chấm dứt Hợp đồng lao động và thực hiện </v>
      </c>
    </row>
    <row r="65">
      <c r="A65" t="str">
        <v>bàn giao theo đúng quy trình, quy định của Công ty</v>
      </c>
    </row>
    <row r="66">
      <c r="A66" t="str">
        <v>- Bồi thường chi phí đào tạo (nếu có) nếu đơn phương chấm dứt Hợp đồng lao động</v>
      </c>
    </row>
    <row r="67">
      <c r="A67" t="str">
        <v>Điều 4. Nghĩa vụ và quyền hạn của Người sử dụng lao động:</v>
      </c>
    </row>
    <row r="68">
      <c r="A68" t="str">
        <v>1 - Nghĩa vụ:</v>
      </c>
    </row>
    <row r="69">
      <c r="A69" t="str">
        <v>- Bảo đảm việc làm và thực hiện đầy đủ những điều đã cam kết trong Hợp đồng lao động này.</v>
      </c>
    </row>
    <row r="70">
      <c r="A70" t="str">
        <v>- Tạo điều kiện cho Người lao động phát huy năng lực làm việc</v>
      </c>
    </row>
    <row r="71">
      <c r="A71" t="str">
        <v xml:space="preserve">- Thanh toán đầy đủ, đúng thời hạn các chế độ và quyền lợi cho Người lao động theo Hợp đồng lao động, Phụ lục hợp </v>
      </c>
    </row>
    <row r="72">
      <c r="A72" t="str">
        <v>đồng, Thoả ước lao động tập thể (nếu có).</v>
      </c>
    </row>
    <row r="73">
      <c r="A73" t="str">
        <v>- Thực hiện nghĩa vụ báo trước theo quy định của pháp luật nếu đơn phương chấm dứt hợp đồng lao động.</v>
      </c>
    </row>
    <row r="74">
      <c r="A74" t="str">
        <v xml:space="preserve">- Người lao động ngừng việc, Người sử dụng lao động sẽ thanh toán tiền lương, thanh lý Hợp đồng lao động cùng kỳ </v>
      </c>
    </row>
    <row r="75">
      <c r="A75" t="str">
        <v>trả lương kế tiếp của Công ty.</v>
      </c>
    </row>
    <row r="76">
      <c r="A76" t="str">
        <v>2 - Quyền hạn:</v>
      </c>
    </row>
    <row r="77">
      <c r="A77" t="str">
        <v>- Điều hành Người lao động hoàn thành công việc theo Hợp đồng lao động (bố trí, điều chuyển, tạm ngừng việc).</v>
      </c>
    </row>
    <row r="78">
      <c r="A78" t="str">
        <v xml:space="preserve">- Tạm hoãn, chấm dứt Hợp đồng lao động, kỷ luật Người lao động theo quy định của pháp luật, Thoả ước lao động tập </v>
      </c>
    </row>
    <row r="79">
      <c r="A79" t="str">
        <v>thể (nếu có) và Nội quy lao động của Công ty.</v>
      </c>
    </row>
    <row r="80">
      <c r="A80" t="str">
        <v>Điều 5. Điều khoản thi hành:</v>
      </c>
    </row>
    <row r="81">
      <c r="A81" t="str">
        <v>- Những vấn đề về lao động không ghi trong Hợp đồng lao động này thì áp dụng quy định của pháp luật lao động.</v>
      </c>
    </row>
    <row r="82">
      <c r="A82" t="str">
        <v>- Hợp đồng này được làm thành 02 bản có giá trị như nhau, mỗi bên giữ 01 bản và có hiệu lực kể từ ngày ký.</v>
      </c>
    </row>
    <row r="84">
      <c r="A84" t="str">
        <v>NGƯỜI LAO ĐỘNG</v>
      </c>
      <c r="F84" t="str">
        <v>NGƯỜI SỬ DỤNG LAO ĐỘNG</v>
      </c>
    </row>
    <row r="89" xml:space="preserve">
      <c r="A89" t="str">
        <f t="array" ref="A89">UPPER(INDEX('Mã NV'!D:D,MATCH(K4,'Mã NV'!B:B,0)))</f>
        <v>LÊ VĂN VŨ</v>
      </c>
      <c r="F89" t="str" xml:space="preserve">
        <f xml:space="preserve">IF(K2=1,"NGUYỄN TRỌNG KHÁNH",
IF(K2=2,"NGUYỄN NGỌC DUNG",
IF(K2=4,"LÊ THỊ MAI HƯƠNG",
"NGUYỄN ĐÌNH SƠN")))</f>
        <v>LÊ THỊ MAI HƯƠNG</v>
      </c>
    </row>
  </sheetData>
  <mergeCells count="35">
    <mergeCell ref="A2:E2"/>
    <mergeCell ref="F2:H2"/>
    <mergeCell ref="A3:D3"/>
    <mergeCell ref="F3:H3"/>
    <mergeCell ref="F4:H4"/>
    <mergeCell ref="F6:H6"/>
    <mergeCell ref="A8:H8"/>
    <mergeCell ref="A9:H9"/>
    <mergeCell ref="G10:H10"/>
    <mergeCell ref="C12:H12"/>
    <mergeCell ref="C14:H14"/>
    <mergeCell ref="A16:D16"/>
    <mergeCell ref="G18:H18"/>
    <mergeCell ref="C19:D19"/>
    <mergeCell ref="G19:H19"/>
    <mergeCell ref="A23:H23"/>
    <mergeCell ref="A27:H27"/>
    <mergeCell ref="A29:D29"/>
    <mergeCell ref="A30:C30"/>
    <mergeCell ref="A31:D31"/>
    <mergeCell ref="A32:H32"/>
    <mergeCell ref="A84:D84"/>
    <mergeCell ref="F84:H84"/>
    <mergeCell ref="A85:D85"/>
    <mergeCell ref="F85:H85"/>
    <mergeCell ref="A89:D89"/>
    <mergeCell ref="F89:H89"/>
    <mergeCell ref="A94:H94"/>
    <mergeCell ref="A33:E33"/>
    <mergeCell ref="A38:F38"/>
    <mergeCell ref="A40:G40"/>
    <mergeCell ref="A41:G41"/>
    <mergeCell ref="A69:H69"/>
    <mergeCell ref="A70:F70"/>
    <mergeCell ref="A75:H75"/>
  </mergeCells>
  <pageMargins left="0.984251968503937" right="0.6692913385826771" top="0.75" bottom="0.75" header="0" footer="0"/>
  <ignoredErrors>
    <ignoredError numberStoredAsText="1" sqref="A1:Q999"/>
  </ignoredErrors>
</worksheet>
</file>

<file path=xl/worksheets/sheet4.xml><?xml version="1.0" encoding="utf-8"?>
<worksheet xmlns="http://schemas.openxmlformats.org/spreadsheetml/2006/main" xmlns:r="http://schemas.openxmlformats.org/officeDocument/2006/relationships">
  <dimension ref="A1:M998"/>
  <sheetViews>
    <sheetView workbookViewId="0"/>
  </sheetViews>
  <sheetData>
    <row r="2" xml:space="preserve">
      <c r="A2" t="str" xml:space="preserve">
        <f xml:space="preserve">IF(K2=1,"CÔNG TY TNHH X.E VIỆT NAM",
IF(K2=2,"CÔNG TY TNHH DU LỊCH X.E VIỆT NAM",
IF(K2=4,"CÔNG TY TNHH DU LỊCH VISUN",
"CÔNG TY CỔ PHẦN THƯƠNG MẠI VÀ DỊCH VỤ X.E")))</f>
        <v>CÔNG TY TNHH DU LỊCH X.E VIỆT NAM</v>
      </c>
      <c r="F2" t="str">
        <v>CỘNG HOÀ XÃ HỘI CHỦ NGHĨA VIỆT NAM</v>
      </c>
      <c r="J2" t="str">
        <v>Đơn vị</v>
      </c>
      <c r="K2">
        <v>2</v>
      </c>
      <c r="L2" t="str">
        <v>X.E Việt Nam</v>
      </c>
      <c r="M2">
        <v>1</v>
      </c>
    </row>
    <row r="3" xml:space="preserve">
      <c r="A3" t="str" xml:space="preserve">
        <f xml:space="preserve">"Số: "&amp;K5&amp;".3/"&amp;YEAR(K6)&amp;"/HĐLĐ"&amp;IF(K2=1,"-X.E",
IF(K2=2,"-DLX.E",
IF(K2=4,"-DLVISUN",
"-TM&amp;DVX.E")))</f>
        <v>Số: 18.3/2026/HĐLĐ-DLX.E</v>
      </c>
      <c r="F3" t="str">
        <v>Độc lập - Tự do - Hạnh phúc</v>
      </c>
      <c r="L3" t="str">
        <v>Du lịch X.E</v>
      </c>
      <c r="M3">
        <v>2</v>
      </c>
    </row>
    <row r="4">
      <c r="F4" t="str">
        <v>----------o0o---------</v>
      </c>
      <c r="L4" t="str">
        <v>Xưởng dịch vụ</v>
      </c>
      <c r="M4">
        <v>3</v>
      </c>
    </row>
    <row r="5">
      <c r="J5" t="str">
        <v>Mã NV</v>
      </c>
      <c r="K5">
        <v>18</v>
      </c>
      <c r="L5" t="str">
        <v>VISUN</v>
      </c>
      <c r="M5">
        <v>4</v>
      </c>
    </row>
    <row r="6">
      <c r="F6" t="str">
        <f>"Hà Nội, ngày "&amp;DAY(K6)&amp;" tháng "&amp;month(K6)&amp;" năm "&amp;year(K6)</f>
        <v>Hà Nội, ngày 1 tháng 8 năm 2026</v>
      </c>
      <c r="J6" t="str">
        <v>Ngày bắt đầu</v>
      </c>
      <c r="K6">
        <v>46235</v>
      </c>
    </row>
    <row r="8">
      <c r="A8" t="str">
        <v>HỢP ĐỒNG LAO ĐỘNG</v>
      </c>
    </row>
    <row r="10" xml:space="preserve">
      <c r="A10" t="str">
        <f>"Chúng tôi, một bên là "</f>
        <v xml:space="preserve">Chúng tôi, một bên là </v>
      </c>
      <c r="B10" t="str">
        <v>:</v>
      </c>
      <c r="C10" t="str" xml:space="preserve">
        <f xml:space="preserve">IF(K2=1,"Ông Nguyễn Trọng Khánh",
IF(K2=2,"Bà Nguyễn Ngọc Dung",
IF(K2=4,"Bà Lê Thị Mai Hương",
"Ông Nguyễn Đình Sơn")))</f>
        <v>Bà Nguyễn Ngọc Dung</v>
      </c>
      <c r="G10" t="str">
        <v>Quốc tịch: Việt Nam</v>
      </c>
    </row>
    <row r="11">
      <c r="A11" t="str">
        <v>Chức vụ</v>
      </c>
      <c r="B11" t="str">
        <v>:</v>
      </c>
      <c r="C11" t="str">
        <v>Giám Đốc</v>
      </c>
      <c r="K11" t="str">
        <v>XE00194</v>
      </c>
    </row>
    <row r="12" xml:space="preserve">
      <c r="A12" t="str">
        <v>Đại diện cho</v>
      </c>
      <c r="B12" t="str">
        <v>:</v>
      </c>
      <c r="C12" t="str" xml:space="preserve">
        <f xml:space="preserve">IF(K2=1,"CÔNG TY TNHH X.E VIỆT NAM",
IF(K2=2,"CÔNG TY TNHH DU LỊCH X.E VIỆT NAM",
IF(K2=4,"CÔNG TY TNHH DU LỊCH VISUN",
"CÔNG TY CỔ PHẦN THƯƠNG MẠI VÀ DỊCH VỤ X.E")))</f>
        <v>CÔNG TY TNHH DU LỊCH X.E VIỆT NAM</v>
      </c>
      <c r="G12" t="str" xml:space="preserve">
        <f xml:space="preserve">IF(K2=1,"Điện thoại: 024.3681.5722",
IF(K2=2,"Điện thoại: 024.366.44444",
IF(K2=4,"Điện thoại: 02439757777",
"Điện thoại: 0243.6333.444")))
</f>
        <v>Điện thoại: 024.366.44444</v>
      </c>
    </row>
    <row r="13">
      <c r="A13" t="str">
        <v>Địa chỉ</v>
      </c>
      <c r="B13" t="str">
        <v>:</v>
      </c>
      <c r="C13" t="str">
        <v>Số 4 đường Văn Chỉ, thôn Tam Đa, xã Tam Hưng, huyện Thanh Trì, Hà Nội, Việt Nam</v>
      </c>
    </row>
    <row r="14">
      <c r="A14" t="str">
        <v>(Dưới đây gọi là Người sử dụng lao động)</v>
      </c>
    </row>
    <row r="16">
      <c r="A16" t="str">
        <v>Và một bên là Ông/Bà:</v>
      </c>
      <c r="C16" t="str">
        <f t="array" ref="C16">INDEX('Mã NV'!D:D,MATCH(K5,'Mã NV'!B:B,0))</f>
        <v>Lê Văn Vũ</v>
      </c>
      <c r="G16" t="str">
        <v>Quốc tịch: Việt Nam</v>
      </c>
    </row>
    <row r="17">
      <c r="A17" t="str">
        <v>Sinh Ngày</v>
      </c>
      <c r="B17" t="str">
        <v>:</v>
      </c>
      <c r="C17">
        <f t="array" ref="C17">INDEX('Mã NV'!I:I,MATCH(K5,'Mã NV'!B:B,0))</f>
        <v>28664</v>
      </c>
    </row>
    <row r="18">
      <c r="A18" t="str">
        <v>Địa chỉ thường trú</v>
      </c>
      <c r="B18" t="str">
        <v>:</v>
      </c>
      <c r="C18" t="str">
        <f t="array" ref="C18">INDEX('Mã NV'!S:S,MATCH(K5,'Mã NV'!B:B,0))</f>
        <v>Đông Hoàng, Đông Hưng, Thái Bình</v>
      </c>
    </row>
    <row r="19">
      <c r="A19" t="str">
        <v>CMND/Passport</v>
      </c>
      <c r="B19" t="str">
        <v>:</v>
      </c>
      <c r="C19" t="str">
        <f t="array" ref="C19">INDEX('Mã NV'!J:J,MATCH(K5,'Mã NV'!B:B,0))</f>
        <v>34078002397</v>
      </c>
      <c r="E19" t="str">
        <v>Ngày cấp:</v>
      </c>
      <c r="F19">
        <f t="array" ref="F19">INDEX('Mã NV'!K:K,MATCH(K5,'Mã NV'!B:B,0))</f>
        <v>42335</v>
      </c>
      <c r="G19" t="str">
        <f t="array" ref="G19">"Nơi cấp: "&amp;INDEX('Mã NV'!L:L,MATCH(K5,'Mã NV'!B:B,0))</f>
        <v>Nơi cấp: Cục CS QLHC về trật tự XH</v>
      </c>
    </row>
    <row r="20">
      <c r="A20" t="str">
        <v>(Dưới đây gọi là Người lao động)</v>
      </c>
    </row>
    <row r="21">
      <c r="A21" t="str">
        <v>Thỏa thuận ký kết Hợp đồng lao động và cam kết làm đúng những điều khoản sau đây:</v>
      </c>
    </row>
    <row r="22">
      <c r="A22" t="str">
        <v>Điều 1. Thời hạn và công việc hợp đồng:</v>
      </c>
    </row>
    <row r="23">
      <c r="A23" t="str">
        <v>- Loại Hợp đồng: Hợp đồng lao động không xác định thời hạn</v>
      </c>
    </row>
    <row r="24">
      <c r="A24" t="str">
        <f xml:space="preserve">"- Từ ngày "&amp;TEXT($K$6,"dd") &amp;" tháng "&amp;TEXT($K$6,"mm") &amp; " năm "  &amp;TEXT($K$6,"yyyy") </f>
        <v>- Từ ngày 01 tháng 08 năm 2026</v>
      </c>
    </row>
    <row r="25">
      <c r="A25" t="str">
        <f t="array" ref="A25">"- Địa điểm làm việc: "&amp;XLOOKUP($K$5,'Mã NV'!$B:$B,'Mã NV'!$H:$H)</f>
        <v xml:space="preserve">- Địa điểm làm việc: </v>
      </c>
    </row>
    <row r="26">
      <c r="A26" t="str">
        <f t="array" ref="A26">"- Chức danh chuyên môn: "&amp;INDEX('Mã NV'!E:E,MATCH(K5,'Mã NV'!B:B,0))</f>
        <v xml:space="preserve">- Chức danh chuyên môn: </v>
      </c>
      <c r="G26" t="str">
        <f t="array" ref="G26">"Chức vụ: "&amp;INDEX('Mã NV'!X:X,MATCH(K5,'Mã NV'!B:B,0))</f>
        <v xml:space="preserve">Chức vụ: </v>
      </c>
    </row>
    <row r="27">
      <c r="A27" t="str">
        <v>- Công việc phải làm: Theo mô tả công việc</v>
      </c>
    </row>
    <row r="28">
      <c r="A28" t="str">
        <v>Điều 2. Chế độ làm việc:</v>
      </c>
    </row>
    <row r="29">
      <c r="A29" t="str">
        <v>- Thời gian làm việc: 8h/ngày, 6 ngày/ tuần</v>
      </c>
    </row>
    <row r="30">
      <c r="A30" t="str">
        <v>- Được cấp phát những dụng cụ làm việc: Theo nhu cầu công việc và theo chính sách của công ty</v>
      </c>
    </row>
    <row r="31">
      <c r="A31" t="str">
        <v>Điều 3. Nghĩa vụ và quyền lợi của Người lao động:</v>
      </c>
    </row>
    <row r="32">
      <c r="A32" t="str">
        <v>1 - Quyền lợi:</v>
      </c>
    </row>
    <row r="33">
      <c r="A33" t="str">
        <v>- Phương tiện đi lại làm việc: Tự túc</v>
      </c>
    </row>
    <row r="34">
      <c r="A34" t="str">
        <v>- Mức lương chính hoặc tiền công:</v>
      </c>
      <c r="E34" t="str">
        <f t="array" ref="E34">INDEX('Mã NV'!Y:Y,MATCH(K5,'Mã NV'!B:B,0))</f>
        <v/>
      </c>
      <c r="F34" t="str">
        <v>đồng/tháng</v>
      </c>
    </row>
    <row r="35">
      <c r="A35" t="str">
        <v>- Hình thức trả lương: Theo tháng, thanh toán bằng TM/CK</v>
      </c>
    </row>
    <row r="36">
      <c r="A36" t="str">
        <v>- Phụ cấp gồm: Được trả theo chính sách về tiền lương của Công ty</v>
      </c>
    </row>
    <row r="37">
      <c r="A37" t="str">
        <v>- Kỳ hạn trả lương: Được trả lương vào ngày 10 và 25 của tháng kế tiếp hàng tháng</v>
      </c>
    </row>
    <row r="38">
      <c r="A38" t="str">
        <v>- Tiền thưởng: Được thưởng hàng năm theo chính sách về tiền lương của Công ty</v>
      </c>
    </row>
    <row r="39">
      <c r="A39" t="str">
        <v>- Chế độ nâng lương: Được thực hiện theo chính sách nâng lương của công ty</v>
      </c>
    </row>
    <row r="40">
      <c r="A40" t="str">
        <v>- Được trang bị bảo hộ lao động: Theo quy định về bảo hộ lao động hiện hành</v>
      </c>
    </row>
    <row r="41">
      <c r="A41" t="str">
        <v>- Chế độ nghỉ ngơi (nghỉ hàng tuần, phép năm, lễ tết,…): Theo quy định của công ty</v>
      </c>
    </row>
    <row r="42">
      <c r="A42" t="str">
        <v xml:space="preserve">- Bảo hiểm Xã hội, Bảo hiểm Y tế, Bảo hiểm thất nghiệp: Được thực hiện theo quy định của Luật Bảo hiểm Xã hội và </v>
      </c>
    </row>
    <row r="43">
      <c r="A43" t="str">
        <v>quy định về Bảo hiểm y tế hiện hành</v>
      </c>
    </row>
    <row r="44">
      <c r="A44" t="str">
        <v>- Chế độ đào tạo: Theo chính sách về đào tạo của Công ty</v>
      </c>
    </row>
    <row r="45" xml:space="preserve">
      <c r="A45" t="str" xml:space="preserve">
        <v xml:space="preserve">- Những thoả thuận khác: Người lao động có trách nhiệm giữ bí mật tất cả những thông tin liên quan đến việc sản xuất
</v>
      </c>
    </row>
    <row r="46">
      <c r="A46" t="str">
        <v xml:space="preserve">kinh doanh, tổ chức và các thông tin bảo mật khác của Công ty mà Anh/Chị biết được trong quá trình làm việc. </v>
      </c>
    </row>
    <row r="47">
      <c r="A47" t="str">
        <v>Anh/Chị không được tiết lộ thông tin đó với bất kỳ ai trong hay ngoài Công ty nếu không có sự chấp thuận trước của</v>
      </c>
    </row>
    <row r="48">
      <c r="A48" t="str">
        <v>Giám đốc Công ty. Trách nhiệm giữ bí mật thông tin này vẫn sẽ tiếp tục kể cả sau khi Anh/Chị nghỉ việc. Tuy nhiên,</v>
      </c>
    </row>
    <row r="49">
      <c r="A49" t="str">
        <v>sẽ không áp dụng đối với các thông tin mà Công ty đã phổ biến rộng rãi.</v>
      </c>
    </row>
    <row r="50">
      <c r="A50" t="str">
        <v>2 - Nghĩa vụ:</v>
      </c>
    </row>
    <row r="51">
      <c r="A51" t="str">
        <v>- Hoàn thành những công việc đã cam kết trong Hợp đồng lao động, trong bản mô tả công việc</v>
      </c>
    </row>
    <row r="52">
      <c r="A52" t="str">
        <v xml:space="preserve">- Chấp hành việc thuyên chuyển, điều động công tác, lệnh điều hành sản xuất - kinh doanh do Người sử dụng lao động </v>
      </c>
    </row>
    <row r="53">
      <c r="A53" t="str">
        <v xml:space="preserve">quyết định, tuân thủ nội dung kỷ luật lao động, an toàn lao động, an ninh trật tự, phòng cháy chữa cháy, thủ tục tiêu </v>
      </c>
    </row>
    <row r="54">
      <c r="A54" t="str">
        <v>chuẩn quy định, chuẩn mực văn hoá (quy tắc đạo đức và hành vi ứng xử) và các quy định khác của Công ty tại từng</v>
      </c>
    </row>
    <row r="55">
      <c r="A55" t="str">
        <v>thời điểm.</v>
      </c>
    </row>
    <row r="56">
      <c r="A56" t="str">
        <v>- Bồi thường vi phạm và vật chất: Theo quy định của các hợp đồng riêng biệt và theo luật Lao động hiện hành</v>
      </c>
    </row>
    <row r="57">
      <c r="A57" t="str">
        <v>- Người lao động phải bồi thường thiệt hại vật chất đối với những công cụ lao động hoặc tài sản được giao cho cá nhân</v>
      </c>
    </row>
    <row r="58">
      <c r="A58" t="str">
        <v xml:space="preserve"> sử dụng mà để xảy ra mất mát, hư hỏng do lỗi chủ quan.</v>
      </c>
    </row>
    <row r="59">
      <c r="A59" t="str">
        <v>- Người lao động phải bồi thường thiệt hại vật chất cho Công ty do hành vi vi phạm kỷ luật lao động của mình gây ra.</v>
      </c>
    </row>
    <row r="60">
      <c r="A60" t="str">
        <v xml:space="preserve">- Thông báo kịp thời cho Phòng Nhân sự của Công ty những thay đổi cá nhân như căn cước công dân hoặc những thay </v>
      </c>
    </row>
    <row r="61">
      <c r="A61" t="str">
        <v xml:space="preserve">đổi thông tin trên các loại giấy tờ cá nhân, địa chỉ thường trú, tạm trú, địa chỉ liên lạc, giấy khám sức khoẻ và các thông </v>
      </c>
    </row>
    <row r="62">
      <c r="A62" t="str">
        <v>tin liên quan khác của Người lao động.</v>
      </c>
    </row>
    <row r="63">
      <c r="A63" t="str">
        <v xml:space="preserve">- Thực hiện nghĩa vụ báo trước theo quy định của pháp luật nếu đơn phương chấm dứt Hợp đồng lao động và thực hiện </v>
      </c>
    </row>
    <row r="64">
      <c r="A64" t="str">
        <v>bàn giao theo đúng quy trình, quy định của Công ty</v>
      </c>
    </row>
    <row r="65">
      <c r="A65" t="str">
        <v>- Bồi thường chi phí đào tạo (nếu có) nếu đơn phương chấm dứt Hợp đồng lao động</v>
      </c>
    </row>
    <row r="66">
      <c r="A66" t="str">
        <v>Điều 4. Nghĩa vụ và quyền hạn của Người sử dụng lao động:</v>
      </c>
    </row>
    <row r="67">
      <c r="A67" t="str">
        <v>1 - Nghĩa vụ:</v>
      </c>
    </row>
    <row r="68">
      <c r="A68" t="str">
        <v>- Bảo đảm việc làm và thực hiện đầy đủ những điều đã cam kết trong Hợp đồng lao động này.</v>
      </c>
    </row>
    <row r="69">
      <c r="A69" t="str">
        <v>- Tạo điều kiện cho Người lao động phát huy năng lực làm việc</v>
      </c>
    </row>
    <row r="70">
      <c r="A70" t="str">
        <v xml:space="preserve">- Thanh toán đầy đủ, đúng thời hạn các chế độ và quyền lợi cho Người lao động theo Hợp đồng lao động, Phụ lục hợp </v>
      </c>
    </row>
    <row r="71">
      <c r="A71" t="str">
        <v>đồng, Thoả ước lao động tập thể (nếu có).</v>
      </c>
    </row>
    <row r="72">
      <c r="A72" t="str">
        <v>- Thực hiện nghĩa vụ báo trước theo quy định của pháp luật nếu đơn phương chấm dứt hợp đồng lao động.</v>
      </c>
    </row>
    <row r="73">
      <c r="A73" t="str">
        <v xml:space="preserve">- Người lao động ngừng việc, Người sử dụng lao động sẽ thanh toán tiền lương, thanh lý Hợp đồng lao động cùng kỳ trả </v>
      </c>
    </row>
    <row r="74">
      <c r="A74" t="str">
        <v>lương kế tiếp của Công ty.</v>
      </c>
    </row>
    <row r="75">
      <c r="A75" t="str">
        <v>2 - Quyền hạn:</v>
      </c>
    </row>
    <row r="76">
      <c r="A76" t="str">
        <v>- Điều hành Người lao động hoàn thành công việc theo Hợp đồng lao động (bố trí, điều chuyển, tạm ngừng việc).</v>
      </c>
    </row>
    <row r="77">
      <c r="A77" t="str">
        <v xml:space="preserve">- Tạm hoãn, chấm dứt Hợp đồng lao động, kỷ luật Người lao động theo quy định của pháp luật, Thoả ước lao động tập </v>
      </c>
    </row>
    <row r="78">
      <c r="A78" t="str">
        <v>thể (nếu có) và Nội quy lao động của Công ty.</v>
      </c>
    </row>
    <row r="79">
      <c r="A79" t="str">
        <v>Điều 5. Điều khoản thi hành:</v>
      </c>
    </row>
    <row r="80">
      <c r="A80" t="str">
        <v>- Những vấn đề về lao động không ghi trong Hợp đồng lao động này thì áp dụng quy định của pháp luật lao động.</v>
      </c>
    </row>
    <row r="81">
      <c r="A81" t="str">
        <v>- Hợp đồng này được làm thành 02 bản có giá trị như nhau, mỗi bên giữ 01 bản và có hiệu lực kể từ ngày ký.</v>
      </c>
    </row>
    <row r="83">
      <c r="A83" t="str">
        <v>NGƯỜI LAO ĐỘNG</v>
      </c>
      <c r="F83" t="str">
        <v>NGƯỜI SỬ DỤNG LAO ĐỘNG</v>
      </c>
    </row>
    <row r="87" xml:space="preserve">
      <c r="A87" t="str">
        <f t="array" ref="A87">UPPER(INDEX('Mã NV'!D:D,MATCH(K5,'Mã NV'!B:B,0)))</f>
        <v>LÊ VĂN VŨ</v>
      </c>
      <c r="G87" t="str" xml:space="preserve">
        <f xml:space="preserve">IF(K2=1,"NGUYỄN TRỌNG KHÁNH",
IF(K2=2,"NGUYỄN NGỌC DUNG",
IF(K2=4,"LÊ THỊ MAI HƯƠNG",
"NGUYỄN ĐÌNH SƠN")))</f>
        <v>NGUYỄN NGỌC DUNG</v>
      </c>
    </row>
  </sheetData>
  <mergeCells count="33">
    <mergeCell ref="A2:E2"/>
    <mergeCell ref="F2:H2"/>
    <mergeCell ref="A3:E3"/>
    <mergeCell ref="F3:H3"/>
    <mergeCell ref="F4:H4"/>
    <mergeCell ref="F6:H6"/>
    <mergeCell ref="A8:H8"/>
    <mergeCell ref="A9:H9"/>
    <mergeCell ref="G10:H10"/>
    <mergeCell ref="G12:H12"/>
    <mergeCell ref="A14:D14"/>
    <mergeCell ref="G16:H16"/>
    <mergeCell ref="C17:D17"/>
    <mergeCell ref="G17:H17"/>
    <mergeCell ref="A21:H21"/>
    <mergeCell ref="A25:H25"/>
    <mergeCell ref="G26:H26"/>
    <mergeCell ref="A27:D27"/>
    <mergeCell ref="A28:C28"/>
    <mergeCell ref="A29:D29"/>
    <mergeCell ref="A30:H30"/>
    <mergeCell ref="A83:D83"/>
    <mergeCell ref="F83:H83"/>
    <mergeCell ref="A84:D84"/>
    <mergeCell ref="F84:H84"/>
    <mergeCell ref="A87:D87"/>
    <mergeCell ref="A31:E31"/>
    <mergeCell ref="A36:F36"/>
    <mergeCell ref="A38:G38"/>
    <mergeCell ref="A39:G39"/>
    <mergeCell ref="A66:F66"/>
    <mergeCell ref="A68:H68"/>
    <mergeCell ref="A69:F69"/>
  </mergeCells>
  <pageMargins left="0.6636033102094534" right="0.4684258660302024" top="0.6167607236064332" bottom="0.6323749191407733" header="0" footer="0"/>
  <ignoredErrors>
    <ignoredError numberStoredAsText="1" sqref="A1:M998"/>
  </ignoredErrors>
</worksheet>
</file>

<file path=xl/worksheets/sheet5.xml><?xml version="1.0" encoding="utf-8"?>
<worksheet xmlns="http://schemas.openxmlformats.org/spreadsheetml/2006/main" xmlns:r="http://schemas.openxmlformats.org/officeDocument/2006/relationships">
  <dimension ref="A1:O1019"/>
  <sheetViews>
    <sheetView workbookViewId="0"/>
  </sheetViews>
  <sheetData>
    <row r="1">
      <c r="A1" t="str">
        <v>CÔNG TY TNHH X.E VIỆT NAM</v>
      </c>
      <c r="F1" t="str">
        <v>CỘNG HOÀ XÃ HỘI CHỦ NGHĨA VIỆT NAM</v>
      </c>
    </row>
    <row r="2">
      <c r="A2" t="str">
        <f t="array" ref="A2">"Số: "&amp;INDEX('Mã NV'!AG:AG,MATCH(L5,'Mã NV'!B:B,0))</f>
        <v xml:space="preserve">Số: </v>
      </c>
      <c r="F2" t="str">
        <v>Độc lập - Tự do - Hạnh phúc</v>
      </c>
    </row>
    <row r="3">
      <c r="F3" t="str">
        <v>----------o0o---------</v>
      </c>
    </row>
    <row r="4">
      <c r="F4" t="str">
        <f>"Hà Nội, ngày "&amp;DAY(L6)&amp;" tháng "&amp;month(L6)&amp;" năm "&amp;year(L6)</f>
        <v>Hà Nội, ngày 16 tháng 1 năm 2017</v>
      </c>
    </row>
    <row r="5">
      <c r="K5" t="str">
        <v>Mã NV</v>
      </c>
      <c r="L5">
        <v>18</v>
      </c>
    </row>
    <row r="6">
      <c r="A6" t="str">
        <v>HỢP ĐỒNG THỬ VIỆC</v>
      </c>
      <c r="K6" t="str">
        <v>Ngày bắt đầu</v>
      </c>
      <c r="L6" t="str">
        <f t="array" ref="L6">TEXT(INDEX('Mã NV'!F:F,MATCH(L5,'Mã NV'!B:B,0)),"dd/mm/yyyy")</f>
        <v>16/01/2017</v>
      </c>
    </row>
    <row r="8">
      <c r="A8" t="str">
        <v>Chúng tôi, một bên là Ông: Nguyễn Trọng Khánh</v>
      </c>
      <c r="G8" t="str">
        <v>Quốc tịch: Việt Nam</v>
      </c>
    </row>
    <row r="9">
      <c r="A9" t="str">
        <v>Chức vụ</v>
      </c>
      <c r="B9" t="str">
        <v>:</v>
      </c>
      <c r="C9" t="str">
        <v>Giám Đốc</v>
      </c>
    </row>
    <row r="10">
      <c r="A10" t="str">
        <v>Đại diện cho</v>
      </c>
      <c r="B10" t="str">
        <v>:</v>
      </c>
      <c r="C10" t="str">
        <v>Công ty TNHH X.E Việt Nam</v>
      </c>
      <c r="G10" t="str">
        <v>Điện Thoại: 024.3681.5722</v>
      </c>
    </row>
    <row r="11">
      <c r="A11" t="str">
        <v>Địa chỉ</v>
      </c>
      <c r="B11" t="str">
        <v>:</v>
      </c>
      <c r="C11" t="str">
        <v>Số 4 đường Văn Chỉ, thôn Tam Đa, xã Tam Hưng, thành phố Hà Nội, Việt Nam</v>
      </c>
    </row>
    <row r="12">
      <c r="A12" t="str">
        <v>(Dưới đây gọi là Người sử dụng lao động)</v>
      </c>
    </row>
    <row r="14">
      <c r="A14" t="str">
        <v>Và một bên là Ông/Bà:</v>
      </c>
      <c r="D14" t="str">
        <f t="array" ref="D14">INDEX('Mã NV'!D:D,MATCH(L5,'Mã NV'!B:B,0))</f>
        <v>Lê Văn Vũ</v>
      </c>
      <c r="G14" t="str">
        <v>Mã NV:</v>
      </c>
      <c r="H14" t="str">
        <f t="array" ref="H14">INDEX('Mã NV'!C:C,MATCH(L5,'Mã NV'!B:B,0))</f>
        <v>XE00018</v>
      </c>
    </row>
    <row r="15">
      <c r="A15" t="str">
        <v>Sinh Ngày</v>
      </c>
      <c r="B15" t="str">
        <v>:</v>
      </c>
      <c r="C15">
        <f t="array" ref="C15">INDEX('Mã NV'!I:I,MATCH(L5,'Mã NV'!B:B,0))</f>
        <v>28664</v>
      </c>
    </row>
    <row r="16">
      <c r="A16" t="str">
        <v>Địa chỉ thường trú</v>
      </c>
      <c r="B16" t="str">
        <v>:</v>
      </c>
      <c r="C16" t="str">
        <f t="array" ref="C16">INDEX('Mã NV'!S:S,MATCH(L5,'Mã NV'!B:B,0))</f>
        <v>Đông Hoàng, Đông Hưng, Thái Bình</v>
      </c>
    </row>
    <row r="17">
      <c r="A17" t="str">
        <v>Số GPLX:</v>
      </c>
      <c r="B17" t="str">
        <v>:</v>
      </c>
      <c r="C17" t="str">
        <f t="array" ref="C17">INDEX('Mã NV'!N:N,MATCH(L5,'Mã NV'!B:B,0))</f>
        <v>340090340908</v>
      </c>
      <c r="E17" t="str">
        <f t="array" ref="E17">"Hạng: "&amp;INDEX('Mã NV'!P:P,MATCH(L5,'Mã NV'!B:B,0))</f>
        <v>Hạng: D</v>
      </c>
      <c r="F17" t="str">
        <f t="array" ref="F17">"Ngày cấp: "&amp;text(INDEX('Mã NV'!Q:Q,MATCH(L5,'Mã NV'!B:B,0)),"dd/mm/yyyy")</f>
        <v>Ngày cấp: 01/09/2022</v>
      </c>
      <c r="H17" t="str">
        <f t="array" ref="H17">"Nơi cấp: "&amp;INDEX('Mã NV'!O:O,MATCH(L5,'Mã NV'!B:B,0))</f>
        <v>Nơi cấp: Sở GTVT Thái Bình</v>
      </c>
    </row>
    <row r="18">
      <c r="A18" t="str">
        <v>CMND/Passport</v>
      </c>
      <c r="B18" t="str">
        <v>:</v>
      </c>
      <c r="C18" t="str">
        <f t="array" ref="C18">INDEX('Mã NV'!J:J,MATCH(L5,'Mã NV'!B:B,0))</f>
        <v>34078002397</v>
      </c>
      <c r="E18" t="str">
        <v>Ngày cấp:</v>
      </c>
      <c r="F18" t="str">
        <f t="array" ref="F18">text(INDEX('Mã NV'!K:K,MATCH(L5,'Mã NV'!B:B,0)),"dd/mm/yyyy")</f>
        <v>27/11/2015</v>
      </c>
      <c r="G18" t="str">
        <v>Nơi cấp:</v>
      </c>
      <c r="H18" t="str">
        <f t="array" ref="H18">INDEX('Mã NV'!L:L,MATCH(L5,'Mã NV'!B:B,0))</f>
        <v>Cục CS QLHC về trật tự XH</v>
      </c>
    </row>
    <row r="19">
      <c r="A19" t="str">
        <v>(Dưới đây gọi là Người lao động)</v>
      </c>
    </row>
    <row r="21">
      <c r="A21" t="str">
        <v>Thỏa thuận ký kết Hợp đồng thử việc và cam kết làm đúng những điều khoản sau đây:</v>
      </c>
    </row>
    <row r="22">
      <c r="A22" t="str">
        <v>Điều 1. Thời hạn và công việc hợp đồng:</v>
      </c>
    </row>
    <row r="23">
      <c r="A23" t="str">
        <v>- Loại hợp đồng: Hợp đồng thử việc</v>
      </c>
    </row>
    <row r="24">
      <c r="A24" t="str">
        <f t="array" ref="A24">"- Từ ngày "&amp;TEXT(INDEX('Mã NV'!AH:AH,MATCH(L5,'Mã NV'!B:B,0)),"dd/mm/yyyy")&amp;" đến ngày "&amp;TEXT(INDEX('Mã NV'!AJ:AJ,MATCH(L5,'Mã NV'!B:B,0)),"dd/mm/yyyy")</f>
        <v>- Từ ngày 30/12/1899 đến ngày 30/12/1899</v>
      </c>
    </row>
    <row r="25">
      <c r="A25" t="str">
        <v>- Địa điểm làm việc: Theo sự phân công của Công ty</v>
      </c>
    </row>
    <row r="26">
      <c r="A26" t="str">
        <v>- Chức danh chuyên môn: Nhân viên Lái Xe</v>
      </c>
      <c r="G26" t="str">
        <v>Phòng:</v>
      </c>
      <c r="H26" t="str">
        <f t="array" ref="H26">INDEX('Mã NV'!U:U,MATCH(L5,'Mã NV'!B:B,0))</f>
        <v/>
      </c>
    </row>
    <row r="27">
      <c r="A27" t="str">
        <v>- Công việc phải làm: Theo mô tả công việc</v>
      </c>
    </row>
    <row r="28">
      <c r="A28" t="str">
        <v>Điều 2. Chế độ làm việc:</v>
      </c>
    </row>
    <row r="29">
      <c r="A29" t="str">
        <v>- Giờ làm việc bình thường: Thực hiện theo phân công của Công ty, nhưng không quá 48h/tuần</v>
      </c>
    </row>
    <row r="30">
      <c r="A30" t="str">
        <v>- Được cấp phát những dụng cụ làm việc: Theo nhu cầu công việc và theo chính sách của công ty.</v>
      </c>
    </row>
    <row r="31">
      <c r="A31" t="str">
        <v>Điều 3. Nghĩa vụ và quyền lợi của người lao động:</v>
      </c>
    </row>
    <row r="32">
      <c r="A32" t="str">
        <v>1 - Quyền lợi:</v>
      </c>
    </row>
    <row r="33">
      <c r="A33" t="str">
        <v>- Phương tiện đi lại làm việc: Tự túc;</v>
      </c>
      <c r="O33" t="str">
        <v>`</v>
      </c>
    </row>
    <row r="34">
      <c r="A34" t="str">
        <v>- Mức lương chính hoặc tiền công:</v>
      </c>
      <c r="E34">
        <v>5310000</v>
      </c>
      <c r="F34" t="str">
        <v>VNĐ/Tháng;</v>
      </c>
    </row>
    <row r="35">
      <c r="A35" t="str">
        <v>- Hình thức trả lương: Theo tháng, thanh toán bằng TM/CK;</v>
      </c>
    </row>
    <row r="36">
      <c r="A36" t="str">
        <v>- Phụ cấp gồm: Được trả theo chính sách về tiền lương của Công ty;</v>
      </c>
    </row>
    <row r="37">
      <c r="A37" t="str">
        <v>- Kỳ hạn trả lương: Được trả lương vào ngày 10 và 25 của tháng kế tiếp hàng tháng;</v>
      </c>
    </row>
    <row r="38">
      <c r="A38" t="str">
        <v>- Tiền thưởng: Được thưởng hàng năm theo chính sách về tiền lương của Công ty;</v>
      </c>
    </row>
    <row r="39">
      <c r="A39" t="str">
        <v>- Thưởng hiệu suất: Theo quy định của Công ty;</v>
      </c>
    </row>
    <row r="40">
      <c r="A40" t="str">
        <v>- Chế độ nâng lương: Được thực hiện theo chính sách nâng lương của công ty;</v>
      </c>
    </row>
    <row r="41">
      <c r="A41" t="str">
        <v>- Được trang bị bảo hộ lao động: Theo quy định về bảo hộ lao động hiện hành;</v>
      </c>
    </row>
    <row r="42">
      <c r="A42" t="str">
        <v>- Chế độ nghỉ ngơi (Nghỉ hàng tuần, phép năm, lễ tết,…): Theo quy định của công ty;</v>
      </c>
    </row>
    <row r="43">
      <c r="A43" t="str">
        <v xml:space="preserve">- Bảo hiểm Xã hội, Bảo hiểm Y tế, Bảo hiểm thất nghiệp: Được thực hiện theo quy định của Luật Bảo hiểm </v>
      </c>
    </row>
    <row r="44">
      <c r="A44" t="str">
        <v>Xã hội và quy định về Bảo hiểm y tế hiện hành;</v>
      </c>
    </row>
    <row r="45">
      <c r="A45" t="str">
        <v>- Chế độ đào tạo: Theo chính sách về đào tạo của Công ty;</v>
      </c>
    </row>
    <row r="46">
      <c r="A46" t="str">
        <v xml:space="preserve">- Và những thoả thuận khác (nếu có): Áp dụng theo luật lao động, nội quy lao động và các quy định, quy chế, </v>
      </c>
    </row>
    <row r="47">
      <c r="A47" t="str">
        <v>thông báo nội bộ có liên quan của Công ty và Phụ lục hợp đồng lao động kèm theo (nếu có);</v>
      </c>
    </row>
    <row r="48">
      <c r="A48" t="str">
        <v xml:space="preserve">- Những thoả thuận khác: Người lao động có trách nhiệm giữ bí mật tất cả những thông tin liên quan đến việc </v>
      </c>
    </row>
    <row r="49">
      <c r="A49" t="str">
        <v xml:space="preserve">sản xuất, kinh doanh, tổ chức và các thông tin bảo mật khác của công ty mà Anh/Chị biết được trong quá trình </v>
      </c>
    </row>
    <row r="50">
      <c r="A50" t="str">
        <v xml:space="preserve">làm việc. Anh/Chị không được tiết lộ thông tin đó với bất kỳ ai trong hay ngoài công ty nếu không có sự chấp </v>
      </c>
    </row>
    <row r="51">
      <c r="A51" t="str">
        <v xml:space="preserve">thuận trước của Giám đốc Công ty. Trách nhiệm giữ bí mật thông tin này vẫn sẽ tiếp tục kể cả sau khi Anh/Chị </v>
      </c>
    </row>
    <row r="52">
      <c r="A52" t="str">
        <v>nghỉ việc. Tuy nhiên, sẽ không áp dụng đối với các thông tin mà Công ty đã phổ biến rộng rãi.</v>
      </c>
    </row>
    <row r="53">
      <c r="A53" t="str">
        <v>2 - Nghĩa vụ:</v>
      </c>
    </row>
    <row r="54">
      <c r="A54" t="str">
        <v>- Hoàn thành những công việc đã cam kết trong Hợp đồng thử việc, trong bản mô tả công việc;</v>
      </c>
    </row>
    <row r="55">
      <c r="A55" t="str">
        <v xml:space="preserve">- Chấp hành lệnh điều hành sản xuất kinh doanh, nội quy kỷ luật lao động, an toàn lao động, Điều lệ và các </v>
      </c>
    </row>
    <row r="56">
      <c r="A56" t="str">
        <v>quy trình Nội Bộ của Công ty;</v>
      </c>
    </row>
    <row r="57">
      <c r="A57" t="str">
        <v>- Chấp hành các quy định của luật giao thông đường bộ và quy định sử dụng phương tiện;</v>
      </c>
    </row>
    <row r="58">
      <c r="A58" t="str">
        <v xml:space="preserve">- Bồi thường vi phạm và vật chất: Theo quyết định của giám đốc, quy định của công ty và theo luật Lao động </v>
      </c>
    </row>
    <row r="59">
      <c r="A59" t="str">
        <v>hiện hành;</v>
      </c>
    </row>
    <row r="60">
      <c r="A60" t="str">
        <v xml:space="preserve">- Người lao động phải bồi thường thiệt hại vật chất đối với những công cụ lao động hoặc tài sản được giao cho </v>
      </c>
    </row>
    <row r="61">
      <c r="A61" t="str">
        <v>cá nhân sử dụng mà để xảy ra mất mát, hư hỏng do lỗi chủ quan;</v>
      </c>
    </row>
    <row r="62">
      <c r="A62" t="str">
        <v xml:space="preserve">- Người lao động phải bồi thường thiệt hại vật chất cho Công ty do hành vi vi phạm kỷ luật lao động của mình </v>
      </c>
    </row>
    <row r="63">
      <c r="A63" t="str">
        <v>gây ra;</v>
      </c>
    </row>
    <row r="64">
      <c r="A64" t="str">
        <v xml:space="preserve">- Khi đơn phương chấm dứt Hợp đồng thử việc này, Người lao động phải thông báo trước 10-15 ngày cho </v>
      </c>
    </row>
    <row r="65">
      <c r="A65" t="str">
        <v xml:space="preserve">người sử dụng lao động. Trong trường hợp Người lao động muốn nghỉ trước thời hạn thì phải có sự đồng thuận </v>
      </c>
    </row>
    <row r="66">
      <c r="A66" t="str">
        <v>của Quản lý trực tiếp hoặc Giám đốc Công ty.</v>
      </c>
    </row>
    <row r="67">
      <c r="A67" t="str">
        <v>Điều 4. Nghĩa vụ và quyền hạn của người sử dụng lao động:</v>
      </c>
    </row>
    <row r="68">
      <c r="A68" t="str">
        <v>1 - Nghĩa vụ:</v>
      </c>
    </row>
    <row r="69">
      <c r="A69" t="str">
        <v>- Bảo đảm việc làm và thực hiện đầy đủ những điều đã cam kết trong Hợp đồng thử việc này;</v>
      </c>
    </row>
    <row r="70">
      <c r="A70" t="str">
        <v xml:space="preserve">- Thanh toán đầy đủ, đúng thời hạn các chế độ và quyền lợi cho người lao động theo Hợp đồng thử việc, Phụ </v>
      </c>
    </row>
    <row r="71">
      <c r="A71" t="str">
        <v>lục hợp đồng, Thoả ước lao động tập thể (Nếu có);</v>
      </c>
    </row>
    <row r="72">
      <c r="A72" t="str">
        <v xml:space="preserve">- Khi đơn phương chấm dứt Hợp đồng thử việc này, Người sử dụng lao động phải thông báo trước 01-03 ngày </v>
      </c>
    </row>
    <row r="73">
      <c r="A73" t="str">
        <v xml:space="preserve">cho Người lao động (Trừ trường hợp Người lao động vi phạm lỗi với lý do không thể chấp nhận được, Công ty </v>
      </c>
    </row>
    <row r="74">
      <c r="A74" t="str">
        <v>bắt buộc phải ra quyết định cho ngừng việc tức thì);</v>
      </c>
    </row>
    <row r="75">
      <c r="A75" t="str">
        <v xml:space="preserve">- Người lao động ngừng việc, Người sử dụng lao động sẽ thanh toán tiền lương, thanh lý Hợp đồng cùng kỳ trả </v>
      </c>
    </row>
    <row r="76">
      <c r="A76" t="str">
        <v>lương kế tiếp của Công ty.</v>
      </c>
    </row>
    <row r="77">
      <c r="A77" t="str">
        <v>2 - Quyền hạn:</v>
      </c>
    </row>
    <row r="78">
      <c r="A78" t="str">
        <v>- Điều hành Người lao động hoàn thành công việc theo Hợp đồng thử việc (bố trí, điều chuyển, tạm ngừng việc);</v>
      </c>
    </row>
    <row r="79">
      <c r="A79" t="str">
        <v xml:space="preserve">- Tạm hoãn, chấm dứt Hợp đồng thử việc, kỷ luật Người lao động theo quy định của pháp luật, Thoả ước lao </v>
      </c>
    </row>
    <row r="80">
      <c r="A80" t="str">
        <v>động tập thể (Nếu có) và Nội quy lao động của Công ty.</v>
      </c>
    </row>
    <row r="81">
      <c r="A81" t="str">
        <v>Điều 5. Điều khoản thi hành:</v>
      </c>
    </row>
    <row r="82">
      <c r="A82" t="str">
        <v xml:space="preserve">- Những vấn đề về lao động không ghi trong Hợp đồng thử việc này thì áp dụng quy định của pháp luật lao động </v>
      </c>
    </row>
    <row r="83">
      <c r="A83" t="str">
        <v>hoặc quy định của Công ty;</v>
      </c>
    </row>
    <row r="84">
      <c r="A84" t="str">
        <v>- Hợp đồng này được làm thành 02 bản có giá trị như nhau, mỗi bên giữ 01 bản và có hiệu lực kể từ ngày ký.</v>
      </c>
    </row>
    <row r="86">
      <c r="A86" t="str">
        <v>NGƯỜI LAO ĐỘNG</v>
      </c>
      <c r="F86" t="str">
        <v>NGƯỜI SỬ DỤNG LAO ĐỘNG</v>
      </c>
    </row>
    <row r="92">
      <c r="A92" t="str">
        <f>D14</f>
        <v>Lê Văn Vũ</v>
      </c>
      <c r="F92" t="str">
        <v>Nguyễn Trọng Khánh</v>
      </c>
    </row>
  </sheetData>
  <mergeCells count="40">
    <mergeCell ref="A1:D1"/>
    <mergeCell ref="F1:I1"/>
    <mergeCell ref="A2:D2"/>
    <mergeCell ref="F2:I2"/>
    <mergeCell ref="F3:I3"/>
    <mergeCell ref="F4:I4"/>
    <mergeCell ref="A6:I6"/>
    <mergeCell ref="A7:I7"/>
    <mergeCell ref="A8:E8"/>
    <mergeCell ref="G8:H8"/>
    <mergeCell ref="C9:D9"/>
    <mergeCell ref="C10:E10"/>
    <mergeCell ref="C11:I11"/>
    <mergeCell ref="A12:E12"/>
    <mergeCell ref="A14:C14"/>
    <mergeCell ref="D14:F14"/>
    <mergeCell ref="C15:D15"/>
    <mergeCell ref="G15:I15"/>
    <mergeCell ref="C17:D17"/>
    <mergeCell ref="C18:D18"/>
    <mergeCell ref="A19:D19"/>
    <mergeCell ref="A21:I21"/>
    <mergeCell ref="A22:E22"/>
    <mergeCell ref="A23:D23"/>
    <mergeCell ref="A25:I25"/>
    <mergeCell ref="A27:E27"/>
    <mergeCell ref="A28:C28"/>
    <mergeCell ref="A31:E31"/>
    <mergeCell ref="A87:D87"/>
    <mergeCell ref="A92:D92"/>
    <mergeCell ref="F92:I92"/>
    <mergeCell ref="F95:I95"/>
    <mergeCell ref="F96:I96"/>
    <mergeCell ref="A33:D33"/>
    <mergeCell ref="A34:D34"/>
    <mergeCell ref="A41:G41"/>
    <mergeCell ref="A78:I78"/>
    <mergeCell ref="A86:D86"/>
    <mergeCell ref="F86:I86"/>
    <mergeCell ref="F87:I87"/>
  </mergeCells>
  <pageMargins left="0.984251968503937" right="0.7" top="0.6692913385826771" bottom="0.6692913385826771" header="0" footer="0"/>
  <ignoredErrors>
    <ignoredError numberStoredAsText="1" sqref="A1:O1019"/>
  </ignoredErrors>
</worksheet>
</file>

<file path=xl/worksheets/sheet6.xml><?xml version="1.0" encoding="utf-8"?>
<worksheet xmlns="http://schemas.openxmlformats.org/spreadsheetml/2006/main" xmlns:r="http://schemas.openxmlformats.org/officeDocument/2006/relationships">
  <dimension ref="A1:S1012"/>
  <sheetViews>
    <sheetView workbookViewId="0"/>
  </sheetViews>
  <sheetData>
    <row r="1">
      <c r="A1" t="str">
        <v>CÔNG TY TNHH X.E VIỆT NAM</v>
      </c>
      <c r="F1" t="str">
        <v>CỘNG HOÀ XÃ HỘI CHỦ NGHĨA VIỆT NAM</v>
      </c>
    </row>
    <row r="2">
      <c r="A2" t="str">
        <f t="array" ref="A2">"Số: "&amp;INDEX('Mã NV'!AL:AL,MATCH(L5,'Mã NV'!B:B,0))&amp;"- X.E"</f>
        <v>Số: - X.E</v>
      </c>
      <c r="F2" t="str">
        <v>Độc lập - Tự do - Hạnh phúc</v>
      </c>
    </row>
    <row r="3">
      <c r="F3" t="str">
        <v>----------o0o---------</v>
      </c>
    </row>
    <row r="5">
      <c r="F5" t="str">
        <f>"Hà Nội, ngày "&amp;DAY(L6)&amp;" tháng "&amp;month(L6)&amp;" năm "&amp;year(L6)</f>
        <v>Hà Nội, ngày 24 tháng 6 năm 2026</v>
      </c>
      <c r="K5" t="str">
        <v>Mã NV</v>
      </c>
      <c r="L5">
        <v>18</v>
      </c>
    </row>
    <row r="6">
      <c r="K6" t="str">
        <v>Ngày bắt đầu</v>
      </c>
      <c r="L6">
        <v>46197</v>
      </c>
    </row>
    <row r="7">
      <c r="A7" t="str">
        <v>HỢP ĐỒNG LAO ĐỘNG</v>
      </c>
      <c r="K7" t="str">
        <v>ngày kết thúc</v>
      </c>
      <c r="L7">
        <v>46561</v>
      </c>
      <c r="M7" t="str">
        <v>XE01707</v>
      </c>
    </row>
    <row r="9">
      <c r="A9" t="str">
        <v>Chúng tôi, một bên là Ông: Nguyễn Trọng Khánh</v>
      </c>
      <c r="G9" t="str">
        <v>Quốc tịch: Việt Nam</v>
      </c>
    </row>
    <row r="10">
      <c r="A10" t="str">
        <v>Chức vụ</v>
      </c>
      <c r="B10" t="str">
        <v>:</v>
      </c>
      <c r="C10" t="str">
        <v>Giám Đốc</v>
      </c>
    </row>
    <row r="11">
      <c r="A11" t="str">
        <v>Đại diện cho</v>
      </c>
      <c r="B11" t="str">
        <v>:</v>
      </c>
      <c r="C11" t="str">
        <v>Công ty TNHH X.E Việt Nam</v>
      </c>
      <c r="G11" t="str">
        <v>Điện Thoại: 024.3681.5722</v>
      </c>
    </row>
    <row r="12">
      <c r="A12" t="str">
        <v>Địa chỉ</v>
      </c>
      <c r="B12" t="str">
        <v>:</v>
      </c>
      <c r="C12" t="str">
        <v>Số 4 đường Văn Chỉ, thôn Tam Đa, xã Tam Hưng, thành phố Hà Nội, Việt Nam</v>
      </c>
    </row>
    <row r="13">
      <c r="A13" t="str">
        <v>(Dưới đây gọi là Người sử dụng lao động)</v>
      </c>
    </row>
    <row r="14">
      <c r="A14" t="str">
        <v>Và một bên là Ông/Bà:</v>
      </c>
      <c r="D14" t="str">
        <f t="array" ref="D14">INDEX('Mã NV'!D:D,MATCH(L5,'Mã NV'!B:B,0))</f>
        <v>Lê Văn Vũ</v>
      </c>
      <c r="G14" t="str">
        <v>Quốc tịch: Việt Nam</v>
      </c>
    </row>
    <row r="15">
      <c r="A15" t="str">
        <v>Sinh Ngày</v>
      </c>
      <c r="B15" t="str">
        <v>:</v>
      </c>
      <c r="C15">
        <f t="array" ref="C15">INDEX('Mã NV'!I:I,MATCH(L5,'Mã NV'!B:B,0))</f>
        <v>28664</v>
      </c>
      <c r="S15" t="str">
        <v>XE01162</v>
      </c>
    </row>
    <row r="16">
      <c r="A16" t="str">
        <v>Địa chỉ thường trú</v>
      </c>
      <c r="B16" t="str">
        <v>:</v>
      </c>
      <c r="C16" t="str">
        <f t="array" ref="C16">INDEX('Mã NV'!S:S,MATCH(L5,'Mã NV'!B:B,0))</f>
        <v>Đông Hoàng, Đông Hưng, Thái Bình</v>
      </c>
    </row>
    <row r="17">
      <c r="A17" t="str">
        <v>Số GPLX</v>
      </c>
      <c r="B17" t="str">
        <v>:</v>
      </c>
      <c r="C17" t="str">
        <f t="array" ref="C17">INDEX('Mã NV'!N:N,MATCH(L5,'Mã NV'!B:B,0))</f>
        <v>340090340908</v>
      </c>
      <c r="E17" t="str">
        <f t="array" ref="E17">"Hạng: "&amp;INDEX('Mã NV'!P:P,MATCH(L5,'Mã NV'!B:B,0))</f>
        <v>Hạng: D</v>
      </c>
      <c r="F17" t="str">
        <f t="array" ref="F17">"Ngày cấp: "&amp;text(INDEX('Mã NV'!Q:Q,MATCH(L5,'Mã NV'!B:B,0)),"dd/mm/yyyy")</f>
        <v>Ngày cấp: 01/09/2022</v>
      </c>
      <c r="H17" t="str">
        <f t="array" ref="H17">"Nơi cấp: "&amp;INDEX('Mã NV'!O:O,MATCH(L5,'Mã NV'!B:B,0))</f>
        <v>Nơi cấp: Sở GTVT Thái Bình</v>
      </c>
      <c r="Q17" t="str">
        <v>1009.1/2025/HĐLĐ</v>
      </c>
      <c r="R17">
        <v>45908</v>
      </c>
      <c r="S17">
        <v>46295</v>
      </c>
    </row>
    <row r="18">
      <c r="A18" t="str">
        <v>CCCD/Passport</v>
      </c>
      <c r="B18" t="str">
        <v>:</v>
      </c>
      <c r="C18" t="str">
        <f t="array" ref="C18">INDEX('Mã NV'!J:J,MATCH(L5,'Mã NV'!B:B,0))</f>
        <v>34078002397</v>
      </c>
      <c r="E18" t="str">
        <f t="array" ref="E18">"Ngày cấp: "&amp;text(INDEX('Mã NV'!K:K,MATCH(L5,'Mã NV'!B:B,0)),"dd/mm/yyyy")</f>
        <v>Ngày cấp: 27/11/2015</v>
      </c>
      <c r="G18" t="str">
        <f t="array" ref="G18">"Nơi cấp: "&amp;INDEX('Mã NV'!L:L,MATCH(L5,'Mã NV'!B:B,0))</f>
        <v>Nơi cấp: Cục CS QLHC về trật tự XH</v>
      </c>
    </row>
    <row r="19">
      <c r="A19" t="str">
        <v>(Dưới đây gọi là Người lao động)</v>
      </c>
    </row>
    <row r="20">
      <c r="A20" t="str">
        <v>Thỏa thuận ký kết hợp đồng lao động và cam kết làm đúng những điều khoản sau đây:</v>
      </c>
    </row>
    <row r="21">
      <c r="A21" t="str">
        <v>Điều 1. Thời hạn và công việc hợp đồng:</v>
      </c>
    </row>
    <row r="22">
      <c r="A22" t="str">
        <v>- Loại hợp đồng: Hợp đồng lao động xác định thời hạn</v>
      </c>
    </row>
    <row r="23">
      <c r="A23" t="str">
        <f>"- Từ ngày "&amp;TEXT(L6,"dd/mm/yyyy")&amp;" đến ngày "&amp;TEXT(L7,"dd/mm/yyyy")</f>
        <v>- Từ ngày 24/06/2026 đến ngày 23/06/2027</v>
      </c>
    </row>
    <row r="24">
      <c r="A24" t="str">
        <v xml:space="preserve">- Địa điểm làm việc: Toà nhà Licogi 12, số 21 Đại Từ, phường Định Công, Hà Nội </v>
      </c>
    </row>
    <row r="25">
      <c r="A25" t="str">
        <v xml:space="preserve">- Chức danh chuyên môn: </v>
      </c>
      <c r="D25" t="str">
        <v>Nhân viên lái xe</v>
      </c>
    </row>
    <row r="26">
      <c r="A26" t="str">
        <v>- Công việc phải làm: Theo mô tả công việc</v>
      </c>
    </row>
    <row r="27">
      <c r="A27" t="str">
        <v>Điều 2. Chế độ làm việc:</v>
      </c>
    </row>
    <row r="28">
      <c r="A28" t="str">
        <v>- Thời gian làm việc: 6 ngày/tuần, 48h/tuần</v>
      </c>
    </row>
    <row r="29">
      <c r="A29" t="str">
        <v>- Được cấp phát những dụng cụ làm việc: Theo nhu cầu công việc và theo chính sách của Công ty</v>
      </c>
    </row>
    <row r="30">
      <c r="A30" t="str">
        <v>Điều 3. Nghĩa vụ và quyền lợi của người lao động:</v>
      </c>
    </row>
    <row r="31">
      <c r="A31" t="str">
        <v>1 - Quyền lợi:</v>
      </c>
    </row>
    <row r="32">
      <c r="A32" t="str">
        <v>- Phương tiện đi lại làm việc: Tự túc</v>
      </c>
    </row>
    <row r="33">
      <c r="A33" t="str">
        <v>- Mức lương chính hoặc tiền công:</v>
      </c>
      <c r="E33" t="str">
        <f t="array" ref="E33">INDEX('Mã NV'!Y:Y,MATCH(L5,'Mã NV'!B:B,0))</f>
        <v/>
      </c>
      <c r="F33" t="str">
        <v>đồng/tháng</v>
      </c>
    </row>
    <row r="34">
      <c r="A34" t="str">
        <v>- Hình thức trả lương: Theo tháng, thanh toán bằng TM/CK</v>
      </c>
    </row>
    <row r="35">
      <c r="A35" t="str">
        <v>- Phụ cấp gồm: Được trả theo chính sách về tiền lương của Công ty</v>
      </c>
    </row>
    <row r="36">
      <c r="A36" t="str">
        <v>- Kỳ hạn trả lương: Được trả lương vào ngày 10 và 25 của tháng kế tiếp hàng tháng</v>
      </c>
    </row>
    <row r="37">
      <c r="A37" t="str">
        <v>- Tiền thưởng: Được thưởng hàng năm theo chính sách về tiền lương của Công ty</v>
      </c>
    </row>
    <row r="38">
      <c r="A38" t="str">
        <v>- Chế độ nâng lương: Được thực hiện theo chính sách nâng lương của công ty</v>
      </c>
    </row>
    <row r="39">
      <c r="A39" t="str">
        <v>- Được trang bị bảo hộ lao động: Theo quy định về bảo hộ lao động hiện hành</v>
      </c>
    </row>
    <row r="40">
      <c r="A40" t="str">
        <v>- Chế độ nghỉ ngơi (nghỉ hàng tuần, phép năm, lễ tết,…): Theo quy định của Công ty</v>
      </c>
    </row>
    <row r="41">
      <c r="A41" t="str">
        <v>- Bảo hiểm Xã hội, Bảo hiểm Y tế, Bảo hiểm thất nghiệp: Được thực hiện theo quy định của Luật Bảo hiểm Xã hội</v>
      </c>
    </row>
    <row r="42">
      <c r="A42" t="str">
        <v xml:space="preserve"> và quy định về Bảo hiểm y tế hiện hành</v>
      </c>
    </row>
    <row r="43">
      <c r="A43" t="str">
        <v>- Chế độ đào tạo: Theo chính sách về đào tạo của Công ty</v>
      </c>
    </row>
    <row r="44">
      <c r="A44" t="str">
        <v xml:space="preserve">- Và những thỏa thuận khác (nếu có): Áp dụng theo luật lao động, nội quy lao động và các quy định, quy chế, </v>
      </c>
    </row>
    <row r="45">
      <c r="A45" t="str">
        <v>thông báo nội bộ có liên quan của Công ty và Phụ lục hợp đồng lao động kèm theo (nếu có).</v>
      </c>
    </row>
    <row r="46">
      <c r="A46" t="str">
        <v xml:space="preserve">- Những thoả thuận khác: Người lao động có trách nhiệm giữ bí mật tất cả những thông tin liên quan đến việc sản </v>
      </c>
    </row>
    <row r="47">
      <c r="A47" t="str">
        <v xml:space="preserve">xuất, kinh doanh, tổ chức và các thông tin bảo mật khác của Công ty mà Anh/Chị biết được trong quá trình làm </v>
      </c>
    </row>
    <row r="48">
      <c r="A48" t="str">
        <v>việc. Anh/Chị không được tiết lộ thông tin đó với bất kỳ ai trong hay ngoài Công ty nếu không có sự chấp thuận</v>
      </c>
    </row>
    <row r="49">
      <c r="A49" t="str">
        <v>trước của Giám đốc Công ty. Trách nhiệm giữ bí mật thông tin này vẫn tiếp tục kể cả sau khi Anh/Chị nghỉ việc.</v>
      </c>
    </row>
    <row r="50">
      <c r="A50" t="str">
        <v>Tuy nhiên, sẽ không áp dụng đối với các thông tin mà Công ty đã phổ biến rộng rãi.</v>
      </c>
    </row>
    <row r="51">
      <c r="A51" t="str">
        <v>2 - Nghĩa vụ:</v>
      </c>
    </row>
    <row r="52">
      <c r="A52" t="str">
        <v>- Hoàn thành những công việc đã cam kết trong hợp đồng lao động, trong bản mô tả công việc.</v>
      </c>
    </row>
    <row r="53">
      <c r="A53" t="str">
        <v xml:space="preserve">- Chấp hành việc thuyên chuyển, điều động công tác, lệnh điều hành sản xuất kinh doanh do Người sử dụng lao </v>
      </c>
    </row>
    <row r="54">
      <c r="A54" t="str">
        <v xml:space="preserve">động quyết định, tuân thủ nội dung kỷ luật lao động, an toàn lao động, an ninh trật tự, phòng cháy chữa cháy, thủ </v>
      </c>
    </row>
    <row r="55">
      <c r="A55" t="str">
        <v xml:space="preserve">tục tiêu chuẩn quy định, chuẩn mực văn hoá (quy tắc đạo đức và hành vi ứng xử) và các quy định khác của Công </v>
      </c>
    </row>
    <row r="56">
      <c r="A56" t="str">
        <v>ty tại từng thời điểm.</v>
      </c>
    </row>
    <row r="57">
      <c r="A57" t="str">
        <v>- Chấp hành các quy định của luật giao thông đường bộ và quy định sử dụng phương tiện.</v>
      </c>
    </row>
    <row r="58">
      <c r="A58" t="str">
        <v xml:space="preserve">- Báo cáo kịp thời với người có trách nhiệm khi phát hiện nguy cơ gây tai nạn lao động, bệnh nghề nghiệp, gây </v>
      </c>
    </row>
    <row r="59">
      <c r="A59" t="str">
        <v xml:space="preserve">độc hại hoặc sự cố nguy hiểm, tham gia cấp cứu và khắc phục hậu quả tai nạn lao động khi có lệnh của Người sử </v>
      </c>
    </row>
    <row r="60">
      <c r="A60" t="str">
        <v>dụng lao động.</v>
      </c>
    </row>
    <row r="61">
      <c r="A61" t="str">
        <v>- Bồi thường vi phạm và vật chất: Theo quy định của công ty và theo luật Lao động hiện hành</v>
      </c>
    </row>
    <row r="62">
      <c r="A62" t="str">
        <v xml:space="preserve">- Người lao động phải bồi thường thiệt hại vật chất đối với những công cụ lao động hoặc tài sản được giao cho cá </v>
      </c>
    </row>
    <row r="63">
      <c r="A63" t="str">
        <v>nhân sử dụng mà để xảy ra mất mát, hư hỏng do lỗi chủ quan.</v>
      </c>
    </row>
    <row r="64">
      <c r="A64" t="str">
        <v xml:space="preserve">- Người lao động phải bồi thường thiệt hại vật chất cho Công ty do hành vi vi phạm kỷ luật lao động của mình </v>
      </c>
    </row>
    <row r="65">
      <c r="A65" t="str">
        <v>gây ra.</v>
      </c>
    </row>
    <row r="66">
      <c r="A66" t="str">
        <v>- Thông báo kịp thời cho Phòng Nhân sự của Công ty những thay đổi cá nhân như sắp hết hạn giá trị sử dụng bằng</v>
      </c>
    </row>
    <row r="67">
      <c r="A67" t="str">
        <v xml:space="preserve">lái xe, căn cước công dân hoặc những thay đổi thông tin trên các loại giấy tờ cá nhân, địa chỉ thường trú, tạm trú, </v>
      </c>
    </row>
    <row r="68">
      <c r="A68" t="str">
        <v>địa chỉ liên lạc, giấy khám sức khoẻ và các thông tin liên quan khác của Người lao động.</v>
      </c>
    </row>
    <row r="69">
      <c r="A69" t="str">
        <v>- Thực hiện nghĩa vụ báo trước theo quy định của pháp luật nếu đơn phương chấm dứt hợp đồng lao động và thực</v>
      </c>
    </row>
    <row r="70">
      <c r="A70" t="str">
        <v>hiện trách nhiệm bàn giao theo đúng quy trình, quy định của Công ty.</v>
      </c>
    </row>
    <row r="71">
      <c r="A71" t="str">
        <v>- Bồi thường chi phí đào tạo (nếu có) khi đơn phương chấm dứt hợp đồng lao động.</v>
      </c>
    </row>
    <row r="72">
      <c r="A72" t="str">
        <v>Điều 4. Nghĩa vụ và quyền hạn của Người sử dụng lao động:</v>
      </c>
    </row>
    <row r="73">
      <c r="A73" t="str">
        <v>1 - Nghĩa vụ:</v>
      </c>
    </row>
    <row r="74">
      <c r="A74" t="str">
        <v>- Bảo đảm việc làm và thực hiện đầy đủ những điều đã cam kết trong Hợp đồng lao động này.</v>
      </c>
    </row>
    <row r="75">
      <c r="A75" t="str">
        <v xml:space="preserve">- Thanh toán đầy đủ, đúng thời hạn các chế độ và quyền lợi cho người lao động theo Hợp đồng lao động, Phụ lục </v>
      </c>
    </row>
    <row r="76">
      <c r="A76" t="str">
        <v>hợp đồng, Thoả ước lao động tập thể (nếu có).</v>
      </c>
    </row>
    <row r="77">
      <c r="A77" t="str">
        <v>- Thực hiện nghĩa vụ báo trước theo quy định của pháp luật nếu đơn phương chấm dứt hợp đồng lao động.</v>
      </c>
    </row>
    <row r="78">
      <c r="A78" t="str">
        <v xml:space="preserve">- Người lao động ngừng việc, Người sử dụng lao động sẽ thanh toán tiền lương, thanh lý hợp đồng lao động cùng </v>
      </c>
    </row>
    <row r="79">
      <c r="A79" t="str">
        <v>kỳ trả lương kế tiếp của Công ty.</v>
      </c>
    </row>
    <row r="80">
      <c r="A80" t="str">
        <v>2 - Quyền hạn:</v>
      </c>
    </row>
    <row r="81">
      <c r="A81" t="str">
        <v>- Điều hành Người lao động hoàn thành công việc theo Hợp đồng lao động (bố trí, điều chuyển, tạm ngừng việc).</v>
      </c>
    </row>
    <row r="82">
      <c r="A82" t="str">
        <v xml:space="preserve">- Tạm hoãn, chấm dứt Hợp đồng lao động, kỷ luật Người lao động theo quy định của pháp luật, Thoả ước lao động </v>
      </c>
    </row>
    <row r="83">
      <c r="A83" t="str">
        <v>tập thể (nếu có) và Nội quy lao động của Công ty.</v>
      </c>
    </row>
    <row r="84">
      <c r="A84" t="str">
        <v xml:space="preserve">- Xử lý kỷ luật lao động, yêu cầu Người lao động bồi thường trách nhiệm vật chất nếu Người lao động có vi phạm </v>
      </c>
    </row>
    <row r="85">
      <c r="A85" t="str">
        <v>theo quy định của pháp luật và nội quy lao động của Công ty.</v>
      </c>
    </row>
    <row r="86">
      <c r="A86" t="str">
        <v>Điều 5. Điều khoản thi hành:</v>
      </c>
    </row>
    <row r="87">
      <c r="A87" t="str">
        <v xml:space="preserve">- Những vấn đề về lao động không ghi trong Hợp đồng lao động này thì áp dụng quy định của Luật lao động và </v>
      </c>
    </row>
    <row r="88">
      <c r="A88" t="str">
        <v>theo quy định của Công ty</v>
      </c>
    </row>
    <row r="89">
      <c r="A89" t="str">
        <v>- Hợp đồng này được làm thành 02 bản có giá trị như nhau, mỗi bên giữ 01 bản và có hiệu lực kể từ ngày ký.</v>
      </c>
    </row>
    <row r="91">
      <c r="A91" t="str">
        <v>NGƯỜI LAO ĐỘNG</v>
      </c>
      <c r="F91" t="str">
        <v>NGƯỜI SỬ DỤNG LAO ĐỘNG</v>
      </c>
    </row>
    <row r="94">
      <c r="A94" t="str">
        <v xml:space="preserve">  TRẦN VĂN TRUNG   </v>
      </c>
      <c r="F94" t="str">
        <v>NGUYỄN TRỌNG KHÁNH</v>
      </c>
    </row>
  </sheetData>
  <mergeCells count="30">
    <mergeCell ref="A1:D1"/>
    <mergeCell ref="F1:I1"/>
    <mergeCell ref="A2:D2"/>
    <mergeCell ref="F2:I2"/>
    <mergeCell ref="F3:I3"/>
    <mergeCell ref="F5:I5"/>
    <mergeCell ref="A6:I6"/>
    <mergeCell ref="A7:I7"/>
    <mergeCell ref="C8:D8"/>
    <mergeCell ref="C10:I10"/>
    <mergeCell ref="A14:C14"/>
    <mergeCell ref="D14:F14"/>
    <mergeCell ref="G14:H14"/>
    <mergeCell ref="G15:I15"/>
    <mergeCell ref="C15:D15"/>
    <mergeCell ref="C17:D17"/>
    <mergeCell ref="C18:D18"/>
    <mergeCell ref="E18:F18"/>
    <mergeCell ref="G18:I18"/>
    <mergeCell ref="A19:D19"/>
    <mergeCell ref="A21:I21"/>
    <mergeCell ref="A94:D94"/>
    <mergeCell ref="F94:I94"/>
    <mergeCell ref="A27:E27"/>
    <mergeCell ref="A31:E31"/>
    <mergeCell ref="A33:D33"/>
    <mergeCell ref="A34:I34"/>
    <mergeCell ref="A35:I35"/>
    <mergeCell ref="A91:D91"/>
    <mergeCell ref="F91:I91"/>
  </mergeCells>
  <pageMargins left="0.7874015748031495" right="0.4704724409448819" top="0.6692913385826771" bottom="0.5905511811023622" header="0" footer="0"/>
  <ignoredErrors>
    <ignoredError numberStoredAsText="1" sqref="A1:S1012"/>
  </ignoredErrors>
</worksheet>
</file>

<file path=xl/worksheets/sheet7.xml><?xml version="1.0" encoding="utf-8"?>
<worksheet xmlns="http://schemas.openxmlformats.org/spreadsheetml/2006/main" xmlns:r="http://schemas.openxmlformats.org/officeDocument/2006/relationships">
  <dimension ref="A1:M1007"/>
  <sheetViews>
    <sheetView workbookViewId="0"/>
  </sheetViews>
  <sheetData>
    <row r="1">
      <c r="A1" t="str">
        <v>CÔNG TY TNHH X.E VIỆT NAM</v>
      </c>
      <c r="F1" t="str">
        <v>CỘNG HOÀ XÃ HỘI CHỦ NGHĨA VIỆT NAM</v>
      </c>
    </row>
    <row r="2">
      <c r="A2" t="str">
        <f t="array" ref="A2">"Số: "&amp;INDEX('Mã NV'!AO:AO,MATCH(L5,'Mã NV'!B:B,0))&amp;"-X.E"</f>
        <v>Số: -X.E</v>
      </c>
      <c r="F2" t="str">
        <v>Độc lập - Tự do - Hạnh phúc</v>
      </c>
    </row>
    <row r="3">
      <c r="F3" t="str">
        <v>----------o0o---------</v>
      </c>
    </row>
    <row r="5">
      <c r="F5" t="str">
        <f>"Hà Nội, ngày "&amp;DAY(L6)&amp;" tháng "&amp;month(L6)&amp;" năm "&amp;year(L6)</f>
        <v>Hà Nội, ngày 1 tháng 6 năm 2026</v>
      </c>
      <c r="K5" t="str">
        <v>Mã NV</v>
      </c>
      <c r="L5">
        <v>18</v>
      </c>
    </row>
    <row r="6">
      <c r="K6" t="str">
        <v>Ngày ký HĐ</v>
      </c>
      <c r="L6">
        <v>46174</v>
      </c>
    </row>
    <row r="7">
      <c r="A7" t="str">
        <v>HỢP ĐỒNG LAO ĐỘNG</v>
      </c>
      <c r="M7" t="str">
        <v>XE00908</v>
      </c>
    </row>
    <row r="9">
      <c r="A9" t="str">
        <v>Chúng tôi, một bên là Ông: Nguyễn Trọng Khánh</v>
      </c>
      <c r="G9" t="str">
        <v>Quốc tịch: Việt Nam</v>
      </c>
    </row>
    <row r="10">
      <c r="A10" t="str">
        <v>Chức vụ</v>
      </c>
      <c r="B10" t="str">
        <v>:</v>
      </c>
      <c r="C10" t="str">
        <v>Giám Đốc</v>
      </c>
    </row>
    <row r="11">
      <c r="A11" t="str">
        <v>Đại diện cho</v>
      </c>
      <c r="B11" t="str">
        <v>:</v>
      </c>
      <c r="C11" t="str">
        <v>Công ty TNHH X.E Việt Nam</v>
      </c>
      <c r="G11" t="str">
        <v>Điện Thoại: 024.3681.5722</v>
      </c>
    </row>
    <row r="12">
      <c r="A12" t="str">
        <v>Địa chỉ</v>
      </c>
      <c r="B12" t="str">
        <v>:</v>
      </c>
      <c r="C12" t="str">
        <v>Số 4 đường Văn Chỉ, thôn Tam Đa, xã Tam Hưng, thành phố Hà Nội, Việt Nam</v>
      </c>
    </row>
    <row r="13">
      <c r="A13" t="str">
        <v>(Dưới đây gọi là Người sử dụng lao động)</v>
      </c>
    </row>
    <row r="15">
      <c r="A15" t="str">
        <v>Và một bên là Ông/Bà:</v>
      </c>
      <c r="D15" t="str">
        <f t="array" ref="D15">INDEX('Mã NV'!D:D,MATCH(L5,'Mã NV'!B:B,0))</f>
        <v>Lê Văn Vũ</v>
      </c>
      <c r="G15" t="str">
        <v>Quốc tịch: Việt Nam</v>
      </c>
    </row>
    <row r="16">
      <c r="A16" t="str">
        <v>Sinh Ngày</v>
      </c>
      <c r="B16" t="str">
        <v>:</v>
      </c>
      <c r="C16">
        <f t="array" ref="C16">INDEX('Mã NV'!I:I,MATCH(L5,'Mã NV'!B:B,0))</f>
        <v>28664</v>
      </c>
    </row>
    <row r="17">
      <c r="A17" t="str">
        <v>Địa chỉ thường trú</v>
      </c>
      <c r="B17" t="str">
        <v>:</v>
      </c>
      <c r="C17" t="str">
        <f t="array" ref="C17">INDEX('Mã NV'!S:S,MATCH(L5,'Mã NV'!B:B,0))</f>
        <v>Đông Hoàng, Đông Hưng, Thái Bình</v>
      </c>
    </row>
    <row r="18">
      <c r="A18" t="str">
        <v>Số GPLX</v>
      </c>
      <c r="B18" t="str">
        <v>:</v>
      </c>
      <c r="C18" t="str">
        <f t="array" ref="C18">INDEX('Mã NV'!N:N,MATCH(L5,'Mã NV'!B:B,0))</f>
        <v>340090340908</v>
      </c>
      <c r="E18" t="str">
        <f t="array" ref="E18">"Hạng: "&amp;INDEX('Mã NV'!P:P,MATCH(L5,'Mã NV'!B:B,0))</f>
        <v>Hạng: D</v>
      </c>
      <c r="F18" t="str">
        <f t="array" ref="F18">"Ngày cấp: "&amp;text(INDEX('Mã NV'!Q:Q,MATCH(L5,'Mã NV'!B:B,0)),"dd/mm/yyyy")</f>
        <v>Ngày cấp: 01/09/2022</v>
      </c>
      <c r="H18" t="str">
        <f t="array" ref="H18">"Nơi cấp: "&amp;INDEX('Mã NV'!O:O,MATCH(L5,'Mã NV'!B:B,0))</f>
        <v>Nơi cấp: Sở GTVT Thái Bình</v>
      </c>
    </row>
    <row r="19">
      <c r="A19" t="str">
        <v>CMND/Passport</v>
      </c>
      <c r="B19" t="str">
        <v>:</v>
      </c>
      <c r="C19" t="str">
        <f t="array" ref="C19">INDEX('Mã NV'!J:J,MATCH(L5,'Mã NV'!B:B,0))</f>
        <v>34078002397</v>
      </c>
      <c r="E19" t="str">
        <f t="array" ref="E19">"Ngày cấp: "&amp;text(INDEX('Mã NV'!K:K,MATCH(L5,'Mã NV'!B:B,0)),"dd/mm/yyyy")</f>
        <v>Ngày cấp: 27/11/2015</v>
      </c>
      <c r="G19" t="str">
        <f t="array" ref="G19">"Nơi cấp: "&amp;INDEX('Mã NV'!L:L,MATCH(L5,'Mã NV'!B:B,0))</f>
        <v>Nơi cấp: Cục CS QLHC về trật tự XH</v>
      </c>
    </row>
    <row r="20">
      <c r="A20" t="str">
        <v>(Dưới đây gọi là Người lao động)</v>
      </c>
    </row>
    <row r="22">
      <c r="A22" t="str">
        <v>Thỏa thuận ký kết Hợp đồng lao động và cam kết làm đúng những điều khoản sau đây:</v>
      </c>
    </row>
    <row r="23">
      <c r="A23" t="str">
        <v>Điều 1. Thời hạn và công việc hợp đồng:</v>
      </c>
    </row>
    <row r="24">
      <c r="A24" t="str">
        <v>- Loại hợp đồng: Hợp đồng lao động xác định thời hạn</v>
      </c>
    </row>
    <row r="25">
      <c r="A25" t="str">
        <f t="array" ref="A25">"- Từ ngày "&amp;TEXT(INDEX('Mã NV'!AP:AP,MATCH(L5,'Mã NV'!B:B,0)),"dd/mm/yyyy")&amp;" đến ngày "&amp;TEXT(INDEX('Mã NV'!AQ:AQ,MATCH(L5,'Mã NV'!B:B,0)),"dd/mm/yyyy")</f>
        <v>- Từ ngày 30/12/1899 đến ngày 30/12/1899</v>
      </c>
    </row>
    <row r="26">
      <c r="A26" t="str">
        <f>"- Địa điểm làm việc: Bắc - Nam "</f>
        <v xml:space="preserve">- Địa điểm làm việc: Bắc - Nam </v>
      </c>
    </row>
    <row r="27">
      <c r="A27" t="str">
        <v>- Chức danh chuyên môn: Nhân viên lái xe</v>
      </c>
      <c r="G27" t="str">
        <v>Chức vụ:</v>
      </c>
      <c r="H27" t="str">
        <f t="array" ref="H27">INDEX('Mã NV'!X:X,MATCH(L5,'Mã NV'!B:B,0))</f>
        <v/>
      </c>
    </row>
    <row r="28">
      <c r="A28" t="str">
        <v>- Công việc phải làm: Theo mô tả công việc</v>
      </c>
    </row>
    <row r="29">
      <c r="A29" t="str">
        <v>Điều 2. Chế độ làm việc:</v>
      </c>
    </row>
    <row r="30">
      <c r="A30" t="str">
        <v>- Thời gian làm việc: 8h/ngày, 6 ngày/ tuần</v>
      </c>
    </row>
    <row r="31">
      <c r="A31" t="str">
        <v>- Được cấp phát những dụng cụ làm việc: Theo nhu cầu công việc và theo chính sách của công ty</v>
      </c>
    </row>
    <row r="32">
      <c r="A32" t="str">
        <v>Điều 3. Nghĩa vụ và quyền lợi của Người lao động:</v>
      </c>
    </row>
    <row r="33">
      <c r="A33" t="str">
        <v>1 - Quyền lợi:</v>
      </c>
    </row>
    <row r="34">
      <c r="A34" t="str">
        <v>- Phương tiện đi lại làm việc: Tự túc</v>
      </c>
    </row>
    <row r="35">
      <c r="A35" t="str">
        <v>- Mức lương chính hoặc tiền công:</v>
      </c>
      <c r="E35" t="str">
        <f t="array" ref="E35">INDEX('Mã NV'!Y:Y,MATCH(L5,'Mã NV'!B:B,0))</f>
        <v/>
      </c>
      <c r="F35" t="str">
        <v>đồng/tháng</v>
      </c>
    </row>
    <row r="36">
      <c r="A36" t="str">
        <v>- Hình thức trả lương: Theo tháng, thanh toán bằng TM/CK</v>
      </c>
    </row>
    <row r="37">
      <c r="A37" t="str">
        <v>- Phụ cấp gồm: Được trả theo chính sách về tiền lương của Công ty</v>
      </c>
    </row>
    <row r="38">
      <c r="A38" t="str">
        <v>- Kỳ hạn trả lương: Được trả lương vào ngày 10 và 25 của tháng kế tiếp hàng tháng</v>
      </c>
    </row>
    <row r="39">
      <c r="A39" t="str">
        <v>- Tiền thưởng: Được thưởng hàng năm theo chính sách về tiền lương của Công ty</v>
      </c>
    </row>
    <row r="40">
      <c r="A40" t="str">
        <v>- Chế độ nâng lương: Được thực hiện theo chính sách nâng lương của công ty</v>
      </c>
    </row>
    <row r="41">
      <c r="A41" t="str">
        <v>- Được trang bị bảo hộ lao động: Theo quy định về bảo hộ lao động hiện hành</v>
      </c>
    </row>
    <row r="42">
      <c r="A42" t="str">
        <v>- Chế độ nghỉ ngơi (nghỉ hàng tuần, phép năm, lễ tết,…): Theo quy định của công ty</v>
      </c>
    </row>
    <row r="43">
      <c r="A43" t="str">
        <v xml:space="preserve">- Bảo hiểm Xã hội, Bảo hiểm Y tế, Bảo hiểm thất nghiệp: Được thực hiện theo quy định của Luật Bảo hiểm Xã hội và </v>
      </c>
    </row>
    <row r="44">
      <c r="A44" t="str">
        <v>quy định về Bảo hiểm y tế hiện hành</v>
      </c>
    </row>
    <row r="45">
      <c r="A45" t="str">
        <v>- Chế độ đào tạo: Theo chính sách về đào tạo của Công ty</v>
      </c>
    </row>
    <row r="46">
      <c r="A46" t="str">
        <v>- Và những thỏa thuận khác (nếu có):Áp dụng theo luật lao động, nội quy lao động và các quy định, quy chế, thông báo</v>
      </c>
    </row>
    <row r="47">
      <c r="A47" t="str">
        <v>nội bộ có liên quan của Công ty và Phụ lục hợp đồng lao động kèm theo (nếu có)</v>
      </c>
    </row>
    <row r="48">
      <c r="A48" t="str">
        <v>- Những thoả thuận khác: Người lao động có trách nhiệm giữ bí mật tất cả những thông tin liên quan đến việc sản xuất</v>
      </c>
    </row>
    <row r="49">
      <c r="A49" t="str">
        <v xml:space="preserve">kinh doanh, tổ chức và các thông tin bảo mật khác của Công ty mà Anh/Chị biết được trong quá trình làm việc. </v>
      </c>
    </row>
    <row r="50">
      <c r="A50" t="str">
        <v>Anh/Chị không được tiết lộ thông tin đó với bất kỳ ai trong hay ngoài Công ty nếu không có sự chấp thuận trước của</v>
      </c>
    </row>
    <row r="51">
      <c r="A51" t="str">
        <v>Giám đốc Công ty. Trách nhiệm giữ bí mật thông tin này vẫn sẽ tiếp tục kể cả sau khi Anh/Chị nghỉ việc. Tuy nhiên, sẽ</v>
      </c>
    </row>
    <row r="52">
      <c r="A52" t="str">
        <v>không áp dụng đối với các thông tin mà Công ty đã phổ biến rộng rãi.</v>
      </c>
    </row>
    <row r="53">
      <c r="A53" t="str">
        <v>2 - Nghĩa vụ:</v>
      </c>
    </row>
    <row r="54">
      <c r="A54" t="str">
        <v>- Hoàn thành những công việc đã cam kết trong Hợp đồng lao động, trong bản mô tả công việc</v>
      </c>
    </row>
    <row r="55">
      <c r="A55" t="str">
        <v xml:space="preserve">- Chấp hành việc thuyên chuyển, điều động công tác, lệnh điều hành sản xuất - kinh doanh do Người sử dụng lao động </v>
      </c>
    </row>
    <row r="56">
      <c r="A56" t="str">
        <v xml:space="preserve">quyết định, tuân thủ nội dung kỷ luật lao động, an toàn lao động, an ninh trật tự, phòng cháy chữa cháy, thủ tục tiêu </v>
      </c>
    </row>
    <row r="57">
      <c r="A57" t="str">
        <v>chuẩn quy định, chuẩn mực văn hoá (quy tắc đạo đức và hành vi ứng xử) và các quy định khác của Công ty tại từng</v>
      </c>
    </row>
    <row r="58">
      <c r="A58" t="str">
        <v>thời điểm.</v>
      </c>
    </row>
    <row r="59">
      <c r="A59" t="str">
        <v>- Chấp hành các quy định của luật giao thông đường bộ và quy định sử dụng phương tiện</v>
      </c>
    </row>
    <row r="60">
      <c r="A60" t="str">
        <v>- Bồi thường vi phạm và vật chất: Theo quy định của các hợp đồng riêng biệt và theo luật Lao động hiện hành</v>
      </c>
    </row>
    <row r="61">
      <c r="A61" t="str">
        <v>- Người lao động phải bồi thường thiệt hại vật chất đối với những công cụ lao động hoặc tài sản được giao cho cá nhân</v>
      </c>
    </row>
    <row r="62">
      <c r="A62" t="str">
        <v xml:space="preserve"> sử dụng mà để xảy ra mất mát, hư hỏng do lỗi chủ quan.</v>
      </c>
    </row>
    <row r="63">
      <c r="A63" t="str">
        <v>- Người lao động phải bồi thường thiệt hại vật chất cho Công ty do hành vi vi phạm kỷ luật lao động của mình gây ra.</v>
      </c>
    </row>
    <row r="64">
      <c r="A64" t="str">
        <v xml:space="preserve">- Thông báo kịp thời cho Phòng Nhân sự của Công ty những thay đổi cá nhân như căn cước công dân hoặc những thay </v>
      </c>
    </row>
    <row r="65">
      <c r="A65" t="str">
        <v xml:space="preserve">đổi thông tin trên các loại giấy tờ cá nhân, địa chỉ thường trú, tạm trú, địa chỉ liên lạc, giấy khám sức khoẻ và các thông </v>
      </c>
    </row>
    <row r="66">
      <c r="A66" t="str">
        <v>tin liên quan khác của Người lao động.</v>
      </c>
    </row>
    <row r="67">
      <c r="A67" t="str">
        <v xml:space="preserve">- Thực hiện nghĩa vụ báo trước theo quy định của pháp luật nếu đơn phương chấm dứt Hợp đồng lao động và thực hiện </v>
      </c>
    </row>
    <row r="68">
      <c r="A68" t="str">
        <v>bàn giao theo đúng quy trình, quy định của Công ty</v>
      </c>
    </row>
    <row r="69">
      <c r="A69" t="str">
        <v>- Bồi thường chi phí đào tạo (nếu có) nếu đơn phương chấm dứt Hợp đồng lao động</v>
      </c>
    </row>
    <row r="70">
      <c r="A70" t="str">
        <v>Điều 4. Nghĩa vụ và quyền hạn của Người sử dụng lao động:</v>
      </c>
    </row>
    <row r="71">
      <c r="A71" t="str">
        <v>1 - Nghĩa vụ:</v>
      </c>
    </row>
    <row r="72">
      <c r="A72" t="str">
        <v>- Bảo đảm việc làm và thực hiện đầy đủ những điều đã cam kết trong Hợp đồng lao động này.</v>
      </c>
    </row>
    <row r="73">
      <c r="A73" t="str">
        <v xml:space="preserve">- Thanh toán đầy đủ, đúng thời hạn các chế độ và quyền lợi cho Người lao động theo Hợp đồng lao động, Phụ lục hợp </v>
      </c>
    </row>
    <row r="74">
      <c r="A74" t="str">
        <v>đồng, Thoả ước lao động tập thể (nếu có).</v>
      </c>
    </row>
    <row r="75">
      <c r="A75" t="str">
        <v>- Thực hiện nghĩa vụ báo trước theo quy định của pháp luật nếu đơn phương chấm dứt hợp đồng lao động.</v>
      </c>
    </row>
    <row r="76">
      <c r="A76" t="str">
        <v xml:space="preserve">- Người lao động ngừng việc, Người sử dụng lao động sẽ thanh toán tiền lương, thanh lý Hợp đồng lao động cùng kỳ trả </v>
      </c>
    </row>
    <row r="77">
      <c r="A77" t="str">
        <v>lương kế tiếp của Công ty.</v>
      </c>
    </row>
    <row r="78">
      <c r="A78" t="str">
        <v>2 - Quyền hạn:</v>
      </c>
    </row>
    <row r="79">
      <c r="A79" t="str">
        <v>- Điều hành Người lao động hoàn thành công việc theo Hợp đồng lao động (bố trí, điều chuyển, tạm ngừng việc).</v>
      </c>
    </row>
    <row r="80">
      <c r="A80" t="str">
        <v xml:space="preserve">- Tạm hoãn, chấm dứt Hợp đồng lao động, kỷ luật Người lao động theo quy định của pháp luật, Thoả ước lao động tập thể </v>
      </c>
    </row>
    <row r="81">
      <c r="A81" t="str">
        <v>(nếu có) và Nội quy lao động của Công ty.</v>
      </c>
    </row>
    <row r="82">
      <c r="A82" t="str">
        <v>- Xử lý kỷ luật lao động, yêu cầu Người lao động bồi thường trách nhiệm vật chất nếu Người lao động có vi phạm theo</v>
      </c>
    </row>
    <row r="83">
      <c r="A83" t="str">
        <v>quy định của pháp luật và nội quy lao động của Công ty</v>
      </c>
    </row>
    <row r="84">
      <c r="A84" t="str">
        <v>Điều 5. Điều khoản thi hành:</v>
      </c>
    </row>
    <row r="85">
      <c r="A85" t="str">
        <v>- Những vấn đề về lao động không ghi trong Hợp đồng lao động này thì áp dụng quy định của pháp luật lao động và theo</v>
      </c>
    </row>
    <row r="86">
      <c r="A86" t="str">
        <v>quy định của Công ty</v>
      </c>
    </row>
    <row r="87">
      <c r="A87" t="str">
        <v>- Hợp đồng này được làm thành 02 bản có giá trị như nhau, mỗi bên giữ 01 bản và có hiệu lực kể từ ngày ký.</v>
      </c>
    </row>
    <row r="89">
      <c r="A89" t="str">
        <v>NGƯỜI LAO ĐỘNG</v>
      </c>
      <c r="F89" t="str">
        <v>NGƯỜI SỬ DỤNG LAO ĐỘNG</v>
      </c>
    </row>
    <row r="92">
      <c r="A92" t="str">
        <v xml:space="preserve">                   HOẢ VĂN QUYẾT</v>
      </c>
      <c r="F92" t="str">
        <v>NGUYỄN TRỌNG KHÁNH</v>
      </c>
    </row>
  </sheetData>
  <mergeCells count="63">
    <mergeCell ref="A85:I85"/>
    <mergeCell ref="A87:I87"/>
    <mergeCell ref="A89:D89"/>
    <mergeCell ref="F89:H89"/>
    <mergeCell ref="F92:H92"/>
    <mergeCell ref="A97:D97"/>
    <mergeCell ref="F97:I97"/>
    <mergeCell ref="A75:I75"/>
    <mergeCell ref="A76:I76"/>
    <mergeCell ref="A77:I77"/>
    <mergeCell ref="A79:I79"/>
    <mergeCell ref="A80:I80"/>
    <mergeCell ref="A81:I81"/>
    <mergeCell ref="A84:I84"/>
    <mergeCell ref="A1:E1"/>
    <mergeCell ref="F1:I1"/>
    <mergeCell ref="A2:E2"/>
    <mergeCell ref="F2:I2"/>
    <mergeCell ref="F3:I3"/>
    <mergeCell ref="F5:I5"/>
    <mergeCell ref="A7:I7"/>
    <mergeCell ref="A8:H8"/>
    <mergeCell ref="A9:F9"/>
    <mergeCell ref="G9:H9"/>
    <mergeCell ref="C11:F11"/>
    <mergeCell ref="G11:I11"/>
    <mergeCell ref="C12:I12"/>
    <mergeCell ref="A13:I13"/>
    <mergeCell ref="A15:C15"/>
    <mergeCell ref="G15:H15"/>
    <mergeCell ref="C16:D16"/>
    <mergeCell ref="C18:D18"/>
    <mergeCell ref="G19:I19"/>
    <mergeCell ref="A22:H22"/>
    <mergeCell ref="A28:I28"/>
    <mergeCell ref="A29:C29"/>
    <mergeCell ref="A30:D30"/>
    <mergeCell ref="A31:H31"/>
    <mergeCell ref="A32:G32"/>
    <mergeCell ref="A37:F37"/>
    <mergeCell ref="A39:G39"/>
    <mergeCell ref="A43:I43"/>
    <mergeCell ref="A48:I48"/>
    <mergeCell ref="A49:I49"/>
    <mergeCell ref="A50:I50"/>
    <mergeCell ref="A51:I51"/>
    <mergeCell ref="A54:I54"/>
    <mergeCell ref="A55:I55"/>
    <mergeCell ref="A56:I56"/>
    <mergeCell ref="A57:I57"/>
    <mergeCell ref="A60:I60"/>
    <mergeCell ref="A61:I61"/>
    <mergeCell ref="A62:I62"/>
    <mergeCell ref="A63:I63"/>
    <mergeCell ref="A64:I64"/>
    <mergeCell ref="A65:I65"/>
    <mergeCell ref="A66:I66"/>
    <mergeCell ref="A67:I67"/>
    <mergeCell ref="A68:I68"/>
    <mergeCell ref="A69:I69"/>
    <mergeCell ref="A70:F70"/>
    <mergeCell ref="A72:H72"/>
    <mergeCell ref="A73:I73"/>
  </mergeCells>
  <pageMargins left="0.7480314960629921" right="0.47244094488188976" top="0.47244094488188976" bottom="0.5905511811023622" header="0" footer="0"/>
  <ignoredErrors>
    <ignoredError numberStoredAsText="1" sqref="A1:M1007"/>
  </ignoredErrors>
</worksheet>
</file>

<file path=xl/worksheets/sheet8.xml><?xml version="1.0" encoding="utf-8"?>
<worksheet xmlns="http://schemas.openxmlformats.org/spreadsheetml/2006/main" xmlns:r="http://schemas.openxmlformats.org/officeDocument/2006/relationships">
  <dimension ref="A1:M1006"/>
  <sheetViews>
    <sheetView workbookViewId="0"/>
  </sheetViews>
  <sheetData>
    <row r="2" xml:space="preserve">
      <c r="A2" t="str" xml:space="preserve">
        <f xml:space="preserve">IF(K2=1,"CÔNG TY TNHH X.E VIỆT NAM",
IF(K2=2,"CÔNG TY TNHH DU LỊCH X.E VIỆT NAM",
IF(K2=4,"CÔNG TY TNHH DU LỊCH VISUN",
"CÔNG TY CỔ PHẦN THƯƠNG MẠI VÀ DỊCH VỤ X.E")))</f>
        <v>CÔNG TY TNHH X.E VIỆT NAM</v>
      </c>
      <c r="F2" t="str">
        <v>CỘNG HOÀ XÃ HỘI CHỦ NGHĨA VIỆT NAM</v>
      </c>
      <c r="J2" t="str">
        <v>Đơn vị</v>
      </c>
      <c r="K2">
        <v>1</v>
      </c>
      <c r="L2" t="str">
        <v>X.E Việt Nam</v>
      </c>
      <c r="M2">
        <v>1</v>
      </c>
    </row>
    <row r="3" xml:space="preserve">
      <c r="A3" t="str" xml:space="preserve">
        <f xml:space="preserve">"Số: "&amp;K5&amp;".3/"&amp;YEAR(K6)&amp;"/HĐLĐ"&amp;IF(K2=1,"-X.E",
IF(K2=2,"-DLX.E",
IF(K2=4,"-DLVISUN",
"-TM&amp;DVX.E")))</f>
        <v>Số: 18.3/1899/HĐLĐ-X.E</v>
      </c>
      <c r="F3" t="str">
        <v>Độc lập - Tự do - Hạnh phúc</v>
      </c>
      <c r="L3" t="str">
        <v>Du lịch X.E</v>
      </c>
      <c r="M3">
        <v>2</v>
      </c>
    </row>
    <row r="4">
      <c r="F4" t="str">
        <v>----------o0o---------</v>
      </c>
      <c r="L4" t="str">
        <v>Xưởng dịch vụ</v>
      </c>
      <c r="M4">
        <v>3</v>
      </c>
    </row>
    <row r="5">
      <c r="J5" t="str">
        <v>Mã NV</v>
      </c>
      <c r="K5">
        <v>18</v>
      </c>
      <c r="L5" t="str">
        <v>VISUN</v>
      </c>
      <c r="M5">
        <v>4</v>
      </c>
    </row>
    <row r="6">
      <c r="F6" t="str">
        <f>"Hà Nội, ngày "&amp;DAY(K6)&amp;" tháng "&amp;month(K6)&amp;" năm "&amp;year(K6)</f>
        <v>Hà Nội, ngày 30 tháng 12 năm 1899</v>
      </c>
      <c r="J6" t="str">
        <v>Ngày bắt đầu</v>
      </c>
      <c r="K6" t="str">
        <f t="array" ref="K6">INDEX('Mã NV'!AS:AS,MATCH(K5,'Mã NV'!B:B,0))</f>
        <v/>
      </c>
    </row>
    <row r="8">
      <c r="A8" t="str">
        <v>HỢP ĐỒNG LAO ĐỘNG</v>
      </c>
    </row>
    <row r="10" xml:space="preserve">
      <c r="A10" t="str">
        <f>"Chúng tôi, một bên là "</f>
        <v xml:space="preserve">Chúng tôi, một bên là </v>
      </c>
      <c r="B10" t="str">
        <v>:</v>
      </c>
      <c r="C10" t="str" xml:space="preserve">
        <f xml:space="preserve">IF(K2=1,"Ông Nguyễn Trọng Khánh",
IF(K2=2,"Bà Nguyễn Ngọc Dung",
IF(K2=4,"Bà Lê Thị Mai Hương",
"Ông Nguyễn Đình Sơn")))</f>
        <v>Ông Nguyễn Trọng Khánh</v>
      </c>
      <c r="G10" t="str">
        <v>Quốc tịch: Việt Nam</v>
      </c>
    </row>
    <row r="11">
      <c r="A11" t="str">
        <v>Chức vụ</v>
      </c>
      <c r="B11" t="str">
        <v>:</v>
      </c>
      <c r="C11" t="str">
        <v>Giám Đốc</v>
      </c>
      <c r="K11" t="str">
        <v>XE00194</v>
      </c>
    </row>
    <row r="12" xml:space="preserve">
      <c r="A12" t="str">
        <v>Đại diện cho</v>
      </c>
      <c r="B12" t="str">
        <v>:</v>
      </c>
      <c r="C12" t="str" xml:space="preserve">
        <f xml:space="preserve">IF(K2=1,"CÔNG TY TNHH X.E VIỆT NAM",
IF(K2=2,"CÔNG TY TNHH DU LỊCH X.E VIỆT NAM",
IF(K2=4,"CÔNG TY TNHH DU LỊCH VISUN",
"CÔNG TY CỔ PHẦN THƯƠNG MẠI VÀ DỊCH VỤ X.E")))</f>
        <v>CÔNG TY TNHH X.E VIỆT NAM</v>
      </c>
      <c r="G12" t="str" xml:space="preserve">
        <f xml:space="preserve">IF(K2=1,"Điện thoại: 024.3681.5722",
IF(K2=2,"Điện thoại: 024.366.44444",
IF(K2=4,"Điện thoại: 02439757777",
"Điện thoại: 0243.6333.444")))
</f>
        <v>Điện thoại: 024.3681.5722</v>
      </c>
    </row>
    <row r="13">
      <c r="A13" t="str">
        <v>Địa chỉ</v>
      </c>
      <c r="B13" t="str">
        <v>:</v>
      </c>
      <c r="C13" t="str">
        <v>Số 4 đường Văn Chỉ, thôn Tam Đa, xã Tam Hưng, huyện Thanh Trì, Hà Nội, Việt Nam</v>
      </c>
    </row>
    <row r="14">
      <c r="A14" t="str">
        <v>(Dưới đây gọi là Người sử dụng lao động)</v>
      </c>
    </row>
    <row r="16">
      <c r="A16" t="str">
        <v>Và một bên là Ông/Bà:</v>
      </c>
      <c r="C16" t="str">
        <f t="array" ref="C16">INDEX('Mã NV'!D:D,MATCH(K5,'Mã NV'!B:B,0))</f>
        <v>Lê Văn Vũ</v>
      </c>
      <c r="G16" t="str">
        <v>Quốc tịch: Việt Nam</v>
      </c>
    </row>
    <row r="17">
      <c r="A17" t="str">
        <v>Sinh Ngày</v>
      </c>
      <c r="B17" t="str">
        <v>:</v>
      </c>
      <c r="C17">
        <f t="array" ref="C17">INDEX('Mã NV'!I:I,MATCH(K5,'Mã NV'!B:B,0))</f>
        <v>28664</v>
      </c>
      <c r="E17" t="str">
        <f t="array" ref="E17">"Hạng: "&amp;INDEX('Mã NV'!P:P,MATCH(K5,'Mã NV'!B:B,0))</f>
        <v>Hạng: D</v>
      </c>
      <c r="F17" t="str">
        <f t="array" ref="F17">"Ngày cấp: "&amp;text(INDEX('Mã NV'!Q:Q,MATCH(K5,'Mã NV'!B:B,0)),"dd/mm/yyyy")</f>
        <v>Ngày cấp: 01/09/2022</v>
      </c>
      <c r="G17" t="str">
        <f t="array" ref="G17">"Nơi cấp: "&amp;INDEX('Mã NV'!O:O,MATCH(K5,'Mã NV'!B:B,0))</f>
        <v>Nơi cấp: Sở GTVT Thái Bình</v>
      </c>
    </row>
    <row r="18">
      <c r="A18" t="str">
        <v>Địa chỉ thường trú</v>
      </c>
      <c r="B18" t="str">
        <v>:</v>
      </c>
      <c r="C18" t="str">
        <f t="array" ref="C18">INDEX('Mã NV'!S:S,MATCH(K5,'Mã NV'!B:B,0))</f>
        <v>Đông Hoàng, Đông Hưng, Thái Bình</v>
      </c>
    </row>
    <row r="19">
      <c r="A19" t="str">
        <v>Số GPLX</v>
      </c>
      <c r="B19" t="str">
        <v>:</v>
      </c>
      <c r="C19" t="str">
        <f t="array" ref="C19">INDEX('Mã NV'!N:N,MATCH(K5,'Mã NV'!B:B,0))</f>
        <v>340090340908</v>
      </c>
    </row>
    <row r="20">
      <c r="A20" t="str">
        <v>CMND/Passport</v>
      </c>
      <c r="B20" t="str">
        <v>:</v>
      </c>
      <c r="C20" t="str">
        <f t="array" ref="C20">INDEX('Mã NV'!J:J,MATCH(K5,'Mã NV'!B:B,0))</f>
        <v>34078002397</v>
      </c>
      <c r="E20" t="str">
        <v>Ngày cấp:</v>
      </c>
      <c r="F20">
        <f t="array" ref="F20">INDEX('Mã NV'!K:K,MATCH(K5,'Mã NV'!B:B,0))</f>
        <v>42335</v>
      </c>
      <c r="G20" t="str">
        <f t="array" ref="G20">"Nơi cấp: "&amp;INDEX('Mã NV'!L:L,MATCH(K5,'Mã NV'!B:B,0))</f>
        <v>Nơi cấp: Cục CS QLHC về trật tự XH</v>
      </c>
    </row>
    <row r="21">
      <c r="A21" t="str">
        <v>(Dưới đây gọi là Người lao động)</v>
      </c>
    </row>
    <row r="22">
      <c r="A22" t="str">
        <v>Thỏa thuận ký kết Hợp đồng lao động và cam kết làm đúng những điều khoản sau đây:</v>
      </c>
    </row>
    <row r="23">
      <c r="A23" t="str">
        <v>Điều 1. Thời hạn và công việc hợp đồng:</v>
      </c>
    </row>
    <row r="24">
      <c r="A24" t="str">
        <v>- Loại Hợp đồng: Hợp đồng lao động không xác định thời hạn</v>
      </c>
    </row>
    <row r="25">
      <c r="A25" t="str">
        <f xml:space="preserve">"- Từ ngày "&amp;TEXT($K$6,"dd") &amp;" tháng "&amp;TEXT($K$6,"mm") &amp; " năm "  &amp;TEXT($K$6,"yyyy") </f>
        <v>- Từ ngày 30 tháng 12 năm 1899</v>
      </c>
    </row>
    <row r="26">
      <c r="A26" t="str">
        <f t="array" ref="A26">"- Địa điểm làm việc: "&amp;XLOOKUP($K$5,'Mã NV'!$B:$B,'Mã NV'!$H:$H)</f>
        <v xml:space="preserve">- Địa điểm làm việc: </v>
      </c>
    </row>
    <row r="27">
      <c r="A27" t="str">
        <f>"- Chức danh chuyên môn: "</f>
        <v xml:space="preserve">- Chức danh chuyên môn: </v>
      </c>
      <c r="D27" t="str">
        <v>Nhân viên lái xe</v>
      </c>
      <c r="G27" t="str">
        <f t="array" ref="G27">"Chức vụ: "&amp;INDEX('Mã NV'!X:X,MATCH(K5,'Mã NV'!B:B,0))</f>
        <v xml:space="preserve">Chức vụ: </v>
      </c>
    </row>
    <row r="28">
      <c r="A28" t="str">
        <v>- Công việc phải làm: Theo mô tả công việc</v>
      </c>
    </row>
    <row r="29">
      <c r="A29" t="str">
        <v>Điều 2. Chế độ làm việc:</v>
      </c>
    </row>
    <row r="30">
      <c r="A30" t="str">
        <v>- Thời gian làm việc: 8h/ngày, 6 ngày/ tuần</v>
      </c>
    </row>
    <row r="31">
      <c r="A31" t="str">
        <v>- Được cấp phát những dụng cụ làm việc: Theo nhu cầu công việc và theo chính sách của công ty</v>
      </c>
    </row>
    <row r="32">
      <c r="A32" t="str">
        <v>Điều 3. Nghĩa vụ và quyền lợi của Người lao động:</v>
      </c>
    </row>
    <row r="33">
      <c r="A33" t="str">
        <v>1 - Quyền lợi:</v>
      </c>
    </row>
    <row r="34">
      <c r="A34" t="str">
        <v>- Phương tiện đi lại làm việc: Tự túc</v>
      </c>
    </row>
    <row r="35">
      <c r="A35" t="str">
        <v>- Mức lương chính hoặc tiền công:</v>
      </c>
      <c r="E35" t="str">
        <f t="array" ref="E35">INDEX('Mã NV'!Y:Y,MATCH(K5,'Mã NV'!B:B,0))</f>
        <v/>
      </c>
      <c r="F35" t="str">
        <v>đồng/tháng</v>
      </c>
    </row>
    <row r="36">
      <c r="A36" t="str">
        <v>- Hình thức trả lương: Theo tháng, thanh toán bằng TM/CK</v>
      </c>
    </row>
    <row r="37">
      <c r="A37" t="str">
        <v>- Phụ cấp gồm: Được trả theo chính sách về tiền lương của Công ty</v>
      </c>
    </row>
    <row r="38">
      <c r="A38" t="str">
        <v>- Kỳ hạn trả lương: Được trả lương vào ngày 10 và 25 của tháng kế tiếp hàng tháng</v>
      </c>
    </row>
    <row r="39">
      <c r="A39" t="str">
        <v>- Tiền thưởng: Được thưởng hàng năm theo chính sách về tiền lương của Công ty</v>
      </c>
    </row>
    <row r="40">
      <c r="A40" t="str">
        <v>- Chế độ nâng lương: Được thực hiện theo chính sách nâng lương của công ty</v>
      </c>
    </row>
    <row r="41">
      <c r="A41" t="str">
        <v>- Được trang bị bảo hộ lao động: Theo quy định về bảo hộ lao động hiện hành</v>
      </c>
    </row>
    <row r="42">
      <c r="A42" t="str">
        <v>- Chế độ nghỉ ngơi (nghỉ hàng tuần, phép năm, lễ tết,…): Theo quy định của Công ty</v>
      </c>
    </row>
    <row r="43">
      <c r="A43" t="str">
        <v>- Bảo hiểm Xã hội, Bảo hiểm Y tế, Bảo hiểm thất nghiệp: Được thực hiện theo quy định của Luật Bảo hiểm Xã hội và</v>
      </c>
    </row>
    <row r="44">
      <c r="A44" t="str">
        <v>quy định về Bảo hiểm y tế hiện hành</v>
      </c>
    </row>
    <row r="45">
      <c r="A45" t="str">
        <v>- Chế độ đào tạo: Theo chính sách về đào tạo của Công ty</v>
      </c>
    </row>
    <row r="46">
      <c r="A46" t="str">
        <v>- Và những thỏa thuận khác (nếu có): Áp dụng theo luật lao động, nội quy lao động và các quy định, quy chế, thông</v>
      </c>
    </row>
    <row r="47">
      <c r="A47" t="str">
        <v>báo nội bộ có liên quan của Công ty và Phụ lục hợp đồng lao động kèm theo (nếu có).</v>
      </c>
    </row>
    <row r="48">
      <c r="A48" t="str">
        <v>- Những thoả thuận khác: Người lao động có trách nhiệm giữ bí mật tất cả những thông tin liên quan đến việc sản xuất,</v>
      </c>
    </row>
    <row r="49">
      <c r="A49" t="str">
        <v>kinh doanh, tổ chức và các thông tin bảo mật khác của Công ty mà Anh/Chị biết được trong quá trình làm việc. Anh/</v>
      </c>
    </row>
    <row r="50">
      <c r="A50" t="str">
        <v>Chị không được tiết lộ thông tin đó với bất kỳ ai trong hay ngoài Công ty nếu không có sự chấp thuận trước của Giám</v>
      </c>
    </row>
    <row r="51">
      <c r="A51" t="str">
        <v>đốc Công ty. Trách nhiệm giữ bí mật thông tin này vẫn tiếp tục kể cả sau khi Anh/Chị nghỉ việc. Tuy nhiên, sẽ không</v>
      </c>
    </row>
    <row r="52">
      <c r="A52" t="str">
        <v>áp dụng đối với các thông tin mà Công ty đã phổ biến rộng rãi.</v>
      </c>
    </row>
    <row r="53">
      <c r="A53" t="str">
        <v>2 - Nghĩa vụ:</v>
      </c>
    </row>
    <row r="54">
      <c r="A54" t="str">
        <v>- Hoàn thành những công việc đã cam kết trong hợp đồng lao động, trong bản mô tả công việc.</v>
      </c>
    </row>
    <row r="55">
      <c r="A55" t="str">
        <v>- Chấp hành việc thuyên chuyển, điều động công tác, lệnh điều hành sản xuất kinh doanh do Người sử dụng lao động</v>
      </c>
    </row>
    <row r="56">
      <c r="A56" t="str">
        <v>quyết định, tuân thủ nội dung kỷ luật lao động, an toàn lao động, an ninh trật tự, phòng cháy chữa cháy, thủ tục tiêu</v>
      </c>
    </row>
    <row r="57">
      <c r="A57" t="str">
        <v>chuẩn quy định, chuẩn mực văn hoá (quy tắc đạo đức và hành vi ứng xử) và các quy định khác của Công ty tại từng</v>
      </c>
    </row>
    <row r="58">
      <c r="A58" t="str">
        <v>thời điểm.</v>
      </c>
    </row>
    <row r="59">
      <c r="A59" t="str">
        <v>- Chấp hành các quy định của luật giao thông đường bộ và quy định sử dụng phương tiện.</v>
      </c>
    </row>
    <row r="60">
      <c r="A60" t="str">
        <v>- Báo cáo kịp thời với người có trách nhiệm khi phát hiện nguy cơ gây tai nạn lao động, bệnh nghề nghiệp, gây độc</v>
      </c>
    </row>
    <row r="61">
      <c r="A61" t="str">
        <v>hại hoặc sự cố nguy hiểm, tham gia cấp cứu và khắc phục hậu quả tai nạn lao động khi có lệnh của Người sử dụng lao</v>
      </c>
    </row>
    <row r="62">
      <c r="A62" t="str">
        <v>động.</v>
      </c>
    </row>
    <row r="63">
      <c r="A63" t="str">
        <v>- Bồi thường vi phạm và vật chất: Theo quy định của công ty và theo luật Lao động hiện hành</v>
      </c>
    </row>
    <row r="64">
      <c r="A64" t="str">
        <v xml:space="preserve">- Người lao động phải bồi thường thiệt hại vật chất đối với những công cụ lao động hoặc tài sản được giao cho cá </v>
      </c>
    </row>
    <row r="65">
      <c r="A65" t="str">
        <v>nhân sử dụng mà để xảy ra mất mát, hư hỏng do lỗi chủ quan.</v>
      </c>
    </row>
    <row r="66">
      <c r="A66" t="str">
        <v>- Người lao động phải bồi thường thiệt hại vật chất cho Công ty do hành vi vi phạm kỷ luật lao động của mình gây ra.</v>
      </c>
    </row>
    <row r="67">
      <c r="A67" t="str">
        <v>- Thông báo kịp thời cho Phòng Nhân sự của Công ty những thay đổi cá nhân như sắp hết hạn giá trị sử dụng bằng lái</v>
      </c>
    </row>
    <row r="68">
      <c r="A68" t="str">
        <v>xe, căn cước công dân hoặc những thay đổi thông tin trên các loại giấy tờ cá nhân, địa chỉ thường trú, tạm trú, địa chỉ</v>
      </c>
    </row>
    <row r="69">
      <c r="A69" t="str">
        <v>liên lạc, giấy khám sức khoẻ và các thông tin liên quan khác của Người lao động.</v>
      </c>
    </row>
    <row r="70">
      <c r="A70" t="str">
        <v>- Thực hiện nghĩa vụ báo trước theo quy định của pháp luật nếu đơn phương chấm dứt hợp đồng lao động và thực</v>
      </c>
    </row>
    <row r="71">
      <c r="A71" t="str">
        <v>hiện trách nhiệm bàn giao theo đúng quy trình, quy định của Công ty.</v>
      </c>
    </row>
    <row r="72">
      <c r="A72" t="str">
        <v>- Bồi thường chi phí đào tạo (nếu có) khi đơn phương chấm dứt hợp đồng lao động.</v>
      </c>
    </row>
    <row r="73">
      <c r="A73" t="str">
        <v>Điều 4. Nghĩa vụ và quyền hạn của Người sử dụng lao động:</v>
      </c>
    </row>
    <row r="74">
      <c r="A74" t="str">
        <v>1 - Nghĩa vụ:</v>
      </c>
    </row>
    <row r="75">
      <c r="A75" t="str">
        <v>- Bảo đảm việc làm và thực hiện đầy đủ những điều đã cam kết trong Hợp đồng lao động này.</v>
      </c>
    </row>
    <row r="76">
      <c r="A76" t="str">
        <v xml:space="preserve">- Thanh toán đầy đủ, đúng thời hạn các chế độ và quyền lợi cho người lao động theo Hợp đồng lao động, Phụ lục hợp </v>
      </c>
    </row>
    <row r="77">
      <c r="A77" t="str">
        <v>đồng, Thoả ước lao động tập thể (nếu có).</v>
      </c>
    </row>
    <row r="78">
      <c r="A78" t="str">
        <v>- Thực hiện nghĩa vụ báo trước theo quy định của pháp luật nếu đơn phương chấm dứt hợp đồng lao động.</v>
      </c>
    </row>
    <row r="79">
      <c r="A79" t="str">
        <v>- Người lao động ngừng việc, Người sử dụng lao động sẽ thanh toán tiền lương, thanh lý hợp đồng lao động cùng kỳ</v>
      </c>
    </row>
    <row r="80">
      <c r="A80" t="str">
        <v>trả lương kế tiếp của Công ty.</v>
      </c>
    </row>
    <row r="81">
      <c r="A81" t="str">
        <v>2 - Quyền hạn:</v>
      </c>
    </row>
    <row r="82">
      <c r="A82" t="str">
        <v>- Điều hành Người lao động hoàn thành công việc theo Hợp đồng lao động (bố trí, điều chuyển, tạm ngừng việc).</v>
      </c>
    </row>
    <row r="83">
      <c r="A83" t="str">
        <v xml:space="preserve">- Tạm hoãn, chấm dứt Hợp đồng lao động, kỷ luật Người lao động theo quy định của pháp luật, Thoả ước lao động </v>
      </c>
    </row>
    <row r="84">
      <c r="A84" t="str">
        <v>tập thể (nếu có) và Nội quy lao động của Công ty.</v>
      </c>
    </row>
    <row r="85">
      <c r="A85" t="str">
        <v xml:space="preserve">- Xử lý kỷ luật lao động, yêu cầu Người lao động bồi thường trách nhiệm vật chất nếu Người lao động có vi phạm </v>
      </c>
    </row>
    <row r="86">
      <c r="A86" t="str">
        <v>theo quy định của pháp luật và nội quy lao động của Công ty.</v>
      </c>
    </row>
    <row r="87">
      <c r="A87" t="str">
        <v>Điều 5. Điều khoản thi hành:</v>
      </c>
    </row>
    <row r="88">
      <c r="A88" t="str">
        <v>- Những vấn đề về lao động không ghi trong Hợp đồng lao động này thì áp dụng quy định của Luật lao động và theo</v>
      </c>
    </row>
    <row r="89">
      <c r="A89" t="str">
        <v>quy định của Công ty</v>
      </c>
    </row>
    <row r="90">
      <c r="A90" t="str">
        <v>- Hợp đồng này được làm thành 02 bản có giá trị như nhau, mỗi bên giữ 01 bản và có hiệu lực kể từ ngày ký.</v>
      </c>
    </row>
    <row r="91">
      <c r="A91" t="str">
        <v>NGƯỜI LAO ĐỘNG</v>
      </c>
      <c r="F91" t="str">
        <v>NGƯỜI SỬ DỤNG LAO ĐỘNG</v>
      </c>
    </row>
    <row r="95" xml:space="preserve">
      <c r="A95" t="str">
        <f t="array" ref="A95">UPPER(INDEX('Mã NV'!D:D,MATCH(K5,'Mã NV'!B:B,0)))</f>
        <v>LÊ VĂN VŨ</v>
      </c>
      <c r="F95" t="str" xml:space="preserve">
        <f xml:space="preserve">IF(K2=1,"NGUYỄN TRỌNG KHÁNH",
IF(K2=2,"NGUYỄN NGỌC DUNG",
IF(K2=4,"LÊ THỊ MAI HƯƠNG",
"NGUYỄN ĐÌNH SƠN")))</f>
        <v>NGUYỄN TRỌNG KHÁNH</v>
      </c>
    </row>
  </sheetData>
  <mergeCells count="28">
    <mergeCell ref="A2:E2"/>
    <mergeCell ref="F2:H2"/>
    <mergeCell ref="A3:E3"/>
    <mergeCell ref="F3:H3"/>
    <mergeCell ref="F4:H4"/>
    <mergeCell ref="F6:H6"/>
    <mergeCell ref="A8:H8"/>
    <mergeCell ref="A9:H9"/>
    <mergeCell ref="G10:H10"/>
    <mergeCell ref="G12:H12"/>
    <mergeCell ref="A14:D14"/>
    <mergeCell ref="G16:H16"/>
    <mergeCell ref="C17:D17"/>
    <mergeCell ref="G17:H17"/>
    <mergeCell ref="A30:D30"/>
    <mergeCell ref="A91:D91"/>
    <mergeCell ref="F91:H91"/>
    <mergeCell ref="A92:D92"/>
    <mergeCell ref="F92:H92"/>
    <mergeCell ref="A95:D95"/>
    <mergeCell ref="F95:H95"/>
    <mergeCell ref="A22:H22"/>
    <mergeCell ref="A26:H26"/>
    <mergeCell ref="G27:H27"/>
    <mergeCell ref="A28:D28"/>
    <mergeCell ref="A29:C29"/>
    <mergeCell ref="A31:H31"/>
    <mergeCell ref="A32:E32"/>
  </mergeCells>
  <pageMargins left="0.6636033102094534" right="0.4684258660302024" top="0.6167607236064332" bottom="0.6323749191407733" header="0" footer="0"/>
  <ignoredErrors>
    <ignoredError numberStoredAsText="1" sqref="A1:M1006"/>
  </ignoredErrors>
</worksheet>
</file>

<file path=xl/worksheets/sheet9.xml><?xml version="1.0" encoding="utf-8"?>
<worksheet xmlns="http://schemas.openxmlformats.org/spreadsheetml/2006/main" xmlns:r="http://schemas.openxmlformats.org/officeDocument/2006/relationships">
  <dimension ref="A1:L1002"/>
  <sheetViews>
    <sheetView workbookViewId="0"/>
  </sheetViews>
  <sheetData>
    <row r="1">
      <c r="A1" t="str">
        <v>CÔNG TY TNHH X.E VIỆT NAM</v>
      </c>
      <c r="F1" t="str">
        <v>CỘNG HOÀ XÃ HỘI CHỦ NGHĨA VIỆT NAM</v>
      </c>
    </row>
    <row r="2">
      <c r="A2" t="str">
        <f t="array" ref="A2">"Số: "&amp;XLOOKUP($L$5,'Mã NV'!B:B,'Mã NV'!AR:AR)&amp;"-X.E"</f>
        <v>#N/A</v>
      </c>
      <c r="F2" t="str">
        <v>Độc lập - Tự do - Hạnh phúc</v>
      </c>
    </row>
    <row r="3">
      <c r="F3" t="str">
        <v>----------o0o---------</v>
      </c>
    </row>
    <row r="5">
      <c r="F5" t="str">
        <f>"Hà Nội, ngày "&amp;DAY(L6)&amp;" tháng "&amp;month(L6)&amp;" năm "&amp;year(L6)</f>
        <v>Hà Nội, ngày 1 tháng 1 năm 2026</v>
      </c>
      <c r="K5" t="str">
        <v>Mã NV</v>
      </c>
      <c r="L5">
        <v>317</v>
      </c>
    </row>
    <row r="6">
      <c r="K6" t="str">
        <v>Ngày ký hợp đồng</v>
      </c>
      <c r="L6">
        <v>46023</v>
      </c>
    </row>
    <row r="7">
      <c r="A7" t="str">
        <v>HỢP ĐỒNG LAO ĐỘNG</v>
      </c>
    </row>
    <row r="8">
      <c r="L8" t="str">
        <v>XE00317</v>
      </c>
    </row>
    <row r="9">
      <c r="A9" t="str">
        <v>Chúng tôi, một bên là Ông: Nguyễn Trọng Khánh</v>
      </c>
      <c r="G9" t="str">
        <v>Quốc tịch: Việt Nam</v>
      </c>
    </row>
    <row r="10">
      <c r="A10" t="str">
        <v>Chức vụ</v>
      </c>
      <c r="B10" t="str">
        <v>:</v>
      </c>
      <c r="C10" t="str">
        <v>Giám Đốc</v>
      </c>
    </row>
    <row r="11">
      <c r="A11" t="str">
        <v>Đại diện cho</v>
      </c>
      <c r="B11" t="str">
        <v>:</v>
      </c>
      <c r="C11" t="str">
        <v>Công ty TNHH X.E Việt Nam</v>
      </c>
      <c r="G11" t="str">
        <v>Điện Thoại: 024.3681.5722</v>
      </c>
    </row>
    <row r="12">
      <c r="A12" t="str">
        <v>Địa chỉ</v>
      </c>
      <c r="B12" t="str">
        <v>:</v>
      </c>
      <c r="C12" t="str">
        <v>Số 4 đường Văn Chỉ, thôn Tam Đa, xã Tam Hưng, thành phố Hà Nội, Việt Nam</v>
      </c>
    </row>
    <row r="13">
      <c r="A13" t="str">
        <v>(Dưới đây gọi là Người sử dụng lao động)</v>
      </c>
    </row>
    <row r="14">
      <c r="A14" t="str">
        <v>Và một bên là Ông/Bà:</v>
      </c>
      <c r="D14" t="str">
        <f t="array" ref="D14">INDEX('Mã NV'!D:D,MATCH(L5,'Mã NV'!B:B,0))</f>
        <v>#N/A</v>
      </c>
      <c r="G14" t="str">
        <v>Quốc tịch: Việt Nam</v>
      </c>
    </row>
    <row r="15">
      <c r="A15" t="str">
        <v>Sinh Ngày</v>
      </c>
      <c r="B15" t="str">
        <v>:</v>
      </c>
      <c r="C15" t="str">
        <f t="array" ref="C15">INDEX('Mã NV'!I:I,MATCH(L5,'Mã NV'!B:B,0))</f>
        <v>#N/A</v>
      </c>
    </row>
    <row r="16">
      <c r="A16" t="str">
        <v>Địa chỉ thường trú</v>
      </c>
      <c r="B16" t="str">
        <v>:</v>
      </c>
      <c r="C16" t="str">
        <f t="array" ref="C16">INDEX('Mã NV'!S:S,MATCH(L5,'Mã NV'!B:B,0))</f>
        <v>#N/A</v>
      </c>
    </row>
    <row r="17">
      <c r="A17" t="str">
        <v>Số GPLX</v>
      </c>
      <c r="B17" t="str">
        <v>:</v>
      </c>
      <c r="C17" t="str">
        <f t="array" ref="C17">INDEX('Mã NV'!N:N,MATCH(L5,'Mã NV'!B:B,0))</f>
        <v>#N/A</v>
      </c>
      <c r="E17" t="str">
        <f t="array" ref="E17">"Hạng: "&amp;INDEX('Mã NV'!P:P,MATCH(L5,'Mã NV'!B:B,0))</f>
        <v>#N/A</v>
      </c>
      <c r="F17" t="str">
        <f t="array" ref="F17">"Ngày cấp: "&amp;text(INDEX('Mã NV'!Q:Q,MATCH(L5,'Mã NV'!B:B,0)),"dd/mm/yyyy")</f>
        <v>#N/A</v>
      </c>
      <c r="H17" t="str">
        <f t="array" ref="H17">"Nơi cấp: "&amp;INDEX('Mã NV'!O:O,MATCH(L5,'Mã NV'!B:B,0))</f>
        <v>#N/A</v>
      </c>
    </row>
    <row r="18">
      <c r="A18" t="str">
        <v>CMND/Passport</v>
      </c>
      <c r="B18" t="str">
        <v>:</v>
      </c>
      <c r="C18" t="str">
        <f t="array" ref="C18">INDEX('Mã NV'!J:J,MATCH(L5,'Mã NV'!B:B,0))</f>
        <v>#N/A</v>
      </c>
      <c r="E18" t="str">
        <f t="array" ref="E18">"Ngày cấp: "&amp;text(INDEX('Mã NV'!K:K,MATCH(L5,'Mã NV'!B:B,0)),"dd/mm/yyyy")</f>
        <v>#N/A</v>
      </c>
      <c r="G18" t="str">
        <f t="array" ref="G18">"Nơi cấp: "&amp;INDEX('Mã NV'!L:L,MATCH(L5,'Mã NV'!B:B,0))</f>
        <v>#N/A</v>
      </c>
    </row>
    <row r="19">
      <c r="A19" t="str">
        <v>(Dưới đây gọi là Người lao động)</v>
      </c>
    </row>
    <row r="20">
      <c r="A20" t="str">
        <v>Thỏa thuận ký kết Hợp đồng lao động và cam kết làm đúng những điều khoản sau đây:</v>
      </c>
    </row>
    <row r="21">
      <c r="A21" t="str">
        <v>Điều 1. Thời hạn và công việc hợp đồng:</v>
      </c>
    </row>
    <row r="22">
      <c r="A22" t="str">
        <v>- Loại hợp đồng: Hợp đồng lao động không xác định thời hạn</v>
      </c>
    </row>
    <row r="23">
      <c r="A23" t="str">
        <f xml:space="preserve">"- Từ ngày "&amp;TEXT($L$6,"dd") &amp;" tháng "&amp;TEXT($L$6,"mm") &amp; " năm "  &amp;TEXT($L$6,"yyyy") </f>
        <v>- Từ ngày 01 tháng 01 năm 2026</v>
      </c>
    </row>
    <row r="24">
      <c r="A24" t="str">
        <f>"- Địa điểm làm việc: Theo sự phân công của Công ty"</f>
        <v>- Địa điểm làm việc: Theo sự phân công của Công ty</v>
      </c>
    </row>
    <row r="25">
      <c r="A25" t="str">
        <v xml:space="preserve">- Chức danh chuyên môn: </v>
      </c>
      <c r="D25" t="str">
        <f t="array" ref="D25">INDEX('Mã NV'!E:E,MATCH(L5,'Mã NV'!B:B,0))</f>
        <v>#N/A</v>
      </c>
      <c r="G25" t="str">
        <v>Chức vụ:</v>
      </c>
      <c r="H25" t="str">
        <f t="array" ref="H25">INDEX('Mã NV'!X:X,MATCH(L5,'Mã NV'!B:B,0))</f>
        <v>#N/A</v>
      </c>
    </row>
    <row r="26">
      <c r="A26" t="str">
        <v>- Công việc phải làm: Theo mô tả công việc</v>
      </c>
    </row>
    <row r="27">
      <c r="A27" t="str">
        <v>Điều 2. Chế độ làm việc:</v>
      </c>
    </row>
    <row r="28">
      <c r="A28" t="str">
        <v>- Thời gian làm việc: 6 ngày/tuần, 48h/tuần</v>
      </c>
    </row>
    <row r="29">
      <c r="A29" t="str">
        <v>- Được cấp phát những dụng cụ làm việc: Theo nhu cầu công việc và theo chính sách của Công ty</v>
      </c>
    </row>
    <row r="30">
      <c r="A30" t="str">
        <v>Điều 3. Nghĩa vụ và quyền lợi của người lao động:</v>
      </c>
    </row>
    <row r="31">
      <c r="A31" t="str">
        <v>1 - Quyền lợi:</v>
      </c>
    </row>
    <row r="32">
      <c r="A32" t="str">
        <v>- Phương tiện đi lại làm việc: Tự túc</v>
      </c>
    </row>
    <row r="33">
      <c r="A33" t="str">
        <v>- Mức lương chính hoặc tiền công:</v>
      </c>
      <c r="E33" t="str">
        <f t="array" ref="E33">INDEX('Mã NV'!Y:Y,MATCH(L5,'Mã NV'!B:B,0))</f>
        <v>#N/A</v>
      </c>
      <c r="F33" t="str">
        <v>đồng/tháng</v>
      </c>
    </row>
    <row r="34">
      <c r="A34" t="str">
        <v>- Hình thức trả lương: Theo tháng, thanh toán bằng TM/CK</v>
      </c>
    </row>
    <row r="35">
      <c r="A35" t="str">
        <v>- Phụ cấp gồm: Được trả theo chính sách về tiền lương của Công ty</v>
      </c>
    </row>
    <row r="36">
      <c r="A36" t="str">
        <v>- Kỳ hạn trả lương: Được trả lương vào ngày 10 và 25 của tháng kế tiếp hàng tháng</v>
      </c>
    </row>
    <row r="37">
      <c r="A37" t="str">
        <v>- Tiền thưởng: Được thưởng hàng năm theo chính sách về tiền lương của Công ty</v>
      </c>
    </row>
    <row r="38">
      <c r="A38" t="str">
        <v>- Chế độ nâng lương: Được thực hiện theo chính sách nâng lương của công ty</v>
      </c>
    </row>
    <row r="39">
      <c r="A39" t="str">
        <v>- Được trang bị bảo hộ lao động: Theo quy định về bảo hộ lao động hiện hành</v>
      </c>
    </row>
    <row r="40">
      <c r="A40" t="str">
        <v>- Chế độ nghỉ ngơi (nghỉ hàng tuần, phép năm, lễ tết,…): Theo quy định của Công ty</v>
      </c>
    </row>
    <row r="41">
      <c r="A41" t="str">
        <v>- Bảo hiểm Xã hội, Bảo hiểm Y tế, Bảo hiểm thất nghiệp: Được thực hiện theo quy định của Luật Bảo hiểm Xã hội và</v>
      </c>
    </row>
    <row r="42">
      <c r="A42" t="str">
        <v>quy định về Bảo hiểm y tế hiện hành</v>
      </c>
    </row>
    <row r="43">
      <c r="A43" t="str">
        <v>- Chế độ đào tạo: Theo chính sách về đào tạo của Công ty</v>
      </c>
    </row>
    <row r="44">
      <c r="A44" t="str">
        <v>- Và những thỏa thuận khác (nếu có): Áp dụng theo luật lao động, nội quy lao động và các quy định, quy chế, thông</v>
      </c>
    </row>
    <row r="45">
      <c r="A45" t="str">
        <v>báo nội bộ có liên quan của Công ty và Phụ lục hợp đồng lao động kèm theo (nếu có).</v>
      </c>
    </row>
    <row r="46">
      <c r="A46" t="str">
        <v>- Những thoả thuận khác: Người lao động có trách nhiệm giữ bí mật tất cả những thông tin liên quan đến việc sản xuất,</v>
      </c>
    </row>
    <row r="47">
      <c r="A47" t="str">
        <v>kinh doanh, tổ chức và các thông tin bảo mật khác của Công ty mà Anh/Chị biết được trong quá trình làm việc. Anh/</v>
      </c>
    </row>
    <row r="48">
      <c r="A48" t="str">
        <v>Chị không được tiết lộ thông tin đó với bất kỳ ai trong hay ngoài Công ty nếu không có sự chấp thuận trước của Giám</v>
      </c>
    </row>
    <row r="49">
      <c r="A49" t="str">
        <v>đốc Công ty. Trách nhiệm giữ bí mật thông tin này vẫn tiếp tục kể cả sau khi Anh/Chị nghỉ việc. Tuy nhiên, sẽ không</v>
      </c>
    </row>
    <row r="50">
      <c r="A50" t="str">
        <v>áp dụng đối với các thông tin mà Công ty đã phổ biến rộng rãi.</v>
      </c>
    </row>
    <row r="51">
      <c r="A51" t="str">
        <v>2 - Nghĩa vụ:</v>
      </c>
    </row>
    <row r="52">
      <c r="A52" t="str">
        <v>- Hoàn thành những công việc đã cam kết trong hợp đồng lao động, trong bản mô tả công việc.</v>
      </c>
    </row>
    <row r="53">
      <c r="A53" t="str">
        <v>- Chấp hành việc thuyên chuyển, điều động công tác, lệnh điều hành sản xuất kinh doanh do Người sử dụng lao động</v>
      </c>
    </row>
    <row r="54">
      <c r="A54" t="str">
        <v>quyết định, tuân thủ nội dung kỷ luật lao động, an toàn lao động, an ninh trật tự, phòng cháy chữa cháy, thủ tục tiêu</v>
      </c>
    </row>
    <row r="55">
      <c r="A55" t="str">
        <v>chuẩn quy định, chuẩn mực văn hoá (quy tắc đạo đức và hành vi ứng xử) và các quy định khác của Công ty tại từng</v>
      </c>
    </row>
    <row r="56">
      <c r="A56" t="str">
        <v>thời điểm.</v>
      </c>
    </row>
    <row r="57">
      <c r="A57" t="str">
        <v>- Chấp hành các quy định của luật giao thông đường bộ và quy định sử dụng phương tiện.</v>
      </c>
    </row>
    <row r="58">
      <c r="A58" t="str">
        <v>- Báo cáo kịp thời với người có trách nhiệm khi phát hiện nguy cơ gây tai nạn lao động, bệnh nghề nghiệp, gây độc</v>
      </c>
    </row>
    <row r="59">
      <c r="A59" t="str">
        <v>hại hoặc sự cố nguy hiểm, tham gia cấp cứu và khắc phục hậu quả tai nạn lao động khi có lệnh của Người sử dụng lao</v>
      </c>
    </row>
    <row r="60">
      <c r="A60" t="str">
        <v>động.</v>
      </c>
    </row>
    <row r="61">
      <c r="A61" t="str">
        <v>- Bồi thường vi phạm và vật chất: Theo quy định của công ty và theo luật Lao động hiện hành</v>
      </c>
    </row>
    <row r="62">
      <c r="A62" t="str">
        <v xml:space="preserve">- Người lao động phải bồi thường thiệt hại vật chất đối với những công cụ lao động hoặc tài sản được giao cho cá </v>
      </c>
    </row>
    <row r="63">
      <c r="A63" t="str">
        <v>nhân sử dụng mà để xảy ra mất mát, hư hỏng do lỗi chủ quan.</v>
      </c>
    </row>
    <row r="64">
      <c r="A64" t="str">
        <v>- Người lao động phải bồi thường thiệt hại vật chất cho Công ty do hành vi vi phạm kỷ luật lao động của mình gây ra.</v>
      </c>
    </row>
    <row r="65">
      <c r="A65" t="str">
        <v>- Thông báo kịp thời cho Phòng Nhân sự của Công ty những thay đổi cá nhân như sắp hết hạn giá trị sử dụng bằng lái</v>
      </c>
    </row>
    <row r="66">
      <c r="A66" t="str">
        <v>xe, căn cước công dân hoặc những thay đổi thông tin trên các loại giấy tờ cá nhân, địa chỉ thường trú, tạm trú, địa chỉ</v>
      </c>
    </row>
    <row r="67">
      <c r="A67" t="str">
        <v>liên lạc, giấy khám sức khoẻ và các thông tin liên quan khác của Người lao động.</v>
      </c>
    </row>
    <row r="68">
      <c r="A68" t="str">
        <v>- Thực hiện nghĩa vụ báo trước theo quy định của pháp luật nếu đơn phương chấm dứt hợp đồng lao động và thực</v>
      </c>
    </row>
    <row r="69">
      <c r="A69" t="str">
        <v>hiện trách nhiệm bàn giao theo đúng quy trình, quy định của Công ty.</v>
      </c>
    </row>
    <row r="70">
      <c r="A70" t="str">
        <v>- Bồi thường chi phí đào tạo (nếu có) khi đơn phương chấm dứt hợp đồng lao động.</v>
      </c>
    </row>
    <row r="71">
      <c r="A71" t="str">
        <v>Điều 4. Nghĩa vụ và quyền hạn của Người sử dụng lao động:</v>
      </c>
    </row>
    <row r="72">
      <c r="A72" t="str">
        <v>1 - Nghĩa vụ:</v>
      </c>
    </row>
    <row r="73">
      <c r="A73" t="str">
        <v>- Bảo đảm việc làm và thực hiện đầy đủ những điều đã cam kết trong Hợp đồng lao động này.</v>
      </c>
    </row>
    <row r="74">
      <c r="A74" t="str">
        <v xml:space="preserve">- Thanh toán đầy đủ, đúng thời hạn các chế độ và quyền lợi cho người lao động theo Hợp đồng lao động, Phụ lục hợp </v>
      </c>
    </row>
    <row r="75">
      <c r="A75" t="str">
        <v>đồng, Thoả ước lao động tập thể (nếu có).</v>
      </c>
    </row>
    <row r="76">
      <c r="A76" t="str">
        <v>- Thực hiện nghĩa vụ báo trước theo quy định của pháp luật nếu đơn phương chấm dứt hợp đồng lao động.</v>
      </c>
    </row>
    <row r="77">
      <c r="A77" t="str">
        <v>- Người lao động ngừng việc, Người sử dụng lao động sẽ thanh toán tiền lương, thanh lý hợp đồng lao động cùng kỳ</v>
      </c>
    </row>
    <row r="78">
      <c r="A78" t="str">
        <v>trả lương kế tiếp của Công ty.</v>
      </c>
    </row>
    <row r="79">
      <c r="A79" t="str">
        <v>2 - Quyền hạn:</v>
      </c>
    </row>
    <row r="80">
      <c r="A80" t="str">
        <v>- Điều hành Người lao động hoàn thành công việc theo Hợp đồng lao động (bố trí, điều chuyển, tạm ngừng việc).</v>
      </c>
    </row>
    <row r="81">
      <c r="A81" t="str">
        <v xml:space="preserve">- Tạm hoãn, chấm dứt Hợp đồng lao động, kỷ luật Người lao động theo quy định của pháp luật, Thoả ước lao động </v>
      </c>
    </row>
    <row r="82">
      <c r="A82" t="str">
        <v>tập thể (nếu có) và Nội quy lao động của Công ty.</v>
      </c>
    </row>
    <row r="83">
      <c r="A83" t="str">
        <v xml:space="preserve">- Xử lý kỷ luật lao động, yêu cầu Người lao động bồi thường trách nhiệm vật chất nếu Người lao động có vi phạm </v>
      </c>
    </row>
    <row r="84">
      <c r="A84" t="str">
        <v>theo quy định của pháp luật và nội quy lao động của Công ty.</v>
      </c>
    </row>
    <row r="85">
      <c r="A85" t="str">
        <v>Điều 5. Điều khoản thi hành:</v>
      </c>
    </row>
    <row r="86">
      <c r="A86" t="str">
        <v>- Những vấn đề về lao động không ghi trong Hợp đồng lao động này thì áp dụng quy định của Luật lao động và theo</v>
      </c>
    </row>
    <row r="87">
      <c r="A87" t="str">
        <v>quy định của Công ty</v>
      </c>
    </row>
    <row r="88">
      <c r="A88" t="str">
        <v>- Hợp đồng này được làm thành 02 bản có giá trị như nhau, mỗi bên giữ 01 bản và có hiệu lực kể từ ngày ký.</v>
      </c>
    </row>
    <row r="90">
      <c r="A90" t="str">
        <v>NGƯỜI LAO ĐỘNG</v>
      </c>
      <c r="F90" t="str">
        <v>NGƯỜI SỬ DỤNG LAO ĐỘNG</v>
      </c>
    </row>
    <row r="95">
      <c r="F95" t="str">
        <v>NGUYỄN TRỌNG KHÁNH</v>
      </c>
    </row>
  </sheetData>
  <mergeCells count="23">
    <mergeCell ref="A1:E1"/>
    <mergeCell ref="F1:I1"/>
    <mergeCell ref="A2:E2"/>
    <mergeCell ref="F2:I2"/>
    <mergeCell ref="F3:I3"/>
    <mergeCell ref="F5:I5"/>
    <mergeCell ref="A7:I7"/>
    <mergeCell ref="A8:H8"/>
    <mergeCell ref="A9:F9"/>
    <mergeCell ref="G9:H9"/>
    <mergeCell ref="C11:F11"/>
    <mergeCell ref="G11:I11"/>
    <mergeCell ref="A14:C14"/>
    <mergeCell ref="G14:H14"/>
    <mergeCell ref="F90:I90"/>
    <mergeCell ref="F95:I95"/>
    <mergeCell ref="C15:D15"/>
    <mergeCell ref="A20:H20"/>
    <mergeCell ref="A24:H24"/>
    <mergeCell ref="A27:E27"/>
    <mergeCell ref="A31:E31"/>
    <mergeCell ref="A33:D33"/>
    <mergeCell ref="A90:D90"/>
  </mergeCells>
  <pageMargins left="0.7480314960629921" right="0.45991178657648396" top="0.47244094488188976" bottom="0.5905511811023622" header="0" footer="0"/>
  <ignoredErrors>
    <ignoredError numberStoredAsText="1" sqref="A1:L1002"/>
  </ignoredErrors>
</worksheet>
</file>

<file path=xl/worksheets/sheet10.xml><?xml version="1.0" encoding="utf-8"?>
<worksheet xmlns="http://schemas.openxmlformats.org/spreadsheetml/2006/main" xmlns:r="http://schemas.openxmlformats.org/officeDocument/2006/relationships">
  <dimension ref="B1:U1000"/>
  <sheetViews>
    <sheetView workbookViewId="0"/>
  </sheetViews>
  <sheetData>
    <row r="2">
      <c r="B2" t="str">
        <v>CÔNG TY TNHH X.E VIỆT NAM</v>
      </c>
      <c r="G2" t="str">
        <v>CỘNG HOÀ XÃ HỘI CHỦ NGHĨA VIỆT NAM</v>
      </c>
    </row>
    <row r="3">
      <c r="G3" t="str">
        <v>Độc lập - Tự do - Hạnh phúc</v>
      </c>
    </row>
    <row r="4">
      <c r="B4" t="str">
        <v>Số: 170/2025/HĐLĐ-XE</v>
      </c>
      <c r="G4" t="str">
        <v>----------o0o---------</v>
      </c>
    </row>
    <row r="5">
      <c r="H5" t="str">
        <v>Hà Nội, Ngày 01 Tháng 06 Năm 2024</v>
      </c>
      <c r="L5" t="str">
        <v>Mã NV</v>
      </c>
      <c r="M5">
        <v>170</v>
      </c>
    </row>
    <row r="6">
      <c r="B6" t="str">
        <v>HỢP ĐỒNG LAO ĐỘNG</v>
      </c>
    </row>
    <row r="7">
      <c r="K7">
        <v>44866</v>
      </c>
    </row>
    <row r="8">
      <c r="B8" t="str">
        <v>Chúng tôi, một bên là Ông: Nguyễn Trọng Khánh</v>
      </c>
      <c r="H8" t="str">
        <v>Quốc tịch: Việt Nam</v>
      </c>
      <c r="K8">
        <v>45230</v>
      </c>
      <c r="M8">
        <v>3</v>
      </c>
    </row>
    <row r="9">
      <c r="B9" t="str">
        <v>Chức vụ</v>
      </c>
      <c r="C9" t="str">
        <v>:</v>
      </c>
      <c r="D9" t="str">
        <v>Giám Đốc</v>
      </c>
    </row>
    <row r="10">
      <c r="B10" t="str">
        <v>Đại diện cho</v>
      </c>
      <c r="C10" t="str">
        <v>:</v>
      </c>
      <c r="D10" t="str">
        <v>Công ty TNHH X.E Việt Nam</v>
      </c>
      <c r="H10" t="str">
        <v>Điện Thoại: 024.3681.5722</v>
      </c>
    </row>
    <row r="11">
      <c r="B11" t="str">
        <v>Địa chỉ</v>
      </c>
      <c r="C11" t="str">
        <v>:</v>
      </c>
      <c r="D11" t="str">
        <v>Số 4 đường Văn Chỉ, thôn Tam Đa, xã Thanh Văn, huyện Thanh Oai, thành phố Hà Nội, Việt Nam</v>
      </c>
    </row>
    <row r="12">
      <c r="B12" t="str">
        <v>(Dưới đây gọi là Người sử dụng lao động)</v>
      </c>
    </row>
    <row r="13">
      <c r="T13" t="str">
        <v>e</v>
      </c>
      <c r="U13" t="str">
        <v>f</v>
      </c>
    </row>
    <row r="14">
      <c r="B14" t="str">
        <v>Và một bên là Ông/Bà:</v>
      </c>
      <c r="E14" t="str">
        <v>Hoàng Nhật Minh</v>
      </c>
      <c r="H14" t="str">
        <v>Quốc tịch: Việt Nam</v>
      </c>
    </row>
    <row r="15">
      <c r="B15" t="str">
        <v>Sinh Ngày</v>
      </c>
      <c r="C15" t="str">
        <v>:</v>
      </c>
      <c r="D15">
        <v>36631</v>
      </c>
      <c r="T15">
        <v>4</v>
      </c>
    </row>
    <row r="16">
      <c r="B16" t="str">
        <v>Địa chỉ thường trú</v>
      </c>
      <c r="C16" t="str">
        <v>:</v>
      </c>
      <c r="D16" t="str">
        <v>Khu 13, Phú Hộ, TX. Phú Thọ, Phú Thọ</v>
      </c>
    </row>
    <row r="17">
      <c r="B17" t="str">
        <v>Số GPLX</v>
      </c>
      <c r="C17" t="str">
        <v>:</v>
      </c>
      <c r="D17">
        <v>250188009076</v>
      </c>
      <c r="F17" t="str">
        <v>Hạng: B2</v>
      </c>
      <c r="G17" t="str">
        <v>Ngày cấp: 31/08/2018 Nơi cấp: Sở GTVT Phú Thọ</v>
      </c>
    </row>
    <row r="18">
      <c r="B18" t="str">
        <v>CMND/Passport</v>
      </c>
      <c r="C18" t="str">
        <v>:</v>
      </c>
      <c r="D18">
        <v>25200000676</v>
      </c>
      <c r="F18" t="str">
        <v>Ngày cấp:</v>
      </c>
      <c r="G18">
        <v>44296</v>
      </c>
      <c r="H18" t="str">
        <v>Nơi cấp: Cục CS QLHC về trật tự XH</v>
      </c>
    </row>
    <row r="19">
      <c r="B19" t="str">
        <v>(Dưới đây gọi là Người lao động)</v>
      </c>
    </row>
    <row r="20">
      <c r="B20" t="str">
        <v>Thỏa thuận ký kết hợp đồng lao động và cam kết làm đúng những điều khoản sau đây:</v>
      </c>
    </row>
    <row r="21">
      <c r="B21" t="str">
        <v>Điều 1. Thời hạn và công việc hợp đồng:</v>
      </c>
    </row>
    <row r="22">
      <c r="B22" t="str">
        <v>- Loại hợp đồng lao động:</v>
      </c>
      <c r="E22" t="str">
        <v>Hợp đồng không xác định thời hạn</v>
      </c>
    </row>
    <row r="23">
      <c r="B23" t="str">
        <v>- Từ ngày 01 tháng 06 năm 2024</v>
      </c>
    </row>
    <row r="24">
      <c r="B24" t="str">
        <v>- Địa điểm làm việc: IC8 Phù Ninh, Phú Thọ hoặc các địa điểm kinh doanh khác của Công ty</v>
      </c>
    </row>
    <row r="25">
      <c r="B25" t="str">
        <v>- Chức danh chuyên môn:</v>
      </c>
      <c r="E25" t="str">
        <v>Nhân viên lái xe</v>
      </c>
      <c r="H25" t="str">
        <v>Chức vụ (Nếu có):</v>
      </c>
      <c r="I25" t="str">
        <v>Nhân viên</v>
      </c>
    </row>
    <row r="26">
      <c r="B26" t="str">
        <v>- Công việc phải làm: Theo mô tả công việc</v>
      </c>
    </row>
    <row r="27">
      <c r="B27" t="str">
        <v>Điều 2. Chế độ làm việc:</v>
      </c>
    </row>
    <row r="28">
      <c r="B28" t="str">
        <v>- Thời gian làm việc: 6 ngày/tuần, 48h/tuần</v>
      </c>
    </row>
    <row r="29">
      <c r="B29" t="str">
        <v>- Được cấp phát những dụng cụ làm việc: Theo nhu cầu công việc và theo chính sách của Công ty</v>
      </c>
    </row>
    <row r="30">
      <c r="B30" t="str">
        <v>Điều 3. Nghĩa vụ và quyền lợi của người lao động:</v>
      </c>
    </row>
    <row r="31">
      <c r="B31" t="str">
        <v>1 - Quyền lợi:</v>
      </c>
    </row>
    <row r="32">
      <c r="B32" t="str">
        <v>- Phương tiện đi lại làm việc: Tự túc</v>
      </c>
    </row>
    <row r="33">
      <c r="B33" t="str">
        <v>- Mức lương chính hoặc tiền công:</v>
      </c>
      <c r="F33" t="str">
        <v>5.007.600 VNĐ</v>
      </c>
    </row>
    <row r="34">
      <c r="B34" t="str">
        <v>- Hình thức trả lương: Theo tháng, thanh toán bằng TM/CK</v>
      </c>
    </row>
    <row r="35">
      <c r="B35" t="str">
        <v>- Phụ cấp gồm: Được trả theo chính sách về tiền lương của Công ty</v>
      </c>
    </row>
    <row r="36">
      <c r="B36" t="str">
        <v>- Kỳ hạn trả lương: Được trả lương vào ngày 10 và 25 của tháng kế tiếp hàng tháng</v>
      </c>
    </row>
    <row r="37">
      <c r="B37" t="str">
        <v>- Tiền thưởng: Được thưởng hàng năm theo chính sách về tiền lương của Công ty</v>
      </c>
    </row>
    <row r="38">
      <c r="B38" t="str">
        <v>- Chế độ nâng lương: Được thực hiện theo chính sách nâng lương của công ty</v>
      </c>
    </row>
    <row r="39">
      <c r="B39" t="str">
        <v>- Được trang bị bảo hộ lao động: Theo quy định về bảo hộ lao động hiện hành</v>
      </c>
    </row>
    <row r="40">
      <c r="B40" t="str">
        <v>- Chế độ nghỉ ngơi (nghỉ hàng tuần, phép năm, lễ tết,…): Theo quy định của Công ty</v>
      </c>
    </row>
    <row r="41">
      <c r="B41" t="str">
        <v>- Bảo hiểm Xã hội, Bảo hiểm Y tế, Bảo hiểm thất nghiệp: Được thực hiện theo quy định của Luật Bảo hiểm Xã hội và quy định về Bảo hiểm y tế hiện hành</v>
      </c>
    </row>
    <row r="42">
      <c r="B42" t="str">
        <v>- Chế độ đào tạo: Theo chính sách về đào tạo của Công ty</v>
      </c>
    </row>
    <row r="43">
      <c r="B43" t="str">
        <v>- Và những thỏa thuận khác (nếu có): áp dụng theo luật lao động, nội quy lao động và các quy định, quy chế, thông báo nội bộ có liên quan của Công ty và Phụ lục hợp đồng lao động kèm theo (nếu có).</v>
      </c>
    </row>
    <row r="44">
      <c r="B44" t="str">
        <v>- Những thoả thuận khác: Người lao động có trách nhiệm giữ bí mật tất cả những thông tin liên quan đến việc sản xuất, kinh doanh, tổ chức và các thông tin bảo mật khác của Công ty mà Anh/Chị biết được trong quá trình làm việc. Anh/Chị không được tiết lộ thông tin đó với bất kỳ ai trong hay ngoài Công ty nếu không có sự chấp thuận trước của Giám đốc Công ty. Trách nhiệm giữ bí mật thông tin này vẫn sẽ tiếp tục kể cả sau khi Anh/Chị nghỉ việc. Tuy nhiên, sẽ không áp dụng đối với các thông tin mà Công ty đã phổ biến rộng rãi.</v>
      </c>
    </row>
    <row r="45">
      <c r="B45" t="str">
        <v>2 - Nghĩa vụ:</v>
      </c>
    </row>
    <row r="46">
      <c r="B46" t="str">
        <v>- Hoàn thành những công việc đã cam kết trong hợp đồng lao động, trong bản mô tả công việc.</v>
      </c>
    </row>
    <row r="47">
      <c r="B47" t="str">
        <v>- Chấp hành việc thuyên chuyển, điều động công tác, lệnh điều hành sản xuất - kinh doanh do Người sử dụng lao động quyết định, tuân thủ nội dung kỷ luật lao động, an toàn lao động, an ninh trật tự, phòng cháy chữa cháy, thủ tục tiêu chuẩn quy định, chuẩn mực văn hoá (quy tắc đạo đức và hành vi ứng xử) và các quy định khác của Công ty tại từng thời điểm.</v>
      </c>
    </row>
    <row r="48">
      <c r="B48" t="str">
        <v>- Chấp hành các quy định của luật giao thông đường bộ và quy định sử dụng phương tiện.</v>
      </c>
    </row>
    <row r="49">
      <c r="B49" t="str">
        <v>- Báo cáo kịp thời với người có trách nhiệm khi phát hiện nguy cơ gây tai nạn lao động, bệnh nghề nghiệp, gây độc hại hoặc sự cố nguy hiểm, tham gia cấp cứu và khắc phục hậu quả tai nạn lao động khi có lệnh của Người sử dụng lao động.</v>
      </c>
    </row>
    <row r="50">
      <c r="B50" t="str">
        <v>- Bồi thường vi phạm và vật chất: Theo quy định của công ty và theo luật Lao động hiện hành</v>
      </c>
    </row>
    <row r="51">
      <c r="B51" t="str">
        <v>- Người lao động phải bồi thường thiệt hại vật chất đối với những công cụ lao động hoặc tài sản được giao cho cá nhân sử dụng mà để xảy ra mất mát, hư hỏng do lỗi chủ quan.</v>
      </c>
    </row>
    <row r="52">
      <c r="B52" t="str">
        <v>- Người lao động phải bồi thường thiệt hại vật chất cho Công ty do hành vi vi phạm kỷ luật lao động của mình gây ra.</v>
      </c>
    </row>
    <row r="53">
      <c r="B53" t="str">
        <v>- Thông báo kịp thời cho Phòng Nhân sự của Công ty những thay đổi cá nhân như sắp hết hạn giá trị sử dụng bằng lái xe, căn cước công dân hoặc những thay đổi thông tin trên các loại giấy tờ cá nhân, địa chỉ thường trú, tạm trú, địa chỉ liên lạc, giấy khám sức khoẻ và các thông tin liên quan khác của Người lao động.</v>
      </c>
    </row>
    <row r="54">
      <c r="B54" t="str">
        <v>- Thực hiện nghĩa vụ báo trước theo quy định của pháp luật nếu đơn phương chấm dứt hợp đồng lao động và thực hiện trách nhiệm bàn giao theo đúng quy trình, quy định của Công ty.</v>
      </c>
    </row>
    <row r="55">
      <c r="B55" t="str">
        <v>- Bồi thường chi phí đào tạo (nếu có) khi đơn phương chấm dứt hợp đồng lao động.</v>
      </c>
    </row>
    <row r="56">
      <c r="B56" t="str">
        <v>Điều 4. Nghĩa vụ và quyền hạn của Người sử dụng lao động:</v>
      </c>
    </row>
    <row r="57">
      <c r="B57" t="str">
        <v>1 - Nghĩa vụ:</v>
      </c>
    </row>
    <row r="58">
      <c r="B58" t="str">
        <v>- Bảo đảm việc làm và thực hiện đầy đủ những điều đã cam kết trong Hợp đồng lao động này.</v>
      </c>
    </row>
    <row r="59">
      <c r="B59" t="str">
        <v>- Thanh toán đầy đủ, đúng thời hạn các chế độ và quyền lợi cho người lao động theo Hợp đồng lao động, Phụ lục hợp đồng, Thoả ước lao động tập thể (nếu có).</v>
      </c>
    </row>
    <row r="60">
      <c r="B60" t="str">
        <v>- Thực hiện nghĩa vụ báo trước theo quy định của pháp luật nếu đơn phương chấm dứt hợp đồng lao động.</v>
      </c>
    </row>
    <row r="61">
      <c r="B61" t="str">
        <v>- Người lao động ngừng việc, Người sử dụng lao động sẽ thanh toán tiền lương, thanh lý hợp đồng lao động cùng kỳ trả lương kế tiếp của Công ty.</v>
      </c>
    </row>
    <row r="62">
      <c r="B62" t="str">
        <v>2 - Quyền hạn:</v>
      </c>
    </row>
    <row r="63">
      <c r="B63" t="str">
        <v>- Điều hành Người lao động hoàn thành công việc theo Hợp đồng lao động (bố trí, điều chuyển, tạm ngừng việc).</v>
      </c>
    </row>
    <row r="64">
      <c r="B64" t="str">
        <v>- Tạm hoãn, chấm dứt Hợp đồng lao động, kỷ luật Người lao động theo quy định của pháp luật, Thoả ước lao động tập thể (nếu có) và Nội quy lao động của Công ty.</v>
      </c>
    </row>
    <row r="65">
      <c r="B65" t="str">
        <v>- Xử lý kỷ luật lao động, yêu cầu Người lao động bồi thường trách nhiệm vật chất nếu Người lao động có vi phạm theo quy định của pháp luật và nội quy lao động của Công ty.</v>
      </c>
    </row>
    <row r="66">
      <c r="B66" t="str">
        <v>Điều 5. Điều khoản thi hành:</v>
      </c>
    </row>
    <row r="67">
      <c r="B67" t="str">
        <v>- Những vấn đề về lao động không ghi trong Hợp đồng lao động này thì áp dụng quy định của pháp luật lao động.</v>
      </c>
    </row>
    <row r="68">
      <c r="B68" t="str">
        <v>- Hợp đồng này được làm thành 02 bản có giá trị như nhau, mỗi bên giữ 01 bản và có hiệu lực kể từ ngày ký.</v>
      </c>
    </row>
    <row r="70">
      <c r="B70" t="str">
        <v>NGƯỜI LAO ĐỘNG</v>
      </c>
      <c r="G70" t="str">
        <v>NGƯỜI SỬ DỤNG LAO ĐỘNG</v>
      </c>
    </row>
  </sheetData>
  <mergeCells count="79">
    <mergeCell ref="B41:I41"/>
    <mergeCell ref="B42:I42"/>
    <mergeCell ref="B43:I43"/>
    <mergeCell ref="B44:I44"/>
    <mergeCell ref="B46:I46"/>
    <mergeCell ref="B47:I47"/>
    <mergeCell ref="B48:I48"/>
    <mergeCell ref="B49:I49"/>
    <mergeCell ref="B50:I50"/>
    <mergeCell ref="B51:I51"/>
    <mergeCell ref="B52:I52"/>
    <mergeCell ref="B53:I53"/>
    <mergeCell ref="B54:I54"/>
    <mergeCell ref="B55:I55"/>
    <mergeCell ref="B56:G56"/>
    <mergeCell ref="B58:H58"/>
    <mergeCell ref="B59:I59"/>
    <mergeCell ref="B60:I60"/>
    <mergeCell ref="B61:I61"/>
    <mergeCell ref="B63:I63"/>
    <mergeCell ref="B64:I64"/>
    <mergeCell ref="G71:I71"/>
    <mergeCell ref="G77:I77"/>
    <mergeCell ref="B65:I65"/>
    <mergeCell ref="B66:E66"/>
    <mergeCell ref="B67:I67"/>
    <mergeCell ref="B68:I68"/>
    <mergeCell ref="B70:E70"/>
    <mergeCell ref="G70:I70"/>
    <mergeCell ref="B71:E71"/>
    <mergeCell ref="B2:E2"/>
    <mergeCell ref="G2:I2"/>
    <mergeCell ref="G3:I3"/>
    <mergeCell ref="B4:E4"/>
    <mergeCell ref="G4:I4"/>
    <mergeCell ref="H5:I5"/>
    <mergeCell ref="B6:I6"/>
    <mergeCell ref="B7:I7"/>
    <mergeCell ref="B8:F8"/>
    <mergeCell ref="H8:I8"/>
    <mergeCell ref="D9:E9"/>
    <mergeCell ref="D10:F10"/>
    <mergeCell ref="H10:I10"/>
    <mergeCell ref="D11:I11"/>
    <mergeCell ref="B12:F12"/>
    <mergeCell ref="B14:D14"/>
    <mergeCell ref="E14:G14"/>
    <mergeCell ref="H14:I14"/>
    <mergeCell ref="D15:E15"/>
    <mergeCell ref="H15:I15"/>
    <mergeCell ref="D16:G16"/>
    <mergeCell ref="D17:E17"/>
    <mergeCell ref="G17:I17"/>
    <mergeCell ref="D18:E18"/>
    <mergeCell ref="H18:I18"/>
    <mergeCell ref="B19:E19"/>
    <mergeCell ref="B20:H20"/>
    <mergeCell ref="B21:F21"/>
    <mergeCell ref="B22:D22"/>
    <mergeCell ref="E22:G22"/>
    <mergeCell ref="B23:E23"/>
    <mergeCell ref="B24:I24"/>
    <mergeCell ref="B25:D25"/>
    <mergeCell ref="E25:F25"/>
    <mergeCell ref="B26:E26"/>
    <mergeCell ref="B27:D27"/>
    <mergeCell ref="B28:E28"/>
    <mergeCell ref="B29:H29"/>
    <mergeCell ref="B30:F30"/>
    <mergeCell ref="B32:E32"/>
    <mergeCell ref="B33:E33"/>
    <mergeCell ref="F33:G33"/>
    <mergeCell ref="B34:F34"/>
    <mergeCell ref="B35:G35"/>
    <mergeCell ref="B36:H36"/>
    <mergeCell ref="B37:H37"/>
    <mergeCell ref="B38:I38"/>
    <mergeCell ref="B39:G39"/>
    <mergeCell ref="B40:H40"/>
  </mergeCells>
  <ignoredErrors>
    <ignoredError numberStoredAsText="1" sqref="B1:U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HĐTV (Khối VP)</vt:lpstr>
      <vt:lpstr>HĐLĐ 12T (Khối VP)</vt:lpstr>
      <vt:lpstr>HĐLĐ 24T( Khối VP)</vt:lpstr>
      <vt:lpstr>HĐLĐ KXĐTH</vt:lpstr>
      <vt:lpstr>HĐTV (Khối LX)</vt:lpstr>
      <vt:lpstr>HĐLĐ 12T (Khối LX)</vt:lpstr>
      <vt:lpstr>HĐLĐ 24T ( Khối LX)</vt:lpstr>
      <vt:lpstr>HĐLĐ KXĐTH (lx- nhiều công ty)</vt:lpstr>
      <vt:lpstr>HĐKXĐ ( Khối LX)</vt:lpstr>
      <vt:lpstr>HĐ KXĐ (Khối LX)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