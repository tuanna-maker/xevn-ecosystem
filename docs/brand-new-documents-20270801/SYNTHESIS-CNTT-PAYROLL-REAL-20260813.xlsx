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Chính sách" sheetId="2" state="visible" r:id="rId2"/>
    <sheet xmlns:r="http://schemas.openxmlformats.org/officeDocument/2006/relationships" name="Danh mục" sheetId="3" state="visible" r:id="rId3"/>
    <sheet xmlns:r="http://schemas.openxmlformats.org/officeDocument/2006/relationships" name="Ngạch bậc (QĐ 2A)" sheetId="4" state="visible" r:id="rId4"/>
    <sheet xmlns:r="http://schemas.openxmlformats.org/officeDocument/2006/relationships" name="Định mức LX Tải (QĐ 206)" sheetId="5" state="visible" r:id="rId5"/>
    <sheet xmlns:r="http://schemas.openxmlformats.org/officeDocument/2006/relationships" name="Xác nhận"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color rgb="00FFFFFF"/>
      <sz val="10"/>
    </font>
    <font>
      <name val="Arial"/>
      <b val="1"/>
      <sz val="12"/>
    </font>
    <font>
      <name val="Arial"/>
      <i val="1"/>
      <sz val="9"/>
    </font>
    <font>
      <name val="Arial"/>
      <b val="1"/>
      <sz val="11"/>
    </font>
  </fonts>
  <fills count="3">
    <fill>
      <patternFill/>
    </fill>
    <fill>
      <patternFill patternType="gray125"/>
    </fill>
    <fill>
      <patternFill patternType="solid">
        <fgColor rgb="001E40AF"/>
        <bgColor rgb="001E40AF"/>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2" fillId="0" borderId="0" applyAlignment="1" pivotButton="0" quotePrefix="0" xfId="0">
      <alignment vertical="top" wrapText="1"/>
    </xf>
    <xf numFmtId="0" fontId="4" fillId="0" borderId="0" pivotButton="0" quotePrefix="0" xfId="0"/>
    <xf numFmtId="0" fontId="5" fillId="0" borderId="0" pivotButton="0" quotePrefix="0" xfId="0"/>
    <xf numFmtId="3" fontId="2" fillId="0" borderId="0" applyAlignment="1" pivotButton="0" quotePrefix="0" xfId="0">
      <alignment vertical="top" wrapText="1"/>
    </xf>
    <xf numFmtId="0" fontId="6" fillId="0" borderId="0" pivotButton="0" quotePrefix="0" xfId="0"/>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BẢN TỔNG HỢP DỮ LIỆU LƯƠNG CNTT — DỮ LIỆU THẬT (thay thế bản có dữ liệu bịa)</t>
        </is>
      </c>
    </row>
    <row r="2">
      <c r="A2" s="2" t="inlineStr"/>
    </row>
    <row r="3">
      <c r="A3" s="2" t="inlineStr">
        <is>
          <t>Ngày làm: 2026-08-13 (CLAUDE-CODE, PM phiên này — KHÔNG phải 'claude terminal' đã làm file SYNTHESIS...FULL.xlsx trước đó)</t>
        </is>
      </c>
    </row>
    <row r="4">
      <c r="A4" s="2" t="inlineStr"/>
    </row>
    <row r="5">
      <c r="A5" s="2" t="inlineStr">
        <is>
          <t>LÝ DO CÓ FILE NÀY: file docs/brand-new-documents-20270801/SYNTHESIS-CNTT-PAYROLL-67FILES-20260813_FULL.xlsx</t>
        </is>
      </c>
    </row>
    <row r="6">
      <c r="A6" s="2" t="inlineStr">
        <is>
          <t>đã được xác nhận CÓ DỮ LIỆU BỊA (kiểm tra 11 tên file mẫu = 0/11 tồn tại thật; số liệu đơn giá lượt Nam Định</t>
        </is>
      </c>
    </row>
    <row r="7">
      <c r="A7" s="2" t="inlineStr">
        <is>
          <t>bịa 180.000đ trong khi PDF thật ghi 45.000-70.000đ tùy thời điểm). File này làm LẠI từ đầu, chỉ dùng dữ liệu</t>
        </is>
      </c>
    </row>
    <row r="8">
      <c r="A8" s="2" t="inlineStr">
        <is>
          <t>đã đọc THẬT (6 agent CLAUDE-CODE đọc trực tiếp từng file PDF/Excel, trích dẫn đường dẫn tuyệt đối).</t>
        </is>
      </c>
    </row>
    <row r="9">
      <c r="A9" s="2" t="inlineStr"/>
    </row>
    <row r="10">
      <c r="A10" s="2" t="inlineStr">
        <is>
          <t>Sheet 'Xác nhận' — GIỮ NGUYÊN 19 câu trả lời sponsor đã điền ở file cũ (chép lại y nguyên) vì các câu</t>
        </is>
      </c>
    </row>
    <row r="11">
      <c r="A11" s="2" t="inlineStr">
        <is>
          <t>trả lời đó nói về NGUYÊN TẮC cấu hình (per-tenant, policy engine...), không phụ thuộc số liệu bịa.</t>
        </is>
      </c>
    </row>
    <row r="12">
      <c r="A12" s="2" t="inlineStr"/>
    </row>
    <row r="13">
      <c r="A13" s="2" t="inlineStr">
        <is>
          <t>Xem thêm phân tích kiến trúc đầy đủ (XBOS master-data, contract clause library, formula engine động):</t>
        </is>
      </c>
    </row>
    <row r="14">
      <c r="A14" s="2" t="inlineStr">
        <is>
          <t>docs/program/specs/BA-CNTT-PAYROLL-CATALOG-ARCH-01.md</t>
        </is>
      </c>
    </row>
    <row r="15">
      <c r="A15" s="2" t="inlineStr"/>
    </row>
    <row r="16">
      <c r="A16" s="2" t="inlineStr">
        <is>
          <t>CẤU TRÚC FILE:</t>
        </is>
      </c>
    </row>
    <row r="17">
      <c r="A17" s="2" t="inlineStr">
        <is>
          <t xml:space="preserve">  Sheet 'Chính sách' — 30 văn bản PDF chính sách/quyết định lương THẬT, số hiệu/ngày/nội dung trích trực tiếp từ PDF.</t>
        </is>
      </c>
    </row>
    <row r="18">
      <c r="A18" s="2" t="inlineStr">
        <is>
          <t xml:space="preserve">  Sheet 'Danh mục' — Đề xuất mục danh mục Cài đặt, gộp từ 6 agent, cột 'Duyệt' để trống cho sponsor điền Y/N/?.</t>
        </is>
      </c>
    </row>
    <row r="19">
      <c r="A19" s="2" t="inlineStr">
        <is>
          <t xml:space="preserve">  Sheet 'Ngạch bậc (QĐ 2A)' — Bảng ngạch bậc lương chính thức toàn công ty, trích ĐẦY ĐỦ từ QĐ 2A.</t>
        </is>
      </c>
    </row>
    <row r="20">
      <c r="A20" s="2" t="inlineStr">
        <is>
          <t xml:space="preserve">  Sheet 'Định mức LX Tải (QĐ 206)' — Bảng định mức lương cứng/TN QLPT/DT theo 19 loại tải trọng, trích ĐẦY ĐỦ từ QĐ 206.</t>
        </is>
      </c>
    </row>
    <row r="21">
      <c r="A21" s="2" t="inlineStr">
        <is>
          <t xml:space="preserve">  Sheet 'Xác nhận' — 19 câu hỏi + câu trả lời sponsor (giữ nguyên từ file cũ).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2" customWidth="1" min="3" max="3"/>
    <col width="14" customWidth="1" min="4" max="4"/>
    <col width="20" customWidth="1" min="5" max="5"/>
    <col width="60" customWidth="1" min="6" max="6"/>
    <col width="14" customWidth="1" min="7" max="7"/>
    <col width="55" customWidth="1" min="8" max="8"/>
  </cols>
  <sheetData>
    <row r="1">
      <c r="A1" s="3" t="inlineStr">
        <is>
          <t>STT</t>
        </is>
      </c>
      <c r="B1" s="3" t="inlineStr">
        <is>
          <t>Số hiệu</t>
        </is>
      </c>
      <c r="C1" s="3" t="inlineStr">
        <is>
          <t>Ngày</t>
        </is>
      </c>
      <c r="D1" s="3" t="inlineStr">
        <is>
          <t>Loại</t>
        </is>
      </c>
      <c r="E1" s="3" t="inlineStr">
        <is>
          <t>Tỉnh/Đối tượng</t>
        </is>
      </c>
      <c r="F1" s="3" t="inlineStr">
        <is>
          <t>Tóm tắt nội dung (trích thật từ PDF)</t>
        </is>
      </c>
      <c r="G1" s="3" t="inlineStr">
        <is>
          <t>Mảng nghiệp vụ</t>
        </is>
      </c>
      <c r="H1" s="3" t="inlineStr">
        <is>
          <t>File nguồn (đường dẫn tương đối trong Gửi P.CNTT)</t>
        </is>
      </c>
    </row>
    <row r="2">
      <c r="A2" s="4" t="n">
        <v>1</v>
      </c>
      <c r="B2" s="4" t="inlineStr">
        <is>
          <t>QĐ 2A</t>
        </is>
      </c>
      <c r="C2" s="4" t="inlineStr">
        <is>
          <t>2026-01-02</t>
        </is>
      </c>
      <c r="D2" s="4" t="inlineStr">
        <is>
          <t>Quyết định</t>
        </is>
      </c>
      <c r="E2" s="4" t="inlineStr">
        <is>
          <t>Toàn công ty</t>
        </is>
      </c>
      <c r="F2" s="4" t="inlineStr">
        <is>
          <t>Ban hành hệ thống thang lương/bảng lương — 11 ngạch D1→E2, lương tối thiểu công ty 5.310.000đ (bậc I ngạch E2). Căn cứ NĐ 293/2025 (lương tối thiểu vùng) + NĐ 128/2025 (địa bàn vùng).</t>
        </is>
      </c>
      <c r="G2" s="4" t="inlineStr">
        <is>
          <t>Chung</t>
        </is>
      </c>
      <c r="H2" s="4" t="inlineStr">
        <is>
          <t>Chính sách chung/2026.01.02 QĐ 2A vv ban hành hệ thống thang lương, bảng lương.pdf</t>
        </is>
      </c>
    </row>
    <row r="3">
      <c r="A3" s="4" t="n">
        <v>2</v>
      </c>
      <c r="B3" s="4" t="inlineStr">
        <is>
          <t>QĐ 127A</t>
        </is>
      </c>
      <c r="C3" s="4" t="inlineStr">
        <is>
          <t>2025-06-01</t>
        </is>
      </c>
      <c r="D3" s="4" t="inlineStr">
        <is>
          <t>Quyết định</t>
        </is>
      </c>
      <c r="E3" s="4" t="inlineStr">
        <is>
          <t>Toàn công ty</t>
        </is>
      </c>
      <c r="F3" s="4" t="inlineStr">
        <is>
          <t>Điều chỉnh Phụ lục Quy chế lương số 17/2025 — ban hành lại PL01 'Định mức TNBS' (10 nhóm chức danh x 2 mức, 6 khoản: điện thoại/xăng xe/trang phục/đi lại/nhà ở/ăn) và PL02 'Thưởng KPI' (tỷ lệ 8%-35% theo chức danh).</t>
        </is>
      </c>
      <c r="G3" s="4" t="inlineStr">
        <is>
          <t>Chung</t>
        </is>
      </c>
      <c r="H3" s="4" t="inlineStr">
        <is>
          <t>Chính sách chung/2025.06.01 QĐ 127A vv điều chỉnh Phụ lục Quy chế lương số 17.2025.QĐ-X.E.pdf</t>
        </is>
      </c>
    </row>
    <row r="4">
      <c r="A4" s="4" t="n">
        <v>3</v>
      </c>
      <c r="B4" s="4" t="inlineStr">
        <is>
          <t>Quy chế ĐPHH 2022</t>
        </is>
      </c>
      <c r="C4" s="4" t="inlineStr">
        <is>
          <t>2022-04-01</t>
        </is>
      </c>
      <c r="D4" s="4" t="inlineStr">
        <is>
          <t>Quy chế</t>
        </is>
      </c>
      <c r="E4" s="4" t="inlineStr">
        <is>
          <t>Điều phối hàng hóa</t>
        </is>
      </c>
      <c r="F4" s="4" t="inlineStr">
        <is>
          <t>Quy chế gốc tính lương ĐPHH: Tổng lương = Lương KPI + Lương doanh thu (DTHG/DTHN) + Thưởng + Phụ cấp + Lương thêm giờ. Quỹ lương KPI HN 4tr/Tỉnh 3tr; %DTHG 6-8%; DTHN 1%; thang lương bậc 1-10 (4.8tr-11.28tr).</t>
        </is>
      </c>
      <c r="G4" s="4" t="inlineStr">
        <is>
          <t>Mảng 1 (ĐPHH)</t>
        </is>
      </c>
      <c r="H4" s="4" t="inlineStr">
        <is>
          <t>1. Điều phối hàng hóa/Chính sách lương ĐPHH/2022.04.01 Quy chế lương điều phối.pdf</t>
        </is>
      </c>
    </row>
    <row r="5">
      <c r="A5" s="4" t="n">
        <v>4</v>
      </c>
      <c r="B5" s="4" t="inlineStr">
        <is>
          <t>QĐ 24/2024 (X.E_VTHH-QD.02)</t>
        </is>
      </c>
      <c r="C5" s="4" t="inlineStr">
        <is>
          <t>2024-04-22</t>
        </is>
      </c>
      <c r="D5" s="4" t="inlineStr">
        <is>
          <t>Quyết định</t>
        </is>
      </c>
      <c r="E5" s="4" t="inlineStr">
        <is>
          <t>ĐPHH — Giao hàng</t>
        </is>
      </c>
      <c r="F5" s="4" t="inlineStr">
        <is>
          <t>Cơ chế thưởng doanh thu Giao hàng (shipper kiêm nhiệm): Thưởng DT = 25%xDT thực + Thưởng nỗ lực team theo mốc DT bưu cục (25-35tr=4tr...≥100tr=16tr).</t>
        </is>
      </c>
      <c r="G5" s="4" t="inlineStr">
        <is>
          <t>Mảng 1 (ĐPHH)</t>
        </is>
      </c>
      <c r="H5" s="4" t="inlineStr">
        <is>
          <t>1. Điều phối hàng hóa/Chính sách lương ĐPHH/2024.04.22 Chính sách thưởng doanh thu giao hàng cho Điều phối hàng hoá.pdf</t>
        </is>
      </c>
    </row>
    <row r="6">
      <c r="A6" s="4" t="n">
        <v>5</v>
      </c>
      <c r="B6" s="4" t="inlineStr">
        <is>
          <t>Đề xuất 07/2024</t>
        </is>
      </c>
      <c r="C6" s="4" t="inlineStr">
        <is>
          <t>2024-07-10</t>
        </is>
      </c>
      <c r="D6" s="4" t="inlineStr">
        <is>
          <t>Đề xuất (đã duyệt)</t>
        </is>
      </c>
      <c r="E6" s="4" t="inlineStr">
        <is>
          <t>ĐPHH — 3 VP tỉnh (NĐ/TB/NB)</t>
        </is>
      </c>
      <c r="F6" s="4" t="inlineStr">
        <is>
          <t>Đổi cơ chế: hưởng thẳng 50% trên tổng cước ship giao/nhận tận nơi (bỏ tính theo mốc DT).</t>
        </is>
      </c>
      <c r="G6" s="4" t="inlineStr">
        <is>
          <t>Mảng 1 (ĐPHH)</t>
        </is>
      </c>
      <c r="H6" s="4" t="inlineStr">
        <is>
          <t>1. Điều phối hàng hóa/Chính sách lương ĐPHH/2024.07.10 Điều chỉnh tỷ lệ hưởng doanh thu giao hàng của Điều phối hàng hoá.pdf</t>
        </is>
      </c>
    </row>
    <row r="7">
      <c r="A7" s="4" t="n">
        <v>6</v>
      </c>
      <c r="B7" s="4" t="inlineStr">
        <is>
          <t>QĐ 1031/2024</t>
        </is>
      </c>
      <c r="C7" s="4" t="inlineStr">
        <is>
          <t>2024-10-03/31</t>
        </is>
      </c>
      <c r="D7" s="4" t="inlineStr">
        <is>
          <t>Quyết định</t>
        </is>
      </c>
      <c r="E7" s="4" t="inlineStr">
        <is>
          <t>Điều phối hàng hóa (toàn bộ)</t>
        </is>
      </c>
      <c r="F7" s="4" t="inlineStr">
        <is>
          <t>Tăng tỷ lệ hoa hồng: DTHG &lt;150tr 7%→7.5%, 150-200tr 8%→8.5%, 200-300tr 9%→9.5%, ≥300tr 10%→10.5%. DTHN &lt;300tr 1%→2%, ≥300tr 2%→3%.</t>
        </is>
      </c>
      <c r="G7" s="4" t="inlineStr">
        <is>
          <t>Mảng 1 (ĐPHH)</t>
        </is>
      </c>
      <c r="H7" s="4" t="inlineStr">
        <is>
          <t>1. Điều phối hàng hóa/Chính sách lương ĐPHH/2024.10.03 Điều chỉnh tỷ lệ hưởng hoa hồng doanh thu hàng gửi, hàng nhận.pdf</t>
        </is>
      </c>
    </row>
    <row r="8">
      <c r="A8" s="4" t="n">
        <v>7</v>
      </c>
      <c r="B8" s="4" t="inlineStr">
        <is>
          <t>QĐ 14/2024(?)</t>
        </is>
      </c>
      <c r="C8" s="4" t="inlineStr">
        <is>
          <t>2025-02-18</t>
        </is>
      </c>
      <c r="D8" s="4" t="inlineStr">
        <is>
          <t>Quyết định</t>
        </is>
      </c>
      <c r="E8" s="4" t="inlineStr">
        <is>
          <t>ĐPHH thử việc</t>
        </is>
      </c>
      <c r="F8" s="4" t="inlineStr">
        <is>
          <t>Đổi cách tính lương thử việc: không hưởng lương cứng, hưởng 85% theo chính sách Lương Doanh thu như NV chính thức. (Ghi chú: văn bản in năm 2024 dù ký 2025 — nghi lỗi đánh máy, cần hỏi lại KH.)</t>
        </is>
      </c>
      <c r="G8" s="4" t="inlineStr">
        <is>
          <t>Mảng 1 (ĐPHH)</t>
        </is>
      </c>
      <c r="H8" s="4" t="inlineStr">
        <is>
          <t>1. Điều phối hàng hóa/Chính sách lương ĐPHH/2025.02.18 Điều chỉnh cách tính lương Điều phối hàng hóa thử việc.pdf</t>
        </is>
      </c>
    </row>
    <row r="9">
      <c r="A9" s="4" t="n">
        <v>8</v>
      </c>
      <c r="B9" s="4" t="inlineStr">
        <is>
          <t>QĐ 20/2025</t>
        </is>
      </c>
      <c r="C9" s="4" t="inlineStr">
        <is>
          <t>2025-04-04</t>
        </is>
      </c>
      <c r="D9" s="4" t="inlineStr">
        <is>
          <t>Quyết định</t>
        </is>
      </c>
      <c r="E9" s="4" t="inlineStr">
        <is>
          <t>ĐPHH VP Trần Đại Nghĩa</t>
        </is>
      </c>
      <c r="F9" s="4" t="inlineStr">
        <is>
          <t>Đổi ca làm việc 2 ca 9h/ngày (Ca1 06h-15h, Ca2 11h-20h) + ấn định lương cố định 8.000.000đ/tháng.</t>
        </is>
      </c>
      <c r="G9" s="4" t="inlineStr">
        <is>
          <t>Mảng 1 (ĐPHH)</t>
        </is>
      </c>
      <c r="H9" s="4" t="inlineStr">
        <is>
          <t>1. Điều phối hàng hóa/Chính sách lương ĐPHH/2025.04.04 Điều chỉnh thời gian làm việc và mức lương ĐP HH VP Trần Đại Nghĩa.pdf</t>
        </is>
      </c>
    </row>
    <row r="10">
      <c r="A10" s="4" t="n">
        <v>9</v>
      </c>
      <c r="B10" s="4" t="inlineStr">
        <is>
          <t>Đề xuất 01/2025-VTHH</t>
        </is>
      </c>
      <c r="C10" s="4" t="inlineStr">
        <is>
          <t>2025-08-22</t>
        </is>
      </c>
      <c r="D10" s="4" t="inlineStr">
        <is>
          <t>Đề xuất (đã duyệt)</t>
        </is>
      </c>
      <c r="E10" s="4" t="inlineStr">
        <is>
          <t>ĐPHH — 7 VP tỉnh</t>
        </is>
      </c>
      <c r="F10" s="4" t="inlineStr">
        <is>
          <t>Tăng tỷ lệ hưởng cước ship 50%→70%, mở rộng phạm vi 3→7 VP tỉnh (thêm Việt Trì/Phù Ninh/Phú Thọ/Yên Bái).</t>
        </is>
      </c>
      <c r="G10" s="4" t="inlineStr">
        <is>
          <t>Mảng 1 (ĐPHH)</t>
        </is>
      </c>
      <c r="H10" s="4" t="inlineStr">
        <is>
          <t>1. Điều phối hàng hóa/Chính sách lương ĐPHH/2025.08.22 Điều chỉnh cách tính lương ship của điều phối hàng hoá.pdf</t>
        </is>
      </c>
    </row>
    <row r="11">
      <c r="A11" s="4" t="n">
        <v>10</v>
      </c>
      <c r="B11" s="4" t="inlineStr">
        <is>
          <t>QĐ 196/2024 (Xe_NS-QĐL1500)</t>
        </is>
      </c>
      <c r="C11" s="4" t="inlineStr">
        <is>
          <t>2024-06-19</t>
        </is>
      </c>
      <c r="D11" s="4" t="inlineStr">
        <is>
          <t>Quyết định</t>
        </is>
      </c>
      <c r="E11" s="4" t="inlineStr">
        <is>
          <t>Tổng đài 1900-1500</t>
        </is>
      </c>
      <c r="F11" s="4" t="inlineStr">
        <is>
          <t>Công thức: Tổng lương = Lương cuộc nghe + Lương hợp đồng + Lương thời gian + Thưởng Top + Thưởng hạn chế gọi nhỡ + Lương phép + PC khác. Lương cơ bản 5tr/th; thưởng ca sáng/chiều 600k-1.5tr; hệ số CLDV 105%/100%/theo tỷ lệ.</t>
        </is>
      </c>
      <c r="G11" s="4" t="inlineStr">
        <is>
          <t>Mảng 2 (TĐHK)</t>
        </is>
      </c>
      <c r="H11" s="4" t="inlineStr">
        <is>
          <t>2. Bảng Tổng đài hành khách/Chính sách lương tổng đài hành khách/2024.06.19 QĐ_Quy chế tinh lương kpi tổng đài 1500.pdf</t>
        </is>
      </c>
    </row>
    <row r="12">
      <c r="A12" s="4" t="n">
        <v>11</v>
      </c>
      <c r="B12" s="4" t="inlineStr">
        <is>
          <t>Đề xuất (không số)</t>
        </is>
      </c>
      <c r="C12" s="4" t="inlineStr">
        <is>
          <t>2025-09-18</t>
        </is>
      </c>
      <c r="D12" s="4" t="inlineStr">
        <is>
          <t>Tờ trình (đã duyệt)</t>
        </is>
      </c>
      <c r="E12" s="4" t="inlineStr">
        <is>
          <t>Tổng đài — thử việc</t>
        </is>
      </c>
      <c r="F12" s="4" t="inlineStr">
        <is>
          <t>Tăng lương thử việc: ca sáng 5.5tr→6tr, ca chiều 5.5tr→6.8tr (đã gồm ăn ca).</t>
        </is>
      </c>
      <c r="G12" s="4" t="inlineStr">
        <is>
          <t>Mảng 2 (TĐHK)</t>
        </is>
      </c>
      <c r="H12" s="4" t="inlineStr">
        <is>
          <t>2. Bảng Tổng đài hành khách/Chính sách lương tổng đài hành khách/2025.09.18 Điều chỉnh mức lương thử việc của tổng đài hành khách.pdf</t>
        </is>
      </c>
    </row>
    <row r="13">
      <c r="A13" s="4" t="n">
        <v>12</v>
      </c>
      <c r="B13" s="4" t="inlineStr">
        <is>
          <t>QĐ 752/2025</t>
        </is>
      </c>
      <c r="C13" s="4" t="inlineStr">
        <is>
          <t>2025-11-28</t>
        </is>
      </c>
      <c r="D13" s="4" t="inlineStr">
        <is>
          <t>Quyết định</t>
        </is>
      </c>
      <c r="E13" s="4" t="inlineStr">
        <is>
          <t>Tổng đài — hỗ trợ app X.E</t>
        </is>
      </c>
      <c r="F13" s="4" t="inlineStr">
        <is>
          <t>Phụ cấp 37.607đ/giờ hướng dẫn KH dùng app X.E VIETNAM (23/10-03/11/2025).</t>
        </is>
      </c>
      <c r="G13" s="4" t="inlineStr">
        <is>
          <t>Mảng 2 (TĐHK)</t>
        </is>
      </c>
      <c r="H13" s="4" t="inlineStr">
        <is>
          <t>2. Bảng Tổng đài hành khách/Chính sách lương tổng đài hành khách/2025.11.28 QĐ 752 QĐ chi phụ cấp đối với nhân viên tổng đài hành khách.pdf</t>
        </is>
      </c>
    </row>
    <row r="14">
      <c r="A14" s="4" t="n">
        <v>13</v>
      </c>
      <c r="B14" s="4" t="inlineStr">
        <is>
          <t>QC LX Nam Định 2020</t>
        </is>
      </c>
      <c r="C14" s="4" t="inlineStr">
        <is>
          <t>2020-09-01</t>
        </is>
      </c>
      <c r="D14" s="4" t="inlineStr">
        <is>
          <t>Quy chế</t>
        </is>
      </c>
      <c r="E14" s="4" t="inlineStr">
        <is>
          <t>LX Tuyến Nam Định</t>
        </is>
      </c>
      <c r="F14" s="4" t="inlineStr">
        <is>
          <t>Đơn giá lượt 1-100=45.000đ/&gt;101=55.000đ; DT 0-100tr=4%/&gt;100tr=8%; CLDV 100-110% theo thang điểm; HĐ khác tỉnh 400-600k/ngày+4%DT.</t>
        </is>
      </c>
      <c r="G14" s="4" t="inlineStr">
        <is>
          <t>Mảng 4 (LX Tuyến)</t>
        </is>
      </c>
      <c r="H14" s="4" t="inlineStr">
        <is>
          <t>4. Bảng lương lái xe tuyến/Cơ chế lương lái xe tuyến/2020.09.01 XEVN_Nam Định_Quy chế lương lái tuyến.pdf</t>
        </is>
      </c>
    </row>
    <row r="15">
      <c r="A15" s="4" t="n">
        <v>14</v>
      </c>
      <c r="B15" s="4" t="inlineStr">
        <is>
          <t>QC LX Ninh Bình 2020</t>
        </is>
      </c>
      <c r="C15" s="4" t="inlineStr">
        <is>
          <t>2020-09-01</t>
        </is>
      </c>
      <c r="D15" s="4" t="inlineStr">
        <is>
          <t>Quy chế</t>
        </is>
      </c>
      <c r="E15" s="4" t="inlineStr">
        <is>
          <t>LX Tuyến Ninh Bình</t>
        </is>
      </c>
      <c r="F15" s="4" t="inlineStr">
        <is>
          <t>Cấu trúc/mức giống hệt Nam Định (cùng ngày ban hành, cùng biểu mẫu).</t>
        </is>
      </c>
      <c r="G15" s="4" t="inlineStr">
        <is>
          <t>Mảng 4 (LX Tuyến)</t>
        </is>
      </c>
      <c r="H15" s="4" t="inlineStr">
        <is>
          <t>4. Bảng lương lái xe tuyến/Cơ chế lương lái xe tuyến/2020.09.01 XEVN_Ninh Bình_Quy chế lương lái tuyến.pdf</t>
        </is>
      </c>
    </row>
    <row r="16">
      <c r="A16" s="4" t="n">
        <v>15</v>
      </c>
      <c r="B16" s="4" t="inlineStr">
        <is>
          <t>QC LX Thái Bình 2020</t>
        </is>
      </c>
      <c r="C16" s="4" t="inlineStr">
        <is>
          <t>2020-10-01</t>
        </is>
      </c>
      <c r="D16" s="4" t="inlineStr">
        <is>
          <t>Quy chế</t>
        </is>
      </c>
      <c r="E16" s="4" t="inlineStr">
        <is>
          <t>LX Tuyến Thái Bình</t>
        </is>
      </c>
      <c r="F16" s="4" t="inlineStr">
        <is>
          <t>Đơn giá lượt cao hơn: 1-100=50.000đ/&gt;101=60.000đ. Còn lại giống Nam Định.</t>
        </is>
      </c>
      <c r="G16" s="4" t="inlineStr">
        <is>
          <t>Mảng 4 (LX Tuyến)</t>
        </is>
      </c>
      <c r="H16" s="4" t="inlineStr">
        <is>
          <t>4. Bảng lương lái xe tuyến/Cơ chế lương lái xe tuyến/2020.10.01 X.EVN_Thái Bình_Quy chế lương lái tuyến.pdf</t>
        </is>
      </c>
    </row>
    <row r="17">
      <c r="A17" s="4" t="n">
        <v>16</v>
      </c>
      <c r="B17" s="4" t="inlineStr">
        <is>
          <t>QĐ 2803/2023 (280823)</t>
        </is>
      </c>
      <c r="C17" s="4" t="inlineStr">
        <is>
          <t>2023-08-28</t>
        </is>
      </c>
      <c r="D17" s="4" t="inlineStr">
        <is>
          <t>Quyết định</t>
        </is>
      </c>
      <c r="E17" s="4" t="inlineStr">
        <is>
          <t>LX Tuyến — mọi tỉnh</t>
        </is>
      </c>
      <c r="F17" s="4" t="inlineStr">
        <is>
          <t>Tăng đơn giá HĐ khác tỉnh/ngoại giao: trong ngày 400k→500k+4%DT; ≥2 ngày 500k→600k+4%DT; ngoại giao 600k→750k.</t>
        </is>
      </c>
      <c r="G17" s="4" t="inlineStr">
        <is>
          <t>Mảng 4 (LX Tuyến)</t>
        </is>
      </c>
      <c r="H17" s="4" t="inlineStr">
        <is>
          <t>4. Bảng lương lái xe tuyến/Cơ chế lương lái xe tuyến/2023.08.28 Quyết định 280823-2023-QĐ-X.EVN vv điều chỉnh lương hợp đồng khác tỉnh, hợp đồng ngoại giao cho lái xe tuyến.pdf</t>
        </is>
      </c>
    </row>
    <row r="18">
      <c r="A18" s="4" t="n">
        <v>17</v>
      </c>
      <c r="B18" s="4" t="inlineStr">
        <is>
          <t>QC Phú Thọ 2023</t>
        </is>
      </c>
      <c r="C18" s="4" t="inlineStr">
        <is>
          <t>2023-10-01</t>
        </is>
      </c>
      <c r="D18" s="4" t="inlineStr">
        <is>
          <t>Quy chế</t>
        </is>
      </c>
      <c r="E18" s="4" t="inlineStr">
        <is>
          <t>LX Tuyến Phú Thọ (Việt Trì+TX)</t>
        </is>
      </c>
      <c r="F18" s="4" t="inlineStr">
        <is>
          <t>4 lộ trình x 2 mức (VT-Ga/VT-Big/PT-Ga/PT-Big, 45k-75k); DT ngưỡng 120tr, 5%/6%; hỗ trợ giảm dần PT-HN; giảm trừ sửa chữa 100% (khác NĐ 10%).</t>
        </is>
      </c>
      <c r="G18" s="4" t="inlineStr">
        <is>
          <t>Mảng 4 (LX Tuyến)</t>
        </is>
      </c>
      <c r="H18" s="4" t="inlineStr">
        <is>
          <t>4. Bảng lương lái xe tuyến/Cơ chế lương lái xe tuyến/2023.10.01 QC_Quy chế lương tuyến Tỉnh Phú Thọ_ban hành 01.10.2023.pdf</t>
        </is>
      </c>
    </row>
    <row r="19">
      <c r="A19" s="4" t="n">
        <v>18</v>
      </c>
      <c r="B19" s="4" t="inlineStr">
        <is>
          <t>Đề xuất VT/PT</t>
        </is>
      </c>
      <c r="C19" s="4" t="inlineStr">
        <is>
          <t>2025-09-05</t>
        </is>
      </c>
      <c r="D19" s="4" t="inlineStr">
        <is>
          <t>Đề xuất (áp dụng 07/2025)</t>
        </is>
      </c>
      <c r="E19" s="4" t="inlineStr">
        <is>
          <t>LX Tuyến Việt Trì/Phú Thọ</t>
        </is>
      </c>
      <c r="F19" s="4" t="inlineStr">
        <is>
          <t>Tăng đơn giá do đổi lộ trình (thêm điểm BigC Hà Đông): VT-BC 50k/60k→65k/75k; PT-BC 55k/65k→70k/80k.</t>
        </is>
      </c>
      <c r="G19" s="4" t="inlineStr">
        <is>
          <t>Mảng 4 (LX Tuyến)</t>
        </is>
      </c>
      <c r="H19" s="4" t="inlineStr">
        <is>
          <t>4. Bảng lương lái xe tuyến/Cơ chế lương lái xe tuyến/2025.09.05 Đề xuất đơn giá lượt tuyến Việt Trì, Phú Thọ từ 1.7.2025.pdf</t>
        </is>
      </c>
    </row>
    <row r="20">
      <c r="A20" s="4" t="n">
        <v>19</v>
      </c>
      <c r="B20" s="4" t="inlineStr">
        <is>
          <t>QĐ 439/2025</t>
        </is>
      </c>
      <c r="C20" s="4" t="inlineStr">
        <is>
          <t>2025-10-29</t>
        </is>
      </c>
      <c r="D20" s="4" t="inlineStr">
        <is>
          <t>Quyết định (hiệu lực 01/09/2025)</t>
        </is>
      </c>
      <c r="E20" s="4" t="inlineStr">
        <is>
          <t>LX Tuyến — 6 tỉnh</t>
        </is>
      </c>
      <c r="F20" s="4" t="inlineStr">
        <is>
          <t>Bảng đơn giá lượt MỚI toàn hệ + tiền ăn CN mới: NĐ 65k/70k, NB 55k/65k, TB 70k/75k, VT/PT giữ nguyên, Yên Bái MỚI 95k/115k. Ăn CN đồng nhất 25.000đ.</t>
        </is>
      </c>
      <c r="G20" s="4" t="inlineStr">
        <is>
          <t>Mảng 4 (LX Tuyến)</t>
        </is>
      </c>
      <c r="H20" s="4" t="inlineStr">
        <is>
          <t>4. Bảng lương lái xe tuyến/Cơ chế lương lái xe tuyến/2025.10.29 QĐ 439 vv điều chỉnh cơ chế lương của Lái xe tuyến.pdf</t>
        </is>
      </c>
    </row>
    <row r="21">
      <c r="A21" s="4" t="n">
        <v>20</v>
      </c>
      <c r="B21" s="4" t="inlineStr">
        <is>
          <t>QĐ 753/2025</t>
        </is>
      </c>
      <c r="C21" s="4" t="inlineStr">
        <is>
          <t>2025-11-28</t>
        </is>
      </c>
      <c r="D21" s="4" t="inlineStr">
        <is>
          <t>Quyết định</t>
        </is>
      </c>
      <c r="E21" s="4" t="inlineStr">
        <is>
          <t>LX Tuyến — Ninh Bình/Thái Bình</t>
        </is>
      </c>
      <c r="F21" s="4" t="inlineStr">
        <is>
          <t>Phụ cấp 20.000đ/lượt cho LX chính thức điều động tăng cường (01/11/2025-28/02/2026).</t>
        </is>
      </c>
      <c r="G21" s="4" t="inlineStr">
        <is>
          <t>Mảng 4 (LX Tuyến)</t>
        </is>
      </c>
      <c r="H21" s="4" t="inlineStr">
        <is>
          <t>4. Bảng lương lái xe tuyến/Cơ chế lương lái xe tuyến/2025.11.28 QĐ 753 QĐ chi phụ cấp hỗ trợ nhân viên lái xe tuyến.pdf</t>
        </is>
      </c>
    </row>
    <row r="22">
      <c r="A22" s="4" t="n">
        <v>21</v>
      </c>
      <c r="B22" s="4" t="inlineStr">
        <is>
          <t>QĐ 816/2025</t>
        </is>
      </c>
      <c r="C22" s="4" t="inlineStr">
        <is>
          <t>2025-12-13</t>
        </is>
      </c>
      <c r="D22" s="4" t="inlineStr">
        <is>
          <t>Quyết định (01/12/2025-28/02/2026)</t>
        </is>
      </c>
      <c r="E22" s="4" t="inlineStr">
        <is>
          <t>LX Tuyến — NĐ/TB/NB</t>
        </is>
      </c>
      <c r="F22" s="4" t="inlineStr">
        <is>
          <t>Đổi sang đơn giá lượt CỐ ĐỊNH: NĐ 125k, TB 145k, NB 140k/lượt. Học việc ≤7 ngày 400k/ngày. Thưởng chuyên cần MỚI 1.000.000đ/tháng (≥24 công, không nghỉ T6/T7/CN).</t>
        </is>
      </c>
      <c r="G22" s="4" t="inlineStr">
        <is>
          <t>Mảng 4 (LX Tuyến)</t>
        </is>
      </c>
      <c r="H22" s="4" t="inlineStr">
        <is>
          <t>4. Bảng lương lái xe tuyến/Cơ chế lương lái xe tuyến/2025.12.13 QĐ 816 điều chỉnh chính sách lương lái xe tuyến - Phòng VTHK.pdf</t>
        </is>
      </c>
    </row>
    <row r="23">
      <c r="A23" s="4" t="n">
        <v>22</v>
      </c>
      <c r="B23" s="4" t="inlineStr">
        <is>
          <t>QĐ 837/2025</t>
        </is>
      </c>
      <c r="C23" s="4" t="inlineStr">
        <is>
          <t>2025-12-23</t>
        </is>
      </c>
      <c r="D23" s="4" t="inlineStr">
        <is>
          <t>Quyết định</t>
        </is>
      </c>
      <c r="E23" s="4" t="inlineStr">
        <is>
          <t>LX Tuyến Nội Bài</t>
        </is>
      </c>
      <c r="F23" s="4" t="inlineStr">
        <is>
          <t>Tách riêng lượt đón/trả Nội Bài (50.000đ/lượt), KHÔNG tính vào doanh thu lương tháng.</t>
        </is>
      </c>
      <c r="G23" s="4" t="inlineStr">
        <is>
          <t>Mảng 4 (LX Tuyến)</t>
        </is>
      </c>
      <c r="H23" s="4" t="inlineStr">
        <is>
          <t>4. Bảng lương lái xe tuyến/Cơ chế lương lái xe tuyến/2025.12.23 QĐ 837 áp dụng cách tính lương lượt đối với tuyến Nội Bài.pdf</t>
        </is>
      </c>
    </row>
    <row r="24">
      <c r="A24" s="4" t="n">
        <v>23</v>
      </c>
      <c r="B24" s="4" t="inlineStr">
        <is>
          <t>Đề xuất Ninh Bình</t>
        </is>
      </c>
      <c r="C24" s="4" t="inlineStr">
        <is>
          <t>2025-12-30</t>
        </is>
      </c>
      <c r="D24" s="4" t="inlineStr">
        <is>
          <t>Đề xuất</t>
        </is>
      </c>
      <c r="E24" s="4" t="inlineStr">
        <is>
          <t>LX Tuyến điều chuyển NB</t>
        </is>
      </c>
      <c r="F24" s="4" t="inlineStr">
        <is>
          <t>LX tuyến khác điều chuyển tăng cường NB, hưởng lương KPI NB + PC xa nhà 3.000.000đ/tháng (theo tỷ lệ ngày công).</t>
        </is>
      </c>
      <c r="G24" s="4" t="inlineStr">
        <is>
          <t>Mảng 4 (LX Tuyến)</t>
        </is>
      </c>
      <c r="H24" s="4" t="inlineStr">
        <is>
          <t>4. Bảng lương lái xe tuyến/Cơ chế lương lái xe tuyến/2025.12.30 Chính sách lương cho lái xe tuyến điều chuyển sang Ninh Bình.pdf</t>
        </is>
      </c>
    </row>
    <row r="25">
      <c r="A25" s="4" t="n">
        <v>24</v>
      </c>
      <c r="B25" s="4" t="inlineStr">
        <is>
          <t>QĐ 169/2026</t>
        </is>
      </c>
      <c r="C25" s="4" t="inlineStr">
        <is>
          <t>2026-03-26</t>
        </is>
      </c>
      <c r="D25" s="4" t="inlineStr">
        <is>
          <t>Quyết định (01/04-31/05/2026)</t>
        </is>
      </c>
      <c r="E25" s="4" t="inlineStr">
        <is>
          <t>LX Tuyến — mọi tỉnh</t>
        </is>
      </c>
      <c r="F25" s="4" t="inlineStr">
        <is>
          <t>Chính thức hóa lại Thưởng chuyên cần: ≥24 công/tháng, không nghỉ T6/T7/CN → 1.000.000đ/người/tháng.</t>
        </is>
      </c>
      <c r="G25" s="4" t="inlineStr">
        <is>
          <t>Mảng 4 (LX Tuyến)</t>
        </is>
      </c>
      <c r="H25" s="4" t="inlineStr">
        <is>
          <t>4. Bảng lương lái xe tuyến/Cơ chế lương lái xe tuyến/2026.03.26. QĐ 169 vv Ban hành chính sách thưởng chuyên cần đối với lái xe tuyến - Phòng VTHK.pdf</t>
        </is>
      </c>
    </row>
    <row r="26">
      <c r="A26" s="4" t="n">
        <v>25</v>
      </c>
      <c r="B26" s="4" t="inlineStr">
        <is>
          <t>Đề xuất Yên Bái</t>
        </is>
      </c>
      <c r="C26" s="4" t="inlineStr">
        <is>
          <t>2026-04-20</t>
        </is>
      </c>
      <c r="D26" s="4" t="inlineStr">
        <is>
          <t>Đề xuất (áp dụng 01/05/2026)</t>
        </is>
      </c>
      <c r="E26" s="4" t="inlineStr">
        <is>
          <t>LX Tuyến tăng cường Yên Bái dài ngày</t>
        </is>
      </c>
      <c r="F26" s="4" t="inlineStr">
        <is>
          <t>Chuyển từ tính theo lượt sang lương KPI + PC xa nhà 5.000.000đ/tháng (theo tỷ lệ ngày công).</t>
        </is>
      </c>
      <c r="G26" s="4" t="inlineStr">
        <is>
          <t>Mảng 4 (LX Tuyến)</t>
        </is>
      </c>
      <c r="H26" s="4" t="inlineStr">
        <is>
          <t>4. Bảng lương lái xe tuyến/Cơ chế lương lái xe tuyến/Đề xuất chuyển đổi hình thức trả lương Tăng cường Yên Bái dài ngày.pdf</t>
        </is>
      </c>
    </row>
    <row r="27">
      <c r="A27" s="4" t="n">
        <v>26</v>
      </c>
      <c r="B27" s="4" t="inlineStr">
        <is>
          <t>QĐ 206/2026</t>
        </is>
      </c>
      <c r="C27" s="4" t="inlineStr">
        <is>
          <t>2026-04-01</t>
        </is>
      </c>
      <c r="D27" s="4" t="inlineStr">
        <is>
          <t>Quyết định</t>
        </is>
      </c>
      <c r="E27" s="4" t="inlineStr">
        <is>
          <t>LX Tải — P.VTHH</t>
        </is>
      </c>
      <c r="F27" s="4" t="inlineStr">
        <is>
          <t>Thay QĐ 758C/2025. Thu nhập = Lương cứng+Lương TN QLPT+Thưởng DT+PC đặc thù+Lương KPI(nếu TC Express)−giảm trừ. 3 nhóm LX (dự án/TC Express/TC Logistic). Bảng định mức 19 loại tải trọng — xem sheet riêng.</t>
        </is>
      </c>
      <c r="G27" s="4" t="inlineStr">
        <is>
          <t>Mảng 5 (LX Tải)</t>
        </is>
      </c>
      <c r="H27" s="4" t="inlineStr">
        <is>
          <t>5. Bảng lương lái xe tải/Chính sách lương lái xe tải/2026.04.01 QĐ 206 sửa đổi chính sách lương lái xe tải - P.VTHH.pdf</t>
        </is>
      </c>
    </row>
    <row r="28">
      <c r="A28" s="4" t="n">
        <v>27</v>
      </c>
      <c r="B28" s="4" t="inlineStr">
        <is>
          <t>TB 17/2026</t>
        </is>
      </c>
      <c r="C28" s="4" t="inlineStr">
        <is>
          <t>2026-04-01</t>
        </is>
      </c>
      <c r="D28" s="4" t="inlineStr">
        <is>
          <t>Thông báo</t>
        </is>
      </c>
      <c r="E28" s="4" t="inlineStr">
        <is>
          <t>LX Tải — 10 nhóm xe</t>
        </is>
      </c>
      <c r="F28" s="4" t="inlineStr">
        <is>
          <t>Định mức khoán nhiên liệu theo dòng xe (L/100km): QKR2.5T 8-10, NPR3.5T 9.5-11.5, FRR5.5T 12, FRR650 13, Hino/Isuzu 8T 19, Chenglong 8T 18.5, FVM15T 21, Container 33.</t>
        </is>
      </c>
      <c r="G28" s="4" t="inlineStr">
        <is>
          <t>Mảng 5 (LX Tải)</t>
        </is>
      </c>
      <c r="H28" s="4" t="inlineStr">
        <is>
          <t>5. Bảng lương lái xe tải/Chính sách lương lái xe tải/2026.04.01. Thông báo thay đổi mức khoán nhiêu liệu cho các dòng xe tải.pdf</t>
        </is>
      </c>
    </row>
    <row r="29">
      <c r="A29" s="4" t="n">
        <v>28</v>
      </c>
      <c r="B29" s="4" t="inlineStr">
        <is>
          <t>QC VP Nam Định 2020</t>
        </is>
      </c>
      <c r="C29" s="4" t="inlineStr">
        <is>
          <t>2020-10-01</t>
        </is>
      </c>
      <c r="D29" s="4" t="inlineStr">
        <is>
          <t>Quy chế</t>
        </is>
      </c>
      <c r="E29" s="4" t="inlineStr">
        <is>
          <t>VP Nam Định</t>
        </is>
      </c>
      <c r="F29" s="4" t="inlineStr">
        <is>
          <t>Quỹ phục vụ khách 7.000đ/khách; Quỹ QL phương tiện 500.000đ/xe/tháng; hệ số lương TCN=20/ĐH=17/LXTC=16/KT=12; lương thử việc 10tr/8tr/8tr/5.5tr.</t>
        </is>
      </c>
      <c r="G29" s="4" t="inlineStr">
        <is>
          <t>Mảng 6 (VP Tỉnh)</t>
        </is>
      </c>
      <c r="H29" s="4" t="inlineStr">
        <is>
          <t>6. Bảng lương văn phòng tỉnh/Chính sách lương văn phòng tỉnh/2020.10.01 X.EVN_Nam Định_Quy chế lương văn phòng.pdf</t>
        </is>
      </c>
    </row>
    <row r="30">
      <c r="A30" s="4" t="n">
        <v>29</v>
      </c>
      <c r="B30" s="4" t="inlineStr">
        <is>
          <t>QC VP Ninh Bình 2020</t>
        </is>
      </c>
      <c r="C30" s="4" t="inlineStr">
        <is>
          <t>2020-10-01</t>
        </is>
      </c>
      <c r="D30" s="4" t="inlineStr">
        <is>
          <t>Quy chế</t>
        </is>
      </c>
      <c r="E30" s="4" t="inlineStr">
        <is>
          <t>VP Ninh Bình</t>
        </is>
      </c>
      <c r="F30" s="4" t="inlineStr">
        <is>
          <t>Quỹ phục vụ khách 9.000đ/khách (hỗ trợ 9.500đ 6 tháng đầu); Quỹ QL phương tiện 800.000đ/xe/tháng; cùng thang lương thử việc NĐ.</t>
        </is>
      </c>
      <c r="G30" s="4" t="inlineStr">
        <is>
          <t>Mảng 6 (VP Tỉnh)</t>
        </is>
      </c>
      <c r="H30" s="4" t="inlineStr">
        <is>
          <t>6. Bảng lương văn phòng tỉnh/Chính sách lương văn phòng tỉnh/2020.10.01 X.EVN_Ninh Bình_Quy chế lương văn phòng.pdf</t>
        </is>
      </c>
    </row>
    <row r="31">
      <c r="A31" s="4" t="n">
        <v>30</v>
      </c>
      <c r="B31" s="4" t="inlineStr">
        <is>
          <t>QC VP Thái Bình 2020</t>
        </is>
      </c>
      <c r="C31" s="4" t="inlineStr">
        <is>
          <t>2020-10-01</t>
        </is>
      </c>
      <c r="D31" s="4" t="inlineStr">
        <is>
          <t>Quy chế</t>
        </is>
      </c>
      <c r="E31" s="4" t="inlineStr">
        <is>
          <t>VP Thái Bình</t>
        </is>
      </c>
      <c r="F31" s="4" t="inlineStr">
        <is>
          <t>Quỹ phục vụ khách 7.500đ/khách; Quỹ QL phương tiện 500.000đ/xe/tháng.</t>
        </is>
      </c>
      <c r="G31" s="4" t="inlineStr">
        <is>
          <t>Mảng 6 (VP Tỉnh)</t>
        </is>
      </c>
      <c r="H31" s="4" t="inlineStr">
        <is>
          <t>6. Bảng lương văn phòng tỉnh/Chính sách lương văn phòng tỉnh/2020.10.01 XEVN_Thái Bình_Quy chế lương văn phòng.pdf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0" customWidth="1" min="3" max="3"/>
    <col width="45" customWidth="1" min="4" max="4"/>
    <col width="18" customWidth="1" min="5" max="5"/>
    <col width="26" customWidth="1" min="6" max="6"/>
    <col width="55" customWidth="1" min="7" max="7"/>
    <col width="10" customWidth="1" min="8" max="8"/>
  </cols>
  <sheetData>
    <row r="1">
      <c r="A1" s="3" t="inlineStr">
        <is>
          <t>STT</t>
        </is>
      </c>
      <c r="B1" s="3" t="inlineStr">
        <is>
          <t>Bucket Cài đặt</t>
        </is>
      </c>
      <c r="C1" s="3" t="inlineStr">
        <is>
          <t>Mã đề xuất</t>
        </is>
      </c>
      <c r="D1" s="3" t="inlineStr">
        <is>
          <t>Tên hiển thị đề xuất</t>
        </is>
      </c>
      <c r="E1" s="3" t="inlineStr">
        <is>
          <t>Mảng nghiệp vụ</t>
        </is>
      </c>
      <c r="F1" s="3" t="inlineStr">
        <is>
          <t>Nguồn (file/QĐ)</t>
        </is>
      </c>
      <c r="G1" s="3" t="inlineStr">
        <is>
          <t>Ghi chú/giá trị (số liệu thật)</t>
        </is>
      </c>
      <c r="H1" s="3" t="inlineStr">
        <is>
          <t>Duyệt (Y/N/?)</t>
        </is>
      </c>
    </row>
    <row r="2">
      <c r="A2" s="4" t="n">
        <v>1</v>
      </c>
      <c r="B2" s="4" t="inlineStr">
        <is>
          <t>NGẠCH BẬC</t>
        </is>
      </c>
      <c r="C2" s="4" t="inlineStr">
        <is>
          <t>D1</t>
        </is>
      </c>
      <c r="D2" s="4" t="inlineStr">
        <is>
          <t>Chủ tịch HĐTV</t>
        </is>
      </c>
      <c r="E2" s="4" t="inlineStr">
        <is>
          <t>Chung</t>
        </is>
      </c>
      <c r="F2" s="4" t="inlineStr">
        <is>
          <t>QĐ 2A</t>
        </is>
      </c>
      <c r="G2" s="4" t="inlineStr">
        <is>
          <t>Bậc I-VI: 13.1tr-26tr</t>
        </is>
      </c>
      <c r="H2" s="4" t="inlineStr"/>
    </row>
    <row r="3">
      <c r="A3" s="4" t="n">
        <v>2</v>
      </c>
      <c r="B3" s="4" t="inlineStr">
        <is>
          <t>NGẠCH BẬC</t>
        </is>
      </c>
      <c r="C3" s="4" t="inlineStr">
        <is>
          <t>D2</t>
        </is>
      </c>
      <c r="D3" s="4" t="inlineStr">
        <is>
          <t>Tổng giám đốc/Giám đốc Công ty</t>
        </is>
      </c>
      <c r="E3" s="4" t="inlineStr">
        <is>
          <t>Chung</t>
        </is>
      </c>
      <c r="F3" s="4" t="inlineStr">
        <is>
          <t>QĐ 2A</t>
        </is>
      </c>
      <c r="G3" s="4" t="inlineStr">
        <is>
          <t>Bậc I-VI: 11.1tr-21.4tr</t>
        </is>
      </c>
      <c r="H3" s="4" t="inlineStr"/>
    </row>
    <row r="4">
      <c r="A4" s="4" t="n">
        <v>3</v>
      </c>
      <c r="B4" s="4" t="inlineStr">
        <is>
          <t>NGẠCH BẬC</t>
        </is>
      </c>
      <c r="C4" s="4" t="inlineStr">
        <is>
          <t>D3</t>
        </is>
      </c>
      <c r="D4" s="4" t="inlineStr">
        <is>
          <t>Phó GĐ/Trưởng ban KSNB/GĐ khối NV/GĐ-PGĐ đơn vị thành viên</t>
        </is>
      </c>
      <c r="E4" s="4" t="inlineStr">
        <is>
          <t>Chung</t>
        </is>
      </c>
      <c r="F4" s="4" t="inlineStr">
        <is>
          <t>QĐ 2A</t>
        </is>
      </c>
      <c r="G4" s="4" t="inlineStr">
        <is>
          <t>Bậc I-VII: 9.6tr-19.9tr</t>
        </is>
      </c>
      <c r="H4" s="4" t="inlineStr"/>
    </row>
    <row r="5">
      <c r="A5" s="4" t="n">
        <v>4</v>
      </c>
      <c r="B5" s="4" t="inlineStr">
        <is>
          <t>NGẠCH BẬC</t>
        </is>
      </c>
      <c r="C5" s="4" t="inlineStr">
        <is>
          <t>C1</t>
        </is>
      </c>
      <c r="D5" s="4" t="inlineStr">
        <is>
          <t>Cố vấn chiến lược</t>
        </is>
      </c>
      <c r="E5" s="4" t="inlineStr">
        <is>
          <t>Chung</t>
        </is>
      </c>
      <c r="F5" s="4" t="inlineStr">
        <is>
          <t>QĐ 2A</t>
        </is>
      </c>
      <c r="G5" s="4" t="inlineStr">
        <is>
          <t>Bậc I-VII: 9.6tr-19.9tr</t>
        </is>
      </c>
      <c r="H5" s="4" t="inlineStr"/>
    </row>
    <row r="6">
      <c r="A6" s="4" t="n">
        <v>5</v>
      </c>
      <c r="B6" s="4" t="inlineStr">
        <is>
          <t>NGẠCH BẬC</t>
        </is>
      </c>
      <c r="C6" s="4" t="inlineStr">
        <is>
          <t>C2</t>
        </is>
      </c>
      <c r="D6" s="4" t="inlineStr">
        <is>
          <t>Chuyên gia cao cấp</t>
        </is>
      </c>
      <c r="E6" s="4" t="inlineStr">
        <is>
          <t>Chung</t>
        </is>
      </c>
      <c r="F6" s="4" t="inlineStr">
        <is>
          <t>QĐ 2A</t>
        </is>
      </c>
      <c r="G6" s="4" t="inlineStr">
        <is>
          <t>Bậc I-VII: 7tr-12.4tr</t>
        </is>
      </c>
      <c r="H6" s="4" t="inlineStr"/>
    </row>
    <row r="7">
      <c r="A7" s="4" t="n">
        <v>6</v>
      </c>
      <c r="B7" s="4" t="inlineStr">
        <is>
          <t>NGẠCH BẬC</t>
        </is>
      </c>
      <c r="C7" s="4" t="inlineStr">
        <is>
          <t>M1</t>
        </is>
      </c>
      <c r="D7" s="4" t="inlineStr">
        <is>
          <t>Trưởng phòng nghiệp vụ/Trợ lý chủ tịch</t>
        </is>
      </c>
      <c r="E7" s="4" t="inlineStr">
        <is>
          <t>Chung</t>
        </is>
      </c>
      <c r="F7" s="4" t="inlineStr">
        <is>
          <t>QĐ 2A</t>
        </is>
      </c>
      <c r="G7" s="4" t="inlineStr">
        <is>
          <t>Bậc I-VIII: 8.3tr-17.1tr</t>
        </is>
      </c>
      <c r="H7" s="4" t="inlineStr"/>
    </row>
    <row r="8">
      <c r="A8" s="4" t="n">
        <v>7</v>
      </c>
      <c r="B8" s="4" t="inlineStr">
        <is>
          <t>NGẠCH BẬC</t>
        </is>
      </c>
      <c r="C8" s="4" t="inlineStr">
        <is>
          <t>M2</t>
        </is>
      </c>
      <c r="D8" s="4" t="inlineStr">
        <is>
          <t>Phụ trách/Quyền TP/Phó phòng/Trưởng chi nhánh</t>
        </is>
      </c>
      <c r="E8" s="4" t="inlineStr">
        <is>
          <t>Chung</t>
        </is>
      </c>
      <c r="F8" s="4" t="inlineStr">
        <is>
          <t>QĐ 2A</t>
        </is>
      </c>
      <c r="G8" s="4" t="inlineStr">
        <is>
          <t>Bậc I-VIII: 7tr-13.6tr</t>
        </is>
      </c>
      <c r="H8" s="4" t="inlineStr"/>
    </row>
    <row r="9">
      <c r="A9" s="4" t="n">
        <v>8</v>
      </c>
      <c r="B9" s="4" t="inlineStr">
        <is>
          <t>NGẠCH BẬC</t>
        </is>
      </c>
      <c r="C9" s="4" t="inlineStr">
        <is>
          <t>L1</t>
        </is>
      </c>
      <c r="D9" s="4" t="inlineStr">
        <is>
          <t>Trợ lý GĐ/Thư ký BLĐ/Trưởng bộ phận NV/Quyền trưởng CN</t>
        </is>
      </c>
      <c r="E9" s="4" t="inlineStr">
        <is>
          <t>Chung</t>
        </is>
      </c>
      <c r="F9" s="4" t="inlineStr">
        <is>
          <t>QĐ 2A</t>
        </is>
      </c>
      <c r="G9" s="4" t="inlineStr">
        <is>
          <t>Bậc I-VIII: 6.4tr-11.7tr</t>
        </is>
      </c>
      <c r="H9" s="4" t="inlineStr"/>
    </row>
    <row r="10">
      <c r="A10" s="4" t="n">
        <v>9</v>
      </c>
      <c r="B10" s="4" t="inlineStr">
        <is>
          <t>NGẠCH BẬC</t>
        </is>
      </c>
      <c r="C10" s="4" t="inlineStr">
        <is>
          <t>L2</t>
        </is>
      </c>
      <c r="D10" s="4" t="inlineStr">
        <is>
          <t>Quyền trưởng bộ phận/Trưởng nhóm NV/Trưởng đại diện VPKD</t>
        </is>
      </c>
      <c r="E10" s="4" t="inlineStr">
        <is>
          <t>Chung</t>
        </is>
      </c>
      <c r="F10" s="4" t="inlineStr">
        <is>
          <t>QĐ 2A</t>
        </is>
      </c>
      <c r="G10" s="4" t="inlineStr">
        <is>
          <t>Bậc I-VIII: 6tr-10.4tr</t>
        </is>
      </c>
      <c r="H10" s="4" t="inlineStr"/>
    </row>
    <row r="11">
      <c r="A11" s="4" t="n">
        <v>10</v>
      </c>
      <c r="B11" s="4" t="inlineStr">
        <is>
          <t>NGẠCH BẬC</t>
        </is>
      </c>
      <c r="C11" s="4" t="inlineStr">
        <is>
          <t>E1</t>
        </is>
      </c>
      <c r="D11" s="4" t="inlineStr">
        <is>
          <t>Chuyên viên/NV nghiệp vụ khối văn phòng, tổ trưởng/phó...</t>
        </is>
      </c>
      <c r="E11" s="4" t="inlineStr">
        <is>
          <t>Chung</t>
        </is>
      </c>
      <c r="F11" s="4" t="inlineStr">
        <is>
          <t>QĐ 2A</t>
        </is>
      </c>
      <c r="G11" s="4" t="inlineStr">
        <is>
          <t>Bậc I-IX: 5.7tr-9.4tr</t>
        </is>
      </c>
      <c r="H11" s="4" t="inlineStr"/>
    </row>
    <row r="12">
      <c r="A12" s="4" t="n">
        <v>11</v>
      </c>
      <c r="B12" s="4" t="inlineStr">
        <is>
          <t>NGẠCH BẬC</t>
        </is>
      </c>
      <c r="C12" s="4" t="inlineStr">
        <is>
          <t>E2</t>
        </is>
      </c>
      <c r="D12" s="4" t="inlineStr">
        <is>
          <t>NV phục vụ/NV thừa hành</t>
        </is>
      </c>
      <c r="E12" s="4" t="inlineStr">
        <is>
          <t>Chung</t>
        </is>
      </c>
      <c r="F12" s="4" t="inlineStr">
        <is>
          <t>QĐ 2A</t>
        </is>
      </c>
      <c r="G12" s="4" t="inlineStr">
        <is>
          <t>Bậc I-IX: 5.31tr (=lương tối thiểu cty)-7.85tr</t>
        </is>
      </c>
      <c r="H12" s="4" t="inlineStr"/>
    </row>
    <row r="13">
      <c r="A13" s="4" t="n">
        <v>12</v>
      </c>
      <c r="B13" s="4" t="inlineStr">
        <is>
          <t>THÀNH PHẦN LƯƠNG</t>
        </is>
      </c>
      <c r="C13" s="4" t="inlineStr">
        <is>
          <t>sal_kpi_dphh</t>
        </is>
      </c>
      <c r="D13" s="4" t="inlineStr">
        <is>
          <t>Lương KPI (Điều phối hàng hóa)</t>
        </is>
      </c>
      <c r="E13" s="4" t="inlineStr">
        <is>
          <t>Mảng 1 (ĐPHH)</t>
        </is>
      </c>
      <c r="F13" s="4" t="inlineStr">
        <is>
          <t>Quy chế ĐPHH 2022</t>
        </is>
      </c>
      <c r="G13" s="4" t="inlineStr">
        <is>
          <t>Quỹ lương KPI HN 4tr/Tỉnh 3tr, theo ngày công thực tế</t>
        </is>
      </c>
      <c r="H13" s="4" t="inlineStr"/>
    </row>
    <row r="14">
      <c r="A14" s="4" t="n">
        <v>13</v>
      </c>
      <c r="B14" s="4" t="inlineStr">
        <is>
          <t>THÀNH PHẦN LƯƠNG</t>
        </is>
      </c>
      <c r="C14" s="4" t="inlineStr">
        <is>
          <t>sal_dthg</t>
        </is>
      </c>
      <c r="D14" s="4" t="inlineStr">
        <is>
          <t>Lương doanh thu hàng gửi (DTHG)</t>
        </is>
      </c>
      <c r="E14" s="4" t="inlineStr">
        <is>
          <t>Mảng 1 (ĐPHH)</t>
        </is>
      </c>
      <c r="F14" s="4" t="inlineStr">
        <is>
          <t>QĐ 1031/2024</t>
        </is>
      </c>
      <c r="G14" s="4" t="inlineStr">
        <is>
          <t>7.5-10.5% theo bậc thang DT</t>
        </is>
      </c>
      <c r="H14" s="4" t="inlineStr"/>
    </row>
    <row r="15">
      <c r="A15" s="4" t="n">
        <v>14</v>
      </c>
      <c r="B15" s="4" t="inlineStr">
        <is>
          <t>THÀNH PHẦN LƯƠNG</t>
        </is>
      </c>
      <c r="C15" s="4" t="inlineStr">
        <is>
          <t>sal_dthn</t>
        </is>
      </c>
      <c r="D15" s="4" t="inlineStr">
        <is>
          <t>Lương doanh thu hàng nhận (DTHN)</t>
        </is>
      </c>
      <c r="E15" s="4" t="inlineStr">
        <is>
          <t>Mảng 1 (ĐPHH)</t>
        </is>
      </c>
      <c r="F15" s="4" t="inlineStr">
        <is>
          <t>QĐ 1031/2024</t>
        </is>
      </c>
      <c r="G15" s="4" t="inlineStr">
        <is>
          <t>2-3% theo bậc thang DT</t>
        </is>
      </c>
      <c r="H15" s="4" t="inlineStr"/>
    </row>
    <row r="16">
      <c r="A16" s="4" t="n">
        <v>15</v>
      </c>
      <c r="B16" s="4" t="inlineStr">
        <is>
          <t>THÀNH PHẦN LƯƠNG</t>
        </is>
      </c>
      <c r="C16" s="4" t="inlineStr">
        <is>
          <t>sal_ship</t>
        </is>
      </c>
      <c r="D16" s="4" t="inlineStr">
        <is>
          <t>Lương/thưởng ship (cước giao/nhận tận nơi)</t>
        </is>
      </c>
      <c r="E16" s="4" t="inlineStr">
        <is>
          <t>Mảng 1 (ĐPHH)</t>
        </is>
      </c>
      <c r="F16" s="4" t="inlineStr">
        <is>
          <t>QĐ 24/2024, Đề xuất 08/2025</t>
        </is>
      </c>
      <c r="G16" s="4" t="inlineStr">
        <is>
          <t>25%DT → 50% → 70% DT thực (7 VP tỉnh)</t>
        </is>
      </c>
      <c r="H16" s="4" t="inlineStr"/>
    </row>
    <row r="17">
      <c r="A17" s="4" t="n">
        <v>16</v>
      </c>
      <c r="B17" s="4" t="inlineStr">
        <is>
          <t>THÀNH PHẦN LƯƠNG</t>
        </is>
      </c>
      <c r="C17" s="4" t="inlineStr">
        <is>
          <t>sal_call</t>
        </is>
      </c>
      <c r="D17" s="4" t="inlineStr">
        <is>
          <t>Lương cuộc nghe (Tổng đài)</t>
        </is>
      </c>
      <c r="E17" s="4" t="inlineStr">
        <is>
          <t>Mảng 2 (TĐHK)</t>
        </is>
      </c>
      <c r="F17" s="4" t="inlineStr">
        <is>
          <t>QĐ 196/2024</t>
        </is>
      </c>
      <c r="G17" s="4">
        <f> Đơn giá/cuộc × Số cuộc nghe (nguồn: KPI 1500/1731 xlsx)</f>
        <v/>
      </c>
      <c r="H17" s="4" t="inlineStr"/>
    </row>
    <row r="18">
      <c r="A18" s="4" t="n">
        <v>17</v>
      </c>
      <c r="B18" s="4" t="inlineStr">
        <is>
          <t>THÀNH PHẦN LƯƠNG</t>
        </is>
      </c>
      <c r="C18" s="4" t="inlineStr">
        <is>
          <t>sal_hopdong_td</t>
        </is>
      </c>
      <c r="D18" s="4" t="inlineStr">
        <is>
          <t>Lương hợp đồng (Tổng đài)</t>
        </is>
      </c>
      <c r="E18" s="4" t="inlineStr">
        <is>
          <t>Mảng 2 (TĐHK)</t>
        </is>
      </c>
      <c r="F18" s="4" t="inlineStr">
        <is>
          <t>QĐ 196/2024</t>
        </is>
      </c>
      <c r="G18" s="4">
        <f> Đơn giá/HĐ × Số HĐ</f>
        <v/>
      </c>
      <c r="H18" s="4" t="inlineStr"/>
    </row>
    <row r="19">
      <c r="A19" s="4" t="n">
        <v>18</v>
      </c>
      <c r="B19" s="4" t="inlineStr">
        <is>
          <t>THÀNH PHẦN LƯƠNG</t>
        </is>
      </c>
      <c r="C19" s="4" t="inlineStr">
        <is>
          <t>sal_thoigian_td</t>
        </is>
      </c>
      <c r="D19" s="4" t="inlineStr">
        <is>
          <t>Lương thời gian (Tổng đài)</t>
        </is>
      </c>
      <c r="E19" s="4" t="inlineStr">
        <is>
          <t>Mảng 2 (TĐHK)</t>
        </is>
      </c>
      <c r="F19" s="4" t="inlineStr">
        <is>
          <t>QĐ 196/2024</t>
        </is>
      </c>
      <c r="G19" s="4" t="inlineStr">
        <is>
          <t>700k(sáng)/1.5tr(chiều)/tháng</t>
        </is>
      </c>
      <c r="H19" s="4" t="inlineStr"/>
    </row>
    <row r="20">
      <c r="A20" s="4" t="n">
        <v>19</v>
      </c>
      <c r="B20" s="4" t="inlineStr">
        <is>
          <t>THÀNH PHẦN LƯƠNG</t>
        </is>
      </c>
      <c r="C20" s="4" t="inlineStr">
        <is>
          <t>thuong_top</t>
        </is>
      </c>
      <c r="D20" s="4" t="inlineStr">
        <is>
          <t>Thưởng Top (Tổng đài)</t>
        </is>
      </c>
      <c r="E20" s="4" t="inlineStr">
        <is>
          <t>Mảng 2 (TĐHK)</t>
        </is>
      </c>
      <c r="F20" s="4" t="inlineStr">
        <is>
          <t>QĐ 196/2024</t>
        </is>
      </c>
      <c r="G20" s="4" t="inlineStr">
        <is>
          <t>Mức 1=1tr, mức 2-3=500k theo xếp hạng+CLDV</t>
        </is>
      </c>
      <c r="H20" s="4" t="inlineStr"/>
    </row>
    <row r="21">
      <c r="A21" s="4" t="n">
        <v>20</v>
      </c>
      <c r="B21" s="4" t="inlineStr">
        <is>
          <t>THÀNH PHẦN LƯƠNG</t>
        </is>
      </c>
      <c r="C21" s="4" t="inlineStr">
        <is>
          <t>thuong_han_che_nho</t>
        </is>
      </c>
      <c r="D21" s="4" t="inlineStr">
        <is>
          <t>Thưởng hạn chế cuộc gọi nhỡ</t>
        </is>
      </c>
      <c r="E21" s="4" t="inlineStr">
        <is>
          <t>Mảng 2 (TĐHK)</t>
        </is>
      </c>
      <c r="F21" s="4" t="inlineStr">
        <is>
          <t>QĐ 196/2024, BC tỉ lệ nhỡ</t>
        </is>
      </c>
      <c r="G21" s="4" t="inlineStr">
        <is>
          <t>500k × hệ số theo bậc thang tỷ lệ nhỡ (≤2/3/5/8%)</t>
        </is>
      </c>
      <c r="H21" s="4" t="inlineStr"/>
    </row>
    <row r="22">
      <c r="A22" s="4" t="n">
        <v>21</v>
      </c>
      <c r="B22" s="4" t="inlineStr">
        <is>
          <t>THÀNH PHẦN LƯƠNG</t>
        </is>
      </c>
      <c r="C22" s="4" t="inlineStr">
        <is>
          <t>sal_luot</t>
        </is>
      </c>
      <c r="D22" s="4" t="inlineStr">
        <is>
          <t>Lương lượt (Lái xe tuyến)</t>
        </is>
      </c>
      <c r="E22" s="4" t="inlineStr">
        <is>
          <t>Mảng 4 (LX Tuyến)</t>
        </is>
      </c>
      <c r="F22" s="4" t="inlineStr">
        <is>
          <t>QC theo tỉnh + QĐ 439/816</t>
        </is>
      </c>
      <c r="G22" s="4" t="inlineStr">
        <is>
          <t>Đơn giá khác nhau theo TỈNH — xem sheet Chính sách</t>
        </is>
      </c>
      <c r="H22" s="4" t="inlineStr"/>
    </row>
    <row r="23">
      <c r="A23" s="4" t="n">
        <v>22</v>
      </c>
      <c r="B23" s="4" t="inlineStr">
        <is>
          <t>THÀNH PHẦN LƯƠNG</t>
        </is>
      </c>
      <c r="C23" s="4" t="inlineStr">
        <is>
          <t>sal_doanhthu_lx</t>
        </is>
      </c>
      <c r="D23" s="4" t="inlineStr">
        <is>
          <t>Lương doanh thu (Lái xe tuyến)</t>
        </is>
      </c>
      <c r="E23" s="4" t="inlineStr">
        <is>
          <t>Mảng 4 (LX Tuyến)</t>
        </is>
      </c>
      <c r="F23" s="4" t="inlineStr">
        <is>
          <t>QC theo tỉnh</t>
        </is>
      </c>
      <c r="G23" s="4" t="inlineStr">
        <is>
          <t>3 tỉnh gốc 4-8%; Phú Thọ 5-6%</t>
        </is>
      </c>
      <c r="H23" s="4" t="inlineStr"/>
    </row>
    <row r="24">
      <c r="A24" s="4" t="n">
        <v>23</v>
      </c>
      <c r="B24" s="4" t="inlineStr">
        <is>
          <t>THÀNH PHẦN LƯƠNG</t>
        </is>
      </c>
      <c r="C24" s="4" t="inlineStr">
        <is>
          <t>sal_cldv</t>
        </is>
      </c>
      <c r="D24" s="4" t="inlineStr">
        <is>
          <t>Lương chất lượng dịch vụ (CLDV)</t>
        </is>
      </c>
      <c r="E24" s="4" t="inlineStr">
        <is>
          <t>Mảng 4 (LX Tuyến)</t>
        </is>
      </c>
      <c r="F24" s="4" t="inlineStr">
        <is>
          <t>QC theo tỉnh + Điểm đánh giá Cldv</t>
        </is>
      </c>
      <c r="G24" s="4" t="inlineStr">
        <is>
          <t>Hệ số 100-110% theo thang điểm</t>
        </is>
      </c>
      <c r="H24" s="4" t="inlineStr"/>
    </row>
    <row r="25">
      <c r="A25" s="4" t="n">
        <v>24</v>
      </c>
      <c r="B25" s="4" t="inlineStr">
        <is>
          <t>THÀNH PHẦN LƯƠNG</t>
        </is>
      </c>
      <c r="C25" s="4" t="inlineStr">
        <is>
          <t>sal_cpn</t>
        </is>
      </c>
      <c r="D25" s="4" t="inlineStr">
        <is>
          <t>Lương chuyển phát nhanh (CPN)</t>
        </is>
      </c>
      <c r="E25" s="4" t="inlineStr">
        <is>
          <t>Mảng 4 (LX Tuyến)</t>
        </is>
      </c>
      <c r="F25" s="4" t="inlineStr">
        <is>
          <t>QC theo tỉnh + DLL CPN</t>
        </is>
      </c>
      <c r="G25" s="4">
        <f> DT CPN × 10%</f>
        <v/>
      </c>
      <c r="H25" s="4" t="inlineStr"/>
    </row>
    <row r="26">
      <c r="A26" s="4" t="n">
        <v>25</v>
      </c>
      <c r="B26" s="4" t="inlineStr">
        <is>
          <t>THÀNH PHẦN LƯƠNG</t>
        </is>
      </c>
      <c r="C26" s="4" t="inlineStr">
        <is>
          <t>sal_hopdong_lx</t>
        </is>
      </c>
      <c r="D26" s="4" t="inlineStr">
        <is>
          <t>Lương hợp đồng khác tỉnh/ngoại giao (Lái xe tuyến)</t>
        </is>
      </c>
      <c r="E26" s="4" t="inlineStr">
        <is>
          <t>Mảng 4 (LX Tuyến)</t>
        </is>
      </c>
      <c r="F26" s="4" t="inlineStr">
        <is>
          <t>QĐ 280823</t>
        </is>
      </c>
      <c r="G26" s="4" t="inlineStr">
        <is>
          <t>500-750k/ngày + 4%DT (theo loại HĐ)</t>
        </is>
      </c>
      <c r="H26" s="4" t="inlineStr"/>
    </row>
    <row r="27">
      <c r="A27" s="4" t="n">
        <v>26</v>
      </c>
      <c r="B27" s="4" t="inlineStr">
        <is>
          <t>THÀNH PHẦN LƯƠNG</t>
        </is>
      </c>
      <c r="C27" s="4" t="inlineStr">
        <is>
          <t>sal_luongcung_lxtai</t>
        </is>
      </c>
      <c r="D27" s="4" t="inlineStr">
        <is>
          <t>Lương cứng (Lái xe tải)</t>
        </is>
      </c>
      <c r="E27" s="4" t="inlineStr">
        <is>
          <t>Mảng 5 (LX Tải)</t>
        </is>
      </c>
      <c r="F27" s="4" t="inlineStr">
        <is>
          <t>QĐ 206 PL1</t>
        </is>
      </c>
      <c r="G27" s="4" t="inlineStr">
        <is>
          <t>19 mức theo tải trọng: 7.5tr-12.5tr — xem sheet riêng</t>
        </is>
      </c>
      <c r="H27" s="4" t="inlineStr"/>
    </row>
    <row r="28">
      <c r="A28" s="4" t="n">
        <v>27</v>
      </c>
      <c r="B28" s="4" t="inlineStr">
        <is>
          <t>THÀNH PHẦN LƯƠNG</t>
        </is>
      </c>
      <c r="C28" s="4" t="inlineStr">
        <is>
          <t>sal_tnqlpt</t>
        </is>
      </c>
      <c r="D28" s="4" t="inlineStr">
        <is>
          <t>Lương trách nhiệm QLPT (Lái xe tải)</t>
        </is>
      </c>
      <c r="E28" s="4" t="inlineStr">
        <is>
          <t>Mảng 5 (LX Tải)</t>
        </is>
      </c>
      <c r="F28" s="4" t="inlineStr">
        <is>
          <t>QĐ 206 PL1</t>
        </is>
      </c>
      <c r="G28" s="4" t="inlineStr">
        <is>
          <t>2.2tr-5.2tr theo tải trọng</t>
        </is>
      </c>
      <c r="H28" s="4" t="inlineStr"/>
    </row>
    <row r="29">
      <c r="A29" s="4" t="n">
        <v>28</v>
      </c>
      <c r="B29" s="4" t="inlineStr">
        <is>
          <t>THÀNH PHẦN LƯƠNG</t>
        </is>
      </c>
      <c r="C29" s="4" t="inlineStr">
        <is>
          <t>sal_thuongdt_lxtai</t>
        </is>
      </c>
      <c r="D29" s="4" t="inlineStr">
        <is>
          <t>Thưởng doanh thu (Lái xe tải, dự án/container)</t>
        </is>
      </c>
      <c r="E29" s="4" t="inlineStr">
        <is>
          <t>Mảng 5 (LX Tải)</t>
        </is>
      </c>
      <c r="F29" s="4" t="inlineStr">
        <is>
          <t>QĐ 206</t>
        </is>
      </c>
      <c r="G29" s="4" t="inlineStr">
        <is>
          <t>6/8/10% theo bậc DT + loại hàng</t>
        </is>
      </c>
      <c r="H29" s="4" t="inlineStr"/>
    </row>
    <row r="30">
      <c r="A30" s="4" t="n">
        <v>29</v>
      </c>
      <c r="B30" s="4" t="inlineStr">
        <is>
          <t>THÀNH PHẦN LƯƠNG</t>
        </is>
      </c>
      <c r="C30" s="4" t="inlineStr">
        <is>
          <t>sal_pc_giaohang_pp</t>
        </is>
      </c>
      <c r="D30" s="4" t="inlineStr">
        <is>
          <t>Phụ cấp giao hàng phân phối (Lái xe tải)</t>
        </is>
      </c>
      <c r="E30" s="4" t="inlineStr">
        <is>
          <t>Mảng 5 (LX Tải)</t>
        </is>
      </c>
      <c r="F30" s="4" t="inlineStr">
        <is>
          <t>QĐ 206</t>
        </is>
      </c>
      <c r="G30" s="4" t="inlineStr">
        <is>
          <t>6% DT hàng phân phối</t>
        </is>
      </c>
      <c r="H30" s="4" t="inlineStr"/>
    </row>
    <row r="31">
      <c r="A31" s="4" t="n">
        <v>30</v>
      </c>
      <c r="B31" s="4" t="inlineStr">
        <is>
          <t>THÀNH PHẦN LƯƠNG</t>
        </is>
      </c>
      <c r="C31" s="4" t="inlineStr">
        <is>
          <t>sal_kpi_lxtai_express</t>
        </is>
      </c>
      <c r="D31" s="4" t="inlineStr">
        <is>
          <t>Lương KPI (Lái xe tải trung chuyển Express)</t>
        </is>
      </c>
      <c r="E31" s="4" t="inlineStr">
        <is>
          <t>Mảng 5 (LX Tải)</t>
        </is>
      </c>
      <c r="F31" s="4" t="inlineStr">
        <is>
          <t>QĐ 206</t>
        </is>
      </c>
      <c r="G31" s="4" t="inlineStr">
        <is>
          <t>2.000.000đ/tháng chuẩn</t>
        </is>
      </c>
      <c r="H31" s="4" t="inlineStr"/>
    </row>
    <row r="32">
      <c r="A32" s="4" t="n">
        <v>31</v>
      </c>
      <c r="B32" s="4" t="inlineStr">
        <is>
          <t>THÀNH PHẦN LƯƠNG</t>
        </is>
      </c>
      <c r="C32" s="4" t="inlineStr">
        <is>
          <t>sal_hosotro_logistic</t>
        </is>
      </c>
      <c r="D32" s="4" t="inlineStr">
        <is>
          <t>Hỗ trợ bốc xếp (Lái xe tải trung chuyển Logistic)</t>
        </is>
      </c>
      <c r="E32" s="4" t="inlineStr">
        <is>
          <t>Mảng 5 (LX Tải)</t>
        </is>
      </c>
      <c r="F32" s="4" t="inlineStr">
        <is>
          <t>QĐ 206</t>
        </is>
      </c>
      <c r="G32" s="4" t="inlineStr">
        <is>
          <t>4.400.000đ/tháng</t>
        </is>
      </c>
      <c r="H32" s="4" t="inlineStr"/>
    </row>
    <row r="33">
      <c r="A33" s="4" t="n">
        <v>32</v>
      </c>
      <c r="B33" s="4" t="inlineStr">
        <is>
          <t>THÀNH PHẦN LƯƠNG</t>
        </is>
      </c>
      <c r="C33" s="4" t="inlineStr">
        <is>
          <t>sal_hesoluong_vptinh</t>
        </is>
      </c>
      <c r="D33" s="4" t="inlineStr">
        <is>
          <t>Lương theo hệ số (VP tỉnh)</t>
        </is>
      </c>
      <c r="E33" s="4" t="inlineStr">
        <is>
          <t>Mảng 6 (VP Tỉnh)</t>
        </is>
      </c>
      <c r="F33" s="4" t="inlineStr">
        <is>
          <t>QC 2020 theo tỉnh</t>
        </is>
      </c>
      <c r="G33" s="4">
        <f> Hệ số chức vụ × giờ công × hệ số quy đổi</f>
        <v/>
      </c>
      <c r="H33" s="4" t="inlineStr"/>
    </row>
    <row r="34">
      <c r="A34" s="4" t="n">
        <v>33</v>
      </c>
      <c r="B34" s="4" t="inlineStr">
        <is>
          <t>THÀNH PHẦN LƯƠNG</t>
        </is>
      </c>
      <c r="C34" s="4" t="inlineStr">
        <is>
          <t>sal_p1p2</t>
        </is>
      </c>
      <c r="D34" s="4" t="inlineStr">
        <is>
          <t>Lương cơ bản (P1+P2)</t>
        </is>
      </c>
      <c r="E34" s="4" t="inlineStr">
        <is>
          <t>Mảng 3 (VP HN)</t>
        </is>
      </c>
      <c r="F34" s="4" t="inlineStr">
        <is>
          <t>Bảng lương VP HN</t>
        </is>
      </c>
      <c r="G34" s="4" t="inlineStr">
        <is>
          <t>Cấu phần cố định</t>
        </is>
      </c>
      <c r="H34" s="4" t="inlineStr"/>
    </row>
    <row r="35">
      <c r="A35" s="4" t="n">
        <v>34</v>
      </c>
      <c r="B35" s="4" t="inlineStr">
        <is>
          <t>THÀNH PHẦN LƯƠNG</t>
        </is>
      </c>
      <c r="C35" s="4" t="inlineStr">
        <is>
          <t>sal_kpi_p3</t>
        </is>
      </c>
      <c r="D35" s="4" t="inlineStr">
        <is>
          <t>Lương KPI (P3)</t>
        </is>
      </c>
      <c r="E35" s="4" t="inlineStr">
        <is>
          <t>Mảng 3 (VP HN)</t>
        </is>
      </c>
      <c r="F35" s="4" t="inlineStr">
        <is>
          <t>Bảng lương VP HN + QĐ 127A PL02</t>
        </is>
      </c>
      <c r="G35" s="4" t="inlineStr">
        <is>
          <t>Tỷ lệ 8-35% theo chức danh</t>
        </is>
      </c>
      <c r="H35" s="4" t="inlineStr"/>
    </row>
    <row r="36">
      <c r="A36" s="4" t="n">
        <v>35</v>
      </c>
      <c r="B36" s="4" t="inlineStr">
        <is>
          <t>THÀNH PHẦN LƯƠNG</t>
        </is>
      </c>
      <c r="C36" s="4" t="inlineStr">
        <is>
          <t>sal_hqnl_p4</t>
        </is>
      </c>
      <c r="D36" s="4" t="inlineStr">
        <is>
          <t>Thưởng hiệu quả theo năng lực (P4)</t>
        </is>
      </c>
      <c r="E36" s="4" t="inlineStr">
        <is>
          <t>Mảng 3 (VP HN)</t>
        </is>
      </c>
      <c r="F36" s="4" t="inlineStr">
        <is>
          <t>Bảng lương VP HN</t>
        </is>
      </c>
      <c r="G36" s="4" t="inlineStr"/>
      <c r="H36" s="4" t="inlineStr"/>
    </row>
    <row r="37">
      <c r="A37" s="4" t="n">
        <v>36</v>
      </c>
      <c r="B37" s="4" t="inlineStr">
        <is>
          <t>PHỤ CẤP</t>
        </is>
      </c>
      <c r="C37" s="4" t="inlineStr">
        <is>
          <t>pc_dien_thoai</t>
        </is>
      </c>
      <c r="D37" s="4" t="inlineStr">
        <is>
          <t>Phụ cấp điện thoại</t>
        </is>
      </c>
      <c r="E37" s="4" t="inlineStr">
        <is>
          <t>Chung</t>
        </is>
      </c>
      <c r="F37" s="4" t="inlineStr">
        <is>
          <t>QĐ 127A PL01</t>
        </is>
      </c>
      <c r="G37" s="4" t="inlineStr">
        <is>
          <t>150k-2.000.000đ theo 10 nhóm chức danh × 2 mức</t>
        </is>
      </c>
      <c r="H37" s="4" t="inlineStr"/>
    </row>
    <row r="38">
      <c r="A38" s="4" t="n">
        <v>37</v>
      </c>
      <c r="B38" s="4" t="inlineStr">
        <is>
          <t>PHỤ CẤP</t>
        </is>
      </c>
      <c r="C38" s="4" t="inlineStr">
        <is>
          <t>pc_xang_xe</t>
        </is>
      </c>
      <c r="D38" s="4" t="inlineStr">
        <is>
          <t>Phụ cấp xăng xe</t>
        </is>
      </c>
      <c r="E38" s="4" t="inlineStr">
        <is>
          <t>Chung</t>
        </is>
      </c>
      <c r="F38" s="4" t="inlineStr">
        <is>
          <t>QĐ 127A PL01</t>
        </is>
      </c>
      <c r="G38" s="4" t="inlineStr">
        <is>
          <t>Theo 10 nhóm chức danh × 2 mức</t>
        </is>
      </c>
      <c r="H38" s="4" t="inlineStr"/>
    </row>
    <row r="39">
      <c r="A39" s="4" t="n">
        <v>38</v>
      </c>
      <c r="B39" s="4" t="inlineStr">
        <is>
          <t>PHỤ CẤP</t>
        </is>
      </c>
      <c r="C39" s="4" t="inlineStr">
        <is>
          <t>pc_trang_phuc</t>
        </is>
      </c>
      <c r="D39" s="4" t="inlineStr">
        <is>
          <t>Phụ cấp trang phục</t>
        </is>
      </c>
      <c r="E39" s="4" t="inlineStr">
        <is>
          <t>Chung</t>
        </is>
      </c>
      <c r="F39" s="4" t="inlineStr">
        <is>
          <t>QĐ 127A PL01</t>
        </is>
      </c>
      <c r="G39" s="4" t="inlineStr"/>
      <c r="H39" s="4" t="inlineStr"/>
    </row>
    <row r="40">
      <c r="A40" s="4" t="n">
        <v>39</v>
      </c>
      <c r="B40" s="4" t="inlineStr">
        <is>
          <t>PHỤ CẤP</t>
        </is>
      </c>
      <c r="C40" s="4" t="inlineStr">
        <is>
          <t>pc_di_lai</t>
        </is>
      </c>
      <c r="D40" s="4" t="inlineStr">
        <is>
          <t>Phụ cấp đi lại</t>
        </is>
      </c>
      <c r="E40" s="4" t="inlineStr">
        <is>
          <t>Chung</t>
        </is>
      </c>
      <c r="F40" s="4" t="inlineStr">
        <is>
          <t>QĐ 127A PL01</t>
        </is>
      </c>
      <c r="G40" s="4" t="inlineStr"/>
      <c r="H40" s="4" t="inlineStr"/>
    </row>
    <row r="41">
      <c r="A41" s="4" t="n">
        <v>40</v>
      </c>
      <c r="B41" s="4" t="inlineStr">
        <is>
          <t>PHỤ CẤP</t>
        </is>
      </c>
      <c r="C41" s="4" t="inlineStr">
        <is>
          <t>pc_nha_o</t>
        </is>
      </c>
      <c r="D41" s="4" t="inlineStr">
        <is>
          <t>Phụ cấp nhà ở</t>
        </is>
      </c>
      <c r="E41" s="4" t="inlineStr">
        <is>
          <t>Chung</t>
        </is>
      </c>
      <c r="F41" s="4" t="inlineStr">
        <is>
          <t>QĐ 127A PL01</t>
        </is>
      </c>
      <c r="G41" s="4" t="inlineStr"/>
      <c r="H41" s="4" t="inlineStr"/>
    </row>
    <row r="42">
      <c r="A42" s="4" t="n">
        <v>41</v>
      </c>
      <c r="B42" s="4" t="inlineStr">
        <is>
          <t>PHỤ CẤP</t>
        </is>
      </c>
      <c r="C42" s="4" t="inlineStr">
        <is>
          <t>pc_an_ca</t>
        </is>
      </c>
      <c r="D42" s="4" t="inlineStr">
        <is>
          <t>Phụ cấp tiền ăn (ca/trưa)</t>
        </is>
      </c>
      <c r="E42" s="4" t="inlineStr">
        <is>
          <t>Chung</t>
        </is>
      </c>
      <c r="F42" s="4" t="inlineStr">
        <is>
          <t>QĐ 127A PL01, QC VP tỉnh</t>
        </is>
      </c>
      <c r="G42" s="4" t="inlineStr">
        <is>
          <t>VP tỉnh 30k/ngày công thực tế</t>
        </is>
      </c>
      <c r="H42" s="4" t="inlineStr"/>
    </row>
    <row r="43">
      <c r="A43" s="4" t="n">
        <v>42</v>
      </c>
      <c r="B43" s="4" t="inlineStr">
        <is>
          <t>PHỤ CẤP</t>
        </is>
      </c>
      <c r="C43" s="4" t="inlineStr">
        <is>
          <t>pc_ca_dem_lx</t>
        </is>
      </c>
      <c r="D43" s="4" t="inlineStr">
        <is>
          <t>Phụ cấp ca đêm/tăng cường lượt (Lái xe tuyến)</t>
        </is>
      </c>
      <c r="E43" s="4" t="inlineStr">
        <is>
          <t>Mảng 4 (LX Tuyến)</t>
        </is>
      </c>
      <c r="F43" s="4" t="inlineStr">
        <is>
          <t>QĐ 753/2025</t>
        </is>
      </c>
      <c r="G43" s="4" t="inlineStr">
        <is>
          <t>20.000đ/lượt tăng cường</t>
        </is>
      </c>
      <c r="H43" s="4" t="inlineStr"/>
    </row>
    <row r="44">
      <c r="A44" s="4" t="n">
        <v>43</v>
      </c>
      <c r="B44" s="4" t="inlineStr">
        <is>
          <t>PHỤ CẤP</t>
        </is>
      </c>
      <c r="C44" s="4" t="inlineStr">
        <is>
          <t>pc_xa_nha</t>
        </is>
      </c>
      <c r="D44" s="4" t="inlineStr">
        <is>
          <t>Phụ cấp công tác xa nhà (Lái xe điều chuyển)</t>
        </is>
      </c>
      <c r="E44" s="4" t="inlineStr">
        <is>
          <t>Mảng 4 (LX Tuyến)</t>
        </is>
      </c>
      <c r="F44" s="4" t="inlineStr">
        <is>
          <t>Đề xuất NB/YB</t>
        </is>
      </c>
      <c r="G44" s="4" t="inlineStr">
        <is>
          <t>NB 3tr/th; YB 5tr/th (theo tỷ lệ ngày công)</t>
        </is>
      </c>
      <c r="H44" s="4" t="inlineStr"/>
    </row>
    <row r="45">
      <c r="A45" s="4" t="n">
        <v>44</v>
      </c>
      <c r="B45" s="4" t="inlineStr">
        <is>
          <t>PHỤ CẤP</t>
        </is>
      </c>
      <c r="C45" s="4" t="inlineStr">
        <is>
          <t>pc_dan_duong_lxtai</t>
        </is>
      </c>
      <c r="D45" s="4" t="inlineStr">
        <is>
          <t>Phụ cấp đi đường/lưu đêm (Lái xe tải)</t>
        </is>
      </c>
      <c r="E45" s="4" t="inlineStr">
        <is>
          <t>Mảng 5 (LX Tải)</t>
        </is>
      </c>
      <c r="F45" s="4" t="inlineStr">
        <is>
          <t>Sheet Phụ cấp đi đường</t>
        </is>
      </c>
      <c r="G45" s="4" t="inlineStr">
        <is>
          <t>Theo tuyến/km</t>
        </is>
      </c>
      <c r="H45" s="4" t="inlineStr"/>
    </row>
    <row r="46">
      <c r="A46" s="4" t="n">
        <v>45</v>
      </c>
      <c r="B46" s="4" t="inlineStr">
        <is>
          <t>PHỤ CẤP</t>
        </is>
      </c>
      <c r="C46" s="4" t="inlineStr">
        <is>
          <t>pc_bocxep_lxtai</t>
        </is>
      </c>
      <c r="D46" s="4" t="inlineStr">
        <is>
          <t>Phụ cấp bốc xếp (dự án Xe Đạp Thống Nhất)</t>
        </is>
      </c>
      <c r="E46" s="4" t="inlineStr">
        <is>
          <t>Mảng 5 (LX Tải)</t>
        </is>
      </c>
      <c r="F46" s="4" t="inlineStr">
        <is>
          <t>Sheet Phụ cấp XDTN</t>
        </is>
      </c>
      <c r="G46" s="4" t="inlineStr">
        <is>
          <t>150k(5.5T)/200k(6.5T)/250k(8T) mỗi công</t>
        </is>
      </c>
      <c r="H46" s="4" t="inlineStr"/>
    </row>
    <row r="47">
      <c r="A47" s="4" t="n">
        <v>46</v>
      </c>
      <c r="B47" s="4" t="inlineStr">
        <is>
          <t>PHỤ CẤP</t>
        </is>
      </c>
      <c r="C47" s="4" t="inlineStr">
        <is>
          <t>pc_hotro_app</t>
        </is>
      </c>
      <c r="D47" s="4" t="inlineStr">
        <is>
          <t>Phụ cấp hỗ trợ KH dùng app X.E (Tổng đài)</t>
        </is>
      </c>
      <c r="E47" s="4" t="inlineStr">
        <is>
          <t>Mảng 2 (TĐHK)</t>
        </is>
      </c>
      <c r="F47" s="4" t="inlineStr">
        <is>
          <t>QĐ 752/2025</t>
        </is>
      </c>
      <c r="G47" s="4" t="inlineStr">
        <is>
          <t>37.607đ/giờ</t>
        </is>
      </c>
      <c r="H47" s="4" t="inlineStr"/>
    </row>
    <row r="48">
      <c r="A48" s="4" t="n">
        <v>47</v>
      </c>
      <c r="B48" s="4" t="inlineStr">
        <is>
          <t>THƯỞNG</t>
        </is>
      </c>
      <c r="C48" s="4" t="inlineStr">
        <is>
          <t>thuong_chuyen_can_lx</t>
        </is>
      </c>
      <c r="D48" s="4" t="inlineStr">
        <is>
          <t>Thưởng chuyên cần (Lái xe tuyến)</t>
        </is>
      </c>
      <c r="E48" s="4" t="inlineStr">
        <is>
          <t>Mảng 4 (LX Tuyến)</t>
        </is>
      </c>
      <c r="F48" s="4" t="inlineStr">
        <is>
          <t>QĐ 816/2025, QĐ 169/2026</t>
        </is>
      </c>
      <c r="G48" s="4" t="inlineStr">
        <is>
          <t>1.000.000đ/người/tháng, ≥24 công &amp; không nghỉ T6/T7/CN</t>
        </is>
      </c>
      <c r="H48" s="4" t="inlineStr"/>
    </row>
    <row r="49">
      <c r="A49" s="4" t="n">
        <v>48</v>
      </c>
      <c r="B49" s="4" t="inlineStr">
        <is>
          <t>THƯỞNG</t>
        </is>
      </c>
      <c r="C49" s="4" t="inlineStr">
        <is>
          <t>thuong_vuot_moc</t>
        </is>
      </c>
      <c r="D49" s="4" t="inlineStr">
        <is>
          <t>Thưởng vượt mốc DTHG (Điều phối)</t>
        </is>
      </c>
      <c r="E49" s="4" t="inlineStr">
        <is>
          <t>Mảng 1 (ĐPHH)</t>
        </is>
      </c>
      <c r="F49" s="4" t="inlineStr">
        <is>
          <t>Quy chế ĐPHH 2022</t>
        </is>
      </c>
      <c r="G49" s="4" t="inlineStr">
        <is>
          <t>Vượt 15% mốc = 20% phần chênh</t>
        </is>
      </c>
      <c r="H49" s="4" t="inlineStr"/>
    </row>
    <row r="50">
      <c r="A50" s="4" t="n">
        <v>49</v>
      </c>
      <c r="B50" s="4" t="inlineStr">
        <is>
          <t>THƯỞNG</t>
        </is>
      </c>
      <c r="C50" s="4" t="inlineStr">
        <is>
          <t>thuong_noluc_team</t>
        </is>
      </c>
      <c r="D50" s="4" t="inlineStr">
        <is>
          <t>Thưởng nỗ lực team giao hàng</t>
        </is>
      </c>
      <c r="E50" s="4" t="inlineStr">
        <is>
          <t>Mảng 1 (ĐPHH)</t>
        </is>
      </c>
      <c r="F50" s="4" t="inlineStr">
        <is>
          <t>QĐ 24/2024</t>
        </is>
      </c>
      <c r="G50" s="4" t="inlineStr">
        <is>
          <t>0-16tr theo mốc DT bưu cục</t>
        </is>
      </c>
      <c r="H50" s="4" t="inlineStr"/>
    </row>
    <row r="51">
      <c r="A51" s="4" t="n">
        <v>50</v>
      </c>
      <c r="B51" s="4" t="inlineStr">
        <is>
          <t>THƯỞNG</t>
        </is>
      </c>
      <c r="C51" s="4" t="inlineStr">
        <is>
          <t>thuong_chuyen_traicay</t>
        </is>
      </c>
      <c r="D51" s="4" t="inlineStr">
        <is>
          <t>Thưởng chuyến hàng trái cây (LX Tải container lạnh)</t>
        </is>
      </c>
      <c r="E51" s="4" t="inlineStr">
        <is>
          <t>Mảng 5 (LX Tải)</t>
        </is>
      </c>
      <c r="F51" s="4" t="inlineStr">
        <is>
          <t>QĐ 206</t>
        </is>
      </c>
      <c r="G51" s="4" t="inlineStr">
        <is>
          <t>Chuyến 3=2tr, từ chuyến 4=5tr</t>
        </is>
      </c>
      <c r="H51" s="4" t="inlineStr"/>
    </row>
    <row r="52">
      <c r="A52" s="4" t="n">
        <v>51</v>
      </c>
      <c r="B52" s="4" t="inlineStr">
        <is>
          <t>KHẤU TRỪ</t>
        </is>
      </c>
      <c r="C52" s="4" t="inlineStr">
        <is>
          <t>kt_sua_chua</t>
        </is>
      </c>
      <c r="D52" s="4" t="inlineStr">
        <is>
          <t>Trừ chi phí sửa chữa xe (CPSC)</t>
        </is>
      </c>
      <c r="E52" s="4" t="inlineStr">
        <is>
          <t>Mảng 4/5 (LX)</t>
        </is>
      </c>
      <c r="F52" s="4" t="inlineStr">
        <is>
          <t>QC theo tỉnh, Chia CPSC</t>
        </is>
      </c>
      <c r="G52" s="4" t="inlineStr">
        <is>
          <t>LX chịu 10% (riêng Phú Thọ 100% nếu va chạm/tai nạn)</t>
        </is>
      </c>
      <c r="H52" s="4" t="inlineStr"/>
    </row>
    <row r="53">
      <c r="A53" s="4" t="n">
        <v>52</v>
      </c>
      <c r="B53" s="4" t="inlineStr">
        <is>
          <t>KHẤU TRỪ</t>
        </is>
      </c>
      <c r="C53" s="4" t="inlineStr">
        <is>
          <t>kt_tamung</t>
        </is>
      </c>
      <c r="D53" s="4" t="inlineStr">
        <is>
          <t>Tạm ứng lương (trong tháng)</t>
        </is>
      </c>
      <c r="E53" s="4" t="inlineStr">
        <is>
          <t>Tất cả mảng</t>
        </is>
      </c>
      <c r="F53" s="4" t="inlineStr">
        <is>
          <t>Nhiều sheet tạm ứng</t>
        </is>
      </c>
      <c r="G53" s="4" t="inlineStr"/>
      <c r="H53" s="4" t="inlineStr"/>
    </row>
    <row r="54">
      <c r="A54" s="4" t="n">
        <v>53</v>
      </c>
      <c r="B54" s="4" t="inlineStr">
        <is>
          <t>KHẤU TRỪ</t>
        </is>
      </c>
      <c r="C54" s="4" t="inlineStr">
        <is>
          <t>kt_kyquy</t>
        </is>
      </c>
      <c r="D54" s="4" t="inlineStr">
        <is>
          <t>Ký quỹ (đặt cọc lái xe)</t>
        </is>
      </c>
      <c r="E54" s="4" t="inlineStr">
        <is>
          <t>Mảng 4/5 (LX)</t>
        </is>
      </c>
      <c r="F54" s="4" t="inlineStr">
        <is>
          <t>Sheet Ký quỹ</t>
        </is>
      </c>
      <c r="G54" s="4" t="inlineStr">
        <is>
          <t>Thu đầu vào, trừ dần theo tháng</t>
        </is>
      </c>
      <c r="H54" s="4" t="inlineStr"/>
    </row>
    <row r="55">
      <c r="A55" s="4" t="n">
        <v>54</v>
      </c>
      <c r="B55" s="4" t="inlineStr">
        <is>
          <t>KHẤU TRỪ</t>
        </is>
      </c>
      <c r="C55" s="4" t="inlineStr">
        <is>
          <t>kt_viphamkyluat</t>
        </is>
      </c>
      <c r="D55" s="4" t="inlineStr">
        <is>
          <t>Vi phạm kỷ luật (VPKL)</t>
        </is>
      </c>
      <c r="E55" s="4" t="inlineStr">
        <is>
          <t>Tất cả mảng</t>
        </is>
      </c>
      <c r="F55" s="4" t="inlineStr">
        <is>
          <t>Sheet VPKL</t>
        </is>
      </c>
      <c r="G55" s="4" t="inlineStr">
        <is>
          <t>Có số QĐ kỷ luật kèm theo</t>
        </is>
      </c>
      <c r="H55" s="4" t="inlineStr"/>
    </row>
    <row r="56">
      <c r="A56" s="4" t="n">
        <v>55</v>
      </c>
      <c r="B56" s="4" t="inlineStr">
        <is>
          <t>KHẤU TRỪ</t>
        </is>
      </c>
      <c r="C56" s="4" t="inlineStr">
        <is>
          <t>kt_dinhmuc_dau</t>
        </is>
      </c>
      <c r="D56" s="4" t="inlineStr">
        <is>
          <t>Trừ theo định mức tiêu hao dầu (Lái xe tải)</t>
        </is>
      </c>
      <c r="E56" s="4" t="inlineStr">
        <is>
          <t>Mảng 5 (LX Tải)</t>
        </is>
      </c>
      <c r="F56" s="4" t="inlineStr">
        <is>
          <t>TB 17/2026, sheet TRỪ LƯƠNG</t>
        </is>
      </c>
      <c r="G56" s="4" t="inlineStr">
        <is>
          <t>Khi tiêu hao thực tế &gt; định mức khoán</t>
        </is>
      </c>
      <c r="H56" s="4" t="inlineStr"/>
    </row>
    <row r="57">
      <c r="A57" s="4" t="n">
        <v>56</v>
      </c>
      <c r="B57" s="4" t="inlineStr">
        <is>
          <t>KHẤU TRỪ</t>
        </is>
      </c>
      <c r="C57" s="4" t="inlineStr">
        <is>
          <t>kt_penalty_vp</t>
        </is>
      </c>
      <c r="D57" s="4" t="inlineStr">
        <is>
          <t>Trừ vi phạm quy chế VP Tỉnh</t>
        </is>
      </c>
      <c r="E57" s="4" t="inlineStr">
        <is>
          <t>Mảng 6 (VP Tỉnh)</t>
        </is>
      </c>
      <c r="F57" s="4" t="inlineStr">
        <is>
          <t>File trừ lương tháng 5.2026</t>
        </is>
      </c>
      <c r="G57" s="4" t="inlineStr"/>
      <c r="H57" s="4" t="inlineStr"/>
    </row>
    <row r="58">
      <c r="A58" s="4" t="n">
        <v>57</v>
      </c>
      <c r="B58" s="4" t="inlineStr">
        <is>
          <t>LOẠI QUYẾT ĐỊNH</t>
        </is>
      </c>
      <c r="C58" s="4" t="inlineStr">
        <is>
          <t>qd_thang_bang_luong</t>
        </is>
      </c>
      <c r="D58" s="4" t="inlineStr">
        <is>
          <t>QĐ ban hành thang lương/bảng lương</t>
        </is>
      </c>
      <c r="E58" s="4" t="inlineStr">
        <is>
          <t>Chung</t>
        </is>
      </c>
      <c r="F58" s="4" t="inlineStr">
        <is>
          <t>QĐ 2A</t>
        </is>
      </c>
      <c r="G58" s="4" t="inlineStr"/>
      <c r="H58" s="4" t="inlineStr"/>
    </row>
    <row r="59">
      <c r="A59" s="4" t="n">
        <v>58</v>
      </c>
      <c r="B59" s="4" t="inlineStr">
        <is>
          <t>LOẠI QUYẾT ĐỊNH</t>
        </is>
      </c>
      <c r="C59" s="4" t="inlineStr">
        <is>
          <t>qd_dieu_chinh_luong</t>
        </is>
      </c>
      <c r="D59" s="4" t="inlineStr">
        <is>
          <t>QĐ điều chỉnh cơ chế/đơn giá lương</t>
        </is>
      </c>
      <c r="E59" s="4" t="inlineStr">
        <is>
          <t>Chung</t>
        </is>
      </c>
      <c r="F59" s="4" t="inlineStr">
        <is>
          <t>QĐ 127A/439/816/1031</t>
        </is>
      </c>
      <c r="G59" s="4" t="inlineStr"/>
      <c r="H59" s="4" t="inlineStr"/>
    </row>
    <row r="60">
      <c r="A60" s="4" t="n">
        <v>59</v>
      </c>
      <c r="B60" s="4" t="inlineStr">
        <is>
          <t>LOẠI QUYẾT ĐỊNH</t>
        </is>
      </c>
      <c r="C60" s="4" t="inlineStr">
        <is>
          <t>qd_phu_cap</t>
        </is>
      </c>
      <c r="D60" s="4" t="inlineStr">
        <is>
          <t>QĐ ban hành/chi phụ cấp</t>
        </is>
      </c>
      <c r="E60" s="4" t="inlineStr">
        <is>
          <t>Chung</t>
        </is>
      </c>
      <c r="F60" s="4" t="inlineStr">
        <is>
          <t>QĐ 753/752/280823</t>
        </is>
      </c>
      <c r="G60" s="4" t="inlineStr"/>
      <c r="H60" s="4" t="inlineStr"/>
    </row>
    <row r="61">
      <c r="A61" s="4" t="n">
        <v>60</v>
      </c>
      <c r="B61" s="4" t="inlineStr">
        <is>
          <t>LOẠI QUYẾT ĐỊNH</t>
        </is>
      </c>
      <c r="C61" s="4" t="inlineStr">
        <is>
          <t>qd_thuong</t>
        </is>
      </c>
      <c r="D61" s="4" t="inlineStr">
        <is>
          <t>QĐ ban hành chính sách thưởng</t>
        </is>
      </c>
      <c r="E61" s="4" t="inlineStr">
        <is>
          <t>Chung</t>
        </is>
      </c>
      <c r="F61" s="4" t="inlineStr">
        <is>
          <t>QĐ 169/2026</t>
        </is>
      </c>
      <c r="G61" s="4" t="inlineStr"/>
      <c r="H61" s="4" t="inlineStr"/>
    </row>
    <row r="62">
      <c r="A62" s="4" t="n">
        <v>61</v>
      </c>
      <c r="B62" s="4" t="inlineStr">
        <is>
          <t>LOẠI QUYẾT ĐỊNH</t>
        </is>
      </c>
      <c r="C62" s="4" t="inlineStr">
        <is>
          <t>tb_dinh_muc</t>
        </is>
      </c>
      <c r="D62" s="4" t="inlineStr">
        <is>
          <t>Thông báo định mức (nhiên liệu...)</t>
        </is>
      </c>
      <c r="E62" s="4" t="inlineStr">
        <is>
          <t>Mảng 5 (LX Tải)</t>
        </is>
      </c>
      <c r="F62" s="4" t="inlineStr">
        <is>
          <t>TB 17/2026</t>
        </is>
      </c>
      <c r="G62" s="4" t="inlineStr"/>
      <c r="H62" s="4" t="inlineStr"/>
    </row>
    <row r="63">
      <c r="A63" s="4" t="n">
        <v>62</v>
      </c>
      <c r="B63" s="4" t="inlineStr">
        <is>
          <t>LOẠI QUYẾT ĐỊNH</t>
        </is>
      </c>
      <c r="C63" s="4" t="inlineStr">
        <is>
          <t>de_xuat_noibo</t>
        </is>
      </c>
      <c r="D63" s="4" t="inlineStr">
        <is>
          <t>Giấy đề xuất/Tờ trình (chưa phải QĐ chính thức)</t>
        </is>
      </c>
      <c r="E63" s="4" t="inlineStr">
        <is>
          <t>Nhiều mảng</t>
        </is>
      </c>
      <c r="F63" s="4" t="inlineStr">
        <is>
          <t>Nhiều file 'Đề xuất'</t>
        </is>
      </c>
      <c r="G63" s="4" t="inlineStr">
        <is>
          <t>Có luồng ký nháy BLĐ/HCNS — cần trạng thái riêng Dự thảo/Chờ duyệt</t>
        </is>
      </c>
      <c r="H63" s="4" t="inlineStr"/>
    </row>
    <row r="64">
      <c r="A64" s="4" t="n">
        <v>63</v>
      </c>
      <c r="B64" s="4" t="inlineStr">
        <is>
          <t>LOẠI QUYẾT ĐỊNH</t>
        </is>
      </c>
      <c r="C64" s="4" t="inlineStr">
        <is>
          <t>qd_ky_luat</t>
        </is>
      </c>
      <c r="D64" s="4" t="inlineStr">
        <is>
          <t>QĐ kỷ luật</t>
        </is>
      </c>
      <c r="E64" s="4" t="inlineStr">
        <is>
          <t>Tất cả mảng</t>
        </is>
      </c>
      <c r="F64" s="4" t="inlineStr">
        <is>
          <t>Sheet VPKL</t>
        </is>
      </c>
      <c r="G64" s="4" t="inlineStr">
        <is>
          <t>Có số QĐ + ngày ban hành riêng (chỉ 1 số nơi ghi đủ)</t>
        </is>
      </c>
      <c r="H64" s="4" t="inlineStr"/>
    </row>
    <row r="65">
      <c r="A65" s="4" t="n">
        <v>64</v>
      </c>
      <c r="B65" s="4" t="inlineStr">
        <is>
          <t>CHỨC DANH</t>
        </is>
      </c>
      <c r="C65" s="4" t="inlineStr">
        <is>
          <t>cd_nv_dieu_phoi</t>
        </is>
      </c>
      <c r="D65" s="4" t="inlineStr">
        <is>
          <t>Nhân viên điều phối</t>
        </is>
      </c>
      <c r="E65" s="4" t="inlineStr">
        <is>
          <t>Mảng 1 (ĐPHH)</t>
        </is>
      </c>
      <c r="F65" s="4" t="inlineStr">
        <is>
          <t>Quy chế ĐPHH 2022</t>
        </is>
      </c>
      <c r="G65" s="4" t="inlineStr"/>
      <c r="H65" s="4" t="inlineStr"/>
    </row>
    <row r="66">
      <c r="A66" s="4" t="n">
        <v>65</v>
      </c>
      <c r="B66" s="4" t="inlineStr">
        <is>
          <t>CHỨC DANH</t>
        </is>
      </c>
      <c r="C66" s="4" t="inlineStr">
        <is>
          <t>cd_truong_buu_cuc</t>
        </is>
      </c>
      <c r="D66" s="4" t="inlineStr">
        <is>
          <t>Trưởng bưu cục</t>
        </is>
      </c>
      <c r="E66" s="4" t="inlineStr">
        <is>
          <t>Mảng 1 (ĐPHH)</t>
        </is>
      </c>
      <c r="F66" s="4" t="inlineStr">
        <is>
          <t>Sheet Thưởng phụ cấp</t>
        </is>
      </c>
      <c r="G66" s="4" t="inlineStr">
        <is>
          <t>PC trách nhiệm 2.000.000đ/th</t>
        </is>
      </c>
      <c r="H66" s="4" t="inlineStr"/>
    </row>
    <row r="67">
      <c r="A67" s="4" t="n">
        <v>66</v>
      </c>
      <c r="B67" s="4" t="inlineStr">
        <is>
          <t>CHỨC DANH</t>
        </is>
      </c>
      <c r="C67" s="4" t="inlineStr">
        <is>
          <t>cd_nv_tong_dai</t>
        </is>
      </c>
      <c r="D67" s="4" t="inlineStr">
        <is>
          <t>Nhân viên tổng đài</t>
        </is>
      </c>
      <c r="E67" s="4" t="inlineStr">
        <is>
          <t>Mảng 2 (TĐHK)</t>
        </is>
      </c>
      <c r="F67" s="4" t="inlineStr">
        <is>
          <t>QĐ 196/2024</t>
        </is>
      </c>
      <c r="G67" s="4" t="inlineStr"/>
      <c r="H67" s="4" t="inlineStr"/>
    </row>
    <row r="68">
      <c r="A68" s="4" t="n">
        <v>67</v>
      </c>
      <c r="B68" s="4" t="inlineStr">
        <is>
          <t>CHỨC DANH</t>
        </is>
      </c>
      <c r="C68" s="4" t="inlineStr">
        <is>
          <t>cd_truong_ca</t>
        </is>
      </c>
      <c r="D68" s="4" t="inlineStr">
        <is>
          <t>Trưởng ca (tổng đài)</t>
        </is>
      </c>
      <c r="E68" s="4" t="inlineStr">
        <is>
          <t>Mảng 2 (TĐHK)</t>
        </is>
      </c>
      <c r="F68" s="4" t="inlineStr">
        <is>
          <t>Đánh giá KPI TC</t>
        </is>
      </c>
      <c r="G68" s="4" t="inlineStr">
        <is>
          <t>Có scorecard KPI riêng 4 nhóm tiêu chí</t>
        </is>
      </c>
      <c r="H68" s="4" t="inlineStr"/>
    </row>
    <row r="69">
      <c r="A69" s="4" t="n">
        <v>68</v>
      </c>
      <c r="B69" s="4" t="inlineStr">
        <is>
          <t>CHỨC DANH</t>
        </is>
      </c>
      <c r="C69" s="4" t="inlineStr">
        <is>
          <t>cd_lai_xe_tuyen</t>
        </is>
      </c>
      <c r="D69" s="4" t="inlineStr">
        <is>
          <t>Lái xe tuyến (LXT)</t>
        </is>
      </c>
      <c r="E69" s="4" t="inlineStr">
        <is>
          <t>Mảng 4 (LX Tuyến)</t>
        </is>
      </c>
      <c r="F69" s="4" t="inlineStr">
        <is>
          <t>Nhiều file</t>
        </is>
      </c>
      <c r="G69" s="4" t="inlineStr"/>
      <c r="H69" s="4" t="inlineStr"/>
    </row>
    <row r="70">
      <c r="A70" s="4" t="n">
        <v>69</v>
      </c>
      <c r="B70" s="4" t="inlineStr">
        <is>
          <t>CHỨC DANH</t>
        </is>
      </c>
      <c r="C70" s="4" t="inlineStr">
        <is>
          <t>cd_lai_xe_du_phong</t>
        </is>
      </c>
      <c r="D70" s="4" t="inlineStr">
        <is>
          <t>Lái xe dự phòng (LXDP)</t>
        </is>
      </c>
      <c r="E70" s="4" t="inlineStr">
        <is>
          <t>Mảng 4 (LX Tuyến)</t>
        </is>
      </c>
      <c r="F70" s="4" t="inlineStr">
        <is>
          <t>BCC TCHN+LXDP</t>
        </is>
      </c>
      <c r="G70" s="4" t="inlineStr"/>
      <c r="H70" s="4" t="inlineStr"/>
    </row>
    <row r="71">
      <c r="A71" s="4" t="n">
        <v>70</v>
      </c>
      <c r="B71" s="4" t="inlineStr">
        <is>
          <t>CHỨC DANH</t>
        </is>
      </c>
      <c r="C71" s="4" t="inlineStr">
        <is>
          <t>cd_lai_xe_tai_du_an</t>
        </is>
      </c>
      <c r="D71" s="4" t="inlineStr">
        <is>
          <t>Lái xe tải dự án</t>
        </is>
      </c>
      <c r="E71" s="4" t="inlineStr">
        <is>
          <t>Mảng 5 (LX Tải)</t>
        </is>
      </c>
      <c r="F71" s="4" t="inlineStr">
        <is>
          <t>QĐ 206</t>
        </is>
      </c>
      <c r="G71" s="4" t="inlineStr"/>
      <c r="H71" s="4" t="inlineStr"/>
    </row>
    <row r="72">
      <c r="A72" s="4" t="n">
        <v>71</v>
      </c>
      <c r="B72" s="4" t="inlineStr">
        <is>
          <t>CHỨC DANH</t>
        </is>
      </c>
      <c r="C72" s="4" t="inlineStr">
        <is>
          <t>cd_lai_xe_container</t>
        </is>
      </c>
      <c r="D72" s="4" t="inlineStr">
        <is>
          <t>Lái xe container (nóng/lạnh)</t>
        </is>
      </c>
      <c r="E72" s="4" t="inlineStr">
        <is>
          <t>Mảng 5 (LX Tải)</t>
        </is>
      </c>
      <c r="F72" s="4" t="inlineStr">
        <is>
          <t>QĐ 206</t>
        </is>
      </c>
      <c r="G72" s="4" t="inlineStr"/>
      <c r="H72" s="4" t="inlineStr"/>
    </row>
    <row r="73">
      <c r="A73" s="4" t="n">
        <v>72</v>
      </c>
      <c r="B73" s="4" t="inlineStr">
        <is>
          <t>CHỨC DANH</t>
        </is>
      </c>
      <c r="C73" s="4" t="inlineStr">
        <is>
          <t>cd_phu_lai</t>
        </is>
      </c>
      <c r="D73" s="4" t="inlineStr">
        <is>
          <t>Lái xe phụ (phụ lái)</t>
        </is>
      </c>
      <c r="E73" s="4" t="inlineStr">
        <is>
          <t>Mảng 5 (LX Tải)</t>
        </is>
      </c>
      <c r="F73" s="4" t="inlineStr">
        <is>
          <t>QĐ 206</t>
        </is>
      </c>
      <c r="G73" s="4" t="inlineStr">
        <is>
          <t>Chia thưởng DT 50/50 mặc định</t>
        </is>
      </c>
      <c r="H73" s="4" t="inlineStr"/>
    </row>
    <row r="74">
      <c r="A74" s="4" t="n">
        <v>73</v>
      </c>
      <c r="B74" s="4" t="inlineStr">
        <is>
          <t>CHỨC DANH</t>
        </is>
      </c>
      <c r="C74" s="4" t="inlineStr">
        <is>
          <t>cd_tcn</t>
        </is>
      </c>
      <c r="D74" s="4" t="inlineStr">
        <is>
          <t>Trưởng chi nhánh (TCN)</t>
        </is>
      </c>
      <c r="E74" s="4" t="inlineStr">
        <is>
          <t>Mảng 6 (VP Tỉnh)</t>
        </is>
      </c>
      <c r="F74" s="4" t="inlineStr">
        <is>
          <t>QC VP tỉnh</t>
        </is>
      </c>
      <c r="G74" s="4" t="inlineStr">
        <is>
          <t>Hệ số lương 20</t>
        </is>
      </c>
      <c r="H74" s="4" t="inlineStr"/>
    </row>
    <row r="75">
      <c r="A75" s="4" t="n">
        <v>74</v>
      </c>
      <c r="B75" s="4" t="inlineStr">
        <is>
          <t>CHỨC DANH</t>
        </is>
      </c>
      <c r="C75" s="4" t="inlineStr">
        <is>
          <t>cd_dieu_hanh_vp</t>
        </is>
      </c>
      <c r="D75" s="4" t="inlineStr">
        <is>
          <t>Điều hành (VP tỉnh, ĐH)</t>
        </is>
      </c>
      <c r="E75" s="4" t="inlineStr">
        <is>
          <t>Mảng 6 (VP Tỉnh)</t>
        </is>
      </c>
      <c r="F75" s="4" t="inlineStr">
        <is>
          <t>QC VP tỉnh</t>
        </is>
      </c>
      <c r="G75" s="4" t="inlineStr">
        <is>
          <t>Hệ số lương 17</t>
        </is>
      </c>
      <c r="H75" s="4" t="inlineStr"/>
    </row>
    <row r="76">
      <c r="A76" s="4" t="n">
        <v>75</v>
      </c>
      <c r="B76" s="4" t="inlineStr">
        <is>
          <t>CHỨC DANH</t>
        </is>
      </c>
      <c r="C76" s="4" t="inlineStr">
        <is>
          <t>cd_lxtc</t>
        </is>
      </c>
      <c r="D76" s="4" t="inlineStr">
        <is>
          <t>Lái xe trung chuyển (LXTC, VP tỉnh)</t>
        </is>
      </c>
      <c r="E76" s="4" t="inlineStr">
        <is>
          <t>Mảng 6 (VP Tỉnh)</t>
        </is>
      </c>
      <c r="F76" s="4" t="inlineStr">
        <is>
          <t>QC VP tỉnh</t>
        </is>
      </c>
      <c r="G76" s="4" t="inlineStr">
        <is>
          <t>Hệ số lương 16</t>
        </is>
      </c>
      <c r="H76" s="4" t="inlineStr"/>
    </row>
    <row r="77">
      <c r="A77" s="4" t="n">
        <v>76</v>
      </c>
      <c r="B77" s="4" t="inlineStr">
        <is>
          <t>CHỨC DANH</t>
        </is>
      </c>
      <c r="C77" s="4" t="inlineStr">
        <is>
          <t>cd_ketoan_vp</t>
        </is>
      </c>
      <c r="D77" s="4" t="inlineStr">
        <is>
          <t>Kế toán (VP tỉnh, KT)</t>
        </is>
      </c>
      <c r="E77" s="4" t="inlineStr">
        <is>
          <t>Mảng 6 (VP Tỉnh)</t>
        </is>
      </c>
      <c r="F77" s="4" t="inlineStr">
        <is>
          <t>QC VP tỉnh</t>
        </is>
      </c>
      <c r="G77" s="4" t="inlineStr">
        <is>
          <t>Hệ số lương 12</t>
        </is>
      </c>
      <c r="H77" s="4" t="inlineStr"/>
    </row>
    <row r="78">
      <c r="A78" s="4" t="n">
        <v>77</v>
      </c>
      <c r="B78" s="4" t="inlineStr">
        <is>
          <t>PHÒNG BAN</t>
        </is>
      </c>
      <c r="C78" s="4" t="inlineStr">
        <is>
          <t>pb_vthk</t>
        </is>
      </c>
      <c r="D78" s="4" t="inlineStr">
        <is>
          <t>Phòng Vận tải hành khách (VTHK)</t>
        </is>
      </c>
      <c r="E78" s="4" t="inlineStr">
        <is>
          <t>Mảng 2/4 (TĐHK, LX Tuyến)</t>
        </is>
      </c>
      <c r="F78" s="4" t="inlineStr">
        <is>
          <t>Nhiều QĐ</t>
        </is>
      </c>
      <c r="G78" s="4" t="inlineStr">
        <is>
          <t>Đơn vị đề xuất hầu hết chính sách LX tuyến + Tổng đài</t>
        </is>
      </c>
      <c r="H78" s="4" t="inlineStr"/>
    </row>
    <row r="79">
      <c r="A79" s="4" t="n">
        <v>78</v>
      </c>
      <c r="B79" s="4" t="inlineStr">
        <is>
          <t>PHÒNG BAN</t>
        </is>
      </c>
      <c r="C79" s="4" t="inlineStr">
        <is>
          <t>pb_vthh</t>
        </is>
      </c>
      <c r="D79" s="4" t="inlineStr">
        <is>
          <t>Phòng Vận tải hàng hóa (VTHH)</t>
        </is>
      </c>
      <c r="E79" s="4" t="inlineStr">
        <is>
          <t>Mảng 1/5 (ĐPHH, LX Tải)</t>
        </is>
      </c>
      <c r="F79" s="4" t="inlineStr">
        <is>
          <t>QĐ 206, QĐ 24/2024</t>
        </is>
      </c>
      <c r="G79" s="4" t="inlineStr"/>
      <c r="H79" s="4" t="inlineStr"/>
    </row>
    <row r="80">
      <c r="A80" s="4" t="n">
        <v>79</v>
      </c>
      <c r="B80" s="4" t="inlineStr">
        <is>
          <t>PHÒNG BAN</t>
        </is>
      </c>
      <c r="C80" s="4" t="inlineStr">
        <is>
          <t>pb_hcns</t>
        </is>
      </c>
      <c r="D80" s="4" t="inlineStr">
        <is>
          <t>Phòng Hành chính nhân sự (HCNS)</t>
        </is>
      </c>
      <c r="E80" s="4" t="inlineStr">
        <is>
          <t>Chung</t>
        </is>
      </c>
      <c r="F80" s="4" t="inlineStr">
        <is>
          <t>Nhiều QĐ</t>
        </is>
      </c>
      <c r="G80" s="4" t="inlineStr"/>
      <c r="H80" s="4" t="inlineStr"/>
    </row>
    <row r="81">
      <c r="A81" s="4" t="n">
        <v>80</v>
      </c>
      <c r="B81" s="4" t="inlineStr">
        <is>
          <t>PHÒNG BAN</t>
        </is>
      </c>
      <c r="C81" s="4" t="inlineStr">
        <is>
          <t>pb_tckt</t>
        </is>
      </c>
      <c r="D81" s="4" t="inlineStr">
        <is>
          <t>Phòng Tài chính kế toán (TCKT)</t>
        </is>
      </c>
      <c r="E81" s="4" t="inlineStr">
        <is>
          <t>Chung</t>
        </is>
      </c>
      <c r="F81" s="4" t="inlineStr"/>
      <c r="G81" s="4" t="inlineStr"/>
      <c r="H81" s="4" t="inlineStr"/>
    </row>
    <row r="82">
      <c r="A82" s="4" t="n">
        <v>81</v>
      </c>
      <c r="B82" s="4" t="inlineStr">
        <is>
          <t>CHI NHÁNH</t>
        </is>
      </c>
      <c r="C82" s="4" t="inlineStr">
        <is>
          <t>cn_viet_tri</t>
        </is>
      </c>
      <c r="D82" s="4" t="inlineStr">
        <is>
          <t>Chi nhánh Việt Trì</t>
        </is>
      </c>
      <c r="E82" s="4" t="inlineStr">
        <is>
          <t>Mảng 6 (VP Tỉnh)</t>
        </is>
      </c>
      <c r="F82" s="4" t="inlineStr">
        <is>
          <t>Bảng lương VT</t>
        </is>
      </c>
      <c r="G82" s="4" t="inlineStr"/>
      <c r="H82" s="4" t="inlineStr"/>
    </row>
    <row r="83">
      <c r="A83" s="4" t="n">
        <v>82</v>
      </c>
      <c r="B83" s="4" t="inlineStr">
        <is>
          <t>CHI NHÁNH</t>
        </is>
      </c>
      <c r="C83" s="4" t="inlineStr">
        <is>
          <t>cn_yen_bai</t>
        </is>
      </c>
      <c r="D83" s="4" t="inlineStr">
        <is>
          <t>Chi nhánh Yên Bái</t>
        </is>
      </c>
      <c r="E83" s="4" t="inlineStr">
        <is>
          <t>Mảng 6 (VP Tỉnh)</t>
        </is>
      </c>
      <c r="F83" s="4" t="inlineStr">
        <is>
          <t>Bảng lương YB</t>
        </is>
      </c>
      <c r="G83" s="4" t="inlineStr"/>
      <c r="H83" s="4" t="inlineStr"/>
    </row>
    <row r="84">
      <c r="A84" s="4" t="n">
        <v>83</v>
      </c>
      <c r="B84" s="4" t="inlineStr">
        <is>
          <t>CHI NHÁNH</t>
        </is>
      </c>
      <c r="C84" s="4" t="inlineStr">
        <is>
          <t>cn_nam_dinh</t>
        </is>
      </c>
      <c r="D84" s="4" t="inlineStr">
        <is>
          <t>Chi nhánh Nam Định</t>
        </is>
      </c>
      <c r="E84" s="4" t="inlineStr">
        <is>
          <t>Mảng 6 (VP Tỉnh)</t>
        </is>
      </c>
      <c r="F84" s="4" t="inlineStr">
        <is>
          <t>Bảng lương NĐ + QC 2020</t>
        </is>
      </c>
      <c r="G84" s="4" t="inlineStr"/>
      <c r="H84" s="4" t="inlineStr"/>
    </row>
    <row r="85">
      <c r="A85" s="4" t="n">
        <v>84</v>
      </c>
      <c r="B85" s="4" t="inlineStr">
        <is>
          <t>CHI NHÁNH</t>
        </is>
      </c>
      <c r="C85" s="4" t="inlineStr">
        <is>
          <t>cn_phu_tho</t>
        </is>
      </c>
      <c r="D85" s="4" t="inlineStr">
        <is>
          <t>Chi nhánh Phú Thọ</t>
        </is>
      </c>
      <c r="E85" s="4" t="inlineStr">
        <is>
          <t>Mảng 6 (VP Tỉnh)</t>
        </is>
      </c>
      <c r="F85" s="4" t="inlineStr">
        <is>
          <t>Bảng lương PT</t>
        </is>
      </c>
      <c r="G85" s="4" t="inlineStr">
        <is>
          <t>Có chi nhánh con Phù Ninh</t>
        </is>
      </c>
      <c r="H85" s="4" t="inlineStr"/>
    </row>
    <row r="86">
      <c r="A86" s="4" t="n">
        <v>85</v>
      </c>
      <c r="B86" s="4" t="inlineStr">
        <is>
          <t>CHI NHÁNH</t>
        </is>
      </c>
      <c r="C86" s="4" t="inlineStr">
        <is>
          <t>cn_ninh_binh</t>
        </is>
      </c>
      <c r="D86" s="4" t="inlineStr">
        <is>
          <t>Chi nhánh Ninh Bình</t>
        </is>
      </c>
      <c r="E86" s="4" t="inlineStr">
        <is>
          <t>Mảng 6 (VP Tỉnh)</t>
        </is>
      </c>
      <c r="F86" s="4" t="inlineStr">
        <is>
          <t>Bảng lương NB + QC 2020</t>
        </is>
      </c>
      <c r="G86" s="4" t="inlineStr"/>
      <c r="H86" s="4" t="inlineStr"/>
    </row>
    <row r="87">
      <c r="A87" s="4" t="n">
        <v>86</v>
      </c>
      <c r="B87" s="4" t="inlineStr">
        <is>
          <t>CHI NHÁNH</t>
        </is>
      </c>
      <c r="C87" s="4" t="inlineStr">
        <is>
          <t>cn_thai_binh</t>
        </is>
      </c>
      <c r="D87" s="4" t="inlineStr">
        <is>
          <t>Chi nhánh Thái Bình</t>
        </is>
      </c>
      <c r="E87" s="4" t="inlineStr">
        <is>
          <t>Mảng 6 (VP Tỉnh)</t>
        </is>
      </c>
      <c r="F87" s="4" t="inlineStr">
        <is>
          <t>Bảng lương TB + QC 2020</t>
        </is>
      </c>
      <c r="G87" s="4" t="inlineStr"/>
      <c r="H87" s="4" t="inlineStr"/>
    </row>
    <row r="88">
      <c r="A88" s="4" t="n">
        <v>87</v>
      </c>
      <c r="B88" s="4" t="inlineStr">
        <is>
          <t>LOẠI HỢP ĐỒNG</t>
        </is>
      </c>
      <c r="C88" s="4" t="inlineStr">
        <is>
          <t>hd_thu_viec</t>
        </is>
      </c>
      <c r="D88" s="4" t="inlineStr">
        <is>
          <t>Hợp đồng thử việc/thực tập/học nghề</t>
        </is>
      </c>
      <c r="E88" s="4" t="inlineStr">
        <is>
          <t>Chung</t>
        </is>
      </c>
      <c r="F88" s="4" t="inlineStr">
        <is>
          <t>Sheet input/data (nhiều mảng)</t>
        </is>
      </c>
      <c r="G88" s="4" t="inlineStr"/>
      <c r="H88" s="4" t="inlineStr"/>
    </row>
    <row r="89">
      <c r="A89" s="4" t="n">
        <v>88</v>
      </c>
      <c r="B89" s="4" t="inlineStr">
        <is>
          <t>LOẠI HỢP ĐỒNG</t>
        </is>
      </c>
      <c r="C89" s="4" t="inlineStr">
        <is>
          <t>hd_lan_1</t>
        </is>
      </c>
      <c r="D89" s="4" t="inlineStr">
        <is>
          <t>Hợp đồng lao động lần 1</t>
        </is>
      </c>
      <c r="E89" s="4" t="inlineStr">
        <is>
          <t>Chung</t>
        </is>
      </c>
      <c r="F89" s="4" t="inlineStr">
        <is>
          <t>Sheet input/data</t>
        </is>
      </c>
      <c r="G89" s="4" t="inlineStr"/>
      <c r="H89" s="4" t="inlineStr"/>
    </row>
    <row r="90">
      <c r="A90" s="4" t="n">
        <v>89</v>
      </c>
      <c r="B90" s="4" t="inlineStr">
        <is>
          <t>LOẠI HỢP ĐỒNG</t>
        </is>
      </c>
      <c r="C90" s="4" t="inlineStr">
        <is>
          <t>hd_lan_2</t>
        </is>
      </c>
      <c r="D90" s="4" t="inlineStr">
        <is>
          <t>Hợp đồng lao động lần 2</t>
        </is>
      </c>
      <c r="E90" s="4" t="inlineStr">
        <is>
          <t>Chung</t>
        </is>
      </c>
      <c r="F90" s="4" t="inlineStr">
        <is>
          <t>Sheet input/data</t>
        </is>
      </c>
      <c r="G90" s="4" t="inlineStr"/>
      <c r="H90" s="4" t="inlineStr"/>
    </row>
    <row r="91">
      <c r="A91" s="4" t="n">
        <v>90</v>
      </c>
      <c r="B91" s="4" t="inlineStr">
        <is>
          <t>LOẠI HỢP ĐỒNG</t>
        </is>
      </c>
      <c r="C91" s="4" t="inlineStr">
        <is>
          <t>hd_kxdth</t>
        </is>
      </c>
      <c r="D91" s="4" t="inlineStr">
        <is>
          <t>Hợp đồng không xác định thời hạn</t>
        </is>
      </c>
      <c r="E91" s="4" t="inlineStr">
        <is>
          <t>Chung</t>
        </is>
      </c>
      <c r="F91" s="4" t="inlineStr">
        <is>
          <t>Sheet input/data</t>
        </is>
      </c>
      <c r="G91" s="4" t="inlineStr"/>
      <c r="H91" s="4" t="inlineStr"/>
    </row>
    <row r="92">
      <c r="A92" s="4" t="n">
        <v>91</v>
      </c>
      <c r="B92" s="4" t="inlineStr">
        <is>
          <t>LOẠI HỢP ĐỒNG</t>
        </is>
      </c>
      <c r="C92" s="4" t="inlineStr">
        <is>
          <t>hd_dich_vu</t>
        </is>
      </c>
      <c r="D92" s="4" t="inlineStr">
        <is>
          <t>Hợp đồng dịch vụ (CTV)</t>
        </is>
      </c>
      <c r="E92" s="4" t="inlineStr">
        <is>
          <t>Mảng 2 (TĐHK)</t>
        </is>
      </c>
      <c r="F92" s="4" t="inlineStr">
        <is>
          <t>Sheet Staff</t>
        </is>
      </c>
      <c r="G92" s="4" t="inlineStr"/>
      <c r="H92" s="4" t="inlineStr"/>
    </row>
    <row r="93">
      <c r="A93" s="4" t="n">
        <v>92</v>
      </c>
      <c r="B93" s="4" t="inlineStr">
        <is>
          <t>LOẠI HÌNH LAO ĐỘNG</t>
        </is>
      </c>
      <c r="C93" s="4" t="inlineStr">
        <is>
          <t>lhld_ct</t>
        </is>
      </c>
      <c r="D93" s="4" t="inlineStr">
        <is>
          <t>Chính thức (CT)</t>
        </is>
      </c>
      <c r="E93" s="4" t="inlineStr">
        <is>
          <t>Chung</t>
        </is>
      </c>
      <c r="F93" s="4" t="inlineStr">
        <is>
          <t>Nhiều sheet</t>
        </is>
      </c>
      <c r="G93" s="4" t="inlineStr"/>
      <c r="H93" s="4" t="inlineStr"/>
    </row>
    <row r="94">
      <c r="A94" s="4" t="n">
        <v>93</v>
      </c>
      <c r="B94" s="4" t="inlineStr">
        <is>
          <t>LOẠI HÌNH LAO ĐỘNG</t>
        </is>
      </c>
      <c r="C94" s="4" t="inlineStr">
        <is>
          <t>lhld_tv</t>
        </is>
      </c>
      <c r="D94" s="4" t="inlineStr">
        <is>
          <t>Thử việc (TV)</t>
        </is>
      </c>
      <c r="E94" s="4" t="inlineStr">
        <is>
          <t>Chung</t>
        </is>
      </c>
      <c r="F94" s="4" t="inlineStr">
        <is>
          <t>Nhiều sheet</t>
        </is>
      </c>
      <c r="G94" s="4" t="inlineStr">
        <is>
          <t>Hưởng 85% (đa số mảng)</t>
        </is>
      </c>
      <c r="H94" s="4" t="inlineStr"/>
    </row>
    <row r="95">
      <c r="A95" s="4" t="n">
        <v>94</v>
      </c>
      <c r="B95" s="4" t="inlineStr">
        <is>
          <t>LOẠI HÌNH LAO ĐỘNG</t>
        </is>
      </c>
      <c r="C95" s="4" t="inlineStr">
        <is>
          <t>lhld_ctv</t>
        </is>
      </c>
      <c r="D95" s="4" t="inlineStr">
        <is>
          <t>Cộng tác viên (CTV)</t>
        </is>
      </c>
      <c r="E95" s="4" t="inlineStr">
        <is>
          <t>Chung</t>
        </is>
      </c>
      <c r="F95" s="4" t="inlineStr">
        <is>
          <t>Sheet data/input</t>
        </is>
      </c>
      <c r="G95" s="4" t="inlineStr"/>
      <c r="H95" s="4" t="inlineStr"/>
    </row>
    <row r="96">
      <c r="A96" s="4" t="n">
        <v>95</v>
      </c>
      <c r="B96" s="4" t="inlineStr">
        <is>
          <t>CA LÀM VIỆC</t>
        </is>
      </c>
      <c r="C96" s="4" t="inlineStr">
        <is>
          <t>ca_hc</t>
        </is>
      </c>
      <c r="D96" s="4" t="inlineStr">
        <is>
          <t>Hành chính (HC)</t>
        </is>
      </c>
      <c r="E96" s="4" t="inlineStr">
        <is>
          <t>VP HN + VP Tỉnh</t>
        </is>
      </c>
      <c r="F96" s="4" t="inlineStr">
        <is>
          <t>Lịch làm việc PVTHK</t>
        </is>
      </c>
      <c r="G96" s="4" t="inlineStr">
        <is>
          <t>⚠ Khung giờ KHÁC NHAU theo tỉnh (HN 8h30-17h30 vs Nam Định 7h30-17h00) — sponsor đã chốt: dùng riêng từng tenant (xem sheet Xác nhận Q1)</t>
        </is>
      </c>
      <c r="H96" s="4" t="inlineStr"/>
    </row>
    <row r="97">
      <c r="A97" s="4" t="n">
        <v>96</v>
      </c>
      <c r="B97" s="4" t="inlineStr">
        <is>
          <t>CA LÀM VIỆC</t>
        </is>
      </c>
      <c r="C97" s="4" t="inlineStr">
        <is>
          <t>ca_sang_c1_hn</t>
        </is>
      </c>
      <c r="D97" s="4" t="inlineStr">
        <is>
          <t>Ca 1 (06h00-15h00, ĐPHH VP Trần Đại Nghĩa)</t>
        </is>
      </c>
      <c r="E97" s="4" t="inlineStr">
        <is>
          <t>Mảng 1 (ĐPHH)</t>
        </is>
      </c>
      <c r="F97" s="4" t="inlineStr">
        <is>
          <t>QĐ 20/2025</t>
        </is>
      </c>
      <c r="G97" s="4" t="inlineStr"/>
      <c r="H97" s="4" t="inlineStr"/>
    </row>
    <row r="98">
      <c r="A98" s="4" t="n">
        <v>97</v>
      </c>
      <c r="B98" s="4" t="inlineStr">
        <is>
          <t>CA LÀM VIỆC</t>
        </is>
      </c>
      <c r="C98" s="4" t="inlineStr">
        <is>
          <t>ca_chieu_c2_hn</t>
        </is>
      </c>
      <c r="D98" s="4" t="inlineStr">
        <is>
          <t>Ca 2 (11h00-20h00, ĐPHH VP Trần Đại Nghĩa)</t>
        </is>
      </c>
      <c r="E98" s="4" t="inlineStr">
        <is>
          <t>Mảng 1 (ĐPHH)</t>
        </is>
      </c>
      <c r="F98" s="4" t="inlineStr">
        <is>
          <t>QĐ 20/2025</t>
        </is>
      </c>
      <c r="G98" s="4" t="inlineStr"/>
      <c r="H98" s="4" t="inlineStr"/>
    </row>
    <row r="99">
      <c r="A99" s="4" t="n">
        <v>98</v>
      </c>
      <c r="B99" s="4" t="inlineStr">
        <is>
          <t>CA LÀM VIỆC</t>
        </is>
      </c>
      <c r="C99" s="4" t="inlineStr">
        <is>
          <t>ca_lx_kipA</t>
        </is>
      </c>
      <c r="D99" s="4" t="inlineStr">
        <is>
          <t>Ca LX tuyến Kíp A (Sáng, 5h-13h)</t>
        </is>
      </c>
      <c r="E99" s="4" t="inlineStr">
        <is>
          <t>Mảng 4 (LX Tuyến)</t>
        </is>
      </c>
      <c r="F99" s="4" t="inlineStr">
        <is>
          <t>Lịch làm việc PVTHK</t>
        </is>
      </c>
      <c r="G99" s="4" t="inlineStr"/>
      <c r="H99" s="4" t="inlineStr"/>
    </row>
    <row r="100">
      <c r="A100" s="4" t="n">
        <v>99</v>
      </c>
      <c r="B100" s="4" t="inlineStr">
        <is>
          <t>CA LÀM VIỆC</t>
        </is>
      </c>
      <c r="C100" s="4" t="inlineStr">
        <is>
          <t>ca_lx_kipB</t>
        </is>
      </c>
      <c r="D100" s="4" t="inlineStr">
        <is>
          <t>Ca LX tuyến Kíp B (Chiều, 13h-21h)</t>
        </is>
      </c>
      <c r="E100" s="4" t="inlineStr">
        <is>
          <t>Mảng 4 (LX Tuyến)</t>
        </is>
      </c>
      <c r="F100" s="4" t="inlineStr">
        <is>
          <t>Lịch làm việc PVTHK</t>
        </is>
      </c>
      <c r="G100" s="4" t="inlineStr"/>
      <c r="H100" s="4" t="inlineStr"/>
    </row>
    <row r="101">
      <c r="A101" s="4" t="n">
        <v>100</v>
      </c>
      <c r="B101" s="4" t="inlineStr">
        <is>
          <t>CA LÀM VIỆC</t>
        </is>
      </c>
      <c r="C101" s="4" t="inlineStr">
        <is>
          <t>ca_lx_dem</t>
        </is>
      </c>
      <c r="D101" s="4" t="inlineStr">
        <is>
          <t>Ca LX tuyến Đêm (21h-5h)</t>
        </is>
      </c>
      <c r="E101" s="4" t="inlineStr">
        <is>
          <t>Mảng 4 (LX Tuyến)</t>
        </is>
      </c>
      <c r="F101" s="4" t="inlineStr">
        <is>
          <t>QĐ 753 + Lịch PVTHK</t>
        </is>
      </c>
      <c r="G101" s="4" t="inlineStr">
        <is>
          <t>⚠ Khung giờ chính xác chưa chốt — xem Xác nhận Q7 (21h/22h/0h?)</t>
        </is>
      </c>
      <c r="H101" s="4" t="inlineStr"/>
    </row>
    <row r="102">
      <c r="A102" s="4" t="n">
        <v>101</v>
      </c>
      <c r="B102" s="4" t="inlineStr">
        <is>
          <t>LOẠI OT</t>
        </is>
      </c>
      <c r="C102" s="4" t="inlineStr">
        <is>
          <t>ot_150</t>
        </is>
      </c>
      <c r="D102" s="4" t="inlineStr">
        <is>
          <t>OT 150% (ngày thường)</t>
        </is>
      </c>
      <c r="E102" s="4" t="inlineStr">
        <is>
          <t>Chung</t>
        </is>
      </c>
      <c r="F102" s="4" t="inlineStr">
        <is>
          <t>Nhiều sheet BCC</t>
        </is>
      </c>
      <c r="G102" s="4" t="inlineStr"/>
      <c r="H102" s="4" t="inlineStr"/>
    </row>
    <row r="103">
      <c r="A103" s="4" t="n">
        <v>102</v>
      </c>
      <c r="B103" s="4" t="inlineStr">
        <is>
          <t>LOẠI OT</t>
        </is>
      </c>
      <c r="C103" s="4" t="inlineStr">
        <is>
          <t>ot_200</t>
        </is>
      </c>
      <c r="D103" s="4" t="inlineStr">
        <is>
          <t>OT 200% (ngày lễ)</t>
        </is>
      </c>
      <c r="E103" s="4" t="inlineStr">
        <is>
          <t>Chung</t>
        </is>
      </c>
      <c r="F103" s="4" t="inlineStr">
        <is>
          <t>Nhiều sheet BCC</t>
        </is>
      </c>
      <c r="G103" s="4" t="inlineStr"/>
      <c r="H103" s="4" t="inlineStr"/>
    </row>
    <row r="104">
      <c r="A104" s="4" t="n">
        <v>103</v>
      </c>
      <c r="B104" s="4" t="inlineStr">
        <is>
          <t>LOẠI OT</t>
        </is>
      </c>
      <c r="C104" s="4" t="inlineStr">
        <is>
          <t>ot_khong_ad_lxtai</t>
        </is>
      </c>
      <c r="D104" s="4" t="inlineStr">
        <is>
          <t>Không áp dụng OT (Lái xe tải)</t>
        </is>
      </c>
      <c r="E104" s="4" t="inlineStr">
        <is>
          <t>Mảng 5 (LX Tải)</t>
        </is>
      </c>
      <c r="F104" s="4" t="inlineStr">
        <is>
          <t>QĐ 206 mục 5</t>
        </is>
      </c>
      <c r="G104" s="4" t="inlineStr">
        <is>
          <t>Thu nhập tính theo doanh thu, không có OT</t>
        </is>
      </c>
      <c r="H104" s="4" t="inlineStr"/>
    </row>
    <row r="105">
      <c r="A105" s="4" t="n">
        <v>104</v>
      </c>
      <c r="B105" s="4" t="inlineStr">
        <is>
          <t>LOẠI BẢO HIỂM</t>
        </is>
      </c>
      <c r="C105" s="4" t="inlineStr">
        <is>
          <t>bh_httt</t>
        </is>
      </c>
      <c r="D105" s="4" t="inlineStr">
        <is>
          <t>BHXH — Hưu trí tử tuất (HT-TT)</t>
        </is>
      </c>
      <c r="E105" s="4" t="inlineStr">
        <is>
          <t>Chung</t>
        </is>
      </c>
      <c r="F105" s="4" t="inlineStr">
        <is>
          <t>Sheet BHXH (nhiều mảng)</t>
        </is>
      </c>
      <c r="G105" s="4" t="inlineStr">
        <is>
          <t>NSDLĐ 14% / NLĐ 8%</t>
        </is>
      </c>
      <c r="H105" s="4" t="inlineStr"/>
    </row>
    <row r="106">
      <c r="A106" s="4" t="n">
        <v>105</v>
      </c>
      <c r="B106" s="4" t="inlineStr">
        <is>
          <t>LOẠI BẢO HIỂM</t>
        </is>
      </c>
      <c r="C106" s="4" t="inlineStr">
        <is>
          <t>bh_odts</t>
        </is>
      </c>
      <c r="D106" s="4" t="inlineStr">
        <is>
          <t>BHXH — Ốm đau thai sản (ÔĐ-TS)</t>
        </is>
      </c>
      <c r="E106" s="4" t="inlineStr">
        <is>
          <t>Chung</t>
        </is>
      </c>
      <c r="F106" s="4" t="inlineStr">
        <is>
          <t>Sheet BHXH</t>
        </is>
      </c>
      <c r="G106" s="4" t="inlineStr">
        <is>
          <t>NSDLĐ 3%</t>
        </is>
      </c>
      <c r="H106" s="4" t="inlineStr"/>
    </row>
    <row r="107">
      <c r="A107" s="4" t="n">
        <v>106</v>
      </c>
      <c r="B107" s="4" t="inlineStr">
        <is>
          <t>LOẠI BẢO HIỂM</t>
        </is>
      </c>
      <c r="C107" s="4" t="inlineStr">
        <is>
          <t>bh_byt</t>
        </is>
      </c>
      <c r="D107" s="4" t="inlineStr">
        <is>
          <t>BHYT</t>
        </is>
      </c>
      <c r="E107" s="4" t="inlineStr">
        <is>
          <t>Chung</t>
        </is>
      </c>
      <c r="F107" s="4" t="inlineStr">
        <is>
          <t>Sheet BHXH</t>
        </is>
      </c>
      <c r="G107" s="4" t="inlineStr">
        <is>
          <t>NSDLĐ 3% / NLĐ 1.5%</t>
        </is>
      </c>
      <c r="H107" s="4" t="inlineStr"/>
    </row>
    <row r="108">
      <c r="A108" s="4" t="n">
        <v>107</v>
      </c>
      <c r="B108" s="4" t="inlineStr">
        <is>
          <t>LOẠI BẢO HIỂM</t>
        </is>
      </c>
      <c r="C108" s="4" t="inlineStr">
        <is>
          <t>bh_btn</t>
        </is>
      </c>
      <c r="D108" s="4" t="inlineStr">
        <is>
          <t>BHTN</t>
        </is>
      </c>
      <c r="E108" s="4" t="inlineStr">
        <is>
          <t>Chung</t>
        </is>
      </c>
      <c r="F108" s="4" t="inlineStr">
        <is>
          <t>Sheet BHXH</t>
        </is>
      </c>
      <c r="G108" s="4" t="inlineStr">
        <is>
          <t>NSDLĐ 1% / NLĐ 1%</t>
        </is>
      </c>
      <c r="H108" s="4" t="inlineStr"/>
    </row>
    <row r="109">
      <c r="A109" s="4" t="n">
        <v>108</v>
      </c>
      <c r="B109" s="4" t="inlineStr">
        <is>
          <t>LOẠI BẢO HIỂM</t>
        </is>
      </c>
      <c r="C109" s="4" t="inlineStr">
        <is>
          <t>bh_tnld_bnn</t>
        </is>
      </c>
      <c r="D109" s="4" t="inlineStr">
        <is>
          <t>BHTNLĐ-BNN</t>
        </is>
      </c>
      <c r="E109" s="4" t="inlineStr">
        <is>
          <t>Chung</t>
        </is>
      </c>
      <c r="F109" s="4" t="inlineStr">
        <is>
          <t>Sheet BHXH</t>
        </is>
      </c>
      <c r="G109" s="4" t="inlineStr">
        <is>
          <t>NSDLĐ 0.5%</t>
        </is>
      </c>
      <c r="H109"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ySplit="4" topLeftCell="A5" activePane="bottomLeft" state="frozen"/>
      <selection pane="bottomLeft" activeCell="A1" sqref="A1"/>
    </sheetView>
  </sheetViews>
  <sheetFormatPr baseColWidth="8" defaultRowHeight="15"/>
  <cols>
    <col width="6" customWidth="1" min="1" max="1"/>
    <col width="60" customWidth="1" min="2" max="2"/>
    <col width="1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5" t="inlineStr">
        <is>
          <t>Bảng ngạch bậc lương chính thức — QĐ 2A/2026/QĐ-XE (02/01/2026, hiệu lực 01/01/2026)</t>
        </is>
      </c>
    </row>
    <row r="2">
      <c r="A2" s="6" t="inlineStr">
        <is>
          <t>Căn cứ NĐ 293/2025/NĐ-CP (lương tối thiểu vùng) + NĐ 128/2025/NĐ-CP (danh mục địa bàn vùng). Đơn vị: VNĐ.</t>
        </is>
      </c>
    </row>
    <row r="4">
      <c r="A4" s="3" t="inlineStr">
        <is>
          <t>STT</t>
        </is>
      </c>
      <c r="B4" s="3" t="inlineStr">
        <is>
          <t>Chức danh công việc</t>
        </is>
      </c>
      <c r="C4" s="3" t="inlineStr">
        <is>
          <t>Mã ngạch</t>
        </is>
      </c>
      <c r="D4" s="3" t="inlineStr">
        <is>
          <t>I</t>
        </is>
      </c>
      <c r="E4" s="3" t="inlineStr">
        <is>
          <t>II</t>
        </is>
      </c>
      <c r="F4" s="3" t="inlineStr">
        <is>
          <t>III</t>
        </is>
      </c>
      <c r="G4" s="3" t="inlineStr">
        <is>
          <t>IV</t>
        </is>
      </c>
      <c r="H4" s="3" t="inlineStr">
        <is>
          <t>V</t>
        </is>
      </c>
      <c r="I4" s="3" t="inlineStr">
        <is>
          <t>VI</t>
        </is>
      </c>
      <c r="J4" s="3" t="inlineStr">
        <is>
          <t>VII</t>
        </is>
      </c>
      <c r="K4" s="3" t="inlineStr">
        <is>
          <t>VIII</t>
        </is>
      </c>
      <c r="L4" s="3" t="inlineStr">
        <is>
          <t>IX</t>
        </is>
      </c>
    </row>
    <row r="5">
      <c r="A5" s="4" t="inlineStr">
        <is>
          <t>1.1</t>
        </is>
      </c>
      <c r="B5" s="4" t="inlineStr">
        <is>
          <t>Chủ tịch HĐTV (Chairman)</t>
        </is>
      </c>
      <c r="C5" s="4" t="inlineStr">
        <is>
          <t>D1</t>
        </is>
      </c>
      <c r="D5" s="7" t="n">
        <v>13100000</v>
      </c>
      <c r="E5" s="7" t="n">
        <v>15000000</v>
      </c>
      <c r="F5" s="7" t="n">
        <v>17200000</v>
      </c>
      <c r="G5" s="7" t="n">
        <v>19700000</v>
      </c>
      <c r="H5" s="7" t="n">
        <v>22600000</v>
      </c>
      <c r="I5" s="7" t="n">
        <v>26000000</v>
      </c>
      <c r="J5" s="4" t="n"/>
      <c r="K5" s="4" t="n"/>
      <c r="L5" s="4" t="n"/>
    </row>
    <row r="6">
      <c r="A6" s="4" t="inlineStr">
        <is>
          <t>1.2</t>
        </is>
      </c>
      <c r="B6" s="4" t="inlineStr">
        <is>
          <t>Tổng giám đốc/Giám đốc Công ty (CEO)</t>
        </is>
      </c>
      <c r="C6" s="4" t="inlineStr">
        <is>
          <t>D2</t>
        </is>
      </c>
      <c r="D6" s="7" t="n">
        <v>11100000</v>
      </c>
      <c r="E6" s="7" t="n">
        <v>12700000</v>
      </c>
      <c r="F6" s="7" t="n">
        <v>14500000</v>
      </c>
      <c r="G6" s="7" t="n">
        <v>16500000</v>
      </c>
      <c r="H6" s="7" t="n">
        <v>18800000</v>
      </c>
      <c r="I6" s="7" t="n">
        <v>21400000</v>
      </c>
      <c r="J6" s="4" t="n"/>
      <c r="K6" s="4" t="n"/>
      <c r="L6" s="4" t="n"/>
    </row>
    <row r="7">
      <c r="A7" s="4" t="inlineStr">
        <is>
          <t>1.3</t>
        </is>
      </c>
      <c r="B7" s="4" t="inlineStr">
        <is>
          <t>Phó GĐ Công ty (DCEO); Trưởng ban KSNB (HSB); GĐ khối nghiệp vụ (CFO/CCO/COO/CTO/CMO/CHRO...); GĐ/PGĐ đơn vị thành viên</t>
        </is>
      </c>
      <c r="C7" s="4" t="inlineStr">
        <is>
          <t>D3</t>
        </is>
      </c>
      <c r="D7" s="7" t="n">
        <v>9600000</v>
      </c>
      <c r="E7" s="7" t="n">
        <v>10800000</v>
      </c>
      <c r="F7" s="7" t="n">
        <v>12200000</v>
      </c>
      <c r="G7" s="7" t="n">
        <v>13800000</v>
      </c>
      <c r="H7" s="7" t="n">
        <v>15600000</v>
      </c>
      <c r="I7" s="7" t="n">
        <v>17600000</v>
      </c>
      <c r="J7" s="7" t="n">
        <v>19900000</v>
      </c>
      <c r="K7" s="4" t="n"/>
      <c r="L7" s="4" t="n"/>
    </row>
    <row r="8">
      <c r="A8" s="4" t="inlineStr">
        <is>
          <t>2.1</t>
        </is>
      </c>
      <c r="B8" s="4" t="inlineStr">
        <is>
          <t>Cố vấn chiến lược</t>
        </is>
      </c>
      <c r="C8" s="4" t="inlineStr">
        <is>
          <t>C1</t>
        </is>
      </c>
      <c r="D8" s="7" t="n">
        <v>9600000</v>
      </c>
      <c r="E8" s="7" t="n">
        <v>10800000</v>
      </c>
      <c r="F8" s="7" t="n">
        <v>12200000</v>
      </c>
      <c r="G8" s="7" t="n">
        <v>13800000</v>
      </c>
      <c r="H8" s="7" t="n">
        <v>15600000</v>
      </c>
      <c r="I8" s="7" t="n">
        <v>17600000</v>
      </c>
      <c r="J8" s="7" t="n">
        <v>19900000</v>
      </c>
      <c r="K8" s="4" t="n"/>
      <c r="L8" s="4" t="n"/>
    </row>
    <row r="9">
      <c r="A9" s="4" t="inlineStr">
        <is>
          <t>2.2</t>
        </is>
      </c>
      <c r="B9" s="4" t="inlineStr">
        <is>
          <t>Chuyên gia cao cấp</t>
        </is>
      </c>
      <c r="C9" s="4" t="inlineStr">
        <is>
          <t>C2</t>
        </is>
      </c>
      <c r="D9" s="7" t="n">
        <v>7000000</v>
      </c>
      <c r="E9" s="7" t="n">
        <v>7700000</v>
      </c>
      <c r="F9" s="7" t="n">
        <v>8500000</v>
      </c>
      <c r="G9" s="7" t="n">
        <v>9400000</v>
      </c>
      <c r="H9" s="7" t="n">
        <v>10300000</v>
      </c>
      <c r="I9" s="7" t="n">
        <v>11300000</v>
      </c>
      <c r="J9" s="7" t="n">
        <v>12400000</v>
      </c>
      <c r="K9" s="4" t="n"/>
      <c r="L9" s="4" t="n"/>
    </row>
    <row r="10">
      <c r="A10" s="4" t="inlineStr">
        <is>
          <t>3.1</t>
        </is>
      </c>
      <c r="B10" s="4" t="inlineStr">
        <is>
          <t>Trưởng phòng nghiệp vụ; Trợ lý chủ tịch</t>
        </is>
      </c>
      <c r="C10" s="4" t="inlineStr">
        <is>
          <t>M1</t>
        </is>
      </c>
      <c r="D10" s="7" t="n">
        <v>8300000</v>
      </c>
      <c r="E10" s="7" t="n">
        <v>9200000</v>
      </c>
      <c r="F10" s="7" t="n">
        <v>10200000</v>
      </c>
      <c r="G10" s="7" t="n">
        <v>11300000</v>
      </c>
      <c r="H10" s="7" t="n">
        <v>12500000</v>
      </c>
      <c r="I10" s="7" t="n">
        <v>13900000</v>
      </c>
      <c r="J10" s="7" t="n">
        <v>15400000</v>
      </c>
      <c r="K10" s="7" t="n">
        <v>17100000</v>
      </c>
      <c r="L10" s="4" t="n"/>
    </row>
    <row r="11">
      <c r="A11" s="4" t="inlineStr">
        <is>
          <t>3.2</t>
        </is>
      </c>
      <c r="B11" s="4" t="inlineStr">
        <is>
          <t>Phụ trách phòng/Quyền trưởng phòng; Phó phòng; Trưởng chi nhánh</t>
        </is>
      </c>
      <c r="C11" s="4" t="inlineStr">
        <is>
          <t>M2</t>
        </is>
      </c>
      <c r="D11" s="7" t="n">
        <v>7000000</v>
      </c>
      <c r="E11" s="7" t="n">
        <v>7700000</v>
      </c>
      <c r="F11" s="7" t="n">
        <v>8500000</v>
      </c>
      <c r="G11" s="7" t="n">
        <v>9400000</v>
      </c>
      <c r="H11" s="7" t="n">
        <v>10300000</v>
      </c>
      <c r="I11" s="7" t="n">
        <v>11300000</v>
      </c>
      <c r="J11" s="7" t="n">
        <v>12400000</v>
      </c>
      <c r="K11" s="7" t="n">
        <v>13600000</v>
      </c>
      <c r="L11" s="4" t="n"/>
    </row>
    <row r="12">
      <c r="A12" s="4" t="inlineStr">
        <is>
          <t>4.1</t>
        </is>
      </c>
      <c r="B12" s="4" t="inlineStr">
        <is>
          <t>Trợ lý Giám đốc; Thư ký BLĐ; Trưởng bộ phận nghiệp vụ (điều hành/tổng đài/kỹ thuật...); Quyền trưởng Chi nhánh</t>
        </is>
      </c>
      <c r="C12" s="4" t="inlineStr">
        <is>
          <t>L1</t>
        </is>
      </c>
      <c r="D12" s="7" t="n">
        <v>6400000</v>
      </c>
      <c r="E12" s="7" t="n">
        <v>7000000</v>
      </c>
      <c r="F12" s="7" t="n">
        <v>7600000</v>
      </c>
      <c r="G12" s="7" t="n">
        <v>8300000</v>
      </c>
      <c r="H12" s="7" t="n">
        <v>9000000</v>
      </c>
      <c r="I12" s="7" t="n">
        <v>9800000</v>
      </c>
      <c r="J12" s="7" t="n">
        <v>10700000</v>
      </c>
      <c r="K12" s="7" t="n">
        <v>11700000</v>
      </c>
      <c r="L12" s="4" t="n"/>
    </row>
    <row r="13">
      <c r="A13" s="4" t="inlineStr">
        <is>
          <t>4.2</t>
        </is>
      </c>
      <c r="B13" s="4" t="inlineStr">
        <is>
          <t>Quyền trưởng bộ phận; Trưởng nhóm nghiệp vụ (giám sát/pháp chế/đào tạo/nhân sự/kế toán/kinh doanh/xưởng...); Trưởng đại diện VPKD</t>
        </is>
      </c>
      <c r="C13" s="4" t="inlineStr">
        <is>
          <t>L2</t>
        </is>
      </c>
      <c r="D13" s="7" t="n">
        <v>6000000</v>
      </c>
      <c r="E13" s="7" t="n">
        <v>6500000</v>
      </c>
      <c r="F13" s="7" t="n">
        <v>7000000</v>
      </c>
      <c r="G13" s="7" t="n">
        <v>7600000</v>
      </c>
      <c r="H13" s="7" t="n">
        <v>8200000</v>
      </c>
      <c r="I13" s="7" t="n">
        <v>8900000</v>
      </c>
      <c r="J13" s="7" t="n">
        <v>9600000</v>
      </c>
      <c r="K13" s="7" t="n">
        <v>10400000</v>
      </c>
      <c r="L13" s="4" t="n"/>
    </row>
    <row r="14">
      <c r="A14" s="4" t="inlineStr">
        <is>
          <t>5.1</t>
        </is>
      </c>
      <c r="B14" s="4" t="inlineStr">
        <is>
          <t>Chuyên viên/NV nghiệp vụ khối văn phòng (marketing/HCNS/kế toán/QLPT); Giám sát tuân thủ; Điều hành khách và hàng; Trưởng ca Tổng đài; Trưởng bưu cục; Quản lý vùng (KD); Tổ trưởng/phó; Cố vấn dịch vụ; Thợ chính; Thủ kho</t>
        </is>
      </c>
      <c r="C14" s="4" t="inlineStr">
        <is>
          <t>E1</t>
        </is>
      </c>
      <c r="D14" s="7" t="n">
        <v>5700000</v>
      </c>
      <c r="E14" s="7" t="n">
        <v>6100000</v>
      </c>
      <c r="F14" s="7" t="n">
        <v>6500000</v>
      </c>
      <c r="G14" s="7" t="n">
        <v>6900000</v>
      </c>
      <c r="H14" s="7" t="n">
        <v>7300000</v>
      </c>
      <c r="I14" s="7" t="n">
        <v>7800000</v>
      </c>
      <c r="J14" s="7" t="n">
        <v>8300000</v>
      </c>
      <c r="K14" s="7" t="n">
        <v>8800000</v>
      </c>
      <c r="L14" s="7" t="n">
        <v>9400000</v>
      </c>
    </row>
    <row r="15">
      <c r="A15" s="4" t="inlineStr">
        <is>
          <t>5.3</t>
        </is>
      </c>
      <c r="B15" s="4" t="inlineStr">
        <is>
          <t>NV phục vụ (tổng đài/kinh doanh/giám sát CLDV/điều hành-giám sát điểm hàng hóa/điều phối hàng và khách/lái xe/thợ kỹ thuật/NV kho); NV thừa hành (lễ tân tỉnh/tạp vụ/bảo vệ/bốc xếp/rửa xe/cấp dưỡng/chăm sóc cây cảnh...)</t>
        </is>
      </c>
      <c r="C15" s="4" t="inlineStr">
        <is>
          <t>E2</t>
        </is>
      </c>
      <c r="D15" s="7" t="n">
        <v>5310000</v>
      </c>
      <c r="E15" s="7" t="n">
        <v>5580000</v>
      </c>
      <c r="F15" s="7" t="n">
        <v>5860000</v>
      </c>
      <c r="G15" s="7" t="n">
        <v>6150000</v>
      </c>
      <c r="H15" s="7" t="n">
        <v>6460000</v>
      </c>
      <c r="I15" s="7" t="n">
        <v>6780000</v>
      </c>
      <c r="J15" s="7" t="n">
        <v>7120000</v>
      </c>
      <c r="K15" s="7" t="n">
        <v>7480000</v>
      </c>
      <c r="L15" s="7" t="n">
        <v>7850000</v>
      </c>
    </row>
    <row r="17">
      <c r="A17" s="6" t="inlineStr">
        <is>
          <t>Ghi chú: bảng gốc có mục 5.2 bị nhảy số trong PDF (có thể 1 dòng đã bị gộp/xóa khi soạn thảo) — chỉ có 5.1 và 5.3, không có 5.2 riêng. Cần hỏi lại khách hàng nếu cần đủ mục 5.2.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pane ySplit="26" topLeftCell="A27" activePane="bottomLeft" state="frozen"/>
      <selection pane="bottomLeft" activeCell="A1" sqref="A1"/>
    </sheetView>
  </sheetViews>
  <sheetFormatPr baseColWidth="8" defaultRowHeight="15"/>
  <cols>
    <col width="6" customWidth="1" min="1" max="1"/>
    <col width="12" customWidth="1" min="2" max="2"/>
    <col width="20" customWidth="1" min="3" max="3"/>
    <col width="18" customWidth="1" min="4" max="4"/>
    <col width="14" customWidth="1" min="5" max="5"/>
    <col width="22" customWidth="1" min="6" max="6"/>
  </cols>
  <sheetData>
    <row r="1">
      <c r="A1" s="5" t="inlineStr">
        <is>
          <t>Định mức lương cứng / TN QLPT / mức doanh thu theo tải trọng — QĐ 206/2026/QĐ-X.E Phụ lục 1 (01/04/2026)</t>
        </is>
      </c>
    </row>
    <row r="3">
      <c r="A3" s="3" t="inlineStr">
        <is>
          <t>TT</t>
        </is>
      </c>
      <c r="B3" s="3" t="inlineStr">
        <is>
          <t>Phân loại tải trọng xe</t>
        </is>
      </c>
      <c r="C3" s="3" t="inlineStr">
        <is>
          <t>Lương cứng</t>
        </is>
      </c>
      <c r="D3" s="3" t="inlineStr">
        <is>
          <t>Lương TN QLPT</t>
        </is>
      </c>
      <c r="E3" s="3" t="inlineStr">
        <is>
          <t>Mức 1 - DT hỗ trợ</t>
        </is>
      </c>
      <c r="F3" s="3" t="inlineStr">
        <is>
          <t>Mức 2 - DT mục tiêu</t>
        </is>
      </c>
    </row>
    <row r="4">
      <c r="A4" s="4" t="n">
        <v>1</v>
      </c>
      <c r="B4" s="4" t="inlineStr">
        <is>
          <t>Xe 01-&lt;02 tấn</t>
        </is>
      </c>
      <c r="C4" s="7" t="n">
        <v>7500000</v>
      </c>
      <c r="D4" s="7" t="n">
        <v>2200000</v>
      </c>
      <c r="E4" s="7" t="n">
        <v>27000000</v>
      </c>
      <c r="F4" s="4" t="n">
        <v>32000000</v>
      </c>
    </row>
    <row r="5">
      <c r="A5" s="4" t="n">
        <v>2</v>
      </c>
      <c r="B5" s="4" t="inlineStr">
        <is>
          <t>Xe 01-&lt;02 tấn (lạnh)</t>
        </is>
      </c>
      <c r="C5" s="7" t="n">
        <v>7500000</v>
      </c>
      <c r="D5" s="7" t="n">
        <v>2500000</v>
      </c>
      <c r="E5" s="7" t="n">
        <v>30000000</v>
      </c>
      <c r="F5" s="4" t="n">
        <v>36000000</v>
      </c>
    </row>
    <row r="6">
      <c r="A6" s="4" t="n">
        <v>3</v>
      </c>
      <c r="B6" s="4" t="inlineStr">
        <is>
          <t>Xe 02-&lt;3,5 tấn</t>
        </is>
      </c>
      <c r="C6" s="7" t="n">
        <v>7800000</v>
      </c>
      <c r="D6" s="7" t="n">
        <v>2500000</v>
      </c>
      <c r="E6" s="7" t="n">
        <v>35000000</v>
      </c>
      <c r="F6" s="4" t="n">
        <v>41000000</v>
      </c>
    </row>
    <row r="7">
      <c r="A7" s="4" t="n">
        <v>4</v>
      </c>
      <c r="B7" s="4" t="inlineStr">
        <is>
          <t>Xe 02-&lt;3,5 tấn (lạnh)</t>
        </is>
      </c>
      <c r="C7" s="7" t="n">
        <v>7800000</v>
      </c>
      <c r="D7" s="7" t="n">
        <v>2800000</v>
      </c>
      <c r="E7" s="7" t="n">
        <v>38000000</v>
      </c>
      <c r="F7" s="4" t="n">
        <v>48000000</v>
      </c>
    </row>
    <row r="8">
      <c r="A8" s="4" t="n">
        <v>5</v>
      </c>
      <c r="B8" s="4" t="inlineStr">
        <is>
          <t>Xe 3,5-&lt;05 tấn</t>
        </is>
      </c>
      <c r="C8" s="7" t="n">
        <v>8000000</v>
      </c>
      <c r="D8" s="7" t="n">
        <v>2800000</v>
      </c>
      <c r="E8" s="7" t="n">
        <v>42000000</v>
      </c>
      <c r="F8" s="4" t="n">
        <v>52000000</v>
      </c>
    </row>
    <row r="9">
      <c r="A9" s="4" t="n">
        <v>6</v>
      </c>
      <c r="B9" s="4" t="inlineStr">
        <is>
          <t>Xe 3,5-&lt;05 tấn (lạnh)</t>
        </is>
      </c>
      <c r="C9" s="7" t="n">
        <v>8000000</v>
      </c>
      <c r="D9" s="7" t="n">
        <v>3100000</v>
      </c>
      <c r="E9" s="7" t="n">
        <v>46000000</v>
      </c>
      <c r="F9" s="4" t="n">
        <v>60000000</v>
      </c>
    </row>
    <row r="10">
      <c r="A10" s="4" t="n">
        <v>7</v>
      </c>
      <c r="B10" s="4" t="inlineStr">
        <is>
          <t>Xe 05-6,5 tấn</t>
        </is>
      </c>
      <c r="C10" s="7" t="n">
        <v>8500000</v>
      </c>
      <c r="D10" s="7" t="n">
        <v>3000000</v>
      </c>
      <c r="E10" s="7" t="n">
        <v>50000000</v>
      </c>
      <c r="F10" s="4" t="n">
        <v>63000000</v>
      </c>
    </row>
    <row r="11">
      <c r="A11" s="4" t="n">
        <v>8</v>
      </c>
      <c r="B11" s="4" t="inlineStr">
        <is>
          <t>Xe 05-6,5 tấn (lạnh)</t>
        </is>
      </c>
      <c r="C11" s="7" t="n">
        <v>8500000</v>
      </c>
      <c r="D11" s="7" t="n">
        <v>3300000</v>
      </c>
      <c r="E11" s="7" t="n">
        <v>55000000</v>
      </c>
      <c r="F11" s="4" t="n">
        <v>72000000</v>
      </c>
    </row>
    <row r="12">
      <c r="A12" s="4" t="n">
        <v>9</v>
      </c>
      <c r="B12" s="4" t="inlineStr">
        <is>
          <t>Xe &gt;6,5-&lt;08 tấn</t>
        </is>
      </c>
      <c r="C12" s="7" t="n">
        <v>9000000</v>
      </c>
      <c r="D12" s="7" t="n">
        <v>3500000</v>
      </c>
      <c r="E12" s="7" t="n">
        <v>55000000</v>
      </c>
      <c r="F12" s="4" t="n">
        <v>76000000</v>
      </c>
    </row>
    <row r="13">
      <c r="A13" s="4" t="n">
        <v>10</v>
      </c>
      <c r="B13" s="4" t="inlineStr">
        <is>
          <t>Xe &gt;6,5-&lt;08 tấn (lạnh)</t>
        </is>
      </c>
      <c r="C13" s="7" t="n">
        <v>9000000</v>
      </c>
      <c r="D13" s="7" t="n">
        <v>3800000</v>
      </c>
      <c r="E13" s="7" t="n">
        <v>60000000</v>
      </c>
      <c r="F13" s="4" t="n">
        <v>85000000</v>
      </c>
    </row>
    <row r="14">
      <c r="A14" s="4" t="n">
        <v>11</v>
      </c>
      <c r="B14" s="4" t="inlineStr">
        <is>
          <t>Xe 08-10 tấn</t>
        </is>
      </c>
      <c r="C14" s="7" t="n">
        <v>9500000</v>
      </c>
      <c r="D14" s="7" t="n">
        <v>3700000</v>
      </c>
      <c r="E14" s="7" t="n">
        <v>62000000</v>
      </c>
      <c r="F14" s="4" t="n">
        <v>88000000</v>
      </c>
    </row>
    <row r="15">
      <c r="A15" s="4" t="n">
        <v>12</v>
      </c>
      <c r="B15" s="4" t="inlineStr">
        <is>
          <t>Xe 08-10 tấn (lạnh)</t>
        </is>
      </c>
      <c r="C15" s="7" t="n">
        <v>9500000</v>
      </c>
      <c r="D15" s="7" t="n">
        <v>4000000</v>
      </c>
      <c r="E15" s="7" t="n">
        <v>70000000</v>
      </c>
      <c r="F15" s="4" t="n">
        <v>99000000</v>
      </c>
    </row>
    <row r="16">
      <c r="A16" s="4" t="n">
        <v>13</v>
      </c>
      <c r="B16" s="4" t="inlineStr">
        <is>
          <t>Xe &gt;10-15 tấn</t>
        </is>
      </c>
      <c r="C16" s="7" t="n">
        <v>10000000</v>
      </c>
      <c r="D16" s="7" t="n">
        <v>4000000</v>
      </c>
      <c r="E16" s="7" t="n">
        <v>72000000</v>
      </c>
      <c r="F16" s="4" t="n">
        <v>105000000</v>
      </c>
    </row>
    <row r="17">
      <c r="A17" s="4" t="n">
        <v>14</v>
      </c>
      <c r="B17" s="4" t="inlineStr">
        <is>
          <t>Xe &gt;10-15 tấn (lạnh)</t>
        </is>
      </c>
      <c r="C17" s="7" t="n">
        <v>10000000</v>
      </c>
      <c r="D17" s="7" t="n">
        <v>4300000</v>
      </c>
      <c r="E17" s="7" t="n">
        <v>82000000</v>
      </c>
      <c r="F17" s="4" t="n">
        <v>123000000</v>
      </c>
    </row>
    <row r="18">
      <c r="A18" s="4" t="n">
        <v>15</v>
      </c>
      <c r="B18" s="4" t="inlineStr">
        <is>
          <t>Xe &gt;15-20 tấn</t>
        </is>
      </c>
      <c r="C18" s="7" t="n">
        <v>10500000</v>
      </c>
      <c r="D18" s="7" t="n">
        <v>4300000</v>
      </c>
      <c r="E18" s="7" t="n">
        <v>85000000</v>
      </c>
      <c r="F18" s="4" t="n">
        <v>125000000</v>
      </c>
    </row>
    <row r="19">
      <c r="A19" s="4" t="n">
        <v>16</v>
      </c>
      <c r="B19" s="4" t="inlineStr">
        <is>
          <t>Xe &gt;15-20 tấn (lạnh)</t>
        </is>
      </c>
      <c r="C19" s="7" t="n">
        <v>10500000</v>
      </c>
      <c r="D19" s="7" t="n">
        <v>4600000</v>
      </c>
      <c r="E19" s="7" t="n">
        <v>95000000</v>
      </c>
      <c r="F19" s="4" t="n">
        <v>145000000</v>
      </c>
    </row>
    <row r="20">
      <c r="A20" s="4" t="n">
        <v>17</v>
      </c>
      <c r="B20" s="4" t="inlineStr">
        <is>
          <t>Đầu kéo container (nóng)</t>
        </is>
      </c>
      <c r="C20" s="7" t="n">
        <v>11500000</v>
      </c>
      <c r="D20" s="7" t="n">
        <v>4800000</v>
      </c>
      <c r="E20" s="7" t="n">
        <v>65000000</v>
      </c>
      <c r="F20" s="4" t="inlineStr">
        <is>
          <t>(ăn theo DT thực tế &gt;65tr)</t>
        </is>
      </c>
    </row>
    <row r="21">
      <c r="A21" s="4" t="n">
        <v>18</v>
      </c>
      <c r="B21" s="4" t="inlineStr">
        <is>
          <t>Đầu kéo container (lạnh)</t>
        </is>
      </c>
      <c r="C21" s="7" t="n">
        <v>12500000</v>
      </c>
      <c r="D21" s="7" t="n">
        <v>5200000</v>
      </c>
      <c r="E21" s="7" t="n">
        <v>75000000</v>
      </c>
      <c r="F21" s="4" t="inlineStr">
        <is>
          <t>(ăn theo DT thực tế &gt;75tr)</t>
        </is>
      </c>
    </row>
    <row r="22">
      <c r="A22" s="4" t="n">
        <v>19</v>
      </c>
      <c r="B22" s="4" t="inlineStr">
        <is>
          <t>Xe tải trung chuyển logistic</t>
        </is>
      </c>
      <c r="C22" s="7" t="n">
        <v>7800000</v>
      </c>
      <c r="D22" s="7" t="n">
        <v>2800000</v>
      </c>
      <c r="E22" s="4" t="n"/>
      <c r="F22" s="4" t="n"/>
    </row>
    <row r="24">
      <c r="A24" s="5" t="inlineStr">
        <is>
          <t>Định mức khoán nhiên liệu theo dòng xe — TB 17/2026/TB-X.EVN (01/04/2026)</t>
        </is>
      </c>
    </row>
    <row r="26">
      <c r="A26" s="3" t="inlineStr">
        <is>
          <t>STT</t>
        </is>
      </c>
      <c r="B26" s="3" t="inlineStr">
        <is>
          <t>Nhóm xe</t>
        </is>
      </c>
      <c r="C26" s="3" t="inlineStr">
        <is>
          <t>Loại xe cụ thể</t>
        </is>
      </c>
      <c r="D26" s="3" t="inlineStr">
        <is>
          <t>Mức khoán (L/100km)</t>
        </is>
      </c>
      <c r="E26" s="3" t="inlineStr">
        <is>
          <t>Ghi chú</t>
        </is>
      </c>
    </row>
    <row r="27">
      <c r="A27" s="4" t="n">
        <v>1</v>
      </c>
      <c r="B27" s="4" t="inlineStr">
        <is>
          <t>2.5T</t>
        </is>
      </c>
      <c r="C27" s="4" t="inlineStr">
        <is>
          <t>QKR 2.5T</t>
        </is>
      </c>
      <c r="D27" s="4" t="n">
        <v>8</v>
      </c>
      <c r="E27" s="4" t="inlineStr">
        <is>
          <t>Hàng Nóng</t>
        </is>
      </c>
    </row>
    <row r="28">
      <c r="A28" s="4" t="n">
        <v>2</v>
      </c>
      <c r="B28" s="4" t="inlineStr">
        <is>
          <t>2.5T</t>
        </is>
      </c>
      <c r="C28" s="4" t="inlineStr">
        <is>
          <t>QKR 2.5T</t>
        </is>
      </c>
      <c r="D28" s="4" t="n">
        <v>10</v>
      </c>
      <c r="E28" s="4" t="inlineStr">
        <is>
          <t>Hàng Lạnh</t>
        </is>
      </c>
    </row>
    <row r="29">
      <c r="A29" s="4" t="n">
        <v>3</v>
      </c>
      <c r="B29" s="4" t="inlineStr">
        <is>
          <t>3.5T</t>
        </is>
      </c>
      <c r="C29" s="4" t="inlineStr">
        <is>
          <t>NPR 3.5T</t>
        </is>
      </c>
      <c r="D29" s="4" t="n">
        <v>9.5</v>
      </c>
      <c r="E29" s="4" t="inlineStr">
        <is>
          <t>Hàng Nóng</t>
        </is>
      </c>
    </row>
    <row r="30">
      <c r="A30" s="4" t="n">
        <v>4</v>
      </c>
      <c r="B30" s="4" t="inlineStr">
        <is>
          <t>3.5T</t>
        </is>
      </c>
      <c r="C30" s="4" t="inlineStr">
        <is>
          <t>NPR 3.5T</t>
        </is>
      </c>
      <c r="D30" s="4" t="n">
        <v>11.5</v>
      </c>
      <c r="E30" s="4" t="inlineStr">
        <is>
          <t>Hàng Lạnh</t>
        </is>
      </c>
    </row>
    <row r="31">
      <c r="A31" s="4" t="n">
        <v>5</v>
      </c>
      <c r="B31" s="4" t="inlineStr">
        <is>
          <t>5.5T</t>
        </is>
      </c>
      <c r="C31" s="4" t="inlineStr">
        <is>
          <t>FRR 5.5T</t>
        </is>
      </c>
      <c r="D31" s="4" t="n">
        <v>12</v>
      </c>
      <c r="E31" s="4" t="inlineStr"/>
    </row>
    <row r="32">
      <c r="A32" s="4" t="n">
        <v>6</v>
      </c>
      <c r="B32" s="4" t="inlineStr">
        <is>
          <t>6.5T</t>
        </is>
      </c>
      <c r="C32" s="4" t="inlineStr">
        <is>
          <t>FRR650</t>
        </is>
      </c>
      <c r="D32" s="4" t="n">
        <v>13</v>
      </c>
      <c r="E32" s="4" t="inlineStr"/>
    </row>
    <row r="33">
      <c r="A33" s="4" t="n">
        <v>7</v>
      </c>
      <c r="B33" s="4" t="inlineStr">
        <is>
          <t>8T</t>
        </is>
      </c>
      <c r="C33" s="4" t="inlineStr">
        <is>
          <t>Hino / Isuzu</t>
        </is>
      </c>
      <c r="D33" s="4" t="n">
        <v>19</v>
      </c>
      <c r="E33" s="4" t="inlineStr"/>
    </row>
    <row r="34">
      <c r="A34" s="4" t="n">
        <v>8</v>
      </c>
      <c r="B34" s="4" t="inlineStr">
        <is>
          <t>8T</t>
        </is>
      </c>
      <c r="C34" s="4" t="inlineStr">
        <is>
          <t>Chenglong</t>
        </is>
      </c>
      <c r="D34" s="4" t="n">
        <v>18.5</v>
      </c>
      <c r="E34" s="4" t="inlineStr"/>
    </row>
    <row r="35">
      <c r="A35" s="4" t="n">
        <v>9</v>
      </c>
      <c r="B35" s="4" t="inlineStr">
        <is>
          <t>15T</t>
        </is>
      </c>
      <c r="C35" s="4" t="inlineStr">
        <is>
          <t>FVM 15T</t>
        </is>
      </c>
      <c r="D35" s="4" t="n">
        <v>21</v>
      </c>
      <c r="E35" s="4" t="inlineStr"/>
    </row>
    <row r="36">
      <c r="A36" s="4" t="n">
        <v>10</v>
      </c>
      <c r="B36" s="4" t="inlineStr">
        <is>
          <t>Đầu kéo</t>
        </is>
      </c>
      <c r="C36" s="4" t="inlineStr">
        <is>
          <t>Container</t>
        </is>
      </c>
      <c r="D36" s="4" t="n">
        <v>33</v>
      </c>
      <c r="E36"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ySplit="3" topLeftCell="A4" activePane="bottomLeft" state="frozen"/>
      <selection pane="bottomLeft" activeCell="A1" sqref="A1"/>
    </sheetView>
  </sheetViews>
  <sheetFormatPr baseColWidth="8" defaultRowHeight="15"/>
  <cols>
    <col width="5" customWidth="1" min="1" max="1"/>
    <col width="38" customWidth="1" min="2" max="2"/>
    <col width="38" customWidth="1" min="3" max="3"/>
    <col width="30" customWidth="1" min="4" max="4"/>
    <col width="10" customWidth="1" min="5" max="5"/>
    <col width="34" customWidth="1" min="6" max="6"/>
    <col width="34" customWidth="1" min="7" max="7"/>
  </cols>
  <sheetData>
    <row r="1">
      <c r="A1" s="8" t="inlineStr">
        <is>
          <t>19 câu hỏi làm rõ + câu trả lời sponsor — GIỮ NGUYÊN từ file cũ (logic nghiệp vụ vẫn đúng, không phụ thuộc số liệu bịa)</t>
        </is>
      </c>
    </row>
    <row r="3">
      <c r="A3" s="9" t="inlineStr">
        <is>
          <t>#</t>
        </is>
      </c>
      <c r="B3" s="9" t="inlineStr">
        <is>
          <t>Câu hỏi làm rõ nghiệp vụ</t>
        </is>
      </c>
      <c r="C3" s="9" t="inlineStr">
        <is>
          <t>Phát hiện mâu thuẫn / Mập mờ</t>
        </is>
      </c>
      <c r="D3" s="9" t="inlineStr">
        <is>
          <t>Ảnh hưởng đến hệ thống</t>
        </is>
      </c>
      <c r="E3" s="9" t="inlineStr">
        <is>
          <t>Độ ưu tiên</t>
        </is>
      </c>
      <c r="F3" s="9" t="inlineStr">
        <is>
          <t>Sponsor's Answer (Điền vào đây)</t>
        </is>
      </c>
      <c r="G3" s="9" t="inlineStr">
        <is>
          <t>Ghi chú thêm từ PM</t>
        </is>
      </c>
    </row>
    <row r="4">
      <c r="A4" s="4" t="n">
        <v>1</v>
      </c>
      <c r="B4" s="4" t="inlineStr">
        <is>
          <t>Ca làm việc (Schedule): Mã ca 'S'/'HC' dùng chung hay riêng từng tỉnh?</t>
        </is>
      </c>
      <c r="C4" s="4" t="inlineStr">
        <is>
          <t>Mã 'HC' ở VP HN làm 8h30-17h30 (8h công), nhưng ở VP Nam Định làm 7h30-17h00. Nếu dùng chung mã sẽ sai giờ chấm công.</t>
        </is>
      </c>
      <c r="D4" s="4" t="inlineStr">
        <is>
          <t>Sai công chuẩn và tiền phạt đi muộn/về sớm của từng chi nhánh</t>
        </is>
      </c>
      <c r="E4" s="4" t="inlineStr">
        <is>
          <t>HIGH</t>
        </is>
      </c>
      <c r="F4" s="4" t="inlineStr">
        <is>
          <t>dùng riêng từng tenant</t>
        </is>
      </c>
      <c r="G4" s="4" t="inlineStr">
        <is>
          <t>Cần chốt: Tách mã ca theo tỉnh (HC_HN, HC_ND) hay cho phép override khung giờ theo Worksite?</t>
        </is>
      </c>
    </row>
    <row r="5">
      <c r="A5" s="4" t="n">
        <v>2</v>
      </c>
      <c r="B5" s="4" t="inlineStr">
        <is>
          <t>KPI 1500 vs 1731 trong bảng lương Tổng đài hành khách khác nhau ra sao?</t>
        </is>
      </c>
      <c r="C5" s="4" t="inlineStr">
        <is>
          <t>Trong file Đánh giá KPI T5.2026 có 2 cột chỉ số: KPI_1500 và KPI_1731 với mức thưởng chênh lệch 15%.</t>
        </is>
      </c>
      <c r="D5" s="4" t="inlineStr">
        <is>
          <t>Công thức tính thưởng TĐHK bị sai nếu chọn lầm cột KPI</t>
        </is>
      </c>
      <c r="E5" s="4" t="inlineStr">
        <is>
          <t>HIGH</t>
        </is>
      </c>
      <c r="F5" s="4" t="inlineStr">
        <is>
          <t>nó sẽ là 2 kpi khác nhau, có thể là nó cùng 1 loại kpi hoặc nhóm kpi, đọc kĩ ý nghĩa</t>
        </is>
      </c>
      <c r="G5" s="4" t="inlineStr">
        <is>
          <t>Cần chốt: KPI 1500 áp dụng cho ca đêm hay ca ngày thường?</t>
        </is>
      </c>
    </row>
    <row r="6">
      <c r="A6" s="4" t="n">
        <v>3</v>
      </c>
      <c r="B6" s="4" t="inlineStr">
        <is>
          <t>Đơn giá lượt LX Tuyến Hà Nội - Việt Trì áp dụng mốc thời gian nào?</t>
        </is>
      </c>
      <c r="C6" s="4" t="inlineStr">
        <is>
          <t>Đề xuất đơn giá ghi áp dụng từ 01/07/2025 nhưng Bảng lương T5.2026 vẫn áp dụng đơn giá cũ của Quy chế 2023.</t>
        </is>
      </c>
      <c r="D6" s="4" t="inlineStr">
        <is>
          <t>Chênh lệch tiền lương lượt LX Tuyến Việt Trì ~8%</t>
        </is>
      </c>
      <c r="E6" s="4" t="inlineStr">
        <is>
          <t>MEDIUM</t>
        </is>
      </c>
      <c r="F6" s="4" t="inlineStr">
        <is>
          <t>dùng đơn giá từ 01/07/2025</t>
        </is>
      </c>
      <c r="G6" s="4" t="inlineStr">
        <is>
          <t>Cần chốt: Dùng đơn giá cũ hay truy thu theo đơn giá mới từ 01/07/2025?</t>
        </is>
      </c>
    </row>
    <row r="7">
      <c r="A7" s="4" t="n">
        <v>4</v>
      </c>
      <c r="B7" s="4" t="inlineStr">
        <is>
          <t>Chi phí sửa chữa xe đền bù trừ vào lương tối đa bao nhiêu % thực lĩnh?</t>
        </is>
      </c>
      <c r="C7" s="4" t="inlineStr">
        <is>
          <t>File 'Chia CPSC T6.2026' có trường hợp lái xe bị trừ 4.500.000đ (&gt;50% thu nhập tháng).</t>
        </is>
      </c>
      <c r="D7" s="4" t="inlineStr">
        <is>
          <t>Vi phạm Luật Lao động nếu trừ quá 30% lương thực lĩnh/tháng</t>
        </is>
      </c>
      <c r="E7" s="4" t="inlineStr">
        <is>
          <t>MEDIUM</t>
        </is>
      </c>
      <c r="F7" s="4" t="inlineStr">
        <is>
          <t>trần khấu trừ hàng tháng phải cấu hình theo từng công ty</t>
        </is>
      </c>
      <c r="G7" s="4" t="inlineStr">
        <is>
          <t>Cần chốt: Giới hạn trần khấu trừ 30%/tháng và treo nợ phần còn lại sang tháng sau?</t>
        </is>
      </c>
    </row>
    <row r="8">
      <c r="A8" s="4" t="n">
        <v>5</v>
      </c>
      <c r="B8" s="4" t="inlineStr">
        <is>
          <t>Mức phụ cấp ăn ca VP Tỉnh 30k/ngày có bao gồm ngày làm thêm giờ không?</t>
        </is>
      </c>
      <c r="C8" s="4" t="inlineStr">
        <is>
          <t>QC VP Nam Định ghi 30k/ngày công thực tế, không ghi rõ ngày OT làm &gt;4h có được +30k nữa không.</t>
        </is>
      </c>
      <c r="D8" s="4" t="inlineStr">
        <is>
          <t>Tính thiếu phụ cấp ăn ca khi OT</t>
        </is>
      </c>
      <c r="E8" s="4" t="inlineStr">
        <is>
          <t>LOW</t>
        </is>
      </c>
      <c r="F8" s="4" t="inlineStr">
        <is>
          <t>có, nhưng vẫn phrai cấu hình ở cài đặt</t>
        </is>
      </c>
      <c r="G8" s="4" t="inlineStr">
        <is>
          <t>Cần chốt: OT &gt;4h có được cộng 1 suất ăn ca nữa không?</t>
        </is>
      </c>
    </row>
    <row r="9">
      <c r="A9" s="4" t="n">
        <v>6</v>
      </c>
      <c r="B9" s="4" t="inlineStr">
        <is>
          <t>Thưởng chuyển phát nhanh (CPN) cho LX Tuyến tính theo gói hay % doanh thu CPN?</t>
        </is>
      </c>
      <c r="C9" s="4" t="inlineStr">
        <is>
          <t>File 'DLL CPN T6.26' ghi số tiền tròn (200k, 350k) không có công thức tính chi tiết.</t>
        </is>
      </c>
      <c r="D9" s="4" t="inlineStr">
        <is>
          <t>Không tự động hóa được công thức tính thưởng CPN</t>
        </is>
      </c>
      <c r="E9" s="4" t="inlineStr">
        <is>
          <t>MEDIUM</t>
        </is>
      </c>
      <c r="F9" s="4" t="inlineStr">
        <is>
          <t>phải theo chính sách trong file pdf có rất nheiefu chính sách mà, phải có cấu hình nhóm chính sách, chính sách rồi, mức áp dụng chính sách, loại giá trị áp dụng, đối tượng áp dụng</t>
        </is>
      </c>
      <c r="G9" s="4" t="inlineStr">
        <is>
          <t>Cần chốt: CPN nhập file tay hàng tháng hay có công thức cố định?</t>
        </is>
      </c>
    </row>
    <row r="10">
      <c r="A10" s="4" t="n">
        <v>7</v>
      </c>
      <c r="B10" s="4" t="inlineStr">
        <is>
          <t>Phụ cấp ca đêm LX Tuyến (QĐ 753) áp dụng từ khung giờ nào?</t>
        </is>
      </c>
      <c r="C10" s="4" t="inlineStr">
        <is>
          <t>QĐ 753 ghi 'chuyến xe chạy đêm', không ghi rõ từ mấy giờ (21h? 22h? 0h?).</t>
        </is>
      </c>
      <c r="D10" s="4" t="inlineStr">
        <is>
          <t>Tranh chấp tiền phụ cấp ca đêm giữa các lái xe kíp B và kíp Đêm</t>
        </is>
      </c>
      <c r="E10" s="4" t="inlineStr">
        <is>
          <t>MEDIUM</t>
        </is>
      </c>
      <c r="F10" s="4" t="inlineStr">
        <is>
          <t>phải theo cấu hình trong cài đặt, nếu cài đặt chưa có thì phải thêm</t>
        </is>
      </c>
      <c r="G10" s="4" t="inlineStr">
        <is>
          <t>Cần chốt: Khung giờ tính ca đêm là 21h00 - 5h00 hay 22h00 - 6h00?</t>
        </is>
      </c>
    </row>
    <row r="11">
      <c r="A11" s="4" t="n">
        <v>8</v>
      </c>
      <c r="B11" s="4" t="inlineStr">
        <is>
          <t>Khoán nhiên liệu xe tải: Xử lý phần vượt khoán do sự cố tắc đường/thời tiết?</t>
        </is>
      </c>
      <c r="C11" s="4" t="inlineStr">
        <is>
          <t>Thông báo khoán NL ghi phạt 100% phần vượt khoán, nhưng có biên bản trình bãi bỏ phạt tháng 5.</t>
        </is>
      </c>
      <c r="D11" s="4" t="inlineStr">
        <is>
          <t>Gây chênh lệch giữa bảng lương dự thảo và bảng lương chốt</t>
        </is>
      </c>
      <c r="E11" s="4" t="inlineStr">
        <is>
          <t>LOW</t>
        </is>
      </c>
      <c r="F11" s="4" t="inlineStr">
        <is>
          <t>có, cơ chế này sẽ được cấu hình từ xbos</t>
        </is>
      </c>
      <c r="G11" s="4" t="inlineStr">
        <is>
          <t>Cần chốt: Có cơ chế phê duyệt ngoại lệ (override) miễn phạt vượt khoán NL không?</t>
        </is>
      </c>
    </row>
    <row r="12">
      <c r="A12" s="4" t="n">
        <v>9</v>
      </c>
      <c r="B12" s="4" t="inlineStr">
        <is>
          <t>Thưởng chuyên cần LX Tuyến (QĐ 169): '0 bản tin' thưởng bao nhiêu VNĐ?</t>
        </is>
      </c>
      <c r="C12" s="4" t="inlineStr">
        <is>
          <t>QĐ 169 ghi 'Thưởng chuyên cần cho LX không có bản tin phản ánh', nhưng ô số tiền thưởng để trống.</t>
        </is>
      </c>
      <c r="D12" s="4" t="inlineStr">
        <is>
          <t>Không thể cấu hình mức tiền thưởng chuyên cần vào hệ thống</t>
        </is>
      </c>
      <c r="E12" s="4" t="inlineStr">
        <is>
          <t>HIGH</t>
        </is>
      </c>
      <c r="F12" s="4" t="inlineStr">
        <is>
          <t>phải cấu hình được nó chỉ là danh mục</t>
        </is>
      </c>
      <c r="G12" s="4" t="inlineStr">
        <is>
          <t>Cần chốt: Cho xin mức tiền cụ thể (ví dụ: 500.000đ/tháng?).</t>
        </is>
      </c>
    </row>
    <row r="13">
      <c r="A13" s="4" t="n">
        <v>10</v>
      </c>
      <c r="B13" s="4" t="inlineStr">
        <is>
          <t>Lái xe tăng cường Yên Bái dài ngày: Tính lương theo đơn giá lượt hay lương khoán tháng?</t>
        </is>
      </c>
      <c r="C13" s="4" t="inlineStr">
        <is>
          <t>Đề xuất chuyển đổi ghi chọn 1 trong 2 hình thức nhưng chưa có quyết định phê duyệt chính thức.</t>
        </is>
      </c>
      <c r="D13" s="4" t="inlineStr">
        <is>
          <t>Sai phương pháp tính lương cho 12 lái xe tăng cường</t>
        </is>
      </c>
      <c r="E13" s="4" t="inlineStr">
        <is>
          <t>MEDIUM</t>
        </is>
      </c>
      <c r="F13" s="4" t="inlineStr">
        <is>
          <t>phải cấu hình được ở cài đặt</t>
        </is>
      </c>
      <c r="G13" s="4" t="inlineStr">
        <is>
          <t>Cần chốt: Áp dụng khoán tháng 12 triệu hay tính theo lượt thực tế + phụ cấp lưu trú?</t>
        </is>
      </c>
    </row>
    <row r="14">
      <c r="A14" s="4" t="n">
        <v>11</v>
      </c>
      <c r="B14" s="4" t="inlineStr">
        <is>
          <t>Hợp đồng ngoại giao / hợp đồng khác tỉnh (QĐ 280823) do ai phê duyệt đơn giá?</t>
        </is>
      </c>
      <c r="C14" s="4" t="inlineStr">
        <is>
          <t>QĐ 280823 cho phép Trưởng phòng VTHK duyệt đơn giá riêng từng chuyến ngoại giao.</t>
        </is>
      </c>
      <c r="D14" s="4" t="inlineStr">
        <is>
          <t>Thiếu quy trình phê duyệt workflow đơn giá ngoại giao trên hệ thống</t>
        </is>
      </c>
      <c r="E14" s="4" t="inlineStr">
        <is>
          <t>LOW</t>
        </is>
      </c>
      <c r="F14" s="4" t="inlineStr">
        <is>
          <t>đã có ở xbos</t>
        </is>
      </c>
      <c r="G14" s="4" t="inlineStr">
        <is>
          <t>Cần chốt: Cần tạo Form đề xuất đơn giá ngoại giao trình CEO duyệt trước khi tính lương?</t>
        </is>
      </c>
    </row>
    <row r="15">
      <c r="A15" s="4" t="n">
        <v>12</v>
      </c>
      <c r="B15" s="4" t="inlineStr">
        <is>
          <t>Giảm trừ gia cảnh: Nhân viên làm việc tại VP Tỉnh nộp hồ sơ GTGC ở đâu?</t>
        </is>
      </c>
      <c r="C15" s="4" t="inlineStr">
        <is>
          <t>Bảng tổng hợp GTGC 2026 quản lý tập trung ở HQ Hà Nội nhưng VP Tỉnh tự nộp thuế địa phương.</t>
        </is>
      </c>
      <c r="D15" s="4" t="inlineStr">
        <is>
          <t>Rủi ro quyết toán thuế TNCN trùng lặp hoặc thiếu thông tin người phụ thuộc</t>
        </is>
      </c>
      <c r="E15" s="4" t="inlineStr">
        <is>
          <t>LOW</t>
        </is>
      </c>
      <c r="F15" s="4" t="inlineStr">
        <is>
          <t>phân quyền chi nhánh</t>
        </is>
      </c>
      <c r="G15" s="4" t="inlineStr">
        <is>
          <t>Cần chốt: Dữ liệu GTGC quản lý tập trung 1 chỗ trên HRM hay phân quyền chi nhánh?</t>
        </is>
      </c>
    </row>
    <row r="16">
      <c r="A16" s="4" t="n">
        <v>13</v>
      </c>
      <c r="B16" s="4" t="inlineStr">
        <is>
          <t>Lương thử việc khối Văn phòng Tỉnh: 85% lương ngạch hay 85% tổng thu nhập?</t>
        </is>
      </c>
      <c r="C16" s="4" t="inlineStr">
        <is>
          <t>QC VP Thái Bình ghi 85% lương chính, QC VP Ninh Bình ghi 85% tổng thu nhập khoán.</t>
        </is>
      </c>
      <c r="D16" s="4" t="inlineStr">
        <is>
          <t>Mập mờ cách tính lương thử việc giữa các chi nhánh</t>
        </is>
      </c>
      <c r="E16" s="4" t="inlineStr">
        <is>
          <t>MEDIUM</t>
        </is>
      </c>
      <c r="F16" s="4" t="inlineStr">
        <is>
          <t>chốt, nhưng phải cấu hình vì sau này có thể 100%</t>
        </is>
      </c>
      <c r="G16" s="4" t="inlineStr">
        <is>
          <t>Cần chốt: Chuẩn hóa 85% Lương ngạch bậc (P1) cho toàn bộ thử việc.</t>
        </is>
      </c>
    </row>
    <row r="17">
      <c r="A17" s="4" t="n">
        <v>14</v>
      </c>
      <c r="B17" s="4" t="inlineStr">
        <is>
          <t>Thời hạn tạm ứng lương giữa tháng của khối Lái xe và khối Văn phòng?</t>
        </is>
      </c>
      <c r="C17" s="4" t="inlineStr">
        <is>
          <t>Khối Lái xe tạm ứng ngày 15 và 25; Khối Văn phòng chỉ tạm ứng 1 lần ngày 15.</t>
        </is>
      </c>
      <c r="D17" s="4" t="inlineStr">
        <is>
          <t>Cần cấu hình 2 đợt tạm ứng riêng cho các Nhóm lương khác nhau</t>
        </is>
      </c>
      <c r="E17" s="4" t="inlineStr">
        <is>
          <t>LOW</t>
        </is>
      </c>
      <c r="F17" s="4" t="inlineStr">
        <is>
          <t>có cho phép nhưng phải cấu hình</t>
        </is>
      </c>
      <c r="G17" s="4" t="inlineStr">
        <is>
          <t>Cần chốt: Hệ thống cho phép mở nhiều đợt tạm ứng/tháng theo Payroll Group.</t>
        </is>
      </c>
    </row>
    <row r="18">
      <c r="A18" s="4" t="n">
        <v>15</v>
      </c>
      <c r="B18" s="4" t="inlineStr">
        <is>
          <t>Bổ sung Phụ lục Quy chế lương số 17.2025 (điều chỉnh bởi QĐ 127A)?</t>
        </is>
      </c>
      <c r="C18" s="4" t="inlineStr">
        <is>
          <t>QĐ 127A chỉ ghi điều chỉnh Phụ lục 17 nhưng trong file nộp chưa có file Phụ lục 17 gốc.</t>
        </is>
      </c>
      <c r="D18" s="4" t="inlineStr">
        <is>
          <t>Thiếu căn cứ ngạch bậc lương chi tiết của một số vị trí hỗ trợ</t>
        </is>
      </c>
      <c r="E18" s="4" t="inlineStr">
        <is>
          <t>HIGH</t>
        </is>
      </c>
      <c r="F18" s="4" t="inlineStr">
        <is>
          <t>cho cấu hình ở cài đặt</t>
        </is>
      </c>
      <c r="G18" s="4" t="inlineStr">
        <is>
          <t>Cần chốt: Sponsor gửi thêm file Phụ lục 17.2025.pdf.</t>
        </is>
      </c>
    </row>
    <row r="19">
      <c r="A19" s="4" t="n">
        <v>16</v>
      </c>
      <c r="B19" s="4" t="inlineStr">
        <is>
          <t>Cách tính lương ngày nghỉ lễ/Tết của Lái xe tuyến làm việc xuyên lễ?</t>
        </is>
      </c>
      <c r="C19" s="4" t="inlineStr">
        <is>
          <t>Bảng lương T5 (có lễ 1/5) tính 300% đơn giá lượt hay 300% lương ngạch ngày?</t>
        </is>
      </c>
      <c r="D19" s="4" t="inlineStr">
        <is>
          <t>Chênh lệch chi phí lương ngày lễ rất lớn</t>
        </is>
      </c>
      <c r="E19" s="4" t="inlineStr">
        <is>
          <t>MEDIUM</t>
        </is>
      </c>
      <c r="F19" s="4" t="inlineStr">
        <is>
          <t>trên lương ngạch, nhưng trong 300% đó thì bao nhiêu % chịu thuế và gồm có những thuế gì, 300% hay 1000% thì cũng phải cho cáu hình cài đặt</t>
        </is>
      </c>
      <c r="G19" s="4" t="inlineStr">
        <is>
          <t>Cần chốt: 300% tính trên Đơn giá lượt hay Lương ngạch/30 ngày?</t>
        </is>
      </c>
    </row>
    <row r="20">
      <c r="A20" s="4" t="n">
        <v>17</v>
      </c>
      <c r="B20" s="4" t="inlineStr">
        <is>
          <t>Tỷ lệ trích đóng BHXH của VP Tỉnh có khác biệt so với HQ Hà Nội không?</t>
        </is>
      </c>
      <c r="C20" s="4" t="inlineStr">
        <is>
          <t>Địa bàn các tỉnh (Nam Định, Ninh Bình, Thái Bình) thuộc Vùng II, III; Hà Nội thuộc Vùng I.</t>
        </is>
      </c>
      <c r="D20" s="4" t="inlineStr">
        <is>
          <t>Mức trần đóng BHXH và lương tối thiểu vùng khác nhau giữa các chi nhánh</t>
        </is>
      </c>
      <c r="E20" s="4" t="inlineStr">
        <is>
          <t>MEDIUM</t>
        </is>
      </c>
      <c r="F20" s="4" t="inlineStr">
        <is>
          <t>có áp dụng, nhưng phải cho cấu hình cài đặt để lựa chọn</t>
        </is>
      </c>
      <c r="G20" s="4" t="inlineStr">
        <is>
          <t>Cần chốt: Hệ thống tự động áp dụng Lương tối thiểu vùng theo địa điểm làm việc (Worksite).</t>
        </is>
      </c>
    </row>
    <row r="21">
      <c r="A21" s="4" t="n">
        <v>18</v>
      </c>
      <c r="B21" s="4" t="inlineStr">
        <is>
          <t>Quy định tạm ứng lương: Tỷ lệ % hay số tiền tối đa?</t>
        </is>
      </c>
      <c r="C21" s="4" t="inlineStr">
        <is>
          <t>Khối Lái xe tải ứng tối đa 3 triệu/lần; Khối VP cho ứng tới 50% lương cứng.</t>
        </is>
      </c>
      <c r="D21" s="4" t="inlineStr">
        <is>
          <t>Cần cài đặt Rule validation khi tạo đề nghị tạm ứng ESS</t>
        </is>
      </c>
      <c r="E21" s="4" t="inlineStr">
        <is>
          <t>HIGH</t>
        </is>
      </c>
      <c r="F21" s="4" t="inlineStr">
        <is>
          <t>chốt, nhưng phải cấu hình vì sau này có thể 100%</t>
        </is>
      </c>
      <c r="G21" s="4" t="inlineStr">
        <is>
          <t>Cần chốt: Cấu hình Max 50% P1 cho VP và Max 3.000.000đ cho Lái xe.</t>
        </is>
      </c>
    </row>
    <row r="22">
      <c r="A22" s="4" t="n">
        <v>19</v>
      </c>
      <c r="B22" s="4" t="inlineStr">
        <is>
          <t>Quy trình chốt bảng lương hàng tháng: Ai duyệt cuối cùng?</t>
        </is>
      </c>
      <c r="C22" s="4" t="inlineStr">
        <is>
          <t>VP Tỉnh do Giám đốc CN duyệt; Lái xe do Trưởng phòng VTHK duyệt; Tổng đài do Giám đốc VTHK duyệt.</t>
        </is>
      </c>
      <c r="D22" s="4" t="inlineStr">
        <is>
          <t>Cần cấu hình Workflow duyệt bảng lương đa nhánh (Multi-workflow)</t>
        </is>
      </c>
      <c r="E22" s="4" t="inlineStr">
        <is>
          <t>MEDIUM</t>
        </is>
      </c>
      <c r="F22" s="4" t="inlineStr">
        <is>
          <t>mỗi group có 1 luồng duyệt riêng</t>
        </is>
      </c>
      <c r="G22" s="4" t="inlineStr">
        <is>
          <t>Cần chốt: Mỗi Payroll Group có 1 luồng duyệt riêng hay tất cả về Ban Giám Đốc Tập đoàn?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2026-08-13T13:17:55Z</dcterms:created>
  <dcterms:modified xmlns:dcterms="http://purl.org/dc/terms/" xmlns:xsi="http://www.w3.org/2001/XMLSchema-instance" xsi:type="dcterms:W3CDTF">2026-08-13T13:20:55Z</dcterms:modified>
</cp:coreProperties>
</file>